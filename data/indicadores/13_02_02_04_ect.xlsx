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originales_2015" sheetId="1" r:id="rId4"/>
    <sheet state="visible" name="Datos_originales_2024" sheetId="2" r:id="rId5"/>
    <sheet state="visible" name="Datos_emisiones_2024" sheetId="3" r:id="rId6"/>
    <sheet state="visible" name="Datos_procesados" sheetId="4" r:id="rId7"/>
    <sheet state="visible" name="Indicador_MUN" sheetId="5" r:id="rId8"/>
    <sheet state="visible" name="Absoluto_MUN" sheetId="6" r:id="rId9"/>
    <sheet state="visible" name="Indicador_DEP" sheetId="7" r:id="rId10"/>
    <sheet state="visible" name="Absoluto_DEP" sheetId="8" r:id="rId11"/>
    <sheet state="visible" name="Umbral" sheetId="9" r:id="rId12"/>
  </sheets>
  <definedNames>
    <definedName hidden="1" localSheetId="0" name="_xlnm._FilterDatabase">Datos_originales_2015!$A$3:$H$2674</definedName>
    <definedName hidden="1" localSheetId="1" name="_xlnm._FilterDatabase">Datos_originales_2024!$A$3:$H$3398</definedName>
    <definedName hidden="1" localSheetId="2" name="_xlnm._FilterDatabase">Datos_emisiones_2024!$A$2:$O$12</definedName>
    <definedName hidden="1" localSheetId="3" name="_xlnm._FilterDatabase">Datos_procesados!$A$1:$AI$345</definedName>
    <definedName hidden="1" localSheetId="4" name="_xlnm._FilterDatabase">Indicador_MUN!$A$1:$D$344</definedName>
  </definedNames>
  <calcPr/>
  <extLst>
    <ext uri="GoogleSheetsCustomDataVersion2">
      <go:sheetsCustomData xmlns:go="http://customooxmlschemas.google.com/" r:id="rId13" roundtripDataChecksum="P2MXPtInJiFxSCelk209hD0Wb9Us+uHWY2ATkpPINwE="/>
    </ext>
  </extLst>
</workbook>
</file>

<file path=xl/sharedStrings.xml><?xml version="1.0" encoding="utf-8"?>
<sst xmlns="http://schemas.openxmlformats.org/spreadsheetml/2006/main" count="18339" uniqueCount="879">
  <si>
    <t>Departamento</t>
  </si>
  <si>
    <t>Municipio</t>
  </si>
  <si>
    <t>MUN_DEP</t>
  </si>
  <si>
    <t>CLASE DE VEHÍCULO</t>
  </si>
  <si>
    <t>Con gasolina</t>
  </si>
  <si>
    <t>Con diesel</t>
  </si>
  <si>
    <t>Con gas</t>
  </si>
  <si>
    <t>Bolivia</t>
  </si>
  <si>
    <t>TOTAL</t>
  </si>
  <si>
    <t>Chuquisaca</t>
  </si>
  <si>
    <t>Alcalá</t>
  </si>
  <si>
    <t>Camión</t>
  </si>
  <si>
    <t>Vagoneta</t>
  </si>
  <si>
    <t>Camargo</t>
  </si>
  <si>
    <t>Ambulancia(3)</t>
  </si>
  <si>
    <t>Automóvil</t>
  </si>
  <si>
    <t>Bus(1)</t>
  </si>
  <si>
    <t>Camioneta</t>
  </si>
  <si>
    <t>Jeep</t>
  </si>
  <si>
    <t>Microbús</t>
  </si>
  <si>
    <t>Minibús</t>
  </si>
  <si>
    <t>Moto</t>
  </si>
  <si>
    <t>Culpina</t>
  </si>
  <si>
    <t>El Villar</t>
  </si>
  <si>
    <t>Incahuasi</t>
  </si>
  <si>
    <t>Las Carreras</t>
  </si>
  <si>
    <t>Macharetí</t>
  </si>
  <si>
    <t>Padilla</t>
  </si>
  <si>
    <t>Tracto - Camión</t>
  </si>
  <si>
    <t>Poroma</t>
  </si>
  <si>
    <t>San Lucas</t>
  </si>
  <si>
    <t>Furgón</t>
  </si>
  <si>
    <t>San Pablo de Huacareta</t>
  </si>
  <si>
    <t>Sopachuy</t>
  </si>
  <si>
    <t>Sucre</t>
  </si>
  <si>
    <t>Maquinaria pesada(2)</t>
  </si>
  <si>
    <t>Quadra-Trac</t>
  </si>
  <si>
    <t>Torpedo</t>
  </si>
  <si>
    <t>Tarabuco</t>
  </si>
  <si>
    <t>Villa Abecia (Camataqui)</t>
  </si>
  <si>
    <t>Villa Arias (Tarvita)</t>
  </si>
  <si>
    <t>Villa Azurduy</t>
  </si>
  <si>
    <t>Villa Mojocoya</t>
  </si>
  <si>
    <t>Villa Monteagudo</t>
  </si>
  <si>
    <t>Villa R. Mujía (Icla)</t>
  </si>
  <si>
    <t>Villa Serrano</t>
  </si>
  <si>
    <t>Villa Tomina</t>
  </si>
  <si>
    <t>Villa Vaca Guzmán (Muyupampa)</t>
  </si>
  <si>
    <t>Villa Zudáñez (Tacopaya)</t>
  </si>
  <si>
    <t>Yamparáez</t>
  </si>
  <si>
    <t>Yotala</t>
  </si>
  <si>
    <t>La Paz</t>
  </si>
  <si>
    <t>Achacachi</t>
  </si>
  <si>
    <t>Ambulancia(2)</t>
  </si>
  <si>
    <t>Achocalla</t>
  </si>
  <si>
    <t>Maquinaria pesada(3)</t>
  </si>
  <si>
    <t>Alto Beni</t>
  </si>
  <si>
    <t>Ayata</t>
  </si>
  <si>
    <t>Ayo Ayo</t>
  </si>
  <si>
    <t>Batallas</t>
  </si>
  <si>
    <t>Calacoto</t>
  </si>
  <si>
    <t>Calamarca</t>
  </si>
  <si>
    <t>Caquiaviri</t>
  </si>
  <si>
    <t>Caranavi</t>
  </si>
  <si>
    <t>Charaña</t>
  </si>
  <si>
    <t>Chulumani</t>
  </si>
  <si>
    <t>Chuma</t>
  </si>
  <si>
    <t>Collana</t>
  </si>
  <si>
    <t>Colquencha</t>
  </si>
  <si>
    <t>Colquiri</t>
  </si>
  <si>
    <t>Copacabana</t>
  </si>
  <si>
    <t>Coro Coro</t>
  </si>
  <si>
    <t>Coroico</t>
  </si>
  <si>
    <t>Desaguadero</t>
  </si>
  <si>
    <t>El Alto</t>
  </si>
  <si>
    <t>Trimoviles</t>
  </si>
  <si>
    <t>Gral. Pérez (Charazani)</t>
  </si>
  <si>
    <t>Guanay</t>
  </si>
  <si>
    <t>Guaqui</t>
  </si>
  <si>
    <t>Huarina</t>
  </si>
  <si>
    <t>Huatajata</t>
  </si>
  <si>
    <t>Inquisivi</t>
  </si>
  <si>
    <t>Irupana</t>
  </si>
  <si>
    <t>Jesús de Machaca</t>
  </si>
  <si>
    <t>Trimóvil - Camión</t>
  </si>
  <si>
    <t>Laja</t>
  </si>
  <si>
    <t>Luribay</t>
  </si>
  <si>
    <t>Mecapaca</t>
  </si>
  <si>
    <t>Moco Moco</t>
  </si>
  <si>
    <t>Palca</t>
  </si>
  <si>
    <t>Palos Blancos</t>
  </si>
  <si>
    <t>Patacamaya</t>
  </si>
  <si>
    <t>Pucarani</t>
  </si>
  <si>
    <t>Puerto Acosta</t>
  </si>
  <si>
    <t>Puerto Mayor Carabuco Ch.</t>
  </si>
  <si>
    <t>Quime</t>
  </si>
  <si>
    <t>Santiago de Huata</t>
  </si>
  <si>
    <t>Sapahaqui</t>
  </si>
  <si>
    <t>Sica Sica</t>
  </si>
  <si>
    <t>Sorata</t>
  </si>
  <si>
    <t>Tacacoma</t>
  </si>
  <si>
    <t>Taraco</t>
  </si>
  <si>
    <t>Tihuanacu</t>
  </si>
  <si>
    <t>Umala</t>
  </si>
  <si>
    <t>Viacha</t>
  </si>
  <si>
    <t>Cochabamba</t>
  </si>
  <si>
    <t>Aiquile</t>
  </si>
  <si>
    <t>Alalay</t>
  </si>
  <si>
    <t>Anzaldo</t>
  </si>
  <si>
    <t>Arani</t>
  </si>
  <si>
    <t>Arbieto</t>
  </si>
  <si>
    <t>Arque</t>
  </si>
  <si>
    <t>Bolívar</t>
  </si>
  <si>
    <t>Capinota</t>
  </si>
  <si>
    <t>Chimoré</t>
  </si>
  <si>
    <t>Maquinaria pesada(4)</t>
  </si>
  <si>
    <t>Cliza</t>
  </si>
  <si>
    <t>Cocapata</t>
  </si>
  <si>
    <t>Colcapirhua</t>
  </si>
  <si>
    <t>Colomi</t>
  </si>
  <si>
    <t>Entre Ríos</t>
  </si>
  <si>
    <t>Independencia (Ayopaya)</t>
  </si>
  <si>
    <t>Mizque</t>
  </si>
  <si>
    <t>Morochata</t>
  </si>
  <si>
    <t>Omereque</t>
  </si>
  <si>
    <t>Pasorapa</t>
  </si>
  <si>
    <t>Pocona</t>
  </si>
  <si>
    <t>Pojo</t>
  </si>
  <si>
    <t>Puerto Villarroel</t>
  </si>
  <si>
    <t>Punata</t>
  </si>
  <si>
    <t>Quillacollo</t>
  </si>
  <si>
    <t>Sacaba</t>
  </si>
  <si>
    <t>Sacabamba</t>
  </si>
  <si>
    <t>San Benito</t>
  </si>
  <si>
    <t>Santiváñez</t>
  </si>
  <si>
    <t>Shinahota</t>
  </si>
  <si>
    <t>Sipe Sipe</t>
  </si>
  <si>
    <t>Tacopaya</t>
  </si>
  <si>
    <t>Tapacarí</t>
  </si>
  <si>
    <t>Tarata</t>
  </si>
  <si>
    <t>Tiquipaya</t>
  </si>
  <si>
    <t>Tiraque</t>
  </si>
  <si>
    <t>Toco</t>
  </si>
  <si>
    <t>Tolata</t>
  </si>
  <si>
    <t>Totora</t>
  </si>
  <si>
    <t>Vacas</t>
  </si>
  <si>
    <t>Vila Vila</t>
  </si>
  <si>
    <t>Villa Rivero</t>
  </si>
  <si>
    <t>Tracto-camión</t>
  </si>
  <si>
    <t>Villa Tunari</t>
  </si>
  <si>
    <t>Vinto</t>
  </si>
  <si>
    <t>Oruro</t>
  </si>
  <si>
    <t>Andamarca</t>
  </si>
  <si>
    <t>Belén de Andamarca</t>
  </si>
  <si>
    <t>Caracollo</t>
  </si>
  <si>
    <t>Carangas</t>
  </si>
  <si>
    <t>Challapata</t>
  </si>
  <si>
    <t>Chipaya</t>
  </si>
  <si>
    <t>Coipasa</t>
  </si>
  <si>
    <t>Corque</t>
  </si>
  <si>
    <t>Cruz de Machamarca</t>
  </si>
  <si>
    <t>Curahuara de Carangas</t>
  </si>
  <si>
    <t>Escara</t>
  </si>
  <si>
    <t>Esmeralda</t>
  </si>
  <si>
    <t>Eucaliptus</t>
  </si>
  <si>
    <t>Ómnibus</t>
  </si>
  <si>
    <t>Huachacalla</t>
  </si>
  <si>
    <t>La Riviera</t>
  </si>
  <si>
    <t>Machacamarca</t>
  </si>
  <si>
    <t>Pampa Aullagas</t>
  </si>
  <si>
    <t>Pazña</t>
  </si>
  <si>
    <t>Poopo</t>
  </si>
  <si>
    <t>Quillacas</t>
  </si>
  <si>
    <t>Sabaya</t>
  </si>
  <si>
    <t>Salinas de Garci Mendoza</t>
  </si>
  <si>
    <t>San Pedro de Totora</t>
  </si>
  <si>
    <t>Santiago de Andamarca</t>
  </si>
  <si>
    <t>Santiago de Huallamarca</t>
  </si>
  <si>
    <t>Santiago de Huari</t>
  </si>
  <si>
    <t>Soracachi</t>
  </si>
  <si>
    <t>Toledo</t>
  </si>
  <si>
    <t>Turco</t>
  </si>
  <si>
    <t>Villa Huanuni</t>
  </si>
  <si>
    <t>Potosí</t>
  </si>
  <si>
    <t>Acasio</t>
  </si>
  <si>
    <t>Atocha</t>
  </si>
  <si>
    <t>Belen de Urmiri</t>
  </si>
  <si>
    <t>Betanzos</t>
  </si>
  <si>
    <t>Caiza</t>
  </si>
  <si>
    <t>Caripuyo</t>
  </si>
  <si>
    <t>Chaqui</t>
  </si>
  <si>
    <t>Chayanta</t>
  </si>
  <si>
    <t>Colcha (Villa Martín)</t>
  </si>
  <si>
    <t>Colquechaca</t>
  </si>
  <si>
    <t>Cotagaita</t>
  </si>
  <si>
    <t>Llallagua</t>
  </si>
  <si>
    <t>Llica</t>
  </si>
  <si>
    <t>Ocuri</t>
  </si>
  <si>
    <t>Pocoata</t>
  </si>
  <si>
    <t>Porco</t>
  </si>
  <si>
    <t>Puna</t>
  </si>
  <si>
    <t>Ravelo</t>
  </si>
  <si>
    <t>San Antonio de Esmoruco</t>
  </si>
  <si>
    <t>San Pedro de Buena Vista</t>
  </si>
  <si>
    <t>Tahua</t>
  </si>
  <si>
    <t>Tinquipaya</t>
  </si>
  <si>
    <t>Tomave</t>
  </si>
  <si>
    <t>Tupiza</t>
  </si>
  <si>
    <t>Uncía</t>
  </si>
  <si>
    <t>Uyuni</t>
  </si>
  <si>
    <t>Villazón</t>
  </si>
  <si>
    <t>Vitichi</t>
  </si>
  <si>
    <t>Yocalla</t>
  </si>
  <si>
    <t>Tarija</t>
  </si>
  <si>
    <t>Bermejo</t>
  </si>
  <si>
    <t>Caraparí</t>
  </si>
  <si>
    <t>El Puente - Tarija</t>
  </si>
  <si>
    <t>La Moreta (Entre Ríos)</t>
  </si>
  <si>
    <t>Padcaya</t>
  </si>
  <si>
    <t>San Lorenzo</t>
  </si>
  <si>
    <t>Uriondo (Concepción)</t>
  </si>
  <si>
    <t>Villamontes</t>
  </si>
  <si>
    <t>Yacuiba</t>
  </si>
  <si>
    <t>Yunchará</t>
  </si>
  <si>
    <t>Santa Cruz</t>
  </si>
  <si>
    <t>Asunción de Guarayos</t>
  </si>
  <si>
    <t>Boyuibe</t>
  </si>
  <si>
    <t>Buena Vista</t>
  </si>
  <si>
    <t>Cabezas</t>
  </si>
  <si>
    <t>Camiri</t>
  </si>
  <si>
    <t>Charagua</t>
  </si>
  <si>
    <t>Colpa Bélgica</t>
  </si>
  <si>
    <t>Comarapa</t>
  </si>
  <si>
    <t>Concepción</t>
  </si>
  <si>
    <t>Cotoca</t>
  </si>
  <si>
    <t>Cuatro Cañadas</t>
  </si>
  <si>
    <t>Cuevo</t>
  </si>
  <si>
    <t>El Torno</t>
  </si>
  <si>
    <t>Fernández Alonso</t>
  </si>
  <si>
    <t>Gral. Saavedra</t>
  </si>
  <si>
    <t>Gutiérrez</t>
  </si>
  <si>
    <t>La Guardia</t>
  </si>
  <si>
    <t>Lagunillas</t>
  </si>
  <si>
    <t>Mairana</t>
  </si>
  <si>
    <t>Mineros</t>
  </si>
  <si>
    <t>Montero</t>
  </si>
  <si>
    <t>Moromoro</t>
  </si>
  <si>
    <t>Okinawa</t>
  </si>
  <si>
    <t>Pailón</t>
  </si>
  <si>
    <t>Pampa Grande</t>
  </si>
  <si>
    <t>Porongo (Ayacucho)</t>
  </si>
  <si>
    <t>Portachuelo</t>
  </si>
  <si>
    <t>Puerto Quijarro</t>
  </si>
  <si>
    <t>Puerto Suárez</t>
  </si>
  <si>
    <t>Roboré</t>
  </si>
  <si>
    <t>Saipina</t>
  </si>
  <si>
    <t>Samaipata</t>
  </si>
  <si>
    <t>San Carlos</t>
  </si>
  <si>
    <t>San Ignacio (Santa Cruz)</t>
  </si>
  <si>
    <t>San Javier (SCZ)</t>
  </si>
  <si>
    <t>San José</t>
  </si>
  <si>
    <t>San Juan</t>
  </si>
  <si>
    <t>San Julián</t>
  </si>
  <si>
    <t>San Matías</t>
  </si>
  <si>
    <t>San Miguel</t>
  </si>
  <si>
    <t>San Pedro</t>
  </si>
  <si>
    <t>San Ramón</t>
  </si>
  <si>
    <t>Santa Cruz de la Sierra</t>
  </si>
  <si>
    <t>Santa Rosa del Sara</t>
  </si>
  <si>
    <t>Trigal</t>
  </si>
  <si>
    <t>Urubichá</t>
  </si>
  <si>
    <t>Vallegrande</t>
  </si>
  <si>
    <t>Warnes</t>
  </si>
  <si>
    <t>Yapacaní</t>
  </si>
  <si>
    <t>Beni</t>
  </si>
  <si>
    <t>Puerto Guayaramerín</t>
  </si>
  <si>
    <t>Puerto Rurrenabaque</t>
  </si>
  <si>
    <t>Riberalta</t>
  </si>
  <si>
    <t>San Borja</t>
  </si>
  <si>
    <t>San Ignacio (Beni)</t>
  </si>
  <si>
    <t>San Javier (Trinidad)</t>
  </si>
  <si>
    <t>San Joaquín</t>
  </si>
  <si>
    <t>Santa Ana del Yacuma</t>
  </si>
  <si>
    <t>Trinidad</t>
  </si>
  <si>
    <t>Pando</t>
  </si>
  <si>
    <t>Cobija</t>
  </si>
  <si>
    <t>Bus(2)</t>
  </si>
  <si>
    <t>Minibus</t>
  </si>
  <si>
    <t>Ambulancia(1)</t>
  </si>
  <si>
    <t>Trimóvil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</si>
  <si>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</si>
  <si>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</si>
  <si>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Quadratrack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</si>
  <si>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</si>
  <si>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</si>
  <si>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</si>
  <si>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</si>
  <si>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t>Ancoraimes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</si>
  <si>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</si>
  <si>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Apolo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</si>
  <si>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</si>
  <si>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</si>
  <si>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</si>
  <si>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</si>
  <si>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Cairoma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</si>
  <si>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</si>
  <si>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</si>
  <si>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Cajuata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</si>
  <si>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</si>
  <si>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Furgoneta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</si>
  <si>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</si>
  <si>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</si>
  <si>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</si>
  <si>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</si>
  <si>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</si>
  <si>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Micro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</si>
  <si>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</si>
  <si>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Omnibus</t>
  </si>
  <si>
    <t>Tracto-Camion</t>
  </si>
  <si>
    <t>Chua Cocani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</si>
  <si>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</si>
  <si>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</si>
  <si>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</si>
  <si>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</si>
  <si>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</si>
  <si>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</si>
  <si>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</si>
  <si>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</si>
  <si>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Combaya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</si>
  <si>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</si>
  <si>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</si>
  <si>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</si>
  <si>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</si>
  <si>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</si>
  <si>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Coripata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</si>
  <si>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</si>
  <si>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</si>
  <si>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</si>
  <si>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</si>
  <si>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Escoma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</si>
  <si>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</si>
  <si>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</si>
  <si>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</si>
  <si>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</si>
  <si>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</si>
  <si>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</si>
  <si>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Humanata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</si>
  <si>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</si>
  <si>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</si>
  <si>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</si>
  <si>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</si>
  <si>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</si>
  <si>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</si>
  <si>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Ixiamas</t>
  </si>
  <si>
    <t>La Asunta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</si>
  <si>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</si>
  <si>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</si>
  <si>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</si>
  <si>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</si>
  <si>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</si>
  <si>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</si>
  <si>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</si>
  <si>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</si>
  <si>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</si>
  <si>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</si>
  <si>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</si>
  <si>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</si>
  <si>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</si>
  <si>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</si>
  <si>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t>Papel Pampa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</si>
  <si>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</si>
  <si>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</si>
  <si>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</si>
  <si>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Pelechuco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</si>
  <si>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</si>
  <si>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</si>
  <si>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</si>
  <si>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</si>
  <si>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</si>
  <si>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</si>
  <si>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Puerto Perez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</si>
  <si>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</si>
  <si>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Andrés de Machaca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</si>
  <si>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</si>
  <si>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Buenaventura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</si>
  <si>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</si>
  <si>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Pedro de Tiquina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</si>
  <si>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</si>
  <si>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Santiago de Callapa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</si>
  <si>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</si>
  <si>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</si>
  <si>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</si>
  <si>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</si>
  <si>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</si>
  <si>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</si>
  <si>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</si>
  <si>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</si>
  <si>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</si>
  <si>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</si>
  <si>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</si>
  <si>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Tito Yupanqui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</si>
  <si>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</si>
  <si>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</si>
  <si>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</si>
  <si>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</si>
  <si>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</si>
  <si>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Waldo Ballivian Tumarapi</t>
  </si>
  <si>
    <t>Yaco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</si>
  <si>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</si>
  <si>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</si>
  <si>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</si>
  <si>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</si>
  <si>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</si>
  <si>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Bus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</si>
  <si>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</si>
  <si>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</si>
  <si>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</si>
  <si>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</si>
  <si>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</si>
  <si>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</si>
  <si>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</si>
  <si>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</si>
  <si>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</si>
  <si>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</si>
  <si>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</si>
  <si>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</si>
  <si>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</si>
  <si>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</si>
  <si>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</si>
  <si>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</si>
  <si>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</si>
  <si>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</si>
  <si>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</si>
  <si>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</si>
  <si>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</si>
  <si>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</si>
  <si>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</si>
  <si>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</si>
  <si>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</si>
  <si>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</si>
  <si>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</si>
  <si>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</si>
  <si>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</si>
  <si>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</si>
  <si>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</si>
  <si>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</si>
  <si>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</si>
  <si>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</si>
  <si>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</si>
  <si>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</si>
  <si>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</si>
  <si>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</si>
  <si>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</si>
  <si>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</si>
  <si>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</si>
  <si>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</si>
  <si>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</si>
  <si>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</si>
  <si>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</si>
  <si>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</si>
  <si>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</si>
  <si>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</si>
  <si>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</si>
  <si>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</si>
  <si>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</si>
  <si>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</si>
  <si>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</si>
  <si>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</si>
  <si>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</si>
  <si>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</si>
  <si>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</si>
  <si>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</si>
  <si>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</si>
  <si>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</si>
  <si>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</si>
  <si>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</si>
  <si>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</si>
  <si>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</si>
  <si>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</si>
  <si>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</si>
  <si>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Antequera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</si>
  <si>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</si>
  <si>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</si>
  <si>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</si>
  <si>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</si>
  <si>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</si>
  <si>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</si>
  <si>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</si>
  <si>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</si>
  <si>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</si>
  <si>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Choqueota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</si>
  <si>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</si>
  <si>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</si>
  <si>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</si>
  <si>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</si>
  <si>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</si>
  <si>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</si>
  <si>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</si>
  <si>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</si>
  <si>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El Choro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</si>
  <si>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</si>
  <si>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</si>
  <si>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</si>
  <si>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</si>
  <si>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</si>
  <si>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</si>
  <si>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</si>
  <si>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</si>
  <si>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</si>
  <si>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</si>
  <si>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</si>
  <si>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</si>
  <si>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</si>
  <si>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</si>
  <si>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</si>
  <si>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</si>
  <si>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</si>
  <si>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</si>
  <si>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</si>
  <si>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Ambulancia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</si>
  <si>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</si>
  <si>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</si>
  <si>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</si>
  <si>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</si>
  <si>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Santiago de Quillacas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</si>
  <si>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</si>
  <si>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</si>
  <si>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</si>
  <si>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</si>
  <si>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</si>
  <si>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Todos Santos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</si>
  <si>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</si>
  <si>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</si>
  <si>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</si>
  <si>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</si>
  <si>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</si>
  <si>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</si>
  <si>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Yunguyo de Litoral</t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</si>
  <si>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</si>
  <si>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</si>
  <si>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  <sz val="10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</si>
  <si>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</si>
  <si>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</si>
  <si>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</si>
  <si>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t>Ckochas</t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</si>
  <si>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</si>
  <si>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</si>
  <si>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</si>
  <si>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</si>
  <si>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</si>
  <si>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</si>
  <si>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</si>
  <si>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</si>
  <si>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</si>
  <si>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</si>
  <si>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</si>
  <si>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</si>
  <si>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</si>
  <si>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</si>
  <si>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</si>
  <si>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</si>
  <si>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</si>
  <si>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</si>
  <si>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t>San Pedro de Macha</t>
  </si>
  <si>
    <t>Toro Toro</t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</si>
  <si>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</si>
  <si>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</si>
  <si>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</si>
  <si>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</si>
  <si>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</si>
  <si>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</si>
  <si>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</si>
  <si>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</si>
  <si>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</si>
  <si>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</si>
  <si>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</si>
  <si>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</si>
  <si>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</si>
  <si>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</si>
  <si>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</si>
  <si>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</si>
  <si>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</si>
  <si>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</si>
  <si>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</si>
  <si>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</si>
  <si>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</si>
  <si>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</si>
  <si>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</si>
  <si>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</si>
  <si>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</si>
  <si>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</si>
  <si>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</si>
  <si>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</si>
  <si>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</si>
  <si>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</si>
  <si>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</si>
  <si>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</si>
  <si>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</si>
  <si>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</si>
  <si>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</si>
  <si>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</si>
  <si>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</si>
  <si>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</si>
  <si>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</si>
  <si>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</si>
  <si>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</si>
  <si>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</si>
  <si>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</si>
  <si>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</si>
  <si>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</si>
  <si>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</si>
  <si>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</si>
  <si>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</si>
  <si>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</si>
  <si>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</si>
  <si>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</si>
  <si>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</si>
  <si>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</si>
  <si>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</si>
  <si>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</si>
  <si>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</si>
  <si>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</si>
  <si>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</si>
  <si>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</si>
  <si>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</si>
  <si>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</si>
  <si>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</si>
  <si>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</si>
  <si>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Kereimba Iyaamba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</si>
  <si>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</si>
  <si>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</si>
  <si>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</si>
  <si>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</si>
  <si>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</si>
  <si>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</si>
  <si>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</si>
  <si>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</si>
  <si>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</si>
  <si>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</si>
  <si>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</si>
  <si>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</si>
  <si>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</si>
  <si>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</si>
  <si>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</si>
  <si>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</si>
  <si>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</si>
  <si>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</si>
  <si>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</si>
  <si>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</si>
  <si>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</si>
  <si>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</si>
  <si>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</si>
  <si>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</si>
  <si>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</si>
  <si>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</si>
  <si>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</si>
  <si>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</si>
  <si>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</si>
  <si>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</si>
  <si>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</si>
  <si>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</si>
  <si>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</si>
  <si>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</si>
  <si>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</si>
  <si>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</si>
  <si>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</si>
  <si>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</si>
  <si>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</si>
  <si>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</si>
  <si>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</si>
  <si>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</si>
  <si>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</si>
  <si>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</si>
  <si>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</si>
  <si>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</si>
  <si>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</si>
  <si>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</si>
  <si>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</si>
  <si>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 xml:space="preserve">Santa Rosa del Sara 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</si>
  <si>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</si>
  <si>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</si>
  <si>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</si>
  <si>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</si>
  <si>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</si>
  <si>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</si>
  <si>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</si>
  <si>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</si>
  <si>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</si>
  <si>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</si>
  <si>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</si>
  <si>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</si>
  <si>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</si>
  <si>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Maquinaria pesada</t>
    </r>
    <r>
      <rPr>
        <rFont val="Arial"/>
        <color theme="1"/>
        <sz val="10.0"/>
        <vertAlign val="superscript"/>
      </rPr>
      <t>(3)</t>
    </r>
  </si>
  <si>
    <t>San Andrés</t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</si>
  <si>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</si>
  <si>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</si>
  <si>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</si>
  <si>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</si>
  <si>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  <sz val="10.0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</si>
  <si>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</si>
  <si>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</si>
  <si>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(4)</t>
    </r>
  </si>
  <si>
    <t>Porvenir</t>
  </si>
  <si>
    <t>TRANSPORTE - GASOLINA ESPECIAL - DIÓXIDO DE CARBONO (10³ t)</t>
  </si>
  <si>
    <t>TRANSPORTE - GASOLINA ESPECIAL PLUS - DIÓXIDO DE CARBONO (10³ t)</t>
  </si>
  <si>
    <t>TRANSPORTE - GASOLINA PREMIUM - DIÓXIDO DE CARBONO (10³ t)</t>
  </si>
  <si>
    <t>TRANSPORTE - GASOLINA PREMIUM PLUS - DIÓXIDO DE CARBONO (10³ t)</t>
  </si>
  <si>
    <t>TRANSPORTE - GASOLINA ULTRA PREMIUM 100 - DIÓXIDO DE CARBONO (10³ t)</t>
  </si>
  <si>
    <t>TRANSPORTE - GASOLINA SUPER 92 - DIÓXIDO DE CARBONO (10³ t)</t>
  </si>
  <si>
    <t>INDUSTRIAL - DIESEL OIL - DIÓXIDO DE CARBONO (10³ t)</t>
  </si>
  <si>
    <t>TRANSPORTE - DIESEL OIL PLUS - DIÓXIDO DE CARBONO (10³ t)</t>
  </si>
  <si>
    <t>TRANSPORTE - DIESEL OIL ULS - DIÓXIDO DE CARBONO (10³ t)</t>
  </si>
  <si>
    <t>TRANSPORTE - DIESEL OIL ULS PLUS - DIÓXIDO DE CARBONO (10³ t)</t>
  </si>
  <si>
    <t>TRANSPORTE - GAS NATURAL - DIÓXIDO DE CARBONO (10³ t)</t>
  </si>
  <si>
    <t>ID</t>
  </si>
  <si>
    <t>Total vehiculos 2015</t>
  </si>
  <si>
    <t>Población total 2015</t>
  </si>
  <si>
    <t>Vehiculos con gasolina 2015</t>
  </si>
  <si>
    <t>Volumen de gasolina comercializada 2015 (litros)</t>
  </si>
  <si>
    <t>Emisiones departamentales de (tCO2)</t>
  </si>
  <si>
    <t>Proporción emisiones municipales por departamento</t>
  </si>
  <si>
    <t>Emisiones municipales de tCO2 por transporte per cápita</t>
  </si>
  <si>
    <t>Vehiculos con diesel 2015</t>
  </si>
  <si>
    <t>Volumen de diesel comercializado 2015 (litros)</t>
  </si>
  <si>
    <t>Vehiculos con gas 2015</t>
  </si>
  <si>
    <t>Volumen de gas comercializado 2015 (litros)</t>
  </si>
  <si>
    <t>Emisiones totales municipales de tCO2 por transporte per cápita</t>
  </si>
  <si>
    <t>Emisiones totales municipales de tCO2 por transporte</t>
  </si>
  <si>
    <t>Total vehiculos 2024</t>
  </si>
  <si>
    <t>Población 2024</t>
  </si>
  <si>
    <t>Vehiculos con gasolina 2024</t>
  </si>
  <si>
    <t>Volumen de gasolina comercializada 2024 (litros)</t>
  </si>
  <si>
    <t>Vehiculos con diesel 2024</t>
  </si>
  <si>
    <t>Volumen de diesel comercializado 2024 (litros)</t>
  </si>
  <si>
    <t>Vehiculos con gas 2024</t>
  </si>
  <si>
    <t>Volumen de gas comercializado 2024 (litros)</t>
  </si>
  <si>
    <t>Fi gasolina</t>
  </si>
  <si>
    <t>Fi Diesel</t>
  </si>
  <si>
    <t>Fi gas</t>
  </si>
  <si>
    <t>Azurduy</t>
  </si>
  <si>
    <t>Emisiones departamentales de tCO2 por transporte per cápita</t>
  </si>
  <si>
    <t>Emisiones totales municipales de tCO2 por transporte per cápita 2015</t>
  </si>
  <si>
    <t>Emisiones municipales de tCO2 por transporte per cápita 2024</t>
  </si>
  <si>
    <t>Tarvita</t>
  </si>
  <si>
    <t>Zudáñez</t>
  </si>
  <si>
    <t>Presto</t>
  </si>
  <si>
    <t>Mojocoya</t>
  </si>
  <si>
    <t>Icla</t>
  </si>
  <si>
    <t>Tomina</t>
  </si>
  <si>
    <t>Gran Chaco</t>
  </si>
  <si>
    <t>Monteagudo</t>
  </si>
  <si>
    <t>Huacareta</t>
  </si>
  <si>
    <t>Villa Charcas</t>
  </si>
  <si>
    <t>Villa Abecia</t>
  </si>
  <si>
    <t>Villa Vaca Guzmán</t>
  </si>
  <si>
    <t>Huacaya (Autonomía Guaraní Chaqueño de Huacaya)</t>
  </si>
  <si>
    <t>Nuestra Señora de La Paz</t>
  </si>
  <si>
    <t>Villa Ancoraimes</t>
  </si>
  <si>
    <t>Corocoro</t>
  </si>
  <si>
    <t>Comanche</t>
  </si>
  <si>
    <t>Waldo Ballivián</t>
  </si>
  <si>
    <t>Nazacara de Pacajes</t>
  </si>
  <si>
    <t>Mocomoco</t>
  </si>
  <si>
    <t>Puerto Mayor de Carabuco</t>
  </si>
  <si>
    <t>Aucapata</t>
  </si>
  <si>
    <t>Quiabaya</t>
  </si>
  <si>
    <t>Tipuani</t>
  </si>
  <si>
    <t>Mapiri</t>
  </si>
  <si>
    <t>Teoponte</t>
  </si>
  <si>
    <t>Puerto Mayor de Guaqui</t>
  </si>
  <si>
    <t>Tiahuanacu</t>
  </si>
  <si>
    <t>La (Marka) San Andrés de Machaca</t>
  </si>
  <si>
    <t>Jesús de Machaka</t>
  </si>
  <si>
    <t>Malla</t>
  </si>
  <si>
    <t>Ichoca</t>
  </si>
  <si>
    <t>Villa Libertad Licoma</t>
  </si>
  <si>
    <t>Yanacachi</t>
  </si>
  <si>
    <t>Puerto Pérez</t>
  </si>
  <si>
    <t>Sicasica</t>
  </si>
  <si>
    <t>Charazani</t>
  </si>
  <si>
    <t>Curva</t>
  </si>
  <si>
    <t>San Pedro de Curahuara</t>
  </si>
  <si>
    <t>Chacarilla</t>
  </si>
  <si>
    <t>Santiago de Machaca</t>
  </si>
  <si>
    <t>Catacora</t>
  </si>
  <si>
    <t>Ayopaya</t>
  </si>
  <si>
    <t>Sicaya</t>
  </si>
  <si>
    <t>Sipesipe</t>
  </si>
  <si>
    <t>TIOC-Raqaypampa</t>
  </si>
  <si>
    <t>Tacachi</t>
  </si>
  <si>
    <t>Villa Gualberto Villarroel</t>
  </si>
  <si>
    <t>Paria</t>
  </si>
  <si>
    <t>Santuario de Quillacas</t>
  </si>
  <si>
    <t>Choquecota</t>
  </si>
  <si>
    <t>Cruz de Machacamarca</t>
  </si>
  <si>
    <t>Yunguyo del Litoral</t>
  </si>
  <si>
    <t>Poopó</t>
  </si>
  <si>
    <t>Huanuni</t>
  </si>
  <si>
    <t>Salinas de Garci Mendoza (Autonomía Indígena Originario Campesina de Salinas)</t>
  </si>
  <si>
    <t>Uru Chipaya (Nación Originaria Uru Chipaya)</t>
  </si>
  <si>
    <t>La Rivera</t>
  </si>
  <si>
    <t>Santiago de Huayllamarca</t>
  </si>
  <si>
    <t>Tinguipaya</t>
  </si>
  <si>
    <t>Urmiri</t>
  </si>
  <si>
    <t>Chuquihuta Ayllu Jucumani</t>
  </si>
  <si>
    <t>Chaquí</t>
  </si>
  <si>
    <t>Tacobamba</t>
  </si>
  <si>
    <t>Ocurí</t>
  </si>
  <si>
    <t>Sacaca</t>
  </si>
  <si>
    <t>Colcha "K"</t>
  </si>
  <si>
    <t>San Pedro de Quemes</t>
  </si>
  <si>
    <t>San Pablo</t>
  </si>
  <si>
    <t>Mojinete</t>
  </si>
  <si>
    <t>Caiza "D"</t>
  </si>
  <si>
    <t>TIOC-Jatun Ayllu Yura</t>
  </si>
  <si>
    <t>Arampampa</t>
  </si>
  <si>
    <t>San Agustín</t>
  </si>
  <si>
    <t>Villa Montes</t>
  </si>
  <si>
    <t>Uriondo</t>
  </si>
  <si>
    <t>El Puente</t>
  </si>
  <si>
    <t>Porongo</t>
  </si>
  <si>
    <t>Okinawa Uno</t>
  </si>
  <si>
    <t>San Ignacio</t>
  </si>
  <si>
    <t>San Rafael</t>
  </si>
  <si>
    <t>Santa Rosa</t>
  </si>
  <si>
    <t>Charagua (Autonomía Guaraní Charagua Iyambae)</t>
  </si>
  <si>
    <t>Gutiérrez (Autonomía Indígena Kereimba Iyaambae)</t>
  </si>
  <si>
    <t>Postrervalle</t>
  </si>
  <si>
    <t>Pucará</t>
  </si>
  <si>
    <t>Pampagrande</t>
  </si>
  <si>
    <t>Quirusillas</t>
  </si>
  <si>
    <t>General Saavedra</t>
  </si>
  <si>
    <t>San Javier</t>
  </si>
  <si>
    <t>San Antonio de Lomerio</t>
  </si>
  <si>
    <t>El Carmen Rivero Tórrez</t>
  </si>
  <si>
    <t>Ascención de Guarayos</t>
  </si>
  <si>
    <t>Guayaramerín</t>
  </si>
  <si>
    <t>Reyes</t>
  </si>
  <si>
    <t>Puerto Menor de Rurrenabaque</t>
  </si>
  <si>
    <t>Santa Ana</t>
  </si>
  <si>
    <t>Exaltación</t>
  </si>
  <si>
    <t>Loreto</t>
  </si>
  <si>
    <t>Puerto Siles</t>
  </si>
  <si>
    <t>Magdalena</t>
  </si>
  <si>
    <t>Baures</t>
  </si>
  <si>
    <t>Huacaraje</t>
  </si>
  <si>
    <t>TIOC-Territorio Indígena Multiétnico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</si>
  <si>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</si>
  <si>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</si>
  <si>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</si>
  <si>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</si>
  <si>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</si>
  <si>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</si>
  <si>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</si>
  <si>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</si>
  <si>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</si>
  <si>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</si>
  <si>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promedio</t>
  </si>
  <si>
    <t>desviacion</t>
  </si>
  <si>
    <t>max</t>
  </si>
  <si>
    <t>min</t>
  </si>
  <si>
    <t>Emisiones municipales por gasolina</t>
  </si>
  <si>
    <t>13_02_02_03_ect_2015</t>
  </si>
  <si>
    <t>13_02_02_03_ect_2024</t>
  </si>
  <si>
    <t>13_02_02_03_ect_2015_abs</t>
  </si>
  <si>
    <t>13_02_02_03_ect_2024_abs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</si>
  <si>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</si>
  <si>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</si>
  <si>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</si>
  <si>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</si>
  <si>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</si>
  <si>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</si>
  <si>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</si>
  <si>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</si>
  <si>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</si>
  <si>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</si>
  <si>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</si>
  <si>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Emisiones de CO2 por transporte per cápita</t>
  </si>
  <si>
    <t>Promedio +/- desviación estandar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</si>
</sst>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* #,##0.00_-;\-* #,##0.00_-;_-* &quot;-&quot;??_-;_-@"/>
    <numFmt numFmtId="165" formatCode="_-* #,##0.00000000_-;\-* #,##0.00000000_-;_-* &quot;-&quot;??_-;_-@"/>
    <numFmt numFmtId="166" formatCode="0.000"/>
    <numFmt numFmtId="167" formatCode="_-* #,##0.000000000_-;\-* #,##0.000000000_-;_-* &quot;-&quot;??_-;_-@"/>
    <numFmt numFmtId="168" formatCode="0.0"/>
  </numFmts>
  <fonts count="12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sz val="10.0"/>
      <color theme="1"/>
      <name val="Arial"/>
    </font>
    <font>
      <sz val="9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9.0"/>
      <color theme="1"/>
      <name val="Play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17223D"/>
        <bgColor rgb="FF17223D"/>
      </patternFill>
    </fill>
    <fill>
      <patternFill patternType="solid">
        <fgColor rgb="FF44618C"/>
        <bgColor rgb="FF44618C"/>
      </patternFill>
    </fill>
    <fill>
      <patternFill patternType="solid">
        <fgColor rgb="FFC5D9F1"/>
        <bgColor rgb="FFC5D9F1"/>
      </patternFill>
    </fill>
    <fill>
      <patternFill patternType="solid">
        <fgColor rgb="FFC6D9F0"/>
        <bgColor rgb="FFC6D9F0"/>
      </patternFill>
    </fill>
    <fill>
      <patternFill patternType="solid">
        <fgColor rgb="FF93C5FD"/>
        <bgColor rgb="FF93C5FD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3">
    <border/>
    <border>
      <left/>
      <right/>
      <top/>
      <bottom/>
    </border>
    <border>
      <left style="thin">
        <color rgb="FF17223D"/>
      </left>
      <right style="thin">
        <color rgb="FFFFFFFF"/>
      </right>
      <top style="thin">
        <color rgb="FF17223D"/>
      </top>
      <bottom/>
    </border>
    <border>
      <left style="thin">
        <color rgb="FFFFFFFF"/>
      </left>
      <right style="thin">
        <color rgb="FFFFFFFF"/>
      </right>
      <top style="thin">
        <color rgb="FF17223D"/>
      </top>
      <bottom/>
    </border>
    <border>
      <left style="thin">
        <color rgb="FF17223D"/>
      </left>
      <right style="thin">
        <color rgb="FF17223D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/>
    </xf>
    <xf borderId="1" fillId="2" fontId="2" numFmtId="0" xfId="0" applyBorder="1" applyFont="1"/>
    <xf borderId="1" fillId="3" fontId="1" numFmtId="0" xfId="0" applyAlignment="1" applyBorder="1" applyFill="1" applyFont="1">
      <alignment horizontal="left"/>
    </xf>
    <xf borderId="4" fillId="3" fontId="1" numFmtId="0" xfId="0" applyAlignment="1" applyBorder="1" applyFont="1">
      <alignment horizontal="left"/>
    </xf>
    <xf borderId="4" fillId="3" fontId="1" numFmtId="3" xfId="0" applyAlignment="1" applyBorder="1" applyFont="1" applyNumberFormat="1">
      <alignment horizontal="right"/>
    </xf>
    <xf borderId="0" fillId="0" fontId="3" numFmtId="0" xfId="0" applyAlignment="1" applyFont="1">
      <alignment horizontal="left"/>
    </xf>
    <xf borderId="5" fillId="0" fontId="3" numFmtId="0" xfId="0" applyAlignment="1" applyBorder="1" applyFont="1">
      <alignment horizontal="left"/>
    </xf>
    <xf borderId="5" fillId="0" fontId="3" numFmtId="0" xfId="0" applyBorder="1" applyFont="1"/>
    <xf borderId="4" fillId="4" fontId="3" numFmtId="0" xfId="0" applyAlignment="1" applyBorder="1" applyFill="1" applyFont="1">
      <alignment horizontal="left"/>
    </xf>
    <xf borderId="1" fillId="5" fontId="3" numFmtId="0" xfId="0" applyAlignment="1" applyBorder="1" applyFill="1" applyFont="1">
      <alignment horizontal="left"/>
    </xf>
    <xf borderId="4" fillId="4" fontId="3" numFmtId="0" xfId="0" applyAlignment="1" applyBorder="1" applyFont="1">
      <alignment horizontal="right"/>
    </xf>
    <xf borderId="0" fillId="0" fontId="4" numFmtId="1" xfId="0" applyFont="1" applyNumberFormat="1"/>
    <xf borderId="1" fillId="4" fontId="3" numFmtId="0" xfId="0" applyAlignment="1" applyBorder="1" applyFont="1">
      <alignment horizontal="left"/>
    </xf>
    <xf borderId="5" fillId="0" fontId="5" numFmtId="0" xfId="0" applyAlignment="1" applyBorder="1" applyFont="1">
      <alignment horizontal="left"/>
    </xf>
    <xf borderId="5" fillId="0" fontId="5" numFmtId="0" xfId="0" applyAlignment="1" applyBorder="1" applyFont="1">
      <alignment horizontal="right"/>
    </xf>
    <xf borderId="0" fillId="0" fontId="4" numFmtId="2" xfId="0" applyFont="1" applyNumberFormat="1"/>
    <xf borderId="5" fillId="0" fontId="5" numFmtId="0" xfId="0" applyBorder="1" applyFont="1"/>
    <xf borderId="0" fillId="0" fontId="4" numFmtId="0" xfId="0" applyFont="1"/>
    <xf borderId="0" fillId="0" fontId="5" numFmtId="0" xfId="0" applyAlignment="1" applyFont="1">
      <alignment horizontal="left"/>
    </xf>
    <xf borderId="4" fillId="4" fontId="3" numFmtId="3" xfId="0" applyAlignment="1" applyBorder="1" applyFont="1" applyNumberFormat="1">
      <alignment horizontal="right"/>
    </xf>
    <xf borderId="5" fillId="0" fontId="5" numFmtId="3" xfId="0" applyAlignment="1" applyBorder="1" applyFont="1" applyNumberFormat="1">
      <alignment horizontal="right"/>
    </xf>
    <xf borderId="0" fillId="0" fontId="4" numFmtId="3" xfId="0" applyFont="1" applyNumberFormat="1"/>
    <xf borderId="6" fillId="0" fontId="5" numFmtId="0" xfId="0" applyAlignment="1" applyBorder="1" applyFont="1">
      <alignment horizontal="left"/>
    </xf>
    <xf borderId="6" fillId="0" fontId="5" numFmtId="0" xfId="0" applyAlignment="1" applyBorder="1" applyFont="1">
      <alignment horizontal="right"/>
    </xf>
    <xf borderId="6" fillId="0" fontId="5" numFmtId="3" xfId="0" applyAlignment="1" applyBorder="1" applyFont="1" applyNumberFormat="1">
      <alignment horizontal="right"/>
    </xf>
    <xf borderId="5" fillId="0" fontId="3" numFmtId="0" xfId="0" applyAlignment="1" applyBorder="1" applyFont="1">
      <alignment horizontal="right"/>
    </xf>
    <xf borderId="5" fillId="0" fontId="5" numFmtId="3" xfId="0" applyBorder="1" applyFont="1" applyNumberFormat="1"/>
    <xf borderId="0" fillId="0" fontId="5" numFmtId="0" xfId="0" applyFont="1"/>
    <xf borderId="5" fillId="0" fontId="4" numFmtId="0" xfId="0" applyAlignment="1" applyBorder="1" applyFont="1">
      <alignment horizontal="left"/>
    </xf>
    <xf borderId="5" fillId="0" fontId="4" numFmtId="3" xfId="0" applyAlignment="1" applyBorder="1" applyFont="1" applyNumberFormat="1">
      <alignment horizontal="right"/>
    </xf>
    <xf borderId="0" fillId="0" fontId="6" numFmtId="0" xfId="0" applyAlignment="1" applyFont="1">
      <alignment horizontal="left"/>
    </xf>
    <xf borderId="5" fillId="0" fontId="6" numFmtId="0" xfId="0" applyAlignment="1" applyBorder="1" applyFont="1">
      <alignment horizontal="left"/>
    </xf>
    <xf borderId="5" fillId="0" fontId="4" numFmtId="3" xfId="0" applyBorder="1" applyFont="1" applyNumberFormat="1"/>
    <xf borderId="0" fillId="0" fontId="4" numFmtId="0" xfId="0" applyAlignment="1" applyFont="1">
      <alignment horizontal="left"/>
    </xf>
    <xf borderId="5" fillId="0" fontId="6" numFmtId="3" xfId="0" applyBorder="1" applyFont="1" applyNumberFormat="1"/>
    <xf borderId="6" fillId="0" fontId="4" numFmtId="0" xfId="0" applyAlignment="1" applyBorder="1" applyFont="1">
      <alignment horizontal="left"/>
    </xf>
    <xf borderId="6" fillId="0" fontId="4" numFmtId="3" xfId="0" applyAlignment="1" applyBorder="1" applyFont="1" applyNumberFormat="1">
      <alignment horizontal="right"/>
    </xf>
    <xf borderId="5" fillId="0" fontId="3" numFmtId="3" xfId="0" applyBorder="1" applyFont="1" applyNumberFormat="1"/>
    <xf borderId="0" fillId="0" fontId="5" numFmtId="3" xfId="0" applyAlignment="1" applyFont="1" applyNumberFormat="1">
      <alignment horizontal="right"/>
    </xf>
    <xf borderId="4" fillId="5" fontId="3" numFmtId="0" xfId="0" applyAlignment="1" applyBorder="1" applyFont="1">
      <alignment horizontal="left"/>
    </xf>
    <xf borderId="7" fillId="5" fontId="3" numFmtId="0" xfId="0" applyAlignment="1" applyBorder="1" applyFont="1">
      <alignment horizontal="right"/>
    </xf>
    <xf borderId="0" fillId="0" fontId="5" numFmtId="0" xfId="0" applyAlignment="1" applyFont="1">
      <alignment horizontal="right"/>
    </xf>
    <xf borderId="7" fillId="5" fontId="3" numFmtId="3" xfId="0" applyAlignment="1" applyBorder="1" applyFont="1" applyNumberFormat="1">
      <alignment horizontal="right"/>
    </xf>
    <xf borderId="5" fillId="0" fontId="4" numFmtId="0" xfId="0" applyBorder="1" applyFont="1"/>
    <xf borderId="7" fillId="5" fontId="3" numFmtId="0" xfId="0" applyBorder="1" applyFont="1"/>
    <xf borderId="7" fillId="5" fontId="4" numFmtId="3" xfId="0" applyBorder="1" applyFont="1" applyNumberFormat="1"/>
    <xf borderId="5" fillId="0" fontId="4" numFmtId="0" xfId="0" applyAlignment="1" applyBorder="1" applyFont="1">
      <alignment horizontal="right"/>
    </xf>
    <xf borderId="6" fillId="0" fontId="5" numFmtId="0" xfId="0" applyBorder="1" applyFont="1"/>
    <xf borderId="8" fillId="5" fontId="3" numFmtId="3" xfId="0" applyAlignment="1" applyBorder="1" applyFont="1" applyNumberFormat="1">
      <alignment horizontal="right"/>
    </xf>
    <xf borderId="9" fillId="0" fontId="4" numFmtId="3" xfId="0" applyAlignment="1" applyBorder="1" applyFont="1" applyNumberFormat="1">
      <alignment horizontal="right"/>
    </xf>
    <xf borderId="9" fillId="0" fontId="5" numFmtId="3" xfId="0" applyAlignment="1" applyBorder="1" applyFont="1" applyNumberFormat="1">
      <alignment horizontal="right"/>
    </xf>
    <xf borderId="9" fillId="0" fontId="4" numFmtId="3" xfId="0" applyBorder="1" applyFont="1" applyNumberFormat="1"/>
    <xf borderId="6" fillId="0" fontId="4" numFmtId="0" xfId="0" applyBorder="1" applyFont="1"/>
    <xf borderId="4" fillId="5" fontId="3" numFmtId="0" xfId="0" applyBorder="1" applyFont="1"/>
    <xf borderId="4" fillId="5" fontId="3" numFmtId="3" xfId="0" applyAlignment="1" applyBorder="1" applyFont="1" applyNumberFormat="1">
      <alignment horizontal="right"/>
    </xf>
    <xf borderId="1" fillId="5" fontId="3" numFmtId="0" xfId="0" applyBorder="1" applyFont="1"/>
    <xf borderId="0" fillId="0" fontId="7" numFmtId="0" xfId="0" applyFont="1"/>
    <xf borderId="0" fillId="0" fontId="8" numFmtId="0" xfId="0" applyFont="1"/>
    <xf borderId="1" fillId="6" fontId="8" numFmtId="0" xfId="0" applyBorder="1" applyFill="1" applyFont="1"/>
    <xf borderId="10" fillId="6" fontId="8" numFmtId="0" xfId="0" applyBorder="1" applyFont="1"/>
    <xf borderId="10" fillId="6" fontId="7" numFmtId="0" xfId="0" applyAlignment="1" applyBorder="1" applyFont="1">
      <alignment horizontal="center"/>
    </xf>
    <xf borderId="10" fillId="6" fontId="7" numFmtId="0" xfId="0" applyAlignment="1" applyBorder="1" applyFont="1">
      <alignment horizontal="right"/>
    </xf>
    <xf borderId="1" fillId="6" fontId="7" numFmtId="0" xfId="0" applyBorder="1" applyFont="1"/>
    <xf borderId="10" fillId="6" fontId="7" numFmtId="0" xfId="0" applyBorder="1" applyFont="1"/>
    <xf borderId="10" fillId="0" fontId="7" numFmtId="164" xfId="0" applyAlignment="1" applyBorder="1" applyFont="1" applyNumberFormat="1">
      <alignment horizontal="right"/>
    </xf>
    <xf borderId="10" fillId="0" fontId="8" numFmtId="164" xfId="0" applyBorder="1" applyFont="1" applyNumberFormat="1"/>
    <xf borderId="0" fillId="0" fontId="4" numFmtId="164" xfId="0" applyFont="1" applyNumberForma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right"/>
    </xf>
    <xf borderId="0" fillId="0" fontId="7" numFmtId="164" xfId="0" applyAlignment="1" applyFont="1" applyNumberFormat="1">
      <alignment horizontal="right"/>
    </xf>
    <xf borderId="0" fillId="0" fontId="4" numFmtId="4" xfId="0" applyFont="1" applyNumberFormat="1"/>
    <xf borderId="0" fillId="0" fontId="8" numFmtId="164" xfId="0" applyFont="1" applyNumberFormat="1"/>
    <xf borderId="10" fillId="6" fontId="8" numFmtId="0" xfId="0" applyAlignment="1" applyBorder="1" applyFont="1">
      <alignment horizontal="right"/>
    </xf>
    <xf borderId="10" fillId="0" fontId="8" numFmtId="164" xfId="0" applyAlignment="1" applyBorder="1" applyFont="1" applyNumberFormat="1">
      <alignment horizontal="right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center" shrinkToFit="0" vertical="center" wrapText="1"/>
    </xf>
    <xf borderId="12" fillId="7" fontId="9" numFmtId="0" xfId="0" applyAlignment="1" applyBorder="1" applyFill="1" applyFont="1">
      <alignment horizontal="center" shrinkToFit="0" vertical="center" wrapText="1"/>
    </xf>
    <xf borderId="13" fillId="7" fontId="9" numFmtId="0" xfId="0" applyAlignment="1" applyBorder="1" applyFont="1">
      <alignment horizontal="center" shrinkToFit="0" vertical="center" wrapText="1"/>
    </xf>
    <xf borderId="14" fillId="7" fontId="9" numFmtId="0" xfId="0" applyAlignment="1" applyBorder="1" applyFont="1">
      <alignment horizontal="center" shrinkToFit="0" vertical="center" wrapText="1"/>
    </xf>
    <xf borderId="15" fillId="7" fontId="9" numFmtId="0" xfId="0" applyAlignment="1" applyBorder="1" applyFont="1">
      <alignment horizontal="center" shrinkToFit="0" vertical="center" wrapText="1"/>
    </xf>
    <xf borderId="10" fillId="7" fontId="9" numFmtId="0" xfId="0" applyAlignment="1" applyBorder="1" applyFont="1">
      <alignment horizontal="center" shrinkToFit="0" vertical="center" wrapText="1"/>
    </xf>
    <xf borderId="16" fillId="7" fontId="9" numFmtId="0" xfId="0" applyAlignment="1" applyBorder="1" applyFont="1">
      <alignment horizontal="center" shrinkToFit="0" vertical="center" wrapText="1"/>
    </xf>
    <xf borderId="13" fillId="8" fontId="9" numFmtId="0" xfId="0" applyAlignment="1" applyBorder="1" applyFill="1" applyFont="1">
      <alignment horizontal="center" shrinkToFit="0" vertical="center" wrapText="1"/>
    </xf>
    <xf borderId="12" fillId="9" fontId="9" numFmtId="0" xfId="0" applyAlignment="1" applyBorder="1" applyFill="1" applyFont="1">
      <alignment horizontal="center" shrinkToFit="0" vertical="center" wrapText="1"/>
    </xf>
    <xf borderId="13" fillId="9" fontId="9" numFmtId="0" xfId="0" applyAlignment="1" applyBorder="1" applyFont="1">
      <alignment horizontal="center" shrinkToFit="0" vertical="center" wrapText="1"/>
    </xf>
    <xf borderId="14" fillId="9" fontId="9" numFmtId="0" xfId="0" applyAlignment="1" applyBorder="1" applyFont="1">
      <alignment horizontal="center" shrinkToFit="0" vertical="center" wrapText="1"/>
    </xf>
    <xf borderId="15" fillId="9" fontId="9" numFmtId="0" xfId="0" applyAlignment="1" applyBorder="1" applyFont="1">
      <alignment horizontal="center" shrinkToFit="0" vertical="center" wrapText="1"/>
    </xf>
    <xf borderId="1" fillId="9" fontId="9" numFmtId="0" xfId="0" applyAlignment="1" applyBorder="1" applyFont="1">
      <alignment horizontal="center" shrinkToFit="0" vertical="center" wrapText="1"/>
    </xf>
    <xf borderId="17" fillId="8" fontId="9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10" fillId="0" fontId="6" numFmtId="0" xfId="0" applyAlignment="1" applyBorder="1" applyFont="1">
      <alignment shrinkToFit="0" vertical="center" wrapText="1"/>
    </xf>
    <xf borderId="10" fillId="0" fontId="4" numFmtId="165" xfId="0" applyBorder="1" applyFont="1" applyNumberFormat="1"/>
    <xf borderId="0" fillId="0" fontId="8" numFmtId="0" xfId="0" applyAlignment="1" applyFont="1">
      <alignment horizontal="right"/>
    </xf>
    <xf borderId="18" fillId="0" fontId="8" numFmtId="0" xfId="0" applyAlignment="1" applyBorder="1" applyFont="1">
      <alignment horizontal="right"/>
    </xf>
    <xf borderId="19" fillId="0" fontId="8" numFmtId="3" xfId="0" applyAlignment="1" applyBorder="1" applyFont="1" applyNumberFormat="1">
      <alignment horizontal="right"/>
    </xf>
    <xf borderId="18" fillId="0" fontId="8" numFmtId="1" xfId="0" applyAlignment="1" applyBorder="1" applyFont="1" applyNumberFormat="1">
      <alignment horizontal="right"/>
    </xf>
    <xf borderId="0" fillId="0" fontId="8" numFmtId="3" xfId="0" applyAlignment="1" applyFont="1" applyNumberFormat="1">
      <alignment horizontal="right"/>
    </xf>
    <xf borderId="0" fillId="0" fontId="8" numFmtId="166" xfId="0" applyAlignment="1" applyFont="1" applyNumberFormat="1">
      <alignment horizontal="right"/>
    </xf>
    <xf borderId="19" fillId="0" fontId="8" numFmtId="166" xfId="0" applyAlignment="1" applyBorder="1" applyFont="1" applyNumberFormat="1">
      <alignment horizontal="right"/>
    </xf>
    <xf borderId="0" fillId="0" fontId="8" numFmtId="1" xfId="0" applyAlignment="1" applyFont="1" applyNumberFormat="1">
      <alignment horizontal="right"/>
    </xf>
    <xf borderId="0" fillId="0" fontId="8" numFmtId="37" xfId="0" applyAlignment="1" applyFont="1" applyNumberFormat="1">
      <alignment horizontal="right"/>
    </xf>
    <xf borderId="18" fillId="0" fontId="4" numFmtId="166" xfId="0" applyBorder="1" applyFont="1" applyNumberFormat="1"/>
    <xf borderId="10" fillId="0" fontId="6" numFmtId="0" xfId="0" applyBorder="1" applyFont="1"/>
    <xf borderId="10" fillId="0" fontId="4" numFmtId="167" xfId="0" applyBorder="1" applyFont="1" applyNumberFormat="1"/>
    <xf borderId="10" fillId="0" fontId="4" numFmtId="0" xfId="0" applyBorder="1" applyFont="1"/>
    <xf borderId="18" fillId="0" fontId="8" numFmtId="0" xfId="0" applyBorder="1" applyFont="1"/>
    <xf borderId="19" fillId="0" fontId="8" numFmtId="3" xfId="0" applyBorder="1" applyFont="1" applyNumberFormat="1"/>
    <xf borderId="18" fillId="0" fontId="8" numFmtId="1" xfId="0" applyBorder="1" applyFont="1" applyNumberFormat="1"/>
    <xf borderId="0" fillId="0" fontId="8" numFmtId="1" xfId="0" applyFont="1" applyNumberFormat="1"/>
    <xf borderId="0" fillId="0" fontId="6" numFmtId="0" xfId="0" applyFont="1"/>
    <xf borderId="1" fillId="8" fontId="9" numFmtId="0" xfId="0" applyAlignment="1" applyBorder="1" applyFont="1">
      <alignment horizontal="center" shrinkToFit="0" vertical="center" wrapText="1"/>
    </xf>
    <xf borderId="0" fillId="0" fontId="4" numFmtId="166" xfId="0" applyFont="1" applyNumberFormat="1"/>
    <xf borderId="0" fillId="0" fontId="4" numFmtId="37" xfId="0" applyFont="1" applyNumberFormat="1"/>
    <xf borderId="18" fillId="0" fontId="8" numFmtId="3" xfId="0" applyBorder="1" applyFont="1" applyNumberFormat="1"/>
    <xf borderId="1" fillId="10" fontId="4" numFmtId="0" xfId="0" applyBorder="1" applyFill="1" applyFont="1"/>
    <xf borderId="0" fillId="0" fontId="8" numFmtId="3" xfId="0" applyFont="1" applyNumberFormat="1"/>
    <xf borderId="0" fillId="0" fontId="8" numFmtId="37" xfId="0" applyFont="1" applyNumberFormat="1"/>
    <xf borderId="20" fillId="0" fontId="8" numFmtId="0" xfId="0" applyBorder="1" applyFont="1"/>
    <xf borderId="21" fillId="0" fontId="8" numFmtId="3" xfId="0" applyBorder="1" applyFont="1" applyNumberFormat="1"/>
    <xf borderId="20" fillId="0" fontId="8" numFmtId="1" xfId="0" applyBorder="1" applyFont="1" applyNumberFormat="1"/>
    <xf borderId="22" fillId="0" fontId="8" numFmtId="3" xfId="0" applyAlignment="1" applyBorder="1" applyFont="1" applyNumberFormat="1">
      <alignment horizontal="right"/>
    </xf>
    <xf borderId="22" fillId="0" fontId="8" numFmtId="166" xfId="0" applyAlignment="1" applyBorder="1" applyFont="1" applyNumberFormat="1">
      <alignment horizontal="right"/>
    </xf>
    <xf borderId="21" fillId="0" fontId="8" numFmtId="166" xfId="0" applyAlignment="1" applyBorder="1" applyFont="1" applyNumberFormat="1">
      <alignment horizontal="right"/>
    </xf>
    <xf borderId="22" fillId="0" fontId="8" numFmtId="1" xfId="0" applyBorder="1" applyFont="1" applyNumberFormat="1"/>
    <xf borderId="21" fillId="0" fontId="8" numFmtId="3" xfId="0" applyAlignment="1" applyBorder="1" applyFont="1" applyNumberFormat="1">
      <alignment horizontal="right"/>
    </xf>
    <xf borderId="22" fillId="0" fontId="8" numFmtId="37" xfId="0" applyAlignment="1" applyBorder="1" applyFont="1" applyNumberFormat="1">
      <alignment horizontal="right"/>
    </xf>
    <xf borderId="20" fillId="0" fontId="4" numFmtId="166" xfId="0" applyBorder="1" applyFont="1" applyNumberFormat="1"/>
    <xf borderId="0" fillId="0" fontId="8" numFmtId="168" xfId="0" applyFont="1" applyNumberFormat="1"/>
    <xf borderId="0" fillId="0" fontId="8" numFmtId="166" xfId="0" applyFont="1" applyNumberFormat="1"/>
    <xf borderId="0" fillId="0" fontId="8" numFmtId="0" xfId="0" applyAlignment="1" applyFont="1">
      <alignment shrinkToFit="0" wrapText="1"/>
    </xf>
    <xf borderId="10" fillId="0" fontId="8" numFmtId="0" xfId="0" applyAlignment="1" applyBorder="1" applyFont="1">
      <alignment horizontal="right"/>
    </xf>
    <xf borderId="10" fillId="0" fontId="8" numFmtId="0" xfId="0" applyBorder="1" applyFont="1"/>
    <xf borderId="10" fillId="0" fontId="4" numFmtId="2" xfId="0" applyBorder="1" applyFont="1" applyNumberFormat="1"/>
    <xf borderId="10" fillId="0" fontId="4" numFmtId="3" xfId="0" applyBorder="1" applyFont="1" applyNumberFormat="1"/>
    <xf borderId="10" fillId="11" fontId="9" numFmtId="0" xfId="0" applyAlignment="1" applyBorder="1" applyFill="1" applyFont="1">
      <alignment horizontal="center" shrinkToFit="0" wrapText="1"/>
    </xf>
    <xf borderId="10" fillId="12" fontId="10" numFmtId="0" xfId="0" applyAlignment="1" applyBorder="1" applyFill="1" applyFont="1">
      <alignment horizontal="center" shrinkToFit="0" wrapText="1"/>
    </xf>
    <xf borderId="10" fillId="10" fontId="10" numFmtId="0" xfId="0" applyAlignment="1" applyBorder="1" applyFont="1">
      <alignment horizontal="center" shrinkToFit="0" wrapText="1"/>
    </xf>
    <xf borderId="10" fillId="13" fontId="10" numFmtId="0" xfId="0" applyAlignment="1" applyBorder="1" applyFill="1" applyFont="1">
      <alignment horizontal="center" shrinkToFit="0" wrapText="1"/>
    </xf>
    <xf borderId="10" fillId="14" fontId="10" numFmtId="0" xfId="0" applyAlignment="1" applyBorder="1" applyFill="1" applyFont="1">
      <alignment horizontal="center" shrinkToFit="0" wrapText="1"/>
    </xf>
    <xf borderId="0" fillId="0" fontId="11" numFmtId="0" xfId="0" applyAlignment="1" applyFont="1">
      <alignment readingOrder="0"/>
    </xf>
    <xf borderId="10" fillId="0" fontId="8" numFmtId="0" xfId="0" applyAlignment="1" applyBorder="1" applyFont="1">
      <alignment horizontal="center"/>
    </xf>
    <xf borderId="10" fillId="0" fontId="8" numFmtId="0" xfId="0" applyAlignment="1" applyBorder="1" applyFont="1">
      <alignment horizontal="center"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C5D9F1"/>
          <bgColor rgb="FFC5D9F1"/>
        </patternFill>
      </fill>
      <border/>
    </dxf>
    <dxf>
      <font/>
      <fill>
        <patternFill patternType="solid">
          <fgColor rgb="FFC6D9F0"/>
          <bgColor rgb="FFC6D9F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3">
        <v>2015.0</v>
      </c>
      <c r="F1" s="4" t="s">
        <v>4</v>
      </c>
      <c r="G1" s="4" t="s">
        <v>5</v>
      </c>
      <c r="H1" s="4" t="s">
        <v>6</v>
      </c>
    </row>
    <row r="2" ht="15.75" customHeight="1">
      <c r="A2" s="5"/>
      <c r="B2" s="5" t="s">
        <v>7</v>
      </c>
      <c r="C2" s="5"/>
      <c r="D2" s="6" t="s">
        <v>8</v>
      </c>
      <c r="E2" s="7">
        <f t="shared" ref="E2:H2" si="1">SUM(E4:E2661)</f>
        <v>3145862</v>
      </c>
      <c r="F2" s="7">
        <f t="shared" si="1"/>
        <v>2580147.549</v>
      </c>
      <c r="G2" s="7">
        <f t="shared" si="1"/>
        <v>442655.1867</v>
      </c>
      <c r="H2" s="7">
        <f t="shared" si="1"/>
        <v>122791.5176</v>
      </c>
    </row>
    <row r="3" ht="15.75" customHeight="1">
      <c r="A3" s="8"/>
      <c r="B3" s="8"/>
      <c r="C3" s="8"/>
      <c r="D3" s="9"/>
      <c r="E3" s="10"/>
    </row>
    <row r="4" ht="15.75" hidden="1" customHeight="1">
      <c r="A4" s="8" t="s">
        <v>9</v>
      </c>
      <c r="B4" s="11" t="s">
        <v>10</v>
      </c>
      <c r="C4" s="12" t="str">
        <f>B4&amp;"_"&amp;A4</f>
        <v>Alcalá_Chuquisaca</v>
      </c>
      <c r="E4" s="13">
        <v>0.0</v>
      </c>
      <c r="F4" s="14">
        <f t="shared" ref="F4:H4" si="2">SUM(F5:F6)</f>
        <v>0</v>
      </c>
      <c r="G4" s="14">
        <f t="shared" si="2"/>
        <v>0</v>
      </c>
      <c r="H4" s="14">
        <f t="shared" si="2"/>
        <v>0</v>
      </c>
    </row>
    <row r="5" ht="15.75" hidden="1" customHeight="1">
      <c r="A5" s="8" t="s">
        <v>9</v>
      </c>
      <c r="B5" s="11" t="s">
        <v>10</v>
      </c>
      <c r="C5" s="15"/>
      <c r="D5" s="16" t="s">
        <v>11</v>
      </c>
      <c r="E5" s="17">
        <v>0.0</v>
      </c>
      <c r="F5" s="18">
        <f>E5*0.0664298401420959</f>
        <v>0</v>
      </c>
      <c r="G5" s="18">
        <f>E5*0.932326820603908</f>
        <v>0</v>
      </c>
      <c r="H5" s="18">
        <f>E5*0.00106571936056838</f>
        <v>0</v>
      </c>
    </row>
    <row r="6" ht="15.75" hidden="1" customHeight="1">
      <c r="A6" s="8" t="s">
        <v>9</v>
      </c>
      <c r="B6" s="11" t="s">
        <v>10</v>
      </c>
      <c r="C6" s="15"/>
      <c r="D6" s="16" t="s">
        <v>12</v>
      </c>
      <c r="E6" s="17">
        <v>0.0</v>
      </c>
      <c r="F6" s="18">
        <f>E6* 0.889957698325317</f>
        <v>0</v>
      </c>
      <c r="G6" s="18">
        <f>E6* 0.0573100770701744</f>
        <v>0</v>
      </c>
      <c r="H6" s="18">
        <f>E6* 0.0526742771049429</f>
        <v>0</v>
      </c>
    </row>
    <row r="7" ht="15.75" hidden="1" customHeight="1">
      <c r="A7" s="8" t="s">
        <v>9</v>
      </c>
      <c r="B7" s="8"/>
      <c r="C7" s="8"/>
      <c r="D7" s="9"/>
      <c r="E7" s="19"/>
    </row>
    <row r="8" ht="15.75" hidden="1" customHeight="1">
      <c r="A8" s="8" t="s">
        <v>9</v>
      </c>
      <c r="B8" s="11" t="s">
        <v>13</v>
      </c>
      <c r="C8" s="12" t="str">
        <f>B8&amp;"_"&amp;A8</f>
        <v>Camargo_Chuquisaca</v>
      </c>
      <c r="E8" s="13">
        <v>130.0</v>
      </c>
      <c r="F8" s="14">
        <f t="shared" ref="F8:H8" si="3">SUM(F9:F18)</f>
        <v>103.5960413</v>
      </c>
      <c r="G8" s="14">
        <f t="shared" si="3"/>
        <v>23.8732776</v>
      </c>
      <c r="H8" s="14">
        <f t="shared" si="3"/>
        <v>2.526661331</v>
      </c>
    </row>
    <row r="9" ht="15.75" hidden="1" customHeight="1">
      <c r="A9" s="8" t="s">
        <v>9</v>
      </c>
      <c r="B9" s="11" t="s">
        <v>13</v>
      </c>
      <c r="C9" s="15"/>
      <c r="D9" s="16" t="s">
        <v>14</v>
      </c>
      <c r="E9" s="17">
        <v>0.0</v>
      </c>
      <c r="F9" s="20">
        <v>0.0</v>
      </c>
      <c r="G9" s="20">
        <f>E9</f>
        <v>0</v>
      </c>
      <c r="H9" s="20">
        <v>0.0</v>
      </c>
    </row>
    <row r="10" ht="15.75" hidden="1" customHeight="1">
      <c r="A10" s="8" t="s">
        <v>9</v>
      </c>
      <c r="B10" s="11" t="s">
        <v>13</v>
      </c>
      <c r="C10" s="15"/>
      <c r="D10" s="16" t="s">
        <v>15</v>
      </c>
      <c r="E10" s="17">
        <v>25.0</v>
      </c>
      <c r="F10" s="18">
        <f>E10* 0.962408869987849</f>
        <v>24.06022175</v>
      </c>
      <c r="G10" s="18">
        <f>E10*0.00425273390036452</f>
        <v>0.1063183475</v>
      </c>
      <c r="H10" s="18">
        <f>E10*0.0333383961117862</f>
        <v>0.8334599028</v>
      </c>
    </row>
    <row r="11" ht="15.75" hidden="1" customHeight="1">
      <c r="A11" s="8" t="s">
        <v>9</v>
      </c>
      <c r="B11" s="11" t="s">
        <v>13</v>
      </c>
      <c r="C11" s="15"/>
      <c r="D11" s="16" t="s">
        <v>16</v>
      </c>
      <c r="E11" s="17">
        <v>1.0</v>
      </c>
      <c r="F11" s="18">
        <f>E11* 0.03</f>
        <v>0.03</v>
      </c>
      <c r="G11" s="18">
        <f>E11* 0.97</f>
        <v>0.97</v>
      </c>
      <c r="H11" s="20">
        <v>0.0</v>
      </c>
    </row>
    <row r="12" ht="15.75" hidden="1" customHeight="1">
      <c r="A12" s="8" t="s">
        <v>9</v>
      </c>
      <c r="B12" s="11" t="s">
        <v>13</v>
      </c>
      <c r="C12" s="15"/>
      <c r="D12" s="16" t="s">
        <v>11</v>
      </c>
      <c r="E12" s="17">
        <v>21.0</v>
      </c>
      <c r="F12" s="18">
        <f>E12*0.0664298401420959</f>
        <v>1.395026643</v>
      </c>
      <c r="G12" s="18">
        <f>E12*0.932326820603908</f>
        <v>19.57886323</v>
      </c>
      <c r="H12" s="18">
        <f>E12*0.00106571936056838</f>
        <v>0.02238010657</v>
      </c>
    </row>
    <row r="13" ht="15.75" hidden="1" customHeight="1">
      <c r="A13" s="8" t="s">
        <v>9</v>
      </c>
      <c r="B13" s="11" t="s">
        <v>13</v>
      </c>
      <c r="C13" s="15"/>
      <c r="D13" s="16" t="s">
        <v>17</v>
      </c>
      <c r="E13" s="17">
        <v>24.0</v>
      </c>
      <c r="F13" s="18">
        <f>E13*0.860929374266063</f>
        <v>20.66230498</v>
      </c>
      <c r="G13" s="18">
        <f>E13*0.0811944304646871</f>
        <v>1.948666331</v>
      </c>
      <c r="H13" s="18">
        <f>E13*0.0578761952692501</f>
        <v>1.389028686</v>
      </c>
    </row>
    <row r="14" ht="15.75" hidden="1" customHeight="1">
      <c r="A14" s="8" t="s">
        <v>9</v>
      </c>
      <c r="B14" s="11" t="s">
        <v>13</v>
      </c>
      <c r="C14" s="15"/>
      <c r="D14" s="16" t="s">
        <v>18</v>
      </c>
      <c r="E14" s="17">
        <v>0.0</v>
      </c>
      <c r="F14" s="18">
        <f>E14*0.949854952341484</f>
        <v>0</v>
      </c>
      <c r="G14" s="18">
        <f>E14*0.0439287194363862</f>
        <v>0</v>
      </c>
      <c r="H14" s="18">
        <f>E14*0.00621632822213013</f>
        <v>0</v>
      </c>
    </row>
    <row r="15" ht="15.75" hidden="1" customHeight="1">
      <c r="A15" s="8" t="s">
        <v>9</v>
      </c>
      <c r="B15" s="11" t="s">
        <v>13</v>
      </c>
      <c r="C15" s="15"/>
      <c r="D15" s="16" t="s">
        <v>19</v>
      </c>
      <c r="E15" s="17">
        <v>1.0</v>
      </c>
      <c r="F15" s="18">
        <f>E15*0.0187085093542547</f>
        <v>0.01870850935</v>
      </c>
      <c r="G15" s="18">
        <f>E15*0.978877489438745</f>
        <v>0.9788774894</v>
      </c>
      <c r="H15" s="18">
        <f>E15*0.0024140012070006</f>
        <v>0.002414001207</v>
      </c>
    </row>
    <row r="16" ht="15.75" hidden="1" customHeight="1">
      <c r="A16" s="8" t="s">
        <v>9</v>
      </c>
      <c r="B16" s="11" t="s">
        <v>13</v>
      </c>
      <c r="C16" s="15"/>
      <c r="D16" s="16" t="s">
        <v>20</v>
      </c>
      <c r="E16" s="17">
        <v>0.0</v>
      </c>
      <c r="F16" s="18">
        <f>E16* 0.557228915662651</f>
        <v>0</v>
      </c>
      <c r="G16" s="18">
        <f>E16*0.390562248995984</f>
        <v>0</v>
      </c>
      <c r="H16" s="18">
        <f>E16*0.0522088353413655</f>
        <v>0</v>
      </c>
    </row>
    <row r="17" ht="15.75" hidden="1" customHeight="1">
      <c r="A17" s="8" t="s">
        <v>9</v>
      </c>
      <c r="B17" s="11" t="s">
        <v>13</v>
      </c>
      <c r="C17" s="15"/>
      <c r="D17" s="16" t="s">
        <v>21</v>
      </c>
      <c r="E17" s="17">
        <v>53.0</v>
      </c>
      <c r="F17" s="18">
        <f>E17* 0.999622470552703</f>
        <v>52.97999094</v>
      </c>
      <c r="G17" s="18">
        <f>E17* 0.0000755058894593778</f>
        <v>0.004001812141</v>
      </c>
      <c r="H17" s="18">
        <f>E17* 0.000302023557837511</f>
        <v>0.01600724857</v>
      </c>
    </row>
    <row r="18" ht="15.75" hidden="1" customHeight="1">
      <c r="A18" s="8" t="s">
        <v>9</v>
      </c>
      <c r="B18" s="11" t="s">
        <v>13</v>
      </c>
      <c r="C18" s="15"/>
      <c r="D18" s="16" t="s">
        <v>12</v>
      </c>
      <c r="E18" s="17">
        <v>5.0</v>
      </c>
      <c r="F18" s="18">
        <f>E18* 0.889957698325317</f>
        <v>4.449788492</v>
      </c>
      <c r="G18" s="18">
        <f>E18* 0.0573100770701744</f>
        <v>0.2865503854</v>
      </c>
      <c r="H18" s="18">
        <f>E18* 0.0526742771049429</f>
        <v>0.2633713855</v>
      </c>
    </row>
    <row r="19" ht="15.75" hidden="1" customHeight="1">
      <c r="A19" s="8" t="s">
        <v>9</v>
      </c>
      <c r="B19" s="8"/>
      <c r="C19" s="8"/>
      <c r="D19" s="9"/>
      <c r="E19" s="19"/>
    </row>
    <row r="20" ht="15.75" hidden="1" customHeight="1">
      <c r="A20" s="8" t="s">
        <v>9</v>
      </c>
      <c r="B20" s="11" t="s">
        <v>22</v>
      </c>
      <c r="C20" s="12" t="str">
        <f>B20&amp;"_"&amp;A20</f>
        <v>Culpina_Chuquisaca</v>
      </c>
      <c r="E20" s="13">
        <v>91.0</v>
      </c>
      <c r="F20" s="14">
        <f t="shared" ref="F20:H20" si="4">SUM(F21:F28)</f>
        <v>66.26145935</v>
      </c>
      <c r="G20" s="14">
        <f t="shared" si="4"/>
        <v>22.3137752</v>
      </c>
      <c r="H20" s="14">
        <f t="shared" si="4"/>
        <v>2.418775484</v>
      </c>
    </row>
    <row r="21" ht="15.75" hidden="1" customHeight="1">
      <c r="A21" s="8" t="s">
        <v>9</v>
      </c>
      <c r="B21" s="11" t="s">
        <v>22</v>
      </c>
      <c r="C21" s="15"/>
      <c r="D21" s="16" t="s">
        <v>15</v>
      </c>
      <c r="E21" s="17">
        <v>1.0</v>
      </c>
      <c r="F21" s="18">
        <f>E21* 0.962408869987849</f>
        <v>0.96240887</v>
      </c>
      <c r="G21" s="18">
        <f>E21*0.00425273390036452</f>
        <v>0.0042527339</v>
      </c>
      <c r="H21" s="18">
        <f>E21*0.0333383961117862</f>
        <v>0.03333839611</v>
      </c>
    </row>
    <row r="22" ht="15.75" hidden="1" customHeight="1">
      <c r="A22" s="8" t="s">
        <v>9</v>
      </c>
      <c r="B22" s="11" t="s">
        <v>22</v>
      </c>
      <c r="C22" s="15"/>
      <c r="D22" s="16" t="s">
        <v>11</v>
      </c>
      <c r="E22" s="17">
        <v>21.0</v>
      </c>
      <c r="F22" s="18">
        <f>E22*0.0664298401420959</f>
        <v>1.395026643</v>
      </c>
      <c r="G22" s="18">
        <f>E22*0.932326820603908</f>
        <v>19.57886323</v>
      </c>
      <c r="H22" s="18">
        <f>E22*0.00106571936056838</f>
        <v>0.02238010657</v>
      </c>
    </row>
    <row r="23" ht="15.75" hidden="1" customHeight="1">
      <c r="A23" s="8" t="s">
        <v>9</v>
      </c>
      <c r="B23" s="11" t="s">
        <v>22</v>
      </c>
      <c r="C23" s="15"/>
      <c r="D23" s="16" t="s">
        <v>17</v>
      </c>
      <c r="E23" s="17">
        <v>5.0</v>
      </c>
      <c r="F23" s="18">
        <f>E23*0.860929374266063</f>
        <v>4.304646871</v>
      </c>
      <c r="G23" s="18">
        <f>E23*0.0811944304646871</f>
        <v>0.4059721523</v>
      </c>
      <c r="H23" s="18">
        <f>E23*0.0578761952692501</f>
        <v>0.2893809763</v>
      </c>
    </row>
    <row r="24" ht="15.75" hidden="1" customHeight="1">
      <c r="A24" s="8" t="s">
        <v>9</v>
      </c>
      <c r="B24" s="11" t="s">
        <v>22</v>
      </c>
      <c r="C24" s="15"/>
      <c r="D24" s="16" t="s">
        <v>18</v>
      </c>
      <c r="E24" s="17">
        <v>2.0</v>
      </c>
      <c r="F24" s="18">
        <f>E24*0.949854952341484</f>
        <v>1.899709905</v>
      </c>
      <c r="G24" s="18">
        <f>E24*0.0439287194363862</f>
        <v>0.08785743887</v>
      </c>
      <c r="H24" s="18">
        <f>E24*0.00621632822213013</f>
        <v>0.01243265644</v>
      </c>
    </row>
    <row r="25" ht="15.75" hidden="1" customHeight="1">
      <c r="A25" s="8" t="s">
        <v>9</v>
      </c>
      <c r="B25" s="11" t="s">
        <v>22</v>
      </c>
      <c r="C25" s="15"/>
      <c r="D25" s="16" t="s">
        <v>19</v>
      </c>
      <c r="E25" s="17">
        <v>0.0</v>
      </c>
      <c r="F25" s="18">
        <f>E25*0.0187085093542547</f>
        <v>0</v>
      </c>
      <c r="G25" s="18">
        <f>E25*0.978877489438745</f>
        <v>0</v>
      </c>
      <c r="H25" s="18">
        <f>E25*0.0024140012070006</f>
        <v>0</v>
      </c>
    </row>
    <row r="26" ht="15.75" hidden="1" customHeight="1">
      <c r="A26" s="8" t="s">
        <v>9</v>
      </c>
      <c r="B26" s="11" t="s">
        <v>22</v>
      </c>
      <c r="C26" s="15"/>
      <c r="D26" s="16" t="s">
        <v>20</v>
      </c>
      <c r="E26" s="17">
        <v>0.0</v>
      </c>
      <c r="F26" s="18">
        <f>E26* 0.557228915662651</f>
        <v>0</v>
      </c>
      <c r="G26" s="18">
        <f>E26*0.390562248995984</f>
        <v>0</v>
      </c>
      <c r="H26" s="18">
        <f>E26*0.0522088353413655</f>
        <v>0</v>
      </c>
    </row>
    <row r="27" ht="15.75" hidden="1" customHeight="1">
      <c r="A27" s="8" t="s">
        <v>9</v>
      </c>
      <c r="B27" s="11" t="s">
        <v>22</v>
      </c>
      <c r="C27" s="15"/>
      <c r="D27" s="16" t="s">
        <v>21</v>
      </c>
      <c r="E27" s="17">
        <v>23.0</v>
      </c>
      <c r="F27" s="18">
        <f>E27* 0.999622470552703</f>
        <v>22.99131682</v>
      </c>
      <c r="G27" s="18">
        <f>E27* 0.0000755058894593778</f>
        <v>0.001736635458</v>
      </c>
      <c r="H27" s="18">
        <f>E27* 0.000302023557837511</f>
        <v>0.00694654183</v>
      </c>
    </row>
    <row r="28" ht="15.75" hidden="1" customHeight="1">
      <c r="A28" s="8" t="s">
        <v>9</v>
      </c>
      <c r="B28" s="11" t="s">
        <v>22</v>
      </c>
      <c r="C28" s="15"/>
      <c r="D28" s="16" t="s">
        <v>12</v>
      </c>
      <c r="E28" s="17">
        <v>39.0</v>
      </c>
      <c r="F28" s="18">
        <f>E28* 0.889957698325317</f>
        <v>34.70835023</v>
      </c>
      <c r="G28" s="18">
        <f>E28* 0.0573100770701744</f>
        <v>2.235093006</v>
      </c>
      <c r="H28" s="18">
        <f>E28* 0.0526742771049429</f>
        <v>2.054296807</v>
      </c>
    </row>
    <row r="29" ht="15.75" hidden="1" customHeight="1">
      <c r="A29" s="8" t="s">
        <v>9</v>
      </c>
      <c r="B29" s="8"/>
      <c r="C29" s="8"/>
      <c r="D29" s="9"/>
      <c r="E29" s="19"/>
    </row>
    <row r="30" ht="15.75" hidden="1" customHeight="1">
      <c r="A30" s="8" t="s">
        <v>9</v>
      </c>
      <c r="B30" s="11" t="s">
        <v>23</v>
      </c>
      <c r="C30" s="12" t="str">
        <f>B30&amp;"_"&amp;A30</f>
        <v>El Villar_Chuquisaca</v>
      </c>
      <c r="E30" s="13">
        <v>1.0</v>
      </c>
      <c r="F30" s="14">
        <f t="shared" ref="F30:H30" si="5">F31</f>
        <v>0.8609293743</v>
      </c>
      <c r="G30" s="14">
        <f t="shared" si="5"/>
        <v>0.08119443046</v>
      </c>
      <c r="H30" s="14">
        <f t="shared" si="5"/>
        <v>0.05787619527</v>
      </c>
    </row>
    <row r="31" ht="15.75" hidden="1" customHeight="1">
      <c r="A31" s="8" t="s">
        <v>9</v>
      </c>
      <c r="B31" s="11" t="s">
        <v>23</v>
      </c>
      <c r="C31" s="15"/>
      <c r="D31" s="16" t="s">
        <v>17</v>
      </c>
      <c r="E31" s="17">
        <v>1.0</v>
      </c>
      <c r="F31" s="18">
        <f>E31*0.860929374266063</f>
        <v>0.8609293743</v>
      </c>
      <c r="G31" s="18">
        <f>E31*0.0811944304646871</f>
        <v>0.08119443046</v>
      </c>
      <c r="H31" s="18">
        <f>E31*0.0578761952692501</f>
        <v>0.05787619527</v>
      </c>
    </row>
    <row r="32" ht="15.75" hidden="1" customHeight="1">
      <c r="A32" s="8" t="s">
        <v>9</v>
      </c>
      <c r="B32" s="21"/>
      <c r="C32" s="21"/>
      <c r="D32" s="16"/>
      <c r="E32" s="19"/>
    </row>
    <row r="33" ht="15.75" hidden="1" customHeight="1">
      <c r="A33" s="8" t="s">
        <v>9</v>
      </c>
      <c r="B33" s="11" t="s">
        <v>24</v>
      </c>
      <c r="C33" s="12" t="str">
        <f>B33&amp;"_"&amp;A33</f>
        <v>Incahuasi_Chuquisaca</v>
      </c>
      <c r="E33" s="13">
        <v>15.0</v>
      </c>
      <c r="F33" s="14">
        <f t="shared" ref="F33:H33" si="6">SUM(F34:F36)</f>
        <v>3.379946205</v>
      </c>
      <c r="G33" s="14">
        <f t="shared" si="6"/>
        <v>11.43150514</v>
      </c>
      <c r="H33" s="14">
        <f t="shared" si="6"/>
        <v>0.1864172181</v>
      </c>
    </row>
    <row r="34" ht="15.75" hidden="1" customHeight="1">
      <c r="A34" s="8" t="s">
        <v>9</v>
      </c>
      <c r="B34" s="11" t="s">
        <v>24</v>
      </c>
      <c r="C34" s="15"/>
      <c r="D34" s="16" t="s">
        <v>11</v>
      </c>
      <c r="E34" s="17">
        <v>12.0</v>
      </c>
      <c r="F34" s="18">
        <f>E34*0.0664298401420959</f>
        <v>0.7971580817</v>
      </c>
      <c r="G34" s="18">
        <f>E34*0.932326820603908</f>
        <v>11.18792185</v>
      </c>
      <c r="H34" s="18">
        <f>E34*0.00106571936056838</f>
        <v>0.01278863233</v>
      </c>
    </row>
    <row r="35" ht="15.75" hidden="1" customHeight="1">
      <c r="A35" s="8" t="s">
        <v>9</v>
      </c>
      <c r="B35" s="11" t="s">
        <v>24</v>
      </c>
      <c r="C35" s="15"/>
      <c r="D35" s="16" t="s">
        <v>17</v>
      </c>
      <c r="E35" s="17">
        <v>3.0</v>
      </c>
      <c r="F35" s="18">
        <f>E35*0.860929374266063</f>
        <v>2.582788123</v>
      </c>
      <c r="G35" s="18">
        <f>E35*0.0811944304646871</f>
        <v>0.2435832914</v>
      </c>
      <c r="H35" s="18">
        <f>E35*0.0578761952692501</f>
        <v>0.1736285858</v>
      </c>
    </row>
    <row r="36" ht="15.75" hidden="1" customHeight="1">
      <c r="A36" s="8" t="s">
        <v>9</v>
      </c>
      <c r="B36" s="11" t="s">
        <v>24</v>
      </c>
      <c r="C36" s="15"/>
      <c r="D36" s="16" t="s">
        <v>12</v>
      </c>
      <c r="E36" s="17">
        <v>0.0</v>
      </c>
      <c r="F36" s="18">
        <f>E36* 0.889957698325317</f>
        <v>0</v>
      </c>
      <c r="G36" s="18">
        <f>E36* 0.0573100770701744</f>
        <v>0</v>
      </c>
      <c r="H36" s="18">
        <f>E36* 0.0526742771049429</f>
        <v>0</v>
      </c>
    </row>
    <row r="37" ht="15.75" hidden="1" customHeight="1">
      <c r="A37" s="8" t="s">
        <v>9</v>
      </c>
      <c r="B37" s="8"/>
      <c r="C37" s="8"/>
      <c r="D37" s="9"/>
      <c r="E37" s="19"/>
    </row>
    <row r="38" ht="15.75" hidden="1" customHeight="1">
      <c r="A38" s="8" t="s">
        <v>9</v>
      </c>
      <c r="B38" s="11" t="s">
        <v>25</v>
      </c>
      <c r="C38" s="12" t="str">
        <f>B38&amp;"_"&amp;A38</f>
        <v>Las Carreras_Chuquisaca</v>
      </c>
      <c r="E38" s="13">
        <v>7.0</v>
      </c>
      <c r="F38" s="14">
        <f t="shared" ref="F38:H38" si="7">SUM(F39:F41)</f>
        <v>2.054007949</v>
      </c>
      <c r="G38" s="14">
        <f t="shared" si="7"/>
        <v>4.824022964</v>
      </c>
      <c r="H38" s="14">
        <f t="shared" si="7"/>
        <v>0.1210809873</v>
      </c>
    </row>
    <row r="39" ht="15.75" hidden="1" customHeight="1">
      <c r="A39" s="8" t="s">
        <v>9</v>
      </c>
      <c r="B39" s="11" t="s">
        <v>25</v>
      </c>
      <c r="C39" s="15"/>
      <c r="D39" s="16" t="s">
        <v>15</v>
      </c>
      <c r="E39" s="17">
        <v>0.0</v>
      </c>
      <c r="F39" s="18">
        <f>E39* 0.962408869987849</f>
        <v>0</v>
      </c>
      <c r="G39" s="18">
        <f>E39*0.00425273390036452</f>
        <v>0</v>
      </c>
      <c r="H39" s="18">
        <f>E39*0.0333383961117862</f>
        <v>0</v>
      </c>
    </row>
    <row r="40" ht="15.75" hidden="1" customHeight="1">
      <c r="A40" s="8" t="s">
        <v>9</v>
      </c>
      <c r="B40" s="11" t="s">
        <v>25</v>
      </c>
      <c r="C40" s="15"/>
      <c r="D40" s="16" t="s">
        <v>11</v>
      </c>
      <c r="E40" s="17">
        <v>5.0</v>
      </c>
      <c r="F40" s="18">
        <f>E40*0.0664298401420959</f>
        <v>0.3321492007</v>
      </c>
      <c r="G40" s="18">
        <f>E40*0.932326820603908</f>
        <v>4.661634103</v>
      </c>
      <c r="H40" s="18">
        <f>E40*0.00106571936056838</f>
        <v>0.005328596803</v>
      </c>
    </row>
    <row r="41" ht="15.75" hidden="1" customHeight="1">
      <c r="A41" s="8" t="s">
        <v>9</v>
      </c>
      <c r="B41" s="11" t="s">
        <v>25</v>
      </c>
      <c r="C41" s="15"/>
      <c r="D41" s="16" t="s">
        <v>17</v>
      </c>
      <c r="E41" s="17">
        <v>2.0</v>
      </c>
      <c r="F41" s="18">
        <f>E41*0.860929374266063</f>
        <v>1.721858749</v>
      </c>
      <c r="G41" s="18">
        <f>E41*0.0811944304646871</f>
        <v>0.1623888609</v>
      </c>
      <c r="H41" s="18">
        <f>E41*0.0578761952692501</f>
        <v>0.1157523905</v>
      </c>
    </row>
    <row r="42" ht="15.75" hidden="1" customHeight="1">
      <c r="A42" s="8" t="s">
        <v>9</v>
      </c>
      <c r="B42" s="8"/>
      <c r="C42" s="8"/>
      <c r="D42" s="9"/>
      <c r="E42" s="19"/>
    </row>
    <row r="43" ht="15.75" hidden="1" customHeight="1">
      <c r="A43" s="8" t="s">
        <v>9</v>
      </c>
      <c r="B43" s="11" t="s">
        <v>26</v>
      </c>
      <c r="C43" s="12" t="str">
        <f>B43&amp;"_"&amp;A43</f>
        <v>Macharetí_Chuquisaca</v>
      </c>
      <c r="E43" s="13">
        <v>9.0</v>
      </c>
      <c r="F43" s="14">
        <f t="shared" ref="F43:H43" si="8">SUM(F44:F47)</f>
        <v>6.36624478</v>
      </c>
      <c r="G43" s="14">
        <f t="shared" si="8"/>
        <v>2.334598879</v>
      </c>
      <c r="H43" s="14">
        <f t="shared" si="8"/>
        <v>0.2987431533</v>
      </c>
    </row>
    <row r="44" ht="15.75" hidden="1" customHeight="1">
      <c r="A44" s="8" t="s">
        <v>9</v>
      </c>
      <c r="B44" s="11" t="s">
        <v>26</v>
      </c>
      <c r="C44" s="15"/>
      <c r="D44" s="16" t="s">
        <v>11</v>
      </c>
      <c r="E44" s="17">
        <v>2.0</v>
      </c>
      <c r="F44" s="18">
        <f>E44*0.0664298401420959</f>
        <v>0.1328596803</v>
      </c>
      <c r="G44" s="18">
        <f>E44*0.932326820603908</f>
        <v>1.864653641</v>
      </c>
      <c r="H44" s="18">
        <f>E44*0.00106571936056838</f>
        <v>0.002131438721</v>
      </c>
    </row>
    <row r="45" ht="15.75" hidden="1" customHeight="1">
      <c r="A45" s="8" t="s">
        <v>9</v>
      </c>
      <c r="B45" s="11" t="s">
        <v>26</v>
      </c>
      <c r="C45" s="15"/>
      <c r="D45" s="16" t="s">
        <v>17</v>
      </c>
      <c r="E45" s="17">
        <v>4.0</v>
      </c>
      <c r="F45" s="18">
        <f>E45*0.860929374266063</f>
        <v>3.443717497</v>
      </c>
      <c r="G45" s="18">
        <f>E45*0.0811944304646871</f>
        <v>0.3247777219</v>
      </c>
      <c r="H45" s="18">
        <f>E45*0.0578761952692501</f>
        <v>0.2315047811</v>
      </c>
    </row>
    <row r="46" ht="15.75" hidden="1" customHeight="1">
      <c r="A46" s="8" t="s">
        <v>9</v>
      </c>
      <c r="B46" s="11" t="s">
        <v>26</v>
      </c>
      <c r="C46" s="15"/>
      <c r="D46" s="16" t="s">
        <v>18</v>
      </c>
      <c r="E46" s="17">
        <v>2.0</v>
      </c>
      <c r="F46" s="18">
        <f>E46*0.949854952341484</f>
        <v>1.899709905</v>
      </c>
      <c r="G46" s="18">
        <f>E46*0.0439287194363862</f>
        <v>0.08785743887</v>
      </c>
      <c r="H46" s="18">
        <f>E46*0.00621632822213013</f>
        <v>0.01243265644</v>
      </c>
    </row>
    <row r="47" ht="15.75" hidden="1" customHeight="1">
      <c r="A47" s="8" t="s">
        <v>9</v>
      </c>
      <c r="B47" s="11" t="s">
        <v>26</v>
      </c>
      <c r="C47" s="15"/>
      <c r="D47" s="16" t="s">
        <v>12</v>
      </c>
      <c r="E47" s="17">
        <v>1.0</v>
      </c>
      <c r="F47" s="18">
        <f>E47* 0.889957698325317</f>
        <v>0.8899576983</v>
      </c>
      <c r="G47" s="18">
        <f>E47* 0.0573100770701744</f>
        <v>0.05731007707</v>
      </c>
      <c r="H47" s="18">
        <f>E47* 0.0526742771049429</f>
        <v>0.0526742771</v>
      </c>
    </row>
    <row r="48" ht="15.75" hidden="1" customHeight="1">
      <c r="A48" s="8" t="s">
        <v>9</v>
      </c>
      <c r="B48" s="8"/>
      <c r="C48" s="8"/>
      <c r="D48" s="9"/>
      <c r="E48" s="19"/>
    </row>
    <row r="49" ht="15.75" hidden="1" customHeight="1">
      <c r="A49" s="8" t="s">
        <v>9</v>
      </c>
      <c r="B49" s="11" t="s">
        <v>27</v>
      </c>
      <c r="C49" s="12" t="str">
        <f>B49&amp;"_"&amp;A49</f>
        <v>Padilla_Chuquisaca</v>
      </c>
      <c r="E49" s="13">
        <v>7.0</v>
      </c>
      <c r="F49" s="14">
        <f t="shared" ref="F49:H49" si="9">SUM(F50:F58)</f>
        <v>4.605227972</v>
      </c>
      <c r="G49" s="14">
        <f t="shared" si="9"/>
        <v>2.165622516</v>
      </c>
      <c r="H49" s="14">
        <f t="shared" si="9"/>
        <v>0.2287363252</v>
      </c>
    </row>
    <row r="50" ht="15.75" hidden="1" customHeight="1">
      <c r="A50" s="8" t="s">
        <v>9</v>
      </c>
      <c r="B50" s="11" t="s">
        <v>27</v>
      </c>
      <c r="C50" s="15"/>
      <c r="D50" s="16" t="s">
        <v>15</v>
      </c>
      <c r="E50" s="17">
        <v>0.0</v>
      </c>
      <c r="F50" s="18">
        <f>E50* 0.962408869987849</f>
        <v>0</v>
      </c>
      <c r="G50" s="18">
        <f>E50*0.00425273390036452</f>
        <v>0</v>
      </c>
      <c r="H50" s="18">
        <f>E50*0.0333383961117862</f>
        <v>0</v>
      </c>
    </row>
    <row r="51" ht="15.75" hidden="1" customHeight="1">
      <c r="A51" s="8" t="s">
        <v>9</v>
      </c>
      <c r="B51" s="11" t="s">
        <v>27</v>
      </c>
      <c r="C51" s="15"/>
      <c r="D51" s="16" t="s">
        <v>11</v>
      </c>
      <c r="E51" s="17">
        <v>2.0</v>
      </c>
      <c r="F51" s="18">
        <f>E51*0.0664298401420959</f>
        <v>0.1328596803</v>
      </c>
      <c r="G51" s="18">
        <f>E51*0.932326820603908</f>
        <v>1.864653641</v>
      </c>
      <c r="H51" s="18">
        <f>E51*0.00106571936056838</f>
        <v>0.002131438721</v>
      </c>
    </row>
    <row r="52" ht="15.75" hidden="1" customHeight="1">
      <c r="A52" s="8" t="s">
        <v>9</v>
      </c>
      <c r="B52" s="11" t="s">
        <v>27</v>
      </c>
      <c r="C52" s="15"/>
      <c r="D52" s="16" t="s">
        <v>17</v>
      </c>
      <c r="E52" s="17">
        <v>3.0</v>
      </c>
      <c r="F52" s="18">
        <f>E52*0.860929374266063</f>
        <v>2.582788123</v>
      </c>
      <c r="G52" s="18">
        <f>E52*0.0811944304646871</f>
        <v>0.2435832914</v>
      </c>
      <c r="H52" s="18">
        <f>E52*0.0578761952692501</f>
        <v>0.1736285858</v>
      </c>
    </row>
    <row r="53" ht="15.75" hidden="1" customHeight="1">
      <c r="A53" s="8" t="s">
        <v>9</v>
      </c>
      <c r="B53" s="11" t="s">
        <v>27</v>
      </c>
      <c r="C53" s="15"/>
      <c r="D53" s="16" t="s">
        <v>18</v>
      </c>
      <c r="E53" s="17">
        <v>0.0</v>
      </c>
      <c r="F53" s="18">
        <f>E53*0.949854952341484</f>
        <v>0</v>
      </c>
      <c r="G53" s="18">
        <f>E53*0.0439287194363862</f>
        <v>0</v>
      </c>
      <c r="H53" s="18">
        <f>E53*0.00621632822213013</f>
        <v>0</v>
      </c>
    </row>
    <row r="54" ht="15.75" hidden="1" customHeight="1">
      <c r="A54" s="8" t="s">
        <v>9</v>
      </c>
      <c r="B54" s="11" t="s">
        <v>27</v>
      </c>
      <c r="C54" s="15"/>
      <c r="D54" s="16" t="s">
        <v>19</v>
      </c>
      <c r="E54" s="17">
        <v>0.0</v>
      </c>
      <c r="F54" s="18">
        <f>E54*0.0187085093542547</f>
        <v>0</v>
      </c>
      <c r="G54" s="18">
        <f>E54*0.978877489438745</f>
        <v>0</v>
      </c>
      <c r="H54" s="18">
        <f>E54*0.0024140012070006</f>
        <v>0</v>
      </c>
    </row>
    <row r="55" ht="15.75" hidden="1" customHeight="1">
      <c r="A55" s="8" t="s">
        <v>9</v>
      </c>
      <c r="B55" s="11" t="s">
        <v>27</v>
      </c>
      <c r="C55" s="15"/>
      <c r="D55" s="16" t="s">
        <v>20</v>
      </c>
      <c r="E55" s="17">
        <v>0.0</v>
      </c>
      <c r="F55" s="18">
        <f>E55* 0.557228915662651</f>
        <v>0</v>
      </c>
      <c r="G55" s="18">
        <f>E55*0.390562248995984</f>
        <v>0</v>
      </c>
      <c r="H55" s="18">
        <f>E55*0.0522088353413655</f>
        <v>0</v>
      </c>
    </row>
    <row r="56" ht="15.75" hidden="1" customHeight="1">
      <c r="A56" s="8" t="s">
        <v>9</v>
      </c>
      <c r="B56" s="11" t="s">
        <v>27</v>
      </c>
      <c r="C56" s="15"/>
      <c r="D56" s="16" t="s">
        <v>21</v>
      </c>
      <c r="E56" s="17">
        <v>1.0</v>
      </c>
      <c r="F56" s="18">
        <f>E56* 0.999622470552703</f>
        <v>0.9996224706</v>
      </c>
      <c r="G56" s="18">
        <f>E56* 0.0000755058894593778</f>
        <v>0.00007550588946</v>
      </c>
      <c r="H56" s="18">
        <f>E56* 0.000302023557837511</f>
        <v>0.0003020235578</v>
      </c>
    </row>
    <row r="57" ht="15.75" hidden="1" customHeight="1">
      <c r="A57" s="8" t="s">
        <v>9</v>
      </c>
      <c r="B57" s="11" t="s">
        <v>27</v>
      </c>
      <c r="C57" s="15"/>
      <c r="D57" s="16" t="s">
        <v>28</v>
      </c>
      <c r="E57" s="17">
        <v>0.0</v>
      </c>
      <c r="F57" s="20">
        <v>0.0</v>
      </c>
      <c r="G57" s="20">
        <f>E57</f>
        <v>0</v>
      </c>
      <c r="H57" s="20">
        <v>0.0</v>
      </c>
    </row>
    <row r="58" ht="15.75" hidden="1" customHeight="1">
      <c r="A58" s="8" t="s">
        <v>9</v>
      </c>
      <c r="B58" s="11" t="s">
        <v>27</v>
      </c>
      <c r="C58" s="15"/>
      <c r="D58" s="16" t="s">
        <v>12</v>
      </c>
      <c r="E58" s="17">
        <v>1.0</v>
      </c>
      <c r="F58" s="18">
        <f>E58* 0.889957698325317</f>
        <v>0.8899576983</v>
      </c>
      <c r="G58" s="18">
        <f>E58* 0.0573100770701744</f>
        <v>0.05731007707</v>
      </c>
      <c r="H58" s="18">
        <f>E58* 0.0526742771049429</f>
        <v>0.0526742771</v>
      </c>
    </row>
    <row r="59" ht="15.75" hidden="1" customHeight="1">
      <c r="A59" s="8" t="s">
        <v>9</v>
      </c>
      <c r="B59" s="8"/>
      <c r="C59" s="8"/>
      <c r="D59" s="9"/>
      <c r="E59" s="19"/>
    </row>
    <row r="60" ht="15.75" hidden="1" customHeight="1">
      <c r="A60" s="8" t="s">
        <v>9</v>
      </c>
      <c r="B60" s="11" t="s">
        <v>29</v>
      </c>
      <c r="C60" s="12" t="str">
        <f>B60&amp;"_"&amp;A60</f>
        <v>Poroma_Chuquisaca</v>
      </c>
      <c r="E60" s="13">
        <v>2.0</v>
      </c>
      <c r="F60" s="14">
        <f t="shared" ref="F60:H60" si="10">SUM(F61:F62)</f>
        <v>0.9563875385</v>
      </c>
      <c r="G60" s="14">
        <f t="shared" si="10"/>
        <v>0.9896368977</v>
      </c>
      <c r="H60" s="14">
        <f t="shared" si="10"/>
        <v>0.05373999647</v>
      </c>
    </row>
    <row r="61" ht="15.75" hidden="1" customHeight="1">
      <c r="A61" s="8" t="s">
        <v>9</v>
      </c>
      <c r="B61" s="11" t="s">
        <v>29</v>
      </c>
      <c r="C61" s="15"/>
      <c r="D61" s="16" t="s">
        <v>11</v>
      </c>
      <c r="E61" s="17">
        <v>1.0</v>
      </c>
      <c r="F61" s="18">
        <f>E61*0.0664298401420959</f>
        <v>0.06642984014</v>
      </c>
      <c r="G61" s="18">
        <f>E61*0.932326820603908</f>
        <v>0.9323268206</v>
      </c>
      <c r="H61" s="18">
        <f>E61*0.00106571936056838</f>
        <v>0.001065719361</v>
      </c>
    </row>
    <row r="62" ht="15.75" hidden="1" customHeight="1">
      <c r="A62" s="8" t="s">
        <v>9</v>
      </c>
      <c r="B62" s="11" t="s">
        <v>29</v>
      </c>
      <c r="C62" s="15"/>
      <c r="D62" s="16" t="s">
        <v>12</v>
      </c>
      <c r="E62" s="17">
        <v>1.0</v>
      </c>
      <c r="F62" s="18">
        <f>E62* 0.889957698325317</f>
        <v>0.8899576983</v>
      </c>
      <c r="G62" s="18">
        <f>E62* 0.0573100770701744</f>
        <v>0.05731007707</v>
      </c>
      <c r="H62" s="18">
        <f>E62* 0.0526742771049429</f>
        <v>0.0526742771</v>
      </c>
    </row>
    <row r="63" ht="15.75" hidden="1" customHeight="1">
      <c r="A63" s="8" t="s">
        <v>9</v>
      </c>
      <c r="B63" s="8"/>
      <c r="C63" s="8"/>
      <c r="D63" s="9"/>
      <c r="E63" s="19"/>
    </row>
    <row r="64" ht="15.75" hidden="1" customHeight="1">
      <c r="A64" s="8" t="s">
        <v>9</v>
      </c>
      <c r="B64" s="11" t="s">
        <v>30</v>
      </c>
      <c r="C64" s="12" t="str">
        <f>B64&amp;"_"&amp;A64</f>
        <v>San Lucas_Chuquisaca</v>
      </c>
      <c r="E64" s="13">
        <v>29.0</v>
      </c>
      <c r="F64" s="14">
        <f t="shared" ref="F64:H64" si="11">SUM(F65:F73)</f>
        <v>16.7559151</v>
      </c>
      <c r="G64" s="14">
        <f t="shared" si="11"/>
        <v>11.53974905</v>
      </c>
      <c r="H64" s="14">
        <f t="shared" si="11"/>
        <v>0.7023820376</v>
      </c>
    </row>
    <row r="65" ht="15.75" hidden="1" customHeight="1">
      <c r="A65" s="8" t="s">
        <v>9</v>
      </c>
      <c r="B65" s="11" t="s">
        <v>30</v>
      </c>
      <c r="C65" s="15"/>
      <c r="D65" s="16" t="s">
        <v>15</v>
      </c>
      <c r="E65" s="17">
        <v>0.0</v>
      </c>
      <c r="F65" s="18">
        <f>E65* 0.962408869987849</f>
        <v>0</v>
      </c>
      <c r="G65" s="18">
        <f>E65*0.00425273390036452</f>
        <v>0</v>
      </c>
      <c r="H65" s="18">
        <f>E65*0.0333383961117862</f>
        <v>0</v>
      </c>
    </row>
    <row r="66" ht="15.75" hidden="1" customHeight="1">
      <c r="A66" s="8" t="s">
        <v>9</v>
      </c>
      <c r="B66" s="11" t="s">
        <v>30</v>
      </c>
      <c r="C66" s="15"/>
      <c r="D66" s="16" t="s">
        <v>11</v>
      </c>
      <c r="E66" s="17">
        <v>11.0</v>
      </c>
      <c r="F66" s="18">
        <f>E66*0.0664298401420959</f>
        <v>0.7307282416</v>
      </c>
      <c r="G66" s="18">
        <f>E66*0.932326820603908</f>
        <v>10.25559503</v>
      </c>
      <c r="H66" s="18">
        <f>E66*0.00106571936056838</f>
        <v>0.01172291297</v>
      </c>
    </row>
    <row r="67" ht="15.75" hidden="1" customHeight="1">
      <c r="A67" s="8" t="s">
        <v>9</v>
      </c>
      <c r="B67" s="11" t="s">
        <v>30</v>
      </c>
      <c r="C67" s="15"/>
      <c r="D67" s="16" t="s">
        <v>17</v>
      </c>
      <c r="E67" s="17">
        <v>11.0</v>
      </c>
      <c r="F67" s="18">
        <f>E67*0.860929374266063</f>
        <v>9.470223117</v>
      </c>
      <c r="G67" s="18">
        <f>E67*0.0811944304646871</f>
        <v>0.8931387351</v>
      </c>
      <c r="H67" s="18">
        <f>E67*0.0578761952692501</f>
        <v>0.636638148</v>
      </c>
    </row>
    <row r="68" ht="15.75" hidden="1" customHeight="1">
      <c r="A68" s="8" t="s">
        <v>9</v>
      </c>
      <c r="B68" s="11" t="s">
        <v>30</v>
      </c>
      <c r="C68" s="15"/>
      <c r="D68" s="16" t="s">
        <v>31</v>
      </c>
      <c r="E68" s="17">
        <v>0.0</v>
      </c>
      <c r="F68" s="18">
        <f>E68*0.935483870967742</f>
        <v>0</v>
      </c>
      <c r="G68" s="18">
        <f>E68*0.0403225806451613</f>
        <v>0</v>
      </c>
      <c r="H68" s="18">
        <f>E68*0.0241935483870968</f>
        <v>0</v>
      </c>
    </row>
    <row r="69" ht="15.75" hidden="1" customHeight="1">
      <c r="A69" s="8" t="s">
        <v>9</v>
      </c>
      <c r="B69" s="11" t="s">
        <v>30</v>
      </c>
      <c r="C69" s="15"/>
      <c r="D69" s="16" t="s">
        <v>18</v>
      </c>
      <c r="E69" s="17">
        <v>0.0</v>
      </c>
      <c r="F69" s="18">
        <f>E69*0.949854952341484</f>
        <v>0</v>
      </c>
      <c r="G69" s="18">
        <f>E69*0.0439287194363862</f>
        <v>0</v>
      </c>
      <c r="H69" s="18">
        <f>E69*0.00621632822213013</f>
        <v>0</v>
      </c>
    </row>
    <row r="70" ht="15.75" hidden="1" customHeight="1">
      <c r="A70" s="8" t="s">
        <v>9</v>
      </c>
      <c r="B70" s="11" t="s">
        <v>30</v>
      </c>
      <c r="C70" s="15"/>
      <c r="D70" s="16" t="s">
        <v>19</v>
      </c>
      <c r="E70" s="17">
        <v>0.0</v>
      </c>
      <c r="F70" s="18">
        <f>E70*0.0187085093542547</f>
        <v>0</v>
      </c>
      <c r="G70" s="18">
        <f>E70*0.978877489438745</f>
        <v>0</v>
      </c>
      <c r="H70" s="18">
        <f>E70*0.0024140012070006</f>
        <v>0</v>
      </c>
    </row>
    <row r="71" ht="15.75" hidden="1" customHeight="1">
      <c r="A71" s="8" t="s">
        <v>9</v>
      </c>
      <c r="B71" s="11" t="s">
        <v>30</v>
      </c>
      <c r="C71" s="15"/>
      <c r="D71" s="16" t="s">
        <v>20</v>
      </c>
      <c r="E71" s="17">
        <v>1.0</v>
      </c>
      <c r="F71" s="18">
        <f>E71* 0.557228915662651</f>
        <v>0.5572289157</v>
      </c>
      <c r="G71" s="18">
        <f>E71*0.390562248995984</f>
        <v>0.390562249</v>
      </c>
      <c r="H71" s="18">
        <f>E71*0.0522088353413655</f>
        <v>0.05220883534</v>
      </c>
    </row>
    <row r="72" ht="15.75" hidden="1" customHeight="1">
      <c r="A72" s="8" t="s">
        <v>9</v>
      </c>
      <c r="B72" s="11" t="s">
        <v>30</v>
      </c>
      <c r="C72" s="15"/>
      <c r="D72" s="16" t="s">
        <v>21</v>
      </c>
      <c r="E72" s="17">
        <v>6.0</v>
      </c>
      <c r="F72" s="18">
        <f>E72* 0.999622470552703</f>
        <v>5.997734823</v>
      </c>
      <c r="G72" s="18">
        <f>E72* 0.0000755058894593778</f>
        <v>0.0004530353368</v>
      </c>
      <c r="H72" s="18">
        <f>E72* 0.000302023557837511</f>
        <v>0.001812141347</v>
      </c>
    </row>
    <row r="73" ht="15.75" hidden="1" customHeight="1">
      <c r="A73" s="8" t="s">
        <v>9</v>
      </c>
      <c r="B73" s="11" t="s">
        <v>30</v>
      </c>
      <c r="C73" s="15"/>
      <c r="D73" s="16" t="s">
        <v>12</v>
      </c>
      <c r="E73" s="17">
        <v>0.0</v>
      </c>
      <c r="F73" s="18">
        <f>E73* 0.889957698325317</f>
        <v>0</v>
      </c>
      <c r="G73" s="18">
        <f>E73* 0.0573100770701744</f>
        <v>0</v>
      </c>
      <c r="H73" s="18">
        <f>E73* 0.0526742771049429</f>
        <v>0</v>
      </c>
    </row>
    <row r="74" ht="15.75" hidden="1" customHeight="1">
      <c r="A74" s="8" t="s">
        <v>9</v>
      </c>
      <c r="B74" s="8"/>
      <c r="C74" s="8"/>
      <c r="D74" s="9"/>
      <c r="E74" s="19"/>
    </row>
    <row r="75" ht="15.75" hidden="1" customHeight="1">
      <c r="A75" s="8" t="s">
        <v>9</v>
      </c>
      <c r="B75" s="11" t="s">
        <v>32</v>
      </c>
      <c r="C75" s="12" t="str">
        <f>B75&amp;"_"&amp;A75</f>
        <v>San Pablo de Huacareta_Chuquisaca</v>
      </c>
      <c r="E75" s="13">
        <v>4.0</v>
      </c>
      <c r="F75" s="14">
        <f t="shared" ref="F75:H75" si="12">SUM(F76:F79)</f>
        <v>3.621568653</v>
      </c>
      <c r="G75" s="14">
        <f t="shared" si="12"/>
        <v>0.2502462998</v>
      </c>
      <c r="H75" s="14">
        <f t="shared" si="12"/>
        <v>0.128185047</v>
      </c>
    </row>
    <row r="76" ht="15.75" hidden="1" customHeight="1">
      <c r="A76" s="8" t="s">
        <v>9</v>
      </c>
      <c r="B76" s="11" t="s">
        <v>32</v>
      </c>
      <c r="C76" s="15"/>
      <c r="D76" s="16" t="s">
        <v>11</v>
      </c>
      <c r="E76" s="17">
        <v>0.0</v>
      </c>
      <c r="F76" s="18">
        <f>E76*0.0664298401420959</f>
        <v>0</v>
      </c>
      <c r="G76" s="18">
        <f>E76*0.932326820603908</f>
        <v>0</v>
      </c>
      <c r="H76" s="18">
        <f>E76*0.00106571936056838</f>
        <v>0</v>
      </c>
    </row>
    <row r="77" ht="15.75" hidden="1" customHeight="1">
      <c r="A77" s="8" t="s">
        <v>9</v>
      </c>
      <c r="B77" s="11" t="s">
        <v>32</v>
      </c>
      <c r="C77" s="15"/>
      <c r="D77" s="16" t="s">
        <v>17</v>
      </c>
      <c r="E77" s="17">
        <v>2.0</v>
      </c>
      <c r="F77" s="18">
        <f>E77*0.860929374266063</f>
        <v>1.721858749</v>
      </c>
      <c r="G77" s="18">
        <f>E77*0.0811944304646871</f>
        <v>0.1623888609</v>
      </c>
      <c r="H77" s="18">
        <f>E77*0.0578761952692501</f>
        <v>0.1157523905</v>
      </c>
    </row>
    <row r="78" ht="15.75" hidden="1" customHeight="1">
      <c r="A78" s="8" t="s">
        <v>9</v>
      </c>
      <c r="B78" s="11" t="s">
        <v>32</v>
      </c>
      <c r="C78" s="15"/>
      <c r="D78" s="16" t="s">
        <v>18</v>
      </c>
      <c r="E78" s="17">
        <v>2.0</v>
      </c>
      <c r="F78" s="18">
        <f>E78*0.949854952341484</f>
        <v>1.899709905</v>
      </c>
      <c r="G78" s="18">
        <f>E78*0.0439287194363862</f>
        <v>0.08785743887</v>
      </c>
      <c r="H78" s="18">
        <f>E78*0.00621632822213013</f>
        <v>0.01243265644</v>
      </c>
    </row>
    <row r="79" ht="15.75" hidden="1" customHeight="1">
      <c r="A79" s="8" t="s">
        <v>9</v>
      </c>
      <c r="B79" s="11" t="s">
        <v>32</v>
      </c>
      <c r="C79" s="15"/>
      <c r="D79" s="16" t="s">
        <v>12</v>
      </c>
      <c r="E79" s="17">
        <v>0.0</v>
      </c>
      <c r="F79" s="18">
        <f>E79* 0.889957698325317</f>
        <v>0</v>
      </c>
      <c r="G79" s="18">
        <f>E79* 0.0573100770701744</f>
        <v>0</v>
      </c>
      <c r="H79" s="18">
        <f>E79* 0.0526742771049429</f>
        <v>0</v>
      </c>
    </row>
    <row r="80" ht="15.75" hidden="1" customHeight="1">
      <c r="A80" s="8" t="s">
        <v>9</v>
      </c>
      <c r="B80" s="8"/>
      <c r="C80" s="8"/>
      <c r="D80" s="9"/>
      <c r="E80" s="19"/>
    </row>
    <row r="81" ht="15.75" hidden="1" customHeight="1">
      <c r="A81" s="8" t="s">
        <v>9</v>
      </c>
      <c r="B81" s="11" t="s">
        <v>33</v>
      </c>
      <c r="C81" s="12" t="str">
        <f>B81&amp;"_"&amp;A81</f>
        <v>Sopachuy_Chuquisaca</v>
      </c>
      <c r="E81" s="13">
        <v>4.0</v>
      </c>
      <c r="F81" s="14">
        <f t="shared" ref="F81:H81" si="13">SUM(F82:F84)</f>
        <v>3.582410593</v>
      </c>
      <c r="G81" s="14">
        <f t="shared" si="13"/>
        <v>0.2436587973</v>
      </c>
      <c r="H81" s="14">
        <f t="shared" si="13"/>
        <v>0.1739306094</v>
      </c>
    </row>
    <row r="82" ht="15.75" hidden="1" customHeight="1">
      <c r="A82" s="8" t="s">
        <v>9</v>
      </c>
      <c r="B82" s="11" t="s">
        <v>33</v>
      </c>
      <c r="C82" s="15"/>
      <c r="D82" s="16" t="s">
        <v>11</v>
      </c>
      <c r="E82" s="17">
        <v>0.0</v>
      </c>
      <c r="F82" s="18">
        <f>E82*0.0664298401420959</f>
        <v>0</v>
      </c>
      <c r="G82" s="18">
        <f>E82*0.932326820603908</f>
        <v>0</v>
      </c>
      <c r="H82" s="18">
        <f>E82*0.00106571936056838</f>
        <v>0</v>
      </c>
    </row>
    <row r="83" ht="15.75" hidden="1" customHeight="1">
      <c r="A83" s="8" t="s">
        <v>9</v>
      </c>
      <c r="B83" s="11" t="s">
        <v>33</v>
      </c>
      <c r="C83" s="15"/>
      <c r="D83" s="16" t="s">
        <v>17</v>
      </c>
      <c r="E83" s="17">
        <v>3.0</v>
      </c>
      <c r="F83" s="18">
        <f>E83*0.860929374266063</f>
        <v>2.582788123</v>
      </c>
      <c r="G83" s="18">
        <f>E83*0.0811944304646871</f>
        <v>0.2435832914</v>
      </c>
      <c r="H83" s="18">
        <f>E83*0.0578761952692501</f>
        <v>0.1736285858</v>
      </c>
    </row>
    <row r="84" ht="15.75" hidden="1" customHeight="1">
      <c r="A84" s="8" t="s">
        <v>9</v>
      </c>
      <c r="B84" s="11" t="s">
        <v>33</v>
      </c>
      <c r="C84" s="15"/>
      <c r="D84" s="16" t="s">
        <v>21</v>
      </c>
      <c r="E84" s="17">
        <v>1.0</v>
      </c>
      <c r="F84" s="18">
        <f>E84* 0.999622470552703</f>
        <v>0.9996224706</v>
      </c>
      <c r="G84" s="18">
        <f>E84* 0.0000755058894593778</f>
        <v>0.00007550588946</v>
      </c>
      <c r="H84" s="18">
        <f>E84* 0.000302023557837511</f>
        <v>0.0003020235578</v>
      </c>
    </row>
    <row r="85" ht="15.75" hidden="1" customHeight="1">
      <c r="A85" s="8" t="s">
        <v>9</v>
      </c>
      <c r="B85" s="8"/>
      <c r="C85" s="8"/>
      <c r="D85" s="9"/>
      <c r="E85" s="19"/>
    </row>
    <row r="86" ht="15.75" hidden="1" customHeight="1">
      <c r="A86" s="8" t="s">
        <v>9</v>
      </c>
      <c r="B86" s="11" t="s">
        <v>34</v>
      </c>
      <c r="C86" s="12" t="str">
        <f>B86&amp;"_"&amp;A86</f>
        <v>Sucre_Chuquisaca</v>
      </c>
      <c r="E86" s="22">
        <v>60425.0</v>
      </c>
      <c r="F86" s="14">
        <f t="shared" ref="F86:H86" si="14">SUM(F87:F101)</f>
        <v>48495.81987</v>
      </c>
      <c r="G86" s="14">
        <f t="shared" si="14"/>
        <v>10191.26701</v>
      </c>
      <c r="H86" s="14">
        <f t="shared" si="14"/>
        <v>1735.985215</v>
      </c>
    </row>
    <row r="87" ht="15.75" hidden="1" customHeight="1">
      <c r="A87" s="8" t="s">
        <v>9</v>
      </c>
      <c r="B87" s="11" t="s">
        <v>34</v>
      </c>
      <c r="C87" s="15"/>
      <c r="D87" s="16" t="s">
        <v>14</v>
      </c>
      <c r="E87" s="17">
        <v>0.0</v>
      </c>
      <c r="F87" s="20">
        <v>0.0</v>
      </c>
      <c r="G87" s="20">
        <f>E87</f>
        <v>0</v>
      </c>
      <c r="H87" s="20">
        <v>0.0</v>
      </c>
    </row>
    <row r="88" ht="15.75" hidden="1" customHeight="1">
      <c r="A88" s="8" t="s">
        <v>9</v>
      </c>
      <c r="B88" s="11" t="s">
        <v>34</v>
      </c>
      <c r="C88" s="15"/>
      <c r="D88" s="16" t="s">
        <v>15</v>
      </c>
      <c r="E88" s="23">
        <v>13082.0</v>
      </c>
      <c r="F88" s="18">
        <f>E88* 0.962408869987849</f>
        <v>12590.23284</v>
      </c>
      <c r="G88" s="18">
        <f>E88*0.00425273390036452</f>
        <v>55.63426488</v>
      </c>
      <c r="H88" s="18">
        <f>E88*0.0333383961117862</f>
        <v>436.1328979</v>
      </c>
    </row>
    <row r="89" ht="15.75" hidden="1" customHeight="1">
      <c r="A89" s="8" t="s">
        <v>9</v>
      </c>
      <c r="B89" s="11" t="s">
        <v>34</v>
      </c>
      <c r="C89" s="15"/>
      <c r="D89" s="16" t="s">
        <v>16</v>
      </c>
      <c r="E89" s="17">
        <v>283.0</v>
      </c>
      <c r="F89" s="18">
        <f>E89* 0.03</f>
        <v>8.49</v>
      </c>
      <c r="G89" s="18">
        <f>E89* 0.97</f>
        <v>274.51</v>
      </c>
      <c r="H89" s="20">
        <v>0.0</v>
      </c>
    </row>
    <row r="90" ht="15.75" hidden="1" customHeight="1">
      <c r="A90" s="8" t="s">
        <v>9</v>
      </c>
      <c r="B90" s="11" t="s">
        <v>34</v>
      </c>
      <c r="C90" s="15"/>
      <c r="D90" s="16" t="s">
        <v>11</v>
      </c>
      <c r="E90" s="23">
        <v>5368.0</v>
      </c>
      <c r="F90" s="18">
        <f>E90*0.0664298401420959</f>
        <v>356.5953819</v>
      </c>
      <c r="G90" s="18">
        <f>E90*0.932326820603908</f>
        <v>5004.730373</v>
      </c>
      <c r="H90" s="18">
        <f>E90*0.00106571936056838</f>
        <v>5.720781528</v>
      </c>
    </row>
    <row r="91" ht="15.75" hidden="1" customHeight="1">
      <c r="A91" s="8" t="s">
        <v>9</v>
      </c>
      <c r="B91" s="11" t="s">
        <v>34</v>
      </c>
      <c r="C91" s="15"/>
      <c r="D91" s="16" t="s">
        <v>17</v>
      </c>
      <c r="E91" s="23">
        <v>5737.0</v>
      </c>
      <c r="F91" s="18">
        <f>E91*0.860929374266063</f>
        <v>4939.15182</v>
      </c>
      <c r="G91" s="18">
        <f>E91*0.0811944304646871</f>
        <v>465.8124476</v>
      </c>
      <c r="H91" s="18">
        <f>E91*0.0578761952692501</f>
        <v>332.0357323</v>
      </c>
    </row>
    <row r="92" ht="15.75" hidden="1" customHeight="1">
      <c r="A92" s="8" t="s">
        <v>9</v>
      </c>
      <c r="B92" s="11" t="s">
        <v>34</v>
      </c>
      <c r="C92" s="15"/>
      <c r="D92" s="16" t="s">
        <v>31</v>
      </c>
      <c r="E92" s="17">
        <v>124.0</v>
      </c>
      <c r="F92" s="18">
        <f>E92*0.935483870967742</f>
        <v>116</v>
      </c>
      <c r="G92" s="18">
        <f>E92*0.0403225806451613</f>
        <v>5</v>
      </c>
      <c r="H92" s="18">
        <f>E92*0.0241935483870968</f>
        <v>3</v>
      </c>
    </row>
    <row r="93" ht="15.75" hidden="1" customHeight="1">
      <c r="A93" s="8" t="s">
        <v>9</v>
      </c>
      <c r="B93" s="11" t="s">
        <v>34</v>
      </c>
      <c r="C93" s="15"/>
      <c r="D93" s="16" t="s">
        <v>18</v>
      </c>
      <c r="E93" s="23">
        <v>2369.0</v>
      </c>
      <c r="F93" s="18">
        <f>E93*0.949854952341484</f>
        <v>2250.206382</v>
      </c>
      <c r="G93" s="18">
        <f>E93*0.0439287194363862</f>
        <v>104.0671363</v>
      </c>
      <c r="H93" s="18">
        <f>E93*0.00621632822213013</f>
        <v>14.72648156</v>
      </c>
    </row>
    <row r="94" ht="15.75" hidden="1" customHeight="1">
      <c r="A94" s="8" t="s">
        <v>9</v>
      </c>
      <c r="B94" s="11" t="s">
        <v>34</v>
      </c>
      <c r="C94" s="15"/>
      <c r="D94" s="16" t="s">
        <v>35</v>
      </c>
      <c r="E94" s="17">
        <v>0.0</v>
      </c>
      <c r="F94" s="20">
        <v>0.0</v>
      </c>
      <c r="G94" s="20">
        <f>E94</f>
        <v>0</v>
      </c>
      <c r="H94" s="20">
        <v>0.0</v>
      </c>
    </row>
    <row r="95" ht="15.75" hidden="1" customHeight="1">
      <c r="A95" s="8" t="s">
        <v>9</v>
      </c>
      <c r="B95" s="11" t="s">
        <v>34</v>
      </c>
      <c r="C95" s="15"/>
      <c r="D95" s="16" t="s">
        <v>19</v>
      </c>
      <c r="E95" s="23">
        <v>1608.0</v>
      </c>
      <c r="F95" s="18">
        <f>E95*0.0187085093542547</f>
        <v>30.08328304</v>
      </c>
      <c r="G95" s="18">
        <f>E95*0.978877489438745</f>
        <v>1574.035003</v>
      </c>
      <c r="H95" s="18">
        <f>E95*0.0024140012070006</f>
        <v>3.881713941</v>
      </c>
    </row>
    <row r="96" ht="15.75" hidden="1" customHeight="1">
      <c r="A96" s="8" t="s">
        <v>9</v>
      </c>
      <c r="B96" s="11" t="s">
        <v>34</v>
      </c>
      <c r="C96" s="15"/>
      <c r="D96" s="16" t="s">
        <v>20</v>
      </c>
      <c r="E96" s="17">
        <v>975.0</v>
      </c>
      <c r="F96" s="18">
        <f>E96* 0.557228915662651</f>
        <v>543.2981928</v>
      </c>
      <c r="G96" s="18">
        <f>E96*0.390562248995984</f>
        <v>380.7981928</v>
      </c>
      <c r="H96" s="18">
        <f>E96*0.0522088353413655</f>
        <v>50.90361446</v>
      </c>
    </row>
    <row r="97" ht="15.75" hidden="1" customHeight="1">
      <c r="A97" s="8" t="s">
        <v>9</v>
      </c>
      <c r="B97" s="11" t="s">
        <v>34</v>
      </c>
      <c r="C97" s="15"/>
      <c r="D97" s="16" t="s">
        <v>21</v>
      </c>
      <c r="E97" s="23">
        <v>12626.0</v>
      </c>
      <c r="F97" s="18">
        <f>E97* 0.999622470552703</f>
        <v>12621.23331</v>
      </c>
      <c r="G97" s="18">
        <f>E97* 0.0000755058894593778</f>
        <v>0.9533373603</v>
      </c>
      <c r="H97" s="18">
        <f>E97* 0.000302023557837511</f>
        <v>3.813349441</v>
      </c>
    </row>
    <row r="98" ht="15.75" hidden="1" customHeight="1">
      <c r="A98" s="8" t="s">
        <v>9</v>
      </c>
      <c r="B98" s="11" t="s">
        <v>34</v>
      </c>
      <c r="C98" s="15"/>
      <c r="D98" s="16" t="s">
        <v>36</v>
      </c>
      <c r="E98" s="17">
        <v>75.0</v>
      </c>
      <c r="F98" s="18">
        <f>E98*1</f>
        <v>75</v>
      </c>
      <c r="G98" s="20">
        <f>E98*0</f>
        <v>0</v>
      </c>
      <c r="H98" s="20">
        <f t="shared" ref="H98:H99" si="15">E98*0</f>
        <v>0</v>
      </c>
    </row>
    <row r="99" ht="15.75" hidden="1" customHeight="1">
      <c r="A99" s="8" t="s">
        <v>9</v>
      </c>
      <c r="B99" s="11" t="s">
        <v>34</v>
      </c>
      <c r="C99" s="15"/>
      <c r="D99" s="16" t="s">
        <v>37</v>
      </c>
      <c r="E99" s="17">
        <v>3.0</v>
      </c>
      <c r="F99" s="20">
        <f>E99*0</f>
        <v>0</v>
      </c>
      <c r="G99" s="20">
        <f>E99*1</f>
        <v>3</v>
      </c>
      <c r="H99" s="20">
        <f t="shared" si="15"/>
        <v>0</v>
      </c>
    </row>
    <row r="100" ht="15.75" hidden="1" customHeight="1">
      <c r="A100" s="8" t="s">
        <v>9</v>
      </c>
      <c r="B100" s="11" t="s">
        <v>34</v>
      </c>
      <c r="C100" s="15"/>
      <c r="D100" s="16" t="s">
        <v>28</v>
      </c>
      <c r="E100" s="23">
        <v>1359.0</v>
      </c>
      <c r="F100" s="20">
        <v>0.0</v>
      </c>
      <c r="G100" s="24">
        <f>E100</f>
        <v>1359</v>
      </c>
      <c r="H100" s="20">
        <v>0.0</v>
      </c>
    </row>
    <row r="101" ht="15.75" hidden="1" customHeight="1">
      <c r="A101" s="8" t="s">
        <v>9</v>
      </c>
      <c r="B101" s="11" t="s">
        <v>34</v>
      </c>
      <c r="C101" s="15"/>
      <c r="D101" s="16" t="s">
        <v>12</v>
      </c>
      <c r="E101" s="23">
        <v>16816.0</v>
      </c>
      <c r="F101" s="18">
        <f>E101* 0.889957698325317</f>
        <v>14965.52866</v>
      </c>
      <c r="G101" s="18">
        <f>E101* 0.0573100770701744</f>
        <v>963.726256</v>
      </c>
      <c r="H101" s="18">
        <f>E101* 0.0526742771049429</f>
        <v>885.7706438</v>
      </c>
    </row>
    <row r="102" ht="15.75" hidden="1" customHeight="1">
      <c r="A102" s="8" t="s">
        <v>9</v>
      </c>
      <c r="B102" s="8"/>
      <c r="C102" s="8"/>
      <c r="D102" s="9"/>
      <c r="E102" s="19"/>
    </row>
    <row r="103" ht="15.75" hidden="1" customHeight="1">
      <c r="A103" s="8" t="s">
        <v>9</v>
      </c>
      <c r="B103" s="8"/>
      <c r="C103" s="8"/>
      <c r="D103" s="9"/>
      <c r="E103" s="19"/>
    </row>
    <row r="104" ht="15.75" hidden="1" customHeight="1">
      <c r="A104" s="8" t="s">
        <v>9</v>
      </c>
      <c r="B104" s="11" t="s">
        <v>38</v>
      </c>
      <c r="C104" s="12" t="str">
        <f>B104&amp;"_"&amp;A104</f>
        <v>Tarabuco_Chuquisaca</v>
      </c>
      <c r="E104" s="13">
        <v>18.0</v>
      </c>
      <c r="F104" s="14">
        <f t="shared" ref="F104:H104" si="16">SUM(F105:F110)</f>
        <v>9.500905145</v>
      </c>
      <c r="G104" s="14">
        <f t="shared" si="16"/>
        <v>8.054045639</v>
      </c>
      <c r="H104" s="14">
        <f t="shared" si="16"/>
        <v>0.4437479287</v>
      </c>
    </row>
    <row r="105" ht="15.75" hidden="1" customHeight="1">
      <c r="A105" s="8" t="s">
        <v>9</v>
      </c>
      <c r="B105" s="11" t="s">
        <v>38</v>
      </c>
      <c r="C105" s="15"/>
      <c r="D105" s="16" t="s">
        <v>15</v>
      </c>
      <c r="E105" s="17">
        <v>1.0</v>
      </c>
      <c r="F105" s="18">
        <f>E105* 0.962408869987849</f>
        <v>0.96240887</v>
      </c>
      <c r="G105" s="18">
        <f>E105*0.00425273390036452</f>
        <v>0.0042527339</v>
      </c>
      <c r="H105" s="18">
        <f>E105*0.0333383961117862</f>
        <v>0.03333839611</v>
      </c>
    </row>
    <row r="106" ht="15.75" hidden="1" customHeight="1">
      <c r="A106" s="8" t="s">
        <v>9</v>
      </c>
      <c r="B106" s="11" t="s">
        <v>38</v>
      </c>
      <c r="C106" s="15"/>
      <c r="D106" s="16" t="s">
        <v>11</v>
      </c>
      <c r="E106" s="17">
        <v>7.0</v>
      </c>
      <c r="F106" s="18">
        <f>E106*0.0664298401420959</f>
        <v>0.465008881</v>
      </c>
      <c r="G106" s="18">
        <f>E106*0.932326820603908</f>
        <v>6.526287744</v>
      </c>
      <c r="H106" s="18">
        <f>E106*0.00106571936056838</f>
        <v>0.007460035524</v>
      </c>
    </row>
    <row r="107" ht="15.75" hidden="1" customHeight="1">
      <c r="A107" s="8" t="s">
        <v>9</v>
      </c>
      <c r="B107" s="11" t="s">
        <v>38</v>
      </c>
      <c r="C107" s="15"/>
      <c r="D107" s="16" t="s">
        <v>17</v>
      </c>
      <c r="E107" s="17">
        <v>6.0</v>
      </c>
      <c r="F107" s="18">
        <f>E107*0.860929374266063</f>
        <v>5.165576246</v>
      </c>
      <c r="G107" s="18">
        <f>E107*0.0811944304646871</f>
        <v>0.4871665828</v>
      </c>
      <c r="H107" s="18">
        <f>E107*0.0578761952692501</f>
        <v>0.3472571716</v>
      </c>
    </row>
    <row r="108" ht="15.75" hidden="1" customHeight="1">
      <c r="A108" s="8" t="s">
        <v>9</v>
      </c>
      <c r="B108" s="11" t="s">
        <v>38</v>
      </c>
      <c r="C108" s="15"/>
      <c r="D108" s="16" t="s">
        <v>19</v>
      </c>
      <c r="E108" s="17">
        <v>1.0</v>
      </c>
      <c r="F108" s="18">
        <f>E108*0.0187085093542547</f>
        <v>0.01870850935</v>
      </c>
      <c r="G108" s="18">
        <f>E108*0.978877489438745</f>
        <v>0.9788774894</v>
      </c>
      <c r="H108" s="18">
        <f>E108*0.0024140012070006</f>
        <v>0.002414001207</v>
      </c>
    </row>
    <row r="109" ht="15.75" hidden="1" customHeight="1">
      <c r="A109" s="8" t="s">
        <v>9</v>
      </c>
      <c r="B109" s="11" t="s">
        <v>38</v>
      </c>
      <c r="C109" s="15"/>
      <c r="D109" s="16" t="s">
        <v>21</v>
      </c>
      <c r="E109" s="17">
        <v>2.0</v>
      </c>
      <c r="F109" s="18">
        <f>E109* 0.999622470552703</f>
        <v>1.999244941</v>
      </c>
      <c r="G109" s="18">
        <f>E109* 0.0000755058894593778</f>
        <v>0.0001510117789</v>
      </c>
      <c r="H109" s="18">
        <f>E109* 0.000302023557837511</f>
        <v>0.0006040471157</v>
      </c>
    </row>
    <row r="110" ht="15.75" hidden="1" customHeight="1">
      <c r="A110" s="8" t="s">
        <v>9</v>
      </c>
      <c r="B110" s="11" t="s">
        <v>38</v>
      </c>
      <c r="C110" s="15"/>
      <c r="D110" s="16" t="s">
        <v>12</v>
      </c>
      <c r="E110" s="17">
        <v>1.0</v>
      </c>
      <c r="F110" s="18">
        <f>E110* 0.889957698325317</f>
        <v>0.8899576983</v>
      </c>
      <c r="G110" s="18">
        <f>E110* 0.0573100770701744</f>
        <v>0.05731007707</v>
      </c>
      <c r="H110" s="18">
        <f>E110* 0.0526742771049429</f>
        <v>0.0526742771</v>
      </c>
    </row>
    <row r="111" ht="15.75" hidden="1" customHeight="1">
      <c r="A111" s="8" t="s">
        <v>9</v>
      </c>
      <c r="B111" s="8"/>
      <c r="C111" s="8"/>
      <c r="D111" s="9"/>
      <c r="E111" s="19"/>
    </row>
    <row r="112" ht="15.75" hidden="1" customHeight="1">
      <c r="A112" s="8" t="s">
        <v>9</v>
      </c>
      <c r="B112" s="11" t="s">
        <v>39</v>
      </c>
      <c r="C112" s="12" t="str">
        <f>B112&amp;"_"&amp;A112</f>
        <v>Villa Abecia (Camataqui)_Chuquisaca</v>
      </c>
      <c r="E112" s="13">
        <v>2.0</v>
      </c>
      <c r="F112" s="14">
        <f t="shared" ref="F112:H112" si="17">SUM(F113:F116)</f>
        <v>1.016284792</v>
      </c>
      <c r="G112" s="14">
        <f t="shared" si="17"/>
        <v>0.97625554</v>
      </c>
      <c r="H112" s="14">
        <f t="shared" si="17"/>
        <v>0.007282047583</v>
      </c>
    </row>
    <row r="113" ht="15.75" hidden="1" customHeight="1">
      <c r="A113" s="8" t="s">
        <v>9</v>
      </c>
      <c r="B113" s="11" t="s">
        <v>39</v>
      </c>
      <c r="C113" s="15"/>
      <c r="D113" s="16" t="s">
        <v>15</v>
      </c>
      <c r="E113" s="17">
        <v>0.0</v>
      </c>
      <c r="F113" s="18">
        <f>E113* 0.962408869987849</f>
        <v>0</v>
      </c>
      <c r="G113" s="18">
        <f>E113*0.00425273390036452</f>
        <v>0</v>
      </c>
      <c r="H113" s="18">
        <f>E113*0.0333383961117862</f>
        <v>0</v>
      </c>
    </row>
    <row r="114" ht="15.75" hidden="1" customHeight="1">
      <c r="A114" s="8" t="s">
        <v>9</v>
      </c>
      <c r="B114" s="11" t="s">
        <v>39</v>
      </c>
      <c r="C114" s="15"/>
      <c r="D114" s="16" t="s">
        <v>11</v>
      </c>
      <c r="E114" s="17">
        <v>1.0</v>
      </c>
      <c r="F114" s="18">
        <f>E114*0.0664298401420959</f>
        <v>0.06642984014</v>
      </c>
      <c r="G114" s="18">
        <f>E114*0.932326820603908</f>
        <v>0.9323268206</v>
      </c>
      <c r="H114" s="18">
        <f>E114*0.00106571936056838</f>
        <v>0.001065719361</v>
      </c>
    </row>
    <row r="115" ht="15.75" hidden="1" customHeight="1">
      <c r="A115" s="8" t="s">
        <v>9</v>
      </c>
      <c r="B115" s="11" t="s">
        <v>39</v>
      </c>
      <c r="C115" s="15"/>
      <c r="D115" s="16" t="s">
        <v>17</v>
      </c>
      <c r="E115" s="17">
        <v>0.0</v>
      </c>
      <c r="F115" s="18">
        <f>E115*0.860929374266063</f>
        <v>0</v>
      </c>
      <c r="G115" s="18">
        <f>E115*0.0811944304646871</f>
        <v>0</v>
      </c>
      <c r="H115" s="18">
        <f>E115*0.0578761952692501</f>
        <v>0</v>
      </c>
    </row>
    <row r="116" ht="15.75" hidden="1" customHeight="1">
      <c r="A116" s="8" t="s">
        <v>9</v>
      </c>
      <c r="B116" s="11" t="s">
        <v>39</v>
      </c>
      <c r="C116" s="15"/>
      <c r="D116" s="16" t="s">
        <v>18</v>
      </c>
      <c r="E116" s="17">
        <v>1.0</v>
      </c>
      <c r="F116" s="18">
        <f>E116*0.949854952341484</f>
        <v>0.9498549523</v>
      </c>
      <c r="G116" s="18">
        <f>E116*0.0439287194363862</f>
        <v>0.04392871944</v>
      </c>
      <c r="H116" s="18">
        <f>E116*0.00621632822213013</f>
        <v>0.006216328222</v>
      </c>
    </row>
    <row r="117" ht="15.75" hidden="1" customHeight="1">
      <c r="A117" s="8" t="s">
        <v>9</v>
      </c>
      <c r="B117" s="8"/>
      <c r="C117" s="8"/>
      <c r="D117" s="9"/>
      <c r="E117" s="19"/>
    </row>
    <row r="118" ht="15.75" hidden="1" customHeight="1">
      <c r="A118" s="8" t="s">
        <v>9</v>
      </c>
      <c r="B118" s="11" t="s">
        <v>40</v>
      </c>
      <c r="C118" s="12" t="str">
        <f>B118&amp;"_"&amp;A118</f>
        <v>Villa Arias (Tarvita)_Chuquisaca</v>
      </c>
      <c r="E118" s="13">
        <v>2.0</v>
      </c>
      <c r="F118" s="14">
        <f t="shared" ref="F118:H118" si="18">SUM(F119:F121)</f>
        <v>1.962031341</v>
      </c>
      <c r="G118" s="14">
        <f t="shared" si="18"/>
        <v>0.00432823979</v>
      </c>
      <c r="H118" s="14">
        <f t="shared" si="18"/>
        <v>0.03364041967</v>
      </c>
    </row>
    <row r="119" ht="15.75" hidden="1" customHeight="1">
      <c r="A119" s="8" t="s">
        <v>9</v>
      </c>
      <c r="B119" s="11" t="s">
        <v>40</v>
      </c>
      <c r="C119" s="15"/>
      <c r="D119" s="16" t="s">
        <v>15</v>
      </c>
      <c r="E119" s="17">
        <v>1.0</v>
      </c>
      <c r="F119" s="18">
        <f>E119* 0.962408869987849</f>
        <v>0.96240887</v>
      </c>
      <c r="G119" s="18">
        <f>E119*0.00425273390036452</f>
        <v>0.0042527339</v>
      </c>
      <c r="H119" s="18">
        <f>E119*0.0333383961117862</f>
        <v>0.03333839611</v>
      </c>
    </row>
    <row r="120" ht="15.75" hidden="1" customHeight="1">
      <c r="A120" s="8" t="s">
        <v>9</v>
      </c>
      <c r="B120" s="11" t="s">
        <v>40</v>
      </c>
      <c r="C120" s="15"/>
      <c r="D120" s="16" t="s">
        <v>11</v>
      </c>
      <c r="E120" s="17">
        <v>0.0</v>
      </c>
      <c r="F120" s="18">
        <f>E120*0.0664298401420959</f>
        <v>0</v>
      </c>
      <c r="G120" s="18">
        <f>E120*0.932326820603908</f>
        <v>0</v>
      </c>
      <c r="H120" s="18">
        <f>E120*0.00106571936056838</f>
        <v>0</v>
      </c>
    </row>
    <row r="121" ht="15.75" hidden="1" customHeight="1">
      <c r="A121" s="8" t="s">
        <v>9</v>
      </c>
      <c r="B121" s="11" t="s">
        <v>40</v>
      </c>
      <c r="C121" s="15"/>
      <c r="D121" s="16" t="s">
        <v>21</v>
      </c>
      <c r="E121" s="17">
        <v>1.0</v>
      </c>
      <c r="F121" s="18">
        <f>E121* 0.999622470552703</f>
        <v>0.9996224706</v>
      </c>
      <c r="G121" s="18">
        <f>E121* 0.0000755058894593778</f>
        <v>0.00007550588946</v>
      </c>
      <c r="H121" s="18">
        <f>E121* 0.000302023557837511</f>
        <v>0.0003020235578</v>
      </c>
    </row>
    <row r="122" ht="15.75" hidden="1" customHeight="1">
      <c r="A122" s="8" t="s">
        <v>9</v>
      </c>
      <c r="B122" s="8"/>
      <c r="C122" s="8"/>
      <c r="D122" s="9"/>
      <c r="E122" s="19"/>
    </row>
    <row r="123" ht="15.75" hidden="1" customHeight="1">
      <c r="A123" s="8" t="s">
        <v>9</v>
      </c>
      <c r="B123" s="11" t="s">
        <v>41</v>
      </c>
      <c r="C123" s="12" t="str">
        <f>B123&amp;"_"&amp;A123</f>
        <v>Villa Azurduy_Chuquisaca</v>
      </c>
      <c r="E123" s="13">
        <v>5.0</v>
      </c>
      <c r="F123" s="14">
        <f t="shared" ref="F123:H123" si="19">SUM(F124:F129)</f>
        <v>2.059841365</v>
      </c>
      <c r="G123" s="14">
        <f t="shared" si="19"/>
        <v>2.878250398</v>
      </c>
      <c r="H123" s="14">
        <f t="shared" si="19"/>
        <v>0.06137537691</v>
      </c>
    </row>
    <row r="124" ht="15.75" hidden="1" customHeight="1">
      <c r="A124" s="8" t="s">
        <v>9</v>
      </c>
      <c r="B124" s="11" t="s">
        <v>41</v>
      </c>
      <c r="C124" s="15"/>
      <c r="D124" s="16" t="s">
        <v>16</v>
      </c>
      <c r="E124" s="17">
        <v>0.0</v>
      </c>
      <c r="F124" s="18">
        <f>E124* 0.03</f>
        <v>0</v>
      </c>
      <c r="G124" s="18">
        <f>E124* 0.97</f>
        <v>0</v>
      </c>
      <c r="H124" s="20">
        <v>0.0</v>
      </c>
    </row>
    <row r="125" ht="15.75" hidden="1" customHeight="1">
      <c r="A125" s="8" t="s">
        <v>9</v>
      </c>
      <c r="B125" s="11" t="s">
        <v>41</v>
      </c>
      <c r="C125" s="15"/>
      <c r="D125" s="16" t="s">
        <v>11</v>
      </c>
      <c r="E125" s="17">
        <v>3.0</v>
      </c>
      <c r="F125" s="18">
        <f>E125*0.0664298401420959</f>
        <v>0.1992895204</v>
      </c>
      <c r="G125" s="18">
        <f>E125*0.932326820603908</f>
        <v>2.796980462</v>
      </c>
      <c r="H125" s="18">
        <f>E125*0.00106571936056838</f>
        <v>0.003197158082</v>
      </c>
    </row>
    <row r="126" ht="15.75" hidden="1" customHeight="1">
      <c r="A126" s="8" t="s">
        <v>9</v>
      </c>
      <c r="B126" s="11" t="s">
        <v>41</v>
      </c>
      <c r="C126" s="15"/>
      <c r="D126" s="16" t="s">
        <v>17</v>
      </c>
      <c r="E126" s="17">
        <v>1.0</v>
      </c>
      <c r="F126" s="18">
        <f>E126*0.860929374266063</f>
        <v>0.8609293743</v>
      </c>
      <c r="G126" s="18">
        <f>E126*0.0811944304646871</f>
        <v>0.08119443046</v>
      </c>
      <c r="H126" s="18">
        <f>E126*0.0578761952692501</f>
        <v>0.05787619527</v>
      </c>
    </row>
    <row r="127" ht="15.75" hidden="1" customHeight="1">
      <c r="A127" s="8" t="s">
        <v>9</v>
      </c>
      <c r="B127" s="11" t="s">
        <v>41</v>
      </c>
      <c r="C127" s="15"/>
      <c r="D127" s="16" t="s">
        <v>19</v>
      </c>
      <c r="E127" s="17">
        <v>0.0</v>
      </c>
      <c r="F127" s="18">
        <f>E127*0.0187085093542547</f>
        <v>0</v>
      </c>
      <c r="G127" s="18">
        <f>E127*0.978877489438745</f>
        <v>0</v>
      </c>
      <c r="H127" s="18">
        <f>E127*0.0024140012070006</f>
        <v>0</v>
      </c>
    </row>
    <row r="128" ht="15.75" hidden="1" customHeight="1">
      <c r="A128" s="8" t="s">
        <v>9</v>
      </c>
      <c r="B128" s="11" t="s">
        <v>41</v>
      </c>
      <c r="C128" s="15"/>
      <c r="D128" s="16" t="s">
        <v>21</v>
      </c>
      <c r="E128" s="17">
        <v>1.0</v>
      </c>
      <c r="F128" s="18">
        <f>E128* 0.999622470552703</f>
        <v>0.9996224706</v>
      </c>
      <c r="G128" s="18">
        <f>E128* 0.0000755058894593778</f>
        <v>0.00007550588946</v>
      </c>
      <c r="H128" s="18">
        <f>E128* 0.000302023557837511</f>
        <v>0.0003020235578</v>
      </c>
    </row>
    <row r="129" ht="15.75" hidden="1" customHeight="1">
      <c r="A129" s="8" t="s">
        <v>9</v>
      </c>
      <c r="B129" s="11" t="s">
        <v>41</v>
      </c>
      <c r="C129" s="15"/>
      <c r="D129" s="16" t="s">
        <v>12</v>
      </c>
      <c r="E129" s="17">
        <v>0.0</v>
      </c>
      <c r="F129" s="18">
        <f>E129* 0.889957698325317</f>
        <v>0</v>
      </c>
      <c r="G129" s="18">
        <f>E129* 0.0573100770701744</f>
        <v>0</v>
      </c>
      <c r="H129" s="18">
        <f>E129* 0.0526742771049429</f>
        <v>0</v>
      </c>
    </row>
    <row r="130" ht="15.75" hidden="1" customHeight="1">
      <c r="A130" s="8" t="s">
        <v>9</v>
      </c>
      <c r="B130" s="8"/>
      <c r="C130" s="8"/>
      <c r="D130" s="9"/>
      <c r="E130" s="19"/>
    </row>
    <row r="131" ht="15.75" hidden="1" customHeight="1">
      <c r="A131" s="8" t="s">
        <v>9</v>
      </c>
      <c r="B131" s="11" t="s">
        <v>42</v>
      </c>
      <c r="C131" s="12" t="str">
        <f>B131&amp;"_"&amp;A131</f>
        <v>Villa Mojocoya_Chuquisaca</v>
      </c>
      <c r="E131" s="13">
        <v>6.0</v>
      </c>
      <c r="F131" s="14">
        <f t="shared" ref="F131:H131" si="20">SUM(F132:F135)</f>
        <v>3.816749769</v>
      </c>
      <c r="G131" s="14">
        <f t="shared" si="20"/>
        <v>2.031370742</v>
      </c>
      <c r="H131" s="14">
        <f t="shared" si="20"/>
        <v>0.1515242489</v>
      </c>
    </row>
    <row r="132" ht="15.75" hidden="1" customHeight="1">
      <c r="A132" s="8" t="s">
        <v>9</v>
      </c>
      <c r="B132" s="11" t="s">
        <v>42</v>
      </c>
      <c r="C132" s="15"/>
      <c r="D132" s="16" t="s">
        <v>15</v>
      </c>
      <c r="E132" s="17">
        <v>1.0</v>
      </c>
      <c r="F132" s="18">
        <f>E132* 0.962408869987849</f>
        <v>0.96240887</v>
      </c>
      <c r="G132" s="18">
        <f>E132*0.00425273390036452</f>
        <v>0.0042527339</v>
      </c>
      <c r="H132" s="18">
        <f>E132*0.0333383961117862</f>
        <v>0.03333839611</v>
      </c>
    </row>
    <row r="133" ht="15.75" hidden="1" customHeight="1">
      <c r="A133" s="8" t="s">
        <v>9</v>
      </c>
      <c r="B133" s="11" t="s">
        <v>42</v>
      </c>
      <c r="C133" s="15"/>
      <c r="D133" s="16" t="s">
        <v>11</v>
      </c>
      <c r="E133" s="17">
        <v>2.0</v>
      </c>
      <c r="F133" s="18">
        <f>E133*0.0664298401420959</f>
        <v>0.1328596803</v>
      </c>
      <c r="G133" s="18">
        <f>E133*0.932326820603908</f>
        <v>1.864653641</v>
      </c>
      <c r="H133" s="18">
        <f>E133*0.00106571936056838</f>
        <v>0.002131438721</v>
      </c>
    </row>
    <row r="134" ht="15.75" hidden="1" customHeight="1">
      <c r="A134" s="8" t="s">
        <v>9</v>
      </c>
      <c r="B134" s="11" t="s">
        <v>42</v>
      </c>
      <c r="C134" s="15"/>
      <c r="D134" s="16" t="s">
        <v>17</v>
      </c>
      <c r="E134" s="17">
        <v>2.0</v>
      </c>
      <c r="F134" s="18">
        <f>E134*0.860929374266063</f>
        <v>1.721858749</v>
      </c>
      <c r="G134" s="18">
        <f>E134*0.0811944304646871</f>
        <v>0.1623888609</v>
      </c>
      <c r="H134" s="18">
        <f>E134*0.0578761952692501</f>
        <v>0.1157523905</v>
      </c>
    </row>
    <row r="135" ht="15.75" hidden="1" customHeight="1">
      <c r="A135" s="8" t="s">
        <v>9</v>
      </c>
      <c r="B135" s="11" t="s">
        <v>42</v>
      </c>
      <c r="C135" s="15"/>
      <c r="D135" s="16" t="s">
        <v>21</v>
      </c>
      <c r="E135" s="17">
        <v>1.0</v>
      </c>
      <c r="F135" s="18">
        <f>E135* 0.999622470552703</f>
        <v>0.9996224706</v>
      </c>
      <c r="G135" s="18">
        <f>E135* 0.0000755058894593778</f>
        <v>0.00007550588946</v>
      </c>
      <c r="H135" s="18">
        <f>E135* 0.000302023557837511</f>
        <v>0.0003020235578</v>
      </c>
    </row>
    <row r="136" ht="15.75" hidden="1" customHeight="1">
      <c r="A136" s="8" t="s">
        <v>9</v>
      </c>
      <c r="B136" s="8"/>
      <c r="C136" s="8"/>
      <c r="D136" s="9"/>
      <c r="E136" s="19"/>
    </row>
    <row r="137" ht="15.75" hidden="1" customHeight="1">
      <c r="A137" s="8" t="s">
        <v>9</v>
      </c>
      <c r="B137" s="11" t="s">
        <v>43</v>
      </c>
      <c r="C137" s="12" t="str">
        <f>B137&amp;"_"&amp;A137</f>
        <v>Villa Monteagudo_Chuquisaca</v>
      </c>
      <c r="E137" s="22">
        <v>1320.0</v>
      </c>
      <c r="F137" s="14">
        <f t="shared" ref="F137:H137" si="21">SUM(F138:F149)</f>
        <v>1048.951598</v>
      </c>
      <c r="G137" s="14">
        <f t="shared" si="21"/>
        <v>240.9273419</v>
      </c>
      <c r="H137" s="14">
        <f t="shared" si="21"/>
        <v>30.07316548</v>
      </c>
    </row>
    <row r="138" ht="15.75" hidden="1" customHeight="1">
      <c r="A138" s="8" t="s">
        <v>9</v>
      </c>
      <c r="B138" s="11" t="s">
        <v>43</v>
      </c>
      <c r="C138" s="15"/>
      <c r="D138" s="16" t="s">
        <v>14</v>
      </c>
      <c r="E138" s="17">
        <v>0.0</v>
      </c>
      <c r="F138" s="20">
        <v>0.0</v>
      </c>
      <c r="G138" s="20">
        <f>E138</f>
        <v>0</v>
      </c>
      <c r="H138" s="20">
        <v>0.0</v>
      </c>
    </row>
    <row r="139" ht="15.75" hidden="1" customHeight="1">
      <c r="A139" s="8" t="s">
        <v>9</v>
      </c>
      <c r="B139" s="11" t="s">
        <v>43</v>
      </c>
      <c r="C139" s="15"/>
      <c r="D139" s="16" t="s">
        <v>15</v>
      </c>
      <c r="E139" s="17">
        <v>52.0</v>
      </c>
      <c r="F139" s="18">
        <f>E139* 0.962408869987849</f>
        <v>50.04526124</v>
      </c>
      <c r="G139" s="18">
        <f>E139*0.00425273390036452</f>
        <v>0.2211421628</v>
      </c>
      <c r="H139" s="18">
        <f>E139*0.0333383961117862</f>
        <v>1.733596598</v>
      </c>
    </row>
    <row r="140" ht="15.75" hidden="1" customHeight="1">
      <c r="A140" s="8" t="s">
        <v>9</v>
      </c>
      <c r="B140" s="11" t="s">
        <v>43</v>
      </c>
      <c r="C140" s="15"/>
      <c r="D140" s="16" t="s">
        <v>16</v>
      </c>
      <c r="E140" s="17">
        <v>16.0</v>
      </c>
      <c r="F140" s="18">
        <f>E140* 0.03</f>
        <v>0.48</v>
      </c>
      <c r="G140" s="18">
        <f>E140* 0.97</f>
        <v>15.52</v>
      </c>
      <c r="H140" s="20">
        <v>0.0</v>
      </c>
    </row>
    <row r="141" ht="15.75" hidden="1" customHeight="1">
      <c r="A141" s="8" t="s">
        <v>9</v>
      </c>
      <c r="B141" s="11" t="s">
        <v>43</v>
      </c>
      <c r="C141" s="15"/>
      <c r="D141" s="16" t="s">
        <v>11</v>
      </c>
      <c r="E141" s="17">
        <v>146.0</v>
      </c>
      <c r="F141" s="18">
        <f>E141*0.0664298401420959</f>
        <v>9.698756661</v>
      </c>
      <c r="G141" s="18">
        <f>E141*0.932326820603908</f>
        <v>136.1197158</v>
      </c>
      <c r="H141" s="18">
        <f>E141*0.00106571936056838</f>
        <v>0.1555950266</v>
      </c>
    </row>
    <row r="142" ht="15.75" hidden="1" customHeight="1">
      <c r="A142" s="8" t="s">
        <v>9</v>
      </c>
      <c r="B142" s="11" t="s">
        <v>43</v>
      </c>
      <c r="C142" s="15"/>
      <c r="D142" s="16" t="s">
        <v>17</v>
      </c>
      <c r="E142" s="17">
        <v>126.0</v>
      </c>
      <c r="F142" s="18">
        <f>E142*0.860929374266063</f>
        <v>108.4771012</v>
      </c>
      <c r="G142" s="18">
        <f>E142*0.0811944304646871</f>
        <v>10.23049824</v>
      </c>
      <c r="H142" s="18">
        <f>E142*0.0578761952692501</f>
        <v>7.292400604</v>
      </c>
    </row>
    <row r="143" ht="15.75" hidden="1" customHeight="1">
      <c r="A143" s="8" t="s">
        <v>9</v>
      </c>
      <c r="B143" s="11" t="s">
        <v>43</v>
      </c>
      <c r="C143" s="15"/>
      <c r="D143" s="16" t="s">
        <v>18</v>
      </c>
      <c r="E143" s="17">
        <v>33.0</v>
      </c>
      <c r="F143" s="18">
        <f>E143*0.949854952341484</f>
        <v>31.34521343</v>
      </c>
      <c r="G143" s="18">
        <f>E143*0.0439287194363862</f>
        <v>1.449647741</v>
      </c>
      <c r="H143" s="18">
        <f>E143*0.00621632822213013</f>
        <v>0.2051388313</v>
      </c>
    </row>
    <row r="144" ht="15.75" hidden="1" customHeight="1">
      <c r="A144" s="8" t="s">
        <v>9</v>
      </c>
      <c r="B144" s="11" t="s">
        <v>43</v>
      </c>
      <c r="C144" s="15"/>
      <c r="D144" s="16" t="s">
        <v>19</v>
      </c>
      <c r="E144" s="17">
        <v>42.0</v>
      </c>
      <c r="F144" s="18">
        <f>E144*0.0187085093542547</f>
        <v>0.7857573929</v>
      </c>
      <c r="G144" s="18">
        <f>E144*0.978877489438745</f>
        <v>41.11285456</v>
      </c>
      <c r="H144" s="18">
        <f>E144*0.0024140012070006</f>
        <v>0.1013880507</v>
      </c>
    </row>
    <row r="145" ht="15.75" hidden="1" customHeight="1">
      <c r="A145" s="8" t="s">
        <v>9</v>
      </c>
      <c r="B145" s="11" t="s">
        <v>43</v>
      </c>
      <c r="C145" s="15"/>
      <c r="D145" s="16" t="s">
        <v>20</v>
      </c>
      <c r="E145" s="17">
        <v>9.0</v>
      </c>
      <c r="F145" s="18">
        <f>E145* 0.557228915662651</f>
        <v>5.015060241</v>
      </c>
      <c r="G145" s="18">
        <f>E145*0.390562248995984</f>
        <v>3.515060241</v>
      </c>
      <c r="H145" s="18">
        <f>E145*0.0522088353413655</f>
        <v>0.4698795181</v>
      </c>
    </row>
    <row r="146" ht="15.75" hidden="1" customHeight="1">
      <c r="A146" s="8" t="s">
        <v>9</v>
      </c>
      <c r="B146" s="11" t="s">
        <v>43</v>
      </c>
      <c r="C146" s="15"/>
      <c r="D146" s="16" t="s">
        <v>21</v>
      </c>
      <c r="E146" s="17">
        <v>502.0</v>
      </c>
      <c r="F146" s="18">
        <f>E146* 0.999622470552703</f>
        <v>501.8104802</v>
      </c>
      <c r="G146" s="18">
        <f>E146* 0.0000755058894593778</f>
        <v>0.03790395651</v>
      </c>
      <c r="H146" s="18">
        <f>E146* 0.000302023557837511</f>
        <v>0.151615826</v>
      </c>
    </row>
    <row r="147" ht="15.75" hidden="1" customHeight="1">
      <c r="A147" s="8" t="s">
        <v>9</v>
      </c>
      <c r="B147" s="11" t="s">
        <v>43</v>
      </c>
      <c r="C147" s="15"/>
      <c r="D147" s="16" t="s">
        <v>36</v>
      </c>
      <c r="E147" s="17">
        <v>4.0</v>
      </c>
      <c r="F147" s="18">
        <f>E147*1</f>
        <v>4</v>
      </c>
      <c r="G147" s="20">
        <f>E147*0</f>
        <v>0</v>
      </c>
      <c r="H147" s="20">
        <f>E147*0</f>
        <v>0</v>
      </c>
    </row>
    <row r="148" ht="15.75" hidden="1" customHeight="1">
      <c r="A148" s="8" t="s">
        <v>9</v>
      </c>
      <c r="B148" s="11" t="s">
        <v>43</v>
      </c>
      <c r="C148" s="15"/>
      <c r="D148" s="16" t="s">
        <v>28</v>
      </c>
      <c r="E148" s="17">
        <v>11.0</v>
      </c>
      <c r="F148" s="20">
        <v>0.0</v>
      </c>
      <c r="G148" s="20">
        <f>E148</f>
        <v>11</v>
      </c>
      <c r="H148" s="20">
        <v>0.0</v>
      </c>
    </row>
    <row r="149" ht="15.75" hidden="1" customHeight="1">
      <c r="A149" s="8" t="s">
        <v>9</v>
      </c>
      <c r="B149" s="11" t="s">
        <v>43</v>
      </c>
      <c r="C149" s="15"/>
      <c r="D149" s="16" t="s">
        <v>12</v>
      </c>
      <c r="E149" s="17">
        <v>379.0</v>
      </c>
      <c r="F149" s="18">
        <f>E149* 0.889957698325317</f>
        <v>337.2939677</v>
      </c>
      <c r="G149" s="18">
        <f>E149* 0.0573100770701744</f>
        <v>21.72051921</v>
      </c>
      <c r="H149" s="18">
        <f>E149* 0.0526742771049429</f>
        <v>19.96355102</v>
      </c>
    </row>
    <row r="150" ht="15.75" hidden="1" customHeight="1">
      <c r="A150" s="8" t="s">
        <v>9</v>
      </c>
      <c r="B150" s="8"/>
      <c r="C150" s="8"/>
      <c r="D150" s="9"/>
      <c r="E150" s="19"/>
    </row>
    <row r="151" ht="15.75" hidden="1" customHeight="1">
      <c r="A151" s="8" t="s">
        <v>9</v>
      </c>
      <c r="B151" s="11" t="s">
        <v>44</v>
      </c>
      <c r="C151" s="12" t="str">
        <f>B151&amp;"_"&amp;A151</f>
        <v>Villa R. Mujía (Icla)_Chuquisaca</v>
      </c>
      <c r="E151" s="13">
        <v>3.0</v>
      </c>
      <c r="F151" s="14">
        <f t="shared" ref="F151:H151" si="22">SUM(F152:F153)</f>
        <v>1.846345237</v>
      </c>
      <c r="G151" s="14">
        <f t="shared" si="22"/>
        <v>1.046946975</v>
      </c>
      <c r="H151" s="14">
        <f t="shared" si="22"/>
        <v>0.1064142736</v>
      </c>
    </row>
    <row r="152" ht="15.75" hidden="1" customHeight="1">
      <c r="A152" s="8" t="s">
        <v>9</v>
      </c>
      <c r="B152" s="11" t="s">
        <v>44</v>
      </c>
      <c r="C152" s="15"/>
      <c r="D152" s="16" t="s">
        <v>11</v>
      </c>
      <c r="E152" s="17">
        <v>1.0</v>
      </c>
      <c r="F152" s="18">
        <f>E152*0.0664298401420959</f>
        <v>0.06642984014</v>
      </c>
      <c r="G152" s="18">
        <f>E152*0.932326820603908</f>
        <v>0.9323268206</v>
      </c>
      <c r="H152" s="18">
        <f>E152*0.00106571936056838</f>
        <v>0.001065719361</v>
      </c>
    </row>
    <row r="153" ht="15.75" hidden="1" customHeight="1">
      <c r="A153" s="8" t="s">
        <v>9</v>
      </c>
      <c r="B153" s="11" t="s">
        <v>44</v>
      </c>
      <c r="C153" s="15"/>
      <c r="D153" s="16" t="s">
        <v>12</v>
      </c>
      <c r="E153" s="17">
        <v>2.0</v>
      </c>
      <c r="F153" s="18">
        <f>E153* 0.889957698325317</f>
        <v>1.779915397</v>
      </c>
      <c r="G153" s="18">
        <f>E153* 0.0573100770701744</f>
        <v>0.1146201541</v>
      </c>
      <c r="H153" s="18">
        <f>E153* 0.0526742771049429</f>
        <v>0.1053485542</v>
      </c>
    </row>
    <row r="154" ht="15.75" hidden="1" customHeight="1">
      <c r="A154" s="8" t="s">
        <v>9</v>
      </c>
      <c r="B154" s="8"/>
      <c r="C154" s="8"/>
      <c r="D154" s="9"/>
      <c r="E154" s="19"/>
    </row>
    <row r="155" ht="15.75" hidden="1" customHeight="1">
      <c r="A155" s="8" t="s">
        <v>9</v>
      </c>
      <c r="B155" s="11" t="s">
        <v>45</v>
      </c>
      <c r="C155" s="12" t="str">
        <f>B155&amp;"_"&amp;A155</f>
        <v>Villa Serrano_Chuquisaca</v>
      </c>
      <c r="E155" s="13">
        <v>45.0</v>
      </c>
      <c r="F155" s="14">
        <f t="shared" ref="F155:H155" si="23">SUM(F156:F162)</f>
        <v>35.49857381</v>
      </c>
      <c r="G155" s="14">
        <f t="shared" si="23"/>
        <v>8.283356835</v>
      </c>
      <c r="H155" s="14">
        <f t="shared" si="23"/>
        <v>1.21671012</v>
      </c>
    </row>
    <row r="156" ht="15.75" hidden="1" customHeight="1">
      <c r="A156" s="8" t="s">
        <v>9</v>
      </c>
      <c r="B156" s="11" t="s">
        <v>45</v>
      </c>
      <c r="C156" s="15"/>
      <c r="D156" s="16" t="s">
        <v>15</v>
      </c>
      <c r="E156" s="17">
        <v>1.0</v>
      </c>
      <c r="F156" s="18">
        <f>E156* 0.962408869987849</f>
        <v>0.96240887</v>
      </c>
      <c r="G156" s="18">
        <f>E156*0.00425273390036452</f>
        <v>0.0042527339</v>
      </c>
      <c r="H156" s="18">
        <f>E156*0.0333383961117862</f>
        <v>0.03333839611</v>
      </c>
    </row>
    <row r="157" ht="15.75" hidden="1" customHeight="1">
      <c r="A157" s="8" t="s">
        <v>9</v>
      </c>
      <c r="B157" s="11" t="s">
        <v>45</v>
      </c>
      <c r="C157" s="15"/>
      <c r="D157" s="16" t="s">
        <v>11</v>
      </c>
      <c r="E157" s="17">
        <v>7.0</v>
      </c>
      <c r="F157" s="18">
        <f>E157*0.0664298401420959</f>
        <v>0.465008881</v>
      </c>
      <c r="G157" s="18">
        <f>E157*0.932326820603908</f>
        <v>6.526287744</v>
      </c>
      <c r="H157" s="18">
        <f>E157*0.00106571936056838</f>
        <v>0.007460035524</v>
      </c>
    </row>
    <row r="158" ht="15.75" hidden="1" customHeight="1">
      <c r="A158" s="8" t="s">
        <v>9</v>
      </c>
      <c r="B158" s="11" t="s">
        <v>45</v>
      </c>
      <c r="C158" s="15"/>
      <c r="D158" s="16" t="s">
        <v>17</v>
      </c>
      <c r="E158" s="17">
        <v>18.0</v>
      </c>
      <c r="F158" s="18">
        <f>E158*0.860929374266063</f>
        <v>15.49672874</v>
      </c>
      <c r="G158" s="18">
        <f>E158*0.0811944304646871</f>
        <v>1.461499748</v>
      </c>
      <c r="H158" s="18">
        <f>E158*0.0578761952692501</f>
        <v>1.041771515</v>
      </c>
    </row>
    <row r="159" ht="15.75" hidden="1" customHeight="1">
      <c r="A159" s="8" t="s">
        <v>9</v>
      </c>
      <c r="B159" s="11" t="s">
        <v>45</v>
      </c>
      <c r="C159" s="15"/>
      <c r="D159" s="16" t="s">
        <v>18</v>
      </c>
      <c r="E159" s="17">
        <v>4.0</v>
      </c>
      <c r="F159" s="18">
        <f>E159*0.949854952341484</f>
        <v>3.799419809</v>
      </c>
      <c r="G159" s="18">
        <f>E159*0.0439287194363862</f>
        <v>0.1757148777</v>
      </c>
      <c r="H159" s="18">
        <f>E159*0.00621632822213013</f>
        <v>0.02486531289</v>
      </c>
    </row>
    <row r="160" ht="15.75" hidden="1" customHeight="1">
      <c r="A160" s="8" t="s">
        <v>9</v>
      </c>
      <c r="B160" s="11" t="s">
        <v>45</v>
      </c>
      <c r="C160" s="15"/>
      <c r="D160" s="16" t="s">
        <v>20</v>
      </c>
      <c r="E160" s="17">
        <v>0.0</v>
      </c>
      <c r="F160" s="18">
        <f>E160* 0.557228915662651</f>
        <v>0</v>
      </c>
      <c r="G160" s="18">
        <f>E160*0.390562248995984</f>
        <v>0</v>
      </c>
      <c r="H160" s="18">
        <f>E160*0.0522088353413655</f>
        <v>0</v>
      </c>
    </row>
    <row r="161" ht="15.75" hidden="1" customHeight="1">
      <c r="A161" s="8" t="s">
        <v>9</v>
      </c>
      <c r="B161" s="11" t="s">
        <v>45</v>
      </c>
      <c r="C161" s="15"/>
      <c r="D161" s="16" t="s">
        <v>21</v>
      </c>
      <c r="E161" s="17">
        <v>13.0</v>
      </c>
      <c r="F161" s="18">
        <f>E161* 0.999622470552703</f>
        <v>12.99509212</v>
      </c>
      <c r="G161" s="18">
        <f>E161* 0.0000755058894593778</f>
        <v>0.000981576563</v>
      </c>
      <c r="H161" s="18">
        <f>E161* 0.000302023557837511</f>
        <v>0.003926306252</v>
      </c>
    </row>
    <row r="162" ht="15.75" hidden="1" customHeight="1">
      <c r="A162" s="8" t="s">
        <v>9</v>
      </c>
      <c r="B162" s="11" t="s">
        <v>45</v>
      </c>
      <c r="C162" s="15"/>
      <c r="D162" s="16" t="s">
        <v>12</v>
      </c>
      <c r="E162" s="17">
        <v>2.0</v>
      </c>
      <c r="F162" s="18">
        <f>E162* 0.889957698325317</f>
        <v>1.779915397</v>
      </c>
      <c r="G162" s="18">
        <f>E162* 0.0573100770701744</f>
        <v>0.1146201541</v>
      </c>
      <c r="H162" s="18">
        <f>E162* 0.0526742771049429</f>
        <v>0.1053485542</v>
      </c>
    </row>
    <row r="163" ht="15.75" hidden="1" customHeight="1">
      <c r="A163" s="8" t="s">
        <v>9</v>
      </c>
      <c r="B163" s="8"/>
      <c r="C163" s="8"/>
      <c r="D163" s="9"/>
      <c r="E163" s="19"/>
    </row>
    <row r="164" ht="15.75" hidden="1" customHeight="1">
      <c r="A164" s="8" t="s">
        <v>9</v>
      </c>
      <c r="B164" s="11" t="s">
        <v>46</v>
      </c>
      <c r="C164" s="12" t="str">
        <f>B164&amp;"_"&amp;A164</f>
        <v>Villa Tomina_Chuquisaca</v>
      </c>
      <c r="E164" s="13">
        <v>7.0</v>
      </c>
      <c r="F164" s="14">
        <f t="shared" ref="F164:H164" si="24">SUM(F165:F175)</f>
        <v>3.949421534</v>
      </c>
      <c r="G164" s="14">
        <f t="shared" si="24"/>
        <v>2.935635981</v>
      </c>
      <c r="H164" s="14">
        <f t="shared" si="24"/>
        <v>0.1143516776</v>
      </c>
    </row>
    <row r="165" ht="15.75" hidden="1" customHeight="1">
      <c r="A165" s="8" t="s">
        <v>9</v>
      </c>
      <c r="B165" s="11" t="s">
        <v>46</v>
      </c>
      <c r="C165" s="15"/>
      <c r="D165" s="16" t="s">
        <v>14</v>
      </c>
      <c r="E165" s="17">
        <v>0.0</v>
      </c>
      <c r="F165" s="20">
        <v>0.0</v>
      </c>
      <c r="G165" s="20">
        <f>E165</f>
        <v>0</v>
      </c>
      <c r="H165" s="20">
        <v>0.0</v>
      </c>
    </row>
    <row r="166" ht="15.75" hidden="1" customHeight="1">
      <c r="A166" s="8" t="s">
        <v>9</v>
      </c>
      <c r="B166" s="11" t="s">
        <v>46</v>
      </c>
      <c r="C166" s="15"/>
      <c r="D166" s="16" t="s">
        <v>15</v>
      </c>
      <c r="E166" s="17">
        <v>0.0</v>
      </c>
      <c r="F166" s="18">
        <f>E166* 0.962408869987849</f>
        <v>0</v>
      </c>
      <c r="G166" s="18">
        <f>E166*0.00425273390036452</f>
        <v>0</v>
      </c>
      <c r="H166" s="18">
        <f>E166*0.0333383961117862</f>
        <v>0</v>
      </c>
    </row>
    <row r="167" ht="15.75" hidden="1" customHeight="1">
      <c r="A167" s="8" t="s">
        <v>9</v>
      </c>
      <c r="B167" s="11" t="s">
        <v>46</v>
      </c>
      <c r="C167" s="15"/>
      <c r="D167" s="16" t="s">
        <v>16</v>
      </c>
      <c r="E167" s="17">
        <v>0.0</v>
      </c>
      <c r="F167" s="18">
        <f>E167* 0.03</f>
        <v>0</v>
      </c>
      <c r="G167" s="18">
        <f>E167* 0.97</f>
        <v>0</v>
      </c>
      <c r="H167" s="20">
        <v>0.0</v>
      </c>
    </row>
    <row r="168" ht="15.75" hidden="1" customHeight="1">
      <c r="A168" s="8" t="s">
        <v>9</v>
      </c>
      <c r="B168" s="11" t="s">
        <v>46</v>
      </c>
      <c r="C168" s="15"/>
      <c r="D168" s="16" t="s">
        <v>11</v>
      </c>
      <c r="E168" s="17">
        <v>3.0</v>
      </c>
      <c r="F168" s="18">
        <f>E168*0.0664298401420959</f>
        <v>0.1992895204</v>
      </c>
      <c r="G168" s="18">
        <f>E168*0.932326820603908</f>
        <v>2.796980462</v>
      </c>
      <c r="H168" s="18">
        <f>E168*0.00106571936056838</f>
        <v>0.003197158082</v>
      </c>
    </row>
    <row r="169" ht="15.75" hidden="1" customHeight="1">
      <c r="A169" s="8" t="s">
        <v>9</v>
      </c>
      <c r="B169" s="11" t="s">
        <v>46</v>
      </c>
      <c r="C169" s="15"/>
      <c r="D169" s="16" t="s">
        <v>17</v>
      </c>
      <c r="E169" s="17">
        <v>1.0</v>
      </c>
      <c r="F169" s="18">
        <f>E169*0.860929374266063</f>
        <v>0.8609293743</v>
      </c>
      <c r="G169" s="18">
        <f>E169*0.0811944304646871</f>
        <v>0.08119443046</v>
      </c>
      <c r="H169" s="18">
        <f>E169*0.0578761952692501</f>
        <v>0.05787619527</v>
      </c>
    </row>
    <row r="170" ht="15.75" hidden="1" customHeight="1">
      <c r="A170" s="8" t="s">
        <v>9</v>
      </c>
      <c r="B170" s="11" t="s">
        <v>46</v>
      </c>
      <c r="C170" s="15"/>
      <c r="D170" s="16" t="s">
        <v>18</v>
      </c>
      <c r="E170" s="17">
        <v>0.0</v>
      </c>
      <c r="F170" s="18">
        <f>E170*0.949854952341484</f>
        <v>0</v>
      </c>
      <c r="G170" s="18">
        <f>E170*0.0439287194363862</f>
        <v>0</v>
      </c>
      <c r="H170" s="18">
        <f>E170*0.00621632822213013</f>
        <v>0</v>
      </c>
    </row>
    <row r="171" ht="15.75" hidden="1" customHeight="1">
      <c r="A171" s="8" t="s">
        <v>9</v>
      </c>
      <c r="B171" s="11" t="s">
        <v>46</v>
      </c>
      <c r="C171" s="15"/>
      <c r="D171" s="16" t="s">
        <v>19</v>
      </c>
      <c r="E171" s="17">
        <v>0.0</v>
      </c>
      <c r="F171" s="18">
        <f>E171*0.0187085093542547</f>
        <v>0</v>
      </c>
      <c r="G171" s="18">
        <f>E171*0.978877489438745</f>
        <v>0</v>
      </c>
      <c r="H171" s="18">
        <f>E171*0.0024140012070006</f>
        <v>0</v>
      </c>
    </row>
    <row r="172" ht="15.75" hidden="1" customHeight="1">
      <c r="A172" s="8" t="s">
        <v>9</v>
      </c>
      <c r="B172" s="11" t="s">
        <v>46</v>
      </c>
      <c r="C172" s="15"/>
      <c r="D172" s="16" t="s">
        <v>20</v>
      </c>
      <c r="E172" s="17">
        <v>0.0</v>
      </c>
      <c r="F172" s="18">
        <f>E172* 0.557228915662651</f>
        <v>0</v>
      </c>
      <c r="G172" s="18">
        <f>E172*0.390562248995984</f>
        <v>0</v>
      </c>
      <c r="H172" s="18">
        <f>E172*0.0522088353413655</f>
        <v>0</v>
      </c>
    </row>
    <row r="173" ht="15.75" hidden="1" customHeight="1">
      <c r="A173" s="8" t="s">
        <v>9</v>
      </c>
      <c r="B173" s="11" t="s">
        <v>46</v>
      </c>
      <c r="C173" s="15"/>
      <c r="D173" s="16" t="s">
        <v>21</v>
      </c>
      <c r="E173" s="17">
        <v>2.0</v>
      </c>
      <c r="F173" s="18">
        <f>E173* 0.999622470552703</f>
        <v>1.999244941</v>
      </c>
      <c r="G173" s="18">
        <f>E173* 0.0000755058894593778</f>
        <v>0.0001510117789</v>
      </c>
      <c r="H173" s="18">
        <f>E173* 0.000302023557837511</f>
        <v>0.0006040471157</v>
      </c>
    </row>
    <row r="174" ht="15.75" hidden="1" customHeight="1">
      <c r="A174" s="8" t="s">
        <v>9</v>
      </c>
      <c r="B174" s="11" t="s">
        <v>46</v>
      </c>
      <c r="C174" s="15"/>
      <c r="D174" s="16" t="s">
        <v>28</v>
      </c>
      <c r="E174" s="17">
        <v>0.0</v>
      </c>
      <c r="F174" s="20">
        <v>0.0</v>
      </c>
      <c r="G174" s="20">
        <f>E174</f>
        <v>0</v>
      </c>
      <c r="H174" s="20">
        <v>0.0</v>
      </c>
    </row>
    <row r="175" ht="15.75" hidden="1" customHeight="1">
      <c r="A175" s="8" t="s">
        <v>9</v>
      </c>
      <c r="B175" s="11" t="s">
        <v>46</v>
      </c>
      <c r="C175" s="15"/>
      <c r="D175" s="16" t="s">
        <v>12</v>
      </c>
      <c r="E175" s="17">
        <v>1.0</v>
      </c>
      <c r="F175" s="18">
        <f>E175* 0.889957698325317</f>
        <v>0.8899576983</v>
      </c>
      <c r="G175" s="18">
        <f>E175* 0.0573100770701744</f>
        <v>0.05731007707</v>
      </c>
      <c r="H175" s="18">
        <f>E175* 0.0526742771049429</f>
        <v>0.0526742771</v>
      </c>
    </row>
    <row r="176" ht="15.75" hidden="1" customHeight="1">
      <c r="A176" s="8" t="s">
        <v>9</v>
      </c>
      <c r="B176" s="21"/>
      <c r="C176" s="21"/>
      <c r="D176" s="16"/>
      <c r="E176" s="19"/>
    </row>
    <row r="177" ht="15.75" hidden="1" customHeight="1">
      <c r="A177" s="8" t="s">
        <v>9</v>
      </c>
      <c r="B177" s="11" t="s">
        <v>47</v>
      </c>
      <c r="C177" s="12" t="str">
        <f>B177&amp;"_"&amp;A177</f>
        <v>Villa Vaca Guzmán (Muyupampa)_Chuquisaca</v>
      </c>
      <c r="E177" s="13">
        <v>9.0</v>
      </c>
      <c r="F177" s="14">
        <f t="shared" ref="F177:H177" si="25">SUM(F178:F181)</f>
        <v>6.318901444</v>
      </c>
      <c r="G177" s="14">
        <f t="shared" si="25"/>
        <v>2.308304251</v>
      </c>
      <c r="H177" s="14">
        <f t="shared" si="25"/>
        <v>0.3723231701</v>
      </c>
    </row>
    <row r="178" ht="15.75" hidden="1" customHeight="1">
      <c r="A178" s="8" t="s">
        <v>9</v>
      </c>
      <c r="B178" s="11" t="s">
        <v>47</v>
      </c>
      <c r="C178" s="15"/>
      <c r="D178" s="16" t="s">
        <v>15</v>
      </c>
      <c r="E178" s="17">
        <v>1.0</v>
      </c>
      <c r="F178" s="18">
        <f>E178* 0.962408869987849</f>
        <v>0.96240887</v>
      </c>
      <c r="G178" s="18">
        <f>E178*0.00425273390036452</f>
        <v>0.0042527339</v>
      </c>
      <c r="H178" s="18">
        <f>E178*0.0333383961117862</f>
        <v>0.03333839611</v>
      </c>
    </row>
    <row r="179" ht="15.75" hidden="1" customHeight="1">
      <c r="A179" s="8" t="s">
        <v>9</v>
      </c>
      <c r="B179" s="11" t="s">
        <v>47</v>
      </c>
      <c r="C179" s="15"/>
      <c r="D179" s="16" t="s">
        <v>11</v>
      </c>
      <c r="E179" s="17">
        <v>2.0</v>
      </c>
      <c r="F179" s="18">
        <f>E179*0.0664298401420959</f>
        <v>0.1328596803</v>
      </c>
      <c r="G179" s="18">
        <f>E179*0.932326820603908</f>
        <v>1.864653641</v>
      </c>
      <c r="H179" s="18">
        <f>E179*0.00106571936056838</f>
        <v>0.002131438721</v>
      </c>
    </row>
    <row r="180" ht="15.75" hidden="1" customHeight="1">
      <c r="A180" s="8" t="s">
        <v>9</v>
      </c>
      <c r="B180" s="11" t="s">
        <v>47</v>
      </c>
      <c r="C180" s="15"/>
      <c r="D180" s="16" t="s">
        <v>17</v>
      </c>
      <c r="E180" s="17">
        <v>4.0</v>
      </c>
      <c r="F180" s="18">
        <f>E180*0.860929374266063</f>
        <v>3.443717497</v>
      </c>
      <c r="G180" s="18">
        <f>E180*0.0811944304646871</f>
        <v>0.3247777219</v>
      </c>
      <c r="H180" s="18">
        <f>E180*0.0578761952692501</f>
        <v>0.2315047811</v>
      </c>
    </row>
    <row r="181" ht="15.75" hidden="1" customHeight="1">
      <c r="A181" s="8" t="s">
        <v>9</v>
      </c>
      <c r="B181" s="11" t="s">
        <v>47</v>
      </c>
      <c r="C181" s="15"/>
      <c r="D181" s="16" t="s">
        <v>12</v>
      </c>
      <c r="E181" s="17">
        <v>2.0</v>
      </c>
      <c r="F181" s="18">
        <f>E181* 0.889957698325317</f>
        <v>1.779915397</v>
      </c>
      <c r="G181" s="18">
        <f>E181* 0.0573100770701744</f>
        <v>0.1146201541</v>
      </c>
      <c r="H181" s="18">
        <f>E181* 0.0526742771049429</f>
        <v>0.1053485542</v>
      </c>
    </row>
    <row r="182" ht="15.75" hidden="1" customHeight="1">
      <c r="A182" s="8" t="s">
        <v>9</v>
      </c>
      <c r="B182" s="8"/>
      <c r="C182" s="8"/>
      <c r="D182" s="9"/>
      <c r="E182" s="19"/>
    </row>
    <row r="183" ht="15.75" hidden="1" customHeight="1">
      <c r="A183" s="8" t="s">
        <v>9</v>
      </c>
      <c r="B183" s="11" t="s">
        <v>48</v>
      </c>
      <c r="C183" s="12" t="str">
        <f>B183&amp;"_"&amp;A183</f>
        <v>Villa Zudáñez (Tacopaya)_Chuquisaca</v>
      </c>
      <c r="E183" s="13">
        <v>2.0</v>
      </c>
      <c r="F183" s="14">
        <f t="shared" ref="F183:H183" si="26">SUM(F184:F195)</f>
        <v>1.066052311</v>
      </c>
      <c r="G183" s="14">
        <f t="shared" si="26"/>
        <v>0.9324023265</v>
      </c>
      <c r="H183" s="14">
        <f t="shared" si="26"/>
        <v>0.001367742918</v>
      </c>
    </row>
    <row r="184" ht="15.75" hidden="1" customHeight="1">
      <c r="A184" s="8" t="s">
        <v>9</v>
      </c>
      <c r="B184" s="11" t="s">
        <v>48</v>
      </c>
      <c r="C184" s="15"/>
      <c r="D184" s="16" t="s">
        <v>14</v>
      </c>
      <c r="E184" s="17">
        <v>0.0</v>
      </c>
      <c r="F184" s="20">
        <v>0.0</v>
      </c>
      <c r="G184" s="20">
        <f>E184</f>
        <v>0</v>
      </c>
      <c r="H184" s="20">
        <v>0.0</v>
      </c>
    </row>
    <row r="185" ht="15.75" hidden="1" customHeight="1">
      <c r="A185" s="8" t="s">
        <v>9</v>
      </c>
      <c r="B185" s="11" t="s">
        <v>48</v>
      </c>
      <c r="C185" s="15"/>
      <c r="D185" s="16" t="s">
        <v>15</v>
      </c>
      <c r="E185" s="17">
        <v>0.0</v>
      </c>
      <c r="F185" s="18">
        <f>E185* 0.962408869987849</f>
        <v>0</v>
      </c>
      <c r="G185" s="18">
        <f>E185*0.00425273390036452</f>
        <v>0</v>
      </c>
      <c r="H185" s="18">
        <f>E185*0.0333383961117862</f>
        <v>0</v>
      </c>
    </row>
    <row r="186" ht="15.75" hidden="1" customHeight="1">
      <c r="A186" s="8" t="s">
        <v>9</v>
      </c>
      <c r="B186" s="11" t="s">
        <v>48</v>
      </c>
      <c r="C186" s="15"/>
      <c r="D186" s="16" t="s">
        <v>16</v>
      </c>
      <c r="E186" s="17">
        <v>0.0</v>
      </c>
      <c r="F186" s="18">
        <f>E186* 0.03</f>
        <v>0</v>
      </c>
      <c r="G186" s="18">
        <f>E186* 0.97</f>
        <v>0</v>
      </c>
      <c r="H186" s="20">
        <v>0.0</v>
      </c>
    </row>
    <row r="187" ht="15.75" hidden="1" customHeight="1">
      <c r="A187" s="8" t="s">
        <v>9</v>
      </c>
      <c r="B187" s="11" t="s">
        <v>48</v>
      </c>
      <c r="C187" s="15"/>
      <c r="D187" s="16" t="s">
        <v>11</v>
      </c>
      <c r="E187" s="17">
        <v>1.0</v>
      </c>
      <c r="F187" s="18">
        <f>E187*0.0664298401420959</f>
        <v>0.06642984014</v>
      </c>
      <c r="G187" s="18">
        <f>E187*0.932326820603908</f>
        <v>0.9323268206</v>
      </c>
      <c r="H187" s="18">
        <f>E187*0.00106571936056838</f>
        <v>0.001065719361</v>
      </c>
    </row>
    <row r="188" ht="15.75" hidden="1" customHeight="1">
      <c r="A188" s="8" t="s">
        <v>9</v>
      </c>
      <c r="B188" s="11" t="s">
        <v>48</v>
      </c>
      <c r="C188" s="15"/>
      <c r="D188" s="16" t="s">
        <v>17</v>
      </c>
      <c r="E188" s="17">
        <v>0.0</v>
      </c>
      <c r="F188" s="18">
        <f>E188*0.860929374266063</f>
        <v>0</v>
      </c>
      <c r="G188" s="18">
        <f>E188*0.0811944304646871</f>
        <v>0</v>
      </c>
      <c r="H188" s="18">
        <f>E188*0.0578761952692501</f>
        <v>0</v>
      </c>
    </row>
    <row r="189" ht="15.75" hidden="1" customHeight="1">
      <c r="A189" s="8" t="s">
        <v>9</v>
      </c>
      <c r="B189" s="11" t="s">
        <v>48</v>
      </c>
      <c r="C189" s="15"/>
      <c r="D189" s="16" t="s">
        <v>18</v>
      </c>
      <c r="E189" s="17">
        <v>0.0</v>
      </c>
      <c r="F189" s="18">
        <f>E189*0.949854952341484</f>
        <v>0</v>
      </c>
      <c r="G189" s="18">
        <f>E189*0.0439287194363862</f>
        <v>0</v>
      </c>
      <c r="H189" s="18">
        <f>E189*0.00621632822213013</f>
        <v>0</v>
      </c>
    </row>
    <row r="190" ht="15.75" hidden="1" customHeight="1">
      <c r="A190" s="8" t="s">
        <v>9</v>
      </c>
      <c r="B190" s="11" t="s">
        <v>48</v>
      </c>
      <c r="C190" s="15"/>
      <c r="D190" s="16" t="s">
        <v>19</v>
      </c>
      <c r="E190" s="17">
        <v>0.0</v>
      </c>
      <c r="F190" s="18">
        <f>E190*0.0187085093542547</f>
        <v>0</v>
      </c>
      <c r="G190" s="18">
        <f>E190*0.978877489438745</f>
        <v>0</v>
      </c>
      <c r="H190" s="18">
        <f>E190*0.0024140012070006</f>
        <v>0</v>
      </c>
    </row>
    <row r="191" ht="15.75" hidden="1" customHeight="1">
      <c r="A191" s="8" t="s">
        <v>9</v>
      </c>
      <c r="B191" s="11" t="s">
        <v>48</v>
      </c>
      <c r="C191" s="15"/>
      <c r="D191" s="16" t="s">
        <v>20</v>
      </c>
      <c r="E191" s="17">
        <v>0.0</v>
      </c>
      <c r="F191" s="18">
        <f>E191* 0.557228915662651</f>
        <v>0</v>
      </c>
      <c r="G191" s="18">
        <f>E191*0.390562248995984</f>
        <v>0</v>
      </c>
      <c r="H191" s="18">
        <f>E191*0.0522088353413655</f>
        <v>0</v>
      </c>
    </row>
    <row r="192" ht="15.75" hidden="1" customHeight="1">
      <c r="A192" s="8" t="s">
        <v>9</v>
      </c>
      <c r="B192" s="11" t="s">
        <v>48</v>
      </c>
      <c r="C192" s="15"/>
      <c r="D192" s="16" t="s">
        <v>21</v>
      </c>
      <c r="E192" s="17">
        <v>1.0</v>
      </c>
      <c r="F192" s="18">
        <f>E192* 0.999622470552703</f>
        <v>0.9996224706</v>
      </c>
      <c r="G192" s="18">
        <f>E192* 0.0000755058894593778</f>
        <v>0.00007550588946</v>
      </c>
      <c r="H192" s="18">
        <f>E192* 0.000302023557837511</f>
        <v>0.0003020235578</v>
      </c>
    </row>
    <row r="193" ht="15.75" hidden="1" customHeight="1">
      <c r="A193" s="8" t="s">
        <v>9</v>
      </c>
      <c r="B193" s="11" t="s">
        <v>48</v>
      </c>
      <c r="C193" s="15"/>
      <c r="D193" s="16" t="s">
        <v>36</v>
      </c>
      <c r="E193" s="17">
        <v>0.0</v>
      </c>
      <c r="F193" s="18">
        <f>E193*1</f>
        <v>0</v>
      </c>
      <c r="G193" s="20">
        <f>E193*0</f>
        <v>0</v>
      </c>
      <c r="H193" s="20">
        <f>E193*0</f>
        <v>0</v>
      </c>
    </row>
    <row r="194" ht="15.75" hidden="1" customHeight="1">
      <c r="A194" s="8" t="s">
        <v>9</v>
      </c>
      <c r="B194" s="11" t="s">
        <v>48</v>
      </c>
      <c r="C194" s="15"/>
      <c r="D194" s="16" t="s">
        <v>28</v>
      </c>
      <c r="E194" s="17">
        <v>0.0</v>
      </c>
      <c r="F194" s="20">
        <v>0.0</v>
      </c>
      <c r="G194" s="20">
        <f>E194</f>
        <v>0</v>
      </c>
      <c r="H194" s="20">
        <v>0.0</v>
      </c>
    </row>
    <row r="195" ht="15.75" hidden="1" customHeight="1">
      <c r="A195" s="8" t="s">
        <v>9</v>
      </c>
      <c r="B195" s="11" t="s">
        <v>48</v>
      </c>
      <c r="C195" s="15"/>
      <c r="D195" s="16" t="s">
        <v>12</v>
      </c>
      <c r="E195" s="17">
        <v>0.0</v>
      </c>
      <c r="F195" s="18">
        <f>E195* 0.889957698325317</f>
        <v>0</v>
      </c>
      <c r="G195" s="18">
        <f>E195* 0.0573100770701744</f>
        <v>0</v>
      </c>
      <c r="H195" s="18">
        <f>E195* 0.0526742771049429</f>
        <v>0</v>
      </c>
    </row>
    <row r="196" ht="15.75" hidden="1" customHeight="1">
      <c r="A196" s="8" t="s">
        <v>9</v>
      </c>
      <c r="B196" s="8"/>
      <c r="C196" s="8"/>
      <c r="D196" s="9"/>
      <c r="E196" s="19"/>
    </row>
    <row r="197" ht="15.75" hidden="1" customHeight="1">
      <c r="A197" s="8" t="s">
        <v>9</v>
      </c>
      <c r="B197" s="11" t="s">
        <v>49</v>
      </c>
      <c r="C197" s="12" t="str">
        <f>B197&amp;"_"&amp;A197</f>
        <v>Yamparáez_Chuquisaca</v>
      </c>
      <c r="E197" s="13">
        <v>45.0</v>
      </c>
      <c r="F197" s="14">
        <f t="shared" ref="F197:H197" si="27">SUM(F198:F208)</f>
        <v>25.83739192</v>
      </c>
      <c r="G197" s="14">
        <f t="shared" si="27"/>
        <v>18.07432774</v>
      </c>
      <c r="H197" s="14">
        <f t="shared" si="27"/>
        <v>1.086036789</v>
      </c>
    </row>
    <row r="198" ht="15.75" hidden="1" customHeight="1">
      <c r="A198" s="8" t="s">
        <v>9</v>
      </c>
      <c r="B198" s="11" t="s">
        <v>49</v>
      </c>
      <c r="C198" s="15"/>
      <c r="D198" s="16" t="s">
        <v>14</v>
      </c>
      <c r="E198" s="17">
        <v>0.0</v>
      </c>
      <c r="F198" s="20">
        <v>0.0</v>
      </c>
      <c r="G198" s="20">
        <f>E198</f>
        <v>0</v>
      </c>
      <c r="H198" s="20">
        <v>0.0</v>
      </c>
    </row>
    <row r="199" ht="15.75" hidden="1" customHeight="1">
      <c r="A199" s="8" t="s">
        <v>9</v>
      </c>
      <c r="B199" s="11" t="s">
        <v>49</v>
      </c>
      <c r="C199" s="15"/>
      <c r="D199" s="16" t="s">
        <v>15</v>
      </c>
      <c r="E199" s="17">
        <v>1.0</v>
      </c>
      <c r="F199" s="18">
        <f>E199* 0.962408869987849</f>
        <v>0.96240887</v>
      </c>
      <c r="G199" s="18">
        <f>E199*0.00425273390036452</f>
        <v>0.0042527339</v>
      </c>
      <c r="H199" s="18">
        <f>E199*0.0333383961117862</f>
        <v>0.03333839611</v>
      </c>
    </row>
    <row r="200" ht="15.75" hidden="1" customHeight="1">
      <c r="A200" s="8" t="s">
        <v>9</v>
      </c>
      <c r="B200" s="11" t="s">
        <v>49</v>
      </c>
      <c r="C200" s="15"/>
      <c r="D200" s="16" t="s">
        <v>16</v>
      </c>
      <c r="E200" s="17">
        <v>0.0</v>
      </c>
      <c r="F200" s="18">
        <f>E200* 0.03</f>
        <v>0</v>
      </c>
      <c r="G200" s="18">
        <f>E200* 0.97</f>
        <v>0</v>
      </c>
      <c r="H200" s="20">
        <v>0.0</v>
      </c>
    </row>
    <row r="201" ht="15.75" hidden="1" customHeight="1">
      <c r="A201" s="8" t="s">
        <v>9</v>
      </c>
      <c r="B201" s="11" t="s">
        <v>49</v>
      </c>
      <c r="C201" s="15"/>
      <c r="D201" s="16" t="s">
        <v>11</v>
      </c>
      <c r="E201" s="17">
        <v>11.0</v>
      </c>
      <c r="F201" s="18">
        <f>E201*0.0664298401420959</f>
        <v>0.7307282416</v>
      </c>
      <c r="G201" s="18">
        <f>E201*0.932326820603908</f>
        <v>10.25559503</v>
      </c>
      <c r="H201" s="18">
        <f>E201*0.00106571936056838</f>
        <v>0.01172291297</v>
      </c>
    </row>
    <row r="202" ht="15.75" hidden="1" customHeight="1">
      <c r="A202" s="8" t="s">
        <v>9</v>
      </c>
      <c r="B202" s="11" t="s">
        <v>49</v>
      </c>
      <c r="C202" s="15"/>
      <c r="D202" s="16" t="s">
        <v>17</v>
      </c>
      <c r="E202" s="17">
        <v>6.0</v>
      </c>
      <c r="F202" s="18">
        <f>E202*0.860929374266063</f>
        <v>5.165576246</v>
      </c>
      <c r="G202" s="18">
        <f>E202*0.0811944304646871</f>
        <v>0.4871665828</v>
      </c>
      <c r="H202" s="18">
        <f>E202*0.0578761952692501</f>
        <v>0.3472571716</v>
      </c>
    </row>
    <row r="203" ht="15.75" hidden="1" customHeight="1">
      <c r="A203" s="8" t="s">
        <v>9</v>
      </c>
      <c r="B203" s="11" t="s">
        <v>49</v>
      </c>
      <c r="C203" s="15"/>
      <c r="D203" s="16" t="s">
        <v>18</v>
      </c>
      <c r="E203" s="17">
        <v>0.0</v>
      </c>
      <c r="F203" s="18">
        <f>E203*0.949854952341484</f>
        <v>0</v>
      </c>
      <c r="G203" s="18">
        <f>E203*0.0439287194363862</f>
        <v>0</v>
      </c>
      <c r="H203" s="18">
        <f>E203*0.00621632822213013</f>
        <v>0</v>
      </c>
    </row>
    <row r="204" ht="15.75" hidden="1" customHeight="1">
      <c r="A204" s="8" t="s">
        <v>9</v>
      </c>
      <c r="B204" s="11" t="s">
        <v>49</v>
      </c>
      <c r="C204" s="15"/>
      <c r="D204" s="16" t="s">
        <v>35</v>
      </c>
      <c r="E204" s="17">
        <v>0.0</v>
      </c>
      <c r="F204" s="20">
        <v>0.0</v>
      </c>
      <c r="G204" s="20">
        <f>E204</f>
        <v>0</v>
      </c>
      <c r="H204" s="20">
        <v>0.0</v>
      </c>
    </row>
    <row r="205" ht="15.75" hidden="1" customHeight="1">
      <c r="A205" s="8" t="s">
        <v>9</v>
      </c>
      <c r="B205" s="11" t="s">
        <v>49</v>
      </c>
      <c r="C205" s="15"/>
      <c r="D205" s="16" t="s">
        <v>19</v>
      </c>
      <c r="E205" s="17">
        <v>4.0</v>
      </c>
      <c r="F205" s="18">
        <f>E205*0.0187085093542547</f>
        <v>0.07483403742</v>
      </c>
      <c r="G205" s="18">
        <f>E205*0.978877489438745</f>
        <v>3.915509958</v>
      </c>
      <c r="H205" s="18">
        <f>E205*0.0024140012070006</f>
        <v>0.009656004828</v>
      </c>
    </row>
    <row r="206" ht="15.75" hidden="1" customHeight="1">
      <c r="A206" s="8" t="s">
        <v>9</v>
      </c>
      <c r="B206" s="11" t="s">
        <v>49</v>
      </c>
      <c r="C206" s="15"/>
      <c r="D206" s="16" t="s">
        <v>20</v>
      </c>
      <c r="E206" s="17">
        <v>8.0</v>
      </c>
      <c r="F206" s="18">
        <f>E206* 0.557228915662651</f>
        <v>4.457831325</v>
      </c>
      <c r="G206" s="18">
        <f>E206*0.390562248995984</f>
        <v>3.124497992</v>
      </c>
      <c r="H206" s="18">
        <f>E206*0.0522088353413655</f>
        <v>0.4176706827</v>
      </c>
    </row>
    <row r="207" ht="15.75" hidden="1" customHeight="1">
      <c r="A207" s="8" t="s">
        <v>9</v>
      </c>
      <c r="B207" s="11" t="s">
        <v>49</v>
      </c>
      <c r="C207" s="15"/>
      <c r="D207" s="16" t="s">
        <v>21</v>
      </c>
      <c r="E207" s="17">
        <v>10.0</v>
      </c>
      <c r="F207" s="18">
        <f>E207* 0.999622470552703</f>
        <v>9.996224706</v>
      </c>
      <c r="G207" s="18">
        <f>E207* 0.0000755058894593778</f>
        <v>0.0007550588946</v>
      </c>
      <c r="H207" s="18">
        <f>E207* 0.000302023557837511</f>
        <v>0.003020235578</v>
      </c>
    </row>
    <row r="208" ht="15.75" hidden="1" customHeight="1">
      <c r="A208" s="8" t="s">
        <v>9</v>
      </c>
      <c r="B208" s="11" t="s">
        <v>49</v>
      </c>
      <c r="C208" s="15"/>
      <c r="D208" s="16" t="s">
        <v>12</v>
      </c>
      <c r="E208" s="17">
        <v>5.0</v>
      </c>
      <c r="F208" s="18">
        <f>E208* 0.889957698325317</f>
        <v>4.449788492</v>
      </c>
      <c r="G208" s="18">
        <f>E208* 0.0573100770701744</f>
        <v>0.2865503854</v>
      </c>
      <c r="H208" s="18">
        <f>E208* 0.0526742771049429</f>
        <v>0.2633713855</v>
      </c>
    </row>
    <row r="209" ht="15.75" hidden="1" customHeight="1">
      <c r="A209" s="8" t="s">
        <v>9</v>
      </c>
      <c r="B209" s="8"/>
      <c r="C209" s="8"/>
      <c r="D209" s="9"/>
      <c r="E209" s="19"/>
    </row>
    <row r="210" ht="15.75" hidden="1" customHeight="1">
      <c r="A210" s="8" t="s">
        <v>9</v>
      </c>
      <c r="B210" s="11" t="s">
        <v>50</v>
      </c>
      <c r="C210" s="12" t="str">
        <f>B210&amp;"_"&amp;A210</f>
        <v>Yotala_Chuquisaca</v>
      </c>
      <c r="E210" s="13">
        <v>14.0</v>
      </c>
      <c r="F210" s="14">
        <f t="shared" ref="F210:H210" si="28">SUM(F211:F218)</f>
        <v>8.315899132</v>
      </c>
      <c r="G210" s="14">
        <f t="shared" si="28"/>
        <v>5.233134687</v>
      </c>
      <c r="H210" s="14">
        <f t="shared" si="28"/>
        <v>0.4503174258</v>
      </c>
    </row>
    <row r="211" ht="15.75" hidden="1" customHeight="1">
      <c r="A211" s="8" t="s">
        <v>9</v>
      </c>
      <c r="B211" s="11" t="s">
        <v>50</v>
      </c>
      <c r="C211" s="15"/>
      <c r="D211" s="16" t="s">
        <v>15</v>
      </c>
      <c r="E211" s="17">
        <v>2.0</v>
      </c>
      <c r="F211" s="18">
        <f>E211* 0.962408869987849</f>
        <v>1.92481774</v>
      </c>
      <c r="G211" s="18">
        <f>E211*0.00425273390036452</f>
        <v>0.008505467801</v>
      </c>
      <c r="H211" s="18">
        <f>E211*0.0333383961117862</f>
        <v>0.06667679222</v>
      </c>
    </row>
    <row r="212" ht="15.75" hidden="1" customHeight="1">
      <c r="A212" s="8" t="s">
        <v>9</v>
      </c>
      <c r="B212" s="11" t="s">
        <v>50</v>
      </c>
      <c r="C212" s="15"/>
      <c r="D212" s="16" t="s">
        <v>11</v>
      </c>
      <c r="E212" s="17">
        <v>3.0</v>
      </c>
      <c r="F212" s="18">
        <f>E212*0.0664298401420959</f>
        <v>0.1992895204</v>
      </c>
      <c r="G212" s="18">
        <f>E212*0.932326820603908</f>
        <v>2.796980462</v>
      </c>
      <c r="H212" s="18">
        <f>E212*0.00106571936056838</f>
        <v>0.003197158082</v>
      </c>
    </row>
    <row r="213" ht="15.75" hidden="1" customHeight="1">
      <c r="A213" s="8" t="s">
        <v>9</v>
      </c>
      <c r="B213" s="11" t="s">
        <v>50</v>
      </c>
      <c r="C213" s="15"/>
      <c r="D213" s="16" t="s">
        <v>17</v>
      </c>
      <c r="E213" s="17">
        <v>2.0</v>
      </c>
      <c r="F213" s="18">
        <f>E213*0.860929374266063</f>
        <v>1.721858749</v>
      </c>
      <c r="G213" s="18">
        <f>E213*0.0811944304646871</f>
        <v>0.1623888609</v>
      </c>
      <c r="H213" s="18">
        <f>E213*0.0578761952692501</f>
        <v>0.1157523905</v>
      </c>
    </row>
    <row r="214" ht="15.75" hidden="1" customHeight="1">
      <c r="A214" s="8" t="s">
        <v>9</v>
      </c>
      <c r="B214" s="11" t="s">
        <v>50</v>
      </c>
      <c r="C214" s="15"/>
      <c r="D214" s="16" t="s">
        <v>18</v>
      </c>
      <c r="E214" s="17">
        <v>0.0</v>
      </c>
      <c r="F214" s="18">
        <f>E214*0.949854952341484</f>
        <v>0</v>
      </c>
      <c r="G214" s="18">
        <f>E214*0.0439287194363862</f>
        <v>0</v>
      </c>
      <c r="H214" s="18">
        <f>E214*0.00621632822213013</f>
        <v>0</v>
      </c>
    </row>
    <row r="215" ht="15.75" hidden="1" customHeight="1">
      <c r="A215" s="8" t="s">
        <v>9</v>
      </c>
      <c r="B215" s="11" t="s">
        <v>50</v>
      </c>
      <c r="C215" s="15"/>
      <c r="D215" s="16" t="s">
        <v>19</v>
      </c>
      <c r="E215" s="17">
        <v>1.0</v>
      </c>
      <c r="F215" s="18">
        <f>E215*0.0187085093542547</f>
        <v>0.01870850935</v>
      </c>
      <c r="G215" s="18">
        <f>E215*0.978877489438745</f>
        <v>0.9788774894</v>
      </c>
      <c r="H215" s="18">
        <f>E215*0.0024140012070006</f>
        <v>0.002414001207</v>
      </c>
    </row>
    <row r="216" ht="15.75" hidden="1" customHeight="1">
      <c r="A216" s="8" t="s">
        <v>9</v>
      </c>
      <c r="B216" s="11" t="s">
        <v>50</v>
      </c>
      <c r="C216" s="15"/>
      <c r="D216" s="16" t="s">
        <v>20</v>
      </c>
      <c r="E216" s="17">
        <v>3.0</v>
      </c>
      <c r="F216" s="18">
        <f>E216* 0.557228915662651</f>
        <v>1.671686747</v>
      </c>
      <c r="G216" s="18">
        <f>E216*0.390562248995984</f>
        <v>1.171686747</v>
      </c>
      <c r="H216" s="18">
        <f>E216*0.0522088353413655</f>
        <v>0.156626506</v>
      </c>
    </row>
    <row r="217" ht="15.75" hidden="1" customHeight="1">
      <c r="A217" s="8" t="s">
        <v>9</v>
      </c>
      <c r="B217" s="11" t="s">
        <v>50</v>
      </c>
      <c r="C217" s="15"/>
      <c r="D217" s="16" t="s">
        <v>21</v>
      </c>
      <c r="E217" s="17">
        <v>1.0</v>
      </c>
      <c r="F217" s="18">
        <f>E217* 0.999622470552703</f>
        <v>0.9996224706</v>
      </c>
      <c r="G217" s="18">
        <f>E217* 0.0000755058894593778</f>
        <v>0.00007550588946</v>
      </c>
      <c r="H217" s="18">
        <f>E217* 0.000302023557837511</f>
        <v>0.0003020235578</v>
      </c>
    </row>
    <row r="218" ht="15.75" hidden="1" customHeight="1">
      <c r="A218" s="8" t="s">
        <v>9</v>
      </c>
      <c r="B218" s="11" t="s">
        <v>50</v>
      </c>
      <c r="C218" s="15"/>
      <c r="D218" s="25" t="s">
        <v>12</v>
      </c>
      <c r="E218" s="26">
        <v>2.0</v>
      </c>
      <c r="F218" s="18">
        <f>E218* 0.889957698325317</f>
        <v>1.779915397</v>
      </c>
      <c r="G218" s="18">
        <f>E218* 0.0573100770701744</f>
        <v>0.1146201541</v>
      </c>
      <c r="H218" s="18">
        <f>E218* 0.0526742771049429</f>
        <v>0.1053485542</v>
      </c>
    </row>
    <row r="219" ht="15.75" hidden="1" customHeight="1">
      <c r="A219" s="15" t="s">
        <v>51</v>
      </c>
      <c r="B219" s="11" t="s">
        <v>52</v>
      </c>
      <c r="C219" s="12" t="str">
        <f>B219&amp;"_"&amp;A219</f>
        <v>Achacachi_La Paz</v>
      </c>
      <c r="E219" s="13">
        <v>164.0</v>
      </c>
      <c r="F219" s="14">
        <f t="shared" ref="F219:H219" si="29">SUM(F220:F232)</f>
        <v>133.838981</v>
      </c>
      <c r="G219" s="14">
        <f t="shared" si="29"/>
        <v>18.87871231</v>
      </c>
      <c r="H219" s="14">
        <f t="shared" si="29"/>
        <v>11.2734667</v>
      </c>
    </row>
    <row r="220" ht="15.75" hidden="1" customHeight="1">
      <c r="A220" s="15" t="s">
        <v>51</v>
      </c>
      <c r="B220" s="11" t="s">
        <v>52</v>
      </c>
      <c r="C220" s="15"/>
      <c r="D220" s="16" t="s">
        <v>53</v>
      </c>
      <c r="E220" s="17">
        <v>0.0</v>
      </c>
      <c r="F220" s="20">
        <v>0.0</v>
      </c>
      <c r="G220" s="20">
        <f>E220</f>
        <v>0</v>
      </c>
      <c r="H220" s="20">
        <v>0.0</v>
      </c>
    </row>
    <row r="221" ht="15.75" hidden="1" customHeight="1">
      <c r="A221" s="15" t="s">
        <v>51</v>
      </c>
      <c r="B221" s="11" t="s">
        <v>52</v>
      </c>
      <c r="C221" s="15"/>
      <c r="D221" s="16" t="s">
        <v>15</v>
      </c>
      <c r="E221" s="17">
        <v>2.0</v>
      </c>
      <c r="F221" s="18">
        <f>E221* 0.981163265034061</f>
        <v>1.96232653</v>
      </c>
      <c r="G221" s="18">
        <f>E221* 0.0027595216829083</f>
        <v>0.005519043366</v>
      </c>
      <c r="H221" s="18">
        <f>E221* 0.0160372202151627</f>
        <v>0.03207444043</v>
      </c>
    </row>
    <row r="222" ht="15.75" hidden="1" customHeight="1">
      <c r="A222" s="15" t="s">
        <v>51</v>
      </c>
      <c r="B222" s="11" t="s">
        <v>52</v>
      </c>
      <c r="C222" s="15"/>
      <c r="D222" s="16" t="s">
        <v>16</v>
      </c>
      <c r="E222" s="17">
        <v>0.0</v>
      </c>
      <c r="F222" s="18">
        <f>E222* 0.142974979378609</f>
        <v>0</v>
      </c>
      <c r="G222" s="18">
        <f>E222* 0.852350838603245</f>
        <v>0</v>
      </c>
      <c r="H222" s="18">
        <f>E222* 0.00467418201814682</f>
        <v>0</v>
      </c>
    </row>
    <row r="223" ht="15.75" hidden="1" customHeight="1">
      <c r="A223" s="15" t="s">
        <v>51</v>
      </c>
      <c r="B223" s="11" t="s">
        <v>52</v>
      </c>
      <c r="C223" s="15"/>
      <c r="D223" s="16" t="s">
        <v>11</v>
      </c>
      <c r="E223" s="17">
        <v>7.0</v>
      </c>
      <c r="F223" s="18">
        <f>E223* 0.178797409805735</f>
        <v>1.251581869</v>
      </c>
      <c r="G223" s="18">
        <f>E223* 0.819278445883441</f>
        <v>5.734949121</v>
      </c>
      <c r="H223" s="18">
        <f>E223* 0.00181313598519889</f>
        <v>0.0126919519</v>
      </c>
    </row>
    <row r="224" ht="15.75" hidden="1" customHeight="1">
      <c r="A224" s="15" t="s">
        <v>51</v>
      </c>
      <c r="B224" s="11" t="s">
        <v>52</v>
      </c>
      <c r="C224" s="15"/>
      <c r="D224" s="16" t="s">
        <v>17</v>
      </c>
      <c r="E224" s="17">
        <v>15.0</v>
      </c>
      <c r="F224" s="18">
        <f>E224* 0.916446662218225</f>
        <v>13.74669993</v>
      </c>
      <c r="G224" s="18">
        <f>E224* 0.0292436682236212</f>
        <v>0.4386550234</v>
      </c>
      <c r="H224" s="18">
        <f>E224* 0.0543096695581537</f>
        <v>0.8146450434</v>
      </c>
    </row>
    <row r="225" ht="15.75" hidden="1" customHeight="1">
      <c r="A225" s="15" t="s">
        <v>51</v>
      </c>
      <c r="B225" s="11" t="s">
        <v>52</v>
      </c>
      <c r="C225" s="15"/>
      <c r="D225" s="16" t="s">
        <v>31</v>
      </c>
      <c r="E225" s="17">
        <v>3.0</v>
      </c>
      <c r="F225" s="18">
        <f>E225* 0.957442434210526</f>
        <v>2.872327303</v>
      </c>
      <c r="G225" s="18">
        <f>E225* 0.0158305921052632</f>
        <v>0.04749177632</v>
      </c>
      <c r="H225" s="18">
        <f>E225* 0.0263157894736842</f>
        <v>0.07894736842</v>
      </c>
    </row>
    <row r="226" ht="15.75" hidden="1" customHeight="1">
      <c r="A226" s="15" t="s">
        <v>51</v>
      </c>
      <c r="B226" s="11" t="s">
        <v>52</v>
      </c>
      <c r="C226" s="15"/>
      <c r="D226" s="16" t="s">
        <v>18</v>
      </c>
      <c r="E226" s="17">
        <v>22.0</v>
      </c>
      <c r="F226" s="18">
        <f>E226* 0.983388008654987</f>
        <v>21.63453619</v>
      </c>
      <c r="G226" s="18">
        <f>E226* 0.0133314720457877</f>
        <v>0.293292385</v>
      </c>
      <c r="H226" s="18">
        <f>E226* 0.003210721016263</f>
        <v>0.07063586236</v>
      </c>
    </row>
    <row r="227" ht="15.75" hidden="1" customHeight="1">
      <c r="A227" s="15" t="s">
        <v>51</v>
      </c>
      <c r="B227" s="11" t="s">
        <v>52</v>
      </c>
      <c r="C227" s="15"/>
      <c r="D227" s="16" t="s">
        <v>19</v>
      </c>
      <c r="E227" s="17">
        <v>0.0</v>
      </c>
      <c r="F227" s="18">
        <f>E227* 0.511826182618262</f>
        <v>0</v>
      </c>
      <c r="G227" s="18">
        <f>E227* 0.476622662266227</f>
        <v>0</v>
      </c>
      <c r="H227" s="18">
        <f>E227* 0.0115511551155116</f>
        <v>0</v>
      </c>
    </row>
    <row r="228" ht="15.75" hidden="1" customHeight="1">
      <c r="A228" s="15" t="s">
        <v>51</v>
      </c>
      <c r="B228" s="11" t="s">
        <v>52</v>
      </c>
      <c r="C228" s="15"/>
      <c r="D228" s="16" t="s">
        <v>20</v>
      </c>
      <c r="E228" s="17">
        <v>85.0</v>
      </c>
      <c r="F228" s="18">
        <f>E228* 0.814615536880747</f>
        <v>69.24232063</v>
      </c>
      <c r="G228" s="18">
        <f>E228* 0.0763167839340663</f>
        <v>6.486926634</v>
      </c>
      <c r="H228" s="18">
        <f>E228* 0.109013694193014</f>
        <v>9.266164006</v>
      </c>
    </row>
    <row r="229" ht="15.75" hidden="1" customHeight="1">
      <c r="A229" s="15" t="s">
        <v>51</v>
      </c>
      <c r="B229" s="11" t="s">
        <v>52</v>
      </c>
      <c r="C229" s="15"/>
      <c r="D229" s="16" t="s">
        <v>21</v>
      </c>
      <c r="E229" s="17">
        <v>0.0</v>
      </c>
      <c r="F229" s="18">
        <f>E229* 0.999722052365334</f>
        <v>0</v>
      </c>
      <c r="G229" s="18">
        <v>0.0</v>
      </c>
      <c r="H229" s="18">
        <f>E229* 0.000277947634665629</f>
        <v>0</v>
      </c>
    </row>
    <row r="230" ht="15.75" hidden="1" customHeight="1">
      <c r="A230" s="15" t="s">
        <v>51</v>
      </c>
      <c r="B230" s="11" t="s">
        <v>52</v>
      </c>
      <c r="C230" s="15"/>
      <c r="D230" s="16" t="s">
        <v>37</v>
      </c>
      <c r="E230" s="17">
        <v>0.0</v>
      </c>
      <c r="F230" s="18">
        <f>E230* 0.0555555555555556</f>
        <v>0</v>
      </c>
      <c r="G230" s="18">
        <f>E230* 0.944444444444444</f>
        <v>0</v>
      </c>
      <c r="H230" s="20">
        <v>0.0</v>
      </c>
    </row>
    <row r="231" ht="15.75" hidden="1" customHeight="1">
      <c r="A231" s="15" t="s">
        <v>51</v>
      </c>
      <c r="B231" s="11" t="s">
        <v>52</v>
      </c>
      <c r="C231" s="15"/>
      <c r="D231" s="16" t="s">
        <v>28</v>
      </c>
      <c r="E231" s="17">
        <v>5.0</v>
      </c>
      <c r="F231" s="18">
        <f>E231* 0.00115651503469545</f>
        <v>0.005782575173</v>
      </c>
      <c r="G231" s="18">
        <f>E231* 0.998843484965305</f>
        <v>4.994217425</v>
      </c>
      <c r="H231" s="20">
        <v>0.0</v>
      </c>
    </row>
    <row r="232" ht="15.75" hidden="1" customHeight="1">
      <c r="A232" s="15" t="s">
        <v>51</v>
      </c>
      <c r="B232" s="11" t="s">
        <v>52</v>
      </c>
      <c r="C232" s="15"/>
      <c r="D232" s="16" t="s">
        <v>12</v>
      </c>
      <c r="E232" s="17">
        <v>25.0</v>
      </c>
      <c r="F232" s="18">
        <f>E232* 0.924936238310357</f>
        <v>23.12340596</v>
      </c>
      <c r="G232" s="18">
        <f>E232* 0.0351064361799663</f>
        <v>0.8776609045</v>
      </c>
      <c r="H232" s="18">
        <f>E232* 0.039932320925503</f>
        <v>0.9983080231</v>
      </c>
    </row>
    <row r="233" ht="15.75" hidden="1" customHeight="1">
      <c r="A233" s="15" t="s">
        <v>51</v>
      </c>
      <c r="B233" s="8"/>
      <c r="C233" s="8"/>
      <c r="D233" s="9"/>
      <c r="E233" s="19"/>
    </row>
    <row r="234" ht="15.75" hidden="1" customHeight="1">
      <c r="A234" s="15" t="s">
        <v>51</v>
      </c>
      <c r="B234" s="11" t="s">
        <v>54</v>
      </c>
      <c r="C234" s="12" t="str">
        <f>B234&amp;"_"&amp;A234</f>
        <v>Achocalla_La Paz</v>
      </c>
      <c r="E234" s="22">
        <v>1965.0</v>
      </c>
      <c r="F234" s="14">
        <f t="shared" ref="F234:H234" si="30">SUM(F235:F249)</f>
        <v>1501.787314</v>
      </c>
      <c r="G234" s="14">
        <f t="shared" si="30"/>
        <v>402.2593834</v>
      </c>
      <c r="H234" s="14">
        <f t="shared" si="30"/>
        <v>60.8755511</v>
      </c>
    </row>
    <row r="235" ht="15.75" hidden="1" customHeight="1">
      <c r="A235" s="15" t="s">
        <v>51</v>
      </c>
      <c r="B235" s="11" t="s">
        <v>54</v>
      </c>
      <c r="C235" s="15"/>
      <c r="D235" s="16" t="s">
        <v>53</v>
      </c>
      <c r="E235" s="17">
        <v>0.0</v>
      </c>
      <c r="F235" s="20">
        <v>0.0</v>
      </c>
      <c r="G235" s="20">
        <f>E235</f>
        <v>0</v>
      </c>
      <c r="H235" s="20">
        <v>0.0</v>
      </c>
    </row>
    <row r="236" ht="15.75" hidden="1" customHeight="1">
      <c r="A236" s="15" t="s">
        <v>51</v>
      </c>
      <c r="B236" s="11" t="s">
        <v>54</v>
      </c>
      <c r="C236" s="15"/>
      <c r="D236" s="16" t="s">
        <v>15</v>
      </c>
      <c r="E236" s="17">
        <v>248.0</v>
      </c>
      <c r="F236" s="18">
        <f>E236* 0.981163265034061</f>
        <v>243.3284897</v>
      </c>
      <c r="G236" s="18">
        <f>E236* 0.0027595216829083</f>
        <v>0.6843613774</v>
      </c>
      <c r="H236" s="18">
        <f>E236* 0.0160372202151627</f>
        <v>3.977230613</v>
      </c>
    </row>
    <row r="237" ht="15.75" hidden="1" customHeight="1">
      <c r="A237" s="15" t="s">
        <v>51</v>
      </c>
      <c r="B237" s="11" t="s">
        <v>54</v>
      </c>
      <c r="C237" s="15"/>
      <c r="D237" s="16" t="s">
        <v>16</v>
      </c>
      <c r="E237" s="17">
        <v>30.0</v>
      </c>
      <c r="F237" s="18">
        <f>E237* 0.142974979378609</f>
        <v>4.289249381</v>
      </c>
      <c r="G237" s="18">
        <f>E237* 0.852350838603245</f>
        <v>25.57052516</v>
      </c>
      <c r="H237" s="18">
        <f>E237* 0.00467418201814682</f>
        <v>0.1402254605</v>
      </c>
    </row>
    <row r="238" ht="15.75" hidden="1" customHeight="1">
      <c r="A238" s="15" t="s">
        <v>51</v>
      </c>
      <c r="B238" s="11" t="s">
        <v>54</v>
      </c>
      <c r="C238" s="15"/>
      <c r="D238" s="16" t="s">
        <v>11</v>
      </c>
      <c r="E238" s="17">
        <v>320.0</v>
      </c>
      <c r="F238" s="18">
        <f>E238* 0.178797409805735</f>
        <v>57.21517114</v>
      </c>
      <c r="G238" s="18">
        <f>E238* 0.819278445883441</f>
        <v>262.1691027</v>
      </c>
      <c r="H238" s="18">
        <f>E238* 0.00181313598519889</f>
        <v>0.5802035153</v>
      </c>
    </row>
    <row r="239" ht="15.75" hidden="1" customHeight="1">
      <c r="A239" s="15" t="s">
        <v>51</v>
      </c>
      <c r="B239" s="11" t="s">
        <v>54</v>
      </c>
      <c r="C239" s="15"/>
      <c r="D239" s="16" t="s">
        <v>17</v>
      </c>
      <c r="E239" s="17">
        <v>158.0</v>
      </c>
      <c r="F239" s="18">
        <f>E239* 0.916446662218225</f>
        <v>144.7985726</v>
      </c>
      <c r="G239" s="18">
        <f>E239* 0.0292436682236212</f>
        <v>4.620499579</v>
      </c>
      <c r="H239" s="18">
        <f>E239* 0.0543096695581537</f>
        <v>8.58092779</v>
      </c>
    </row>
    <row r="240" ht="15.75" hidden="1" customHeight="1">
      <c r="A240" s="15" t="s">
        <v>51</v>
      </c>
      <c r="B240" s="11" t="s">
        <v>54</v>
      </c>
      <c r="C240" s="15"/>
      <c r="D240" s="16" t="s">
        <v>31</v>
      </c>
      <c r="E240" s="17">
        <v>5.0</v>
      </c>
      <c r="F240" s="18">
        <f>E240* 0.957442434210526</f>
        <v>4.787212171</v>
      </c>
      <c r="G240" s="18">
        <f>E240* 0.0158305921052632</f>
        <v>0.07915296053</v>
      </c>
      <c r="H240" s="18">
        <f>E240* 0.0263157894736842</f>
        <v>0.1315789474</v>
      </c>
    </row>
    <row r="241" ht="15.75" hidden="1" customHeight="1">
      <c r="A241" s="15" t="s">
        <v>51</v>
      </c>
      <c r="B241" s="11" t="s">
        <v>54</v>
      </c>
      <c r="C241" s="15"/>
      <c r="D241" s="16" t="s">
        <v>18</v>
      </c>
      <c r="E241" s="17">
        <v>54.0</v>
      </c>
      <c r="F241" s="18">
        <f>E241* 0.983388008654987</f>
        <v>53.10295247</v>
      </c>
      <c r="G241" s="18">
        <f>E241* 0.0133314720457877</f>
        <v>0.7198994905</v>
      </c>
      <c r="H241" s="18">
        <f>E241* 0.003210721016263</f>
        <v>0.1733789349</v>
      </c>
    </row>
    <row r="242" ht="15.75" hidden="1" customHeight="1">
      <c r="A242" s="15" t="s">
        <v>51</v>
      </c>
      <c r="B242" s="11" t="s">
        <v>54</v>
      </c>
      <c r="C242" s="15"/>
      <c r="D242" s="16" t="s">
        <v>55</v>
      </c>
      <c r="E242" s="17">
        <v>0.0</v>
      </c>
      <c r="F242" s="20">
        <v>0.0</v>
      </c>
      <c r="G242" s="20">
        <f>E242</f>
        <v>0</v>
      </c>
      <c r="H242" s="20">
        <v>0.0</v>
      </c>
    </row>
    <row r="243" ht="15.75" hidden="1" customHeight="1">
      <c r="A243" s="15" t="s">
        <v>51</v>
      </c>
      <c r="B243" s="11" t="s">
        <v>54</v>
      </c>
      <c r="C243" s="15"/>
      <c r="D243" s="16" t="s">
        <v>19</v>
      </c>
      <c r="E243" s="17">
        <v>13.0</v>
      </c>
      <c r="F243" s="18">
        <f>E243* 0.511826182618262</f>
        <v>6.653740374</v>
      </c>
      <c r="G243" s="18">
        <f>E243* 0.476622662266227</f>
        <v>6.196094609</v>
      </c>
      <c r="H243" s="18">
        <f>E243* 0.0115511551155116</f>
        <v>0.1501650165</v>
      </c>
    </row>
    <row r="244" ht="15.75" hidden="1" customHeight="1">
      <c r="A244" s="15" t="s">
        <v>51</v>
      </c>
      <c r="B244" s="11" t="s">
        <v>54</v>
      </c>
      <c r="C244" s="15"/>
      <c r="D244" s="16" t="s">
        <v>20</v>
      </c>
      <c r="E244" s="17">
        <v>209.0</v>
      </c>
      <c r="F244" s="18">
        <f>E244* 0.814615536880747</f>
        <v>170.2546472</v>
      </c>
      <c r="G244" s="18">
        <f>E244* 0.0763167839340663</f>
        <v>15.95020784</v>
      </c>
      <c r="H244" s="18">
        <f>E244* 0.109013694193014</f>
        <v>22.78386209</v>
      </c>
    </row>
    <row r="245" ht="15.75" hidden="1" customHeight="1">
      <c r="A245" s="15" t="s">
        <v>51</v>
      </c>
      <c r="B245" s="11" t="s">
        <v>54</v>
      </c>
      <c r="C245" s="15"/>
      <c r="D245" s="16" t="s">
        <v>21</v>
      </c>
      <c r="E245" s="17">
        <v>241.0</v>
      </c>
      <c r="F245" s="18">
        <f>E245* 0.999722052365334</f>
        <v>240.9330146</v>
      </c>
      <c r="G245" s="18">
        <v>0.0</v>
      </c>
      <c r="H245" s="18">
        <f>E245* 0.000277947634665629</f>
        <v>0.06698537995</v>
      </c>
    </row>
    <row r="246" ht="15.75" hidden="1" customHeight="1">
      <c r="A246" s="15" t="s">
        <v>51</v>
      </c>
      <c r="B246" s="11" t="s">
        <v>54</v>
      </c>
      <c r="C246" s="15"/>
      <c r="D246" s="16" t="s">
        <v>36</v>
      </c>
      <c r="E246" s="17">
        <v>14.0</v>
      </c>
      <c r="F246" s="18">
        <f>E246* 0.999132697311362</f>
        <v>13.98785776</v>
      </c>
      <c r="G246" s="20">
        <v>0.0</v>
      </c>
      <c r="H246" s="18">
        <f>E246* 0.000867302688638335</f>
        <v>0.01214223764</v>
      </c>
    </row>
    <row r="247" ht="15.75" hidden="1" customHeight="1">
      <c r="A247" s="15" t="s">
        <v>51</v>
      </c>
      <c r="B247" s="11" t="s">
        <v>54</v>
      </c>
      <c r="C247" s="15"/>
      <c r="D247" s="16" t="s">
        <v>37</v>
      </c>
      <c r="E247" s="17">
        <v>0.0</v>
      </c>
      <c r="F247" s="18">
        <f>E247* 0.0555555555555556</f>
        <v>0</v>
      </c>
      <c r="G247" s="18">
        <f>E247* 0.944444444444444</f>
        <v>0</v>
      </c>
      <c r="H247" s="20">
        <v>0.0</v>
      </c>
    </row>
    <row r="248" ht="15.75" hidden="1" customHeight="1">
      <c r="A248" s="15" t="s">
        <v>51</v>
      </c>
      <c r="B248" s="11" t="s">
        <v>54</v>
      </c>
      <c r="C248" s="15"/>
      <c r="D248" s="16" t="s">
        <v>28</v>
      </c>
      <c r="E248" s="17">
        <v>65.0</v>
      </c>
      <c r="F248" s="18">
        <f>E248* 0.00115651503469545</f>
        <v>0.07517347726</v>
      </c>
      <c r="G248" s="18">
        <f>E248* 0.998843484965305</f>
        <v>64.92482652</v>
      </c>
      <c r="H248" s="20">
        <v>0.0</v>
      </c>
    </row>
    <row r="249" ht="15.75" hidden="1" customHeight="1">
      <c r="A249" s="15" t="s">
        <v>51</v>
      </c>
      <c r="B249" s="11" t="s">
        <v>54</v>
      </c>
      <c r="C249" s="15"/>
      <c r="D249" s="16" t="s">
        <v>12</v>
      </c>
      <c r="E249" s="17">
        <v>608.0</v>
      </c>
      <c r="F249" s="18">
        <f>E249* 0.924936238310357</f>
        <v>562.3612329</v>
      </c>
      <c r="G249" s="18">
        <f>E249* 0.0351064361799663</f>
        <v>21.3447132</v>
      </c>
      <c r="H249" s="18">
        <f>E249* 0.039932320925503</f>
        <v>24.27885112</v>
      </c>
    </row>
    <row r="250" ht="15.75" hidden="1" customHeight="1">
      <c r="A250" s="15" t="s">
        <v>51</v>
      </c>
      <c r="B250" s="8"/>
      <c r="C250" s="8"/>
      <c r="D250" s="9"/>
      <c r="E250" s="19"/>
    </row>
    <row r="251" ht="15.75" hidden="1" customHeight="1">
      <c r="A251" s="15" t="s">
        <v>51</v>
      </c>
      <c r="B251" s="11" t="s">
        <v>56</v>
      </c>
      <c r="C251" s="12" t="str">
        <f>B251&amp;"_"&amp;A251</f>
        <v>Alto Beni_La Paz</v>
      </c>
      <c r="E251" s="13">
        <v>321.0</v>
      </c>
      <c r="F251" s="14">
        <f t="shared" ref="F251:H251" si="31">SUM(F252:F257)</f>
        <v>298.7853635</v>
      </c>
      <c r="G251" s="14">
        <f t="shared" si="31"/>
        <v>11.19922286</v>
      </c>
      <c r="H251" s="14">
        <f t="shared" si="31"/>
        <v>11.0082651</v>
      </c>
    </row>
    <row r="252" ht="15.75" hidden="1" customHeight="1">
      <c r="A252" s="15" t="s">
        <v>51</v>
      </c>
      <c r="B252" s="11" t="s">
        <v>56</v>
      </c>
      <c r="C252" s="15"/>
      <c r="D252" s="16" t="s">
        <v>11</v>
      </c>
      <c r="E252" s="17">
        <v>2.0</v>
      </c>
      <c r="F252" s="18">
        <f>E252* 0.178797409805735</f>
        <v>0.3575948196</v>
      </c>
      <c r="G252" s="18">
        <f>E252* 0.819278445883441</f>
        <v>1.638556892</v>
      </c>
      <c r="H252" s="18">
        <f>E252* 0.00181313598519889</f>
        <v>0.00362627197</v>
      </c>
    </row>
    <row r="253" ht="15.75" hidden="1" customHeight="1">
      <c r="A253" s="15" t="s">
        <v>51</v>
      </c>
      <c r="B253" s="11" t="s">
        <v>56</v>
      </c>
      <c r="C253" s="15"/>
      <c r="D253" s="16" t="s">
        <v>17</v>
      </c>
      <c r="E253" s="17">
        <v>3.0</v>
      </c>
      <c r="F253" s="18">
        <f>E253* 0.916446662218225</f>
        <v>2.749339987</v>
      </c>
      <c r="G253" s="18">
        <f>E253* 0.0292436682236212</f>
        <v>0.08773100467</v>
      </c>
      <c r="H253" s="18">
        <f>E253* 0.0543096695581537</f>
        <v>0.1629290087</v>
      </c>
    </row>
    <row r="254" ht="15.75" hidden="1" customHeight="1">
      <c r="A254" s="15" t="s">
        <v>51</v>
      </c>
      <c r="B254" s="11" t="s">
        <v>56</v>
      </c>
      <c r="C254" s="15"/>
      <c r="D254" s="16" t="s">
        <v>18</v>
      </c>
      <c r="E254" s="17">
        <v>3.0</v>
      </c>
      <c r="F254" s="18">
        <f>E254* 0.983388008654987</f>
        <v>2.950164026</v>
      </c>
      <c r="G254" s="18">
        <f>E254* 0.0133314720457877</f>
        <v>0.03999441614</v>
      </c>
      <c r="H254" s="18">
        <f>E254* 0.003210721016263</f>
        <v>0.009632163049</v>
      </c>
    </row>
    <row r="255" ht="15.75" hidden="1" customHeight="1">
      <c r="A255" s="15" t="s">
        <v>51</v>
      </c>
      <c r="B255" s="11" t="s">
        <v>56</v>
      </c>
      <c r="C255" s="15"/>
      <c r="D255" s="16" t="s">
        <v>20</v>
      </c>
      <c r="E255" s="17">
        <v>4.0</v>
      </c>
      <c r="F255" s="18">
        <f>E255* 0.814615536880747</f>
        <v>3.258462148</v>
      </c>
      <c r="G255" s="18">
        <f>E255* 0.0763167839340663</f>
        <v>0.3052671357</v>
      </c>
      <c r="H255" s="18">
        <f>E255* 0.109013694193014</f>
        <v>0.4360547768</v>
      </c>
    </row>
    <row r="256" ht="15.75" hidden="1" customHeight="1">
      <c r="A256" s="15" t="s">
        <v>51</v>
      </c>
      <c r="B256" s="11" t="s">
        <v>56</v>
      </c>
      <c r="C256" s="15"/>
      <c r="D256" s="16" t="s">
        <v>21</v>
      </c>
      <c r="E256" s="17">
        <v>49.0</v>
      </c>
      <c r="F256" s="18">
        <f>E256* 0.999722052365334</f>
        <v>48.98638057</v>
      </c>
      <c r="G256" s="18">
        <v>0.0</v>
      </c>
      <c r="H256" s="18">
        <f>E256* 0.000277947634665629</f>
        <v>0.0136194341</v>
      </c>
    </row>
    <row r="257" ht="15.75" hidden="1" customHeight="1">
      <c r="A257" s="15" t="s">
        <v>51</v>
      </c>
      <c r="B257" s="11" t="s">
        <v>56</v>
      </c>
      <c r="C257" s="15"/>
      <c r="D257" s="16" t="s">
        <v>12</v>
      </c>
      <c r="E257" s="17">
        <v>260.0</v>
      </c>
      <c r="F257" s="18">
        <f>E257* 0.924936238310357</f>
        <v>240.483422</v>
      </c>
      <c r="G257" s="18">
        <f>E257* 0.0351064361799663</f>
        <v>9.127673407</v>
      </c>
      <c r="H257" s="18">
        <f>E257* 0.039932320925503</f>
        <v>10.38240344</v>
      </c>
    </row>
    <row r="258" ht="15.75" hidden="1" customHeight="1">
      <c r="A258" s="15" t="s">
        <v>51</v>
      </c>
      <c r="B258" s="8"/>
      <c r="C258" s="8"/>
      <c r="D258" s="9"/>
      <c r="E258" s="19"/>
    </row>
    <row r="259" ht="15.75" hidden="1" customHeight="1">
      <c r="A259" s="15" t="s">
        <v>51</v>
      </c>
      <c r="B259" s="11" t="s">
        <v>57</v>
      </c>
      <c r="C259" s="12" t="str">
        <f>B259&amp;"_"&amp;A259</f>
        <v>Ayata_La Paz</v>
      </c>
      <c r="E259" s="13">
        <v>0.0</v>
      </c>
      <c r="F259" s="14">
        <f t="shared" ref="F259:H259" si="32">SUM(F260)</f>
        <v>0</v>
      </c>
      <c r="G259" s="14">
        <f t="shared" si="32"/>
        <v>0</v>
      </c>
      <c r="H259" s="14">
        <f t="shared" si="32"/>
        <v>0</v>
      </c>
    </row>
    <row r="260" ht="15.75" hidden="1" customHeight="1">
      <c r="A260" s="15" t="s">
        <v>51</v>
      </c>
      <c r="B260" s="11" t="s">
        <v>57</v>
      </c>
      <c r="C260" s="15"/>
      <c r="D260" s="16" t="s">
        <v>12</v>
      </c>
      <c r="E260" s="17">
        <v>0.0</v>
      </c>
      <c r="F260" s="18">
        <f>E260* 0.924936238310357</f>
        <v>0</v>
      </c>
      <c r="G260" s="18">
        <f>E260* 0.0351064361799663</f>
        <v>0</v>
      </c>
      <c r="H260" s="18">
        <f>E260* 0.039932320925503</f>
        <v>0</v>
      </c>
    </row>
    <row r="261" ht="15.75" hidden="1" customHeight="1">
      <c r="A261" s="15" t="s">
        <v>51</v>
      </c>
      <c r="B261" s="8"/>
      <c r="C261" s="8"/>
      <c r="D261" s="9"/>
      <c r="E261" s="19"/>
    </row>
    <row r="262" ht="15.75" hidden="1" customHeight="1">
      <c r="A262" s="15" t="s">
        <v>51</v>
      </c>
      <c r="B262" s="11" t="s">
        <v>58</v>
      </c>
      <c r="C262" s="12" t="str">
        <f>B262&amp;"_"&amp;A262</f>
        <v>Ayo Ayo_La Paz</v>
      </c>
      <c r="E262" s="13">
        <v>1.0</v>
      </c>
      <c r="F262" s="14">
        <f t="shared" ref="F262:H262" si="33">SUM(F263:F268)</f>
        <v>0.1787974098</v>
      </c>
      <c r="G262" s="14">
        <f t="shared" si="33"/>
        <v>0.8192784459</v>
      </c>
      <c r="H262" s="14">
        <f t="shared" si="33"/>
        <v>0.001813135985</v>
      </c>
    </row>
    <row r="263" ht="15.75" hidden="1" customHeight="1">
      <c r="A263" s="15" t="s">
        <v>51</v>
      </c>
      <c r="B263" s="11" t="s">
        <v>58</v>
      </c>
      <c r="C263" s="15"/>
      <c r="D263" s="16" t="s">
        <v>53</v>
      </c>
      <c r="E263" s="17">
        <v>0.0</v>
      </c>
      <c r="F263" s="20">
        <v>0.0</v>
      </c>
      <c r="G263" s="20">
        <f>E263</f>
        <v>0</v>
      </c>
      <c r="H263" s="20">
        <v>0.0</v>
      </c>
    </row>
    <row r="264" ht="15.75" hidden="1" customHeight="1">
      <c r="A264" s="15" t="s">
        <v>51</v>
      </c>
      <c r="B264" s="11" t="s">
        <v>58</v>
      </c>
      <c r="C264" s="15"/>
      <c r="D264" s="16" t="s">
        <v>15</v>
      </c>
      <c r="E264" s="17">
        <v>0.0</v>
      </c>
      <c r="F264" s="18">
        <f>E264* 0.981163265034061</f>
        <v>0</v>
      </c>
      <c r="G264" s="18">
        <f>E264* 0.0027595216829083</f>
        <v>0</v>
      </c>
      <c r="H264" s="18">
        <f>E264* 0.0160372202151627</f>
        <v>0</v>
      </c>
    </row>
    <row r="265" ht="15.75" hidden="1" customHeight="1">
      <c r="A265" s="15" t="s">
        <v>51</v>
      </c>
      <c r="B265" s="11" t="s">
        <v>58</v>
      </c>
      <c r="C265" s="15"/>
      <c r="D265" s="16" t="s">
        <v>11</v>
      </c>
      <c r="E265" s="17">
        <v>1.0</v>
      </c>
      <c r="F265" s="18">
        <f>E265* 0.178797409805735</f>
        <v>0.1787974098</v>
      </c>
      <c r="G265" s="18">
        <f>E265* 0.819278445883441</f>
        <v>0.8192784459</v>
      </c>
      <c r="H265" s="18">
        <f>E265* 0.00181313598519889</f>
        <v>0.001813135985</v>
      </c>
    </row>
    <row r="266" ht="15.75" hidden="1" customHeight="1">
      <c r="A266" s="15" t="s">
        <v>51</v>
      </c>
      <c r="B266" s="11" t="s">
        <v>58</v>
      </c>
      <c r="C266" s="15"/>
      <c r="D266" s="16" t="s">
        <v>17</v>
      </c>
      <c r="E266" s="17">
        <v>0.0</v>
      </c>
      <c r="F266" s="18">
        <f>E266* 0.916446662218225</f>
        <v>0</v>
      </c>
      <c r="G266" s="18">
        <f>E266* 0.0292436682236212</f>
        <v>0</v>
      </c>
      <c r="H266" s="18">
        <f>E266* 0.0543096695581537</f>
        <v>0</v>
      </c>
    </row>
    <row r="267" ht="15.75" hidden="1" customHeight="1">
      <c r="A267" s="15" t="s">
        <v>51</v>
      </c>
      <c r="B267" s="11" t="s">
        <v>58</v>
      </c>
      <c r="C267" s="15"/>
      <c r="D267" s="16" t="s">
        <v>31</v>
      </c>
      <c r="E267" s="17">
        <v>0.0</v>
      </c>
      <c r="F267" s="18">
        <f>E267* 0.957442434210526</f>
        <v>0</v>
      </c>
      <c r="G267" s="18">
        <f>E267* 0.0158305921052632</f>
        <v>0</v>
      </c>
      <c r="H267" s="18">
        <f>E267* 0.0263157894736842</f>
        <v>0</v>
      </c>
    </row>
    <row r="268" ht="15.75" hidden="1" customHeight="1">
      <c r="A268" s="15" t="s">
        <v>51</v>
      </c>
      <c r="B268" s="11" t="s">
        <v>58</v>
      </c>
      <c r="C268" s="15"/>
      <c r="D268" s="16" t="s">
        <v>12</v>
      </c>
      <c r="E268" s="17">
        <v>0.0</v>
      </c>
      <c r="F268" s="18">
        <f>E268* 0.924936238310357</f>
        <v>0</v>
      </c>
      <c r="G268" s="18">
        <f>E268* 0.0351064361799663</f>
        <v>0</v>
      </c>
      <c r="H268" s="18">
        <f>E268* 0.039932320925503</f>
        <v>0</v>
      </c>
    </row>
    <row r="269" ht="15.75" hidden="1" customHeight="1">
      <c r="A269" s="15" t="s">
        <v>51</v>
      </c>
      <c r="B269" s="8"/>
      <c r="C269" s="8"/>
      <c r="D269" s="9"/>
      <c r="E269" s="19"/>
    </row>
    <row r="270" ht="15.75" hidden="1" customHeight="1">
      <c r="A270" s="15" t="s">
        <v>51</v>
      </c>
      <c r="B270" s="11" t="s">
        <v>59</v>
      </c>
      <c r="C270" s="12" t="str">
        <f>B270&amp;"_"&amp;A270</f>
        <v>Batallas_La Paz</v>
      </c>
      <c r="E270" s="13">
        <v>4.0</v>
      </c>
      <c r="F270" s="14">
        <f t="shared" ref="F270:H270" si="34">SUM(F271:F278)</f>
        <v>2.061324164</v>
      </c>
      <c r="G270" s="14">
        <f t="shared" si="34"/>
        <v>1.783052505</v>
      </c>
      <c r="H270" s="14">
        <f t="shared" si="34"/>
        <v>0.1554333331</v>
      </c>
    </row>
    <row r="271" ht="15.75" hidden="1" customHeight="1">
      <c r="A271" s="15" t="s">
        <v>51</v>
      </c>
      <c r="B271" s="11" t="s">
        <v>59</v>
      </c>
      <c r="C271" s="15"/>
      <c r="D271" s="16" t="s">
        <v>53</v>
      </c>
      <c r="E271" s="17">
        <v>0.0</v>
      </c>
      <c r="F271" s="20">
        <v>0.0</v>
      </c>
      <c r="G271" s="20">
        <f>E271</f>
        <v>0</v>
      </c>
      <c r="H271" s="20">
        <v>0.0</v>
      </c>
    </row>
    <row r="272" ht="15.75" hidden="1" customHeight="1">
      <c r="A272" s="15" t="s">
        <v>51</v>
      </c>
      <c r="B272" s="11" t="s">
        <v>59</v>
      </c>
      <c r="C272" s="15"/>
      <c r="D272" s="16" t="s">
        <v>16</v>
      </c>
      <c r="E272" s="17">
        <v>1.0</v>
      </c>
      <c r="F272" s="18">
        <f>E272* 0.142974979378609</f>
        <v>0.1429749794</v>
      </c>
      <c r="G272" s="18">
        <f>E272* 0.852350838603245</f>
        <v>0.8523508386</v>
      </c>
      <c r="H272" s="18">
        <f>E272* 0.00467418201814682</f>
        <v>0.004674182018</v>
      </c>
    </row>
    <row r="273" ht="15.75" hidden="1" customHeight="1">
      <c r="A273" s="15" t="s">
        <v>51</v>
      </c>
      <c r="B273" s="11" t="s">
        <v>59</v>
      </c>
      <c r="C273" s="15"/>
      <c r="D273" s="16" t="s">
        <v>11</v>
      </c>
      <c r="E273" s="17">
        <v>1.0</v>
      </c>
      <c r="F273" s="18">
        <f>E273* 0.178797409805735</f>
        <v>0.1787974098</v>
      </c>
      <c r="G273" s="18">
        <f>E273* 0.819278445883441</f>
        <v>0.8192784459</v>
      </c>
      <c r="H273" s="18">
        <f>E273* 0.00181313598519889</f>
        <v>0.001813135985</v>
      </c>
    </row>
    <row r="274" ht="15.75" hidden="1" customHeight="1">
      <c r="A274" s="15" t="s">
        <v>51</v>
      </c>
      <c r="B274" s="11" t="s">
        <v>59</v>
      </c>
      <c r="C274" s="15"/>
      <c r="D274" s="16" t="s">
        <v>17</v>
      </c>
      <c r="E274" s="17">
        <v>0.0</v>
      </c>
      <c r="F274" s="18">
        <f>E274* 0.916446662218225</f>
        <v>0</v>
      </c>
      <c r="G274" s="18">
        <f>E274* 0.0292436682236212</f>
        <v>0</v>
      </c>
      <c r="H274" s="18">
        <f>E274* 0.0543096695581537</f>
        <v>0</v>
      </c>
    </row>
    <row r="275" ht="15.75" hidden="1" customHeight="1">
      <c r="A275" s="15" t="s">
        <v>51</v>
      </c>
      <c r="B275" s="11" t="s">
        <v>59</v>
      </c>
      <c r="C275" s="15"/>
      <c r="D275" s="16" t="s">
        <v>18</v>
      </c>
      <c r="E275" s="17">
        <v>0.0</v>
      </c>
      <c r="F275" s="18">
        <f>E275* 0.983388008654987</f>
        <v>0</v>
      </c>
      <c r="G275" s="18">
        <f>E275* 0.0133314720457877</f>
        <v>0</v>
      </c>
      <c r="H275" s="18">
        <f>E275* 0.003210721016263</f>
        <v>0</v>
      </c>
    </row>
    <row r="276" ht="15.75" hidden="1" customHeight="1">
      <c r="A276" s="15" t="s">
        <v>51</v>
      </c>
      <c r="B276" s="11" t="s">
        <v>59</v>
      </c>
      <c r="C276" s="15"/>
      <c r="D276" s="16" t="s">
        <v>20</v>
      </c>
      <c r="E276" s="17">
        <v>1.0</v>
      </c>
      <c r="F276" s="18">
        <f>E276* 0.814615536880747</f>
        <v>0.8146155369</v>
      </c>
      <c r="G276" s="18">
        <f>E276* 0.0763167839340663</f>
        <v>0.07631678393</v>
      </c>
      <c r="H276" s="18">
        <f>E276* 0.109013694193014</f>
        <v>0.1090136942</v>
      </c>
    </row>
    <row r="277" ht="15.75" hidden="1" customHeight="1">
      <c r="A277" s="15" t="s">
        <v>51</v>
      </c>
      <c r="B277" s="11" t="s">
        <v>59</v>
      </c>
      <c r="C277" s="15"/>
      <c r="D277" s="16" t="s">
        <v>21</v>
      </c>
      <c r="E277" s="17">
        <v>0.0</v>
      </c>
      <c r="F277" s="18">
        <f>E277* 0.999722052365334</f>
        <v>0</v>
      </c>
      <c r="G277" s="18">
        <v>0.0</v>
      </c>
      <c r="H277" s="18">
        <f>E277* 0.000277947634665629</f>
        <v>0</v>
      </c>
    </row>
    <row r="278" ht="15.75" hidden="1" customHeight="1">
      <c r="A278" s="15" t="s">
        <v>51</v>
      </c>
      <c r="B278" s="11" t="s">
        <v>59</v>
      </c>
      <c r="C278" s="15"/>
      <c r="D278" s="16" t="s">
        <v>12</v>
      </c>
      <c r="E278" s="17">
        <v>1.0</v>
      </c>
      <c r="F278" s="18">
        <f>E278* 0.924936238310357</f>
        <v>0.9249362383</v>
      </c>
      <c r="G278" s="18">
        <f>E278* 0.0351064361799663</f>
        <v>0.03510643618</v>
      </c>
      <c r="H278" s="18">
        <f>E278* 0.039932320925503</f>
        <v>0.03993232093</v>
      </c>
    </row>
    <row r="279" ht="15.75" hidden="1" customHeight="1">
      <c r="A279" s="15" t="s">
        <v>51</v>
      </c>
      <c r="B279" s="8"/>
      <c r="C279" s="8"/>
      <c r="D279" s="9"/>
      <c r="E279" s="19"/>
    </row>
    <row r="280" ht="15.75" hidden="1" customHeight="1">
      <c r="A280" s="15" t="s">
        <v>51</v>
      </c>
      <c r="B280" s="11" t="s">
        <v>60</v>
      </c>
      <c r="C280" s="12" t="str">
        <f>B280&amp;"_"&amp;A280</f>
        <v>Calacoto_La Paz</v>
      </c>
      <c r="E280" s="13">
        <v>4.0</v>
      </c>
      <c r="F280" s="14">
        <f t="shared" ref="F280:H280" si="35">SUM(F281:F284)</f>
        <v>1.536114282</v>
      </c>
      <c r="G280" s="14">
        <f t="shared" si="35"/>
        <v>2.457835338</v>
      </c>
      <c r="H280" s="14">
        <f t="shared" si="35"/>
        <v>0.00571735559</v>
      </c>
    </row>
    <row r="281" ht="15.75" hidden="1" customHeight="1">
      <c r="A281" s="15" t="s">
        <v>51</v>
      </c>
      <c r="B281" s="11" t="s">
        <v>60</v>
      </c>
      <c r="C281" s="15"/>
      <c r="D281" s="16" t="s">
        <v>16</v>
      </c>
      <c r="E281" s="17">
        <v>0.0</v>
      </c>
      <c r="F281" s="18">
        <f>E281* 0.142974979378609</f>
        <v>0</v>
      </c>
      <c r="G281" s="18">
        <f>E281* 0.852350838603245</f>
        <v>0</v>
      </c>
      <c r="H281" s="18">
        <f>E281* 0.00467418201814682</f>
        <v>0</v>
      </c>
    </row>
    <row r="282" ht="15.75" hidden="1" customHeight="1">
      <c r="A282" s="15" t="s">
        <v>51</v>
      </c>
      <c r="B282" s="11" t="s">
        <v>60</v>
      </c>
      <c r="C282" s="15"/>
      <c r="D282" s="16" t="s">
        <v>11</v>
      </c>
      <c r="E282" s="17">
        <v>3.0</v>
      </c>
      <c r="F282" s="18">
        <f>E282* 0.178797409805735</f>
        <v>0.5363922294</v>
      </c>
      <c r="G282" s="18">
        <f>E282* 0.819278445883441</f>
        <v>2.457835338</v>
      </c>
      <c r="H282" s="18">
        <f>E282* 0.00181313598519889</f>
        <v>0.005439407956</v>
      </c>
    </row>
    <row r="283" ht="15.75" hidden="1" customHeight="1">
      <c r="A283" s="15" t="s">
        <v>51</v>
      </c>
      <c r="B283" s="11" t="s">
        <v>60</v>
      </c>
      <c r="C283" s="15"/>
      <c r="D283" s="16" t="s">
        <v>20</v>
      </c>
      <c r="E283" s="17">
        <v>0.0</v>
      </c>
      <c r="F283" s="18">
        <f>E283* 0.814615536880747</f>
        <v>0</v>
      </c>
      <c r="G283" s="18">
        <f>E283* 0.0763167839340663</f>
        <v>0</v>
      </c>
      <c r="H283" s="18">
        <f>E283* 0.109013694193014</f>
        <v>0</v>
      </c>
    </row>
    <row r="284" ht="15.75" hidden="1" customHeight="1">
      <c r="A284" s="15" t="s">
        <v>51</v>
      </c>
      <c r="B284" s="11" t="s">
        <v>60</v>
      </c>
      <c r="C284" s="15"/>
      <c r="D284" s="16" t="s">
        <v>21</v>
      </c>
      <c r="E284" s="17">
        <v>1.0</v>
      </c>
      <c r="F284" s="18">
        <f>E284* 0.999722052365334</f>
        <v>0.9997220524</v>
      </c>
      <c r="G284" s="18">
        <v>0.0</v>
      </c>
      <c r="H284" s="18">
        <f>E284* 0.000277947634665629</f>
        <v>0.0002779476347</v>
      </c>
    </row>
    <row r="285" ht="15.75" hidden="1" customHeight="1">
      <c r="A285" s="15" t="s">
        <v>51</v>
      </c>
      <c r="B285" s="8"/>
      <c r="C285" s="8"/>
      <c r="D285" s="9"/>
      <c r="E285" s="19"/>
    </row>
    <row r="286" ht="15.75" hidden="1" customHeight="1">
      <c r="A286" s="15" t="s">
        <v>51</v>
      </c>
      <c r="B286" s="11" t="s">
        <v>61</v>
      </c>
      <c r="C286" s="12" t="str">
        <f>B286&amp;"_"&amp;A286</f>
        <v>Calamarca_La Paz</v>
      </c>
      <c r="E286" s="22">
        <v>1486.0</v>
      </c>
      <c r="F286" s="14">
        <f t="shared" ref="F286:H286" si="36">SUM(F287:F299)</f>
        <v>1014.275556</v>
      </c>
      <c r="G286" s="14">
        <f t="shared" si="36"/>
        <v>442.4659536</v>
      </c>
      <c r="H286" s="14">
        <f t="shared" si="36"/>
        <v>29.20434277</v>
      </c>
    </row>
    <row r="287" ht="15.75" hidden="1" customHeight="1">
      <c r="A287" s="15" t="s">
        <v>51</v>
      </c>
      <c r="B287" s="11" t="s">
        <v>61</v>
      </c>
      <c r="C287" s="15"/>
      <c r="D287" s="16" t="s">
        <v>53</v>
      </c>
      <c r="E287" s="17">
        <v>0.0</v>
      </c>
      <c r="F287" s="20">
        <v>0.0</v>
      </c>
      <c r="G287" s="20">
        <f>E287</f>
        <v>0</v>
      </c>
      <c r="H287" s="20">
        <v>0.0</v>
      </c>
    </row>
    <row r="288" ht="15.75" hidden="1" customHeight="1">
      <c r="A288" s="15" t="s">
        <v>51</v>
      </c>
      <c r="B288" s="11" t="s">
        <v>61</v>
      </c>
      <c r="C288" s="15"/>
      <c r="D288" s="16" t="s">
        <v>15</v>
      </c>
      <c r="E288" s="17">
        <v>87.0</v>
      </c>
      <c r="F288" s="18">
        <f>E288* 0.981163265034061</f>
        <v>85.36120406</v>
      </c>
      <c r="G288" s="18">
        <f>E288* 0.0027595216829083</f>
        <v>0.2400783864</v>
      </c>
      <c r="H288" s="18">
        <f>E288* 0.0160372202151627</f>
        <v>1.395238159</v>
      </c>
    </row>
    <row r="289" ht="15.75" hidden="1" customHeight="1">
      <c r="A289" s="15" t="s">
        <v>51</v>
      </c>
      <c r="B289" s="11" t="s">
        <v>61</v>
      </c>
      <c r="C289" s="15"/>
      <c r="D289" s="16" t="s">
        <v>16</v>
      </c>
      <c r="E289" s="17">
        <v>47.0</v>
      </c>
      <c r="F289" s="18">
        <f>E289* 0.142974979378609</f>
        <v>6.719824031</v>
      </c>
      <c r="G289" s="18">
        <f>E289* 0.852350838603245</f>
        <v>40.06048941</v>
      </c>
      <c r="H289" s="18">
        <f>E289* 0.00467418201814682</f>
        <v>0.2196865549</v>
      </c>
    </row>
    <row r="290" ht="15.75" hidden="1" customHeight="1">
      <c r="A290" s="15" t="s">
        <v>51</v>
      </c>
      <c r="B290" s="11" t="s">
        <v>61</v>
      </c>
      <c r="C290" s="15"/>
      <c r="D290" s="16" t="s">
        <v>11</v>
      </c>
      <c r="E290" s="17">
        <v>324.0</v>
      </c>
      <c r="F290" s="18">
        <f>E290* 0.178797409805735</f>
        <v>57.93036078</v>
      </c>
      <c r="G290" s="18">
        <f>E290* 0.819278445883441</f>
        <v>265.4462165</v>
      </c>
      <c r="H290" s="18">
        <f>E290* 0.00181313598519889</f>
        <v>0.5874560592</v>
      </c>
    </row>
    <row r="291" ht="15.75" hidden="1" customHeight="1">
      <c r="A291" s="15" t="s">
        <v>51</v>
      </c>
      <c r="B291" s="11" t="s">
        <v>61</v>
      </c>
      <c r="C291" s="15"/>
      <c r="D291" s="16" t="s">
        <v>17</v>
      </c>
      <c r="E291" s="17">
        <v>68.0</v>
      </c>
      <c r="F291" s="18">
        <f>E291* 0.916446662218225</f>
        <v>62.31837303</v>
      </c>
      <c r="G291" s="18">
        <f>E291* 0.0292436682236212</f>
        <v>1.988569439</v>
      </c>
      <c r="H291" s="18">
        <f>E291* 0.0543096695581537</f>
        <v>3.69305753</v>
      </c>
    </row>
    <row r="292" ht="15.75" hidden="1" customHeight="1">
      <c r="A292" s="15" t="s">
        <v>51</v>
      </c>
      <c r="B292" s="11" t="s">
        <v>61</v>
      </c>
      <c r="C292" s="15"/>
      <c r="D292" s="16" t="s">
        <v>31</v>
      </c>
      <c r="E292" s="17">
        <v>2.0</v>
      </c>
      <c r="F292" s="18">
        <f>E292* 0.957442434210526</f>
        <v>1.914884868</v>
      </c>
      <c r="G292" s="18">
        <f>E292* 0.0158305921052632</f>
        <v>0.03166118421</v>
      </c>
      <c r="H292" s="18">
        <f>E292* 0.0263157894736842</f>
        <v>0.05263157895</v>
      </c>
    </row>
    <row r="293" ht="15.75" hidden="1" customHeight="1">
      <c r="A293" s="15" t="s">
        <v>51</v>
      </c>
      <c r="B293" s="11" t="s">
        <v>61</v>
      </c>
      <c r="C293" s="15"/>
      <c r="D293" s="16" t="s">
        <v>18</v>
      </c>
      <c r="E293" s="17">
        <v>17.0</v>
      </c>
      <c r="F293" s="18">
        <f>E293* 0.983388008654987</f>
        <v>16.71759615</v>
      </c>
      <c r="G293" s="18">
        <f>E293* 0.0133314720457877</f>
        <v>0.2266350248</v>
      </c>
      <c r="H293" s="18">
        <f>E293* 0.003210721016263</f>
        <v>0.05458225728</v>
      </c>
    </row>
    <row r="294" ht="15.75" hidden="1" customHeight="1">
      <c r="A294" s="15" t="s">
        <v>51</v>
      </c>
      <c r="B294" s="11" t="s">
        <v>61</v>
      </c>
      <c r="C294" s="15"/>
      <c r="D294" s="16" t="s">
        <v>19</v>
      </c>
      <c r="E294" s="17">
        <v>12.0</v>
      </c>
      <c r="F294" s="18">
        <f>E294* 0.511826182618262</f>
        <v>6.141914191</v>
      </c>
      <c r="G294" s="18">
        <f>E294* 0.476622662266227</f>
        <v>5.719471947</v>
      </c>
      <c r="H294" s="18">
        <f>E294* 0.0115511551155116</f>
        <v>0.1386138614</v>
      </c>
    </row>
    <row r="295" ht="15.75" hidden="1" customHeight="1">
      <c r="A295" s="15" t="s">
        <v>51</v>
      </c>
      <c r="B295" s="11" t="s">
        <v>61</v>
      </c>
      <c r="C295" s="15"/>
      <c r="D295" s="16" t="s">
        <v>20</v>
      </c>
      <c r="E295" s="17">
        <v>117.0</v>
      </c>
      <c r="F295" s="18">
        <f>E295* 0.814615536880747</f>
        <v>95.31001782</v>
      </c>
      <c r="G295" s="18">
        <f>E295* 0.0763167839340663</f>
        <v>8.92906372</v>
      </c>
      <c r="H295" s="18">
        <f>E295* 0.109013694193014</f>
        <v>12.75460222</v>
      </c>
    </row>
    <row r="296" ht="15.75" hidden="1" customHeight="1">
      <c r="A296" s="15" t="s">
        <v>51</v>
      </c>
      <c r="B296" s="11" t="s">
        <v>61</v>
      </c>
      <c r="C296" s="15"/>
      <c r="D296" s="16" t="s">
        <v>21</v>
      </c>
      <c r="E296" s="17">
        <v>443.0</v>
      </c>
      <c r="F296" s="18">
        <f>E296* 0.999722052365334</f>
        <v>442.8768692</v>
      </c>
      <c r="G296" s="18">
        <v>0.0</v>
      </c>
      <c r="H296" s="18">
        <f>E296* 0.000277947634665629</f>
        <v>0.1231308022</v>
      </c>
    </row>
    <row r="297" ht="15.75" hidden="1" customHeight="1">
      <c r="A297" s="15" t="s">
        <v>51</v>
      </c>
      <c r="B297" s="11" t="s">
        <v>61</v>
      </c>
      <c r="C297" s="15"/>
      <c r="D297" s="16" t="s">
        <v>36</v>
      </c>
      <c r="E297" s="17">
        <v>3.0</v>
      </c>
      <c r="F297" s="18">
        <f>E297* 0.999132697311362</f>
        <v>2.997398092</v>
      </c>
      <c r="G297" s="20">
        <v>0.0</v>
      </c>
      <c r="H297" s="18">
        <f>E297* 0.000867302688638335</f>
        <v>0.002601908066</v>
      </c>
    </row>
    <row r="298" ht="15.75" hidden="1" customHeight="1">
      <c r="A298" s="15" t="s">
        <v>51</v>
      </c>
      <c r="B298" s="11" t="s">
        <v>61</v>
      </c>
      <c r="C298" s="15"/>
      <c r="D298" s="16" t="s">
        <v>28</v>
      </c>
      <c r="E298" s="17">
        <v>111.0</v>
      </c>
      <c r="F298" s="18">
        <f>E298* 0.00115651503469545</f>
        <v>0.1283731689</v>
      </c>
      <c r="G298" s="18">
        <f>E298* 0.998843484965305</f>
        <v>110.8716268</v>
      </c>
      <c r="H298" s="20">
        <v>0.0</v>
      </c>
    </row>
    <row r="299" ht="15.75" hidden="1" customHeight="1">
      <c r="A299" s="15" t="s">
        <v>51</v>
      </c>
      <c r="B299" s="11" t="s">
        <v>61</v>
      </c>
      <c r="C299" s="15"/>
      <c r="D299" s="16" t="s">
        <v>12</v>
      </c>
      <c r="E299" s="17">
        <v>255.0</v>
      </c>
      <c r="F299" s="18">
        <f>E299* 0.924936238310357</f>
        <v>235.8587408</v>
      </c>
      <c r="G299" s="18">
        <f>E299* 0.0351064361799663</f>
        <v>8.952141226</v>
      </c>
      <c r="H299" s="18">
        <f>E299* 0.039932320925503</f>
        <v>10.18274184</v>
      </c>
    </row>
    <row r="300" ht="15.75" hidden="1" customHeight="1">
      <c r="A300" s="15" t="s">
        <v>51</v>
      </c>
      <c r="B300" s="8"/>
      <c r="C300" s="8"/>
      <c r="D300" s="9"/>
      <c r="E300" s="19"/>
    </row>
    <row r="301" ht="15.75" hidden="1" customHeight="1">
      <c r="A301" s="15" t="s">
        <v>51</v>
      </c>
      <c r="B301" s="11" t="s">
        <v>62</v>
      </c>
      <c r="C301" s="12" t="str">
        <f>B301&amp;"_"&amp;A301</f>
        <v>Caquiaviri_La Paz</v>
      </c>
      <c r="E301" s="13">
        <v>2.0</v>
      </c>
      <c r="F301" s="14">
        <f t="shared" ref="F301:H301" si="37">SUM(F302)</f>
        <v>0.3575948196</v>
      </c>
      <c r="G301" s="14">
        <f t="shared" si="37"/>
        <v>1.638556892</v>
      </c>
      <c r="H301" s="14">
        <f t="shared" si="37"/>
        <v>0.00362627197</v>
      </c>
    </row>
    <row r="302" ht="15.75" hidden="1" customHeight="1">
      <c r="A302" s="15" t="s">
        <v>51</v>
      </c>
      <c r="B302" s="11" t="s">
        <v>62</v>
      </c>
      <c r="C302" s="15"/>
      <c r="D302" s="16" t="s">
        <v>11</v>
      </c>
      <c r="E302" s="17">
        <v>2.0</v>
      </c>
      <c r="F302" s="18">
        <f>E302* 0.178797409805735</f>
        <v>0.3575948196</v>
      </c>
      <c r="G302" s="18">
        <f>E302* 0.819278445883441</f>
        <v>1.638556892</v>
      </c>
      <c r="H302" s="18">
        <f>E302* 0.00181313598519889</f>
        <v>0.00362627197</v>
      </c>
    </row>
    <row r="303" ht="15.75" hidden="1" customHeight="1">
      <c r="A303" s="15" t="s">
        <v>51</v>
      </c>
      <c r="B303" s="8"/>
      <c r="C303" s="8"/>
      <c r="D303" s="9"/>
      <c r="E303" s="19"/>
    </row>
    <row r="304" ht="15.75" hidden="1" customHeight="1">
      <c r="A304" s="15" t="s">
        <v>51</v>
      </c>
      <c r="B304" s="11" t="s">
        <v>63</v>
      </c>
      <c r="C304" s="12" t="str">
        <f>B304&amp;"_"&amp;A304</f>
        <v>Caranavi_La Paz</v>
      </c>
      <c r="E304" s="22">
        <v>2811.0</v>
      </c>
      <c r="F304" s="14">
        <f t="shared" ref="F304:H304" si="38">SUM(F305:F318)</f>
        <v>2583.002136</v>
      </c>
      <c r="G304" s="14">
        <f t="shared" si="38"/>
        <v>130.7451724</v>
      </c>
      <c r="H304" s="14">
        <f t="shared" si="38"/>
        <v>97.1859596</v>
      </c>
    </row>
    <row r="305" ht="15.75" hidden="1" customHeight="1">
      <c r="A305" s="15" t="s">
        <v>51</v>
      </c>
      <c r="B305" s="11" t="s">
        <v>63</v>
      </c>
      <c r="C305" s="15"/>
      <c r="D305" s="16" t="s">
        <v>53</v>
      </c>
      <c r="E305" s="17">
        <v>0.0</v>
      </c>
      <c r="F305" s="20">
        <v>0.0</v>
      </c>
      <c r="G305" s="20">
        <f>E305</f>
        <v>0</v>
      </c>
      <c r="H305" s="20">
        <v>0.0</v>
      </c>
    </row>
    <row r="306" ht="15.75" hidden="1" customHeight="1">
      <c r="A306" s="15" t="s">
        <v>51</v>
      </c>
      <c r="B306" s="11" t="s">
        <v>63</v>
      </c>
      <c r="C306" s="15"/>
      <c r="D306" s="16" t="s">
        <v>15</v>
      </c>
      <c r="E306" s="17">
        <v>14.0</v>
      </c>
      <c r="F306" s="18">
        <f>E306* 0.981163265034061</f>
        <v>13.73628571</v>
      </c>
      <c r="G306" s="18">
        <f>E306* 0.0027595216829083</f>
        <v>0.03863330356</v>
      </c>
      <c r="H306" s="18">
        <f>E306* 0.0160372202151627</f>
        <v>0.224521083</v>
      </c>
    </row>
    <row r="307" ht="15.75" hidden="1" customHeight="1">
      <c r="A307" s="15" t="s">
        <v>51</v>
      </c>
      <c r="B307" s="11" t="s">
        <v>63</v>
      </c>
      <c r="C307" s="15"/>
      <c r="D307" s="16" t="s">
        <v>16</v>
      </c>
      <c r="E307" s="17">
        <v>0.0</v>
      </c>
      <c r="F307" s="18">
        <f>E307* 0.142974979378609</f>
        <v>0</v>
      </c>
      <c r="G307" s="18">
        <f>E307* 0.852350838603245</f>
        <v>0</v>
      </c>
      <c r="H307" s="18">
        <f>E307* 0.00467418201814682</f>
        <v>0</v>
      </c>
    </row>
    <row r="308" ht="15.75" hidden="1" customHeight="1">
      <c r="A308" s="15" t="s">
        <v>51</v>
      </c>
      <c r="B308" s="11" t="s">
        <v>63</v>
      </c>
      <c r="C308" s="15"/>
      <c r="D308" s="16" t="s">
        <v>11</v>
      </c>
      <c r="E308" s="17">
        <v>59.0</v>
      </c>
      <c r="F308" s="18">
        <f>E308* 0.178797409805735</f>
        <v>10.54904718</v>
      </c>
      <c r="G308" s="18">
        <f>E308* 0.819278445883441</f>
        <v>48.33742831</v>
      </c>
      <c r="H308" s="18">
        <f>E308* 0.00181313598519889</f>
        <v>0.1069750231</v>
      </c>
    </row>
    <row r="309" ht="15.75" hidden="1" customHeight="1">
      <c r="A309" s="15" t="s">
        <v>51</v>
      </c>
      <c r="B309" s="11" t="s">
        <v>63</v>
      </c>
      <c r="C309" s="15"/>
      <c r="D309" s="16" t="s">
        <v>17</v>
      </c>
      <c r="E309" s="17">
        <v>77.0</v>
      </c>
      <c r="F309" s="18">
        <f>E309* 0.916446662218225</f>
        <v>70.56639299</v>
      </c>
      <c r="G309" s="18">
        <f>E309* 0.0292436682236212</f>
        <v>2.251762453</v>
      </c>
      <c r="H309" s="18">
        <f>E309* 0.0543096695581537</f>
        <v>4.181844556</v>
      </c>
    </row>
    <row r="310" ht="15.75" hidden="1" customHeight="1">
      <c r="A310" s="15" t="s">
        <v>51</v>
      </c>
      <c r="B310" s="11" t="s">
        <v>63</v>
      </c>
      <c r="C310" s="15"/>
      <c r="D310" s="16" t="s">
        <v>31</v>
      </c>
      <c r="E310" s="17">
        <v>3.0</v>
      </c>
      <c r="F310" s="18">
        <f>E310* 0.957442434210526</f>
        <v>2.872327303</v>
      </c>
      <c r="G310" s="18">
        <f>E310* 0.0158305921052632</f>
        <v>0.04749177632</v>
      </c>
      <c r="H310" s="18">
        <f>E310* 0.0263157894736842</f>
        <v>0.07894736842</v>
      </c>
    </row>
    <row r="311" ht="15.75" hidden="1" customHeight="1">
      <c r="A311" s="15" t="s">
        <v>51</v>
      </c>
      <c r="B311" s="11" t="s">
        <v>63</v>
      </c>
      <c r="C311" s="15"/>
      <c r="D311" s="16" t="s">
        <v>18</v>
      </c>
      <c r="E311" s="17">
        <v>23.0</v>
      </c>
      <c r="F311" s="18">
        <f>E311* 0.983388008654987</f>
        <v>22.6179242</v>
      </c>
      <c r="G311" s="18">
        <f>E311* 0.0133314720457877</f>
        <v>0.3066238571</v>
      </c>
      <c r="H311" s="18">
        <f>E311* 0.003210721016263</f>
        <v>0.07384658337</v>
      </c>
    </row>
    <row r="312" ht="15.75" hidden="1" customHeight="1">
      <c r="A312" s="15" t="s">
        <v>51</v>
      </c>
      <c r="B312" s="11" t="s">
        <v>63</v>
      </c>
      <c r="C312" s="15"/>
      <c r="D312" s="16" t="s">
        <v>55</v>
      </c>
      <c r="E312" s="17">
        <v>0.0</v>
      </c>
      <c r="F312" s="20">
        <v>0.0</v>
      </c>
      <c r="G312" s="20">
        <f>E312</f>
        <v>0</v>
      </c>
      <c r="H312" s="20">
        <v>0.0</v>
      </c>
    </row>
    <row r="313" ht="15.75" hidden="1" customHeight="1">
      <c r="A313" s="15" t="s">
        <v>51</v>
      </c>
      <c r="B313" s="11" t="s">
        <v>63</v>
      </c>
      <c r="C313" s="15"/>
      <c r="D313" s="16" t="s">
        <v>20</v>
      </c>
      <c r="E313" s="17">
        <v>75.0</v>
      </c>
      <c r="F313" s="18">
        <f>E313* 0.814615536880747</f>
        <v>61.09616527</v>
      </c>
      <c r="G313" s="18">
        <f>E313* 0.0763167839340663</f>
        <v>5.723758795</v>
      </c>
      <c r="H313" s="18">
        <f>E313* 0.109013694193014</f>
        <v>8.176027064</v>
      </c>
    </row>
    <row r="314" ht="15.75" hidden="1" customHeight="1">
      <c r="A314" s="15" t="s">
        <v>51</v>
      </c>
      <c r="B314" s="11" t="s">
        <v>63</v>
      </c>
      <c r="C314" s="15"/>
      <c r="D314" s="16" t="s">
        <v>21</v>
      </c>
      <c r="E314" s="17">
        <v>449.0</v>
      </c>
      <c r="F314" s="18">
        <f>E314* 0.999722052365334</f>
        <v>448.8752015</v>
      </c>
      <c r="G314" s="18">
        <v>0.0</v>
      </c>
      <c r="H314" s="18">
        <f>E314* 0.000277947634665629</f>
        <v>0.124798488</v>
      </c>
    </row>
    <row r="315" ht="15.75" hidden="1" customHeight="1">
      <c r="A315" s="15" t="s">
        <v>51</v>
      </c>
      <c r="B315" s="11" t="s">
        <v>63</v>
      </c>
      <c r="C315" s="15"/>
      <c r="D315" s="16" t="s">
        <v>36</v>
      </c>
      <c r="E315" s="17">
        <v>2.0</v>
      </c>
      <c r="F315" s="18">
        <f>E315* 0.999132697311362</f>
        <v>1.998265395</v>
      </c>
      <c r="G315" s="20">
        <v>0.0</v>
      </c>
      <c r="H315" s="18">
        <f>E315* 0.000867302688638335</f>
        <v>0.001734605377</v>
      </c>
    </row>
    <row r="316" ht="15.75" hidden="1" customHeight="1">
      <c r="A316" s="15" t="s">
        <v>51</v>
      </c>
      <c r="B316" s="11" t="s">
        <v>63</v>
      </c>
      <c r="C316" s="15"/>
      <c r="D316" s="16" t="s">
        <v>37</v>
      </c>
      <c r="E316" s="17">
        <v>0.0</v>
      </c>
      <c r="F316" s="18">
        <f>E316* 0.0555555555555556</f>
        <v>0</v>
      </c>
      <c r="G316" s="18">
        <f>E316* 0.944444444444444</f>
        <v>0</v>
      </c>
      <c r="H316" s="20">
        <v>0.0</v>
      </c>
    </row>
    <row r="317" ht="15.75" hidden="1" customHeight="1">
      <c r="A317" s="15" t="s">
        <v>51</v>
      </c>
      <c r="B317" s="11" t="s">
        <v>63</v>
      </c>
      <c r="C317" s="15"/>
      <c r="D317" s="16" t="s">
        <v>28</v>
      </c>
      <c r="E317" s="17">
        <v>0.0</v>
      </c>
      <c r="F317" s="18">
        <f>E317* 0.00115651503469545</f>
        <v>0</v>
      </c>
      <c r="G317" s="18">
        <f>E317* 0.998843484965305</f>
        <v>0</v>
      </c>
      <c r="H317" s="20">
        <v>0.0</v>
      </c>
    </row>
    <row r="318" ht="15.75" hidden="1" customHeight="1">
      <c r="A318" s="15" t="s">
        <v>51</v>
      </c>
      <c r="B318" s="11" t="s">
        <v>63</v>
      </c>
      <c r="C318" s="15"/>
      <c r="D318" s="16" t="s">
        <v>12</v>
      </c>
      <c r="E318" s="23">
        <v>2109.0</v>
      </c>
      <c r="F318" s="18">
        <f>E318* 0.924936238310357</f>
        <v>1950.690527</v>
      </c>
      <c r="G318" s="18">
        <f>E318* 0.0351064361799663</f>
        <v>74.0394739</v>
      </c>
      <c r="H318" s="18">
        <f>E318* 0.039932320925503</f>
        <v>84.21726483</v>
      </c>
    </row>
    <row r="319" ht="15.75" hidden="1" customHeight="1">
      <c r="A319" s="15" t="s">
        <v>51</v>
      </c>
      <c r="B319" s="21"/>
      <c r="C319" s="21"/>
      <c r="D319" s="16"/>
      <c r="E319" s="19"/>
    </row>
    <row r="320" ht="15.75" hidden="1" customHeight="1">
      <c r="A320" s="15" t="s">
        <v>51</v>
      </c>
      <c r="B320" s="11" t="s">
        <v>64</v>
      </c>
      <c r="C320" s="12" t="str">
        <f>B320&amp;"_"&amp;A320</f>
        <v>Charaña_La Paz</v>
      </c>
      <c r="E320" s="13">
        <v>1.0</v>
      </c>
      <c r="F320" s="14">
        <f t="shared" ref="F320:H320" si="39">SUM(F321:F322)</f>
        <v>0.1429749794</v>
      </c>
      <c r="G320" s="14">
        <f t="shared" si="39"/>
        <v>0.8523508386</v>
      </c>
      <c r="H320" s="14">
        <f t="shared" si="39"/>
        <v>0.004674182018</v>
      </c>
    </row>
    <row r="321" ht="15.75" hidden="1" customHeight="1">
      <c r="A321" s="15" t="s">
        <v>51</v>
      </c>
      <c r="B321" s="11" t="s">
        <v>64</v>
      </c>
      <c r="C321" s="15"/>
      <c r="D321" s="16" t="s">
        <v>16</v>
      </c>
      <c r="E321" s="17">
        <v>1.0</v>
      </c>
      <c r="F321" s="18">
        <f>E321* 0.142974979378609</f>
        <v>0.1429749794</v>
      </c>
      <c r="G321" s="18">
        <f>E321* 0.852350838603245</f>
        <v>0.8523508386</v>
      </c>
      <c r="H321" s="18">
        <f>E321* 0.00467418201814682</f>
        <v>0.004674182018</v>
      </c>
    </row>
    <row r="322" ht="15.75" hidden="1" customHeight="1">
      <c r="A322" s="15" t="s">
        <v>51</v>
      </c>
      <c r="B322" s="11" t="s">
        <v>64</v>
      </c>
      <c r="C322" s="15"/>
      <c r="D322" s="16" t="s">
        <v>11</v>
      </c>
      <c r="E322" s="17">
        <v>0.0</v>
      </c>
      <c r="F322" s="18">
        <f>E322* 0.178797409805735</f>
        <v>0</v>
      </c>
      <c r="G322" s="18">
        <f>E322* 0.819278445883441</f>
        <v>0</v>
      </c>
      <c r="H322" s="18">
        <f>E322* 0.00181313598519889</f>
        <v>0</v>
      </c>
    </row>
    <row r="323" ht="15.75" hidden="1" customHeight="1">
      <c r="A323" s="15" t="s">
        <v>51</v>
      </c>
      <c r="B323" s="8"/>
      <c r="C323" s="8"/>
      <c r="D323" s="9"/>
      <c r="E323" s="19"/>
    </row>
    <row r="324" ht="15.75" hidden="1" customHeight="1">
      <c r="A324" s="15" t="s">
        <v>51</v>
      </c>
      <c r="B324" s="11" t="s">
        <v>65</v>
      </c>
      <c r="C324" s="12" t="str">
        <f>B324&amp;"_"&amp;A324</f>
        <v>Chulumani_La Paz</v>
      </c>
      <c r="E324" s="13">
        <v>21.0</v>
      </c>
      <c r="F324" s="14">
        <f t="shared" ref="F324:H324" si="40">SUM(F325:F334)</f>
        <v>14.18065471</v>
      </c>
      <c r="G324" s="14">
        <f t="shared" si="40"/>
        <v>5.989178703</v>
      </c>
      <c r="H324" s="14">
        <f t="shared" si="40"/>
        <v>0.8292330424</v>
      </c>
    </row>
    <row r="325" ht="15.75" hidden="1" customHeight="1">
      <c r="A325" s="15" t="s">
        <v>51</v>
      </c>
      <c r="B325" s="11" t="s">
        <v>65</v>
      </c>
      <c r="C325" s="15"/>
      <c r="D325" s="16" t="s">
        <v>53</v>
      </c>
      <c r="E325" s="17">
        <v>0.0</v>
      </c>
      <c r="F325" s="20">
        <v>0.0</v>
      </c>
      <c r="G325" s="20">
        <f>E325</f>
        <v>0</v>
      </c>
      <c r="H325" s="20">
        <v>0.0</v>
      </c>
    </row>
    <row r="326" ht="15.75" hidden="1" customHeight="1">
      <c r="A326" s="15" t="s">
        <v>51</v>
      </c>
      <c r="B326" s="11" t="s">
        <v>65</v>
      </c>
      <c r="C326" s="15"/>
      <c r="D326" s="16" t="s">
        <v>15</v>
      </c>
      <c r="E326" s="17">
        <v>2.0</v>
      </c>
      <c r="F326" s="18">
        <f>E326* 0.981163265034061</f>
        <v>1.96232653</v>
      </c>
      <c r="G326" s="18">
        <f>E326* 0.0027595216829083</f>
        <v>0.005519043366</v>
      </c>
      <c r="H326" s="18">
        <f>E326* 0.0160372202151627</f>
        <v>0.03207444043</v>
      </c>
    </row>
    <row r="327" ht="15.75" hidden="1" customHeight="1">
      <c r="A327" s="15" t="s">
        <v>51</v>
      </c>
      <c r="B327" s="11" t="s">
        <v>65</v>
      </c>
      <c r="C327" s="15"/>
      <c r="D327" s="16" t="s">
        <v>16</v>
      </c>
      <c r="E327" s="17">
        <v>2.0</v>
      </c>
      <c r="F327" s="18">
        <f>E327* 0.142974979378609</f>
        <v>0.2859499588</v>
      </c>
      <c r="G327" s="18">
        <f>E327* 0.852350838603245</f>
        <v>1.704701677</v>
      </c>
      <c r="H327" s="18">
        <f>E327* 0.00467418201814682</f>
        <v>0.009348364036</v>
      </c>
    </row>
    <row r="328" ht="15.75" hidden="1" customHeight="1">
      <c r="A328" s="15" t="s">
        <v>51</v>
      </c>
      <c r="B328" s="11" t="s">
        <v>65</v>
      </c>
      <c r="C328" s="15"/>
      <c r="D328" s="16" t="s">
        <v>11</v>
      </c>
      <c r="E328" s="17">
        <v>4.0</v>
      </c>
      <c r="F328" s="18">
        <f>E328* 0.178797409805735</f>
        <v>0.7151896392</v>
      </c>
      <c r="G328" s="18">
        <f>E328* 0.819278445883441</f>
        <v>3.277113784</v>
      </c>
      <c r="H328" s="18">
        <f>E328* 0.00181313598519889</f>
        <v>0.007252543941</v>
      </c>
    </row>
    <row r="329" ht="15.75" hidden="1" customHeight="1">
      <c r="A329" s="15" t="s">
        <v>51</v>
      </c>
      <c r="B329" s="11" t="s">
        <v>65</v>
      </c>
      <c r="C329" s="15"/>
      <c r="D329" s="16" t="s">
        <v>17</v>
      </c>
      <c r="E329" s="17">
        <v>4.0</v>
      </c>
      <c r="F329" s="18">
        <f>E329* 0.916446662218225</f>
        <v>3.665786649</v>
      </c>
      <c r="G329" s="18">
        <f>E329* 0.0292436682236212</f>
        <v>0.1169746729</v>
      </c>
      <c r="H329" s="18">
        <f>E329* 0.0543096695581537</f>
        <v>0.2172386782</v>
      </c>
    </row>
    <row r="330" ht="15.75" hidden="1" customHeight="1">
      <c r="A330" s="15" t="s">
        <v>51</v>
      </c>
      <c r="B330" s="11" t="s">
        <v>65</v>
      </c>
      <c r="C330" s="15"/>
      <c r="D330" s="16" t="s">
        <v>18</v>
      </c>
      <c r="E330" s="17">
        <v>2.0</v>
      </c>
      <c r="F330" s="18">
        <f>E330* 0.983388008654987</f>
        <v>1.966776017</v>
      </c>
      <c r="G330" s="18">
        <f>E330* 0.0133314720457877</f>
        <v>0.02666294409</v>
      </c>
      <c r="H330" s="18">
        <f>E330* 0.003210721016263</f>
        <v>0.006421442033</v>
      </c>
    </row>
    <row r="331" ht="15.75" hidden="1" customHeight="1">
      <c r="A331" s="15" t="s">
        <v>51</v>
      </c>
      <c r="B331" s="11" t="s">
        <v>65</v>
      </c>
      <c r="C331" s="15"/>
      <c r="D331" s="16" t="s">
        <v>19</v>
      </c>
      <c r="E331" s="17">
        <v>1.0</v>
      </c>
      <c r="F331" s="18">
        <f>E331* 0.511826182618262</f>
        <v>0.5118261826</v>
      </c>
      <c r="G331" s="18">
        <f>E331* 0.476622662266227</f>
        <v>0.4766226623</v>
      </c>
      <c r="H331" s="18">
        <f>E331* 0.0115511551155116</f>
        <v>0.01155115512</v>
      </c>
    </row>
    <row r="332" ht="15.75" hidden="1" customHeight="1">
      <c r="A332" s="15" t="s">
        <v>51</v>
      </c>
      <c r="B332" s="11" t="s">
        <v>65</v>
      </c>
      <c r="C332" s="15"/>
      <c r="D332" s="16" t="s">
        <v>20</v>
      </c>
      <c r="E332" s="17">
        <v>5.0</v>
      </c>
      <c r="F332" s="18">
        <f>E332* 0.814615536880747</f>
        <v>4.073077684</v>
      </c>
      <c r="G332" s="18">
        <f>E332* 0.0763167839340663</f>
        <v>0.3815839197</v>
      </c>
      <c r="H332" s="18">
        <f>E332* 0.109013694193014</f>
        <v>0.545068471</v>
      </c>
    </row>
    <row r="333" ht="15.75" hidden="1" customHeight="1">
      <c r="A333" s="15" t="s">
        <v>51</v>
      </c>
      <c r="B333" s="11" t="s">
        <v>65</v>
      </c>
      <c r="C333" s="15"/>
      <c r="D333" s="16" t="s">
        <v>21</v>
      </c>
      <c r="E333" s="17">
        <v>1.0</v>
      </c>
      <c r="F333" s="18">
        <f>E333* 0.999722052365334</f>
        <v>0.9997220524</v>
      </c>
      <c r="G333" s="18">
        <v>0.0</v>
      </c>
      <c r="H333" s="18">
        <f>E333* 0.000277947634665629</f>
        <v>0.0002779476347</v>
      </c>
    </row>
    <row r="334" ht="15.75" hidden="1" customHeight="1">
      <c r="A334" s="15" t="s">
        <v>51</v>
      </c>
      <c r="B334" s="11" t="s">
        <v>65</v>
      </c>
      <c r="C334" s="15"/>
      <c r="D334" s="16" t="s">
        <v>12</v>
      </c>
      <c r="E334" s="17">
        <v>0.0</v>
      </c>
      <c r="F334" s="18">
        <f>E334* 0.924936238310357</f>
        <v>0</v>
      </c>
      <c r="G334" s="18">
        <f>E334* 0.0351064361799663</f>
        <v>0</v>
      </c>
      <c r="H334" s="18">
        <f>E334* 0.039932320925503</f>
        <v>0</v>
      </c>
    </row>
    <row r="335" ht="15.75" hidden="1" customHeight="1">
      <c r="A335" s="15" t="s">
        <v>51</v>
      </c>
      <c r="B335" s="8"/>
      <c r="C335" s="8"/>
      <c r="D335" s="9"/>
      <c r="E335" s="19"/>
    </row>
    <row r="336" ht="15.75" hidden="1" customHeight="1">
      <c r="A336" s="15" t="s">
        <v>51</v>
      </c>
      <c r="B336" s="11" t="s">
        <v>66</v>
      </c>
      <c r="C336" s="12" t="str">
        <f>B336&amp;"_"&amp;A336</f>
        <v>Chuma_La Paz</v>
      </c>
      <c r="E336" s="13">
        <v>2.0</v>
      </c>
      <c r="F336" s="14">
        <f t="shared" ref="F336:H336" si="41">SUM(F337:F338)</f>
        <v>1.849872477</v>
      </c>
      <c r="G336" s="14">
        <f t="shared" si="41"/>
        <v>0.07021287236</v>
      </c>
      <c r="H336" s="14">
        <f t="shared" si="41"/>
        <v>0.07986464185</v>
      </c>
    </row>
    <row r="337" ht="15.75" hidden="1" customHeight="1">
      <c r="A337" s="15" t="s">
        <v>51</v>
      </c>
      <c r="B337" s="11" t="s">
        <v>66</v>
      </c>
      <c r="C337" s="15"/>
      <c r="D337" s="16" t="s">
        <v>17</v>
      </c>
      <c r="E337" s="17">
        <v>0.0</v>
      </c>
      <c r="F337" s="18">
        <f>E337* 0.916446662218225</f>
        <v>0</v>
      </c>
      <c r="G337" s="18">
        <f>E337* 0.0292436682236212</f>
        <v>0</v>
      </c>
      <c r="H337" s="18">
        <f>E337* 0.0543096695581537</f>
        <v>0</v>
      </c>
    </row>
    <row r="338" ht="15.75" hidden="1" customHeight="1">
      <c r="A338" s="15" t="s">
        <v>51</v>
      </c>
      <c r="B338" s="11" t="s">
        <v>66</v>
      </c>
      <c r="C338" s="15"/>
      <c r="D338" s="16" t="s">
        <v>12</v>
      </c>
      <c r="E338" s="17">
        <v>2.0</v>
      </c>
      <c r="F338" s="18">
        <f>E338* 0.924936238310357</f>
        <v>1.849872477</v>
      </c>
      <c r="G338" s="18">
        <f>E338* 0.0351064361799663</f>
        <v>0.07021287236</v>
      </c>
      <c r="H338" s="18">
        <f>E338* 0.039932320925503</f>
        <v>0.07986464185</v>
      </c>
    </row>
    <row r="339" ht="15.75" hidden="1" customHeight="1">
      <c r="A339" s="15" t="s">
        <v>51</v>
      </c>
      <c r="B339" s="8"/>
      <c r="C339" s="8"/>
      <c r="D339" s="9"/>
      <c r="E339" s="19"/>
    </row>
    <row r="340" ht="15.75" hidden="1" customHeight="1">
      <c r="A340" s="15" t="s">
        <v>51</v>
      </c>
      <c r="B340" s="11" t="s">
        <v>67</v>
      </c>
      <c r="C340" s="12" t="str">
        <f>B340&amp;"_"&amp;A340</f>
        <v>Collana_La Paz</v>
      </c>
      <c r="E340" s="13">
        <v>127.0</v>
      </c>
      <c r="F340" s="14">
        <f t="shared" ref="F340:H340" si="42">SUM(F341:F352)</f>
        <v>64.82971905</v>
      </c>
      <c r="G340" s="14">
        <f t="shared" si="42"/>
        <v>59.45571806</v>
      </c>
      <c r="H340" s="14">
        <f t="shared" si="42"/>
        <v>2.706085691</v>
      </c>
    </row>
    <row r="341" ht="15.75" hidden="1" customHeight="1">
      <c r="A341" s="15" t="s">
        <v>51</v>
      </c>
      <c r="B341" s="11" t="s">
        <v>67</v>
      </c>
      <c r="C341" s="15"/>
      <c r="D341" s="16" t="s">
        <v>53</v>
      </c>
      <c r="E341" s="17">
        <v>0.0</v>
      </c>
      <c r="F341" s="20">
        <v>0.0</v>
      </c>
      <c r="G341" s="20">
        <f>E341</f>
        <v>0</v>
      </c>
      <c r="H341" s="20">
        <v>0.0</v>
      </c>
    </row>
    <row r="342" ht="15.75" hidden="1" customHeight="1">
      <c r="A342" s="15" t="s">
        <v>51</v>
      </c>
      <c r="B342" s="11" t="s">
        <v>67</v>
      </c>
      <c r="C342" s="15"/>
      <c r="D342" s="16" t="s">
        <v>15</v>
      </c>
      <c r="E342" s="17">
        <v>8.0</v>
      </c>
      <c r="F342" s="18">
        <f>E342* 0.981163265034061</f>
        <v>7.84930612</v>
      </c>
      <c r="G342" s="18">
        <f>E342* 0.0027595216829083</f>
        <v>0.02207617346</v>
      </c>
      <c r="H342" s="18">
        <f>E342* 0.0160372202151627</f>
        <v>0.1282977617</v>
      </c>
    </row>
    <row r="343" ht="15.75" hidden="1" customHeight="1">
      <c r="A343" s="15" t="s">
        <v>51</v>
      </c>
      <c r="B343" s="11" t="s">
        <v>67</v>
      </c>
      <c r="C343" s="15"/>
      <c r="D343" s="16" t="s">
        <v>16</v>
      </c>
      <c r="E343" s="17">
        <v>3.0</v>
      </c>
      <c r="F343" s="18">
        <f>E343* 0.142974979378609</f>
        <v>0.4289249381</v>
      </c>
      <c r="G343" s="18">
        <f>E343* 0.852350838603245</f>
        <v>2.557052516</v>
      </c>
      <c r="H343" s="18">
        <f>E343* 0.00467418201814682</f>
        <v>0.01402254605</v>
      </c>
    </row>
    <row r="344" ht="15.75" hidden="1" customHeight="1">
      <c r="A344" s="15" t="s">
        <v>51</v>
      </c>
      <c r="B344" s="11" t="s">
        <v>67</v>
      </c>
      <c r="C344" s="15"/>
      <c r="D344" s="16" t="s">
        <v>11</v>
      </c>
      <c r="E344" s="17">
        <v>63.0</v>
      </c>
      <c r="F344" s="18">
        <f>E344* 0.178797409805735</f>
        <v>11.26423682</v>
      </c>
      <c r="G344" s="18">
        <f>E344* 0.819278445883441</f>
        <v>51.61454209</v>
      </c>
      <c r="H344" s="18">
        <f>E344* 0.00181313598519889</f>
        <v>0.1142275671</v>
      </c>
    </row>
    <row r="345" ht="15.75" hidden="1" customHeight="1">
      <c r="A345" s="15" t="s">
        <v>51</v>
      </c>
      <c r="B345" s="11" t="s">
        <v>67</v>
      </c>
      <c r="C345" s="15"/>
      <c r="D345" s="16" t="s">
        <v>17</v>
      </c>
      <c r="E345" s="17">
        <v>8.0</v>
      </c>
      <c r="F345" s="18">
        <f>E345* 0.916446662218225</f>
        <v>7.331573298</v>
      </c>
      <c r="G345" s="18">
        <f>E345* 0.0292436682236212</f>
        <v>0.2339493458</v>
      </c>
      <c r="H345" s="18">
        <f>E345* 0.0543096695581537</f>
        <v>0.4344773565</v>
      </c>
    </row>
    <row r="346" ht="15.75" hidden="1" customHeight="1">
      <c r="A346" s="15" t="s">
        <v>51</v>
      </c>
      <c r="B346" s="11" t="s">
        <v>67</v>
      </c>
      <c r="C346" s="15"/>
      <c r="D346" s="16" t="s">
        <v>31</v>
      </c>
      <c r="E346" s="17">
        <v>0.0</v>
      </c>
      <c r="F346" s="18">
        <f>E346* 0.957442434210526</f>
        <v>0</v>
      </c>
      <c r="G346" s="18">
        <f>E346* 0.0158305921052632</f>
        <v>0</v>
      </c>
      <c r="H346" s="18">
        <f>E346* 0.0263157894736842</f>
        <v>0</v>
      </c>
    </row>
    <row r="347" ht="15.75" hidden="1" customHeight="1">
      <c r="A347" s="15" t="s">
        <v>51</v>
      </c>
      <c r="B347" s="11" t="s">
        <v>67</v>
      </c>
      <c r="C347" s="15"/>
      <c r="D347" s="16" t="s">
        <v>18</v>
      </c>
      <c r="E347" s="17">
        <v>1.0</v>
      </c>
      <c r="F347" s="18">
        <f>E347* 0.983388008654987</f>
        <v>0.9833880087</v>
      </c>
      <c r="G347" s="18">
        <f>E347* 0.0133314720457877</f>
        <v>0.01333147205</v>
      </c>
      <c r="H347" s="18">
        <f>E347* 0.003210721016263</f>
        <v>0.003210721016</v>
      </c>
    </row>
    <row r="348" ht="15.75" hidden="1" customHeight="1">
      <c r="A348" s="15" t="s">
        <v>51</v>
      </c>
      <c r="B348" s="11" t="s">
        <v>67</v>
      </c>
      <c r="C348" s="15"/>
      <c r="D348" s="16" t="s">
        <v>19</v>
      </c>
      <c r="E348" s="17">
        <v>1.0</v>
      </c>
      <c r="F348" s="18">
        <f>E348* 0.511826182618262</f>
        <v>0.5118261826</v>
      </c>
      <c r="G348" s="18">
        <f>E348* 0.476622662266227</f>
        <v>0.4766226623</v>
      </c>
      <c r="H348" s="18">
        <f>E348* 0.0115511551155116</f>
        <v>0.01155115512</v>
      </c>
    </row>
    <row r="349" ht="15.75" hidden="1" customHeight="1">
      <c r="A349" s="15" t="s">
        <v>51</v>
      </c>
      <c r="B349" s="11" t="s">
        <v>67</v>
      </c>
      <c r="C349" s="15"/>
      <c r="D349" s="16" t="s">
        <v>20</v>
      </c>
      <c r="E349" s="17">
        <v>11.0</v>
      </c>
      <c r="F349" s="18">
        <f>E349* 0.814615536880747</f>
        <v>8.960770906</v>
      </c>
      <c r="G349" s="18">
        <f>E349* 0.0763167839340663</f>
        <v>0.8394846233</v>
      </c>
      <c r="H349" s="18">
        <f>E349* 0.109013694193014</f>
        <v>1.199150636</v>
      </c>
    </row>
    <row r="350" ht="15.75" hidden="1" customHeight="1">
      <c r="A350" s="15" t="s">
        <v>51</v>
      </c>
      <c r="B350" s="11" t="s">
        <v>67</v>
      </c>
      <c r="C350" s="15"/>
      <c r="D350" s="16" t="s">
        <v>21</v>
      </c>
      <c r="E350" s="17">
        <v>9.0</v>
      </c>
      <c r="F350" s="18">
        <f>E350* 0.999722052365334</f>
        <v>8.997498471</v>
      </c>
      <c r="G350" s="18">
        <v>0.0</v>
      </c>
      <c r="H350" s="18">
        <f>E350* 0.000277947634665629</f>
        <v>0.002501528712</v>
      </c>
    </row>
    <row r="351" ht="15.75" hidden="1" customHeight="1">
      <c r="A351" s="15" t="s">
        <v>51</v>
      </c>
      <c r="B351" s="11" t="s">
        <v>67</v>
      </c>
      <c r="C351" s="15"/>
      <c r="D351" s="16" t="s">
        <v>28</v>
      </c>
      <c r="E351" s="17">
        <v>3.0</v>
      </c>
      <c r="F351" s="18">
        <f>E351* 0.00115651503469545</f>
        <v>0.003469545104</v>
      </c>
      <c r="G351" s="18">
        <f>E351* 0.998843484965305</f>
        <v>2.996530455</v>
      </c>
      <c r="H351" s="20">
        <v>0.0</v>
      </c>
    </row>
    <row r="352" ht="15.75" hidden="1" customHeight="1">
      <c r="A352" s="15" t="s">
        <v>51</v>
      </c>
      <c r="B352" s="11" t="s">
        <v>67</v>
      </c>
      <c r="C352" s="15"/>
      <c r="D352" s="16" t="s">
        <v>12</v>
      </c>
      <c r="E352" s="17">
        <v>20.0</v>
      </c>
      <c r="F352" s="18">
        <f>E352* 0.924936238310357</f>
        <v>18.49872477</v>
      </c>
      <c r="G352" s="18">
        <f>E352* 0.0351064361799663</f>
        <v>0.7021287236</v>
      </c>
      <c r="H352" s="18">
        <f>E352* 0.039932320925503</f>
        <v>0.7986464185</v>
      </c>
    </row>
    <row r="353" ht="15.75" hidden="1" customHeight="1">
      <c r="A353" s="15" t="s">
        <v>51</v>
      </c>
      <c r="B353" s="8"/>
      <c r="C353" s="8"/>
      <c r="D353" s="9"/>
      <c r="E353" s="19"/>
    </row>
    <row r="354" ht="15.75" hidden="1" customHeight="1">
      <c r="A354" s="15" t="s">
        <v>51</v>
      </c>
      <c r="B354" s="11" t="s">
        <v>68</v>
      </c>
      <c r="C354" s="12" t="str">
        <f>B354&amp;"_"&amp;A354</f>
        <v>Colquencha_La Paz</v>
      </c>
      <c r="E354" s="13">
        <v>3.0</v>
      </c>
      <c r="F354" s="14">
        <f t="shared" ref="F354:H354" si="43">SUM(F355:F361)</f>
        <v>0.500569799</v>
      </c>
      <c r="G354" s="14">
        <f t="shared" si="43"/>
        <v>2.49090773</v>
      </c>
      <c r="H354" s="14">
        <f t="shared" si="43"/>
        <v>0.008300453989</v>
      </c>
    </row>
    <row r="355" ht="15.75" hidden="1" customHeight="1">
      <c r="A355" s="15" t="s">
        <v>51</v>
      </c>
      <c r="B355" s="11" t="s">
        <v>68</v>
      </c>
      <c r="C355" s="15"/>
      <c r="D355" s="16" t="s">
        <v>16</v>
      </c>
      <c r="E355" s="17">
        <v>1.0</v>
      </c>
      <c r="F355" s="18">
        <f>E355* 0.142974979378609</f>
        <v>0.1429749794</v>
      </c>
      <c r="G355" s="18">
        <f>E355* 0.852350838603245</f>
        <v>0.8523508386</v>
      </c>
      <c r="H355" s="18">
        <f>E355* 0.00467418201814682</f>
        <v>0.004674182018</v>
      </c>
    </row>
    <row r="356" ht="15.75" hidden="1" customHeight="1">
      <c r="A356" s="15" t="s">
        <v>51</v>
      </c>
      <c r="B356" s="11" t="s">
        <v>68</v>
      </c>
      <c r="C356" s="15"/>
      <c r="D356" s="16" t="s">
        <v>11</v>
      </c>
      <c r="E356" s="17">
        <v>2.0</v>
      </c>
      <c r="F356" s="18">
        <f>E356* 0.178797409805735</f>
        <v>0.3575948196</v>
      </c>
      <c r="G356" s="18">
        <f>E356* 0.819278445883441</f>
        <v>1.638556892</v>
      </c>
      <c r="H356" s="18">
        <f>E356* 0.00181313598519889</f>
        <v>0.00362627197</v>
      </c>
    </row>
    <row r="357" ht="15.75" hidden="1" customHeight="1">
      <c r="A357" s="15" t="s">
        <v>51</v>
      </c>
      <c r="B357" s="11" t="s">
        <v>68</v>
      </c>
      <c r="C357" s="15"/>
      <c r="D357" s="16" t="s">
        <v>17</v>
      </c>
      <c r="E357" s="17">
        <v>0.0</v>
      </c>
      <c r="F357" s="18">
        <f>E357* 0.916446662218225</f>
        <v>0</v>
      </c>
      <c r="G357" s="18">
        <f>E357* 0.0292436682236212</f>
        <v>0</v>
      </c>
      <c r="H357" s="18">
        <f>E357* 0.0543096695581537</f>
        <v>0</v>
      </c>
    </row>
    <row r="358" ht="15.75" hidden="1" customHeight="1">
      <c r="A358" s="15" t="s">
        <v>51</v>
      </c>
      <c r="B358" s="11" t="s">
        <v>68</v>
      </c>
      <c r="C358" s="15"/>
      <c r="D358" s="16" t="s">
        <v>20</v>
      </c>
      <c r="E358" s="17">
        <v>0.0</v>
      </c>
      <c r="F358" s="18">
        <f>E358* 0.814615536880747</f>
        <v>0</v>
      </c>
      <c r="G358" s="18">
        <f>E358* 0.0763167839340663</f>
        <v>0</v>
      </c>
      <c r="H358" s="18">
        <f>E358* 0.109013694193014</f>
        <v>0</v>
      </c>
    </row>
    <row r="359" ht="15.75" hidden="1" customHeight="1">
      <c r="A359" s="15" t="s">
        <v>51</v>
      </c>
      <c r="B359" s="11" t="s">
        <v>68</v>
      </c>
      <c r="C359" s="15"/>
      <c r="D359" s="16" t="s">
        <v>21</v>
      </c>
      <c r="E359" s="17">
        <v>0.0</v>
      </c>
      <c r="F359" s="18">
        <f>E359* 0.999722052365334</f>
        <v>0</v>
      </c>
      <c r="G359" s="18">
        <v>0.0</v>
      </c>
      <c r="H359" s="18">
        <f>E359* 0.000277947634665629</f>
        <v>0</v>
      </c>
    </row>
    <row r="360" ht="15.75" hidden="1" customHeight="1">
      <c r="A360" s="15" t="s">
        <v>51</v>
      </c>
      <c r="B360" s="11" t="s">
        <v>68</v>
      </c>
      <c r="C360" s="15"/>
      <c r="D360" s="16" t="s">
        <v>28</v>
      </c>
      <c r="E360" s="17">
        <v>0.0</v>
      </c>
      <c r="F360" s="18">
        <f>E360* 0.00115651503469545</f>
        <v>0</v>
      </c>
      <c r="G360" s="18">
        <f>E360* 0.998843484965305</f>
        <v>0</v>
      </c>
      <c r="H360" s="20">
        <v>0.0</v>
      </c>
    </row>
    <row r="361" ht="15.75" hidden="1" customHeight="1">
      <c r="A361" s="15" t="s">
        <v>51</v>
      </c>
      <c r="B361" s="11" t="s">
        <v>68</v>
      </c>
      <c r="C361" s="15"/>
      <c r="D361" s="16" t="s">
        <v>12</v>
      </c>
      <c r="E361" s="17">
        <v>0.0</v>
      </c>
      <c r="F361" s="18">
        <f>E361* 0.924936238310357</f>
        <v>0</v>
      </c>
      <c r="G361" s="18">
        <f>E361* 0.0351064361799663</f>
        <v>0</v>
      </c>
      <c r="H361" s="18">
        <f>E361* 0.039932320925503</f>
        <v>0</v>
      </c>
    </row>
    <row r="362" ht="15.75" hidden="1" customHeight="1">
      <c r="A362" s="15" t="s">
        <v>51</v>
      </c>
      <c r="B362" s="8"/>
      <c r="C362" s="8"/>
      <c r="D362" s="9"/>
      <c r="E362" s="19"/>
    </row>
    <row r="363" ht="15.75" hidden="1" customHeight="1">
      <c r="A363" s="15" t="s">
        <v>51</v>
      </c>
      <c r="B363" s="11" t="s">
        <v>69</v>
      </c>
      <c r="C363" s="12" t="str">
        <f>B363&amp;"_"&amp;A363</f>
        <v>Colquiri_La Paz</v>
      </c>
      <c r="E363" s="13">
        <v>6.0</v>
      </c>
      <c r="F363" s="14">
        <f t="shared" ref="F363:H363" si="44">SUM(F364:F371)</f>
        <v>4.769520297</v>
      </c>
      <c r="G363" s="14">
        <f t="shared" si="44"/>
        <v>0.971359555</v>
      </c>
      <c r="H363" s="14">
        <f t="shared" si="44"/>
        <v>0.2589841351</v>
      </c>
    </row>
    <row r="364" ht="15.75" hidden="1" customHeight="1">
      <c r="A364" s="15" t="s">
        <v>51</v>
      </c>
      <c r="B364" s="11" t="s">
        <v>69</v>
      </c>
      <c r="C364" s="15"/>
      <c r="D364" s="16" t="s">
        <v>53</v>
      </c>
      <c r="E364" s="17">
        <v>0.0</v>
      </c>
      <c r="F364" s="20">
        <v>0.0</v>
      </c>
      <c r="G364" s="20">
        <f>E364</f>
        <v>0</v>
      </c>
      <c r="H364" s="20">
        <v>0.0</v>
      </c>
    </row>
    <row r="365" ht="15.75" hidden="1" customHeight="1">
      <c r="A365" s="15" t="s">
        <v>51</v>
      </c>
      <c r="B365" s="11" t="s">
        <v>69</v>
      </c>
      <c r="C365" s="15"/>
      <c r="D365" s="16" t="s">
        <v>15</v>
      </c>
      <c r="E365" s="17">
        <v>0.0</v>
      </c>
      <c r="F365" s="18">
        <f>E365* 0.981163265034061</f>
        <v>0</v>
      </c>
      <c r="G365" s="18">
        <f>E365* 0.0027595216829083</f>
        <v>0</v>
      </c>
      <c r="H365" s="18">
        <f>E365* 0.0160372202151627</f>
        <v>0</v>
      </c>
    </row>
    <row r="366" ht="15.75" hidden="1" customHeight="1">
      <c r="A366" s="15" t="s">
        <v>51</v>
      </c>
      <c r="B366" s="11" t="s">
        <v>69</v>
      </c>
      <c r="C366" s="15"/>
      <c r="D366" s="16" t="s">
        <v>11</v>
      </c>
      <c r="E366" s="17">
        <v>1.0</v>
      </c>
      <c r="F366" s="18">
        <f>E366* 0.178797409805735</f>
        <v>0.1787974098</v>
      </c>
      <c r="G366" s="18">
        <f>E366* 0.819278445883441</f>
        <v>0.8192784459</v>
      </c>
      <c r="H366" s="18">
        <f>E366* 0.00181313598519889</f>
        <v>0.001813135985</v>
      </c>
    </row>
    <row r="367" ht="15.75" hidden="1" customHeight="1">
      <c r="A367" s="15" t="s">
        <v>51</v>
      </c>
      <c r="B367" s="11" t="s">
        <v>69</v>
      </c>
      <c r="C367" s="15"/>
      <c r="D367" s="16" t="s">
        <v>17</v>
      </c>
      <c r="E367" s="17">
        <v>4.0</v>
      </c>
      <c r="F367" s="18">
        <f>E367* 0.916446662218225</f>
        <v>3.665786649</v>
      </c>
      <c r="G367" s="18">
        <f>E367* 0.0292436682236212</f>
        <v>0.1169746729</v>
      </c>
      <c r="H367" s="18">
        <f>E367* 0.0543096695581537</f>
        <v>0.2172386782</v>
      </c>
    </row>
    <row r="368" ht="15.75" hidden="1" customHeight="1">
      <c r="A368" s="15" t="s">
        <v>51</v>
      </c>
      <c r="B368" s="11" t="s">
        <v>69</v>
      </c>
      <c r="C368" s="15"/>
      <c r="D368" s="16" t="s">
        <v>18</v>
      </c>
      <c r="E368" s="17">
        <v>0.0</v>
      </c>
      <c r="F368" s="18">
        <f>E368* 0.983388008654987</f>
        <v>0</v>
      </c>
      <c r="G368" s="18">
        <f>E368* 0.0133314720457877</f>
        <v>0</v>
      </c>
      <c r="H368" s="18">
        <f>E368* 0.003210721016263</f>
        <v>0</v>
      </c>
    </row>
    <row r="369" ht="15.75" hidden="1" customHeight="1">
      <c r="A369" s="15" t="s">
        <v>51</v>
      </c>
      <c r="B369" s="11" t="s">
        <v>69</v>
      </c>
      <c r="C369" s="15"/>
      <c r="D369" s="16" t="s">
        <v>20</v>
      </c>
      <c r="E369" s="17">
        <v>0.0</v>
      </c>
      <c r="F369" s="18">
        <f>E369* 0.814615536880747</f>
        <v>0</v>
      </c>
      <c r="G369" s="18">
        <f>E369* 0.0763167839340663</f>
        <v>0</v>
      </c>
      <c r="H369" s="18">
        <f>E369* 0.109013694193014</f>
        <v>0</v>
      </c>
    </row>
    <row r="370" ht="15.75" hidden="1" customHeight="1">
      <c r="A370" s="15" t="s">
        <v>51</v>
      </c>
      <c r="B370" s="11" t="s">
        <v>69</v>
      </c>
      <c r="C370" s="15"/>
      <c r="D370" s="16" t="s">
        <v>21</v>
      </c>
      <c r="E370" s="17">
        <v>0.0</v>
      </c>
      <c r="F370" s="18">
        <f>E370* 0.999722052365334</f>
        <v>0</v>
      </c>
      <c r="G370" s="18">
        <v>0.0</v>
      </c>
      <c r="H370" s="18">
        <f>E370* 0.000277947634665629</f>
        <v>0</v>
      </c>
    </row>
    <row r="371" ht="15.75" hidden="1" customHeight="1">
      <c r="A371" s="15" t="s">
        <v>51</v>
      </c>
      <c r="B371" s="11" t="s">
        <v>69</v>
      </c>
      <c r="C371" s="15"/>
      <c r="D371" s="16" t="s">
        <v>12</v>
      </c>
      <c r="E371" s="17">
        <v>1.0</v>
      </c>
      <c r="F371" s="18">
        <f>E371* 0.924936238310357</f>
        <v>0.9249362383</v>
      </c>
      <c r="G371" s="18">
        <f>E371* 0.0351064361799663</f>
        <v>0.03510643618</v>
      </c>
      <c r="H371" s="18">
        <f>E371* 0.039932320925503</f>
        <v>0.03993232093</v>
      </c>
    </row>
    <row r="372" ht="15.75" hidden="1" customHeight="1">
      <c r="A372" s="15" t="s">
        <v>51</v>
      </c>
      <c r="B372" s="8"/>
      <c r="C372" s="8"/>
      <c r="D372" s="9"/>
      <c r="E372" s="19"/>
    </row>
    <row r="373" ht="15.75" hidden="1" customHeight="1">
      <c r="A373" s="15" t="s">
        <v>51</v>
      </c>
      <c r="B373" s="11" t="s">
        <v>70</v>
      </c>
      <c r="C373" s="12" t="str">
        <f>B373&amp;"_"&amp;A373</f>
        <v>Copacabana_La Paz</v>
      </c>
      <c r="E373" s="13">
        <v>2.0</v>
      </c>
      <c r="F373" s="14">
        <f t="shared" ref="F373:H373" si="45">SUM(F374:F376)</f>
        <v>1.849872477</v>
      </c>
      <c r="G373" s="14">
        <f t="shared" si="45"/>
        <v>0.07021287236</v>
      </c>
      <c r="H373" s="14">
        <f t="shared" si="45"/>
        <v>0.07986464185</v>
      </c>
    </row>
    <row r="374" ht="15.75" hidden="1" customHeight="1">
      <c r="A374" s="15" t="s">
        <v>51</v>
      </c>
      <c r="B374" s="11" t="s">
        <v>70</v>
      </c>
      <c r="C374" s="15"/>
      <c r="D374" s="16" t="s">
        <v>16</v>
      </c>
      <c r="E374" s="17">
        <v>0.0</v>
      </c>
      <c r="F374" s="18">
        <f>E374* 0.142974979378609</f>
        <v>0</v>
      </c>
      <c r="G374" s="18">
        <f>E374* 0.852350838603245</f>
        <v>0</v>
      </c>
      <c r="H374" s="18">
        <f>E374* 0.00467418201814682</f>
        <v>0</v>
      </c>
    </row>
    <row r="375" ht="15.75" hidden="1" customHeight="1">
      <c r="A375" s="15" t="s">
        <v>51</v>
      </c>
      <c r="B375" s="11" t="s">
        <v>70</v>
      </c>
      <c r="C375" s="15"/>
      <c r="D375" s="16" t="s">
        <v>18</v>
      </c>
      <c r="E375" s="17">
        <v>0.0</v>
      </c>
      <c r="F375" s="18">
        <f>E375* 0.983388008654987</f>
        <v>0</v>
      </c>
      <c r="G375" s="18">
        <f>E375* 0.0133314720457877</f>
        <v>0</v>
      </c>
      <c r="H375" s="18">
        <f>E375* 0.003210721016263</f>
        <v>0</v>
      </c>
    </row>
    <row r="376" ht="15.75" hidden="1" customHeight="1">
      <c r="A376" s="15" t="s">
        <v>51</v>
      </c>
      <c r="B376" s="11" t="s">
        <v>70</v>
      </c>
      <c r="C376" s="15"/>
      <c r="D376" s="16" t="s">
        <v>12</v>
      </c>
      <c r="E376" s="17">
        <v>2.0</v>
      </c>
      <c r="F376" s="18">
        <f>E376* 0.924936238310357</f>
        <v>1.849872477</v>
      </c>
      <c r="G376" s="18">
        <f>E376* 0.0351064361799663</f>
        <v>0.07021287236</v>
      </c>
      <c r="H376" s="18">
        <f>E376* 0.039932320925503</f>
        <v>0.07986464185</v>
      </c>
    </row>
    <row r="377" ht="15.75" hidden="1" customHeight="1">
      <c r="A377" s="15" t="s">
        <v>51</v>
      </c>
      <c r="B377" s="8"/>
      <c r="C377" s="8"/>
      <c r="D377" s="9"/>
      <c r="E377" s="19"/>
    </row>
    <row r="378" ht="15.75" hidden="1" customHeight="1">
      <c r="A378" s="15" t="s">
        <v>51</v>
      </c>
      <c r="B378" s="11" t="s">
        <v>71</v>
      </c>
      <c r="C378" s="12" t="str">
        <f>B378&amp;"_"&amp;A378</f>
        <v>Coro Coro_La Paz</v>
      </c>
      <c r="E378" s="13">
        <v>1.0</v>
      </c>
      <c r="F378" s="14">
        <f t="shared" ref="F378:H378" si="46">SUM(F379)</f>
        <v>0.1787974098</v>
      </c>
      <c r="G378" s="14">
        <f t="shared" si="46"/>
        <v>0.8192784459</v>
      </c>
      <c r="H378" s="14">
        <f t="shared" si="46"/>
        <v>0.001813135985</v>
      </c>
    </row>
    <row r="379" ht="15.75" hidden="1" customHeight="1">
      <c r="A379" s="15" t="s">
        <v>51</v>
      </c>
      <c r="B379" s="11" t="s">
        <v>71</v>
      </c>
      <c r="C379" s="15"/>
      <c r="D379" s="16" t="s">
        <v>11</v>
      </c>
      <c r="E379" s="17">
        <v>1.0</v>
      </c>
      <c r="F379" s="18">
        <f>E379* 0.178797409805735</f>
        <v>0.1787974098</v>
      </c>
      <c r="G379" s="18">
        <f>E379* 0.819278445883441</f>
        <v>0.8192784459</v>
      </c>
      <c r="H379" s="18">
        <f>E379* 0.00181313598519889</f>
        <v>0.001813135985</v>
      </c>
    </row>
    <row r="380" ht="15.75" hidden="1" customHeight="1">
      <c r="A380" s="15" t="s">
        <v>51</v>
      </c>
      <c r="B380" s="8"/>
      <c r="C380" s="8"/>
      <c r="D380" s="9"/>
      <c r="E380" s="19"/>
    </row>
    <row r="381" ht="15.75" hidden="1" customHeight="1">
      <c r="A381" s="15" t="s">
        <v>51</v>
      </c>
      <c r="B381" s="11" t="s">
        <v>72</v>
      </c>
      <c r="C381" s="12" t="str">
        <f>B381&amp;"_"&amp;A381</f>
        <v>Coroico_La Paz</v>
      </c>
      <c r="E381" s="13">
        <v>29.0</v>
      </c>
      <c r="F381" s="14">
        <f t="shared" ref="F381:H381" si="47">SUM(F382:F389)</f>
        <v>15.98823891</v>
      </c>
      <c r="G381" s="14">
        <f t="shared" si="47"/>
        <v>12.5315834</v>
      </c>
      <c r="H381" s="14">
        <f t="shared" si="47"/>
        <v>0.4782129972</v>
      </c>
    </row>
    <row r="382" ht="15.75" hidden="1" customHeight="1">
      <c r="A382" s="15" t="s">
        <v>51</v>
      </c>
      <c r="B382" s="11" t="s">
        <v>72</v>
      </c>
      <c r="C382" s="15"/>
      <c r="D382" s="16" t="s">
        <v>15</v>
      </c>
      <c r="E382" s="17">
        <v>4.0</v>
      </c>
      <c r="F382" s="18">
        <f>E382* 0.981163265034061</f>
        <v>3.92465306</v>
      </c>
      <c r="G382" s="18">
        <f>E382* 0.0027595216829083</f>
        <v>0.01103808673</v>
      </c>
      <c r="H382" s="18">
        <f>E382* 0.0160372202151627</f>
        <v>0.06414888086</v>
      </c>
    </row>
    <row r="383" ht="15.75" hidden="1" customHeight="1">
      <c r="A383" s="15" t="s">
        <v>51</v>
      </c>
      <c r="B383" s="11" t="s">
        <v>72</v>
      </c>
      <c r="C383" s="15"/>
      <c r="D383" s="16" t="s">
        <v>11</v>
      </c>
      <c r="E383" s="17">
        <v>15.0</v>
      </c>
      <c r="F383" s="18">
        <f>E383* 0.178797409805735</f>
        <v>2.681961147</v>
      </c>
      <c r="G383" s="18">
        <f>E383* 0.819278445883441</f>
        <v>12.28917669</v>
      </c>
      <c r="H383" s="18">
        <f>E383* 0.00181313598519889</f>
        <v>0.02719703978</v>
      </c>
    </row>
    <row r="384" ht="15.75" hidden="1" customHeight="1">
      <c r="A384" s="15" t="s">
        <v>51</v>
      </c>
      <c r="B384" s="11" t="s">
        <v>72</v>
      </c>
      <c r="C384" s="15"/>
      <c r="D384" s="16" t="s">
        <v>17</v>
      </c>
      <c r="E384" s="17">
        <v>7.0</v>
      </c>
      <c r="F384" s="18">
        <f>E384* 0.916446662218225</f>
        <v>6.415126636</v>
      </c>
      <c r="G384" s="18">
        <f>E384* 0.0292436682236212</f>
        <v>0.2047056776</v>
      </c>
      <c r="H384" s="18">
        <f>E384* 0.0543096695581537</f>
        <v>0.3801676869</v>
      </c>
    </row>
    <row r="385" ht="15.75" hidden="1" customHeight="1">
      <c r="A385" s="15" t="s">
        <v>51</v>
      </c>
      <c r="B385" s="11" t="s">
        <v>72</v>
      </c>
      <c r="C385" s="15"/>
      <c r="D385" s="16" t="s">
        <v>31</v>
      </c>
      <c r="E385" s="17">
        <v>0.0</v>
      </c>
      <c r="F385" s="18">
        <f>E385* 0.957442434210526</f>
        <v>0</v>
      </c>
      <c r="G385" s="18">
        <f>E385* 0.0158305921052632</f>
        <v>0</v>
      </c>
      <c r="H385" s="18">
        <f>E385* 0.0263157894736842</f>
        <v>0</v>
      </c>
    </row>
    <row r="386" ht="15.75" hidden="1" customHeight="1">
      <c r="A386" s="15" t="s">
        <v>51</v>
      </c>
      <c r="B386" s="11" t="s">
        <v>72</v>
      </c>
      <c r="C386" s="15"/>
      <c r="D386" s="16" t="s">
        <v>18</v>
      </c>
      <c r="E386" s="17">
        <v>2.0</v>
      </c>
      <c r="F386" s="18">
        <f>E386* 0.983388008654987</f>
        <v>1.966776017</v>
      </c>
      <c r="G386" s="18">
        <f>E386* 0.0133314720457877</f>
        <v>0.02666294409</v>
      </c>
      <c r="H386" s="18">
        <f>E386* 0.003210721016263</f>
        <v>0.006421442033</v>
      </c>
    </row>
    <row r="387" ht="15.75" hidden="1" customHeight="1">
      <c r="A387" s="15" t="s">
        <v>51</v>
      </c>
      <c r="B387" s="11" t="s">
        <v>72</v>
      </c>
      <c r="C387" s="15"/>
      <c r="D387" s="16" t="s">
        <v>20</v>
      </c>
      <c r="E387" s="17">
        <v>0.0</v>
      </c>
      <c r="F387" s="18">
        <f>E387* 0.814615536880747</f>
        <v>0</v>
      </c>
      <c r="G387" s="18">
        <f>E387* 0.0763167839340663</f>
        <v>0</v>
      </c>
      <c r="H387" s="18">
        <f>E387* 0.109013694193014</f>
        <v>0</v>
      </c>
    </row>
    <row r="388" ht="15.75" hidden="1" customHeight="1">
      <c r="A388" s="15" t="s">
        <v>51</v>
      </c>
      <c r="B388" s="11" t="s">
        <v>72</v>
      </c>
      <c r="C388" s="15"/>
      <c r="D388" s="16" t="s">
        <v>21</v>
      </c>
      <c r="E388" s="17">
        <v>1.0</v>
      </c>
      <c r="F388" s="18">
        <f>E388* 0.999722052365334</f>
        <v>0.9997220524</v>
      </c>
      <c r="G388" s="18">
        <v>0.0</v>
      </c>
      <c r="H388" s="18">
        <f>E388* 0.000277947634665629</f>
        <v>0.0002779476347</v>
      </c>
    </row>
    <row r="389" ht="15.75" hidden="1" customHeight="1">
      <c r="A389" s="15" t="s">
        <v>51</v>
      </c>
      <c r="B389" s="11" t="s">
        <v>72</v>
      </c>
      <c r="C389" s="15"/>
      <c r="D389" s="16" t="s">
        <v>12</v>
      </c>
      <c r="E389" s="17">
        <v>0.0</v>
      </c>
      <c r="F389" s="18">
        <f>E389* 0.924936238310357</f>
        <v>0</v>
      </c>
      <c r="G389" s="18">
        <f>E389* 0.0351064361799663</f>
        <v>0</v>
      </c>
      <c r="H389" s="18">
        <f>E389* 0.039932320925503</f>
        <v>0</v>
      </c>
    </row>
    <row r="390" ht="15.75" hidden="1" customHeight="1">
      <c r="A390" s="15" t="s">
        <v>51</v>
      </c>
      <c r="B390" s="8"/>
      <c r="C390" s="8"/>
      <c r="D390" s="9"/>
      <c r="E390" s="19"/>
    </row>
    <row r="391" ht="15.75" hidden="1" customHeight="1">
      <c r="A391" s="15" t="s">
        <v>51</v>
      </c>
      <c r="B391" s="11" t="s">
        <v>73</v>
      </c>
      <c r="C391" s="12" t="str">
        <f>B391&amp;"_"&amp;A391</f>
        <v>Desaguadero_La Paz</v>
      </c>
      <c r="E391" s="13">
        <v>3.0</v>
      </c>
      <c r="F391" s="14">
        <f t="shared" ref="F391:H391" si="48">SUM(F392:F404)</f>
        <v>0.8694210022</v>
      </c>
      <c r="G391" s="14">
        <f t="shared" si="48"/>
        <v>2.115179554</v>
      </c>
      <c r="H391" s="14">
        <f t="shared" si="48"/>
        <v>0.01517742709</v>
      </c>
    </row>
    <row r="392" ht="15.75" hidden="1" customHeight="1">
      <c r="A392" s="15" t="s">
        <v>51</v>
      </c>
      <c r="B392" s="11" t="s">
        <v>73</v>
      </c>
      <c r="C392" s="15"/>
      <c r="D392" s="16" t="s">
        <v>53</v>
      </c>
      <c r="E392" s="17">
        <v>0.0</v>
      </c>
      <c r="F392" s="20">
        <v>0.0</v>
      </c>
      <c r="G392" s="20">
        <f>E392</f>
        <v>0</v>
      </c>
      <c r="H392" s="20">
        <v>0.0</v>
      </c>
    </row>
    <row r="393" ht="15.75" hidden="1" customHeight="1">
      <c r="A393" s="15" t="s">
        <v>51</v>
      </c>
      <c r="B393" s="11" t="s">
        <v>73</v>
      </c>
      <c r="C393" s="15"/>
      <c r="D393" s="16" t="s">
        <v>15</v>
      </c>
      <c r="E393" s="17">
        <v>0.0</v>
      </c>
      <c r="F393" s="18">
        <f>E393* 0.981163265034061</f>
        <v>0</v>
      </c>
      <c r="G393" s="18">
        <f>E393* 0.0027595216829083</f>
        <v>0</v>
      </c>
      <c r="H393" s="18">
        <f>E393* 0.0160372202151627</f>
        <v>0</v>
      </c>
    </row>
    <row r="394" ht="15.75" hidden="1" customHeight="1">
      <c r="A394" s="15" t="s">
        <v>51</v>
      </c>
      <c r="B394" s="11" t="s">
        <v>73</v>
      </c>
      <c r="C394" s="15"/>
      <c r="D394" s="16" t="s">
        <v>16</v>
      </c>
      <c r="E394" s="17">
        <v>0.0</v>
      </c>
      <c r="F394" s="18">
        <f>E394* 0.142974979378609</f>
        <v>0</v>
      </c>
      <c r="G394" s="18">
        <f>E394* 0.852350838603245</f>
        <v>0</v>
      </c>
      <c r="H394" s="18">
        <f>E394* 0.00467418201814682</f>
        <v>0</v>
      </c>
    </row>
    <row r="395" ht="15.75" hidden="1" customHeight="1">
      <c r="A395" s="15" t="s">
        <v>51</v>
      </c>
      <c r="B395" s="11" t="s">
        <v>73</v>
      </c>
      <c r="C395" s="15"/>
      <c r="D395" s="16" t="s">
        <v>11</v>
      </c>
      <c r="E395" s="17">
        <v>2.0</v>
      </c>
      <c r="F395" s="18">
        <f>E395* 0.178797409805735</f>
        <v>0.3575948196</v>
      </c>
      <c r="G395" s="18">
        <f>E395* 0.819278445883441</f>
        <v>1.638556892</v>
      </c>
      <c r="H395" s="18">
        <f>E395* 0.00181313598519889</f>
        <v>0.00362627197</v>
      </c>
    </row>
    <row r="396" ht="15.75" hidden="1" customHeight="1">
      <c r="A396" s="15" t="s">
        <v>51</v>
      </c>
      <c r="B396" s="11" t="s">
        <v>73</v>
      </c>
      <c r="C396" s="15"/>
      <c r="D396" s="16" t="s">
        <v>17</v>
      </c>
      <c r="E396" s="17">
        <v>0.0</v>
      </c>
      <c r="F396" s="18">
        <f>E396* 0.916446662218225</f>
        <v>0</v>
      </c>
      <c r="G396" s="18">
        <f>E396* 0.0292436682236212</f>
        <v>0</v>
      </c>
      <c r="H396" s="18">
        <f>E396* 0.0543096695581537</f>
        <v>0</v>
      </c>
    </row>
    <row r="397" ht="15.75" hidden="1" customHeight="1">
      <c r="A397" s="15" t="s">
        <v>51</v>
      </c>
      <c r="B397" s="11" t="s">
        <v>73</v>
      </c>
      <c r="C397" s="15"/>
      <c r="D397" s="16" t="s">
        <v>31</v>
      </c>
      <c r="E397" s="17">
        <v>0.0</v>
      </c>
      <c r="F397" s="18">
        <f>E397* 0.957442434210526</f>
        <v>0</v>
      </c>
      <c r="G397" s="18">
        <f>E397* 0.0158305921052632</f>
        <v>0</v>
      </c>
      <c r="H397" s="18">
        <f>E397* 0.0263157894736842</f>
        <v>0</v>
      </c>
    </row>
    <row r="398" ht="15.75" hidden="1" customHeight="1">
      <c r="A398" s="15" t="s">
        <v>51</v>
      </c>
      <c r="B398" s="11" t="s">
        <v>73</v>
      </c>
      <c r="C398" s="15"/>
      <c r="D398" s="16" t="s">
        <v>18</v>
      </c>
      <c r="E398" s="17">
        <v>0.0</v>
      </c>
      <c r="F398" s="18">
        <f>E398* 0.983388008654987</f>
        <v>0</v>
      </c>
      <c r="G398" s="18">
        <f>E398* 0.0133314720457877</f>
        <v>0</v>
      </c>
      <c r="H398" s="18">
        <f>E398* 0.003210721016263</f>
        <v>0</v>
      </c>
    </row>
    <row r="399" ht="15.75" hidden="1" customHeight="1">
      <c r="A399" s="15" t="s">
        <v>51</v>
      </c>
      <c r="B399" s="11" t="s">
        <v>73</v>
      </c>
      <c r="C399" s="15"/>
      <c r="D399" s="16" t="s">
        <v>19</v>
      </c>
      <c r="E399" s="17">
        <v>1.0</v>
      </c>
      <c r="F399" s="18">
        <f>E399* 0.511826182618262</f>
        <v>0.5118261826</v>
      </c>
      <c r="G399" s="18">
        <f>E399* 0.476622662266227</f>
        <v>0.4766226623</v>
      </c>
      <c r="H399" s="18">
        <f>E399* 0.0115511551155116</f>
        <v>0.01155115512</v>
      </c>
    </row>
    <row r="400" ht="15.75" hidden="1" customHeight="1">
      <c r="A400" s="15" t="s">
        <v>51</v>
      </c>
      <c r="B400" s="11" t="s">
        <v>73</v>
      </c>
      <c r="C400" s="15"/>
      <c r="D400" s="16" t="s">
        <v>20</v>
      </c>
      <c r="E400" s="17">
        <v>0.0</v>
      </c>
      <c r="F400" s="18">
        <f>E400* 0.814615536880747</f>
        <v>0</v>
      </c>
      <c r="G400" s="18">
        <f>E400* 0.0763167839340663</f>
        <v>0</v>
      </c>
      <c r="H400" s="18">
        <f>E400* 0.109013694193014</f>
        <v>0</v>
      </c>
    </row>
    <row r="401" ht="15.75" hidden="1" customHeight="1">
      <c r="A401" s="15" t="s">
        <v>51</v>
      </c>
      <c r="B401" s="11" t="s">
        <v>73</v>
      </c>
      <c r="C401" s="15"/>
      <c r="D401" s="16" t="s">
        <v>21</v>
      </c>
      <c r="E401" s="17">
        <v>0.0</v>
      </c>
      <c r="F401" s="18">
        <f>E401* 0.999722052365334</f>
        <v>0</v>
      </c>
      <c r="G401" s="18">
        <v>0.0</v>
      </c>
      <c r="H401" s="18">
        <f>E401* 0.000277947634665629</f>
        <v>0</v>
      </c>
    </row>
    <row r="402" ht="15.75" hidden="1" customHeight="1">
      <c r="A402" s="15" t="s">
        <v>51</v>
      </c>
      <c r="B402" s="11" t="s">
        <v>73</v>
      </c>
      <c r="C402" s="15"/>
      <c r="D402" s="16" t="s">
        <v>36</v>
      </c>
      <c r="E402" s="17">
        <v>0.0</v>
      </c>
      <c r="F402" s="18">
        <f>E402* 0.999132697311362</f>
        <v>0</v>
      </c>
      <c r="G402" s="20">
        <v>0.0</v>
      </c>
      <c r="H402" s="18">
        <f>E402* 0.000867302688638335</f>
        <v>0</v>
      </c>
    </row>
    <row r="403" ht="15.75" hidden="1" customHeight="1">
      <c r="A403" s="15" t="s">
        <v>51</v>
      </c>
      <c r="B403" s="11" t="s">
        <v>73</v>
      </c>
      <c r="C403" s="15"/>
      <c r="D403" s="16" t="s">
        <v>28</v>
      </c>
      <c r="E403" s="17">
        <v>0.0</v>
      </c>
      <c r="F403" s="18">
        <f>E403* 0.00115651503469545</f>
        <v>0</v>
      </c>
      <c r="G403" s="18">
        <f>E403* 0.998843484965305</f>
        <v>0</v>
      </c>
      <c r="H403" s="20">
        <v>0.0</v>
      </c>
    </row>
    <row r="404" ht="15.75" hidden="1" customHeight="1">
      <c r="A404" s="15" t="s">
        <v>51</v>
      </c>
      <c r="B404" s="11" t="s">
        <v>73</v>
      </c>
      <c r="C404" s="15"/>
      <c r="D404" s="16" t="s">
        <v>12</v>
      </c>
      <c r="E404" s="17">
        <v>0.0</v>
      </c>
      <c r="F404" s="18">
        <f>E404* 0.924936238310357</f>
        <v>0</v>
      </c>
      <c r="G404" s="18">
        <f>E404* 0.0351064361799663</f>
        <v>0</v>
      </c>
      <c r="H404" s="18">
        <f>E404* 0.039932320925503</f>
        <v>0</v>
      </c>
    </row>
    <row r="405" ht="15.75" hidden="1" customHeight="1">
      <c r="A405" s="15" t="s">
        <v>51</v>
      </c>
      <c r="B405" s="8"/>
      <c r="C405" s="8"/>
      <c r="D405" s="9"/>
      <c r="E405" s="19"/>
    </row>
    <row r="406" ht="15.75" hidden="1" customHeight="1">
      <c r="A406" s="15" t="s">
        <v>51</v>
      </c>
      <c r="B406" s="11" t="s">
        <v>74</v>
      </c>
      <c r="C406" s="12" t="str">
        <f>B406&amp;"_"&amp;A406</f>
        <v>El Alto_La Paz</v>
      </c>
      <c r="E406" s="22">
        <v>102242.0</v>
      </c>
      <c r="F406" s="14">
        <f t="shared" ref="F406:H406" si="49">SUM(F407:F421)</f>
        <v>79476.85863</v>
      </c>
      <c r="G406" s="14">
        <f t="shared" si="49"/>
        <v>18063.96277</v>
      </c>
      <c r="H406" s="14">
        <f t="shared" si="49"/>
        <v>4696.693184</v>
      </c>
    </row>
    <row r="407" ht="15.75" hidden="1" customHeight="1">
      <c r="A407" s="15" t="s">
        <v>51</v>
      </c>
      <c r="B407" s="11" t="s">
        <v>74</v>
      </c>
      <c r="C407" s="15"/>
      <c r="D407" s="16" t="s">
        <v>53</v>
      </c>
      <c r="E407" s="17">
        <v>0.0</v>
      </c>
      <c r="F407" s="20">
        <v>0.0</v>
      </c>
      <c r="G407" s="20">
        <f>E407</f>
        <v>0</v>
      </c>
      <c r="H407" s="20">
        <v>0.0</v>
      </c>
    </row>
    <row r="408" ht="15.75" hidden="1" customHeight="1">
      <c r="A408" s="15" t="s">
        <v>51</v>
      </c>
      <c r="B408" s="11" t="s">
        <v>74</v>
      </c>
      <c r="C408" s="15"/>
      <c r="D408" s="16" t="s">
        <v>15</v>
      </c>
      <c r="E408" s="23">
        <v>11343.0</v>
      </c>
      <c r="F408" s="18">
        <f>E408* 0.981163265034061</f>
        <v>11129.33492</v>
      </c>
      <c r="G408" s="18">
        <f>E408* 0.0027595216829083</f>
        <v>31.30125445</v>
      </c>
      <c r="H408" s="18">
        <f>E408* 0.0160372202151627</f>
        <v>181.9101889</v>
      </c>
    </row>
    <row r="409" ht="15.75" hidden="1" customHeight="1">
      <c r="A409" s="15" t="s">
        <v>51</v>
      </c>
      <c r="B409" s="11" t="s">
        <v>74</v>
      </c>
      <c r="C409" s="15"/>
      <c r="D409" s="16" t="s">
        <v>16</v>
      </c>
      <c r="E409" s="23">
        <v>1636.0</v>
      </c>
      <c r="F409" s="18">
        <f>E409* 0.142974979378609</f>
        <v>233.9070663</v>
      </c>
      <c r="G409" s="18">
        <f>E409* 0.852350838603245</f>
        <v>1394.445972</v>
      </c>
      <c r="H409" s="18">
        <f>E409* 0.00467418201814682</f>
        <v>7.646961782</v>
      </c>
    </row>
    <row r="410" ht="15.75" hidden="1" customHeight="1">
      <c r="A410" s="15" t="s">
        <v>51</v>
      </c>
      <c r="B410" s="11" t="s">
        <v>74</v>
      </c>
      <c r="C410" s="15"/>
      <c r="D410" s="16" t="s">
        <v>11</v>
      </c>
      <c r="E410" s="23">
        <v>11454.0</v>
      </c>
      <c r="F410" s="18">
        <f>E410* 0.178797409805735</f>
        <v>2047.945532</v>
      </c>
      <c r="G410" s="18">
        <f>E410* 0.819278445883441</f>
        <v>9384.015319</v>
      </c>
      <c r="H410" s="18">
        <f>E410* 0.00181313598519889</f>
        <v>20.76765957</v>
      </c>
    </row>
    <row r="411" ht="15.75" hidden="1" customHeight="1">
      <c r="A411" s="15" t="s">
        <v>51</v>
      </c>
      <c r="B411" s="11" t="s">
        <v>74</v>
      </c>
      <c r="C411" s="15"/>
      <c r="D411" s="16" t="s">
        <v>17</v>
      </c>
      <c r="E411" s="23">
        <v>7779.0</v>
      </c>
      <c r="F411" s="18">
        <f>E411* 0.916446662218225</f>
        <v>7129.038585</v>
      </c>
      <c r="G411" s="18">
        <f>E411* 0.0292436682236212</f>
        <v>227.4864951</v>
      </c>
      <c r="H411" s="18">
        <f>E411* 0.0543096695581537</f>
        <v>422.4749195</v>
      </c>
    </row>
    <row r="412" ht="15.75" hidden="1" customHeight="1">
      <c r="A412" s="15" t="s">
        <v>51</v>
      </c>
      <c r="B412" s="11" t="s">
        <v>74</v>
      </c>
      <c r="C412" s="15"/>
      <c r="D412" s="16" t="s">
        <v>31</v>
      </c>
      <c r="E412" s="23">
        <v>1192.0</v>
      </c>
      <c r="F412" s="18">
        <f>E412* 0.957442434210526</f>
        <v>1141.271382</v>
      </c>
      <c r="G412" s="18">
        <f>E412* 0.0158305921052632</f>
        <v>18.87006579</v>
      </c>
      <c r="H412" s="18">
        <f>E412* 0.0263157894736842</f>
        <v>31.36842105</v>
      </c>
    </row>
    <row r="413" ht="15.75" hidden="1" customHeight="1">
      <c r="A413" s="15" t="s">
        <v>51</v>
      </c>
      <c r="B413" s="11" t="s">
        <v>74</v>
      </c>
      <c r="C413" s="15"/>
      <c r="D413" s="16" t="s">
        <v>18</v>
      </c>
      <c r="E413" s="23">
        <v>1850.0</v>
      </c>
      <c r="F413" s="18">
        <f>E413* 0.983388008654987</f>
        <v>1819.267816</v>
      </c>
      <c r="G413" s="18">
        <f>E413* 0.0133314720457877</f>
        <v>24.66322328</v>
      </c>
      <c r="H413" s="18">
        <f>E413* 0.003210721016263</f>
        <v>5.93983388</v>
      </c>
    </row>
    <row r="414" ht="15.75" hidden="1" customHeight="1">
      <c r="A414" s="15" t="s">
        <v>51</v>
      </c>
      <c r="B414" s="11" t="s">
        <v>74</v>
      </c>
      <c r="C414" s="15"/>
      <c r="D414" s="16" t="s">
        <v>19</v>
      </c>
      <c r="E414" s="23">
        <v>1462.0</v>
      </c>
      <c r="F414" s="18">
        <f>E414* 0.511826182618262</f>
        <v>748.289879</v>
      </c>
      <c r="G414" s="18">
        <f>E414* 0.476622662266227</f>
        <v>696.8223322</v>
      </c>
      <c r="H414" s="18">
        <f>E414* 0.0115511551155116</f>
        <v>16.88778878</v>
      </c>
    </row>
    <row r="415" ht="15.75" hidden="1" customHeight="1">
      <c r="A415" s="15" t="s">
        <v>51</v>
      </c>
      <c r="B415" s="11" t="s">
        <v>74</v>
      </c>
      <c r="C415" s="15"/>
      <c r="D415" s="16" t="s">
        <v>20</v>
      </c>
      <c r="E415" s="23">
        <v>25818.0</v>
      </c>
      <c r="F415" s="18">
        <f>E415* 0.814615536880747</f>
        <v>21031.74393</v>
      </c>
      <c r="G415" s="18">
        <f>E415* 0.0763167839340663</f>
        <v>1970.346728</v>
      </c>
      <c r="H415" s="18">
        <f>E415* 0.109013694193014</f>
        <v>2814.515557</v>
      </c>
    </row>
    <row r="416" ht="15.75" hidden="1" customHeight="1">
      <c r="A416" s="15" t="s">
        <v>51</v>
      </c>
      <c r="B416" s="11" t="s">
        <v>74</v>
      </c>
      <c r="C416" s="15"/>
      <c r="D416" s="16" t="s">
        <v>21</v>
      </c>
      <c r="E416" s="23">
        <v>6514.0</v>
      </c>
      <c r="F416" s="18">
        <f>E416* 0.999722052365334</f>
        <v>6512.189449</v>
      </c>
      <c r="G416" s="18">
        <v>0.0</v>
      </c>
      <c r="H416" s="18">
        <f>E416* 0.000277947634665629</f>
        <v>1.810550892</v>
      </c>
    </row>
    <row r="417" ht="15.75" hidden="1" customHeight="1">
      <c r="A417" s="15" t="s">
        <v>51</v>
      </c>
      <c r="B417" s="11" t="s">
        <v>74</v>
      </c>
      <c r="C417" s="15"/>
      <c r="D417" s="16" t="s">
        <v>36</v>
      </c>
      <c r="E417" s="17">
        <v>39.0</v>
      </c>
      <c r="F417" s="18">
        <f>E417* 0.999132697311362</f>
        <v>38.9661752</v>
      </c>
      <c r="G417" s="20">
        <v>0.0</v>
      </c>
      <c r="H417" s="18">
        <f>E417* 0.000867302688638335</f>
        <v>0.03382480486</v>
      </c>
    </row>
    <row r="418" ht="15.75" hidden="1" customHeight="1">
      <c r="A418" s="15" t="s">
        <v>51</v>
      </c>
      <c r="B418" s="11" t="s">
        <v>74</v>
      </c>
      <c r="C418" s="15"/>
      <c r="D418" s="16" t="s">
        <v>37</v>
      </c>
      <c r="E418" s="17">
        <v>6.0</v>
      </c>
      <c r="F418" s="18">
        <f>E418* 0.0555555555555556</f>
        <v>0.3333333333</v>
      </c>
      <c r="G418" s="18">
        <f>E418* 0.944444444444444</f>
        <v>5.666666667</v>
      </c>
      <c r="H418" s="20">
        <v>0.0</v>
      </c>
    </row>
    <row r="419" ht="15.75" hidden="1" customHeight="1">
      <c r="A419" s="15" t="s">
        <v>51</v>
      </c>
      <c r="B419" s="11" t="s">
        <v>74</v>
      </c>
      <c r="C419" s="15"/>
      <c r="D419" s="16" t="s">
        <v>28</v>
      </c>
      <c r="E419" s="23">
        <v>3265.0</v>
      </c>
      <c r="F419" s="18">
        <f>E419* 0.00115651503469545</f>
        <v>3.776021588</v>
      </c>
      <c r="G419" s="18">
        <f>E419* 0.998843484965305</f>
        <v>3261.223978</v>
      </c>
      <c r="H419" s="20">
        <v>0.0</v>
      </c>
    </row>
    <row r="420" ht="15.75" hidden="1" customHeight="1">
      <c r="A420" s="15" t="s">
        <v>51</v>
      </c>
      <c r="B420" s="11" t="s">
        <v>74</v>
      </c>
      <c r="C420" s="15"/>
      <c r="D420" s="16" t="s">
        <v>75</v>
      </c>
      <c r="E420" s="17">
        <v>0.0</v>
      </c>
      <c r="F420" s="20">
        <v>0.0</v>
      </c>
      <c r="G420" s="20">
        <v>0.0</v>
      </c>
      <c r="H420" s="20">
        <v>0.0</v>
      </c>
    </row>
    <row r="421" ht="15.75" hidden="1" customHeight="1">
      <c r="A421" s="15" t="s">
        <v>51</v>
      </c>
      <c r="B421" s="11" t="s">
        <v>74</v>
      </c>
      <c r="C421" s="15"/>
      <c r="D421" s="16" t="s">
        <v>12</v>
      </c>
      <c r="E421" s="23">
        <v>29884.0</v>
      </c>
      <c r="F421" s="18">
        <f>E421* 0.924936238310357</f>
        <v>27640.79455</v>
      </c>
      <c r="G421" s="18">
        <f>E421* 0.0351064361799663</f>
        <v>1049.120739</v>
      </c>
      <c r="H421" s="18">
        <f>E421* 0.039932320925503</f>
        <v>1193.337479</v>
      </c>
    </row>
    <row r="422" ht="15.75" hidden="1" customHeight="1">
      <c r="A422" s="15" t="s">
        <v>51</v>
      </c>
      <c r="B422" s="8"/>
      <c r="C422" s="8"/>
      <c r="D422" s="9"/>
      <c r="E422" s="19"/>
    </row>
    <row r="423" ht="15.75" hidden="1" customHeight="1">
      <c r="A423" s="15" t="s">
        <v>51</v>
      </c>
      <c r="B423" s="11" t="s">
        <v>76</v>
      </c>
      <c r="C423" s="12" t="str">
        <f>B423&amp;"_"&amp;A423</f>
        <v>Gral. Pérez (Charazani)_La Paz</v>
      </c>
      <c r="E423" s="13">
        <v>0.0</v>
      </c>
      <c r="F423" s="14">
        <f t="shared" ref="F423:H423" si="50">SUM(F424:F430)</f>
        <v>0</v>
      </c>
      <c r="G423" s="14">
        <f t="shared" si="50"/>
        <v>0</v>
      </c>
      <c r="H423" s="14">
        <f t="shared" si="50"/>
        <v>0</v>
      </c>
    </row>
    <row r="424" ht="15.75" hidden="1" customHeight="1">
      <c r="A424" s="15" t="s">
        <v>51</v>
      </c>
      <c r="B424" s="11" t="s">
        <v>76</v>
      </c>
      <c r="C424" s="15"/>
      <c r="D424" s="16" t="s">
        <v>53</v>
      </c>
      <c r="E424" s="17">
        <v>0.0</v>
      </c>
      <c r="F424" s="20">
        <v>0.0</v>
      </c>
      <c r="G424" s="20">
        <f>E424</f>
        <v>0</v>
      </c>
      <c r="H424" s="20">
        <v>0.0</v>
      </c>
    </row>
    <row r="425" ht="15.75" hidden="1" customHeight="1">
      <c r="A425" s="15" t="s">
        <v>51</v>
      </c>
      <c r="B425" s="11" t="s">
        <v>76</v>
      </c>
      <c r="C425" s="15"/>
      <c r="D425" s="16" t="s">
        <v>15</v>
      </c>
      <c r="E425" s="17">
        <v>0.0</v>
      </c>
      <c r="F425" s="18">
        <f>E425* 0.981163265034061</f>
        <v>0</v>
      </c>
      <c r="G425" s="18">
        <f>E425* 0.0027595216829083</f>
        <v>0</v>
      </c>
      <c r="H425" s="18">
        <f>E425* 0.0160372202151627</f>
        <v>0</v>
      </c>
    </row>
    <row r="426" ht="15.75" hidden="1" customHeight="1">
      <c r="A426" s="15" t="s">
        <v>51</v>
      </c>
      <c r="B426" s="11" t="s">
        <v>76</v>
      </c>
      <c r="C426" s="15"/>
      <c r="D426" s="16" t="s">
        <v>11</v>
      </c>
      <c r="E426" s="17">
        <v>0.0</v>
      </c>
      <c r="F426" s="18">
        <f>E426* 0.178797409805735</f>
        <v>0</v>
      </c>
      <c r="G426" s="18">
        <f>E426* 0.819278445883441</f>
        <v>0</v>
      </c>
      <c r="H426" s="18">
        <f>E426* 0.00181313598519889</f>
        <v>0</v>
      </c>
    </row>
    <row r="427" ht="15.75" hidden="1" customHeight="1">
      <c r="A427" s="15" t="s">
        <v>51</v>
      </c>
      <c r="B427" s="11" t="s">
        <v>76</v>
      </c>
      <c r="C427" s="15"/>
      <c r="D427" s="16" t="s">
        <v>17</v>
      </c>
      <c r="E427" s="17">
        <v>0.0</v>
      </c>
      <c r="F427" s="18">
        <f>E427* 0.916446662218225</f>
        <v>0</v>
      </c>
      <c r="G427" s="18">
        <f>E427* 0.0292436682236212</f>
        <v>0</v>
      </c>
      <c r="H427" s="18">
        <f>E427* 0.0543096695581537</f>
        <v>0</v>
      </c>
    </row>
    <row r="428" ht="15.75" hidden="1" customHeight="1">
      <c r="A428" s="15" t="s">
        <v>51</v>
      </c>
      <c r="B428" s="11" t="s">
        <v>76</v>
      </c>
      <c r="C428" s="15"/>
      <c r="D428" s="16" t="s">
        <v>18</v>
      </c>
      <c r="E428" s="17">
        <v>0.0</v>
      </c>
      <c r="F428" s="18">
        <f>E428* 0.983388008654987</f>
        <v>0</v>
      </c>
      <c r="G428" s="18">
        <f>E428* 0.0133314720457877</f>
        <v>0</v>
      </c>
      <c r="H428" s="18">
        <f>E428* 0.003210721016263</f>
        <v>0</v>
      </c>
    </row>
    <row r="429" ht="15.75" hidden="1" customHeight="1">
      <c r="A429" s="15" t="s">
        <v>51</v>
      </c>
      <c r="B429" s="11" t="s">
        <v>76</v>
      </c>
      <c r="C429" s="15"/>
      <c r="D429" s="16" t="s">
        <v>20</v>
      </c>
      <c r="E429" s="17">
        <v>0.0</v>
      </c>
      <c r="F429" s="18">
        <f>E429* 0.814615536880747</f>
        <v>0</v>
      </c>
      <c r="G429" s="18">
        <f>E429* 0.0763167839340663</f>
        <v>0</v>
      </c>
      <c r="H429" s="18">
        <f>E429* 0.109013694193014</f>
        <v>0</v>
      </c>
    </row>
    <row r="430" ht="15.75" hidden="1" customHeight="1">
      <c r="A430" s="15" t="s">
        <v>51</v>
      </c>
      <c r="B430" s="11" t="s">
        <v>76</v>
      </c>
      <c r="C430" s="15"/>
      <c r="D430" s="16" t="s">
        <v>12</v>
      </c>
      <c r="E430" s="17">
        <v>0.0</v>
      </c>
      <c r="F430" s="18">
        <f>E430* 0.924936238310357</f>
        <v>0</v>
      </c>
      <c r="G430" s="18">
        <f>E430* 0.0351064361799663</f>
        <v>0</v>
      </c>
      <c r="H430" s="18">
        <f>E430* 0.039932320925503</f>
        <v>0</v>
      </c>
    </row>
    <row r="431" ht="15.75" hidden="1" customHeight="1">
      <c r="A431" s="15" t="s">
        <v>51</v>
      </c>
      <c r="B431" s="8"/>
      <c r="C431" s="8"/>
      <c r="D431" s="9"/>
      <c r="E431" s="19"/>
    </row>
    <row r="432" ht="15.75" hidden="1" customHeight="1">
      <c r="A432" s="15" t="s">
        <v>51</v>
      </c>
      <c r="B432" s="11" t="s">
        <v>77</v>
      </c>
      <c r="C432" s="12" t="str">
        <f>B432&amp;"_"&amp;A432</f>
        <v>Guanay_La Paz</v>
      </c>
      <c r="E432" s="13">
        <v>17.0</v>
      </c>
      <c r="F432" s="14">
        <f t="shared" ref="F432:H432" si="51">SUM(F433:F436)</f>
        <v>15.80463654</v>
      </c>
      <c r="G432" s="14">
        <f t="shared" si="51"/>
        <v>0.5192364646</v>
      </c>
      <c r="H432" s="14">
        <f t="shared" si="51"/>
        <v>0.6757421496</v>
      </c>
    </row>
    <row r="433" ht="15.75" hidden="1" customHeight="1">
      <c r="A433" s="15" t="s">
        <v>51</v>
      </c>
      <c r="B433" s="11" t="s">
        <v>77</v>
      </c>
      <c r="C433" s="15"/>
      <c r="D433" s="16" t="s">
        <v>15</v>
      </c>
      <c r="E433" s="17">
        <v>1.0</v>
      </c>
      <c r="F433" s="18">
        <f>E433* 0.981163265034061</f>
        <v>0.981163265</v>
      </c>
      <c r="G433" s="18">
        <f>E433* 0.0027595216829083</f>
        <v>0.002759521683</v>
      </c>
      <c r="H433" s="18">
        <f>E433* 0.0160372202151627</f>
        <v>0.01603722022</v>
      </c>
    </row>
    <row r="434" ht="15.75" hidden="1" customHeight="1">
      <c r="A434" s="15" t="s">
        <v>51</v>
      </c>
      <c r="B434" s="11" t="s">
        <v>77</v>
      </c>
      <c r="C434" s="15"/>
      <c r="D434" s="16" t="s">
        <v>17</v>
      </c>
      <c r="E434" s="17">
        <v>4.0</v>
      </c>
      <c r="F434" s="18">
        <f>E434* 0.916446662218225</f>
        <v>3.665786649</v>
      </c>
      <c r="G434" s="18">
        <f>E434* 0.0292436682236212</f>
        <v>0.1169746729</v>
      </c>
      <c r="H434" s="18">
        <f>E434* 0.0543096695581537</f>
        <v>0.2172386782</v>
      </c>
    </row>
    <row r="435" ht="15.75" hidden="1" customHeight="1">
      <c r="A435" s="15" t="s">
        <v>51</v>
      </c>
      <c r="B435" s="11" t="s">
        <v>77</v>
      </c>
      <c r="C435" s="15"/>
      <c r="D435" s="16" t="s">
        <v>18</v>
      </c>
      <c r="E435" s="17">
        <v>1.0</v>
      </c>
      <c r="F435" s="18">
        <f>E435* 0.983388008654987</f>
        <v>0.9833880087</v>
      </c>
      <c r="G435" s="18">
        <f>E435* 0.0133314720457877</f>
        <v>0.01333147205</v>
      </c>
      <c r="H435" s="18">
        <f>E435* 0.003210721016263</f>
        <v>0.003210721016</v>
      </c>
    </row>
    <row r="436" ht="15.75" hidden="1" customHeight="1">
      <c r="A436" s="15" t="s">
        <v>51</v>
      </c>
      <c r="B436" s="11" t="s">
        <v>77</v>
      </c>
      <c r="C436" s="15"/>
      <c r="D436" s="16" t="s">
        <v>12</v>
      </c>
      <c r="E436" s="17">
        <v>11.0</v>
      </c>
      <c r="F436" s="18">
        <f>E436* 0.924936238310357</f>
        <v>10.17429862</v>
      </c>
      <c r="G436" s="18">
        <f>E436* 0.0351064361799663</f>
        <v>0.386170798</v>
      </c>
      <c r="H436" s="18">
        <f>E436* 0.039932320925503</f>
        <v>0.4392555302</v>
      </c>
    </row>
    <row r="437" ht="15.75" hidden="1" customHeight="1">
      <c r="A437" s="15" t="s">
        <v>51</v>
      </c>
      <c r="B437" s="8"/>
      <c r="C437" s="8"/>
      <c r="D437" s="9"/>
      <c r="E437" s="19"/>
    </row>
    <row r="438" ht="15.75" hidden="1" customHeight="1">
      <c r="A438" s="15" t="s">
        <v>51</v>
      </c>
      <c r="B438" s="11" t="s">
        <v>78</v>
      </c>
      <c r="C438" s="12" t="str">
        <f>B438&amp;"_"&amp;A438</f>
        <v>Guaqui_La Paz</v>
      </c>
      <c r="E438" s="13">
        <v>3.0</v>
      </c>
      <c r="F438" s="14">
        <f t="shared" ref="F438:H438" si="52">SUM(F439)</f>
        <v>0.5363922294</v>
      </c>
      <c r="G438" s="14">
        <f t="shared" si="52"/>
        <v>2.457835338</v>
      </c>
      <c r="H438" s="14">
        <f t="shared" si="52"/>
        <v>0.005439407956</v>
      </c>
    </row>
    <row r="439" ht="15.75" hidden="1" customHeight="1">
      <c r="A439" s="15" t="s">
        <v>51</v>
      </c>
      <c r="B439" s="11" t="s">
        <v>78</v>
      </c>
      <c r="C439" s="15"/>
      <c r="D439" s="16" t="s">
        <v>11</v>
      </c>
      <c r="E439" s="17">
        <v>3.0</v>
      </c>
      <c r="F439" s="18">
        <f>E439* 0.178797409805735</f>
        <v>0.5363922294</v>
      </c>
      <c r="G439" s="18">
        <f>E439* 0.819278445883441</f>
        <v>2.457835338</v>
      </c>
      <c r="H439" s="18">
        <f>E439* 0.00181313598519889</f>
        <v>0.005439407956</v>
      </c>
    </row>
    <row r="440" ht="15.75" hidden="1" customHeight="1">
      <c r="A440" s="15" t="s">
        <v>51</v>
      </c>
      <c r="B440" s="8"/>
      <c r="C440" s="8"/>
      <c r="D440" s="9"/>
      <c r="E440" s="19"/>
    </row>
    <row r="441" ht="15.75" hidden="1" customHeight="1">
      <c r="A441" s="15" t="s">
        <v>51</v>
      </c>
      <c r="B441" s="11" t="s">
        <v>79</v>
      </c>
      <c r="C441" s="12" t="str">
        <f>B441&amp;"_"&amp;A441</f>
        <v>Huarina_La Paz</v>
      </c>
      <c r="E441" s="13">
        <v>0.0</v>
      </c>
      <c r="F441" s="14">
        <f t="shared" ref="F441:H441" si="53">SUM(F442:F446)</f>
        <v>0</v>
      </c>
      <c r="G441" s="14">
        <f t="shared" si="53"/>
        <v>0</v>
      </c>
      <c r="H441" s="14">
        <f t="shared" si="53"/>
        <v>0</v>
      </c>
    </row>
    <row r="442" ht="15.75" hidden="1" customHeight="1">
      <c r="A442" s="15" t="s">
        <v>51</v>
      </c>
      <c r="B442" s="11" t="s">
        <v>79</v>
      </c>
      <c r="C442" s="15"/>
      <c r="D442" s="16" t="s">
        <v>17</v>
      </c>
      <c r="E442" s="17">
        <v>0.0</v>
      </c>
      <c r="F442" s="18">
        <f>E442* 0.916446662218225</f>
        <v>0</v>
      </c>
      <c r="G442" s="18">
        <f>E442* 0.0292436682236212</f>
        <v>0</v>
      </c>
      <c r="H442" s="18">
        <f>E442* 0.0543096695581537</f>
        <v>0</v>
      </c>
    </row>
    <row r="443" ht="15.75" hidden="1" customHeight="1">
      <c r="A443" s="15" t="s">
        <v>51</v>
      </c>
      <c r="B443" s="11" t="s">
        <v>79</v>
      </c>
      <c r="C443" s="15"/>
      <c r="D443" s="16" t="s">
        <v>18</v>
      </c>
      <c r="E443" s="17">
        <v>0.0</v>
      </c>
      <c r="F443" s="18">
        <f>E443* 0.983388008654987</f>
        <v>0</v>
      </c>
      <c r="G443" s="18">
        <f>E443* 0.0133314720457877</f>
        <v>0</v>
      </c>
      <c r="H443" s="18">
        <f>E443* 0.003210721016263</f>
        <v>0</v>
      </c>
    </row>
    <row r="444" ht="15.75" hidden="1" customHeight="1">
      <c r="A444" s="15" t="s">
        <v>51</v>
      </c>
      <c r="B444" s="11" t="s">
        <v>79</v>
      </c>
      <c r="C444" s="15"/>
      <c r="D444" s="16" t="s">
        <v>20</v>
      </c>
      <c r="E444" s="17">
        <v>0.0</v>
      </c>
      <c r="F444" s="18">
        <f>E444* 0.814615536880747</f>
        <v>0</v>
      </c>
      <c r="G444" s="18">
        <f>E444* 0.0763167839340663</f>
        <v>0</v>
      </c>
      <c r="H444" s="18">
        <f>E444* 0.109013694193014</f>
        <v>0</v>
      </c>
    </row>
    <row r="445" ht="15.75" hidden="1" customHeight="1">
      <c r="A445" s="15" t="s">
        <v>51</v>
      </c>
      <c r="B445" s="11" t="s">
        <v>79</v>
      </c>
      <c r="C445" s="15"/>
      <c r="D445" s="16" t="s">
        <v>21</v>
      </c>
      <c r="E445" s="17">
        <v>0.0</v>
      </c>
      <c r="F445" s="18">
        <f>E445* 0.999722052365334</f>
        <v>0</v>
      </c>
      <c r="G445" s="18">
        <v>0.0</v>
      </c>
      <c r="H445" s="18">
        <f>E445* 0.000277947634665629</f>
        <v>0</v>
      </c>
    </row>
    <row r="446" ht="15.75" hidden="1" customHeight="1">
      <c r="A446" s="15" t="s">
        <v>51</v>
      </c>
      <c r="B446" s="11" t="s">
        <v>79</v>
      </c>
      <c r="C446" s="15"/>
      <c r="D446" s="16" t="s">
        <v>12</v>
      </c>
      <c r="E446" s="17">
        <v>0.0</v>
      </c>
      <c r="F446" s="18">
        <f>E446* 0.924936238310357</f>
        <v>0</v>
      </c>
      <c r="G446" s="18">
        <f>E446* 0.0351064361799663</f>
        <v>0</v>
      </c>
      <c r="H446" s="18">
        <f>E446* 0.039932320925503</f>
        <v>0</v>
      </c>
    </row>
    <row r="447" ht="15.75" hidden="1" customHeight="1">
      <c r="A447" s="15" t="s">
        <v>51</v>
      </c>
      <c r="B447" s="8"/>
      <c r="C447" s="8"/>
      <c r="D447" s="9"/>
      <c r="E447" s="19"/>
    </row>
    <row r="448" ht="15.75" hidden="1" customHeight="1">
      <c r="A448" s="15" t="s">
        <v>51</v>
      </c>
      <c r="B448" s="11" t="s">
        <v>80</v>
      </c>
      <c r="C448" s="12" t="str">
        <f>B448&amp;"_"&amp;A448</f>
        <v>Huatajata_La Paz</v>
      </c>
      <c r="E448" s="13">
        <v>0.0</v>
      </c>
      <c r="F448" s="14">
        <f t="shared" ref="F448:H448" si="54">SUM(F449:F455)</f>
        <v>0</v>
      </c>
      <c r="G448" s="14">
        <f t="shared" si="54"/>
        <v>0</v>
      </c>
      <c r="H448" s="14">
        <f t="shared" si="54"/>
        <v>0</v>
      </c>
    </row>
    <row r="449" ht="15.75" hidden="1" customHeight="1">
      <c r="A449" s="15" t="s">
        <v>51</v>
      </c>
      <c r="B449" s="11" t="s">
        <v>80</v>
      </c>
      <c r="C449" s="15"/>
      <c r="D449" s="16" t="s">
        <v>15</v>
      </c>
      <c r="E449" s="17">
        <v>0.0</v>
      </c>
      <c r="F449" s="18">
        <f>E449* 0.981163265034061</f>
        <v>0</v>
      </c>
      <c r="G449" s="18">
        <f>E449* 0.0027595216829083</f>
        <v>0</v>
      </c>
      <c r="H449" s="18">
        <f>E449* 0.0160372202151627</f>
        <v>0</v>
      </c>
    </row>
    <row r="450" ht="15.75" hidden="1" customHeight="1">
      <c r="A450" s="15" t="s">
        <v>51</v>
      </c>
      <c r="B450" s="11" t="s">
        <v>80</v>
      </c>
      <c r="C450" s="15"/>
      <c r="D450" s="16" t="s">
        <v>11</v>
      </c>
      <c r="E450" s="17">
        <v>0.0</v>
      </c>
      <c r="F450" s="18">
        <f>E450* 0.178797409805735</f>
        <v>0</v>
      </c>
      <c r="G450" s="18">
        <f>E450* 0.819278445883441</f>
        <v>0</v>
      </c>
      <c r="H450" s="18">
        <f>E450* 0.00181313598519889</f>
        <v>0</v>
      </c>
    </row>
    <row r="451" ht="15.75" hidden="1" customHeight="1">
      <c r="A451" s="15" t="s">
        <v>51</v>
      </c>
      <c r="B451" s="11" t="s">
        <v>80</v>
      </c>
      <c r="C451" s="15"/>
      <c r="D451" s="16" t="s">
        <v>17</v>
      </c>
      <c r="E451" s="17">
        <v>0.0</v>
      </c>
      <c r="F451" s="18">
        <f>E451* 0.916446662218225</f>
        <v>0</v>
      </c>
      <c r="G451" s="18">
        <f>E451* 0.0292436682236212</f>
        <v>0</v>
      </c>
      <c r="H451" s="18">
        <f>E451* 0.0543096695581537</f>
        <v>0</v>
      </c>
    </row>
    <row r="452" ht="15.75" hidden="1" customHeight="1">
      <c r="A452" s="15" t="s">
        <v>51</v>
      </c>
      <c r="B452" s="11" t="s">
        <v>80</v>
      </c>
      <c r="C452" s="15"/>
      <c r="D452" s="16" t="s">
        <v>20</v>
      </c>
      <c r="E452" s="17">
        <v>0.0</v>
      </c>
      <c r="F452" s="18">
        <f>E452* 0.814615536880747</f>
        <v>0</v>
      </c>
      <c r="G452" s="18">
        <f>E452* 0.0763167839340663</f>
        <v>0</v>
      </c>
      <c r="H452" s="18">
        <f>E452* 0.109013694193014</f>
        <v>0</v>
      </c>
    </row>
    <row r="453" ht="15.75" hidden="1" customHeight="1">
      <c r="A453" s="15" t="s">
        <v>51</v>
      </c>
      <c r="B453" s="11" t="s">
        <v>80</v>
      </c>
      <c r="C453" s="15"/>
      <c r="D453" s="16" t="s">
        <v>21</v>
      </c>
      <c r="E453" s="17">
        <v>0.0</v>
      </c>
      <c r="F453" s="18">
        <f>E453* 0.999722052365334</f>
        <v>0</v>
      </c>
      <c r="G453" s="18">
        <v>0.0</v>
      </c>
      <c r="H453" s="18">
        <f>E453* 0.000277947634665629</f>
        <v>0</v>
      </c>
    </row>
    <row r="454" ht="15.75" hidden="1" customHeight="1">
      <c r="A454" s="15" t="s">
        <v>51</v>
      </c>
      <c r="B454" s="11" t="s">
        <v>80</v>
      </c>
      <c r="C454" s="15"/>
      <c r="D454" s="16" t="s">
        <v>28</v>
      </c>
      <c r="E454" s="17">
        <v>0.0</v>
      </c>
      <c r="F454" s="18">
        <f>E454* 0.00115651503469545</f>
        <v>0</v>
      </c>
      <c r="G454" s="18">
        <f>E454* 0.998843484965305</f>
        <v>0</v>
      </c>
      <c r="H454" s="20">
        <v>0.0</v>
      </c>
    </row>
    <row r="455" ht="15.75" hidden="1" customHeight="1">
      <c r="A455" s="15" t="s">
        <v>51</v>
      </c>
      <c r="B455" s="11" t="s">
        <v>80</v>
      </c>
      <c r="C455" s="15"/>
      <c r="D455" s="16" t="s">
        <v>12</v>
      </c>
      <c r="E455" s="17">
        <v>0.0</v>
      </c>
      <c r="F455" s="18">
        <f>E455* 0.924936238310357</f>
        <v>0</v>
      </c>
      <c r="G455" s="18">
        <f>E455* 0.0351064361799663</f>
        <v>0</v>
      </c>
      <c r="H455" s="18">
        <f>E455* 0.039932320925503</f>
        <v>0</v>
      </c>
    </row>
    <row r="456" ht="15.75" hidden="1" customHeight="1">
      <c r="A456" s="15" t="s">
        <v>51</v>
      </c>
      <c r="B456" s="8"/>
      <c r="C456" s="8"/>
      <c r="D456" s="9"/>
      <c r="E456" s="19"/>
    </row>
    <row r="457" ht="15.75" hidden="1" customHeight="1">
      <c r="A457" s="15" t="s">
        <v>51</v>
      </c>
      <c r="B457" s="11" t="s">
        <v>81</v>
      </c>
      <c r="C457" s="12" t="str">
        <f>B457&amp;"_"&amp;A457</f>
        <v>Inquisivi_La Paz</v>
      </c>
      <c r="E457" s="13">
        <v>0.0</v>
      </c>
      <c r="F457" s="14">
        <f t="shared" ref="F457:H457" si="55">SUM(F458:F467)</f>
        <v>0</v>
      </c>
      <c r="G457" s="14">
        <f t="shared" si="55"/>
        <v>0</v>
      </c>
      <c r="H457" s="14">
        <f t="shared" si="55"/>
        <v>0</v>
      </c>
    </row>
    <row r="458" ht="15.75" hidden="1" customHeight="1">
      <c r="A458" s="15" t="s">
        <v>51</v>
      </c>
      <c r="B458" s="11" t="s">
        <v>81</v>
      </c>
      <c r="C458" s="15"/>
      <c r="D458" s="16" t="s">
        <v>53</v>
      </c>
      <c r="E458" s="17">
        <v>0.0</v>
      </c>
      <c r="F458" s="20">
        <v>0.0</v>
      </c>
      <c r="G458" s="20">
        <f>E458</f>
        <v>0</v>
      </c>
      <c r="H458" s="20">
        <v>0.0</v>
      </c>
    </row>
    <row r="459" ht="15.75" hidden="1" customHeight="1">
      <c r="A459" s="15" t="s">
        <v>51</v>
      </c>
      <c r="B459" s="11" t="s">
        <v>81</v>
      </c>
      <c r="C459" s="15"/>
      <c r="D459" s="16" t="s">
        <v>15</v>
      </c>
      <c r="E459" s="17">
        <v>0.0</v>
      </c>
      <c r="F459" s="18">
        <f>E459* 0.981163265034061</f>
        <v>0</v>
      </c>
      <c r="G459" s="18">
        <f>E459* 0.0027595216829083</f>
        <v>0</v>
      </c>
      <c r="H459" s="18">
        <f>E459* 0.0160372202151627</f>
        <v>0</v>
      </c>
    </row>
    <row r="460" ht="15.75" hidden="1" customHeight="1">
      <c r="A460" s="15" t="s">
        <v>51</v>
      </c>
      <c r="B460" s="11" t="s">
        <v>81</v>
      </c>
      <c r="C460" s="15"/>
      <c r="D460" s="16" t="s">
        <v>16</v>
      </c>
      <c r="E460" s="17">
        <v>0.0</v>
      </c>
      <c r="F460" s="18">
        <f>E460* 0.142974979378609</f>
        <v>0</v>
      </c>
      <c r="G460" s="18">
        <f>E460* 0.852350838603245</f>
        <v>0</v>
      </c>
      <c r="H460" s="18">
        <f>E460* 0.00467418201814682</f>
        <v>0</v>
      </c>
    </row>
    <row r="461" ht="15.75" hidden="1" customHeight="1">
      <c r="A461" s="15" t="s">
        <v>51</v>
      </c>
      <c r="B461" s="11" t="s">
        <v>81</v>
      </c>
      <c r="C461" s="15"/>
      <c r="D461" s="16" t="s">
        <v>11</v>
      </c>
      <c r="E461" s="17">
        <v>0.0</v>
      </c>
      <c r="F461" s="18">
        <f>E461* 0.178797409805735</f>
        <v>0</v>
      </c>
      <c r="G461" s="18">
        <f>E461* 0.819278445883441</f>
        <v>0</v>
      </c>
      <c r="H461" s="18">
        <f>E461* 0.00181313598519889</f>
        <v>0</v>
      </c>
    </row>
    <row r="462" ht="15.75" hidden="1" customHeight="1">
      <c r="A462" s="15" t="s">
        <v>51</v>
      </c>
      <c r="B462" s="11" t="s">
        <v>81</v>
      </c>
      <c r="C462" s="15"/>
      <c r="D462" s="16" t="s">
        <v>17</v>
      </c>
      <c r="E462" s="17">
        <v>0.0</v>
      </c>
      <c r="F462" s="18">
        <f>E462* 0.916446662218225</f>
        <v>0</v>
      </c>
      <c r="G462" s="18">
        <f>E462* 0.0292436682236212</f>
        <v>0</v>
      </c>
      <c r="H462" s="18">
        <f>E462* 0.0543096695581537</f>
        <v>0</v>
      </c>
    </row>
    <row r="463" ht="15.75" hidden="1" customHeight="1">
      <c r="A463" s="15" t="s">
        <v>51</v>
      </c>
      <c r="B463" s="11" t="s">
        <v>81</v>
      </c>
      <c r="C463" s="15"/>
      <c r="D463" s="16" t="s">
        <v>31</v>
      </c>
      <c r="E463" s="17">
        <v>0.0</v>
      </c>
      <c r="F463" s="18">
        <f>E463* 0.957442434210526</f>
        <v>0</v>
      </c>
      <c r="G463" s="18">
        <f>E463* 0.0158305921052632</f>
        <v>0</v>
      </c>
      <c r="H463" s="18">
        <f>E463* 0.0263157894736842</f>
        <v>0</v>
      </c>
    </row>
    <row r="464" ht="15.75" hidden="1" customHeight="1">
      <c r="A464" s="15" t="s">
        <v>51</v>
      </c>
      <c r="B464" s="11" t="s">
        <v>81</v>
      </c>
      <c r="C464" s="15"/>
      <c r="D464" s="16" t="s">
        <v>18</v>
      </c>
      <c r="E464" s="17">
        <v>0.0</v>
      </c>
      <c r="F464" s="18">
        <f>E464* 0.983388008654987</f>
        <v>0</v>
      </c>
      <c r="G464" s="18">
        <f>E464* 0.0133314720457877</f>
        <v>0</v>
      </c>
      <c r="H464" s="18">
        <f>E464* 0.003210721016263</f>
        <v>0</v>
      </c>
    </row>
    <row r="465" ht="15.75" hidden="1" customHeight="1">
      <c r="A465" s="15" t="s">
        <v>51</v>
      </c>
      <c r="B465" s="11" t="s">
        <v>81</v>
      </c>
      <c r="C465" s="15"/>
      <c r="D465" s="16" t="s">
        <v>19</v>
      </c>
      <c r="E465" s="17">
        <v>0.0</v>
      </c>
      <c r="F465" s="18">
        <f>E465* 0.511826182618262</f>
        <v>0</v>
      </c>
      <c r="G465" s="18">
        <f>E465* 0.476622662266227</f>
        <v>0</v>
      </c>
      <c r="H465" s="18">
        <f>E465* 0.0115511551155116</f>
        <v>0</v>
      </c>
    </row>
    <row r="466" ht="15.75" hidden="1" customHeight="1">
      <c r="A466" s="15" t="s">
        <v>51</v>
      </c>
      <c r="B466" s="11" t="s">
        <v>81</v>
      </c>
      <c r="C466" s="15"/>
      <c r="D466" s="16" t="s">
        <v>20</v>
      </c>
      <c r="E466" s="17">
        <v>0.0</v>
      </c>
      <c r="F466" s="18">
        <f>E466* 0.814615536880747</f>
        <v>0</v>
      </c>
      <c r="G466" s="18">
        <f>E466* 0.0763167839340663</f>
        <v>0</v>
      </c>
      <c r="H466" s="18">
        <f>E466* 0.109013694193014</f>
        <v>0</v>
      </c>
    </row>
    <row r="467" ht="15.75" hidden="1" customHeight="1">
      <c r="A467" s="15" t="s">
        <v>51</v>
      </c>
      <c r="B467" s="11" t="s">
        <v>81</v>
      </c>
      <c r="C467" s="15"/>
      <c r="D467" s="16" t="s">
        <v>12</v>
      </c>
      <c r="E467" s="17">
        <v>0.0</v>
      </c>
      <c r="F467" s="18">
        <f>E467* 0.924936238310357</f>
        <v>0</v>
      </c>
      <c r="G467" s="18">
        <f>E467* 0.0351064361799663</f>
        <v>0</v>
      </c>
      <c r="H467" s="18">
        <f>E467* 0.039932320925503</f>
        <v>0</v>
      </c>
    </row>
    <row r="468" ht="15.75" hidden="1" customHeight="1">
      <c r="A468" s="15" t="s">
        <v>51</v>
      </c>
      <c r="B468" s="8"/>
      <c r="C468" s="8"/>
      <c r="D468" s="9"/>
      <c r="E468" s="19"/>
    </row>
    <row r="469" ht="15.75" hidden="1" customHeight="1">
      <c r="A469" s="15" t="s">
        <v>51</v>
      </c>
      <c r="B469" s="11" t="s">
        <v>82</v>
      </c>
      <c r="C469" s="12" t="str">
        <f>B469&amp;"_"&amp;A469</f>
        <v>Irupana_La Paz</v>
      </c>
      <c r="E469" s="13">
        <v>421.0</v>
      </c>
      <c r="F469" s="14">
        <f t="shared" ref="F469:H469" si="56">SUM(F470:F482)</f>
        <v>375.5898663</v>
      </c>
      <c r="G469" s="14">
        <f t="shared" si="56"/>
        <v>30.06190156</v>
      </c>
      <c r="H469" s="14">
        <f t="shared" si="56"/>
        <v>15.33436306</v>
      </c>
    </row>
    <row r="470" ht="15.75" hidden="1" customHeight="1">
      <c r="A470" s="15" t="s">
        <v>51</v>
      </c>
      <c r="B470" s="11" t="s">
        <v>82</v>
      </c>
      <c r="C470" s="15"/>
      <c r="D470" s="16" t="s">
        <v>53</v>
      </c>
      <c r="E470" s="17">
        <v>0.0</v>
      </c>
      <c r="F470" s="20">
        <v>0.0</v>
      </c>
      <c r="G470" s="20">
        <f>E470</f>
        <v>0</v>
      </c>
      <c r="H470" s="20">
        <v>0.0</v>
      </c>
    </row>
    <row r="471" ht="15.75" hidden="1" customHeight="1">
      <c r="A471" s="15" t="s">
        <v>51</v>
      </c>
      <c r="B471" s="11" t="s">
        <v>82</v>
      </c>
      <c r="C471" s="15"/>
      <c r="D471" s="16" t="s">
        <v>15</v>
      </c>
      <c r="E471" s="17">
        <v>10.0</v>
      </c>
      <c r="F471" s="18">
        <f>E471* 0.981163265034061</f>
        <v>9.81163265</v>
      </c>
      <c r="G471" s="18">
        <f>E471* 0.0027595216829083</f>
        <v>0.02759521683</v>
      </c>
      <c r="H471" s="18">
        <f>E471* 0.0160372202151627</f>
        <v>0.1603722022</v>
      </c>
    </row>
    <row r="472" ht="15.75" hidden="1" customHeight="1">
      <c r="A472" s="15" t="s">
        <v>51</v>
      </c>
      <c r="B472" s="11" t="s">
        <v>82</v>
      </c>
      <c r="C472" s="15"/>
      <c r="D472" s="16" t="s">
        <v>16</v>
      </c>
      <c r="E472" s="17">
        <v>1.0</v>
      </c>
      <c r="F472" s="18">
        <f>E472* 0.142974979378609</f>
        <v>0.1429749794</v>
      </c>
      <c r="G472" s="18">
        <f>E472* 0.852350838603245</f>
        <v>0.8523508386</v>
      </c>
      <c r="H472" s="18">
        <f>E472* 0.00467418201814682</f>
        <v>0.004674182018</v>
      </c>
    </row>
    <row r="473" ht="15.75" hidden="1" customHeight="1">
      <c r="A473" s="15" t="s">
        <v>51</v>
      </c>
      <c r="B473" s="11" t="s">
        <v>82</v>
      </c>
      <c r="C473" s="15"/>
      <c r="D473" s="16" t="s">
        <v>11</v>
      </c>
      <c r="E473" s="17">
        <v>20.0</v>
      </c>
      <c r="F473" s="18">
        <f>E473* 0.178797409805735</f>
        <v>3.575948196</v>
      </c>
      <c r="G473" s="18">
        <f>E473* 0.819278445883441</f>
        <v>16.38556892</v>
      </c>
      <c r="H473" s="18">
        <f>E473* 0.00181313598519889</f>
        <v>0.0362627197</v>
      </c>
    </row>
    <row r="474" ht="15.75" hidden="1" customHeight="1">
      <c r="A474" s="15" t="s">
        <v>51</v>
      </c>
      <c r="B474" s="11" t="s">
        <v>82</v>
      </c>
      <c r="C474" s="15"/>
      <c r="D474" s="16" t="s">
        <v>17</v>
      </c>
      <c r="E474" s="17">
        <v>14.0</v>
      </c>
      <c r="F474" s="18">
        <f>E474* 0.916446662218225</f>
        <v>12.83025327</v>
      </c>
      <c r="G474" s="18">
        <f>E474* 0.0292436682236212</f>
        <v>0.4094113551</v>
      </c>
      <c r="H474" s="18">
        <f>E474* 0.0543096695581537</f>
        <v>0.7603353738</v>
      </c>
    </row>
    <row r="475" ht="15.75" hidden="1" customHeight="1">
      <c r="A475" s="15" t="s">
        <v>51</v>
      </c>
      <c r="B475" s="11" t="s">
        <v>82</v>
      </c>
      <c r="C475" s="15"/>
      <c r="D475" s="16" t="s">
        <v>31</v>
      </c>
      <c r="E475" s="17">
        <v>7.0</v>
      </c>
      <c r="F475" s="18">
        <f>E475* 0.957442434210526</f>
        <v>6.702097039</v>
      </c>
      <c r="G475" s="18">
        <f>E475* 0.0158305921052632</f>
        <v>0.1108141447</v>
      </c>
      <c r="H475" s="18">
        <f>E475* 0.0263157894736842</f>
        <v>0.1842105263</v>
      </c>
    </row>
    <row r="476" ht="15.75" hidden="1" customHeight="1">
      <c r="A476" s="15" t="s">
        <v>51</v>
      </c>
      <c r="B476" s="11" t="s">
        <v>82</v>
      </c>
      <c r="C476" s="15"/>
      <c r="D476" s="16" t="s">
        <v>18</v>
      </c>
      <c r="E476" s="17">
        <v>6.0</v>
      </c>
      <c r="F476" s="18">
        <f>E476* 0.983388008654987</f>
        <v>5.900328052</v>
      </c>
      <c r="G476" s="18">
        <f>E476* 0.0133314720457877</f>
        <v>0.07998883227</v>
      </c>
      <c r="H476" s="18">
        <f>E476* 0.003210721016263</f>
        <v>0.0192643261</v>
      </c>
    </row>
    <row r="477" ht="15.75" hidden="1" customHeight="1">
      <c r="A477" s="15" t="s">
        <v>51</v>
      </c>
      <c r="B477" s="11" t="s">
        <v>82</v>
      </c>
      <c r="C477" s="15"/>
      <c r="D477" s="16" t="s">
        <v>19</v>
      </c>
      <c r="E477" s="17">
        <v>0.0</v>
      </c>
      <c r="F477" s="18">
        <f>E477* 0.511826182618262</f>
        <v>0</v>
      </c>
      <c r="G477" s="18">
        <f>E477* 0.476622662266227</f>
        <v>0</v>
      </c>
      <c r="H477" s="18">
        <f>E477* 0.0115511551155116</f>
        <v>0</v>
      </c>
    </row>
    <row r="478" ht="15.75" hidden="1" customHeight="1">
      <c r="A478" s="15" t="s">
        <v>51</v>
      </c>
      <c r="B478" s="11" t="s">
        <v>82</v>
      </c>
      <c r="C478" s="15"/>
      <c r="D478" s="16" t="s">
        <v>20</v>
      </c>
      <c r="E478" s="17">
        <v>63.0</v>
      </c>
      <c r="F478" s="18">
        <f>E478* 0.814615536880747</f>
        <v>51.32077882</v>
      </c>
      <c r="G478" s="18">
        <f>E478* 0.0763167839340663</f>
        <v>4.807957388</v>
      </c>
      <c r="H478" s="18">
        <f>E478* 0.109013694193014</f>
        <v>6.867862734</v>
      </c>
    </row>
    <row r="479" ht="15.75" hidden="1" customHeight="1">
      <c r="A479" s="15" t="s">
        <v>51</v>
      </c>
      <c r="B479" s="11" t="s">
        <v>82</v>
      </c>
      <c r="C479" s="15"/>
      <c r="D479" s="16" t="s">
        <v>21</v>
      </c>
      <c r="E479" s="17">
        <v>115.0</v>
      </c>
      <c r="F479" s="18">
        <f>E479* 0.999722052365334</f>
        <v>114.968036</v>
      </c>
      <c r="G479" s="18">
        <v>0.0</v>
      </c>
      <c r="H479" s="18">
        <f>E479* 0.000277947634665629</f>
        <v>0.03196397799</v>
      </c>
    </row>
    <row r="480" ht="15.75" hidden="1" customHeight="1">
      <c r="A480" s="15" t="s">
        <v>51</v>
      </c>
      <c r="B480" s="11" t="s">
        <v>82</v>
      </c>
      <c r="C480" s="15"/>
      <c r="D480" s="16" t="s">
        <v>36</v>
      </c>
      <c r="E480" s="17">
        <v>2.0</v>
      </c>
      <c r="F480" s="18">
        <f>E480* 0.999132697311362</f>
        <v>1.998265395</v>
      </c>
      <c r="G480" s="20">
        <v>0.0</v>
      </c>
      <c r="H480" s="18">
        <f>E480* 0.000867302688638335</f>
        <v>0.001734605377</v>
      </c>
    </row>
    <row r="481" ht="15.75" hidden="1" customHeight="1">
      <c r="A481" s="15" t="s">
        <v>51</v>
      </c>
      <c r="B481" s="11" t="s">
        <v>82</v>
      </c>
      <c r="C481" s="15"/>
      <c r="D481" s="16" t="s">
        <v>28</v>
      </c>
      <c r="E481" s="17">
        <v>1.0</v>
      </c>
      <c r="F481" s="18">
        <f>E481* 0.00115651503469545</f>
        <v>0.001156515035</v>
      </c>
      <c r="G481" s="18">
        <f>E481* 0.998843484965305</f>
        <v>0.998843485</v>
      </c>
      <c r="H481" s="20">
        <v>0.0</v>
      </c>
    </row>
    <row r="482" ht="15.75" hidden="1" customHeight="1">
      <c r="A482" s="15" t="s">
        <v>51</v>
      </c>
      <c r="B482" s="11" t="s">
        <v>82</v>
      </c>
      <c r="C482" s="15"/>
      <c r="D482" s="16" t="s">
        <v>12</v>
      </c>
      <c r="E482" s="17">
        <v>182.0</v>
      </c>
      <c r="F482" s="18">
        <f>E482* 0.924936238310357</f>
        <v>168.3383954</v>
      </c>
      <c r="G482" s="18">
        <f>E482* 0.0351064361799663</f>
        <v>6.389371385</v>
      </c>
      <c r="H482" s="18">
        <f>E482* 0.039932320925503</f>
        <v>7.267682408</v>
      </c>
    </row>
    <row r="483" ht="15.75" hidden="1" customHeight="1">
      <c r="A483" s="15" t="s">
        <v>51</v>
      </c>
      <c r="B483" s="8"/>
      <c r="C483" s="8"/>
      <c r="D483" s="9"/>
      <c r="E483" s="19"/>
    </row>
    <row r="484" ht="15.75" hidden="1" customHeight="1">
      <c r="A484" s="15" t="s">
        <v>51</v>
      </c>
      <c r="B484" s="11" t="s">
        <v>83</v>
      </c>
      <c r="C484" s="12" t="str">
        <f>B484&amp;"_"&amp;A484</f>
        <v>Jesús de Machaca_La Paz</v>
      </c>
      <c r="E484" s="13">
        <v>27.0</v>
      </c>
      <c r="F484" s="14">
        <f t="shared" ref="F484:H484" si="57">SUM(F485:F492)</f>
        <v>16.12469608</v>
      </c>
      <c r="G484" s="14">
        <f t="shared" si="57"/>
        <v>10.00012789</v>
      </c>
      <c r="H484" s="14">
        <f t="shared" si="57"/>
        <v>0.8737122025</v>
      </c>
    </row>
    <row r="485" ht="15.75" hidden="1" customHeight="1">
      <c r="A485" s="15" t="s">
        <v>51</v>
      </c>
      <c r="B485" s="11" t="s">
        <v>83</v>
      </c>
      <c r="C485" s="15"/>
      <c r="D485" s="16" t="s">
        <v>11</v>
      </c>
      <c r="E485" s="17">
        <v>9.0</v>
      </c>
      <c r="F485" s="18">
        <f>E485* 0.178797409805735</f>
        <v>1.609176688</v>
      </c>
      <c r="G485" s="18">
        <f>E485* 0.819278445883441</f>
        <v>7.373506013</v>
      </c>
      <c r="H485" s="18">
        <f>E485* 0.00181313598519889</f>
        <v>0.01631822387</v>
      </c>
    </row>
    <row r="486" ht="15.75" hidden="1" customHeight="1">
      <c r="A486" s="15" t="s">
        <v>51</v>
      </c>
      <c r="B486" s="11" t="s">
        <v>83</v>
      </c>
      <c r="C486" s="15"/>
      <c r="D486" s="16" t="s">
        <v>17</v>
      </c>
      <c r="E486" s="17">
        <v>2.0</v>
      </c>
      <c r="F486" s="18">
        <f>E486* 0.916446662218225</f>
        <v>1.832893324</v>
      </c>
      <c r="G486" s="18">
        <f>E486* 0.0292436682236212</f>
        <v>0.05848733645</v>
      </c>
      <c r="H486" s="18">
        <f>E486* 0.0543096695581537</f>
        <v>0.1086193391</v>
      </c>
    </row>
    <row r="487" ht="15.75" hidden="1" customHeight="1">
      <c r="A487" s="15" t="s">
        <v>51</v>
      </c>
      <c r="B487" s="11" t="s">
        <v>83</v>
      </c>
      <c r="C487" s="15"/>
      <c r="D487" s="16" t="s">
        <v>18</v>
      </c>
      <c r="E487" s="17">
        <v>1.0</v>
      </c>
      <c r="F487" s="18">
        <f>E487* 0.983388008654987</f>
        <v>0.9833880087</v>
      </c>
      <c r="G487" s="18">
        <f>E487* 0.0133314720457877</f>
        <v>0.01333147205</v>
      </c>
      <c r="H487" s="18">
        <f>E487* 0.003210721016263</f>
        <v>0.003210721016</v>
      </c>
    </row>
    <row r="488" ht="15.75" hidden="1" customHeight="1">
      <c r="A488" s="15" t="s">
        <v>51</v>
      </c>
      <c r="B488" s="11" t="s">
        <v>83</v>
      </c>
      <c r="C488" s="15"/>
      <c r="D488" s="16" t="s">
        <v>20</v>
      </c>
      <c r="E488" s="17">
        <v>5.0</v>
      </c>
      <c r="F488" s="18">
        <f>E488* 0.814615536880747</f>
        <v>4.073077684</v>
      </c>
      <c r="G488" s="18">
        <f>E488* 0.0763167839340663</f>
        <v>0.3815839197</v>
      </c>
      <c r="H488" s="18">
        <f>E488* 0.109013694193014</f>
        <v>0.545068471</v>
      </c>
    </row>
    <row r="489" ht="15.75" hidden="1" customHeight="1">
      <c r="A489" s="15" t="s">
        <v>51</v>
      </c>
      <c r="B489" s="11" t="s">
        <v>83</v>
      </c>
      <c r="C489" s="15"/>
      <c r="D489" s="16" t="s">
        <v>21</v>
      </c>
      <c r="E489" s="17">
        <v>3.0</v>
      </c>
      <c r="F489" s="18">
        <f>E489* 0.999722052365334</f>
        <v>2.999166157</v>
      </c>
      <c r="G489" s="18">
        <v>0.0</v>
      </c>
      <c r="H489" s="18">
        <f>E489* 0.000277947634665629</f>
        <v>0.000833842904</v>
      </c>
    </row>
    <row r="490" ht="15.75" hidden="1" customHeight="1">
      <c r="A490" s="15" t="s">
        <v>51</v>
      </c>
      <c r="B490" s="11" t="s">
        <v>83</v>
      </c>
      <c r="C490" s="15"/>
      <c r="D490" s="16" t="s">
        <v>36</v>
      </c>
      <c r="E490" s="17">
        <v>0.0</v>
      </c>
      <c r="F490" s="18">
        <f>E490* 0.999132697311362</f>
        <v>0</v>
      </c>
      <c r="G490" s="20">
        <v>0.0</v>
      </c>
      <c r="H490" s="18">
        <f>E490* 0.000867302688638335</f>
        <v>0</v>
      </c>
    </row>
    <row r="491" ht="15.75" hidden="1" customHeight="1">
      <c r="A491" s="15" t="s">
        <v>51</v>
      </c>
      <c r="B491" s="11" t="s">
        <v>83</v>
      </c>
      <c r="C491" s="15"/>
      <c r="D491" s="16" t="s">
        <v>28</v>
      </c>
      <c r="E491" s="17">
        <v>2.0</v>
      </c>
      <c r="F491" s="18">
        <f>E491* 0.00115651503469545</f>
        <v>0.002313030069</v>
      </c>
      <c r="G491" s="18">
        <f>E491* 0.998843484965305</f>
        <v>1.99768697</v>
      </c>
      <c r="H491" s="20">
        <v>0.0</v>
      </c>
    </row>
    <row r="492" ht="15.75" hidden="1" customHeight="1">
      <c r="A492" s="15" t="s">
        <v>51</v>
      </c>
      <c r="B492" s="11" t="s">
        <v>83</v>
      </c>
      <c r="C492" s="15"/>
      <c r="D492" s="16" t="s">
        <v>12</v>
      </c>
      <c r="E492" s="17">
        <v>5.0</v>
      </c>
      <c r="F492" s="18">
        <f>E492* 0.924936238310357</f>
        <v>4.624681192</v>
      </c>
      <c r="G492" s="18">
        <f>E492* 0.0351064361799663</f>
        <v>0.1755321809</v>
      </c>
      <c r="H492" s="18">
        <f>E492* 0.039932320925503</f>
        <v>0.1996616046</v>
      </c>
    </row>
    <row r="493" ht="15.75" hidden="1" customHeight="1">
      <c r="A493" s="15" t="s">
        <v>51</v>
      </c>
      <c r="B493" s="8"/>
      <c r="C493" s="8"/>
      <c r="D493" s="9"/>
      <c r="E493" s="19"/>
    </row>
    <row r="494" ht="15.75" hidden="1" customHeight="1">
      <c r="A494" s="15" t="s">
        <v>51</v>
      </c>
      <c r="B494" s="11" t="s">
        <v>51</v>
      </c>
      <c r="C494" s="12" t="str">
        <f>B494&amp;"_"&amp;A494</f>
        <v>La Paz_La Paz</v>
      </c>
      <c r="E494" s="22">
        <v>261003.0</v>
      </c>
      <c r="F494" s="14">
        <f t="shared" ref="F494:H494" si="58">SUM(F495:F509)</f>
        <v>230376.1902</v>
      </c>
      <c r="G494" s="14">
        <f t="shared" si="58"/>
        <v>21699.41159</v>
      </c>
      <c r="H494" s="14">
        <f t="shared" si="58"/>
        <v>8913.487949</v>
      </c>
    </row>
    <row r="495" ht="15.75" hidden="1" customHeight="1">
      <c r="A495" s="15" t="s">
        <v>51</v>
      </c>
      <c r="B495" s="11" t="s">
        <v>51</v>
      </c>
      <c r="C495" s="15"/>
      <c r="D495" s="16" t="s">
        <v>15</v>
      </c>
      <c r="E495" s="23">
        <v>62156.0</v>
      </c>
      <c r="F495" s="18">
        <f>E495* 0.981163265034061</f>
        <v>60985.1839</v>
      </c>
      <c r="G495" s="18">
        <f>E495* 0.0027595216829083</f>
        <v>171.5208297</v>
      </c>
      <c r="H495" s="18">
        <f>E495* 0.0160372202151627</f>
        <v>996.8094597</v>
      </c>
    </row>
    <row r="496" ht="15.75" hidden="1" customHeight="1">
      <c r="A496" s="15" t="s">
        <v>51</v>
      </c>
      <c r="B496" s="11" t="s">
        <v>51</v>
      </c>
      <c r="C496" s="15"/>
      <c r="D496" s="16" t="s">
        <v>16</v>
      </c>
      <c r="E496" s="23">
        <v>1830.0</v>
      </c>
      <c r="F496" s="18">
        <f>E496* 0.142974979378609</f>
        <v>261.6442123</v>
      </c>
      <c r="G496" s="18">
        <f>E496* 0.852350838603245</f>
        <v>1559.802035</v>
      </c>
      <c r="H496" s="18">
        <f>E496* 0.00467418201814682</f>
        <v>8.553753093</v>
      </c>
    </row>
    <row r="497" ht="15.75" hidden="1" customHeight="1">
      <c r="A497" s="15" t="s">
        <v>51</v>
      </c>
      <c r="B497" s="11" t="s">
        <v>51</v>
      </c>
      <c r="C497" s="15"/>
      <c r="D497" s="16" t="s">
        <v>11</v>
      </c>
      <c r="E497" s="23">
        <v>13886.0</v>
      </c>
      <c r="F497" s="18">
        <f>E497* 0.178797409805735</f>
        <v>2482.780833</v>
      </c>
      <c r="G497" s="18">
        <f>E497* 0.819278445883441</f>
        <v>11376.5005</v>
      </c>
      <c r="H497" s="18">
        <f>E497* 0.00181313598519889</f>
        <v>25.17720629</v>
      </c>
    </row>
    <row r="498" ht="15.75" hidden="1" customHeight="1">
      <c r="A498" s="15" t="s">
        <v>51</v>
      </c>
      <c r="B498" s="11" t="s">
        <v>51</v>
      </c>
      <c r="C498" s="15"/>
      <c r="D498" s="16" t="s">
        <v>17</v>
      </c>
      <c r="E498" s="23">
        <v>25632.0</v>
      </c>
      <c r="F498" s="18">
        <f>E498* 0.916446662218225</f>
        <v>23490.36085</v>
      </c>
      <c r="G498" s="18">
        <f>E498* 0.0292436682236212</f>
        <v>749.5737039</v>
      </c>
      <c r="H498" s="18">
        <f>E498* 0.0543096695581537</f>
        <v>1392.06545</v>
      </c>
    </row>
    <row r="499" ht="15.75" hidden="1" customHeight="1">
      <c r="A499" s="15" t="s">
        <v>51</v>
      </c>
      <c r="B499" s="11" t="s">
        <v>51</v>
      </c>
      <c r="C499" s="15"/>
      <c r="D499" s="16" t="s">
        <v>31</v>
      </c>
      <c r="E499" s="23">
        <v>3582.0</v>
      </c>
      <c r="F499" s="18">
        <f>E499* 0.957442434210526</f>
        <v>3429.558799</v>
      </c>
      <c r="G499" s="18">
        <f>E499* 0.0158305921052632</f>
        <v>56.70518092</v>
      </c>
      <c r="H499" s="18">
        <f>E499* 0.0263157894736842</f>
        <v>94.26315789</v>
      </c>
    </row>
    <row r="500" ht="15.75" hidden="1" customHeight="1">
      <c r="A500" s="15" t="s">
        <v>51</v>
      </c>
      <c r="B500" s="11" t="s">
        <v>51</v>
      </c>
      <c r="C500" s="15"/>
      <c r="D500" s="16" t="s">
        <v>18</v>
      </c>
      <c r="E500" s="23">
        <v>12162.0</v>
      </c>
      <c r="F500" s="18">
        <f>E500* 0.983388008654987</f>
        <v>11959.96496</v>
      </c>
      <c r="G500" s="18">
        <f>E500* 0.0133314720457877</f>
        <v>162.137363</v>
      </c>
      <c r="H500" s="18">
        <f>E500* 0.003210721016263</f>
        <v>39.048789</v>
      </c>
    </row>
    <row r="501" ht="15.75" hidden="1" customHeight="1">
      <c r="A501" s="15" t="s">
        <v>51</v>
      </c>
      <c r="B501" s="11" t="s">
        <v>51</v>
      </c>
      <c r="C501" s="15"/>
      <c r="D501" s="16" t="s">
        <v>55</v>
      </c>
      <c r="E501" s="17">
        <v>0.0</v>
      </c>
      <c r="F501" s="20">
        <v>0.0</v>
      </c>
      <c r="G501" s="20">
        <f>E501</f>
        <v>0</v>
      </c>
      <c r="H501" s="20">
        <v>0.0</v>
      </c>
    </row>
    <row r="502" ht="15.75" hidden="1" customHeight="1">
      <c r="A502" s="15" t="s">
        <v>51</v>
      </c>
      <c r="B502" s="11" t="s">
        <v>51</v>
      </c>
      <c r="C502" s="15"/>
      <c r="D502" s="16" t="s">
        <v>19</v>
      </c>
      <c r="E502" s="23">
        <v>2048.0</v>
      </c>
      <c r="F502" s="18">
        <f>E502* 0.511826182618262</f>
        <v>1048.220022</v>
      </c>
      <c r="G502" s="18">
        <f>E502* 0.476622662266227</f>
        <v>976.1232123</v>
      </c>
      <c r="H502" s="18">
        <f>E502* 0.0115511551155116</f>
        <v>23.65676568</v>
      </c>
    </row>
    <row r="503" ht="15.75" hidden="1" customHeight="1">
      <c r="A503" s="15" t="s">
        <v>51</v>
      </c>
      <c r="B503" s="11" t="s">
        <v>51</v>
      </c>
      <c r="C503" s="15"/>
      <c r="D503" s="16" t="s">
        <v>20</v>
      </c>
      <c r="E503" s="23">
        <v>27993.0</v>
      </c>
      <c r="F503" s="18">
        <f>E503* 0.814615536880747</f>
        <v>22803.53272</v>
      </c>
      <c r="G503" s="18">
        <f>E503* 0.0763167839340663</f>
        <v>2136.335733</v>
      </c>
      <c r="H503" s="18">
        <f>E503* 0.109013694193014</f>
        <v>3051.620342</v>
      </c>
    </row>
    <row r="504" ht="15.75" hidden="1" customHeight="1">
      <c r="A504" s="15" t="s">
        <v>51</v>
      </c>
      <c r="B504" s="11" t="s">
        <v>51</v>
      </c>
      <c r="C504" s="15"/>
      <c r="D504" s="16" t="s">
        <v>21</v>
      </c>
      <c r="E504" s="23">
        <v>27014.0</v>
      </c>
      <c r="F504" s="18">
        <f>E504* 0.999722052365334</f>
        <v>27006.49152</v>
      </c>
      <c r="G504" s="18">
        <v>0.0</v>
      </c>
      <c r="H504" s="18">
        <f>E504* 0.000277947634665629</f>
        <v>7.508477403</v>
      </c>
    </row>
    <row r="505" ht="15.75" hidden="1" customHeight="1">
      <c r="A505" s="15" t="s">
        <v>51</v>
      </c>
      <c r="B505" s="11" t="s">
        <v>51</v>
      </c>
      <c r="C505" s="15"/>
      <c r="D505" s="16" t="s">
        <v>36</v>
      </c>
      <c r="E505" s="23">
        <v>1076.0</v>
      </c>
      <c r="F505" s="18">
        <f>E505* 0.999132697311362</f>
        <v>1075.066782</v>
      </c>
      <c r="G505" s="20">
        <v>0.0</v>
      </c>
      <c r="H505" s="18">
        <f>E505* 0.000867302688638335</f>
        <v>0.933217693</v>
      </c>
    </row>
    <row r="506" ht="15.75" hidden="1" customHeight="1">
      <c r="A506" s="15" t="s">
        <v>51</v>
      </c>
      <c r="B506" s="11" t="s">
        <v>51</v>
      </c>
      <c r="C506" s="15"/>
      <c r="D506" s="16" t="s">
        <v>37</v>
      </c>
      <c r="E506" s="17">
        <v>11.0</v>
      </c>
      <c r="F506" s="18">
        <f>E506* 0.0555555555555556</f>
        <v>0.6111111111</v>
      </c>
      <c r="G506" s="18">
        <f>E506* 0.944444444444444</f>
        <v>10.38888889</v>
      </c>
      <c r="H506" s="20">
        <v>0.0</v>
      </c>
    </row>
    <row r="507" ht="15.75" hidden="1" customHeight="1">
      <c r="A507" s="15" t="s">
        <v>51</v>
      </c>
      <c r="B507" s="11" t="s">
        <v>51</v>
      </c>
      <c r="C507" s="15"/>
      <c r="D507" s="16" t="s">
        <v>28</v>
      </c>
      <c r="E507" s="23">
        <v>1623.0</v>
      </c>
      <c r="F507" s="18">
        <f>E507* 0.00115651503469545</f>
        <v>1.877023901</v>
      </c>
      <c r="G507" s="18">
        <f>E507* 0.998843484965305</f>
        <v>1621.122976</v>
      </c>
      <c r="H507" s="20">
        <v>0.0</v>
      </c>
    </row>
    <row r="508" ht="15.75" hidden="1" customHeight="1">
      <c r="A508" s="15" t="s">
        <v>51</v>
      </c>
      <c r="B508" s="11" t="s">
        <v>51</v>
      </c>
      <c r="C508" s="15"/>
      <c r="D508" s="16" t="s">
        <v>84</v>
      </c>
      <c r="E508" s="17">
        <v>5.0</v>
      </c>
      <c r="F508" s="20">
        <v>0.0</v>
      </c>
      <c r="G508" s="20">
        <v>1.0</v>
      </c>
      <c r="H508" s="20">
        <v>0.0</v>
      </c>
    </row>
    <row r="509" ht="15.75" hidden="1" customHeight="1">
      <c r="A509" s="15" t="s">
        <v>51</v>
      </c>
      <c r="B509" s="11" t="s">
        <v>51</v>
      </c>
      <c r="C509" s="15"/>
      <c r="D509" s="16" t="s">
        <v>12</v>
      </c>
      <c r="E509" s="23">
        <v>81985.0</v>
      </c>
      <c r="F509" s="18">
        <f>E509* 0.924936238310357</f>
        <v>75830.8975</v>
      </c>
      <c r="G509" s="18">
        <f>E509* 0.0351064361799663</f>
        <v>2878.20117</v>
      </c>
      <c r="H509" s="18">
        <f>E509* 0.039932320925503</f>
        <v>3273.851331</v>
      </c>
    </row>
    <row r="510" ht="15.75" hidden="1" customHeight="1">
      <c r="A510" s="15" t="s">
        <v>51</v>
      </c>
      <c r="B510" s="8"/>
      <c r="C510" s="8"/>
      <c r="D510" s="9"/>
      <c r="E510" s="19"/>
    </row>
    <row r="511" ht="15.75" hidden="1" customHeight="1">
      <c r="A511" s="15" t="s">
        <v>51</v>
      </c>
      <c r="B511" s="11" t="s">
        <v>85</v>
      </c>
      <c r="C511" s="12" t="str">
        <f>B511&amp;"_"&amp;A511</f>
        <v>Laja_La Paz</v>
      </c>
      <c r="E511" s="13">
        <v>19.0</v>
      </c>
      <c r="F511" s="14">
        <f t="shared" ref="F511:H511" si="59">SUM(F512:F522)</f>
        <v>15.47153269</v>
      </c>
      <c r="G511" s="14">
        <f t="shared" si="59"/>
        <v>3.389262482</v>
      </c>
      <c r="H511" s="14">
        <f t="shared" si="59"/>
        <v>0.1387778236</v>
      </c>
    </row>
    <row r="512" ht="15.75" hidden="1" customHeight="1">
      <c r="A512" s="15" t="s">
        <v>51</v>
      </c>
      <c r="B512" s="11" t="s">
        <v>85</v>
      </c>
      <c r="C512" s="15"/>
      <c r="D512" s="16" t="s">
        <v>53</v>
      </c>
      <c r="E512" s="17">
        <v>0.0</v>
      </c>
      <c r="F512" s="20">
        <v>0.0</v>
      </c>
      <c r="G512" s="20">
        <f>E512</f>
        <v>0</v>
      </c>
      <c r="H512" s="20">
        <v>0.0</v>
      </c>
    </row>
    <row r="513" ht="15.75" hidden="1" customHeight="1">
      <c r="A513" s="15" t="s">
        <v>51</v>
      </c>
      <c r="B513" s="11" t="s">
        <v>85</v>
      </c>
      <c r="C513" s="15"/>
      <c r="D513" s="16" t="s">
        <v>15</v>
      </c>
      <c r="E513" s="17">
        <v>1.0</v>
      </c>
      <c r="F513" s="18">
        <f>E513* 0.981163265034061</f>
        <v>0.981163265</v>
      </c>
      <c r="G513" s="18">
        <f>E513* 0.0027595216829083</f>
        <v>0.002759521683</v>
      </c>
      <c r="H513" s="18">
        <f>E513* 0.0160372202151627</f>
        <v>0.01603722022</v>
      </c>
    </row>
    <row r="514" ht="15.75" hidden="1" customHeight="1">
      <c r="A514" s="15" t="s">
        <v>51</v>
      </c>
      <c r="B514" s="11" t="s">
        <v>85</v>
      </c>
      <c r="C514" s="15"/>
      <c r="D514" s="16" t="s">
        <v>16</v>
      </c>
      <c r="E514" s="17">
        <v>1.0</v>
      </c>
      <c r="F514" s="18">
        <f>E514* 0.142974979378609</f>
        <v>0.1429749794</v>
      </c>
      <c r="G514" s="18">
        <f>E514* 0.852350838603245</f>
        <v>0.8523508386</v>
      </c>
      <c r="H514" s="18">
        <f>E514* 0.00467418201814682</f>
        <v>0.004674182018</v>
      </c>
    </row>
    <row r="515" ht="15.75" hidden="1" customHeight="1">
      <c r="A515" s="15" t="s">
        <v>51</v>
      </c>
      <c r="B515" s="11" t="s">
        <v>85</v>
      </c>
      <c r="C515" s="15"/>
      <c r="D515" s="16" t="s">
        <v>11</v>
      </c>
      <c r="E515" s="17">
        <v>3.0</v>
      </c>
      <c r="F515" s="18">
        <f>E515* 0.178797409805735</f>
        <v>0.5363922294</v>
      </c>
      <c r="G515" s="18">
        <f>E515* 0.819278445883441</f>
        <v>2.457835338</v>
      </c>
      <c r="H515" s="18">
        <f>E515* 0.00181313598519889</f>
        <v>0.005439407956</v>
      </c>
    </row>
    <row r="516" ht="15.75" hidden="1" customHeight="1">
      <c r="A516" s="15" t="s">
        <v>51</v>
      </c>
      <c r="B516" s="11" t="s">
        <v>85</v>
      </c>
      <c r="C516" s="15"/>
      <c r="D516" s="16" t="s">
        <v>17</v>
      </c>
      <c r="E516" s="17">
        <v>0.0</v>
      </c>
      <c r="F516" s="18">
        <f>E516* 0.916446662218225</f>
        <v>0</v>
      </c>
      <c r="G516" s="18">
        <f>E516* 0.0292436682236212</f>
        <v>0</v>
      </c>
      <c r="H516" s="18">
        <f>E516* 0.0543096695581537</f>
        <v>0</v>
      </c>
    </row>
    <row r="517" ht="15.75" hidden="1" customHeight="1">
      <c r="A517" s="15" t="s">
        <v>51</v>
      </c>
      <c r="B517" s="11" t="s">
        <v>85</v>
      </c>
      <c r="C517" s="15"/>
      <c r="D517" s="16" t="s">
        <v>31</v>
      </c>
      <c r="E517" s="17">
        <v>0.0</v>
      </c>
      <c r="F517" s="18">
        <f>E517* 0.957442434210526</f>
        <v>0</v>
      </c>
      <c r="G517" s="18">
        <f>E517* 0.0158305921052632</f>
        <v>0</v>
      </c>
      <c r="H517" s="18">
        <f>E517* 0.0263157894736842</f>
        <v>0</v>
      </c>
    </row>
    <row r="518" ht="15.75" hidden="1" customHeight="1">
      <c r="A518" s="15" t="s">
        <v>51</v>
      </c>
      <c r="B518" s="11" t="s">
        <v>85</v>
      </c>
      <c r="C518" s="15"/>
      <c r="D518" s="16" t="s">
        <v>18</v>
      </c>
      <c r="E518" s="17">
        <v>0.0</v>
      </c>
      <c r="F518" s="18">
        <f>E518* 0.983388008654987</f>
        <v>0</v>
      </c>
      <c r="G518" s="18">
        <f>E518* 0.0133314720457877</f>
        <v>0</v>
      </c>
      <c r="H518" s="18">
        <f>E518* 0.003210721016263</f>
        <v>0</v>
      </c>
    </row>
    <row r="519" ht="15.75" hidden="1" customHeight="1">
      <c r="A519" s="15" t="s">
        <v>51</v>
      </c>
      <c r="B519" s="11" t="s">
        <v>85</v>
      </c>
      <c r="C519" s="15"/>
      <c r="D519" s="16" t="s">
        <v>19</v>
      </c>
      <c r="E519" s="17">
        <v>0.0</v>
      </c>
      <c r="F519" s="18">
        <f>E519* 0.511826182618262</f>
        <v>0</v>
      </c>
      <c r="G519" s="18">
        <f>E519* 0.476622662266227</f>
        <v>0</v>
      </c>
      <c r="H519" s="18">
        <f>E519* 0.0115511551155116</f>
        <v>0</v>
      </c>
    </row>
    <row r="520" ht="15.75" hidden="1" customHeight="1">
      <c r="A520" s="15" t="s">
        <v>51</v>
      </c>
      <c r="B520" s="11" t="s">
        <v>85</v>
      </c>
      <c r="C520" s="15"/>
      <c r="D520" s="16" t="s">
        <v>20</v>
      </c>
      <c r="E520" s="17">
        <v>1.0</v>
      </c>
      <c r="F520" s="18">
        <f>E520* 0.814615536880747</f>
        <v>0.8146155369</v>
      </c>
      <c r="G520" s="18">
        <f>E520* 0.0763167839340663</f>
        <v>0.07631678393</v>
      </c>
      <c r="H520" s="18">
        <f>E520* 0.109013694193014</f>
        <v>0.1090136942</v>
      </c>
    </row>
    <row r="521" ht="15.75" hidden="1" customHeight="1">
      <c r="A521" s="15" t="s">
        <v>51</v>
      </c>
      <c r="B521" s="11" t="s">
        <v>85</v>
      </c>
      <c r="C521" s="15"/>
      <c r="D521" s="16" t="s">
        <v>21</v>
      </c>
      <c r="E521" s="17">
        <v>13.0</v>
      </c>
      <c r="F521" s="18">
        <f>E521* 0.999722052365334</f>
        <v>12.99638668</v>
      </c>
      <c r="G521" s="18">
        <v>0.0</v>
      </c>
      <c r="H521" s="18">
        <f>E521* 0.000277947634665629</f>
        <v>0.003613319251</v>
      </c>
    </row>
    <row r="522" ht="15.75" hidden="1" customHeight="1">
      <c r="A522" s="15" t="s">
        <v>51</v>
      </c>
      <c r="B522" s="11" t="s">
        <v>85</v>
      </c>
      <c r="C522" s="15"/>
      <c r="D522" s="16" t="s">
        <v>12</v>
      </c>
      <c r="E522" s="17">
        <v>0.0</v>
      </c>
      <c r="F522" s="18">
        <f>E522* 0.924936238310357</f>
        <v>0</v>
      </c>
      <c r="G522" s="18">
        <f>E522* 0.0351064361799663</f>
        <v>0</v>
      </c>
      <c r="H522" s="18">
        <f>E522* 0.039932320925503</f>
        <v>0</v>
      </c>
    </row>
    <row r="523" ht="15.75" hidden="1" customHeight="1">
      <c r="A523" s="15" t="s">
        <v>51</v>
      </c>
      <c r="B523" s="8"/>
      <c r="C523" s="8"/>
      <c r="D523" s="9"/>
      <c r="E523" s="19"/>
    </row>
    <row r="524" ht="15.75" hidden="1" customHeight="1">
      <c r="A524" s="15" t="s">
        <v>51</v>
      </c>
      <c r="B524" s="11" t="s">
        <v>86</v>
      </c>
      <c r="C524" s="12" t="str">
        <f>B524&amp;"_"&amp;A524</f>
        <v>Luribay_La Paz</v>
      </c>
      <c r="E524" s="13">
        <v>37.0</v>
      </c>
      <c r="F524" s="14">
        <f t="shared" ref="F524:H524" si="60">SUM(F525:F534)</f>
        <v>23.16823803</v>
      </c>
      <c r="G524" s="14">
        <f t="shared" si="60"/>
        <v>13.28042283</v>
      </c>
      <c r="H524" s="14">
        <f t="shared" si="60"/>
        <v>0.5496896509</v>
      </c>
    </row>
    <row r="525" ht="15.75" hidden="1" customHeight="1">
      <c r="A525" s="15" t="s">
        <v>51</v>
      </c>
      <c r="B525" s="11" t="s">
        <v>86</v>
      </c>
      <c r="C525" s="15"/>
      <c r="D525" s="16" t="s">
        <v>53</v>
      </c>
      <c r="E525" s="17">
        <v>0.0</v>
      </c>
      <c r="F525" s="20">
        <v>0.0</v>
      </c>
      <c r="G525" s="20">
        <f>E525</f>
        <v>0</v>
      </c>
      <c r="H525" s="20">
        <v>0.0</v>
      </c>
    </row>
    <row r="526" ht="15.75" hidden="1" customHeight="1">
      <c r="A526" s="15" t="s">
        <v>51</v>
      </c>
      <c r="B526" s="11" t="s">
        <v>86</v>
      </c>
      <c r="C526" s="15"/>
      <c r="D526" s="16" t="s">
        <v>15</v>
      </c>
      <c r="E526" s="17">
        <v>1.0</v>
      </c>
      <c r="F526" s="18">
        <f>E526* 0.981163265034061</f>
        <v>0.981163265</v>
      </c>
      <c r="G526" s="18">
        <f>E526* 0.0027595216829083</f>
        <v>0.002759521683</v>
      </c>
      <c r="H526" s="18">
        <f>E526* 0.0160372202151627</f>
        <v>0.01603722022</v>
      </c>
    </row>
    <row r="527" ht="15.75" hidden="1" customHeight="1">
      <c r="A527" s="15" t="s">
        <v>51</v>
      </c>
      <c r="B527" s="11" t="s">
        <v>86</v>
      </c>
      <c r="C527" s="15"/>
      <c r="D527" s="16" t="s">
        <v>16</v>
      </c>
      <c r="E527" s="17">
        <v>4.0</v>
      </c>
      <c r="F527" s="18">
        <f>E527* 0.142974979378609</f>
        <v>0.5718999175</v>
      </c>
      <c r="G527" s="18">
        <f>E527* 0.852350838603245</f>
        <v>3.409403354</v>
      </c>
      <c r="H527" s="18">
        <f>E527* 0.00467418201814682</f>
        <v>0.01869672807</v>
      </c>
    </row>
    <row r="528" ht="15.75" hidden="1" customHeight="1">
      <c r="A528" s="15" t="s">
        <v>51</v>
      </c>
      <c r="B528" s="11" t="s">
        <v>86</v>
      </c>
      <c r="C528" s="15"/>
      <c r="D528" s="16" t="s">
        <v>11</v>
      </c>
      <c r="E528" s="17">
        <v>11.0</v>
      </c>
      <c r="F528" s="18">
        <f>E528* 0.178797409805735</f>
        <v>1.966771508</v>
      </c>
      <c r="G528" s="18">
        <f>E528* 0.819278445883441</f>
        <v>9.012062905</v>
      </c>
      <c r="H528" s="18">
        <f>E528* 0.00181313598519889</f>
        <v>0.01994449584</v>
      </c>
    </row>
    <row r="529" ht="15.75" hidden="1" customHeight="1">
      <c r="A529" s="15" t="s">
        <v>51</v>
      </c>
      <c r="B529" s="11" t="s">
        <v>86</v>
      </c>
      <c r="C529" s="15"/>
      <c r="D529" s="16" t="s">
        <v>17</v>
      </c>
      <c r="E529" s="17">
        <v>3.0</v>
      </c>
      <c r="F529" s="18">
        <f>E529* 0.916446662218225</f>
        <v>2.749339987</v>
      </c>
      <c r="G529" s="18">
        <f>E529* 0.0292436682236212</f>
        <v>0.08773100467</v>
      </c>
      <c r="H529" s="18">
        <f>E529* 0.0543096695581537</f>
        <v>0.1629290087</v>
      </c>
    </row>
    <row r="530" ht="15.75" hidden="1" customHeight="1">
      <c r="A530" s="15" t="s">
        <v>51</v>
      </c>
      <c r="B530" s="11" t="s">
        <v>86</v>
      </c>
      <c r="C530" s="15"/>
      <c r="D530" s="16" t="s">
        <v>18</v>
      </c>
      <c r="E530" s="17">
        <v>3.0</v>
      </c>
      <c r="F530" s="18">
        <f>E530* 0.983388008654987</f>
        <v>2.950164026</v>
      </c>
      <c r="G530" s="18">
        <f>E530* 0.0133314720457877</f>
        <v>0.03999441614</v>
      </c>
      <c r="H530" s="18">
        <f>E530* 0.003210721016263</f>
        <v>0.009632163049</v>
      </c>
    </row>
    <row r="531" ht="15.75" hidden="1" customHeight="1">
      <c r="A531" s="15" t="s">
        <v>51</v>
      </c>
      <c r="B531" s="11" t="s">
        <v>86</v>
      </c>
      <c r="C531" s="15"/>
      <c r="D531" s="16" t="s">
        <v>19</v>
      </c>
      <c r="E531" s="17">
        <v>1.0</v>
      </c>
      <c r="F531" s="18">
        <f>E531* 0.511826182618262</f>
        <v>0.5118261826</v>
      </c>
      <c r="G531" s="18">
        <f>E531* 0.476622662266227</f>
        <v>0.4766226623</v>
      </c>
      <c r="H531" s="18">
        <f>E531* 0.0115511551155116</f>
        <v>0.01155115512</v>
      </c>
    </row>
    <row r="532" ht="15.75" hidden="1" customHeight="1">
      <c r="A532" s="15" t="s">
        <v>51</v>
      </c>
      <c r="B532" s="11" t="s">
        <v>86</v>
      </c>
      <c r="C532" s="15"/>
      <c r="D532" s="16" t="s">
        <v>20</v>
      </c>
      <c r="E532" s="17">
        <v>1.0</v>
      </c>
      <c r="F532" s="18">
        <f>E532* 0.814615536880747</f>
        <v>0.8146155369</v>
      </c>
      <c r="G532" s="18">
        <f>E532* 0.0763167839340663</f>
        <v>0.07631678393</v>
      </c>
      <c r="H532" s="18">
        <f>E532* 0.109013694193014</f>
        <v>0.1090136942</v>
      </c>
    </row>
    <row r="533" ht="15.75" hidden="1" customHeight="1">
      <c r="A533" s="15" t="s">
        <v>51</v>
      </c>
      <c r="B533" s="11" t="s">
        <v>86</v>
      </c>
      <c r="C533" s="15"/>
      <c r="D533" s="16" t="s">
        <v>21</v>
      </c>
      <c r="E533" s="17">
        <v>8.0</v>
      </c>
      <c r="F533" s="18">
        <f>E533* 0.999722052365334</f>
        <v>7.997776419</v>
      </c>
      <c r="G533" s="18">
        <v>0.0</v>
      </c>
      <c r="H533" s="18">
        <f>E533* 0.000277947634665629</f>
        <v>0.002223581077</v>
      </c>
    </row>
    <row r="534" ht="15.75" hidden="1" customHeight="1">
      <c r="A534" s="15" t="s">
        <v>51</v>
      </c>
      <c r="B534" s="11" t="s">
        <v>86</v>
      </c>
      <c r="C534" s="15"/>
      <c r="D534" s="16" t="s">
        <v>12</v>
      </c>
      <c r="E534" s="17">
        <v>5.0</v>
      </c>
      <c r="F534" s="18">
        <f>E534* 0.924936238310357</f>
        <v>4.624681192</v>
      </c>
      <c r="G534" s="18">
        <f>E534* 0.0351064361799663</f>
        <v>0.1755321809</v>
      </c>
      <c r="H534" s="18">
        <f>E534* 0.039932320925503</f>
        <v>0.1996616046</v>
      </c>
    </row>
    <row r="535" ht="15.75" hidden="1" customHeight="1">
      <c r="A535" s="15" t="s">
        <v>51</v>
      </c>
      <c r="B535" s="8"/>
      <c r="C535" s="8"/>
      <c r="D535" s="9"/>
      <c r="E535" s="19"/>
    </row>
    <row r="536" ht="15.75" hidden="1" customHeight="1">
      <c r="A536" s="15" t="s">
        <v>51</v>
      </c>
      <c r="B536" s="11" t="s">
        <v>87</v>
      </c>
      <c r="C536" s="12" t="str">
        <f>B536&amp;"_"&amp;A536</f>
        <v>Mecapaca_La Paz</v>
      </c>
      <c r="E536" s="13">
        <v>110.0</v>
      </c>
      <c r="F536" s="14">
        <f t="shared" ref="F536:H536" si="61">SUM(F537:F548)</f>
        <v>94.51873637</v>
      </c>
      <c r="G536" s="14">
        <f t="shared" si="61"/>
        <v>11.67684305</v>
      </c>
      <c r="H536" s="14">
        <f t="shared" si="61"/>
        <v>3.800846603</v>
      </c>
    </row>
    <row r="537" ht="15.75" hidden="1" customHeight="1">
      <c r="A537" s="15" t="s">
        <v>51</v>
      </c>
      <c r="B537" s="11" t="s">
        <v>87</v>
      </c>
      <c r="C537" s="15"/>
      <c r="D537" s="16" t="s">
        <v>53</v>
      </c>
      <c r="E537" s="17">
        <v>0.0</v>
      </c>
      <c r="F537" s="20">
        <v>0.0</v>
      </c>
      <c r="G537" s="20">
        <f>E537</f>
        <v>0</v>
      </c>
      <c r="H537" s="20">
        <v>0.0</v>
      </c>
    </row>
    <row r="538" ht="15.75" hidden="1" customHeight="1">
      <c r="A538" s="15" t="s">
        <v>51</v>
      </c>
      <c r="B538" s="11" t="s">
        <v>87</v>
      </c>
      <c r="C538" s="15"/>
      <c r="D538" s="16" t="s">
        <v>15</v>
      </c>
      <c r="E538" s="17">
        <v>14.0</v>
      </c>
      <c r="F538" s="18">
        <f>E538* 0.981163265034061</f>
        <v>13.73628571</v>
      </c>
      <c r="G538" s="18">
        <f>E538* 0.0027595216829083</f>
        <v>0.03863330356</v>
      </c>
      <c r="H538" s="18">
        <f>E538* 0.0160372202151627</f>
        <v>0.224521083</v>
      </c>
    </row>
    <row r="539" ht="15.75" hidden="1" customHeight="1">
      <c r="A539" s="15" t="s">
        <v>51</v>
      </c>
      <c r="B539" s="11" t="s">
        <v>87</v>
      </c>
      <c r="C539" s="15"/>
      <c r="D539" s="16" t="s">
        <v>11</v>
      </c>
      <c r="E539" s="17">
        <v>11.0</v>
      </c>
      <c r="F539" s="18">
        <f>E539* 0.178797409805735</f>
        <v>1.966771508</v>
      </c>
      <c r="G539" s="18">
        <f>E539* 0.819278445883441</f>
        <v>9.012062905</v>
      </c>
      <c r="H539" s="18">
        <f>E539* 0.00181313598519889</f>
        <v>0.01994449584</v>
      </c>
    </row>
    <row r="540" ht="15.75" hidden="1" customHeight="1">
      <c r="A540" s="15" t="s">
        <v>51</v>
      </c>
      <c r="B540" s="11" t="s">
        <v>87</v>
      </c>
      <c r="C540" s="15"/>
      <c r="D540" s="16" t="s">
        <v>17</v>
      </c>
      <c r="E540" s="17">
        <v>18.0</v>
      </c>
      <c r="F540" s="18">
        <f>E540* 0.916446662218225</f>
        <v>16.49603992</v>
      </c>
      <c r="G540" s="18">
        <f>E540* 0.0292436682236212</f>
        <v>0.526386028</v>
      </c>
      <c r="H540" s="18">
        <f>E540* 0.0543096695581537</f>
        <v>0.977574052</v>
      </c>
    </row>
    <row r="541" ht="15.75" hidden="1" customHeight="1">
      <c r="A541" s="15" t="s">
        <v>51</v>
      </c>
      <c r="B541" s="11" t="s">
        <v>87</v>
      </c>
      <c r="C541" s="15"/>
      <c r="D541" s="16" t="s">
        <v>31</v>
      </c>
      <c r="E541" s="17">
        <v>0.0</v>
      </c>
      <c r="F541" s="18">
        <f>E541* 0.957442434210526</f>
        <v>0</v>
      </c>
      <c r="G541" s="18">
        <f>E541* 0.0158305921052632</f>
        <v>0</v>
      </c>
      <c r="H541" s="18">
        <f>E541* 0.0263157894736842</f>
        <v>0</v>
      </c>
    </row>
    <row r="542" ht="15.75" hidden="1" customHeight="1">
      <c r="A542" s="15" t="s">
        <v>51</v>
      </c>
      <c r="B542" s="11" t="s">
        <v>87</v>
      </c>
      <c r="C542" s="15"/>
      <c r="D542" s="16" t="s">
        <v>18</v>
      </c>
      <c r="E542" s="17">
        <v>5.0</v>
      </c>
      <c r="F542" s="18">
        <f>E542* 0.983388008654987</f>
        <v>4.916940043</v>
      </c>
      <c r="G542" s="18">
        <f>E542* 0.0133314720457877</f>
        <v>0.06665736023</v>
      </c>
      <c r="H542" s="18">
        <f>E542* 0.003210721016263</f>
        <v>0.01605360508</v>
      </c>
    </row>
    <row r="543" ht="15.75" hidden="1" customHeight="1">
      <c r="A543" s="15" t="s">
        <v>51</v>
      </c>
      <c r="B543" s="11" t="s">
        <v>87</v>
      </c>
      <c r="C543" s="15"/>
      <c r="D543" s="16" t="s">
        <v>19</v>
      </c>
      <c r="E543" s="17">
        <v>0.0</v>
      </c>
      <c r="F543" s="18">
        <f>E543* 0.511826182618262</f>
        <v>0</v>
      </c>
      <c r="G543" s="18">
        <f>E543* 0.476622662266227</f>
        <v>0</v>
      </c>
      <c r="H543" s="18">
        <f>E543* 0.0115511551155116</f>
        <v>0</v>
      </c>
    </row>
    <row r="544" ht="15.75" hidden="1" customHeight="1">
      <c r="A544" s="15" t="s">
        <v>51</v>
      </c>
      <c r="B544" s="11" t="s">
        <v>87</v>
      </c>
      <c r="C544" s="15"/>
      <c r="D544" s="16" t="s">
        <v>20</v>
      </c>
      <c r="E544" s="17">
        <v>11.0</v>
      </c>
      <c r="F544" s="18">
        <f>E544* 0.814615536880747</f>
        <v>8.960770906</v>
      </c>
      <c r="G544" s="18">
        <f>E544* 0.0763167839340663</f>
        <v>0.8394846233</v>
      </c>
      <c r="H544" s="18">
        <f>E544* 0.109013694193014</f>
        <v>1.199150636</v>
      </c>
    </row>
    <row r="545" ht="15.75" hidden="1" customHeight="1">
      <c r="A545" s="15" t="s">
        <v>51</v>
      </c>
      <c r="B545" s="11" t="s">
        <v>87</v>
      </c>
      <c r="C545" s="15"/>
      <c r="D545" s="16" t="s">
        <v>21</v>
      </c>
      <c r="E545" s="17">
        <v>15.0</v>
      </c>
      <c r="F545" s="18">
        <f>E545* 0.999722052365334</f>
        <v>14.99583079</v>
      </c>
      <c r="G545" s="18">
        <v>0.0</v>
      </c>
      <c r="H545" s="18">
        <f>E545* 0.000277947634665629</f>
        <v>0.00416921452</v>
      </c>
    </row>
    <row r="546" ht="15.75" hidden="1" customHeight="1">
      <c r="A546" s="15" t="s">
        <v>51</v>
      </c>
      <c r="B546" s="11" t="s">
        <v>87</v>
      </c>
      <c r="C546" s="15"/>
      <c r="D546" s="16" t="s">
        <v>36</v>
      </c>
      <c r="E546" s="17">
        <v>2.0</v>
      </c>
      <c r="F546" s="18">
        <f>E546* 0.999132697311362</f>
        <v>1.998265395</v>
      </c>
      <c r="G546" s="20">
        <v>0.0</v>
      </c>
      <c r="H546" s="18">
        <f>E546* 0.000867302688638335</f>
        <v>0.001734605377</v>
      </c>
    </row>
    <row r="547" ht="15.75" hidden="1" customHeight="1">
      <c r="A547" s="15" t="s">
        <v>51</v>
      </c>
      <c r="B547" s="11" t="s">
        <v>87</v>
      </c>
      <c r="C547" s="15"/>
      <c r="D547" s="16" t="s">
        <v>28</v>
      </c>
      <c r="E547" s="17">
        <v>0.0</v>
      </c>
      <c r="F547" s="18">
        <f>E547* 0.00115651503469545</f>
        <v>0</v>
      </c>
      <c r="G547" s="18">
        <f>E547* 0.998843484965305</f>
        <v>0</v>
      </c>
      <c r="H547" s="20">
        <v>0.0</v>
      </c>
    </row>
    <row r="548" ht="15.75" hidden="1" customHeight="1">
      <c r="A548" s="15" t="s">
        <v>51</v>
      </c>
      <c r="B548" s="11" t="s">
        <v>87</v>
      </c>
      <c r="C548" s="15"/>
      <c r="D548" s="16" t="s">
        <v>12</v>
      </c>
      <c r="E548" s="17">
        <v>34.0</v>
      </c>
      <c r="F548" s="18">
        <f>E548* 0.924936238310357</f>
        <v>31.4478321</v>
      </c>
      <c r="G548" s="18">
        <f>E548* 0.0351064361799663</f>
        <v>1.19361883</v>
      </c>
      <c r="H548" s="18">
        <f>E548* 0.039932320925503</f>
        <v>1.357698911</v>
      </c>
    </row>
    <row r="549" ht="15.75" hidden="1" customHeight="1">
      <c r="A549" s="15" t="s">
        <v>51</v>
      </c>
      <c r="B549" s="8"/>
      <c r="C549" s="8"/>
      <c r="D549" s="9"/>
      <c r="E549" s="19"/>
    </row>
    <row r="550" ht="15.75" hidden="1" customHeight="1">
      <c r="A550" s="15" t="s">
        <v>51</v>
      </c>
      <c r="B550" s="11" t="s">
        <v>88</v>
      </c>
      <c r="C550" s="12" t="str">
        <f>B550&amp;"_"&amp;A550</f>
        <v>Moco Moco_La Paz</v>
      </c>
      <c r="E550" s="13">
        <v>2.0</v>
      </c>
      <c r="F550" s="14">
        <f t="shared" ref="F550:H550" si="62">SUM(F551:F552)</f>
        <v>1.095244072</v>
      </c>
      <c r="G550" s="14">
        <f t="shared" si="62"/>
        <v>0.8485221141</v>
      </c>
      <c r="H550" s="14">
        <f t="shared" si="62"/>
        <v>0.05612280554</v>
      </c>
    </row>
    <row r="551" ht="15.75" hidden="1" customHeight="1">
      <c r="A551" s="15" t="s">
        <v>51</v>
      </c>
      <c r="B551" s="11" t="s">
        <v>88</v>
      </c>
      <c r="C551" s="15"/>
      <c r="D551" s="16" t="s">
        <v>11</v>
      </c>
      <c r="E551" s="17">
        <v>1.0</v>
      </c>
      <c r="F551" s="18">
        <f>E551* 0.178797409805735</f>
        <v>0.1787974098</v>
      </c>
      <c r="G551" s="18">
        <f>E551* 0.819278445883441</f>
        <v>0.8192784459</v>
      </c>
      <c r="H551" s="18">
        <f>E551* 0.00181313598519889</f>
        <v>0.001813135985</v>
      </c>
    </row>
    <row r="552" ht="15.75" hidden="1" customHeight="1">
      <c r="A552" s="15" t="s">
        <v>51</v>
      </c>
      <c r="B552" s="11" t="s">
        <v>88</v>
      </c>
      <c r="C552" s="15"/>
      <c r="D552" s="16" t="s">
        <v>17</v>
      </c>
      <c r="E552" s="17">
        <v>1.0</v>
      </c>
      <c r="F552" s="18">
        <f>E552* 0.916446662218225</f>
        <v>0.9164466622</v>
      </c>
      <c r="G552" s="18">
        <f>E552* 0.0292436682236212</f>
        <v>0.02924366822</v>
      </c>
      <c r="H552" s="18">
        <f>E552* 0.0543096695581537</f>
        <v>0.05430966956</v>
      </c>
    </row>
    <row r="553" ht="15.75" hidden="1" customHeight="1">
      <c r="A553" s="15" t="s">
        <v>51</v>
      </c>
      <c r="B553" s="8"/>
      <c r="C553" s="8"/>
      <c r="D553" s="9"/>
      <c r="E553" s="19"/>
    </row>
    <row r="554" ht="15.75" hidden="1" customHeight="1">
      <c r="A554" s="15" t="s">
        <v>51</v>
      </c>
      <c r="B554" s="11" t="s">
        <v>89</v>
      </c>
      <c r="C554" s="12" t="str">
        <f>B554&amp;"_"&amp;A554</f>
        <v>Palca_La Paz</v>
      </c>
      <c r="E554" s="13">
        <v>34.0</v>
      </c>
      <c r="F554" s="14">
        <f t="shared" ref="F554:H554" si="63">SUM(F555:F567)</f>
        <v>25.49116991</v>
      </c>
      <c r="G554" s="14">
        <f t="shared" si="63"/>
        <v>6.421833595</v>
      </c>
      <c r="H554" s="14">
        <f t="shared" si="63"/>
        <v>2.085577667</v>
      </c>
    </row>
    <row r="555" ht="15.75" hidden="1" customHeight="1">
      <c r="A555" s="15" t="s">
        <v>51</v>
      </c>
      <c r="B555" s="11" t="s">
        <v>89</v>
      </c>
      <c r="C555" s="15"/>
      <c r="D555" s="16" t="s">
        <v>53</v>
      </c>
      <c r="E555" s="17">
        <v>0.0</v>
      </c>
      <c r="F555" s="20">
        <v>0.0</v>
      </c>
      <c r="G555" s="20">
        <f>E555</f>
        <v>0</v>
      </c>
      <c r="H555" s="20">
        <v>0.0</v>
      </c>
    </row>
    <row r="556" ht="15.75" hidden="1" customHeight="1">
      <c r="A556" s="15" t="s">
        <v>51</v>
      </c>
      <c r="B556" s="11" t="s">
        <v>89</v>
      </c>
      <c r="C556" s="15"/>
      <c r="D556" s="16" t="s">
        <v>15</v>
      </c>
      <c r="E556" s="17">
        <v>1.0</v>
      </c>
      <c r="F556" s="18">
        <f>E556* 0.981163265034061</f>
        <v>0.981163265</v>
      </c>
      <c r="G556" s="18">
        <f>E556* 0.0027595216829083</f>
        <v>0.002759521683</v>
      </c>
      <c r="H556" s="18">
        <f>E556* 0.0160372202151627</f>
        <v>0.01603722022</v>
      </c>
    </row>
    <row r="557" ht="15.75" hidden="1" customHeight="1">
      <c r="A557" s="15" t="s">
        <v>51</v>
      </c>
      <c r="B557" s="11" t="s">
        <v>89</v>
      </c>
      <c r="C557" s="15"/>
      <c r="D557" s="16" t="s">
        <v>16</v>
      </c>
      <c r="E557" s="17">
        <v>2.0</v>
      </c>
      <c r="F557" s="18">
        <f>E557* 0.142974979378609</f>
        <v>0.2859499588</v>
      </c>
      <c r="G557" s="18">
        <f>E557* 0.852350838603245</f>
        <v>1.704701677</v>
      </c>
      <c r="H557" s="18">
        <f>E557* 0.00467418201814682</f>
        <v>0.009348364036</v>
      </c>
    </row>
    <row r="558" ht="15.75" hidden="1" customHeight="1">
      <c r="A558" s="15" t="s">
        <v>51</v>
      </c>
      <c r="B558" s="11" t="s">
        <v>89</v>
      </c>
      <c r="C558" s="15"/>
      <c r="D558" s="16" t="s">
        <v>11</v>
      </c>
      <c r="E558" s="17">
        <v>4.0</v>
      </c>
      <c r="F558" s="18">
        <f>E558* 0.178797409805735</f>
        <v>0.7151896392</v>
      </c>
      <c r="G558" s="18">
        <f>E558* 0.819278445883441</f>
        <v>3.277113784</v>
      </c>
      <c r="H558" s="18">
        <f>E558* 0.00181313598519889</f>
        <v>0.007252543941</v>
      </c>
    </row>
    <row r="559" ht="15.75" hidden="1" customHeight="1">
      <c r="A559" s="15" t="s">
        <v>51</v>
      </c>
      <c r="B559" s="11" t="s">
        <v>89</v>
      </c>
      <c r="C559" s="15"/>
      <c r="D559" s="16" t="s">
        <v>17</v>
      </c>
      <c r="E559" s="17">
        <v>4.0</v>
      </c>
      <c r="F559" s="18">
        <f>E559* 0.916446662218225</f>
        <v>3.665786649</v>
      </c>
      <c r="G559" s="18">
        <f>E559* 0.0292436682236212</f>
        <v>0.1169746729</v>
      </c>
      <c r="H559" s="18">
        <f>E559* 0.0543096695581537</f>
        <v>0.2172386782</v>
      </c>
    </row>
    <row r="560" ht="15.75" hidden="1" customHeight="1">
      <c r="A560" s="15" t="s">
        <v>51</v>
      </c>
      <c r="B560" s="11" t="s">
        <v>89</v>
      </c>
      <c r="C560" s="15"/>
      <c r="D560" s="16" t="s">
        <v>31</v>
      </c>
      <c r="E560" s="17">
        <v>0.0</v>
      </c>
      <c r="F560" s="18">
        <f>E560* 0.957442434210526</f>
        <v>0</v>
      </c>
      <c r="G560" s="18">
        <f>E560* 0.0158305921052632</f>
        <v>0</v>
      </c>
      <c r="H560" s="18">
        <f>E560* 0.0263157894736842</f>
        <v>0</v>
      </c>
    </row>
    <row r="561" ht="15.75" hidden="1" customHeight="1">
      <c r="A561" s="15" t="s">
        <v>51</v>
      </c>
      <c r="B561" s="11" t="s">
        <v>89</v>
      </c>
      <c r="C561" s="15"/>
      <c r="D561" s="16" t="s">
        <v>18</v>
      </c>
      <c r="E561" s="17">
        <v>0.0</v>
      </c>
      <c r="F561" s="18">
        <f>E561* 0.983388008654987</f>
        <v>0</v>
      </c>
      <c r="G561" s="18">
        <f>E561* 0.0133314720457877</f>
        <v>0</v>
      </c>
      <c r="H561" s="18">
        <f>E561* 0.003210721016263</f>
        <v>0</v>
      </c>
    </row>
    <row r="562" ht="15.75" hidden="1" customHeight="1">
      <c r="A562" s="15" t="s">
        <v>51</v>
      </c>
      <c r="B562" s="11" t="s">
        <v>89</v>
      </c>
      <c r="C562" s="15"/>
      <c r="D562" s="16" t="s">
        <v>19</v>
      </c>
      <c r="E562" s="17">
        <v>0.0</v>
      </c>
      <c r="F562" s="18">
        <f>E562* 0.511826182618262</f>
        <v>0</v>
      </c>
      <c r="G562" s="18">
        <f>E562* 0.476622662266227</f>
        <v>0</v>
      </c>
      <c r="H562" s="18">
        <f>E562* 0.0115511551155116</f>
        <v>0</v>
      </c>
    </row>
    <row r="563" ht="15.75" hidden="1" customHeight="1">
      <c r="A563" s="15" t="s">
        <v>51</v>
      </c>
      <c r="B563" s="11" t="s">
        <v>89</v>
      </c>
      <c r="C563" s="15"/>
      <c r="D563" s="16" t="s">
        <v>20</v>
      </c>
      <c r="E563" s="17">
        <v>15.0</v>
      </c>
      <c r="F563" s="18">
        <f>E563* 0.814615536880747</f>
        <v>12.21923305</v>
      </c>
      <c r="G563" s="18">
        <f>E563* 0.0763167839340663</f>
        <v>1.144751759</v>
      </c>
      <c r="H563" s="18">
        <f>E563* 0.109013694193014</f>
        <v>1.635205413</v>
      </c>
    </row>
    <row r="564" ht="15.75" hidden="1" customHeight="1">
      <c r="A564" s="15" t="s">
        <v>51</v>
      </c>
      <c r="B564" s="11" t="s">
        <v>89</v>
      </c>
      <c r="C564" s="15"/>
      <c r="D564" s="16" t="s">
        <v>21</v>
      </c>
      <c r="E564" s="17">
        <v>3.0</v>
      </c>
      <c r="F564" s="18">
        <f>E564* 0.999722052365334</f>
        <v>2.999166157</v>
      </c>
      <c r="G564" s="18">
        <v>0.0</v>
      </c>
      <c r="H564" s="18">
        <f>E564* 0.000277947634665629</f>
        <v>0.000833842904</v>
      </c>
    </row>
    <row r="565" ht="15.75" hidden="1" customHeight="1">
      <c r="A565" s="15" t="s">
        <v>51</v>
      </c>
      <c r="B565" s="11" t="s">
        <v>89</v>
      </c>
      <c r="C565" s="15"/>
      <c r="D565" s="16" t="s">
        <v>36</v>
      </c>
      <c r="E565" s="17">
        <v>0.0</v>
      </c>
      <c r="F565" s="18">
        <f>E565* 0.999132697311362</f>
        <v>0</v>
      </c>
      <c r="G565" s="20">
        <v>0.0</v>
      </c>
      <c r="H565" s="18">
        <f>E565* 0.000867302688638335</f>
        <v>0</v>
      </c>
    </row>
    <row r="566" ht="15.75" hidden="1" customHeight="1">
      <c r="A566" s="15" t="s">
        <v>51</v>
      </c>
      <c r="B566" s="11" t="s">
        <v>89</v>
      </c>
      <c r="C566" s="15"/>
      <c r="D566" s="16" t="s">
        <v>28</v>
      </c>
      <c r="E566" s="17">
        <v>0.0</v>
      </c>
      <c r="F566" s="18">
        <f>E566* 0.00115651503469545</f>
        <v>0</v>
      </c>
      <c r="G566" s="18">
        <f>E566* 0.998843484965305</f>
        <v>0</v>
      </c>
      <c r="H566" s="20">
        <v>0.0</v>
      </c>
    </row>
    <row r="567" ht="15.75" hidden="1" customHeight="1">
      <c r="A567" s="15" t="s">
        <v>51</v>
      </c>
      <c r="B567" s="11" t="s">
        <v>89</v>
      </c>
      <c r="C567" s="15"/>
      <c r="D567" s="16" t="s">
        <v>12</v>
      </c>
      <c r="E567" s="17">
        <v>5.0</v>
      </c>
      <c r="F567" s="18">
        <f>E567* 0.924936238310357</f>
        <v>4.624681192</v>
      </c>
      <c r="G567" s="18">
        <f>E567* 0.0351064361799663</f>
        <v>0.1755321809</v>
      </c>
      <c r="H567" s="18">
        <f>E567* 0.039932320925503</f>
        <v>0.1996616046</v>
      </c>
    </row>
    <row r="568" ht="15.75" hidden="1" customHeight="1">
      <c r="A568" s="15" t="s">
        <v>51</v>
      </c>
      <c r="B568" s="8"/>
      <c r="C568" s="8"/>
      <c r="D568" s="9"/>
      <c r="E568" s="19"/>
    </row>
    <row r="569" ht="15.75" hidden="1" customHeight="1">
      <c r="A569" s="15" t="s">
        <v>51</v>
      </c>
      <c r="B569" s="11" t="s">
        <v>90</v>
      </c>
      <c r="C569" s="12" t="str">
        <f>B569&amp;"_"&amp;A569</f>
        <v>Palos Blancos_La Paz</v>
      </c>
      <c r="E569" s="13">
        <v>360.0</v>
      </c>
      <c r="F569" s="14">
        <f t="shared" ref="F569:H569" si="64">SUM(F570:F578)</f>
        <v>342.3555485</v>
      </c>
      <c r="G569" s="14">
        <f t="shared" si="64"/>
        <v>10.35975276</v>
      </c>
      <c r="H569" s="14">
        <f t="shared" si="64"/>
        <v>7.279727931</v>
      </c>
    </row>
    <row r="570" ht="15.75" hidden="1" customHeight="1">
      <c r="A570" s="15" t="s">
        <v>51</v>
      </c>
      <c r="B570" s="11" t="s">
        <v>90</v>
      </c>
      <c r="C570" s="15"/>
      <c r="D570" s="16" t="s">
        <v>53</v>
      </c>
      <c r="E570" s="17">
        <v>0.0</v>
      </c>
      <c r="F570" s="20">
        <v>0.0</v>
      </c>
      <c r="G570" s="20">
        <f>E570</f>
        <v>0</v>
      </c>
      <c r="H570" s="20">
        <v>0.0</v>
      </c>
    </row>
    <row r="571" ht="15.75" hidden="1" customHeight="1">
      <c r="A571" s="15" t="s">
        <v>51</v>
      </c>
      <c r="B571" s="11" t="s">
        <v>90</v>
      </c>
      <c r="C571" s="15"/>
      <c r="D571" s="16" t="s">
        <v>15</v>
      </c>
      <c r="E571" s="17">
        <v>1.0</v>
      </c>
      <c r="F571" s="18">
        <f>E571* 0.981163265034061</f>
        <v>0.981163265</v>
      </c>
      <c r="G571" s="18">
        <f>E571* 0.0027595216829083</f>
        <v>0.002759521683</v>
      </c>
      <c r="H571" s="18">
        <f>E571* 0.0160372202151627</f>
        <v>0.01603722022</v>
      </c>
    </row>
    <row r="572" ht="15.75" hidden="1" customHeight="1">
      <c r="A572" s="15" t="s">
        <v>51</v>
      </c>
      <c r="B572" s="11" t="s">
        <v>90</v>
      </c>
      <c r="C572" s="15"/>
      <c r="D572" s="16" t="s">
        <v>11</v>
      </c>
      <c r="E572" s="17">
        <v>5.0</v>
      </c>
      <c r="F572" s="18">
        <f>E572* 0.178797409805735</f>
        <v>0.893987049</v>
      </c>
      <c r="G572" s="18">
        <f>E572* 0.819278445883441</f>
        <v>4.096392229</v>
      </c>
      <c r="H572" s="18">
        <f>E572* 0.00181313598519889</f>
        <v>0.009065679926</v>
      </c>
    </row>
    <row r="573" ht="15.75" hidden="1" customHeight="1">
      <c r="A573" s="15" t="s">
        <v>51</v>
      </c>
      <c r="B573" s="11" t="s">
        <v>90</v>
      </c>
      <c r="C573" s="15"/>
      <c r="D573" s="16" t="s">
        <v>17</v>
      </c>
      <c r="E573" s="17">
        <v>4.0</v>
      </c>
      <c r="F573" s="18">
        <f>E573* 0.916446662218225</f>
        <v>3.665786649</v>
      </c>
      <c r="G573" s="18">
        <f>E573* 0.0292436682236212</f>
        <v>0.1169746729</v>
      </c>
      <c r="H573" s="18">
        <f>E573* 0.0543096695581537</f>
        <v>0.2172386782</v>
      </c>
    </row>
    <row r="574" ht="15.75" hidden="1" customHeight="1">
      <c r="A574" s="15" t="s">
        <v>51</v>
      </c>
      <c r="B574" s="11" t="s">
        <v>90</v>
      </c>
      <c r="C574" s="15"/>
      <c r="D574" s="16" t="s">
        <v>19</v>
      </c>
      <c r="E574" s="17">
        <v>0.0</v>
      </c>
      <c r="F574" s="18">
        <f>E574* 0.511826182618262</f>
        <v>0</v>
      </c>
      <c r="G574" s="18">
        <f>E574* 0.476622662266227</f>
        <v>0</v>
      </c>
      <c r="H574" s="18">
        <f>E574* 0.0115511551155116</f>
        <v>0</v>
      </c>
    </row>
    <row r="575" ht="15.75" hidden="1" customHeight="1">
      <c r="A575" s="15" t="s">
        <v>51</v>
      </c>
      <c r="B575" s="11" t="s">
        <v>90</v>
      </c>
      <c r="C575" s="15"/>
      <c r="D575" s="16" t="s">
        <v>20</v>
      </c>
      <c r="E575" s="17">
        <v>0.0</v>
      </c>
      <c r="F575" s="18">
        <f>E575* 0.814615536880747</f>
        <v>0</v>
      </c>
      <c r="G575" s="18">
        <f>E575* 0.0763167839340663</f>
        <v>0</v>
      </c>
      <c r="H575" s="18">
        <f>E575* 0.109013694193014</f>
        <v>0</v>
      </c>
    </row>
    <row r="576" ht="15.75" hidden="1" customHeight="1">
      <c r="A576" s="15" t="s">
        <v>51</v>
      </c>
      <c r="B576" s="11" t="s">
        <v>90</v>
      </c>
      <c r="C576" s="15"/>
      <c r="D576" s="16" t="s">
        <v>21</v>
      </c>
      <c r="E576" s="17">
        <v>174.0</v>
      </c>
      <c r="F576" s="18">
        <f>E576* 0.999722052365334</f>
        <v>173.9516371</v>
      </c>
      <c r="G576" s="18">
        <v>0.0</v>
      </c>
      <c r="H576" s="18">
        <f>E576* 0.000277947634665629</f>
        <v>0.04836288843</v>
      </c>
    </row>
    <row r="577" ht="15.75" hidden="1" customHeight="1">
      <c r="A577" s="15" t="s">
        <v>51</v>
      </c>
      <c r="B577" s="11" t="s">
        <v>90</v>
      </c>
      <c r="C577" s="15"/>
      <c r="D577" s="16" t="s">
        <v>36</v>
      </c>
      <c r="E577" s="17">
        <v>1.0</v>
      </c>
      <c r="F577" s="18">
        <f>E577* 0.999132697311362</f>
        <v>0.9991326973</v>
      </c>
      <c r="G577" s="20">
        <v>0.0</v>
      </c>
      <c r="H577" s="18">
        <f>E577* 0.000867302688638335</f>
        <v>0.0008673026886</v>
      </c>
    </row>
    <row r="578" ht="15.75" hidden="1" customHeight="1">
      <c r="A578" s="15" t="s">
        <v>51</v>
      </c>
      <c r="B578" s="11" t="s">
        <v>90</v>
      </c>
      <c r="C578" s="15"/>
      <c r="D578" s="16" t="s">
        <v>12</v>
      </c>
      <c r="E578" s="17">
        <v>175.0</v>
      </c>
      <c r="F578" s="18">
        <f>E578* 0.924936238310357</f>
        <v>161.8638417</v>
      </c>
      <c r="G578" s="18">
        <f>E578* 0.0351064361799663</f>
        <v>6.143626331</v>
      </c>
      <c r="H578" s="18">
        <f>E578* 0.039932320925503</f>
        <v>6.988156162</v>
      </c>
    </row>
    <row r="579" ht="15.75" hidden="1" customHeight="1">
      <c r="A579" s="15" t="s">
        <v>51</v>
      </c>
      <c r="B579" s="21"/>
      <c r="C579" s="21"/>
      <c r="D579" s="16"/>
      <c r="E579" s="19"/>
    </row>
    <row r="580" ht="15.75" hidden="1" customHeight="1">
      <c r="A580" s="15" t="s">
        <v>51</v>
      </c>
      <c r="B580" s="11" t="s">
        <v>91</v>
      </c>
      <c r="C580" s="12" t="str">
        <f>B580&amp;"_"&amp;A580</f>
        <v>Patacamaya_La Paz</v>
      </c>
      <c r="E580" s="13">
        <v>462.0</v>
      </c>
      <c r="F580" s="14">
        <f t="shared" ref="F580:H580" si="65">SUM(F581:F593)</f>
        <v>366.0464382</v>
      </c>
      <c r="G580" s="14">
        <f t="shared" si="65"/>
        <v>81.54958277</v>
      </c>
      <c r="H580" s="14">
        <f t="shared" si="65"/>
        <v>14.38822135</v>
      </c>
    </row>
    <row r="581" ht="15.75" hidden="1" customHeight="1">
      <c r="A581" s="15" t="s">
        <v>51</v>
      </c>
      <c r="B581" s="11" t="s">
        <v>91</v>
      </c>
      <c r="C581" s="15"/>
      <c r="D581" s="16" t="s">
        <v>53</v>
      </c>
      <c r="E581" s="17">
        <v>0.0</v>
      </c>
      <c r="F581" s="20">
        <v>0.0</v>
      </c>
      <c r="G581" s="20">
        <f>E581</f>
        <v>0</v>
      </c>
      <c r="H581" s="20">
        <v>0.0</v>
      </c>
    </row>
    <row r="582" ht="15.75" hidden="1" customHeight="1">
      <c r="A582" s="15" t="s">
        <v>51</v>
      </c>
      <c r="B582" s="11" t="s">
        <v>91</v>
      </c>
      <c r="C582" s="15"/>
      <c r="D582" s="16" t="s">
        <v>15</v>
      </c>
      <c r="E582" s="17">
        <v>32.0</v>
      </c>
      <c r="F582" s="18">
        <f>E582* 0.981163265034061</f>
        <v>31.39722448</v>
      </c>
      <c r="G582" s="18">
        <f>E582* 0.0027595216829083</f>
        <v>0.08830469385</v>
      </c>
      <c r="H582" s="18">
        <f>E582* 0.0160372202151627</f>
        <v>0.5131910469</v>
      </c>
    </row>
    <row r="583" ht="15.75" hidden="1" customHeight="1">
      <c r="A583" s="15" t="s">
        <v>51</v>
      </c>
      <c r="B583" s="11" t="s">
        <v>91</v>
      </c>
      <c r="C583" s="15"/>
      <c r="D583" s="16" t="s">
        <v>16</v>
      </c>
      <c r="E583" s="17">
        <v>9.0</v>
      </c>
      <c r="F583" s="18">
        <f>E583* 0.142974979378609</f>
        <v>1.286774814</v>
      </c>
      <c r="G583" s="18">
        <f>E583* 0.852350838603245</f>
        <v>7.671157547</v>
      </c>
      <c r="H583" s="18">
        <f>E583* 0.00467418201814682</f>
        <v>0.04206763816</v>
      </c>
    </row>
    <row r="584" ht="15.75" hidden="1" customHeight="1">
      <c r="A584" s="15" t="s">
        <v>51</v>
      </c>
      <c r="B584" s="11" t="s">
        <v>91</v>
      </c>
      <c r="C584" s="15"/>
      <c r="D584" s="16" t="s">
        <v>11</v>
      </c>
      <c r="E584" s="17">
        <v>62.0</v>
      </c>
      <c r="F584" s="18">
        <f>E584* 0.178797409805735</f>
        <v>11.08543941</v>
      </c>
      <c r="G584" s="18">
        <f>E584* 0.819278445883441</f>
        <v>50.79526364</v>
      </c>
      <c r="H584" s="18">
        <f>E584* 0.00181313598519889</f>
        <v>0.1124144311</v>
      </c>
    </row>
    <row r="585" ht="15.75" hidden="1" customHeight="1">
      <c r="A585" s="15" t="s">
        <v>51</v>
      </c>
      <c r="B585" s="11" t="s">
        <v>91</v>
      </c>
      <c r="C585" s="15"/>
      <c r="D585" s="16" t="s">
        <v>17</v>
      </c>
      <c r="E585" s="17">
        <v>68.0</v>
      </c>
      <c r="F585" s="18">
        <f>E585* 0.916446662218225</f>
        <v>62.31837303</v>
      </c>
      <c r="G585" s="18">
        <f>E585* 0.0292436682236212</f>
        <v>1.988569439</v>
      </c>
      <c r="H585" s="18">
        <f>E585* 0.0543096695581537</f>
        <v>3.69305753</v>
      </c>
    </row>
    <row r="586" ht="15.75" hidden="1" customHeight="1">
      <c r="A586" s="15" t="s">
        <v>51</v>
      </c>
      <c r="B586" s="11" t="s">
        <v>91</v>
      </c>
      <c r="C586" s="15"/>
      <c r="D586" s="16" t="s">
        <v>31</v>
      </c>
      <c r="E586" s="17">
        <v>4.0</v>
      </c>
      <c r="F586" s="18">
        <f>E586* 0.957442434210526</f>
        <v>3.829769737</v>
      </c>
      <c r="G586" s="18">
        <f>E586* 0.0158305921052632</f>
        <v>0.06332236842</v>
      </c>
      <c r="H586" s="18">
        <f>E586* 0.0263157894736842</f>
        <v>0.1052631579</v>
      </c>
    </row>
    <row r="587" ht="15.75" hidden="1" customHeight="1">
      <c r="A587" s="15" t="s">
        <v>51</v>
      </c>
      <c r="B587" s="11" t="s">
        <v>91</v>
      </c>
      <c r="C587" s="15"/>
      <c r="D587" s="16" t="s">
        <v>18</v>
      </c>
      <c r="E587" s="17">
        <v>4.0</v>
      </c>
      <c r="F587" s="18">
        <f>E587* 0.983388008654987</f>
        <v>3.933552035</v>
      </c>
      <c r="G587" s="18">
        <f>E587* 0.0133314720457877</f>
        <v>0.05332588818</v>
      </c>
      <c r="H587" s="18">
        <f>E587* 0.003210721016263</f>
        <v>0.01284288407</v>
      </c>
    </row>
    <row r="588" ht="15.75" hidden="1" customHeight="1">
      <c r="A588" s="15" t="s">
        <v>51</v>
      </c>
      <c r="B588" s="11" t="s">
        <v>91</v>
      </c>
      <c r="C588" s="15"/>
      <c r="D588" s="16" t="s">
        <v>19</v>
      </c>
      <c r="E588" s="17">
        <v>25.0</v>
      </c>
      <c r="F588" s="18">
        <f>E588* 0.511826182618262</f>
        <v>12.79565457</v>
      </c>
      <c r="G588" s="18">
        <f>E588* 0.476622662266227</f>
        <v>11.91556656</v>
      </c>
      <c r="H588" s="18">
        <f>E588* 0.0115511551155116</f>
        <v>0.2887788779</v>
      </c>
    </row>
    <row r="589" ht="15.75" hidden="1" customHeight="1">
      <c r="A589" s="15" t="s">
        <v>51</v>
      </c>
      <c r="B589" s="11" t="s">
        <v>91</v>
      </c>
      <c r="C589" s="15"/>
      <c r="D589" s="16" t="s">
        <v>20</v>
      </c>
      <c r="E589" s="17">
        <v>24.0</v>
      </c>
      <c r="F589" s="18">
        <f>E589* 0.814615536880747</f>
        <v>19.55077289</v>
      </c>
      <c r="G589" s="18">
        <f>E589* 0.0763167839340663</f>
        <v>1.831602814</v>
      </c>
      <c r="H589" s="18">
        <f>E589* 0.109013694193014</f>
        <v>2.616328661</v>
      </c>
    </row>
    <row r="590" ht="15.75" hidden="1" customHeight="1">
      <c r="A590" s="15" t="s">
        <v>51</v>
      </c>
      <c r="B590" s="11" t="s">
        <v>91</v>
      </c>
      <c r="C590" s="15"/>
      <c r="D590" s="16" t="s">
        <v>21</v>
      </c>
      <c r="E590" s="17">
        <v>58.0</v>
      </c>
      <c r="F590" s="18">
        <f>E590* 0.999722052365334</f>
        <v>57.98387904</v>
      </c>
      <c r="G590" s="18">
        <v>0.0</v>
      </c>
      <c r="H590" s="18">
        <f>E590* 0.000277947634665629</f>
        <v>0.01612096281</v>
      </c>
    </row>
    <row r="591" ht="15.75" hidden="1" customHeight="1">
      <c r="A591" s="15" t="s">
        <v>51</v>
      </c>
      <c r="B591" s="11" t="s">
        <v>91</v>
      </c>
      <c r="C591" s="15"/>
      <c r="D591" s="16" t="s">
        <v>36</v>
      </c>
      <c r="E591" s="17">
        <v>0.0</v>
      </c>
      <c r="F591" s="18">
        <f>E591* 0.999132697311362</f>
        <v>0</v>
      </c>
      <c r="G591" s="20">
        <v>0.0</v>
      </c>
      <c r="H591" s="18">
        <f>E591* 0.000867302688638335</f>
        <v>0</v>
      </c>
    </row>
    <row r="592" ht="15.75" hidden="1" customHeight="1">
      <c r="A592" s="15" t="s">
        <v>51</v>
      </c>
      <c r="B592" s="11" t="s">
        <v>91</v>
      </c>
      <c r="C592" s="15"/>
      <c r="D592" s="16" t="s">
        <v>28</v>
      </c>
      <c r="E592" s="17">
        <v>1.0</v>
      </c>
      <c r="F592" s="18">
        <f>E592* 0.00115651503469545</f>
        <v>0.001156515035</v>
      </c>
      <c r="G592" s="18">
        <f>E592* 0.998843484965305</f>
        <v>0.998843485</v>
      </c>
      <c r="H592" s="20">
        <v>0.0</v>
      </c>
    </row>
    <row r="593" ht="15.75" hidden="1" customHeight="1">
      <c r="A593" s="15" t="s">
        <v>51</v>
      </c>
      <c r="B593" s="11" t="s">
        <v>91</v>
      </c>
      <c r="C593" s="15"/>
      <c r="D593" s="16" t="s">
        <v>12</v>
      </c>
      <c r="E593" s="17">
        <v>175.0</v>
      </c>
      <c r="F593" s="18">
        <f>E593* 0.924936238310357</f>
        <v>161.8638417</v>
      </c>
      <c r="G593" s="18">
        <f>E593* 0.0351064361799663</f>
        <v>6.143626331</v>
      </c>
      <c r="H593" s="18">
        <f>E593* 0.039932320925503</f>
        <v>6.988156162</v>
      </c>
    </row>
    <row r="594" ht="15.75" hidden="1" customHeight="1">
      <c r="A594" s="15" t="s">
        <v>51</v>
      </c>
      <c r="B594" s="8"/>
      <c r="C594" s="8"/>
      <c r="D594" s="9"/>
      <c r="E594" s="19"/>
    </row>
    <row r="595" ht="15.75" hidden="1" customHeight="1">
      <c r="A595" s="15" t="s">
        <v>51</v>
      </c>
      <c r="B595" s="11" t="s">
        <v>92</v>
      </c>
      <c r="C595" s="12" t="str">
        <f>B595&amp;"_"&amp;A595</f>
        <v>Pucarani_La Paz</v>
      </c>
      <c r="E595" s="13">
        <v>105.0</v>
      </c>
      <c r="F595" s="14">
        <f t="shared" ref="F595:H595" si="66">SUM(F596:F607)</f>
        <v>98.83921881</v>
      </c>
      <c r="G595" s="14">
        <f t="shared" si="66"/>
        <v>4.354519675</v>
      </c>
      <c r="H595" s="14">
        <f t="shared" si="66"/>
        <v>1.80426963</v>
      </c>
    </row>
    <row r="596" ht="15.75" hidden="1" customHeight="1">
      <c r="A596" s="15" t="s">
        <v>51</v>
      </c>
      <c r="B596" s="11" t="s">
        <v>92</v>
      </c>
      <c r="C596" s="15"/>
      <c r="D596" s="16" t="s">
        <v>53</v>
      </c>
      <c r="E596" s="17">
        <v>0.0</v>
      </c>
      <c r="F596" s="20">
        <v>0.0</v>
      </c>
      <c r="G596" s="20">
        <f>E596</f>
        <v>0</v>
      </c>
      <c r="H596" s="20">
        <v>0.0</v>
      </c>
    </row>
    <row r="597" ht="15.75" hidden="1" customHeight="1">
      <c r="A597" s="15" t="s">
        <v>51</v>
      </c>
      <c r="B597" s="11" t="s">
        <v>92</v>
      </c>
      <c r="C597" s="15"/>
      <c r="D597" s="16" t="s">
        <v>15</v>
      </c>
      <c r="E597" s="17">
        <v>5.0</v>
      </c>
      <c r="F597" s="18">
        <f>E597* 0.981163265034061</f>
        <v>4.905816325</v>
      </c>
      <c r="G597" s="18">
        <f>E597* 0.0027595216829083</f>
        <v>0.01379760841</v>
      </c>
      <c r="H597" s="18">
        <f>E597* 0.0160372202151627</f>
        <v>0.08018610108</v>
      </c>
    </row>
    <row r="598" ht="15.75" hidden="1" customHeight="1">
      <c r="A598" s="15" t="s">
        <v>51</v>
      </c>
      <c r="B598" s="11" t="s">
        <v>92</v>
      </c>
      <c r="C598" s="15"/>
      <c r="D598" s="16" t="s">
        <v>16</v>
      </c>
      <c r="E598" s="17">
        <v>0.0</v>
      </c>
      <c r="F598" s="18">
        <f>E598* 0.142974979378609</f>
        <v>0</v>
      </c>
      <c r="G598" s="18">
        <f>E598* 0.852350838603245</f>
        <v>0</v>
      </c>
      <c r="H598" s="18">
        <f>E598* 0.00467418201814682</f>
        <v>0</v>
      </c>
    </row>
    <row r="599" ht="15.75" hidden="1" customHeight="1">
      <c r="A599" s="15" t="s">
        <v>51</v>
      </c>
      <c r="B599" s="11" t="s">
        <v>92</v>
      </c>
      <c r="C599" s="15"/>
      <c r="D599" s="16" t="s">
        <v>11</v>
      </c>
      <c r="E599" s="17">
        <v>3.0</v>
      </c>
      <c r="F599" s="18">
        <f>E599* 0.178797409805735</f>
        <v>0.5363922294</v>
      </c>
      <c r="G599" s="18">
        <f>E599* 0.819278445883441</f>
        <v>2.457835338</v>
      </c>
      <c r="H599" s="18">
        <f>E599* 0.00181313598519889</f>
        <v>0.005439407956</v>
      </c>
    </row>
    <row r="600" ht="15.75" hidden="1" customHeight="1">
      <c r="A600" s="15" t="s">
        <v>51</v>
      </c>
      <c r="B600" s="11" t="s">
        <v>92</v>
      </c>
      <c r="C600" s="15"/>
      <c r="D600" s="16" t="s">
        <v>17</v>
      </c>
      <c r="E600" s="17">
        <v>3.0</v>
      </c>
      <c r="F600" s="18">
        <f>E600* 0.916446662218225</f>
        <v>2.749339987</v>
      </c>
      <c r="G600" s="18">
        <f>E600* 0.0292436682236212</f>
        <v>0.08773100467</v>
      </c>
      <c r="H600" s="18">
        <f>E600* 0.0543096695581537</f>
        <v>0.1629290087</v>
      </c>
    </row>
    <row r="601" ht="15.75" hidden="1" customHeight="1">
      <c r="A601" s="15" t="s">
        <v>51</v>
      </c>
      <c r="B601" s="11" t="s">
        <v>92</v>
      </c>
      <c r="C601" s="15"/>
      <c r="D601" s="16" t="s">
        <v>31</v>
      </c>
      <c r="E601" s="17">
        <v>1.0</v>
      </c>
      <c r="F601" s="18">
        <f>E601* 0.957442434210526</f>
        <v>0.9574424342</v>
      </c>
      <c r="G601" s="18">
        <f>E601* 0.0158305921052632</f>
        <v>0.01583059211</v>
      </c>
      <c r="H601" s="18">
        <f>E601* 0.0263157894736842</f>
        <v>0.02631578947</v>
      </c>
    </row>
    <row r="602" ht="15.75" hidden="1" customHeight="1">
      <c r="A602" s="15" t="s">
        <v>51</v>
      </c>
      <c r="B602" s="11" t="s">
        <v>92</v>
      </c>
      <c r="C602" s="15"/>
      <c r="D602" s="16" t="s">
        <v>18</v>
      </c>
      <c r="E602" s="17">
        <v>2.0</v>
      </c>
      <c r="F602" s="18">
        <f>E602* 0.983388008654987</f>
        <v>1.966776017</v>
      </c>
      <c r="G602" s="18">
        <f>E602* 0.0133314720457877</f>
        <v>0.02666294409</v>
      </c>
      <c r="H602" s="18">
        <f>E602* 0.003210721016263</f>
        <v>0.006421442033</v>
      </c>
    </row>
    <row r="603" ht="15.75" hidden="1" customHeight="1">
      <c r="A603" s="15" t="s">
        <v>51</v>
      </c>
      <c r="B603" s="11" t="s">
        <v>92</v>
      </c>
      <c r="C603" s="15"/>
      <c r="D603" s="16" t="s">
        <v>19</v>
      </c>
      <c r="E603" s="17">
        <v>1.0</v>
      </c>
      <c r="F603" s="18">
        <f>E603* 0.511826182618262</f>
        <v>0.5118261826</v>
      </c>
      <c r="G603" s="18">
        <f>E603* 0.476622662266227</f>
        <v>0.4766226623</v>
      </c>
      <c r="H603" s="18">
        <f>E603* 0.0115511551155116</f>
        <v>0.01155115512</v>
      </c>
    </row>
    <row r="604" ht="15.75" hidden="1" customHeight="1">
      <c r="A604" s="15" t="s">
        <v>51</v>
      </c>
      <c r="B604" s="11" t="s">
        <v>92</v>
      </c>
      <c r="C604" s="15"/>
      <c r="D604" s="16" t="s">
        <v>20</v>
      </c>
      <c r="E604" s="17">
        <v>2.0</v>
      </c>
      <c r="F604" s="18">
        <f>E604* 0.814615536880747</f>
        <v>1.629231074</v>
      </c>
      <c r="G604" s="18">
        <f>E604* 0.0763167839340663</f>
        <v>0.1526335679</v>
      </c>
      <c r="H604" s="18">
        <f>E604* 0.109013694193014</f>
        <v>0.2180273884</v>
      </c>
    </row>
    <row r="605" ht="15.75" hidden="1" customHeight="1">
      <c r="A605" s="15" t="s">
        <v>51</v>
      </c>
      <c r="B605" s="11" t="s">
        <v>92</v>
      </c>
      <c r="C605" s="15"/>
      <c r="D605" s="16" t="s">
        <v>21</v>
      </c>
      <c r="E605" s="17">
        <v>56.0</v>
      </c>
      <c r="F605" s="18">
        <f>E605* 0.999722052365334</f>
        <v>55.98443493</v>
      </c>
      <c r="G605" s="18">
        <v>0.0</v>
      </c>
      <c r="H605" s="18">
        <f>E605* 0.000277947634665629</f>
        <v>0.01556506754</v>
      </c>
    </row>
    <row r="606" ht="15.75" hidden="1" customHeight="1">
      <c r="A606" s="15" t="s">
        <v>51</v>
      </c>
      <c r="B606" s="11" t="s">
        <v>92</v>
      </c>
      <c r="C606" s="15"/>
      <c r="D606" s="16" t="s">
        <v>36</v>
      </c>
      <c r="E606" s="17">
        <v>0.0</v>
      </c>
      <c r="F606" s="18">
        <f>E606* 0.999132697311362</f>
        <v>0</v>
      </c>
      <c r="G606" s="20">
        <v>0.0</v>
      </c>
      <c r="H606" s="18">
        <f>E606* 0.000867302688638335</f>
        <v>0</v>
      </c>
    </row>
    <row r="607" ht="15.75" hidden="1" customHeight="1">
      <c r="A607" s="15" t="s">
        <v>51</v>
      </c>
      <c r="B607" s="11" t="s">
        <v>92</v>
      </c>
      <c r="C607" s="15"/>
      <c r="D607" s="16" t="s">
        <v>12</v>
      </c>
      <c r="E607" s="17">
        <v>32.0</v>
      </c>
      <c r="F607" s="18">
        <f>E607* 0.924936238310357</f>
        <v>29.59795963</v>
      </c>
      <c r="G607" s="18">
        <f>E607* 0.0351064361799663</f>
        <v>1.123405958</v>
      </c>
      <c r="H607" s="18">
        <f>E607* 0.039932320925503</f>
        <v>1.27783427</v>
      </c>
    </row>
    <row r="608" ht="15.75" hidden="1" customHeight="1">
      <c r="A608" s="15" t="s">
        <v>51</v>
      </c>
      <c r="B608" s="8"/>
      <c r="C608" s="8"/>
      <c r="D608" s="9"/>
      <c r="E608" s="19"/>
    </row>
    <row r="609" ht="15.75" hidden="1" customHeight="1">
      <c r="A609" s="15" t="s">
        <v>51</v>
      </c>
      <c r="B609" s="11" t="s">
        <v>93</v>
      </c>
      <c r="C609" s="12" t="str">
        <f>B609&amp;"_"&amp;A609</f>
        <v>Puerto Acosta_La Paz</v>
      </c>
      <c r="E609" s="13">
        <v>8.0</v>
      </c>
      <c r="F609" s="14">
        <f t="shared" ref="F609:H609" si="67">SUM(F610:F622)</f>
        <v>4.778242386</v>
      </c>
      <c r="G609" s="14">
        <f t="shared" si="67"/>
        <v>2.776433945</v>
      </c>
      <c r="H609" s="14">
        <f t="shared" si="67"/>
        <v>0.4447049057</v>
      </c>
    </row>
    <row r="610" ht="15.75" hidden="1" customHeight="1">
      <c r="A610" s="15" t="s">
        <v>51</v>
      </c>
      <c r="B610" s="11" t="s">
        <v>93</v>
      </c>
      <c r="C610" s="15"/>
      <c r="D610" s="16" t="s">
        <v>53</v>
      </c>
      <c r="E610" s="17">
        <v>0.0</v>
      </c>
      <c r="F610" s="20">
        <v>0.0</v>
      </c>
      <c r="G610" s="20">
        <f>E610</f>
        <v>0</v>
      </c>
      <c r="H610" s="20">
        <v>0.0</v>
      </c>
    </row>
    <row r="611" ht="15.75" hidden="1" customHeight="1">
      <c r="A611" s="15" t="s">
        <v>51</v>
      </c>
      <c r="B611" s="11" t="s">
        <v>93</v>
      </c>
      <c r="C611" s="15"/>
      <c r="D611" s="16" t="s">
        <v>15</v>
      </c>
      <c r="E611" s="17">
        <v>0.0</v>
      </c>
      <c r="F611" s="18">
        <f>E611* 0.981163265034061</f>
        <v>0</v>
      </c>
      <c r="G611" s="18">
        <f>E611* 0.0027595216829083</f>
        <v>0</v>
      </c>
      <c r="H611" s="18">
        <f>E611* 0.0160372202151627</f>
        <v>0</v>
      </c>
    </row>
    <row r="612" ht="15.75" hidden="1" customHeight="1">
      <c r="A612" s="15" t="s">
        <v>51</v>
      </c>
      <c r="B612" s="11" t="s">
        <v>93</v>
      </c>
      <c r="C612" s="15"/>
      <c r="D612" s="16" t="s">
        <v>16</v>
      </c>
      <c r="E612" s="17">
        <v>0.0</v>
      </c>
      <c r="F612" s="18">
        <f>E612* 0.142974979378609</f>
        <v>0</v>
      </c>
      <c r="G612" s="18">
        <f>E612* 0.852350838603245</f>
        <v>0</v>
      </c>
      <c r="H612" s="18">
        <f>E612* 0.00467418201814682</f>
        <v>0</v>
      </c>
    </row>
    <row r="613" ht="15.75" hidden="1" customHeight="1">
      <c r="A613" s="15" t="s">
        <v>51</v>
      </c>
      <c r="B613" s="11" t="s">
        <v>93</v>
      </c>
      <c r="C613" s="15"/>
      <c r="D613" s="16" t="s">
        <v>11</v>
      </c>
      <c r="E613" s="17">
        <v>3.0</v>
      </c>
      <c r="F613" s="18">
        <f>E613* 0.178797409805735</f>
        <v>0.5363922294</v>
      </c>
      <c r="G613" s="18">
        <f>E613* 0.819278445883441</f>
        <v>2.457835338</v>
      </c>
      <c r="H613" s="18">
        <f>E613* 0.00181313598519889</f>
        <v>0.005439407956</v>
      </c>
    </row>
    <row r="614" ht="15.75" hidden="1" customHeight="1">
      <c r="A614" s="15" t="s">
        <v>51</v>
      </c>
      <c r="B614" s="11" t="s">
        <v>93</v>
      </c>
      <c r="C614" s="15"/>
      <c r="D614" s="16" t="s">
        <v>17</v>
      </c>
      <c r="E614" s="17">
        <v>0.0</v>
      </c>
      <c r="F614" s="18">
        <f>E614* 0.916446662218225</f>
        <v>0</v>
      </c>
      <c r="G614" s="18">
        <f>E614* 0.0292436682236212</f>
        <v>0</v>
      </c>
      <c r="H614" s="18">
        <f>E614* 0.0543096695581537</f>
        <v>0</v>
      </c>
    </row>
    <row r="615" ht="15.75" hidden="1" customHeight="1">
      <c r="A615" s="15" t="s">
        <v>51</v>
      </c>
      <c r="B615" s="11" t="s">
        <v>93</v>
      </c>
      <c r="C615" s="15"/>
      <c r="D615" s="16" t="s">
        <v>31</v>
      </c>
      <c r="E615" s="17">
        <v>0.0</v>
      </c>
      <c r="F615" s="18">
        <f>E615* 0.957442434210526</f>
        <v>0</v>
      </c>
      <c r="G615" s="18">
        <f>E615* 0.0158305921052632</f>
        <v>0</v>
      </c>
      <c r="H615" s="18">
        <f>E615* 0.0263157894736842</f>
        <v>0</v>
      </c>
    </row>
    <row r="616" ht="15.75" hidden="1" customHeight="1">
      <c r="A616" s="15" t="s">
        <v>51</v>
      </c>
      <c r="B616" s="11" t="s">
        <v>93</v>
      </c>
      <c r="C616" s="15"/>
      <c r="D616" s="16" t="s">
        <v>18</v>
      </c>
      <c r="E616" s="17">
        <v>1.0</v>
      </c>
      <c r="F616" s="18">
        <f>E616* 0.983388008654987</f>
        <v>0.9833880087</v>
      </c>
      <c r="G616" s="18">
        <f>E616* 0.0133314720457877</f>
        <v>0.01333147205</v>
      </c>
      <c r="H616" s="18">
        <f>E616* 0.003210721016263</f>
        <v>0.003210721016</v>
      </c>
    </row>
    <row r="617" ht="15.75" hidden="1" customHeight="1">
      <c r="A617" s="15" t="s">
        <v>51</v>
      </c>
      <c r="B617" s="11" t="s">
        <v>93</v>
      </c>
      <c r="C617" s="15"/>
      <c r="D617" s="16" t="s">
        <v>19</v>
      </c>
      <c r="E617" s="17">
        <v>0.0</v>
      </c>
      <c r="F617" s="18">
        <f>E617* 0.511826182618262</f>
        <v>0</v>
      </c>
      <c r="G617" s="18">
        <f>E617* 0.476622662266227</f>
        <v>0</v>
      </c>
      <c r="H617" s="18">
        <f>E617* 0.0115511551155116</f>
        <v>0</v>
      </c>
    </row>
    <row r="618" ht="15.75" hidden="1" customHeight="1">
      <c r="A618" s="15" t="s">
        <v>51</v>
      </c>
      <c r="B618" s="11" t="s">
        <v>93</v>
      </c>
      <c r="C618" s="15"/>
      <c r="D618" s="16" t="s">
        <v>20</v>
      </c>
      <c r="E618" s="17">
        <v>4.0</v>
      </c>
      <c r="F618" s="18">
        <f>E618* 0.814615536880747</f>
        <v>3.258462148</v>
      </c>
      <c r="G618" s="18">
        <f>E618* 0.0763167839340663</f>
        <v>0.3052671357</v>
      </c>
      <c r="H618" s="18">
        <f>E618* 0.109013694193014</f>
        <v>0.4360547768</v>
      </c>
    </row>
    <row r="619" ht="15.75" hidden="1" customHeight="1">
      <c r="A619" s="15" t="s">
        <v>51</v>
      </c>
      <c r="B619" s="11" t="s">
        <v>93</v>
      </c>
      <c r="C619" s="15"/>
      <c r="D619" s="16" t="s">
        <v>21</v>
      </c>
      <c r="E619" s="17">
        <v>0.0</v>
      </c>
      <c r="F619" s="18">
        <f>E619* 0.999722052365334</f>
        <v>0</v>
      </c>
      <c r="G619" s="18">
        <v>0.0</v>
      </c>
      <c r="H619" s="18">
        <f>E619* 0.000277947634665629</f>
        <v>0</v>
      </c>
    </row>
    <row r="620" ht="15.75" hidden="1" customHeight="1">
      <c r="A620" s="15" t="s">
        <v>51</v>
      </c>
      <c r="B620" s="11" t="s">
        <v>93</v>
      </c>
      <c r="C620" s="15"/>
      <c r="D620" s="16" t="s">
        <v>36</v>
      </c>
      <c r="E620" s="17">
        <v>0.0</v>
      </c>
      <c r="F620" s="18">
        <f>E620* 0.999132697311362</f>
        <v>0</v>
      </c>
      <c r="G620" s="20">
        <v>0.0</v>
      </c>
      <c r="H620" s="18">
        <f>E620* 0.000867302688638335</f>
        <v>0</v>
      </c>
    </row>
    <row r="621" ht="15.75" hidden="1" customHeight="1">
      <c r="A621" s="15" t="s">
        <v>51</v>
      </c>
      <c r="B621" s="11" t="s">
        <v>93</v>
      </c>
      <c r="C621" s="15"/>
      <c r="D621" s="16" t="s">
        <v>28</v>
      </c>
      <c r="E621" s="17">
        <v>0.0</v>
      </c>
      <c r="F621" s="18">
        <f>E621* 0.00115651503469545</f>
        <v>0</v>
      </c>
      <c r="G621" s="18">
        <f>E621* 0.998843484965305</f>
        <v>0</v>
      </c>
      <c r="H621" s="20">
        <v>0.0</v>
      </c>
    </row>
    <row r="622" ht="15.75" hidden="1" customHeight="1">
      <c r="A622" s="15" t="s">
        <v>51</v>
      </c>
      <c r="B622" s="11" t="s">
        <v>93</v>
      </c>
      <c r="C622" s="15"/>
      <c r="D622" s="16" t="s">
        <v>12</v>
      </c>
      <c r="E622" s="17">
        <v>0.0</v>
      </c>
      <c r="F622" s="18">
        <f>E622* 0.924936238310357</f>
        <v>0</v>
      </c>
      <c r="G622" s="18">
        <f>E622* 0.0351064361799663</f>
        <v>0</v>
      </c>
      <c r="H622" s="18">
        <f>E622* 0.039932320925503</f>
        <v>0</v>
      </c>
    </row>
    <row r="623" ht="15.75" hidden="1" customHeight="1">
      <c r="A623" s="15" t="s">
        <v>51</v>
      </c>
      <c r="B623" s="8"/>
      <c r="C623" s="8"/>
      <c r="D623" s="9"/>
      <c r="E623" s="19"/>
    </row>
    <row r="624" ht="15.75" hidden="1" customHeight="1">
      <c r="A624" s="15" t="s">
        <v>51</v>
      </c>
      <c r="B624" s="11" t="s">
        <v>94</v>
      </c>
      <c r="C624" s="12" t="str">
        <f>B624&amp;"_"&amp;A624</f>
        <v>Puerto Mayor Carabuco Ch._La Paz</v>
      </c>
      <c r="E624" s="13">
        <v>0.0</v>
      </c>
      <c r="F624" s="14">
        <f t="shared" ref="F624:H624" si="68">SUM(F625)</f>
        <v>0</v>
      </c>
      <c r="G624" s="14">
        <f t="shared" si="68"/>
        <v>0</v>
      </c>
      <c r="H624" s="14">
        <f t="shared" si="68"/>
        <v>0</v>
      </c>
    </row>
    <row r="625" ht="15.75" hidden="1" customHeight="1">
      <c r="A625" s="15" t="s">
        <v>51</v>
      </c>
      <c r="B625" s="11" t="s">
        <v>94</v>
      </c>
      <c r="C625" s="15"/>
      <c r="D625" s="16" t="s">
        <v>12</v>
      </c>
      <c r="E625" s="17">
        <v>0.0</v>
      </c>
      <c r="F625" s="18">
        <f>E625* 0.924936238310357</f>
        <v>0</v>
      </c>
      <c r="G625" s="18">
        <f>E625* 0.0351064361799663</f>
        <v>0</v>
      </c>
      <c r="H625" s="18">
        <f>E625* 0.039932320925503</f>
        <v>0</v>
      </c>
    </row>
    <row r="626" ht="15.75" hidden="1" customHeight="1">
      <c r="A626" s="15" t="s">
        <v>51</v>
      </c>
      <c r="B626" s="8"/>
      <c r="C626" s="8"/>
      <c r="D626" s="9"/>
      <c r="E626" s="19"/>
    </row>
    <row r="627" ht="15.75" hidden="1" customHeight="1">
      <c r="A627" s="15" t="s">
        <v>51</v>
      </c>
      <c r="B627" s="11" t="s">
        <v>95</v>
      </c>
      <c r="C627" s="12" t="str">
        <f>B627&amp;"_"&amp;A627</f>
        <v>Quime_La Paz</v>
      </c>
      <c r="E627" s="13">
        <v>3.0</v>
      </c>
      <c r="F627" s="14">
        <f t="shared" ref="F627:H627" si="69">SUM(F628:F632)</f>
        <v>2.051299226</v>
      </c>
      <c r="G627" s="14">
        <f t="shared" si="69"/>
        <v>0.9007887468</v>
      </c>
      <c r="H627" s="14">
        <f t="shared" si="69"/>
        <v>0.04781722396</v>
      </c>
    </row>
    <row r="628" ht="15.75" hidden="1" customHeight="1">
      <c r="A628" s="15" t="s">
        <v>51</v>
      </c>
      <c r="B628" s="11" t="s">
        <v>95</v>
      </c>
      <c r="C628" s="15"/>
      <c r="D628" s="16" t="s">
        <v>16</v>
      </c>
      <c r="E628" s="17">
        <v>1.0</v>
      </c>
      <c r="F628" s="18">
        <f>E628* 0.142974979378609</f>
        <v>0.1429749794</v>
      </c>
      <c r="G628" s="18">
        <f>E628* 0.852350838603245</f>
        <v>0.8523508386</v>
      </c>
      <c r="H628" s="18">
        <f>E628* 0.00467418201814682</f>
        <v>0.004674182018</v>
      </c>
    </row>
    <row r="629" ht="15.75" hidden="1" customHeight="1">
      <c r="A629" s="15" t="s">
        <v>51</v>
      </c>
      <c r="B629" s="11" t="s">
        <v>95</v>
      </c>
      <c r="C629" s="15"/>
      <c r="D629" s="16" t="s">
        <v>11</v>
      </c>
      <c r="E629" s="17">
        <v>0.0</v>
      </c>
      <c r="F629" s="18">
        <f>E629* 0.178797409805735</f>
        <v>0</v>
      </c>
      <c r="G629" s="18">
        <f>E629* 0.819278445883441</f>
        <v>0</v>
      </c>
      <c r="H629" s="18">
        <f>E629* 0.00181313598519889</f>
        <v>0</v>
      </c>
    </row>
    <row r="630" ht="15.75" hidden="1" customHeight="1">
      <c r="A630" s="15" t="s">
        <v>51</v>
      </c>
      <c r="B630" s="11" t="s">
        <v>95</v>
      </c>
      <c r="C630" s="15"/>
      <c r="D630" s="16" t="s">
        <v>18</v>
      </c>
      <c r="E630" s="17">
        <v>1.0</v>
      </c>
      <c r="F630" s="18">
        <f>E630* 0.983388008654987</f>
        <v>0.9833880087</v>
      </c>
      <c r="G630" s="18">
        <f>E630* 0.0133314720457877</f>
        <v>0.01333147205</v>
      </c>
      <c r="H630" s="18">
        <f>E630* 0.003210721016263</f>
        <v>0.003210721016</v>
      </c>
    </row>
    <row r="631" ht="15.75" hidden="1" customHeight="1">
      <c r="A631" s="15" t="s">
        <v>51</v>
      </c>
      <c r="B631" s="11" t="s">
        <v>95</v>
      </c>
      <c r="C631" s="15"/>
      <c r="D631" s="16" t="s">
        <v>19</v>
      </c>
      <c r="E631" s="17">
        <v>0.0</v>
      </c>
      <c r="F631" s="18">
        <f>E631* 0.511826182618262</f>
        <v>0</v>
      </c>
      <c r="G631" s="18">
        <f>E631* 0.476622662266227</f>
        <v>0</v>
      </c>
      <c r="H631" s="18">
        <f>E631* 0.0115511551155116</f>
        <v>0</v>
      </c>
    </row>
    <row r="632" ht="15.75" hidden="1" customHeight="1">
      <c r="A632" s="15" t="s">
        <v>51</v>
      </c>
      <c r="B632" s="11" t="s">
        <v>95</v>
      </c>
      <c r="C632" s="15"/>
      <c r="D632" s="16" t="s">
        <v>12</v>
      </c>
      <c r="E632" s="17">
        <v>1.0</v>
      </c>
      <c r="F632" s="18">
        <f>E632* 0.924936238310357</f>
        <v>0.9249362383</v>
      </c>
      <c r="G632" s="18">
        <f>E632* 0.0351064361799663</f>
        <v>0.03510643618</v>
      </c>
      <c r="H632" s="18">
        <f>E632* 0.039932320925503</f>
        <v>0.03993232093</v>
      </c>
    </row>
    <row r="633" ht="15.75" hidden="1" customHeight="1">
      <c r="A633" s="15" t="s">
        <v>51</v>
      </c>
      <c r="B633" s="8"/>
      <c r="C633" s="8"/>
      <c r="D633" s="9"/>
      <c r="E633" s="19"/>
    </row>
    <row r="634" ht="15.75" hidden="1" customHeight="1">
      <c r="A634" s="15" t="s">
        <v>51</v>
      </c>
      <c r="B634" s="11" t="s">
        <v>96</v>
      </c>
      <c r="C634" s="12" t="str">
        <f>B634&amp;"_"&amp;A634</f>
        <v>Santiago de Huata_La Paz</v>
      </c>
      <c r="E634" s="13">
        <v>0.0</v>
      </c>
      <c r="F634" s="14">
        <f t="shared" ref="F634:H634" si="70">SUM(F635:F645)</f>
        <v>0</v>
      </c>
      <c r="G634" s="14">
        <f t="shared" si="70"/>
        <v>0</v>
      </c>
      <c r="H634" s="14">
        <f t="shared" si="70"/>
        <v>0</v>
      </c>
    </row>
    <row r="635" ht="15.75" hidden="1" customHeight="1">
      <c r="A635" s="15" t="s">
        <v>51</v>
      </c>
      <c r="B635" s="11" t="s">
        <v>96</v>
      </c>
      <c r="C635" s="15"/>
      <c r="D635" s="16" t="s">
        <v>15</v>
      </c>
      <c r="E635" s="17">
        <v>0.0</v>
      </c>
      <c r="F635" s="18">
        <f>E635* 0.981163265034061</f>
        <v>0</v>
      </c>
      <c r="G635" s="18">
        <f>E635* 0.0027595216829083</f>
        <v>0</v>
      </c>
      <c r="H635" s="18">
        <f>E635* 0.0160372202151627</f>
        <v>0</v>
      </c>
    </row>
    <row r="636" ht="15.75" hidden="1" customHeight="1">
      <c r="A636" s="15" t="s">
        <v>51</v>
      </c>
      <c r="B636" s="11" t="s">
        <v>96</v>
      </c>
      <c r="C636" s="15"/>
      <c r="D636" s="16" t="s">
        <v>16</v>
      </c>
      <c r="E636" s="17">
        <v>0.0</v>
      </c>
      <c r="F636" s="18">
        <f>E636* 0.142974979378609</f>
        <v>0</v>
      </c>
      <c r="G636" s="18">
        <f>E636* 0.852350838603245</f>
        <v>0</v>
      </c>
      <c r="H636" s="18">
        <f>E636* 0.00467418201814682</f>
        <v>0</v>
      </c>
    </row>
    <row r="637" ht="15.75" hidden="1" customHeight="1">
      <c r="A637" s="15" t="s">
        <v>51</v>
      </c>
      <c r="B637" s="11" t="s">
        <v>96</v>
      </c>
      <c r="C637" s="15"/>
      <c r="D637" s="16" t="s">
        <v>11</v>
      </c>
      <c r="E637" s="17">
        <v>0.0</v>
      </c>
      <c r="F637" s="18">
        <f>E637* 0.178797409805735</f>
        <v>0</v>
      </c>
      <c r="G637" s="18">
        <f>E637* 0.819278445883441</f>
        <v>0</v>
      </c>
      <c r="H637" s="18">
        <f>E637* 0.00181313598519889</f>
        <v>0</v>
      </c>
    </row>
    <row r="638" ht="15.75" hidden="1" customHeight="1">
      <c r="A638" s="15" t="s">
        <v>51</v>
      </c>
      <c r="B638" s="11" t="s">
        <v>96</v>
      </c>
      <c r="C638" s="15"/>
      <c r="D638" s="16" t="s">
        <v>17</v>
      </c>
      <c r="E638" s="17">
        <v>0.0</v>
      </c>
      <c r="F638" s="18">
        <f>E638* 0.916446662218225</f>
        <v>0</v>
      </c>
      <c r="G638" s="18">
        <f>E638* 0.0292436682236212</f>
        <v>0</v>
      </c>
      <c r="H638" s="18">
        <f>E638* 0.0543096695581537</f>
        <v>0</v>
      </c>
    </row>
    <row r="639" ht="15.75" hidden="1" customHeight="1">
      <c r="A639" s="15" t="s">
        <v>51</v>
      </c>
      <c r="B639" s="11" t="s">
        <v>96</v>
      </c>
      <c r="C639" s="15"/>
      <c r="D639" s="16" t="s">
        <v>31</v>
      </c>
      <c r="E639" s="17">
        <v>0.0</v>
      </c>
      <c r="F639" s="18">
        <f>E639* 0.957442434210526</f>
        <v>0</v>
      </c>
      <c r="G639" s="18">
        <f>E639* 0.0158305921052632</f>
        <v>0</v>
      </c>
      <c r="H639" s="18">
        <f>E639* 0.0263157894736842</f>
        <v>0</v>
      </c>
    </row>
    <row r="640" ht="15.75" hidden="1" customHeight="1">
      <c r="A640" s="15" t="s">
        <v>51</v>
      </c>
      <c r="B640" s="11" t="s">
        <v>96</v>
      </c>
      <c r="C640" s="15"/>
      <c r="D640" s="16" t="s">
        <v>18</v>
      </c>
      <c r="E640" s="17">
        <v>0.0</v>
      </c>
      <c r="F640" s="18">
        <f>E640* 0.983388008654987</f>
        <v>0</v>
      </c>
      <c r="G640" s="18">
        <f>E640* 0.0133314720457877</f>
        <v>0</v>
      </c>
      <c r="H640" s="18">
        <f>E640* 0.003210721016263</f>
        <v>0</v>
      </c>
    </row>
    <row r="641" ht="15.75" hidden="1" customHeight="1">
      <c r="A641" s="15" t="s">
        <v>51</v>
      </c>
      <c r="B641" s="11" t="s">
        <v>96</v>
      </c>
      <c r="C641" s="15"/>
      <c r="D641" s="16" t="s">
        <v>19</v>
      </c>
      <c r="E641" s="17">
        <v>0.0</v>
      </c>
      <c r="F641" s="18">
        <f>E641* 0.511826182618262</f>
        <v>0</v>
      </c>
      <c r="G641" s="18">
        <f>E641* 0.476622662266227</f>
        <v>0</v>
      </c>
      <c r="H641" s="18">
        <f>E641* 0.0115511551155116</f>
        <v>0</v>
      </c>
    </row>
    <row r="642" ht="15.75" hidden="1" customHeight="1">
      <c r="A642" s="15" t="s">
        <v>51</v>
      </c>
      <c r="B642" s="11" t="s">
        <v>96</v>
      </c>
      <c r="C642" s="15"/>
      <c r="D642" s="16" t="s">
        <v>20</v>
      </c>
      <c r="E642" s="17">
        <v>0.0</v>
      </c>
      <c r="F642" s="18">
        <f>E642* 0.814615536880747</f>
        <v>0</v>
      </c>
      <c r="G642" s="18">
        <f>E642* 0.0763167839340663</f>
        <v>0</v>
      </c>
      <c r="H642" s="18">
        <f>E642* 0.109013694193014</f>
        <v>0</v>
      </c>
    </row>
    <row r="643" ht="15.75" hidden="1" customHeight="1">
      <c r="A643" s="15" t="s">
        <v>51</v>
      </c>
      <c r="B643" s="11" t="s">
        <v>96</v>
      </c>
      <c r="C643" s="15"/>
      <c r="D643" s="16" t="s">
        <v>21</v>
      </c>
      <c r="E643" s="17">
        <v>0.0</v>
      </c>
      <c r="F643" s="18">
        <f>E643* 0.999722052365334</f>
        <v>0</v>
      </c>
      <c r="G643" s="18">
        <v>0.0</v>
      </c>
      <c r="H643" s="18">
        <f>E643* 0.000277947634665629</f>
        <v>0</v>
      </c>
    </row>
    <row r="644" ht="15.75" hidden="1" customHeight="1">
      <c r="A644" s="15" t="s">
        <v>51</v>
      </c>
      <c r="B644" s="11" t="s">
        <v>96</v>
      </c>
      <c r="C644" s="15"/>
      <c r="D644" s="16" t="s">
        <v>28</v>
      </c>
      <c r="E644" s="17">
        <v>0.0</v>
      </c>
      <c r="F644" s="18">
        <f>E644* 0.00115651503469545</f>
        <v>0</v>
      </c>
      <c r="G644" s="18">
        <f>E644* 0.998843484965305</f>
        <v>0</v>
      </c>
      <c r="H644" s="20">
        <v>0.0</v>
      </c>
    </row>
    <row r="645" ht="15.75" hidden="1" customHeight="1">
      <c r="A645" s="15" t="s">
        <v>51</v>
      </c>
      <c r="B645" s="11" t="s">
        <v>96</v>
      </c>
      <c r="C645" s="15"/>
      <c r="D645" s="16" t="s">
        <v>12</v>
      </c>
      <c r="E645" s="17">
        <v>0.0</v>
      </c>
      <c r="F645" s="18">
        <f>E645* 0.924936238310357</f>
        <v>0</v>
      </c>
      <c r="G645" s="18">
        <f>E645* 0.0351064361799663</f>
        <v>0</v>
      </c>
      <c r="H645" s="18">
        <f>E645* 0.039932320925503</f>
        <v>0</v>
      </c>
    </row>
    <row r="646" ht="15.75" hidden="1" customHeight="1">
      <c r="A646" s="15" t="s">
        <v>51</v>
      </c>
      <c r="B646" s="8"/>
      <c r="C646" s="8"/>
      <c r="D646" s="9"/>
      <c r="E646" s="19"/>
    </row>
    <row r="647" ht="15.75" hidden="1" customHeight="1">
      <c r="A647" s="15" t="s">
        <v>51</v>
      </c>
      <c r="B647" s="11" t="s">
        <v>97</v>
      </c>
      <c r="C647" s="12" t="str">
        <f>B647&amp;"_"&amp;A647</f>
        <v>Sapahaqui_La Paz</v>
      </c>
      <c r="E647" s="13">
        <v>2.0</v>
      </c>
      <c r="F647" s="14">
        <f t="shared" ref="F647:H647" si="71">SUM(F648:F660)</f>
        <v>1.124138244</v>
      </c>
      <c r="G647" s="14">
        <f t="shared" si="71"/>
        <v>0.8551103603</v>
      </c>
      <c r="H647" s="14">
        <f t="shared" si="71"/>
        <v>0.02071140223</v>
      </c>
    </row>
    <row r="648" ht="15.75" hidden="1" customHeight="1">
      <c r="A648" s="15" t="s">
        <v>51</v>
      </c>
      <c r="B648" s="11" t="s">
        <v>97</v>
      </c>
      <c r="C648" s="15"/>
      <c r="D648" s="16" t="s">
        <v>53</v>
      </c>
      <c r="E648" s="17">
        <v>0.0</v>
      </c>
      <c r="F648" s="20">
        <v>0.0</v>
      </c>
      <c r="G648" s="20">
        <f>E648</f>
        <v>0</v>
      </c>
      <c r="H648" s="20">
        <v>0.0</v>
      </c>
    </row>
    <row r="649" ht="15.75" hidden="1" customHeight="1">
      <c r="A649" s="15" t="s">
        <v>51</v>
      </c>
      <c r="B649" s="11" t="s">
        <v>97</v>
      </c>
      <c r="C649" s="15"/>
      <c r="D649" s="16" t="s">
        <v>15</v>
      </c>
      <c r="E649" s="17">
        <v>1.0</v>
      </c>
      <c r="F649" s="18">
        <f>E649* 0.981163265034061</f>
        <v>0.981163265</v>
      </c>
      <c r="G649" s="18">
        <f>E649* 0.0027595216829083</f>
        <v>0.002759521683</v>
      </c>
      <c r="H649" s="18">
        <f>E649* 0.0160372202151627</f>
        <v>0.01603722022</v>
      </c>
    </row>
    <row r="650" ht="15.75" hidden="1" customHeight="1">
      <c r="A650" s="15" t="s">
        <v>51</v>
      </c>
      <c r="B650" s="11" t="s">
        <v>97</v>
      </c>
      <c r="C650" s="15"/>
      <c r="D650" s="16" t="s">
        <v>16</v>
      </c>
      <c r="E650" s="17">
        <v>1.0</v>
      </c>
      <c r="F650" s="18">
        <f>E650* 0.142974979378609</f>
        <v>0.1429749794</v>
      </c>
      <c r="G650" s="18">
        <f>E650* 0.852350838603245</f>
        <v>0.8523508386</v>
      </c>
      <c r="H650" s="18">
        <f>E650* 0.00467418201814682</f>
        <v>0.004674182018</v>
      </c>
    </row>
    <row r="651" ht="15.75" hidden="1" customHeight="1">
      <c r="A651" s="15" t="s">
        <v>51</v>
      </c>
      <c r="B651" s="11" t="s">
        <v>97</v>
      </c>
      <c r="C651" s="15"/>
      <c r="D651" s="16" t="s">
        <v>11</v>
      </c>
      <c r="E651" s="17">
        <v>0.0</v>
      </c>
      <c r="F651" s="18">
        <f>E651* 0.178797409805735</f>
        <v>0</v>
      </c>
      <c r="G651" s="18">
        <f>E651* 0.819278445883441</f>
        <v>0</v>
      </c>
      <c r="H651" s="18">
        <f>E651* 0.00181313598519889</f>
        <v>0</v>
      </c>
    </row>
    <row r="652" ht="15.75" hidden="1" customHeight="1">
      <c r="A652" s="15" t="s">
        <v>51</v>
      </c>
      <c r="B652" s="11" t="s">
        <v>97</v>
      </c>
      <c r="C652" s="15"/>
      <c r="D652" s="16" t="s">
        <v>17</v>
      </c>
      <c r="E652" s="17">
        <v>0.0</v>
      </c>
      <c r="F652" s="18">
        <f>E652* 0.916446662218225</f>
        <v>0</v>
      </c>
      <c r="G652" s="18">
        <f>E652* 0.0292436682236212</f>
        <v>0</v>
      </c>
      <c r="H652" s="18">
        <f>E652* 0.0543096695581537</f>
        <v>0</v>
      </c>
    </row>
    <row r="653" ht="15.75" hidden="1" customHeight="1">
      <c r="A653" s="15" t="s">
        <v>51</v>
      </c>
      <c r="B653" s="11" t="s">
        <v>97</v>
      </c>
      <c r="C653" s="15"/>
      <c r="D653" s="16" t="s">
        <v>31</v>
      </c>
      <c r="E653" s="17">
        <v>0.0</v>
      </c>
      <c r="F653" s="18">
        <f>E653* 0.957442434210526</f>
        <v>0</v>
      </c>
      <c r="G653" s="18">
        <f>E653* 0.0158305921052632</f>
        <v>0</v>
      </c>
      <c r="H653" s="18">
        <f>E653* 0.0263157894736842</f>
        <v>0</v>
      </c>
    </row>
    <row r="654" ht="15.75" hidden="1" customHeight="1">
      <c r="A654" s="15" t="s">
        <v>51</v>
      </c>
      <c r="B654" s="11" t="s">
        <v>97</v>
      </c>
      <c r="C654" s="15"/>
      <c r="D654" s="16" t="s">
        <v>18</v>
      </c>
      <c r="E654" s="17">
        <v>0.0</v>
      </c>
      <c r="F654" s="18">
        <f>E654* 0.983388008654987</f>
        <v>0</v>
      </c>
      <c r="G654" s="18">
        <f>E654* 0.0133314720457877</f>
        <v>0</v>
      </c>
      <c r="H654" s="18">
        <f>E654* 0.003210721016263</f>
        <v>0</v>
      </c>
    </row>
    <row r="655" ht="15.75" hidden="1" customHeight="1">
      <c r="A655" s="15" t="s">
        <v>51</v>
      </c>
      <c r="B655" s="11" t="s">
        <v>97</v>
      </c>
      <c r="C655" s="15"/>
      <c r="D655" s="16" t="s">
        <v>55</v>
      </c>
      <c r="E655" s="17">
        <v>0.0</v>
      </c>
      <c r="F655" s="20">
        <v>0.0</v>
      </c>
      <c r="G655" s="20">
        <f>E655</f>
        <v>0</v>
      </c>
      <c r="H655" s="20">
        <v>0.0</v>
      </c>
    </row>
    <row r="656" ht="15.75" hidden="1" customHeight="1">
      <c r="A656" s="15" t="s">
        <v>51</v>
      </c>
      <c r="B656" s="11" t="s">
        <v>97</v>
      </c>
      <c r="C656" s="15"/>
      <c r="D656" s="16" t="s">
        <v>19</v>
      </c>
      <c r="E656" s="17">
        <v>0.0</v>
      </c>
      <c r="F656" s="18">
        <f>E656* 0.511826182618262</f>
        <v>0</v>
      </c>
      <c r="G656" s="18">
        <f>E656* 0.476622662266227</f>
        <v>0</v>
      </c>
      <c r="H656" s="18">
        <f>E656* 0.0115511551155116</f>
        <v>0</v>
      </c>
    </row>
    <row r="657" ht="15.75" hidden="1" customHeight="1">
      <c r="A657" s="15" t="s">
        <v>51</v>
      </c>
      <c r="B657" s="11" t="s">
        <v>97</v>
      </c>
      <c r="C657" s="15"/>
      <c r="D657" s="16" t="s">
        <v>20</v>
      </c>
      <c r="E657" s="17">
        <v>0.0</v>
      </c>
      <c r="F657" s="18">
        <f>E657* 0.814615536880747</f>
        <v>0</v>
      </c>
      <c r="G657" s="18">
        <f>E657* 0.0763167839340663</f>
        <v>0</v>
      </c>
      <c r="H657" s="18">
        <f>E657* 0.109013694193014</f>
        <v>0</v>
      </c>
    </row>
    <row r="658" ht="15.75" hidden="1" customHeight="1">
      <c r="A658" s="15" t="s">
        <v>51</v>
      </c>
      <c r="B658" s="11" t="s">
        <v>97</v>
      </c>
      <c r="C658" s="15"/>
      <c r="D658" s="16" t="s">
        <v>21</v>
      </c>
      <c r="E658" s="17">
        <v>0.0</v>
      </c>
      <c r="F658" s="18">
        <f>E658* 0.999722052365334</f>
        <v>0</v>
      </c>
      <c r="G658" s="18">
        <v>0.0</v>
      </c>
      <c r="H658" s="18">
        <f>E658* 0.000277947634665629</f>
        <v>0</v>
      </c>
    </row>
    <row r="659" ht="15.75" hidden="1" customHeight="1">
      <c r="A659" s="15" t="s">
        <v>51</v>
      </c>
      <c r="B659" s="11" t="s">
        <v>97</v>
      </c>
      <c r="C659" s="15"/>
      <c r="D659" s="16" t="s">
        <v>28</v>
      </c>
      <c r="E659" s="17">
        <v>0.0</v>
      </c>
      <c r="F659" s="18">
        <f>E659* 0.00115651503469545</f>
        <v>0</v>
      </c>
      <c r="G659" s="18">
        <f>E659* 0.998843484965305</f>
        <v>0</v>
      </c>
      <c r="H659" s="20">
        <v>0.0</v>
      </c>
    </row>
    <row r="660" ht="15.75" hidden="1" customHeight="1">
      <c r="A660" s="15" t="s">
        <v>51</v>
      </c>
      <c r="B660" s="11" t="s">
        <v>97</v>
      </c>
      <c r="C660" s="15"/>
      <c r="D660" s="16" t="s">
        <v>12</v>
      </c>
      <c r="E660" s="17">
        <v>0.0</v>
      </c>
      <c r="F660" s="18">
        <f>E660* 0.924936238310357</f>
        <v>0</v>
      </c>
      <c r="G660" s="18">
        <f>E660* 0.0351064361799663</f>
        <v>0</v>
      </c>
      <c r="H660" s="18">
        <f>E660* 0.039932320925503</f>
        <v>0</v>
      </c>
    </row>
    <row r="661" ht="15.75" hidden="1" customHeight="1">
      <c r="A661" s="15" t="s">
        <v>51</v>
      </c>
      <c r="B661" s="8"/>
      <c r="C661" s="8"/>
      <c r="D661" s="9"/>
      <c r="E661" s="19"/>
    </row>
    <row r="662" ht="15.75" hidden="1" customHeight="1">
      <c r="A662" s="15" t="s">
        <v>51</v>
      </c>
      <c r="B662" s="11" t="s">
        <v>98</v>
      </c>
      <c r="C662" s="12" t="str">
        <f>B662&amp;"_"&amp;A662</f>
        <v>Sica Sica_La Paz</v>
      </c>
      <c r="E662" s="13">
        <v>22.0</v>
      </c>
      <c r="F662" s="14">
        <f t="shared" ref="F662:H662" si="72">SUM(F663:F670)</f>
        <v>13.20759197</v>
      </c>
      <c r="G662" s="14">
        <f t="shared" si="72"/>
        <v>8.40825467</v>
      </c>
      <c r="H662" s="14">
        <f t="shared" si="72"/>
        <v>0.382703304</v>
      </c>
    </row>
    <row r="663" ht="15.75" hidden="1" customHeight="1">
      <c r="A663" s="15" t="s">
        <v>51</v>
      </c>
      <c r="B663" s="11" t="s">
        <v>98</v>
      </c>
      <c r="C663" s="15"/>
      <c r="D663" s="16" t="s">
        <v>15</v>
      </c>
      <c r="E663" s="17">
        <v>6.0</v>
      </c>
      <c r="F663" s="18">
        <f>E663* 0.981163265034061</f>
        <v>5.88697959</v>
      </c>
      <c r="G663" s="18">
        <f>E663* 0.0027595216829083</f>
        <v>0.0165571301</v>
      </c>
      <c r="H663" s="18">
        <f>E663* 0.0160372202151627</f>
        <v>0.09622332129</v>
      </c>
    </row>
    <row r="664" ht="15.75" hidden="1" customHeight="1">
      <c r="A664" s="15" t="s">
        <v>51</v>
      </c>
      <c r="B664" s="11" t="s">
        <v>98</v>
      </c>
      <c r="C664" s="15"/>
      <c r="D664" s="16" t="s">
        <v>11</v>
      </c>
      <c r="E664" s="17">
        <v>10.0</v>
      </c>
      <c r="F664" s="18">
        <f>E664* 0.178797409805735</f>
        <v>1.787974098</v>
      </c>
      <c r="G664" s="18">
        <f>E664* 0.819278445883441</f>
        <v>8.192784459</v>
      </c>
      <c r="H664" s="18">
        <f>E664* 0.00181313598519889</f>
        <v>0.01813135985</v>
      </c>
    </row>
    <row r="665" ht="15.75" hidden="1" customHeight="1">
      <c r="A665" s="15" t="s">
        <v>51</v>
      </c>
      <c r="B665" s="11" t="s">
        <v>98</v>
      </c>
      <c r="C665" s="15"/>
      <c r="D665" s="16" t="s">
        <v>17</v>
      </c>
      <c r="E665" s="17">
        <v>2.0</v>
      </c>
      <c r="F665" s="18">
        <f>E665* 0.916446662218225</f>
        <v>1.832893324</v>
      </c>
      <c r="G665" s="18">
        <f>E665* 0.0292436682236212</f>
        <v>0.05848733645</v>
      </c>
      <c r="H665" s="18">
        <f>E665* 0.0543096695581537</f>
        <v>0.1086193391</v>
      </c>
    </row>
    <row r="666" ht="15.75" hidden="1" customHeight="1">
      <c r="A666" s="15" t="s">
        <v>51</v>
      </c>
      <c r="B666" s="11" t="s">
        <v>98</v>
      </c>
      <c r="C666" s="15"/>
      <c r="D666" s="16" t="s">
        <v>18</v>
      </c>
      <c r="E666" s="17">
        <v>0.0</v>
      </c>
      <c r="F666" s="18">
        <f>E666* 0.983388008654987</f>
        <v>0</v>
      </c>
      <c r="G666" s="18">
        <f>E666* 0.0133314720457877</f>
        <v>0</v>
      </c>
      <c r="H666" s="18">
        <f>E666* 0.003210721016263</f>
        <v>0</v>
      </c>
    </row>
    <row r="667" ht="15.75" hidden="1" customHeight="1">
      <c r="A667" s="15" t="s">
        <v>51</v>
      </c>
      <c r="B667" s="11" t="s">
        <v>98</v>
      </c>
      <c r="C667" s="15"/>
      <c r="D667" s="16" t="s">
        <v>20</v>
      </c>
      <c r="E667" s="17">
        <v>0.0</v>
      </c>
      <c r="F667" s="18">
        <f>E667* 0.814615536880747</f>
        <v>0</v>
      </c>
      <c r="G667" s="18">
        <f>E667* 0.0763167839340663</f>
        <v>0</v>
      </c>
      <c r="H667" s="18">
        <f>E667* 0.109013694193014</f>
        <v>0</v>
      </c>
    </row>
    <row r="668" ht="15.75" hidden="1" customHeight="1">
      <c r="A668" s="15" t="s">
        <v>51</v>
      </c>
      <c r="B668" s="11" t="s">
        <v>98</v>
      </c>
      <c r="C668" s="15"/>
      <c r="D668" s="16" t="s">
        <v>21</v>
      </c>
      <c r="E668" s="17">
        <v>0.0</v>
      </c>
      <c r="F668" s="18">
        <f>E668* 0.999722052365334</f>
        <v>0</v>
      </c>
      <c r="G668" s="18">
        <v>0.0</v>
      </c>
      <c r="H668" s="18">
        <f>E668* 0.000277947634665629</f>
        <v>0</v>
      </c>
    </row>
    <row r="669" ht="15.75" hidden="1" customHeight="1">
      <c r="A669" s="15" t="s">
        <v>51</v>
      </c>
      <c r="B669" s="11" t="s">
        <v>98</v>
      </c>
      <c r="C669" s="15"/>
      <c r="D669" s="16" t="s">
        <v>28</v>
      </c>
      <c r="E669" s="17">
        <v>0.0</v>
      </c>
      <c r="F669" s="18">
        <f>E669* 0.00115651503469545</f>
        <v>0</v>
      </c>
      <c r="G669" s="18">
        <f>E669* 0.998843484965305</f>
        <v>0</v>
      </c>
      <c r="H669" s="20">
        <v>0.0</v>
      </c>
    </row>
    <row r="670" ht="15.75" hidden="1" customHeight="1">
      <c r="A670" s="15" t="s">
        <v>51</v>
      </c>
      <c r="B670" s="11" t="s">
        <v>98</v>
      </c>
      <c r="C670" s="15"/>
      <c r="D670" s="16" t="s">
        <v>12</v>
      </c>
      <c r="E670" s="17">
        <v>4.0</v>
      </c>
      <c r="F670" s="18">
        <f>E670* 0.924936238310357</f>
        <v>3.699744953</v>
      </c>
      <c r="G670" s="18">
        <f>E670* 0.0351064361799663</f>
        <v>0.1404257447</v>
      </c>
      <c r="H670" s="18">
        <f>E670* 0.039932320925503</f>
        <v>0.1597292837</v>
      </c>
    </row>
    <row r="671" ht="15.75" hidden="1" customHeight="1">
      <c r="A671" s="15" t="s">
        <v>51</v>
      </c>
      <c r="B671" s="8"/>
      <c r="C671" s="8"/>
      <c r="D671" s="9"/>
      <c r="E671" s="19"/>
    </row>
    <row r="672" ht="15.75" hidden="1" customHeight="1">
      <c r="A672" s="15" t="s">
        <v>51</v>
      </c>
      <c r="B672" s="11" t="s">
        <v>99</v>
      </c>
      <c r="C672" s="12" t="str">
        <f>B672&amp;"_"&amp;A672</f>
        <v>Sorata_La Paz</v>
      </c>
      <c r="E672" s="13">
        <v>9.0</v>
      </c>
      <c r="F672" s="14">
        <f t="shared" ref="F672:H672" si="73">SUM(F673:F682)</f>
        <v>5.29277259</v>
      </c>
      <c r="G672" s="14">
        <f t="shared" si="73"/>
        <v>3.512143139</v>
      </c>
      <c r="H672" s="14">
        <f t="shared" si="73"/>
        <v>0.1946814479</v>
      </c>
    </row>
    <row r="673" ht="15.75" hidden="1" customHeight="1">
      <c r="A673" s="15" t="s">
        <v>51</v>
      </c>
      <c r="B673" s="11" t="s">
        <v>99</v>
      </c>
      <c r="C673" s="15"/>
      <c r="D673" s="16" t="s">
        <v>53</v>
      </c>
      <c r="E673" s="17">
        <v>0.0</v>
      </c>
      <c r="F673" s="20">
        <v>0.0</v>
      </c>
      <c r="G673" s="20">
        <f>E673</f>
        <v>0</v>
      </c>
      <c r="H673" s="20">
        <v>0.0</v>
      </c>
    </row>
    <row r="674" ht="15.75" hidden="1" customHeight="1">
      <c r="A674" s="15" t="s">
        <v>51</v>
      </c>
      <c r="B674" s="11" t="s">
        <v>99</v>
      </c>
      <c r="C674" s="15"/>
      <c r="D674" s="16" t="s">
        <v>15</v>
      </c>
      <c r="E674" s="17">
        <v>0.0</v>
      </c>
      <c r="F674" s="18">
        <f>E674* 0.981163265034061</f>
        <v>0</v>
      </c>
      <c r="G674" s="18">
        <f>E674* 0.0027595216829083</f>
        <v>0</v>
      </c>
      <c r="H674" s="18">
        <f>E674* 0.0160372202151627</f>
        <v>0</v>
      </c>
    </row>
    <row r="675" ht="15.75" hidden="1" customHeight="1">
      <c r="A675" s="15" t="s">
        <v>51</v>
      </c>
      <c r="B675" s="11" t="s">
        <v>99</v>
      </c>
      <c r="C675" s="15"/>
      <c r="D675" s="16" t="s">
        <v>16</v>
      </c>
      <c r="E675" s="17">
        <v>0.0</v>
      </c>
      <c r="F675" s="18">
        <f>E675* 0.142974979378609</f>
        <v>0</v>
      </c>
      <c r="G675" s="18">
        <f>E675* 0.852350838603245</f>
        <v>0</v>
      </c>
      <c r="H675" s="18">
        <f>E675* 0.00467418201814682</f>
        <v>0</v>
      </c>
    </row>
    <row r="676" ht="15.75" hidden="1" customHeight="1">
      <c r="A676" s="15" t="s">
        <v>51</v>
      </c>
      <c r="B676" s="11" t="s">
        <v>99</v>
      </c>
      <c r="C676" s="15"/>
      <c r="D676" s="16" t="s">
        <v>11</v>
      </c>
      <c r="E676" s="17">
        <v>3.0</v>
      </c>
      <c r="F676" s="18">
        <f>E676* 0.178797409805735</f>
        <v>0.5363922294</v>
      </c>
      <c r="G676" s="18">
        <f>E676* 0.819278445883441</f>
        <v>2.457835338</v>
      </c>
      <c r="H676" s="18">
        <f>E676* 0.00181313598519889</f>
        <v>0.005439407956</v>
      </c>
    </row>
    <row r="677" ht="15.75" hidden="1" customHeight="1">
      <c r="A677" s="15" t="s">
        <v>51</v>
      </c>
      <c r="B677" s="11" t="s">
        <v>99</v>
      </c>
      <c r="C677" s="15"/>
      <c r="D677" s="16" t="s">
        <v>17</v>
      </c>
      <c r="E677" s="17">
        <v>3.0</v>
      </c>
      <c r="F677" s="18">
        <f>E677* 0.916446662218225</f>
        <v>2.749339987</v>
      </c>
      <c r="G677" s="18">
        <f>E677* 0.0292436682236212</f>
        <v>0.08773100467</v>
      </c>
      <c r="H677" s="18">
        <f>E677* 0.0543096695581537</f>
        <v>0.1629290087</v>
      </c>
    </row>
    <row r="678" ht="15.75" hidden="1" customHeight="1">
      <c r="A678" s="15" t="s">
        <v>51</v>
      </c>
      <c r="B678" s="11" t="s">
        <v>99</v>
      </c>
      <c r="C678" s="15"/>
      <c r="D678" s="16" t="s">
        <v>18</v>
      </c>
      <c r="E678" s="17">
        <v>1.0</v>
      </c>
      <c r="F678" s="18">
        <f>E678* 0.983388008654987</f>
        <v>0.9833880087</v>
      </c>
      <c r="G678" s="18">
        <f>E678* 0.0133314720457877</f>
        <v>0.01333147205</v>
      </c>
      <c r="H678" s="18">
        <f>E678* 0.003210721016263</f>
        <v>0.003210721016</v>
      </c>
    </row>
    <row r="679" ht="15.75" hidden="1" customHeight="1">
      <c r="A679" s="15" t="s">
        <v>51</v>
      </c>
      <c r="B679" s="11" t="s">
        <v>99</v>
      </c>
      <c r="C679" s="15"/>
      <c r="D679" s="16" t="s">
        <v>19</v>
      </c>
      <c r="E679" s="17">
        <v>2.0</v>
      </c>
      <c r="F679" s="18">
        <f>E679* 0.511826182618262</f>
        <v>1.023652365</v>
      </c>
      <c r="G679" s="18">
        <f>E679* 0.476622662266227</f>
        <v>0.9532453245</v>
      </c>
      <c r="H679" s="18">
        <f>E679* 0.0115511551155116</f>
        <v>0.02310231023</v>
      </c>
    </row>
    <row r="680" ht="15.75" hidden="1" customHeight="1">
      <c r="A680" s="15" t="s">
        <v>51</v>
      </c>
      <c r="B680" s="11" t="s">
        <v>99</v>
      </c>
      <c r="C680" s="15"/>
      <c r="D680" s="16" t="s">
        <v>20</v>
      </c>
      <c r="E680" s="17">
        <v>0.0</v>
      </c>
      <c r="F680" s="18">
        <f>E680* 0.814615536880747</f>
        <v>0</v>
      </c>
      <c r="G680" s="18">
        <f>E680* 0.0763167839340663</f>
        <v>0</v>
      </c>
      <c r="H680" s="18">
        <f>E680* 0.109013694193014</f>
        <v>0</v>
      </c>
    </row>
    <row r="681" ht="15.75" hidden="1" customHeight="1">
      <c r="A681" s="15" t="s">
        <v>51</v>
      </c>
      <c r="B681" s="11" t="s">
        <v>99</v>
      </c>
      <c r="C681" s="15"/>
      <c r="D681" s="16" t="s">
        <v>21</v>
      </c>
      <c r="E681" s="17">
        <v>0.0</v>
      </c>
      <c r="F681" s="18">
        <f>E681* 0.999722052365334</f>
        <v>0</v>
      </c>
      <c r="G681" s="18">
        <v>0.0</v>
      </c>
      <c r="H681" s="18">
        <f>E681* 0.000277947634665629</f>
        <v>0</v>
      </c>
    </row>
    <row r="682" ht="15.75" hidden="1" customHeight="1">
      <c r="A682" s="15" t="s">
        <v>51</v>
      </c>
      <c r="B682" s="11" t="s">
        <v>99</v>
      </c>
      <c r="C682" s="15"/>
      <c r="D682" s="16" t="s">
        <v>12</v>
      </c>
      <c r="E682" s="17">
        <v>0.0</v>
      </c>
      <c r="F682" s="18">
        <f>E682* 0.924936238310357</f>
        <v>0</v>
      </c>
      <c r="G682" s="18">
        <f>E682* 0.0351064361799663</f>
        <v>0</v>
      </c>
      <c r="H682" s="18">
        <f>E682* 0.039932320925503</f>
        <v>0</v>
      </c>
    </row>
    <row r="683" ht="15.75" hidden="1" customHeight="1">
      <c r="A683" s="15" t="s">
        <v>51</v>
      </c>
      <c r="B683" s="8"/>
      <c r="C683" s="8"/>
      <c r="D683" s="9"/>
      <c r="E683" s="19"/>
    </row>
    <row r="684" ht="15.75" hidden="1" customHeight="1">
      <c r="A684" s="15" t="s">
        <v>51</v>
      </c>
      <c r="B684" s="11" t="s">
        <v>100</v>
      </c>
      <c r="C684" s="12" t="str">
        <f>B684&amp;"_"&amp;A684</f>
        <v>Tacacoma_La Paz</v>
      </c>
      <c r="E684" s="13">
        <v>0.0</v>
      </c>
      <c r="F684" s="14">
        <f t="shared" ref="F684:H684" si="74">SUM(F685:F686)</f>
        <v>0</v>
      </c>
      <c r="G684" s="14">
        <f t="shared" si="74"/>
        <v>0</v>
      </c>
      <c r="H684" s="14">
        <f t="shared" si="74"/>
        <v>0</v>
      </c>
    </row>
    <row r="685" ht="15.75" hidden="1" customHeight="1">
      <c r="A685" s="15" t="s">
        <v>51</v>
      </c>
      <c r="B685" s="11" t="s">
        <v>100</v>
      </c>
      <c r="C685" s="15"/>
      <c r="D685" s="16" t="s">
        <v>17</v>
      </c>
      <c r="E685" s="17">
        <v>0.0</v>
      </c>
      <c r="F685" s="18">
        <f>E685* 0.916446662218225</f>
        <v>0</v>
      </c>
      <c r="G685" s="18">
        <f>E685* 0.0292436682236212</f>
        <v>0</v>
      </c>
      <c r="H685" s="18">
        <f>E685* 0.0543096695581537</f>
        <v>0</v>
      </c>
    </row>
    <row r="686" ht="15.75" hidden="1" customHeight="1">
      <c r="A686" s="15" t="s">
        <v>51</v>
      </c>
      <c r="B686" s="11" t="s">
        <v>100</v>
      </c>
      <c r="C686" s="15"/>
      <c r="D686" s="16" t="s">
        <v>21</v>
      </c>
      <c r="E686" s="17">
        <v>0.0</v>
      </c>
      <c r="F686" s="18">
        <f>E686* 0.999722052365334</f>
        <v>0</v>
      </c>
      <c r="G686" s="18">
        <v>0.0</v>
      </c>
      <c r="H686" s="18">
        <f>E686* 0.000277947634665629</f>
        <v>0</v>
      </c>
    </row>
    <row r="687" ht="15.75" hidden="1" customHeight="1">
      <c r="A687" s="15" t="s">
        <v>51</v>
      </c>
      <c r="B687" s="21"/>
      <c r="C687" s="21"/>
      <c r="D687" s="16"/>
      <c r="E687" s="19"/>
    </row>
    <row r="688" ht="15.75" hidden="1" customHeight="1">
      <c r="A688" s="15" t="s">
        <v>51</v>
      </c>
      <c r="B688" s="11" t="s">
        <v>101</v>
      </c>
      <c r="C688" s="12" t="str">
        <f>B688&amp;"_"&amp;A688</f>
        <v>Taraco_La Paz</v>
      </c>
      <c r="E688" s="13">
        <v>0.0</v>
      </c>
      <c r="F688" s="14">
        <f t="shared" ref="F688:H688" si="75">SUM(F689:F701)</f>
        <v>0</v>
      </c>
      <c r="G688" s="14">
        <f t="shared" si="75"/>
        <v>0</v>
      </c>
      <c r="H688" s="14">
        <f t="shared" si="75"/>
        <v>0</v>
      </c>
    </row>
    <row r="689" ht="15.75" hidden="1" customHeight="1">
      <c r="A689" s="15" t="s">
        <v>51</v>
      </c>
      <c r="B689" s="11" t="s">
        <v>101</v>
      </c>
      <c r="C689" s="15"/>
      <c r="D689" s="16" t="s">
        <v>53</v>
      </c>
      <c r="E689" s="17">
        <v>0.0</v>
      </c>
      <c r="F689" s="20">
        <v>0.0</v>
      </c>
      <c r="G689" s="20">
        <f>E689</f>
        <v>0</v>
      </c>
      <c r="H689" s="20">
        <v>0.0</v>
      </c>
    </row>
    <row r="690" ht="15.75" hidden="1" customHeight="1">
      <c r="A690" s="15" t="s">
        <v>51</v>
      </c>
      <c r="B690" s="11" t="s">
        <v>101</v>
      </c>
      <c r="C690" s="15"/>
      <c r="D690" s="16" t="s">
        <v>15</v>
      </c>
      <c r="E690" s="17">
        <v>0.0</v>
      </c>
      <c r="F690" s="18">
        <f>E690* 0.981163265034061</f>
        <v>0</v>
      </c>
      <c r="G690" s="18">
        <f>E690* 0.0027595216829083</f>
        <v>0</v>
      </c>
      <c r="H690" s="18">
        <f>E690* 0.0160372202151627</f>
        <v>0</v>
      </c>
    </row>
    <row r="691" ht="15.75" hidden="1" customHeight="1">
      <c r="A691" s="15" t="s">
        <v>51</v>
      </c>
      <c r="B691" s="11" t="s">
        <v>101</v>
      </c>
      <c r="C691" s="15"/>
      <c r="D691" s="16" t="s">
        <v>16</v>
      </c>
      <c r="E691" s="17">
        <v>0.0</v>
      </c>
      <c r="F691" s="18">
        <f>E691* 0.142974979378609</f>
        <v>0</v>
      </c>
      <c r="G691" s="18">
        <f>E691* 0.852350838603245</f>
        <v>0</v>
      </c>
      <c r="H691" s="18">
        <f>E691* 0.00467418201814682</f>
        <v>0</v>
      </c>
    </row>
    <row r="692" ht="15.75" hidden="1" customHeight="1">
      <c r="A692" s="15" t="s">
        <v>51</v>
      </c>
      <c r="B692" s="11" t="s">
        <v>101</v>
      </c>
      <c r="C692" s="15"/>
      <c r="D692" s="16" t="s">
        <v>11</v>
      </c>
      <c r="E692" s="17">
        <v>0.0</v>
      </c>
      <c r="F692" s="18">
        <f>E692* 0.178797409805735</f>
        <v>0</v>
      </c>
      <c r="G692" s="18">
        <f>E692* 0.819278445883441</f>
        <v>0</v>
      </c>
      <c r="H692" s="18">
        <f>E692* 0.00181313598519889</f>
        <v>0</v>
      </c>
    </row>
    <row r="693" ht="15.75" hidden="1" customHeight="1">
      <c r="A693" s="15" t="s">
        <v>51</v>
      </c>
      <c r="B693" s="11" t="s">
        <v>101</v>
      </c>
      <c r="C693" s="15"/>
      <c r="D693" s="16" t="s">
        <v>17</v>
      </c>
      <c r="E693" s="17">
        <v>0.0</v>
      </c>
      <c r="F693" s="18">
        <f>E693* 0.916446662218225</f>
        <v>0</v>
      </c>
      <c r="G693" s="18">
        <f>E693* 0.0292436682236212</f>
        <v>0</v>
      </c>
      <c r="H693" s="18">
        <f>E693* 0.0543096695581537</f>
        <v>0</v>
      </c>
    </row>
    <row r="694" ht="15.75" hidden="1" customHeight="1">
      <c r="A694" s="15" t="s">
        <v>51</v>
      </c>
      <c r="B694" s="11" t="s">
        <v>101</v>
      </c>
      <c r="C694" s="15"/>
      <c r="D694" s="16" t="s">
        <v>31</v>
      </c>
      <c r="E694" s="17">
        <v>0.0</v>
      </c>
      <c r="F694" s="18">
        <f>E694* 0.957442434210526</f>
        <v>0</v>
      </c>
      <c r="G694" s="18">
        <f>E694* 0.0158305921052632</f>
        <v>0</v>
      </c>
      <c r="H694" s="18">
        <f>E694* 0.0263157894736842</f>
        <v>0</v>
      </c>
    </row>
    <row r="695" ht="15.75" hidden="1" customHeight="1">
      <c r="A695" s="15" t="s">
        <v>51</v>
      </c>
      <c r="B695" s="11" t="s">
        <v>101</v>
      </c>
      <c r="C695" s="15"/>
      <c r="D695" s="16" t="s">
        <v>18</v>
      </c>
      <c r="E695" s="17">
        <v>0.0</v>
      </c>
      <c r="F695" s="18">
        <f>E695* 0.983388008654987</f>
        <v>0</v>
      </c>
      <c r="G695" s="18">
        <f>E695* 0.0133314720457877</f>
        <v>0</v>
      </c>
      <c r="H695" s="18">
        <f>E695* 0.003210721016263</f>
        <v>0</v>
      </c>
    </row>
    <row r="696" ht="15.75" hidden="1" customHeight="1">
      <c r="A696" s="15" t="s">
        <v>51</v>
      </c>
      <c r="B696" s="11" t="s">
        <v>101</v>
      </c>
      <c r="C696" s="15"/>
      <c r="D696" s="16" t="s">
        <v>19</v>
      </c>
      <c r="E696" s="17">
        <v>0.0</v>
      </c>
      <c r="F696" s="18">
        <f>E696* 0.511826182618262</f>
        <v>0</v>
      </c>
      <c r="G696" s="18">
        <f>E696* 0.476622662266227</f>
        <v>0</v>
      </c>
      <c r="H696" s="18">
        <f>E696* 0.0115511551155116</f>
        <v>0</v>
      </c>
    </row>
    <row r="697" ht="15.75" hidden="1" customHeight="1">
      <c r="A697" s="15" t="s">
        <v>51</v>
      </c>
      <c r="B697" s="11" t="s">
        <v>101</v>
      </c>
      <c r="C697" s="15"/>
      <c r="D697" s="16" t="s">
        <v>20</v>
      </c>
      <c r="E697" s="17">
        <v>0.0</v>
      </c>
      <c r="F697" s="18">
        <f>E697* 0.814615536880747</f>
        <v>0</v>
      </c>
      <c r="G697" s="18">
        <f>E697* 0.0763167839340663</f>
        <v>0</v>
      </c>
      <c r="H697" s="18">
        <f>E697* 0.109013694193014</f>
        <v>0</v>
      </c>
    </row>
    <row r="698" ht="15.75" hidden="1" customHeight="1">
      <c r="A698" s="15" t="s">
        <v>51</v>
      </c>
      <c r="B698" s="11" t="s">
        <v>101</v>
      </c>
      <c r="C698" s="15"/>
      <c r="D698" s="16" t="s">
        <v>21</v>
      </c>
      <c r="E698" s="17">
        <v>0.0</v>
      </c>
      <c r="F698" s="18">
        <f>E698* 0.999722052365334</f>
        <v>0</v>
      </c>
      <c r="G698" s="18">
        <v>0.0</v>
      </c>
      <c r="H698" s="18">
        <f>E698* 0.000277947634665629</f>
        <v>0</v>
      </c>
    </row>
    <row r="699" ht="15.75" hidden="1" customHeight="1">
      <c r="A699" s="15" t="s">
        <v>51</v>
      </c>
      <c r="B699" s="11" t="s">
        <v>101</v>
      </c>
      <c r="C699" s="15"/>
      <c r="D699" s="16" t="s">
        <v>37</v>
      </c>
      <c r="E699" s="17">
        <v>0.0</v>
      </c>
      <c r="F699" s="18">
        <f>E699* 0.0555555555555556</f>
        <v>0</v>
      </c>
      <c r="G699" s="18">
        <f>E699* 0.944444444444444</f>
        <v>0</v>
      </c>
      <c r="H699" s="20">
        <v>0.0</v>
      </c>
    </row>
    <row r="700" ht="15.75" hidden="1" customHeight="1">
      <c r="A700" s="15" t="s">
        <v>51</v>
      </c>
      <c r="B700" s="11" t="s">
        <v>101</v>
      </c>
      <c r="C700" s="15"/>
      <c r="D700" s="16" t="s">
        <v>28</v>
      </c>
      <c r="E700" s="17">
        <v>0.0</v>
      </c>
      <c r="F700" s="18">
        <f>E700* 0.00115651503469545</f>
        <v>0</v>
      </c>
      <c r="G700" s="18">
        <f>E700* 0.998843484965305</f>
        <v>0</v>
      </c>
      <c r="H700" s="20">
        <v>0.0</v>
      </c>
    </row>
    <row r="701" ht="15.75" hidden="1" customHeight="1">
      <c r="A701" s="15" t="s">
        <v>51</v>
      </c>
      <c r="B701" s="11" t="s">
        <v>101</v>
      </c>
      <c r="C701" s="15"/>
      <c r="D701" s="16" t="s">
        <v>12</v>
      </c>
      <c r="E701" s="17">
        <v>0.0</v>
      </c>
      <c r="F701" s="18">
        <f>E701* 0.924936238310357</f>
        <v>0</v>
      </c>
      <c r="G701" s="18">
        <f>E701* 0.0351064361799663</f>
        <v>0</v>
      </c>
      <c r="H701" s="18">
        <f>E701* 0.039932320925503</f>
        <v>0</v>
      </c>
    </row>
    <row r="702" ht="15.75" hidden="1" customHeight="1">
      <c r="A702" s="15" t="s">
        <v>51</v>
      </c>
      <c r="B702" s="8"/>
      <c r="C702" s="8"/>
      <c r="D702" s="9"/>
      <c r="E702" s="19"/>
    </row>
    <row r="703" ht="15.75" hidden="1" customHeight="1">
      <c r="A703" s="15" t="s">
        <v>51</v>
      </c>
      <c r="B703" s="11" t="s">
        <v>102</v>
      </c>
      <c r="C703" s="12" t="str">
        <f>B703&amp;"_"&amp;A703</f>
        <v>Tihuanacu_La Paz</v>
      </c>
      <c r="E703" s="13">
        <v>1.0</v>
      </c>
      <c r="F703" s="14">
        <f t="shared" ref="F703:H703" si="76">SUM(F704:F712)</f>
        <v>0.9997220524</v>
      </c>
      <c r="G703" s="14">
        <f t="shared" si="76"/>
        <v>0</v>
      </c>
      <c r="H703" s="14">
        <f t="shared" si="76"/>
        <v>0.0002779476347</v>
      </c>
    </row>
    <row r="704" ht="15.75" hidden="1" customHeight="1">
      <c r="A704" s="15" t="s">
        <v>51</v>
      </c>
      <c r="B704" s="11" t="s">
        <v>102</v>
      </c>
      <c r="C704" s="15"/>
      <c r="D704" s="16" t="s">
        <v>15</v>
      </c>
      <c r="E704" s="17">
        <v>0.0</v>
      </c>
      <c r="F704" s="18">
        <f>E704* 0.981163265034061</f>
        <v>0</v>
      </c>
      <c r="G704" s="18">
        <f>E704* 0.0027595216829083</f>
        <v>0</v>
      </c>
      <c r="H704" s="18">
        <f>E704* 0.0160372202151627</f>
        <v>0</v>
      </c>
    </row>
    <row r="705" ht="15.75" hidden="1" customHeight="1">
      <c r="A705" s="15" t="s">
        <v>51</v>
      </c>
      <c r="B705" s="11" t="s">
        <v>102</v>
      </c>
      <c r="C705" s="15"/>
      <c r="D705" s="16" t="s">
        <v>16</v>
      </c>
      <c r="E705" s="17">
        <v>0.0</v>
      </c>
      <c r="F705" s="18">
        <f>E705* 0.142974979378609</f>
        <v>0</v>
      </c>
      <c r="G705" s="18">
        <f>E705* 0.852350838603245</f>
        <v>0</v>
      </c>
      <c r="H705" s="18">
        <f>E705* 0.00467418201814682</f>
        <v>0</v>
      </c>
    </row>
    <row r="706" ht="15.75" hidden="1" customHeight="1">
      <c r="A706" s="15" t="s">
        <v>51</v>
      </c>
      <c r="B706" s="11" t="s">
        <v>102</v>
      </c>
      <c r="C706" s="15"/>
      <c r="D706" s="16" t="s">
        <v>11</v>
      </c>
      <c r="E706" s="17">
        <v>0.0</v>
      </c>
      <c r="F706" s="18">
        <f>E706* 0.178797409805735</f>
        <v>0</v>
      </c>
      <c r="G706" s="18">
        <f>E706* 0.819278445883441</f>
        <v>0</v>
      </c>
      <c r="H706" s="18">
        <f>E706* 0.00181313598519889</f>
        <v>0</v>
      </c>
    </row>
    <row r="707" ht="15.75" hidden="1" customHeight="1">
      <c r="A707" s="15" t="s">
        <v>51</v>
      </c>
      <c r="B707" s="11" t="s">
        <v>102</v>
      </c>
      <c r="C707" s="15"/>
      <c r="D707" s="16" t="s">
        <v>17</v>
      </c>
      <c r="E707" s="17">
        <v>0.0</v>
      </c>
      <c r="F707" s="18">
        <f>E707* 0.916446662218225</f>
        <v>0</v>
      </c>
      <c r="G707" s="18">
        <f>E707* 0.0292436682236212</f>
        <v>0</v>
      </c>
      <c r="H707" s="18">
        <f>E707* 0.0543096695581537</f>
        <v>0</v>
      </c>
    </row>
    <row r="708" ht="15.75" hidden="1" customHeight="1">
      <c r="A708" s="15" t="s">
        <v>51</v>
      </c>
      <c r="B708" s="11" t="s">
        <v>102</v>
      </c>
      <c r="C708" s="15"/>
      <c r="D708" s="16" t="s">
        <v>31</v>
      </c>
      <c r="E708" s="17">
        <v>0.0</v>
      </c>
      <c r="F708" s="18">
        <f>E708* 0.957442434210526</f>
        <v>0</v>
      </c>
      <c r="G708" s="18">
        <f>E708* 0.0158305921052632</f>
        <v>0</v>
      </c>
      <c r="H708" s="18">
        <f>E708* 0.0263157894736842</f>
        <v>0</v>
      </c>
    </row>
    <row r="709" ht="15.75" hidden="1" customHeight="1">
      <c r="A709" s="15" t="s">
        <v>51</v>
      </c>
      <c r="B709" s="11" t="s">
        <v>102</v>
      </c>
      <c r="C709" s="15"/>
      <c r="D709" s="16" t="s">
        <v>20</v>
      </c>
      <c r="E709" s="17">
        <v>0.0</v>
      </c>
      <c r="F709" s="18">
        <f>E709* 0.814615536880747</f>
        <v>0</v>
      </c>
      <c r="G709" s="18">
        <f>E709* 0.0763167839340663</f>
        <v>0</v>
      </c>
      <c r="H709" s="18">
        <f>E709* 0.109013694193014</f>
        <v>0</v>
      </c>
    </row>
    <row r="710" ht="15.75" hidden="1" customHeight="1">
      <c r="A710" s="15" t="s">
        <v>51</v>
      </c>
      <c r="B710" s="11" t="s">
        <v>102</v>
      </c>
      <c r="C710" s="15"/>
      <c r="D710" s="16" t="s">
        <v>21</v>
      </c>
      <c r="E710" s="17">
        <v>1.0</v>
      </c>
      <c r="F710" s="18">
        <f>E710* 0.999722052365334</f>
        <v>0.9997220524</v>
      </c>
      <c r="G710" s="18">
        <v>0.0</v>
      </c>
      <c r="H710" s="18">
        <f>E710* 0.000277947634665629</f>
        <v>0.0002779476347</v>
      </c>
    </row>
    <row r="711" ht="15.75" hidden="1" customHeight="1">
      <c r="A711" s="15" t="s">
        <v>51</v>
      </c>
      <c r="B711" s="11" t="s">
        <v>102</v>
      </c>
      <c r="C711" s="15"/>
      <c r="D711" s="16" t="s">
        <v>36</v>
      </c>
      <c r="E711" s="17">
        <v>0.0</v>
      </c>
      <c r="F711" s="18">
        <f>E711* 0.999132697311362</f>
        <v>0</v>
      </c>
      <c r="G711" s="20">
        <v>0.0</v>
      </c>
      <c r="H711" s="18">
        <f>E711* 0.000867302688638335</f>
        <v>0</v>
      </c>
    </row>
    <row r="712" ht="15.75" hidden="1" customHeight="1">
      <c r="A712" s="15" t="s">
        <v>51</v>
      </c>
      <c r="B712" s="11" t="s">
        <v>102</v>
      </c>
      <c r="C712" s="15"/>
      <c r="D712" s="16" t="s">
        <v>12</v>
      </c>
      <c r="E712" s="17">
        <v>0.0</v>
      </c>
      <c r="F712" s="18">
        <f>E712* 0.924936238310357</f>
        <v>0</v>
      </c>
      <c r="G712" s="18">
        <f>E712* 0.0351064361799663</f>
        <v>0</v>
      </c>
      <c r="H712" s="18">
        <f>E712* 0.039932320925503</f>
        <v>0</v>
      </c>
    </row>
    <row r="713" ht="15.75" hidden="1" customHeight="1">
      <c r="A713" s="15" t="s">
        <v>51</v>
      </c>
      <c r="B713" s="8"/>
      <c r="C713" s="8"/>
      <c r="D713" s="9"/>
      <c r="E713" s="19"/>
    </row>
    <row r="714" ht="15.75" hidden="1" customHeight="1">
      <c r="A714" s="15" t="s">
        <v>51</v>
      </c>
      <c r="B714" s="11" t="s">
        <v>103</v>
      </c>
      <c r="C714" s="12" t="str">
        <f>B714&amp;"_"&amp;A714</f>
        <v>Umala_La Paz</v>
      </c>
      <c r="E714" s="13">
        <v>4.0</v>
      </c>
      <c r="F714" s="14">
        <f t="shared" ref="F714:H714" si="77">SUM(F715:F719)</f>
        <v>2.16315529</v>
      </c>
      <c r="G714" s="14">
        <f t="shared" si="77"/>
        <v>1.735979389</v>
      </c>
      <c r="H714" s="14">
        <f t="shared" si="77"/>
        <v>0.1007293085</v>
      </c>
    </row>
    <row r="715" ht="15.75" hidden="1" customHeight="1">
      <c r="A715" s="15" t="s">
        <v>51</v>
      </c>
      <c r="B715" s="11" t="s">
        <v>103</v>
      </c>
      <c r="C715" s="15"/>
      <c r="D715" s="16" t="s">
        <v>53</v>
      </c>
      <c r="E715" s="17">
        <v>0.0</v>
      </c>
      <c r="F715" s="20">
        <v>0.0</v>
      </c>
      <c r="G715" s="20">
        <f>E715</f>
        <v>0</v>
      </c>
      <c r="H715" s="20">
        <v>0.0</v>
      </c>
    </row>
    <row r="716" ht="15.75" hidden="1" customHeight="1">
      <c r="A716" s="15" t="s">
        <v>51</v>
      </c>
      <c r="B716" s="11" t="s">
        <v>103</v>
      </c>
      <c r="C716" s="15"/>
      <c r="D716" s="16" t="s">
        <v>16</v>
      </c>
      <c r="E716" s="17">
        <v>1.0</v>
      </c>
      <c r="F716" s="18">
        <f>E716* 0.142974979378609</f>
        <v>0.1429749794</v>
      </c>
      <c r="G716" s="18">
        <f>E716* 0.852350838603245</f>
        <v>0.8523508386</v>
      </c>
      <c r="H716" s="18">
        <f>E716* 0.00467418201814682</f>
        <v>0.004674182018</v>
      </c>
    </row>
    <row r="717" ht="15.75" hidden="1" customHeight="1">
      <c r="A717" s="15" t="s">
        <v>51</v>
      </c>
      <c r="B717" s="11" t="s">
        <v>103</v>
      </c>
      <c r="C717" s="15"/>
      <c r="D717" s="16" t="s">
        <v>11</v>
      </c>
      <c r="E717" s="17">
        <v>1.0</v>
      </c>
      <c r="F717" s="18">
        <f>E717* 0.178797409805735</f>
        <v>0.1787974098</v>
      </c>
      <c r="G717" s="18">
        <f>E717* 0.819278445883441</f>
        <v>0.8192784459</v>
      </c>
      <c r="H717" s="18">
        <f>E717* 0.00181313598519889</f>
        <v>0.001813135985</v>
      </c>
    </row>
    <row r="718" ht="15.75" hidden="1" customHeight="1">
      <c r="A718" s="15" t="s">
        <v>51</v>
      </c>
      <c r="B718" s="11" t="s">
        <v>103</v>
      </c>
      <c r="C718" s="15"/>
      <c r="D718" s="16" t="s">
        <v>17</v>
      </c>
      <c r="E718" s="17">
        <v>1.0</v>
      </c>
      <c r="F718" s="18">
        <f>E718* 0.916446662218225</f>
        <v>0.9164466622</v>
      </c>
      <c r="G718" s="18">
        <f>E718* 0.0292436682236212</f>
        <v>0.02924366822</v>
      </c>
      <c r="H718" s="18">
        <f>E718* 0.0543096695581537</f>
        <v>0.05430966956</v>
      </c>
    </row>
    <row r="719" ht="15.75" hidden="1" customHeight="1">
      <c r="A719" s="15" t="s">
        <v>51</v>
      </c>
      <c r="B719" s="11" t="s">
        <v>103</v>
      </c>
      <c r="C719" s="15"/>
      <c r="D719" s="16" t="s">
        <v>12</v>
      </c>
      <c r="E719" s="17">
        <v>1.0</v>
      </c>
      <c r="F719" s="18">
        <f>E719* 0.924936238310357</f>
        <v>0.9249362383</v>
      </c>
      <c r="G719" s="18">
        <f>E719* 0.0351064361799663</f>
        <v>0.03510643618</v>
      </c>
      <c r="H719" s="18">
        <f>E719* 0.039932320925503</f>
        <v>0.03993232093</v>
      </c>
    </row>
    <row r="720" ht="15.75" hidden="1" customHeight="1">
      <c r="A720" s="15" t="s">
        <v>51</v>
      </c>
      <c r="B720" s="8"/>
      <c r="C720" s="8"/>
      <c r="D720" s="9"/>
      <c r="E720" s="19"/>
    </row>
    <row r="721" ht="15.75" hidden="1" customHeight="1">
      <c r="A721" s="15" t="s">
        <v>51</v>
      </c>
      <c r="B721" s="11" t="s">
        <v>104</v>
      </c>
      <c r="C721" s="12" t="str">
        <f>B721&amp;"_"&amp;A721</f>
        <v>Viacha_La Paz</v>
      </c>
      <c r="E721" s="22">
        <v>9018.0</v>
      </c>
      <c r="F721" s="14">
        <f t="shared" ref="F721:H721" si="78">SUM(F722:F735)</f>
        <v>7596.560176</v>
      </c>
      <c r="G721" s="14">
        <f t="shared" si="78"/>
        <v>1070.075797</v>
      </c>
      <c r="H721" s="14">
        <f t="shared" si="78"/>
        <v>351.029028</v>
      </c>
    </row>
    <row r="722" ht="15.75" hidden="1" customHeight="1">
      <c r="A722" s="15" t="s">
        <v>51</v>
      </c>
      <c r="B722" s="11" t="s">
        <v>104</v>
      </c>
      <c r="C722" s="15"/>
      <c r="D722" s="16" t="s">
        <v>53</v>
      </c>
      <c r="E722" s="17">
        <v>0.0</v>
      </c>
      <c r="F722" s="20">
        <v>0.0</v>
      </c>
      <c r="G722" s="20">
        <f>E722</f>
        <v>0</v>
      </c>
      <c r="H722" s="20">
        <v>0.0</v>
      </c>
    </row>
    <row r="723" ht="15.75" hidden="1" customHeight="1">
      <c r="A723" s="15" t="s">
        <v>51</v>
      </c>
      <c r="B723" s="11" t="s">
        <v>104</v>
      </c>
      <c r="C723" s="15"/>
      <c r="D723" s="16" t="s">
        <v>15</v>
      </c>
      <c r="E723" s="23">
        <v>1080.0</v>
      </c>
      <c r="F723" s="18">
        <f>E723* 0.981163265034061</f>
        <v>1059.656326</v>
      </c>
      <c r="G723" s="18">
        <f>E723* 0.0027595216829083</f>
        <v>2.980283418</v>
      </c>
      <c r="H723" s="18">
        <f>E723* 0.0160372202151627</f>
        <v>17.32019783</v>
      </c>
    </row>
    <row r="724" ht="15.75" hidden="1" customHeight="1">
      <c r="A724" s="15" t="s">
        <v>51</v>
      </c>
      <c r="B724" s="11" t="s">
        <v>104</v>
      </c>
      <c r="C724" s="15"/>
      <c r="D724" s="16" t="s">
        <v>16</v>
      </c>
      <c r="E724" s="17">
        <v>67.0</v>
      </c>
      <c r="F724" s="18">
        <f>E724* 0.142974979378609</f>
        <v>9.579323618</v>
      </c>
      <c r="G724" s="18">
        <f>E724* 0.852350838603245</f>
        <v>57.10750619</v>
      </c>
      <c r="H724" s="18">
        <f>E724* 0.00467418201814682</f>
        <v>0.3131701952</v>
      </c>
    </row>
    <row r="725" ht="15.75" hidden="1" customHeight="1">
      <c r="A725" s="15" t="s">
        <v>51</v>
      </c>
      <c r="B725" s="11" t="s">
        <v>104</v>
      </c>
      <c r="C725" s="15"/>
      <c r="D725" s="16" t="s">
        <v>11</v>
      </c>
      <c r="E725" s="17">
        <v>740.0</v>
      </c>
      <c r="F725" s="18">
        <f>E725* 0.178797409805735</f>
        <v>132.3100833</v>
      </c>
      <c r="G725" s="18">
        <f>E725* 0.819278445883441</f>
        <v>606.26605</v>
      </c>
      <c r="H725" s="18">
        <f>E725* 0.00181313598519889</f>
        <v>1.341720629</v>
      </c>
    </row>
    <row r="726" ht="15.75" hidden="1" customHeight="1">
      <c r="A726" s="15" t="s">
        <v>51</v>
      </c>
      <c r="B726" s="11" t="s">
        <v>104</v>
      </c>
      <c r="C726" s="15"/>
      <c r="D726" s="16" t="s">
        <v>17</v>
      </c>
      <c r="E726" s="17">
        <v>579.0</v>
      </c>
      <c r="F726" s="18">
        <f>E726* 0.916446662218225</f>
        <v>530.6226174</v>
      </c>
      <c r="G726" s="18">
        <f>E726* 0.0292436682236212</f>
        <v>16.9320839</v>
      </c>
      <c r="H726" s="18">
        <f>E726* 0.0543096695581537</f>
        <v>31.44529867</v>
      </c>
    </row>
    <row r="727" ht="15.75" hidden="1" customHeight="1">
      <c r="A727" s="15" t="s">
        <v>51</v>
      </c>
      <c r="B727" s="11" t="s">
        <v>104</v>
      </c>
      <c r="C727" s="15"/>
      <c r="D727" s="16" t="s">
        <v>31</v>
      </c>
      <c r="E727" s="17">
        <v>68.0</v>
      </c>
      <c r="F727" s="18">
        <f>E727* 0.957442434210526</f>
        <v>65.10608553</v>
      </c>
      <c r="G727" s="18">
        <f>E727* 0.0158305921052632</f>
        <v>1.076480263</v>
      </c>
      <c r="H727" s="18">
        <f>E727* 0.0263157894736842</f>
        <v>1.789473684</v>
      </c>
    </row>
    <row r="728" ht="15.75" hidden="1" customHeight="1">
      <c r="A728" s="15" t="s">
        <v>51</v>
      </c>
      <c r="B728" s="11" t="s">
        <v>104</v>
      </c>
      <c r="C728" s="15"/>
      <c r="D728" s="16" t="s">
        <v>18</v>
      </c>
      <c r="E728" s="17">
        <v>180.0</v>
      </c>
      <c r="F728" s="18">
        <f>E728* 0.983388008654987</f>
        <v>177.0098416</v>
      </c>
      <c r="G728" s="18">
        <f>E728* 0.0133314720457877</f>
        <v>2.399664968</v>
      </c>
      <c r="H728" s="18">
        <f>E728* 0.003210721016263</f>
        <v>0.5779297829</v>
      </c>
    </row>
    <row r="729" ht="15.75" hidden="1" customHeight="1">
      <c r="A729" s="15" t="s">
        <v>51</v>
      </c>
      <c r="B729" s="11" t="s">
        <v>104</v>
      </c>
      <c r="C729" s="15"/>
      <c r="D729" s="16" t="s">
        <v>19</v>
      </c>
      <c r="E729" s="17">
        <v>68.0</v>
      </c>
      <c r="F729" s="18">
        <f>E729* 0.511826182618262</f>
        <v>34.80418042</v>
      </c>
      <c r="G729" s="18">
        <f>E729* 0.476622662266227</f>
        <v>32.41034103</v>
      </c>
      <c r="H729" s="18">
        <f>E729* 0.0115511551155116</f>
        <v>0.7854785479</v>
      </c>
    </row>
    <row r="730" ht="15.75" hidden="1" customHeight="1">
      <c r="A730" s="15" t="s">
        <v>51</v>
      </c>
      <c r="B730" s="11" t="s">
        <v>104</v>
      </c>
      <c r="C730" s="15"/>
      <c r="D730" s="16" t="s">
        <v>20</v>
      </c>
      <c r="E730" s="23">
        <v>1190.0</v>
      </c>
      <c r="F730" s="18">
        <f>E730* 0.814615536880747</f>
        <v>969.3924889</v>
      </c>
      <c r="G730" s="18">
        <f>E730* 0.0763167839340663</f>
        <v>90.81697288</v>
      </c>
      <c r="H730" s="18">
        <f>E730* 0.109013694193014</f>
        <v>129.7262961</v>
      </c>
    </row>
    <row r="731" ht="15.75" hidden="1" customHeight="1">
      <c r="A731" s="15" t="s">
        <v>51</v>
      </c>
      <c r="B731" s="11" t="s">
        <v>104</v>
      </c>
      <c r="C731" s="15"/>
      <c r="D731" s="16" t="s">
        <v>21</v>
      </c>
      <c r="E731" s="17">
        <v>724.0</v>
      </c>
      <c r="F731" s="18">
        <f>E731* 0.999722052365334</f>
        <v>723.7987659</v>
      </c>
      <c r="G731" s="18">
        <v>0.0</v>
      </c>
      <c r="H731" s="18">
        <f>E731* 0.000277947634665629</f>
        <v>0.2012340875</v>
      </c>
    </row>
    <row r="732" ht="15.75" hidden="1" customHeight="1">
      <c r="A732" s="15" t="s">
        <v>51</v>
      </c>
      <c r="B732" s="11" t="s">
        <v>104</v>
      </c>
      <c r="C732" s="15"/>
      <c r="D732" s="16" t="s">
        <v>36</v>
      </c>
      <c r="E732" s="17">
        <v>14.0</v>
      </c>
      <c r="F732" s="18">
        <f>E732* 0.999132697311362</f>
        <v>13.98785776</v>
      </c>
      <c r="G732" s="20">
        <v>0.0</v>
      </c>
      <c r="H732" s="18">
        <f>E732* 0.000867302688638335</f>
        <v>0.01214223764</v>
      </c>
    </row>
    <row r="733" ht="15.75" hidden="1" customHeight="1">
      <c r="A733" s="15" t="s">
        <v>51</v>
      </c>
      <c r="B733" s="11" t="s">
        <v>104</v>
      </c>
      <c r="C733" s="15"/>
      <c r="D733" s="16" t="s">
        <v>37</v>
      </c>
      <c r="E733" s="17">
        <v>1.0</v>
      </c>
      <c r="F733" s="18">
        <f>E733* 0.0555555555555556</f>
        <v>0.05555555556</v>
      </c>
      <c r="G733" s="18">
        <f>E733* 0.944444444444444</f>
        <v>0.9444444444</v>
      </c>
      <c r="H733" s="20">
        <v>0.0</v>
      </c>
    </row>
    <row r="734" ht="15.75" hidden="1" customHeight="1">
      <c r="A734" s="15" t="s">
        <v>51</v>
      </c>
      <c r="B734" s="11" t="s">
        <v>104</v>
      </c>
      <c r="C734" s="15"/>
      <c r="D734" s="16" t="s">
        <v>28</v>
      </c>
      <c r="E734" s="17">
        <v>112.0</v>
      </c>
      <c r="F734" s="18">
        <f>E734* 0.00115651503469545</f>
        <v>0.1295296839</v>
      </c>
      <c r="G734" s="18">
        <f>E734* 0.998843484965305</f>
        <v>111.8704703</v>
      </c>
      <c r="H734" s="20">
        <v>0.0</v>
      </c>
    </row>
    <row r="735" ht="15.75" hidden="1" customHeight="1">
      <c r="A735" s="15" t="s">
        <v>51</v>
      </c>
      <c r="B735" s="11" t="s">
        <v>104</v>
      </c>
      <c r="C735" s="15"/>
      <c r="D735" s="25" t="s">
        <v>12</v>
      </c>
      <c r="E735" s="27">
        <v>4195.0</v>
      </c>
      <c r="F735" s="18">
        <f>E735* 0.924936238310357</f>
        <v>3880.10752</v>
      </c>
      <c r="G735" s="18">
        <f>E735* 0.0351064361799663</f>
        <v>147.2714998</v>
      </c>
      <c r="H735" s="18">
        <f>E735* 0.039932320925503</f>
        <v>167.5160863</v>
      </c>
    </row>
    <row r="736" ht="15.75" hidden="1" customHeight="1">
      <c r="A736" s="15" t="s">
        <v>105</v>
      </c>
      <c r="B736" s="11" t="s">
        <v>106</v>
      </c>
      <c r="C736" s="12" t="str">
        <f>B736&amp;"_"&amp;A736</f>
        <v>Aiquile_Cochabamba</v>
      </c>
      <c r="E736" s="13">
        <v>51.0</v>
      </c>
      <c r="F736" s="14">
        <f t="shared" ref="F736:H736" si="79">SUM(F737:F746)</f>
        <v>39.98614631</v>
      </c>
      <c r="G736" s="14">
        <f t="shared" si="79"/>
        <v>8.770994614</v>
      </c>
      <c r="H736" s="14">
        <f t="shared" si="79"/>
        <v>2.239221576</v>
      </c>
    </row>
    <row r="737" ht="15.75" hidden="1" customHeight="1">
      <c r="A737" s="15" t="s">
        <v>105</v>
      </c>
      <c r="B737" s="11" t="s">
        <v>106</v>
      </c>
      <c r="C737" s="15"/>
      <c r="D737" s="16" t="s">
        <v>14</v>
      </c>
      <c r="E737" s="17">
        <v>0.0</v>
      </c>
      <c r="F737" s="20">
        <v>0.0</v>
      </c>
      <c r="G737" s="20">
        <f>E737</f>
        <v>0</v>
      </c>
      <c r="H737" s="20">
        <v>0.0</v>
      </c>
    </row>
    <row r="738" ht="15.75" hidden="1" customHeight="1">
      <c r="A738" s="15" t="s">
        <v>105</v>
      </c>
      <c r="B738" s="11" t="s">
        <v>106</v>
      </c>
      <c r="C738" s="15"/>
      <c r="D738" s="16" t="s">
        <v>15</v>
      </c>
      <c r="E738" s="17">
        <v>1.0</v>
      </c>
      <c r="F738" s="18">
        <f>E738* 0.932775698199239</f>
        <v>0.9327756982</v>
      </c>
      <c r="G738" s="18">
        <f>E738* 0.00808724987291465</f>
        <v>0.008087249873</v>
      </c>
      <c r="H738" s="18">
        <f>E738*0.0590600305004852</f>
        <v>0.0590600305</v>
      </c>
    </row>
    <row r="739" ht="15.75" hidden="1" customHeight="1">
      <c r="A739" s="15" t="s">
        <v>105</v>
      </c>
      <c r="B739" s="11" t="s">
        <v>106</v>
      </c>
      <c r="C739" s="15"/>
      <c r="D739" s="16" t="s">
        <v>16</v>
      </c>
      <c r="E739" s="17">
        <v>0.0</v>
      </c>
      <c r="F739" s="18">
        <f>E739* 0.0803212851405623</f>
        <v>0</v>
      </c>
      <c r="G739" s="18">
        <f>E739* 0.913367756741251</f>
        <v>0</v>
      </c>
      <c r="H739" s="18">
        <f>E739* 0.0057372346528973</f>
        <v>0</v>
      </c>
    </row>
    <row r="740" ht="15.75" hidden="1" customHeight="1">
      <c r="A740" s="15" t="s">
        <v>105</v>
      </c>
      <c r="B740" s="11" t="s">
        <v>106</v>
      </c>
      <c r="C740" s="15"/>
      <c r="D740" s="16" t="s">
        <v>11</v>
      </c>
      <c r="E740" s="17">
        <v>7.0</v>
      </c>
      <c r="F740" s="18">
        <f>E740* 0.150611071171819</f>
        <v>1.054277498</v>
      </c>
      <c r="G740" s="18">
        <f>E740* 0.847699496764917</f>
        <v>5.933896477</v>
      </c>
      <c r="H740" s="18">
        <f>E740* 0.00136592379583034</f>
        <v>0.009561466571</v>
      </c>
    </row>
    <row r="741" ht="15.75" hidden="1" customHeight="1">
      <c r="A741" s="15" t="s">
        <v>105</v>
      </c>
      <c r="B741" s="11" t="s">
        <v>106</v>
      </c>
      <c r="C741" s="15"/>
      <c r="D741" s="16" t="s">
        <v>17</v>
      </c>
      <c r="E741" s="17">
        <v>14.0</v>
      </c>
      <c r="F741" s="18">
        <f>E741* 0.840430229624022</f>
        <v>11.76602321</v>
      </c>
      <c r="G741" s="18">
        <f>E741* 0.0777504415846581</f>
        <v>1.088506182</v>
      </c>
      <c r="H741" s="18">
        <f>E741* 0.0817877870300278</f>
        <v>1.145029018</v>
      </c>
    </row>
    <row r="742" ht="15.75" hidden="1" customHeight="1">
      <c r="A742" s="15" t="s">
        <v>105</v>
      </c>
      <c r="B742" s="11" t="s">
        <v>106</v>
      </c>
      <c r="C742" s="15"/>
      <c r="D742" s="16" t="s">
        <v>31</v>
      </c>
      <c r="E742" s="17">
        <v>2.0</v>
      </c>
      <c r="F742" s="18">
        <f>E742* 0.901975683890578</f>
        <v>1.803951368</v>
      </c>
      <c r="G742" s="18">
        <f>E742* 0.0364741641337386</f>
        <v>0.07294832827</v>
      </c>
      <c r="H742" s="18">
        <f>E742* 0.0615501519756839</f>
        <v>0.123100304</v>
      </c>
    </row>
    <row r="743" ht="15.75" hidden="1" customHeight="1">
      <c r="A743" s="15" t="s">
        <v>105</v>
      </c>
      <c r="B743" s="11" t="s">
        <v>106</v>
      </c>
      <c r="C743" s="15"/>
      <c r="D743" s="16" t="s">
        <v>18</v>
      </c>
      <c r="E743" s="17">
        <v>15.0</v>
      </c>
      <c r="F743" s="18">
        <f>E743* 0.932934264493959</f>
        <v>13.99401397</v>
      </c>
      <c r="G743" s="18">
        <f>E743* 0.0585300964416362</f>
        <v>0.8779514466</v>
      </c>
      <c r="H743" s="18">
        <f>E743* 0.00853563906440528</f>
        <v>0.128034586</v>
      </c>
    </row>
    <row r="744" ht="15.75" hidden="1" customHeight="1">
      <c r="A744" s="15" t="s">
        <v>105</v>
      </c>
      <c r="B744" s="11" t="s">
        <v>106</v>
      </c>
      <c r="C744" s="15"/>
      <c r="D744" s="16" t="s">
        <v>20</v>
      </c>
      <c r="E744" s="17">
        <v>1.0</v>
      </c>
      <c r="F744" s="18">
        <f>E744* 0.686268801552644</f>
        <v>0.6862688016</v>
      </c>
      <c r="G744" s="18">
        <f>E744* 0.196991751576904</f>
        <v>0.1969917516</v>
      </c>
      <c r="H744" s="18">
        <f>E744* 0.116642406598738</f>
        <v>0.1166424066</v>
      </c>
    </row>
    <row r="745" ht="15.75" hidden="1" customHeight="1">
      <c r="A745" s="15" t="s">
        <v>105</v>
      </c>
      <c r="B745" s="11" t="s">
        <v>106</v>
      </c>
      <c r="C745" s="15"/>
      <c r="D745" s="16" t="s">
        <v>21</v>
      </c>
      <c r="E745" s="17">
        <v>3.0</v>
      </c>
      <c r="F745" s="18">
        <f>E745* 0.999513766486355</f>
        <v>2.998541299</v>
      </c>
      <c r="G745" s="18">
        <f>E745* 0.0000243116756822464</f>
        <v>0.00007293502705</v>
      </c>
      <c r="H745" s="18">
        <f>E745* 0.00034036345955145</f>
        <v>0.001021090379</v>
      </c>
    </row>
    <row r="746" ht="15.75" hidden="1" customHeight="1">
      <c r="A746" s="15" t="s">
        <v>105</v>
      </c>
      <c r="B746" s="11" t="s">
        <v>106</v>
      </c>
      <c r="C746" s="15"/>
      <c r="D746" s="16" t="s">
        <v>12</v>
      </c>
      <c r="E746" s="17">
        <v>8.0</v>
      </c>
      <c r="F746" s="18">
        <f>E746* 0.843786808009423</f>
        <v>6.750294464</v>
      </c>
      <c r="G746" s="18">
        <f>E746* 0.0740675304279545</f>
        <v>0.5925402434</v>
      </c>
      <c r="H746" s="18">
        <f>E746* 0.0820965842167256</f>
        <v>0.6567726737</v>
      </c>
    </row>
    <row r="747" ht="15.75" hidden="1" customHeight="1">
      <c r="A747" s="15" t="s">
        <v>105</v>
      </c>
      <c r="B747" s="8"/>
      <c r="C747" s="8"/>
      <c r="D747" s="9"/>
      <c r="E747" s="19"/>
    </row>
    <row r="748" ht="15.75" hidden="1" customHeight="1">
      <c r="A748" s="15" t="s">
        <v>105</v>
      </c>
      <c r="B748" s="11" t="s">
        <v>107</v>
      </c>
      <c r="C748" s="12" t="str">
        <f>B748&amp;"_"&amp;A748</f>
        <v>Alalay_Cochabamba</v>
      </c>
      <c r="E748" s="13">
        <v>2.0</v>
      </c>
      <c r="F748" s="14">
        <f t="shared" ref="F748:H748" si="80">SUM(F749)</f>
        <v>1.999027533</v>
      </c>
      <c r="G748" s="14">
        <f t="shared" si="80"/>
        <v>0.00004862335136</v>
      </c>
      <c r="H748" s="14">
        <f t="shared" si="80"/>
        <v>0.0006807269191</v>
      </c>
    </row>
    <row r="749" ht="15.75" hidden="1" customHeight="1">
      <c r="A749" s="15" t="s">
        <v>105</v>
      </c>
      <c r="B749" s="11" t="s">
        <v>107</v>
      </c>
      <c r="C749" s="15"/>
      <c r="D749" s="16" t="s">
        <v>21</v>
      </c>
      <c r="E749" s="17">
        <v>2.0</v>
      </c>
      <c r="F749" s="18">
        <f>E749* 0.999513766486355</f>
        <v>1.999027533</v>
      </c>
      <c r="G749" s="18">
        <f>E749* 0.0000243116756822464</f>
        <v>0.00004862335136</v>
      </c>
      <c r="H749" s="18">
        <f>E749* 0.00034036345955145</f>
        <v>0.0006807269191</v>
      </c>
    </row>
    <row r="750" ht="15.75" hidden="1" customHeight="1">
      <c r="A750" s="15" t="s">
        <v>105</v>
      </c>
      <c r="B750" s="8"/>
      <c r="C750" s="8"/>
      <c r="D750" s="9"/>
      <c r="E750" s="19"/>
    </row>
    <row r="751" ht="15.75" hidden="1" customHeight="1">
      <c r="A751" s="15" t="s">
        <v>105</v>
      </c>
      <c r="B751" s="11" t="s">
        <v>108</v>
      </c>
      <c r="C751" s="12" t="str">
        <f>B751&amp;"_"&amp;A751</f>
        <v>Anzaldo_Cochabamba</v>
      </c>
      <c r="E751" s="13">
        <v>1.0</v>
      </c>
      <c r="F751" s="14">
        <f t="shared" ref="F751:H751" si="81">SUM(F752:F758)</f>
        <v>0.9995137665</v>
      </c>
      <c r="G751" s="14">
        <f t="shared" si="81"/>
        <v>0.00002431167568</v>
      </c>
      <c r="H751" s="14">
        <f t="shared" si="81"/>
        <v>0.0003403634596</v>
      </c>
    </row>
    <row r="752" ht="15.75" hidden="1" customHeight="1">
      <c r="A752" s="15" t="s">
        <v>105</v>
      </c>
      <c r="B752" s="11" t="s">
        <v>108</v>
      </c>
      <c r="C752" s="15"/>
      <c r="D752" s="16" t="s">
        <v>15</v>
      </c>
      <c r="E752" s="17">
        <v>0.0</v>
      </c>
      <c r="F752" s="18">
        <f>E752* 0.932775698199239</f>
        <v>0</v>
      </c>
      <c r="G752" s="18">
        <f>E752* 0.00808724987291465</f>
        <v>0</v>
      </c>
      <c r="H752" s="18">
        <f>E752*0.0590600305004852</f>
        <v>0</v>
      </c>
    </row>
    <row r="753" ht="15.75" hidden="1" customHeight="1">
      <c r="A753" s="15" t="s">
        <v>105</v>
      </c>
      <c r="B753" s="11" t="s">
        <v>108</v>
      </c>
      <c r="C753" s="15"/>
      <c r="D753" s="16" t="s">
        <v>11</v>
      </c>
      <c r="E753" s="17">
        <v>0.0</v>
      </c>
      <c r="F753" s="18">
        <f>E753* 0.150611071171819</f>
        <v>0</v>
      </c>
      <c r="G753" s="18">
        <f>E753* 0.847699496764917</f>
        <v>0</v>
      </c>
      <c r="H753" s="18">
        <f>E753* 0.00136592379583034</f>
        <v>0</v>
      </c>
    </row>
    <row r="754" ht="15.75" hidden="1" customHeight="1">
      <c r="A754" s="15" t="s">
        <v>105</v>
      </c>
      <c r="B754" s="11" t="s">
        <v>108</v>
      </c>
      <c r="C754" s="15"/>
      <c r="D754" s="16" t="s">
        <v>17</v>
      </c>
      <c r="E754" s="17">
        <v>0.0</v>
      </c>
      <c r="F754" s="18">
        <f>E754* 0.840430229624022</f>
        <v>0</v>
      </c>
      <c r="G754" s="18">
        <f>E754* 0.0777504415846581</f>
        <v>0</v>
      </c>
      <c r="H754" s="18">
        <f>E754* 0.0817877870300278</f>
        <v>0</v>
      </c>
    </row>
    <row r="755" ht="15.75" hidden="1" customHeight="1">
      <c r="A755" s="15" t="s">
        <v>105</v>
      </c>
      <c r="B755" s="11" t="s">
        <v>108</v>
      </c>
      <c r="C755" s="15"/>
      <c r="D755" s="16" t="s">
        <v>31</v>
      </c>
      <c r="E755" s="17">
        <v>0.0</v>
      </c>
      <c r="F755" s="18">
        <f>E755* 0.901975683890578</f>
        <v>0</v>
      </c>
      <c r="G755" s="18">
        <f>E755* 0.0364741641337386</f>
        <v>0</v>
      </c>
      <c r="H755" s="18">
        <f>E755* 0.0615501519756839</f>
        <v>0</v>
      </c>
    </row>
    <row r="756" ht="15.75" hidden="1" customHeight="1">
      <c r="A756" s="15" t="s">
        <v>105</v>
      </c>
      <c r="B756" s="11" t="s">
        <v>108</v>
      </c>
      <c r="C756" s="15"/>
      <c r="D756" s="16" t="s">
        <v>20</v>
      </c>
      <c r="E756" s="17">
        <v>0.0</v>
      </c>
      <c r="F756" s="18">
        <f>E756* 0.686268801552644</f>
        <v>0</v>
      </c>
      <c r="G756" s="18">
        <f>E756* 0.196991751576904</f>
        <v>0</v>
      </c>
      <c r="H756" s="18">
        <f>E756* 0.116642406598738</f>
        <v>0</v>
      </c>
    </row>
    <row r="757" ht="15.75" hidden="1" customHeight="1">
      <c r="A757" s="15" t="s">
        <v>105</v>
      </c>
      <c r="B757" s="11" t="s">
        <v>108</v>
      </c>
      <c r="C757" s="15"/>
      <c r="D757" s="16" t="s">
        <v>21</v>
      </c>
      <c r="E757" s="17">
        <v>1.0</v>
      </c>
      <c r="F757" s="18">
        <f>E757* 0.999513766486355</f>
        <v>0.9995137665</v>
      </c>
      <c r="G757" s="18">
        <f>E757* 0.0000243116756822464</f>
        <v>0.00002431167568</v>
      </c>
      <c r="H757" s="18">
        <f>E757* 0.00034036345955145</f>
        <v>0.0003403634596</v>
      </c>
    </row>
    <row r="758" ht="15.75" hidden="1" customHeight="1">
      <c r="A758" s="15" t="s">
        <v>105</v>
      </c>
      <c r="B758" s="11" t="s">
        <v>108</v>
      </c>
      <c r="C758" s="15"/>
      <c r="D758" s="16" t="s">
        <v>12</v>
      </c>
      <c r="E758" s="17">
        <v>0.0</v>
      </c>
      <c r="F758" s="18">
        <f>E758* 0.843786808009423</f>
        <v>0</v>
      </c>
      <c r="G758" s="18">
        <f>E758* 0.0740675304279545</f>
        <v>0</v>
      </c>
      <c r="H758" s="18">
        <f>E758* 0.0820965842167256</f>
        <v>0</v>
      </c>
    </row>
    <row r="759" ht="15.75" hidden="1" customHeight="1">
      <c r="A759" s="15" t="s">
        <v>105</v>
      </c>
      <c r="B759" s="8"/>
      <c r="C759" s="8"/>
      <c r="D759" s="9"/>
      <c r="E759" s="19"/>
    </row>
    <row r="760" ht="15.75" hidden="1" customHeight="1">
      <c r="A760" s="15" t="s">
        <v>105</v>
      </c>
      <c r="B760" s="11" t="s">
        <v>109</v>
      </c>
      <c r="C760" s="12" t="str">
        <f>B760&amp;"_"&amp;A760</f>
        <v>Arani_Cochabamba</v>
      </c>
      <c r="E760" s="13">
        <v>49.0</v>
      </c>
      <c r="F760" s="14">
        <f t="shared" ref="F760:H760" si="82">SUM(F761:F769)</f>
        <v>30.62615656</v>
      </c>
      <c r="G760" s="14">
        <f t="shared" si="82"/>
        <v>16.26580127</v>
      </c>
      <c r="H760" s="14">
        <f t="shared" si="82"/>
        <v>2.100302883</v>
      </c>
    </row>
    <row r="761" ht="15.75" hidden="1" customHeight="1">
      <c r="A761" s="15" t="s">
        <v>105</v>
      </c>
      <c r="B761" s="11" t="s">
        <v>109</v>
      </c>
      <c r="C761" s="15"/>
      <c r="D761" s="16" t="s">
        <v>14</v>
      </c>
      <c r="E761" s="28">
        <v>0.0</v>
      </c>
      <c r="F761" s="20">
        <v>0.0</v>
      </c>
      <c r="G761" s="20">
        <f>E761</f>
        <v>0</v>
      </c>
      <c r="H761" s="20">
        <v>0.0</v>
      </c>
    </row>
    <row r="762" ht="15.75" hidden="1" customHeight="1">
      <c r="A762" s="15" t="s">
        <v>105</v>
      </c>
      <c r="B762" s="11" t="s">
        <v>109</v>
      </c>
      <c r="C762" s="15"/>
      <c r="D762" s="16" t="s">
        <v>15</v>
      </c>
      <c r="E762" s="17">
        <v>7.0</v>
      </c>
      <c r="F762" s="18">
        <f>E762* 0.932775698199239</f>
        <v>6.529429887</v>
      </c>
      <c r="G762" s="18">
        <f>E762* 0.00808724987291465</f>
        <v>0.05661074911</v>
      </c>
      <c r="H762" s="18">
        <f>E762*0.0590600305004852</f>
        <v>0.4134202135</v>
      </c>
    </row>
    <row r="763" ht="15.75" hidden="1" customHeight="1">
      <c r="A763" s="15" t="s">
        <v>105</v>
      </c>
      <c r="B763" s="11" t="s">
        <v>109</v>
      </c>
      <c r="C763" s="15"/>
      <c r="D763" s="16" t="s">
        <v>11</v>
      </c>
      <c r="E763" s="17">
        <v>17.0</v>
      </c>
      <c r="F763" s="18">
        <f>E763* 0.150611071171819</f>
        <v>2.56038821</v>
      </c>
      <c r="G763" s="18">
        <f>E763* 0.847699496764917</f>
        <v>14.41089145</v>
      </c>
      <c r="H763" s="18">
        <f>E763* 0.00136592379583034</f>
        <v>0.02322070453</v>
      </c>
    </row>
    <row r="764" ht="15.75" hidden="1" customHeight="1">
      <c r="A764" s="15" t="s">
        <v>105</v>
      </c>
      <c r="B764" s="11" t="s">
        <v>109</v>
      </c>
      <c r="C764" s="15"/>
      <c r="D764" s="16" t="s">
        <v>17</v>
      </c>
      <c r="E764" s="17">
        <v>6.0</v>
      </c>
      <c r="F764" s="18">
        <f>E764* 0.840430229624022</f>
        <v>5.042581378</v>
      </c>
      <c r="G764" s="18">
        <f>E764* 0.0777504415846581</f>
        <v>0.4665026495</v>
      </c>
      <c r="H764" s="18">
        <f>E764* 0.0817877870300278</f>
        <v>0.4907267222</v>
      </c>
    </row>
    <row r="765" ht="15.75" hidden="1" customHeight="1">
      <c r="A765" s="15" t="s">
        <v>105</v>
      </c>
      <c r="B765" s="11" t="s">
        <v>109</v>
      </c>
      <c r="C765" s="15"/>
      <c r="D765" s="16" t="s">
        <v>31</v>
      </c>
      <c r="E765" s="17">
        <v>0.0</v>
      </c>
      <c r="F765" s="18">
        <f>E765* 0.901975683890578</f>
        <v>0</v>
      </c>
      <c r="G765" s="18">
        <f>E765* 0.0364741641337386</f>
        <v>0</v>
      </c>
      <c r="H765" s="18">
        <f>E765* 0.0615501519756839</f>
        <v>0</v>
      </c>
    </row>
    <row r="766" ht="15.75" hidden="1" customHeight="1">
      <c r="A766" s="15" t="s">
        <v>105</v>
      </c>
      <c r="B766" s="11" t="s">
        <v>109</v>
      </c>
      <c r="C766" s="15"/>
      <c r="D766" s="16" t="s">
        <v>20</v>
      </c>
      <c r="E766" s="17">
        <v>3.0</v>
      </c>
      <c r="F766" s="18">
        <f>E766* 0.686268801552644</f>
        <v>2.058806405</v>
      </c>
      <c r="G766" s="18">
        <f>E766* 0.196991751576904</f>
        <v>0.5909752547</v>
      </c>
      <c r="H766" s="18">
        <f>E766* 0.116642406598738</f>
        <v>0.3499272198</v>
      </c>
    </row>
    <row r="767" ht="15.75" hidden="1" customHeight="1">
      <c r="A767" s="15" t="s">
        <v>105</v>
      </c>
      <c r="B767" s="11" t="s">
        <v>109</v>
      </c>
      <c r="C767" s="15"/>
      <c r="D767" s="16" t="s">
        <v>21</v>
      </c>
      <c r="E767" s="17">
        <v>6.0</v>
      </c>
      <c r="F767" s="18">
        <f>E767* 0.999513766486355</f>
        <v>5.997082599</v>
      </c>
      <c r="G767" s="18">
        <f>E767* 0.0000243116756822464</f>
        <v>0.0001458700541</v>
      </c>
      <c r="H767" s="18">
        <f>E767* 0.00034036345955145</f>
        <v>0.002042180757</v>
      </c>
    </row>
    <row r="768" ht="15.75" hidden="1" customHeight="1">
      <c r="A768" s="15" t="s">
        <v>105</v>
      </c>
      <c r="B768" s="11" t="s">
        <v>109</v>
      </c>
      <c r="C768" s="15"/>
      <c r="D768" s="16" t="s">
        <v>28</v>
      </c>
      <c r="E768" s="17">
        <v>0.0</v>
      </c>
      <c r="F768" s="18">
        <f>E768* 0.00094876660341556</f>
        <v>0</v>
      </c>
      <c r="G768" s="18">
        <f>E768* 0.999051233396584</f>
        <v>0</v>
      </c>
      <c r="H768" s="18">
        <v>0.0</v>
      </c>
    </row>
    <row r="769" ht="15.75" hidden="1" customHeight="1">
      <c r="A769" s="15" t="s">
        <v>105</v>
      </c>
      <c r="B769" s="11" t="s">
        <v>109</v>
      </c>
      <c r="C769" s="15"/>
      <c r="D769" s="16" t="s">
        <v>12</v>
      </c>
      <c r="E769" s="17">
        <v>10.0</v>
      </c>
      <c r="F769" s="18">
        <f>E769* 0.843786808009423</f>
        <v>8.43786808</v>
      </c>
      <c r="G769" s="18">
        <f>E769* 0.0740675304279545</f>
        <v>0.7406753043</v>
      </c>
      <c r="H769" s="18">
        <f>E769* 0.0820965842167256</f>
        <v>0.8209658422</v>
      </c>
    </row>
    <row r="770" ht="15.75" hidden="1" customHeight="1">
      <c r="A770" s="15" t="s">
        <v>105</v>
      </c>
      <c r="B770" s="8"/>
      <c r="C770" s="8"/>
      <c r="D770" s="9"/>
      <c r="E770" s="19"/>
    </row>
    <row r="771" ht="15.75" hidden="1" customHeight="1">
      <c r="A771" s="15" t="s">
        <v>105</v>
      </c>
      <c r="B771" s="11" t="s">
        <v>110</v>
      </c>
      <c r="C771" s="12" t="str">
        <f>B771&amp;"_"&amp;A771</f>
        <v>Arbieto_Cochabamba</v>
      </c>
      <c r="E771" s="13">
        <v>208.0</v>
      </c>
      <c r="F771" s="14">
        <f t="shared" ref="F771:H771" si="83">SUM(F772:F784)</f>
        <v>169.2468224</v>
      </c>
      <c r="G771" s="14">
        <f t="shared" si="83"/>
        <v>26.92059677</v>
      </c>
      <c r="H771" s="14">
        <f t="shared" si="83"/>
        <v>11.81346144</v>
      </c>
    </row>
    <row r="772" ht="15.75" hidden="1" customHeight="1">
      <c r="A772" s="15" t="s">
        <v>105</v>
      </c>
      <c r="B772" s="11" t="s">
        <v>110</v>
      </c>
      <c r="C772" s="15"/>
      <c r="D772" s="16" t="s">
        <v>14</v>
      </c>
      <c r="E772" s="28">
        <v>0.0</v>
      </c>
      <c r="F772" s="20">
        <v>0.0</v>
      </c>
      <c r="G772" s="20">
        <f>E772</f>
        <v>0</v>
      </c>
      <c r="H772" s="20">
        <v>0.0</v>
      </c>
    </row>
    <row r="773" ht="15.75" hidden="1" customHeight="1">
      <c r="A773" s="15" t="s">
        <v>105</v>
      </c>
      <c r="B773" s="11" t="s">
        <v>110</v>
      </c>
      <c r="C773" s="15"/>
      <c r="D773" s="16" t="s">
        <v>15</v>
      </c>
      <c r="E773" s="17">
        <v>29.0</v>
      </c>
      <c r="F773" s="18">
        <f>E773* 0.932775698199239</f>
        <v>27.05049525</v>
      </c>
      <c r="G773" s="18">
        <f>E773* 0.00808724987291465</f>
        <v>0.2345302463</v>
      </c>
      <c r="H773" s="18">
        <f>E773*0.0590600305004852</f>
        <v>1.712740885</v>
      </c>
    </row>
    <row r="774" ht="15.75" hidden="1" customHeight="1">
      <c r="A774" s="15" t="s">
        <v>105</v>
      </c>
      <c r="B774" s="11" t="s">
        <v>110</v>
      </c>
      <c r="C774" s="15"/>
      <c r="D774" s="16" t="s">
        <v>16</v>
      </c>
      <c r="E774" s="17">
        <v>2.0</v>
      </c>
      <c r="F774" s="18">
        <f>E774* 0.0803212851405623</f>
        <v>0.1606425703</v>
      </c>
      <c r="G774" s="18">
        <f>E774* 0.913367756741251</f>
        <v>1.826735513</v>
      </c>
      <c r="H774" s="18">
        <f>E774* 0.0057372346528973</f>
        <v>0.01147446931</v>
      </c>
    </row>
    <row r="775" ht="15.75" hidden="1" customHeight="1">
      <c r="A775" s="15" t="s">
        <v>105</v>
      </c>
      <c r="B775" s="11" t="s">
        <v>110</v>
      </c>
      <c r="C775" s="15"/>
      <c r="D775" s="16" t="s">
        <v>11</v>
      </c>
      <c r="E775" s="17">
        <v>17.0</v>
      </c>
      <c r="F775" s="18">
        <f>E775* 0.150611071171819</f>
        <v>2.56038821</v>
      </c>
      <c r="G775" s="18">
        <f>E775* 0.847699496764917</f>
        <v>14.41089145</v>
      </c>
      <c r="H775" s="18">
        <f>E775* 0.00136592379583034</f>
        <v>0.02322070453</v>
      </c>
    </row>
    <row r="776" ht="15.75" hidden="1" customHeight="1">
      <c r="A776" s="15" t="s">
        <v>105</v>
      </c>
      <c r="B776" s="11" t="s">
        <v>110</v>
      </c>
      <c r="C776" s="15"/>
      <c r="D776" s="16" t="s">
        <v>17</v>
      </c>
      <c r="E776" s="17">
        <v>29.0</v>
      </c>
      <c r="F776" s="18">
        <f>E776* 0.840430229624022</f>
        <v>24.37247666</v>
      </c>
      <c r="G776" s="18">
        <f>E776* 0.0777504415846581</f>
        <v>2.254762806</v>
      </c>
      <c r="H776" s="18">
        <f>E776* 0.0817877870300278</f>
        <v>2.371845824</v>
      </c>
    </row>
    <row r="777" ht="15.75" hidden="1" customHeight="1">
      <c r="A777" s="15" t="s">
        <v>105</v>
      </c>
      <c r="B777" s="11" t="s">
        <v>110</v>
      </c>
      <c r="C777" s="15"/>
      <c r="D777" s="16" t="s">
        <v>31</v>
      </c>
      <c r="E777" s="17">
        <v>1.0</v>
      </c>
      <c r="F777" s="18">
        <f>E777* 0.901975683890578</f>
        <v>0.9019756839</v>
      </c>
      <c r="G777" s="18">
        <f>E777* 0.0364741641337386</f>
        <v>0.03647416413</v>
      </c>
      <c r="H777" s="18">
        <f>E777* 0.0615501519756839</f>
        <v>0.06155015198</v>
      </c>
    </row>
    <row r="778" ht="15.75" hidden="1" customHeight="1">
      <c r="A778" s="15" t="s">
        <v>105</v>
      </c>
      <c r="B778" s="11" t="s">
        <v>110</v>
      </c>
      <c r="C778" s="15"/>
      <c r="D778" s="16" t="s">
        <v>18</v>
      </c>
      <c r="E778" s="17">
        <v>1.0</v>
      </c>
      <c r="F778" s="18">
        <f>E778* 0.932934264493959</f>
        <v>0.9329342645</v>
      </c>
      <c r="G778" s="18">
        <f>E778* 0.0585300964416362</f>
        <v>0.05853009644</v>
      </c>
      <c r="H778" s="18">
        <f>E778* 0.00853563906440528</f>
        <v>0.008535639064</v>
      </c>
    </row>
    <row r="779" ht="15.75" hidden="1" customHeight="1">
      <c r="A779" s="15" t="s">
        <v>105</v>
      </c>
      <c r="B779" s="11" t="s">
        <v>110</v>
      </c>
      <c r="C779" s="15"/>
      <c r="D779" s="16" t="s">
        <v>19</v>
      </c>
      <c r="E779" s="17">
        <v>1.0</v>
      </c>
      <c r="F779" s="18">
        <f>E779* 0.290681971640783</f>
        <v>0.2906819716</v>
      </c>
      <c r="G779" s="18">
        <f>E779* 0.694125590817016</f>
        <v>0.6941255908</v>
      </c>
      <c r="H779" s="18">
        <f>E779* 0.0151924375422012</f>
        <v>0.01519243754</v>
      </c>
    </row>
    <row r="780" ht="15.75" hidden="1" customHeight="1">
      <c r="A780" s="15" t="s">
        <v>105</v>
      </c>
      <c r="B780" s="11" t="s">
        <v>110</v>
      </c>
      <c r="C780" s="15"/>
      <c r="D780" s="16" t="s">
        <v>20</v>
      </c>
      <c r="E780" s="17">
        <v>6.0</v>
      </c>
      <c r="F780" s="18">
        <f>E780* 0.686268801552644</f>
        <v>4.117612809</v>
      </c>
      <c r="G780" s="18">
        <f>E780* 0.196991751576904</f>
        <v>1.181950509</v>
      </c>
      <c r="H780" s="18">
        <f>E780* 0.116642406598738</f>
        <v>0.6998544396</v>
      </c>
    </row>
    <row r="781" ht="15.75" hidden="1" customHeight="1">
      <c r="A781" s="15" t="s">
        <v>105</v>
      </c>
      <c r="B781" s="11" t="s">
        <v>110</v>
      </c>
      <c r="C781" s="15"/>
      <c r="D781" s="16" t="s">
        <v>21</v>
      </c>
      <c r="E781" s="17">
        <v>38.0</v>
      </c>
      <c r="F781" s="18">
        <f>E781* 0.999513766486355</f>
        <v>37.98152313</v>
      </c>
      <c r="G781" s="18">
        <f>E781* 0.0000243116756822464</f>
        <v>0.0009238436759</v>
      </c>
      <c r="H781" s="18">
        <f>E781* 0.00034036345955145</f>
        <v>0.01293381146</v>
      </c>
    </row>
    <row r="782" ht="15.75" hidden="1" customHeight="1">
      <c r="A782" s="15" t="s">
        <v>105</v>
      </c>
      <c r="B782" s="11" t="s">
        <v>110</v>
      </c>
      <c r="C782" s="15"/>
      <c r="D782" s="16" t="s">
        <v>36</v>
      </c>
      <c r="E782" s="17">
        <v>0.0</v>
      </c>
      <c r="F782" s="20">
        <f>E782</f>
        <v>0</v>
      </c>
      <c r="G782" s="20">
        <v>0.0</v>
      </c>
      <c r="H782" s="20">
        <v>0.0</v>
      </c>
    </row>
    <row r="783" ht="15.75" hidden="1" customHeight="1">
      <c r="A783" s="15" t="s">
        <v>105</v>
      </c>
      <c r="B783" s="11" t="s">
        <v>110</v>
      </c>
      <c r="C783" s="15"/>
      <c r="D783" s="16" t="s">
        <v>28</v>
      </c>
      <c r="E783" s="17">
        <v>0.0</v>
      </c>
      <c r="F783" s="18">
        <f>E783* 0.00094876660341556</f>
        <v>0</v>
      </c>
      <c r="G783" s="18">
        <f>E783* 0.999051233396584</f>
        <v>0</v>
      </c>
      <c r="H783" s="18">
        <v>0.0</v>
      </c>
    </row>
    <row r="784" ht="15.75" hidden="1" customHeight="1">
      <c r="A784" s="15" t="s">
        <v>105</v>
      </c>
      <c r="B784" s="11" t="s">
        <v>110</v>
      </c>
      <c r="C784" s="15"/>
      <c r="D784" s="16" t="s">
        <v>12</v>
      </c>
      <c r="E784" s="17">
        <v>84.0</v>
      </c>
      <c r="F784" s="18">
        <f>E784* 0.843786808009423</f>
        <v>70.87809187</v>
      </c>
      <c r="G784" s="18">
        <f>E784* 0.0740675304279545</f>
        <v>6.221672556</v>
      </c>
      <c r="H784" s="18">
        <f>E784* 0.0820965842167256</f>
        <v>6.896113074</v>
      </c>
    </row>
    <row r="785" ht="15.75" hidden="1" customHeight="1">
      <c r="A785" s="15" t="s">
        <v>105</v>
      </c>
      <c r="B785" s="21"/>
      <c r="C785" s="21"/>
      <c r="D785" s="16"/>
      <c r="E785" s="19"/>
    </row>
    <row r="786" ht="15.75" hidden="1" customHeight="1">
      <c r="A786" s="15" t="s">
        <v>105</v>
      </c>
      <c r="B786" s="11" t="s">
        <v>111</v>
      </c>
      <c r="C786" s="12" t="str">
        <f>B786&amp;"_"&amp;A786</f>
        <v>Arque_Cochabamba</v>
      </c>
      <c r="E786" s="13">
        <v>4.0</v>
      </c>
      <c r="F786" s="14">
        <f t="shared" ref="F786:H786" si="84">SUM(F787:F789)</f>
        <v>2.990068834</v>
      </c>
      <c r="G786" s="14">
        <f t="shared" si="84"/>
        <v>0.9254985617</v>
      </c>
      <c r="H786" s="14">
        <f t="shared" si="84"/>
        <v>0.08383443774</v>
      </c>
    </row>
    <row r="787" ht="15.75" hidden="1" customHeight="1">
      <c r="A787" s="15" t="s">
        <v>105</v>
      </c>
      <c r="B787" s="11" t="s">
        <v>111</v>
      </c>
      <c r="C787" s="15"/>
      <c r="D787" s="16" t="s">
        <v>11</v>
      </c>
      <c r="E787" s="17">
        <v>1.0</v>
      </c>
      <c r="F787" s="18">
        <f>E787* 0.150611071171819</f>
        <v>0.1506110712</v>
      </c>
      <c r="G787" s="18">
        <f>E787* 0.847699496764917</f>
        <v>0.8476994968</v>
      </c>
      <c r="H787" s="18">
        <f>E787* 0.00136592379583034</f>
        <v>0.001365923796</v>
      </c>
    </row>
    <row r="788" ht="15.75" hidden="1" customHeight="1">
      <c r="A788" s="15" t="s">
        <v>105</v>
      </c>
      <c r="B788" s="11" t="s">
        <v>111</v>
      </c>
      <c r="C788" s="15"/>
      <c r="D788" s="16" t="s">
        <v>17</v>
      </c>
      <c r="E788" s="17">
        <v>1.0</v>
      </c>
      <c r="F788" s="18">
        <f>E788* 0.840430229624022</f>
        <v>0.8404302296</v>
      </c>
      <c r="G788" s="18">
        <f>E788* 0.0777504415846581</f>
        <v>0.07775044158</v>
      </c>
      <c r="H788" s="18">
        <f>E788* 0.0817877870300278</f>
        <v>0.08178778703</v>
      </c>
    </row>
    <row r="789" ht="15.75" hidden="1" customHeight="1">
      <c r="A789" s="15" t="s">
        <v>105</v>
      </c>
      <c r="B789" s="11" t="s">
        <v>111</v>
      </c>
      <c r="C789" s="15"/>
      <c r="D789" s="16" t="s">
        <v>21</v>
      </c>
      <c r="E789" s="17">
        <v>2.0</v>
      </c>
      <c r="F789" s="18">
        <f>E789* 0.999513766486355</f>
        <v>1.999027533</v>
      </c>
      <c r="G789" s="18">
        <f>E789* 0.0000243116756822464</f>
        <v>0.00004862335136</v>
      </c>
      <c r="H789" s="18">
        <f>E789* 0.00034036345955145</f>
        <v>0.0006807269191</v>
      </c>
    </row>
    <row r="790" ht="15.75" hidden="1" customHeight="1">
      <c r="A790" s="15" t="s">
        <v>105</v>
      </c>
      <c r="B790" s="8"/>
      <c r="C790" s="8"/>
      <c r="D790" s="9"/>
      <c r="E790" s="19"/>
    </row>
    <row r="791" ht="15.75" hidden="1" customHeight="1">
      <c r="A791" s="15" t="s">
        <v>105</v>
      </c>
      <c r="B791" s="11" t="s">
        <v>112</v>
      </c>
      <c r="C791" s="12" t="str">
        <f>B791&amp;"_"&amp;A791</f>
        <v>Bolívar_Cochabamba</v>
      </c>
      <c r="E791" s="13">
        <v>4.0</v>
      </c>
      <c r="F791" s="14">
        <f t="shared" ref="F791:H791" si="85">SUM(F792:F794)</f>
        <v>2.07442807</v>
      </c>
      <c r="G791" s="14">
        <f t="shared" si="85"/>
        <v>1.781236685</v>
      </c>
      <c r="H791" s="14">
        <f t="shared" si="85"/>
        <v>0.1435796651</v>
      </c>
    </row>
    <row r="792" ht="15.75" hidden="1" customHeight="1">
      <c r="A792" s="15" t="s">
        <v>105</v>
      </c>
      <c r="B792" s="11" t="s">
        <v>112</v>
      </c>
      <c r="C792" s="15"/>
      <c r="D792" s="16" t="s">
        <v>15</v>
      </c>
      <c r="E792" s="17">
        <v>1.0</v>
      </c>
      <c r="F792" s="18">
        <f>E792* 0.932775698199239</f>
        <v>0.9327756982</v>
      </c>
      <c r="G792" s="18">
        <f>E792* 0.00808724987291465</f>
        <v>0.008087249873</v>
      </c>
      <c r="H792" s="18">
        <f>E792*0.0590600305004852</f>
        <v>0.0590600305</v>
      </c>
    </row>
    <row r="793" ht="15.75" hidden="1" customHeight="1">
      <c r="A793" s="15" t="s">
        <v>105</v>
      </c>
      <c r="B793" s="11" t="s">
        <v>112</v>
      </c>
      <c r="C793" s="15"/>
      <c r="D793" s="16" t="s">
        <v>11</v>
      </c>
      <c r="E793" s="17">
        <v>2.0</v>
      </c>
      <c r="F793" s="18">
        <f>E793* 0.150611071171819</f>
        <v>0.3012221423</v>
      </c>
      <c r="G793" s="18">
        <f>E793* 0.847699496764917</f>
        <v>1.695398994</v>
      </c>
      <c r="H793" s="18">
        <f>E793* 0.00136592379583034</f>
        <v>0.002731847592</v>
      </c>
    </row>
    <row r="794" ht="15.75" hidden="1" customHeight="1">
      <c r="A794" s="15" t="s">
        <v>105</v>
      </c>
      <c r="B794" s="11" t="s">
        <v>112</v>
      </c>
      <c r="C794" s="15"/>
      <c r="D794" s="16" t="s">
        <v>17</v>
      </c>
      <c r="E794" s="17">
        <v>1.0</v>
      </c>
      <c r="F794" s="18">
        <f>E794* 0.840430229624022</f>
        <v>0.8404302296</v>
      </c>
      <c r="G794" s="18">
        <f>E794* 0.0777504415846581</f>
        <v>0.07775044158</v>
      </c>
      <c r="H794" s="18">
        <f>E794* 0.0817877870300278</f>
        <v>0.08178778703</v>
      </c>
    </row>
    <row r="795" ht="15.75" hidden="1" customHeight="1">
      <c r="A795" s="15" t="s">
        <v>105</v>
      </c>
      <c r="B795" s="8"/>
      <c r="C795" s="8"/>
      <c r="D795" s="9"/>
      <c r="E795" s="19"/>
    </row>
    <row r="796" ht="15.75" hidden="1" customHeight="1">
      <c r="A796" s="15" t="s">
        <v>105</v>
      </c>
      <c r="B796" s="11" t="s">
        <v>113</v>
      </c>
      <c r="C796" s="12" t="str">
        <f>B796&amp;"_"&amp;A796</f>
        <v>Capinota_Cochabamba</v>
      </c>
      <c r="E796" s="13">
        <v>966.0</v>
      </c>
      <c r="F796" s="14">
        <f t="shared" ref="F796:H796" si="86">SUM(F797:F809)</f>
        <v>675.5814247</v>
      </c>
      <c r="G796" s="14">
        <f t="shared" si="86"/>
        <v>264.2971448</v>
      </c>
      <c r="H796" s="14">
        <f t="shared" si="86"/>
        <v>25.99715636</v>
      </c>
    </row>
    <row r="797" ht="15.75" hidden="1" customHeight="1">
      <c r="A797" s="15" t="s">
        <v>105</v>
      </c>
      <c r="B797" s="11" t="s">
        <v>113</v>
      </c>
      <c r="C797" s="15"/>
      <c r="D797" s="16" t="s">
        <v>14</v>
      </c>
      <c r="E797" s="17">
        <v>0.0</v>
      </c>
      <c r="F797" s="20">
        <v>0.0</v>
      </c>
      <c r="G797" s="20">
        <f>E797</f>
        <v>0</v>
      </c>
      <c r="H797" s="20">
        <v>0.0</v>
      </c>
    </row>
    <row r="798" ht="15.75" hidden="1" customHeight="1">
      <c r="A798" s="15" t="s">
        <v>105</v>
      </c>
      <c r="B798" s="11" t="s">
        <v>113</v>
      </c>
      <c r="C798" s="15"/>
      <c r="D798" s="16" t="s">
        <v>15</v>
      </c>
      <c r="E798" s="17">
        <v>28.0</v>
      </c>
      <c r="F798" s="18">
        <f>E798* 0.932775698199239</f>
        <v>26.11771955</v>
      </c>
      <c r="G798" s="18">
        <f>E798* 0.00808724987291465</f>
        <v>0.2264429964</v>
      </c>
      <c r="H798" s="18">
        <f>E798*0.0590600305004852</f>
        <v>1.653680854</v>
      </c>
    </row>
    <row r="799" ht="15.75" hidden="1" customHeight="1">
      <c r="A799" s="15" t="s">
        <v>105</v>
      </c>
      <c r="B799" s="11" t="s">
        <v>113</v>
      </c>
      <c r="C799" s="15"/>
      <c r="D799" s="16" t="s">
        <v>16</v>
      </c>
      <c r="E799" s="17">
        <v>4.0</v>
      </c>
      <c r="F799" s="18">
        <f>E799* 0.0803212851405623</f>
        <v>0.3212851406</v>
      </c>
      <c r="G799" s="18">
        <f>E799* 0.913367756741251</f>
        <v>3.653471027</v>
      </c>
      <c r="H799" s="18">
        <f>E799* 0.0057372346528973</f>
        <v>0.02294893861</v>
      </c>
    </row>
    <row r="800" ht="15.75" hidden="1" customHeight="1">
      <c r="A800" s="15" t="s">
        <v>105</v>
      </c>
      <c r="B800" s="11" t="s">
        <v>113</v>
      </c>
      <c r="C800" s="15"/>
      <c r="D800" s="16" t="s">
        <v>11</v>
      </c>
      <c r="E800" s="17">
        <v>186.0</v>
      </c>
      <c r="F800" s="18">
        <f>E800* 0.150611071171819</f>
        <v>28.01365924</v>
      </c>
      <c r="G800" s="18">
        <f>E800* 0.847699496764917</f>
        <v>157.6721064</v>
      </c>
      <c r="H800" s="18">
        <f>E800* 0.00136592379583034</f>
        <v>0.254061826</v>
      </c>
    </row>
    <row r="801" ht="15.75" hidden="1" customHeight="1">
      <c r="A801" s="15" t="s">
        <v>105</v>
      </c>
      <c r="B801" s="11" t="s">
        <v>113</v>
      </c>
      <c r="C801" s="15"/>
      <c r="D801" s="16" t="s">
        <v>17</v>
      </c>
      <c r="E801" s="17">
        <v>45.0</v>
      </c>
      <c r="F801" s="18">
        <f>E801* 0.840430229624022</f>
        <v>37.81936033</v>
      </c>
      <c r="G801" s="18">
        <f>E801* 0.0777504415846581</f>
        <v>3.498769871</v>
      </c>
      <c r="H801" s="18">
        <f>E801* 0.0817877870300278</f>
        <v>3.680450416</v>
      </c>
    </row>
    <row r="802" ht="15.75" hidden="1" customHeight="1">
      <c r="A802" s="15" t="s">
        <v>105</v>
      </c>
      <c r="B802" s="11" t="s">
        <v>113</v>
      </c>
      <c r="C802" s="15"/>
      <c r="D802" s="16" t="s">
        <v>31</v>
      </c>
      <c r="E802" s="17">
        <v>0.0</v>
      </c>
      <c r="F802" s="18">
        <f>E802* 0.901975683890578</f>
        <v>0</v>
      </c>
      <c r="G802" s="18">
        <f>E802* 0.0364741641337386</f>
        <v>0</v>
      </c>
      <c r="H802" s="18">
        <f>E802* 0.0615501519756839</f>
        <v>0</v>
      </c>
    </row>
    <row r="803" ht="15.75" hidden="1" customHeight="1">
      <c r="A803" s="15" t="s">
        <v>105</v>
      </c>
      <c r="B803" s="11" t="s">
        <v>113</v>
      </c>
      <c r="C803" s="15"/>
      <c r="D803" s="16" t="s">
        <v>18</v>
      </c>
      <c r="E803" s="17">
        <v>5.0</v>
      </c>
      <c r="F803" s="18">
        <f>E803* 0.932934264493959</f>
        <v>4.664671322</v>
      </c>
      <c r="G803" s="18">
        <f>E803* 0.0585300964416362</f>
        <v>0.2926504822</v>
      </c>
      <c r="H803" s="18">
        <f>E803* 0.00853563906440528</f>
        <v>0.04267819532</v>
      </c>
    </row>
    <row r="804" ht="15.75" hidden="1" customHeight="1">
      <c r="A804" s="15" t="s">
        <v>105</v>
      </c>
      <c r="B804" s="11" t="s">
        <v>113</v>
      </c>
      <c r="C804" s="15"/>
      <c r="D804" s="16" t="s">
        <v>19</v>
      </c>
      <c r="E804" s="17">
        <v>1.0</v>
      </c>
      <c r="F804" s="18">
        <f>E804* 0.290681971640783</f>
        <v>0.2906819716</v>
      </c>
      <c r="G804" s="18">
        <f>E804* 0.694125590817016</f>
        <v>0.6941255908</v>
      </c>
      <c r="H804" s="18">
        <f>E804* 0.0151924375422012</f>
        <v>0.01519243754</v>
      </c>
    </row>
    <row r="805" ht="15.75" hidden="1" customHeight="1">
      <c r="A805" s="15" t="s">
        <v>105</v>
      </c>
      <c r="B805" s="11" t="s">
        <v>113</v>
      </c>
      <c r="C805" s="15"/>
      <c r="D805" s="16" t="s">
        <v>20</v>
      </c>
      <c r="E805" s="17">
        <v>12.0</v>
      </c>
      <c r="F805" s="18">
        <f>E805* 0.686268801552644</f>
        <v>8.235225619</v>
      </c>
      <c r="G805" s="18">
        <f>E805* 0.196991751576904</f>
        <v>2.363901019</v>
      </c>
      <c r="H805" s="18">
        <f>E805* 0.116642406598738</f>
        <v>1.399708879</v>
      </c>
    </row>
    <row r="806" ht="15.75" hidden="1" customHeight="1">
      <c r="A806" s="15" t="s">
        <v>105</v>
      </c>
      <c r="B806" s="11" t="s">
        <v>113</v>
      </c>
      <c r="C806" s="15"/>
      <c r="D806" s="16" t="s">
        <v>21</v>
      </c>
      <c r="E806" s="17">
        <v>377.0</v>
      </c>
      <c r="F806" s="18">
        <f>E806* 0.999513766486355</f>
        <v>376.81669</v>
      </c>
      <c r="G806" s="18">
        <f>E806* 0.0000243116756822464</f>
        <v>0.009165501732</v>
      </c>
      <c r="H806" s="18">
        <f>E806* 0.00034036345955145</f>
        <v>0.1283170243</v>
      </c>
    </row>
    <row r="807" ht="15.75" hidden="1" customHeight="1">
      <c r="A807" s="15" t="s">
        <v>105</v>
      </c>
      <c r="B807" s="11" t="s">
        <v>113</v>
      </c>
      <c r="C807" s="15"/>
      <c r="D807" s="16" t="s">
        <v>36</v>
      </c>
      <c r="E807" s="17">
        <v>0.0</v>
      </c>
      <c r="F807" s="20">
        <f>E807</f>
        <v>0</v>
      </c>
      <c r="G807" s="20">
        <v>0.0</v>
      </c>
      <c r="H807" s="20">
        <v>0.0</v>
      </c>
    </row>
    <row r="808" ht="15.75" hidden="1" customHeight="1">
      <c r="A808" s="15" t="s">
        <v>105</v>
      </c>
      <c r="B808" s="11" t="s">
        <v>113</v>
      </c>
      <c r="C808" s="15"/>
      <c r="D808" s="16" t="s">
        <v>28</v>
      </c>
      <c r="E808" s="17">
        <v>79.0</v>
      </c>
      <c r="F808" s="18">
        <f>E808* 0.00094876660341556</f>
        <v>0.07495256167</v>
      </c>
      <c r="G808" s="18">
        <f>E808* 0.999051233396584</f>
        <v>78.92504744</v>
      </c>
      <c r="H808" s="18">
        <v>0.0</v>
      </c>
    </row>
    <row r="809" ht="15.75" hidden="1" customHeight="1">
      <c r="A809" s="15" t="s">
        <v>105</v>
      </c>
      <c r="B809" s="11" t="s">
        <v>113</v>
      </c>
      <c r="C809" s="15"/>
      <c r="D809" s="16" t="s">
        <v>12</v>
      </c>
      <c r="E809" s="17">
        <v>229.0</v>
      </c>
      <c r="F809" s="18">
        <f>E809* 0.843786808009423</f>
        <v>193.227179</v>
      </c>
      <c r="G809" s="18">
        <f>E809* 0.0740675304279545</f>
        <v>16.96146447</v>
      </c>
      <c r="H809" s="18">
        <f>E809* 0.0820965842167256</f>
        <v>18.80011779</v>
      </c>
    </row>
    <row r="810" ht="15.75" hidden="1" customHeight="1">
      <c r="A810" s="15" t="s">
        <v>105</v>
      </c>
      <c r="B810" s="8"/>
      <c r="C810" s="8"/>
      <c r="D810" s="9"/>
      <c r="E810" s="19"/>
    </row>
    <row r="811" ht="15.75" hidden="1" customHeight="1">
      <c r="A811" s="15" t="s">
        <v>105</v>
      </c>
      <c r="B811" s="11" t="s">
        <v>114</v>
      </c>
      <c r="C811" s="12" t="str">
        <f>B811&amp;"_"&amp;A811</f>
        <v>Chimoré_Cochabamba</v>
      </c>
      <c r="E811" s="22">
        <v>1151.0</v>
      </c>
      <c r="F811" s="14">
        <f t="shared" ref="F811:H811" si="87">SUM(F812:F824)</f>
        <v>1000.390077</v>
      </c>
      <c r="G811" s="14">
        <f t="shared" si="87"/>
        <v>91.37271148</v>
      </c>
      <c r="H811" s="14">
        <f t="shared" si="87"/>
        <v>59.13988314</v>
      </c>
    </row>
    <row r="812" ht="15.75" hidden="1" customHeight="1">
      <c r="A812" s="15" t="s">
        <v>105</v>
      </c>
      <c r="B812" s="11" t="s">
        <v>114</v>
      </c>
      <c r="C812" s="15"/>
      <c r="D812" s="16" t="s">
        <v>14</v>
      </c>
      <c r="E812" s="17">
        <v>0.0</v>
      </c>
      <c r="F812" s="20">
        <v>0.0</v>
      </c>
      <c r="G812" s="20">
        <f>E812</f>
        <v>0</v>
      </c>
      <c r="H812" s="20">
        <v>0.0</v>
      </c>
    </row>
    <row r="813" ht="15.75" hidden="1" customHeight="1">
      <c r="A813" s="15" t="s">
        <v>105</v>
      </c>
      <c r="B813" s="11" t="s">
        <v>114</v>
      </c>
      <c r="C813" s="15"/>
      <c r="D813" s="16" t="s">
        <v>15</v>
      </c>
      <c r="E813" s="17">
        <v>21.0</v>
      </c>
      <c r="F813" s="18">
        <f>E813* 0.932775698199239</f>
        <v>19.58828966</v>
      </c>
      <c r="G813" s="18">
        <f>E813* 0.00808724987291465</f>
        <v>0.1698322473</v>
      </c>
      <c r="H813" s="18">
        <f>E813*0.0590600305004852</f>
        <v>1.240260641</v>
      </c>
    </row>
    <row r="814" ht="15.75" hidden="1" customHeight="1">
      <c r="A814" s="15" t="s">
        <v>105</v>
      </c>
      <c r="B814" s="11" t="s">
        <v>114</v>
      </c>
      <c r="C814" s="15"/>
      <c r="D814" s="16" t="s">
        <v>16</v>
      </c>
      <c r="E814" s="17">
        <v>5.0</v>
      </c>
      <c r="F814" s="18">
        <f>E814* 0.0803212851405623</f>
        <v>0.4016064257</v>
      </c>
      <c r="G814" s="18">
        <f>E814* 0.913367756741251</f>
        <v>4.566838784</v>
      </c>
      <c r="H814" s="18">
        <f>E814* 0.0057372346528973</f>
        <v>0.02868617326</v>
      </c>
    </row>
    <row r="815" ht="15.75" hidden="1" customHeight="1">
      <c r="A815" s="15" t="s">
        <v>105</v>
      </c>
      <c r="B815" s="11" t="s">
        <v>114</v>
      </c>
      <c r="C815" s="15"/>
      <c r="D815" s="16" t="s">
        <v>11</v>
      </c>
      <c r="E815" s="17">
        <v>39.0</v>
      </c>
      <c r="F815" s="18">
        <f>E815* 0.150611071171819</f>
        <v>5.873831776</v>
      </c>
      <c r="G815" s="18">
        <f>E815* 0.847699496764917</f>
        <v>33.06028037</v>
      </c>
      <c r="H815" s="18">
        <f>E815* 0.00136592379583034</f>
        <v>0.05327102804</v>
      </c>
    </row>
    <row r="816" ht="15.75" hidden="1" customHeight="1">
      <c r="A816" s="15" t="s">
        <v>105</v>
      </c>
      <c r="B816" s="11" t="s">
        <v>114</v>
      </c>
      <c r="C816" s="15"/>
      <c r="D816" s="16" t="s">
        <v>17</v>
      </c>
      <c r="E816" s="17">
        <v>32.0</v>
      </c>
      <c r="F816" s="18">
        <f>E816* 0.840430229624022</f>
        <v>26.89376735</v>
      </c>
      <c r="G816" s="18">
        <f>E816* 0.0777504415846581</f>
        <v>2.488014131</v>
      </c>
      <c r="H816" s="18">
        <f>E816* 0.0817877870300278</f>
        <v>2.617209185</v>
      </c>
    </row>
    <row r="817" ht="15.75" hidden="1" customHeight="1">
      <c r="A817" s="15" t="s">
        <v>105</v>
      </c>
      <c r="B817" s="11" t="s">
        <v>114</v>
      </c>
      <c r="C817" s="15"/>
      <c r="D817" s="16" t="s">
        <v>31</v>
      </c>
      <c r="E817" s="17">
        <v>0.0</v>
      </c>
      <c r="F817" s="18">
        <f>E817* 0.901975683890578</f>
        <v>0</v>
      </c>
      <c r="G817" s="18">
        <f>E817* 0.0364741641337386</f>
        <v>0</v>
      </c>
      <c r="H817" s="18">
        <f>E817* 0.0615501519756839</f>
        <v>0</v>
      </c>
    </row>
    <row r="818" ht="15.75" hidden="1" customHeight="1">
      <c r="A818" s="15" t="s">
        <v>105</v>
      </c>
      <c r="B818" s="11" t="s">
        <v>114</v>
      </c>
      <c r="C818" s="15"/>
      <c r="D818" s="16" t="s">
        <v>18</v>
      </c>
      <c r="E818" s="17">
        <v>5.0</v>
      </c>
      <c r="F818" s="18">
        <f>E818* 0.932934264493959</f>
        <v>4.664671322</v>
      </c>
      <c r="G818" s="18">
        <f>E818* 0.0585300964416362</f>
        <v>0.2926504822</v>
      </c>
      <c r="H818" s="18">
        <f>E818* 0.00853563906440528</f>
        <v>0.04267819532</v>
      </c>
    </row>
    <row r="819" ht="15.75" hidden="1" customHeight="1">
      <c r="A819" s="15" t="s">
        <v>105</v>
      </c>
      <c r="B819" s="11" t="s">
        <v>114</v>
      </c>
      <c r="C819" s="15"/>
      <c r="D819" s="16" t="s">
        <v>115</v>
      </c>
      <c r="E819" s="17">
        <v>0.0</v>
      </c>
      <c r="F819" s="20">
        <v>0.0</v>
      </c>
      <c r="G819" s="20">
        <f>E819</f>
        <v>0</v>
      </c>
      <c r="H819" s="20">
        <v>0.0</v>
      </c>
    </row>
    <row r="820" ht="15.75" hidden="1" customHeight="1">
      <c r="A820" s="15" t="s">
        <v>105</v>
      </c>
      <c r="B820" s="11" t="s">
        <v>114</v>
      </c>
      <c r="C820" s="15"/>
      <c r="D820" s="16" t="s">
        <v>19</v>
      </c>
      <c r="E820" s="17">
        <v>1.0</v>
      </c>
      <c r="F820" s="18">
        <f>E820* 0.290681971640783</f>
        <v>0.2906819716</v>
      </c>
      <c r="G820" s="18">
        <f>E820* 0.694125590817016</f>
        <v>0.6941255908</v>
      </c>
      <c r="H820" s="18">
        <f>E820* 0.0151924375422012</f>
        <v>0.01519243754</v>
      </c>
    </row>
    <row r="821" ht="15.75" hidden="1" customHeight="1">
      <c r="A821" s="15" t="s">
        <v>105</v>
      </c>
      <c r="B821" s="11" t="s">
        <v>114</v>
      </c>
      <c r="C821" s="15"/>
      <c r="D821" s="16" t="s">
        <v>20</v>
      </c>
      <c r="E821" s="17">
        <v>5.0</v>
      </c>
      <c r="F821" s="18">
        <f>E821* 0.686268801552644</f>
        <v>3.431344008</v>
      </c>
      <c r="G821" s="18">
        <f>E821* 0.196991751576904</f>
        <v>0.9849587579</v>
      </c>
      <c r="H821" s="18">
        <f>E821* 0.116642406598738</f>
        <v>0.583212033</v>
      </c>
    </row>
    <row r="822" ht="15.75" hidden="1" customHeight="1">
      <c r="A822" s="15" t="s">
        <v>105</v>
      </c>
      <c r="B822" s="11" t="s">
        <v>114</v>
      </c>
      <c r="C822" s="15"/>
      <c r="D822" s="16" t="s">
        <v>21</v>
      </c>
      <c r="E822" s="17">
        <v>380.0</v>
      </c>
      <c r="F822" s="18">
        <f>E822* 0.999513766486355</f>
        <v>379.8152313</v>
      </c>
      <c r="G822" s="18">
        <f>E822* 0.0000243116756822464</f>
        <v>0.009238436759</v>
      </c>
      <c r="H822" s="18">
        <f>E822* 0.00034036345955145</f>
        <v>0.1293381146</v>
      </c>
    </row>
    <row r="823" ht="15.75" hidden="1" customHeight="1">
      <c r="A823" s="15" t="s">
        <v>105</v>
      </c>
      <c r="B823" s="11" t="s">
        <v>114</v>
      </c>
      <c r="C823" s="15"/>
      <c r="D823" s="16" t="s">
        <v>28</v>
      </c>
      <c r="E823" s="17">
        <v>0.0</v>
      </c>
      <c r="F823" s="18">
        <f>E823* 0.00094876660341556</f>
        <v>0</v>
      </c>
      <c r="G823" s="18">
        <f>E823* 0.999051233396584</f>
        <v>0</v>
      </c>
      <c r="H823" s="18">
        <v>0.0</v>
      </c>
    </row>
    <row r="824" ht="15.75" hidden="1" customHeight="1">
      <c r="A824" s="15" t="s">
        <v>105</v>
      </c>
      <c r="B824" s="11" t="s">
        <v>114</v>
      </c>
      <c r="C824" s="15"/>
      <c r="D824" s="16" t="s">
        <v>12</v>
      </c>
      <c r="E824" s="17">
        <v>663.0</v>
      </c>
      <c r="F824" s="18">
        <f>E824* 0.843786808009423</f>
        <v>559.4306537</v>
      </c>
      <c r="G824" s="18">
        <f>E824* 0.0740675304279545</f>
        <v>49.10677267</v>
      </c>
      <c r="H824" s="18">
        <f>E824* 0.0820965842167256</f>
        <v>54.43003534</v>
      </c>
    </row>
    <row r="825" ht="15.75" hidden="1" customHeight="1">
      <c r="A825" s="15" t="s">
        <v>105</v>
      </c>
      <c r="B825" s="8"/>
      <c r="C825" s="8"/>
      <c r="D825" s="9"/>
      <c r="E825" s="19"/>
    </row>
    <row r="826" ht="15.75" hidden="1" customHeight="1">
      <c r="A826" s="15" t="s">
        <v>105</v>
      </c>
      <c r="B826" s="11" t="s">
        <v>116</v>
      </c>
      <c r="C826" s="12" t="str">
        <f>B826&amp;"_"&amp;A826</f>
        <v>Cliza_Cochabamba</v>
      </c>
      <c r="E826" s="22">
        <v>2086.0</v>
      </c>
      <c r="F826" s="14">
        <f t="shared" ref="F826:H826" si="88">SUM(F827:F839)</f>
        <v>1617.362628</v>
      </c>
      <c r="G826" s="14">
        <f t="shared" si="88"/>
        <v>352.1532056</v>
      </c>
      <c r="H826" s="14">
        <f t="shared" si="88"/>
        <v>116.2859052</v>
      </c>
    </row>
    <row r="827" ht="15.75" hidden="1" customHeight="1">
      <c r="A827" s="15" t="s">
        <v>105</v>
      </c>
      <c r="B827" s="11" t="s">
        <v>116</v>
      </c>
      <c r="C827" s="15"/>
      <c r="D827" s="16" t="s">
        <v>14</v>
      </c>
      <c r="E827" s="17">
        <v>0.0</v>
      </c>
      <c r="F827" s="20">
        <v>0.0</v>
      </c>
      <c r="G827" s="20">
        <f>E827</f>
        <v>0</v>
      </c>
      <c r="H827" s="20">
        <v>0.0</v>
      </c>
    </row>
    <row r="828" ht="15.75" hidden="1" customHeight="1">
      <c r="A828" s="15" t="s">
        <v>105</v>
      </c>
      <c r="B828" s="11" t="s">
        <v>116</v>
      </c>
      <c r="C828" s="15"/>
      <c r="D828" s="16" t="s">
        <v>15</v>
      </c>
      <c r="E828" s="17">
        <v>578.0</v>
      </c>
      <c r="F828" s="18">
        <f>E828* 0.932775698199239</f>
        <v>539.1443536</v>
      </c>
      <c r="G828" s="18">
        <f>E828* 0.00808724987291465</f>
        <v>4.674430427</v>
      </c>
      <c r="H828" s="18">
        <f>E828*0.0590600305004852</f>
        <v>34.13669763</v>
      </c>
    </row>
    <row r="829" ht="15.75" hidden="1" customHeight="1">
      <c r="A829" s="15" t="s">
        <v>105</v>
      </c>
      <c r="B829" s="11" t="s">
        <v>116</v>
      </c>
      <c r="C829" s="15"/>
      <c r="D829" s="16" t="s">
        <v>16</v>
      </c>
      <c r="E829" s="17">
        <v>4.0</v>
      </c>
      <c r="F829" s="18">
        <f>E829* 0.0803212851405623</f>
        <v>0.3212851406</v>
      </c>
      <c r="G829" s="18">
        <f>E829* 0.913367756741251</f>
        <v>3.653471027</v>
      </c>
      <c r="H829" s="18">
        <f>E829* 0.0057372346528973</f>
        <v>0.02294893861</v>
      </c>
    </row>
    <row r="830" ht="15.75" hidden="1" customHeight="1">
      <c r="A830" s="15" t="s">
        <v>105</v>
      </c>
      <c r="B830" s="11" t="s">
        <v>116</v>
      </c>
      <c r="C830" s="15"/>
      <c r="D830" s="16" t="s">
        <v>11</v>
      </c>
      <c r="E830" s="17">
        <v>250.0</v>
      </c>
      <c r="F830" s="18">
        <f>E830* 0.150611071171819</f>
        <v>37.65276779</v>
      </c>
      <c r="G830" s="18">
        <f>E830* 0.847699496764917</f>
        <v>211.9248742</v>
      </c>
      <c r="H830" s="18">
        <f>E830* 0.00136592379583034</f>
        <v>0.341480949</v>
      </c>
    </row>
    <row r="831" ht="15.75" hidden="1" customHeight="1">
      <c r="A831" s="15" t="s">
        <v>105</v>
      </c>
      <c r="B831" s="11" t="s">
        <v>116</v>
      </c>
      <c r="C831" s="15"/>
      <c r="D831" s="16" t="s">
        <v>17</v>
      </c>
      <c r="E831" s="17">
        <v>222.0</v>
      </c>
      <c r="F831" s="18">
        <f>E831* 0.840430229624022</f>
        <v>186.575511</v>
      </c>
      <c r="G831" s="18">
        <f>E831* 0.0777504415846581</f>
        <v>17.26059803</v>
      </c>
      <c r="H831" s="18">
        <f>E831* 0.0817877870300278</f>
        <v>18.15688872</v>
      </c>
    </row>
    <row r="832" ht="15.75" hidden="1" customHeight="1">
      <c r="A832" s="15" t="s">
        <v>105</v>
      </c>
      <c r="B832" s="11" t="s">
        <v>116</v>
      </c>
      <c r="C832" s="15"/>
      <c r="D832" s="16" t="s">
        <v>31</v>
      </c>
      <c r="E832" s="17">
        <v>10.0</v>
      </c>
      <c r="F832" s="18">
        <f>E832* 0.901975683890578</f>
        <v>9.019756839</v>
      </c>
      <c r="G832" s="18">
        <f>E832* 0.0364741641337386</f>
        <v>0.3647416413</v>
      </c>
      <c r="H832" s="18">
        <f>E832* 0.0615501519756839</f>
        <v>0.6155015198</v>
      </c>
    </row>
    <row r="833" ht="15.75" hidden="1" customHeight="1">
      <c r="A833" s="15" t="s">
        <v>105</v>
      </c>
      <c r="B833" s="11" t="s">
        <v>116</v>
      </c>
      <c r="C833" s="15"/>
      <c r="D833" s="16" t="s">
        <v>18</v>
      </c>
      <c r="E833" s="17">
        <v>27.0</v>
      </c>
      <c r="F833" s="18">
        <f>E833* 0.932934264493959</f>
        <v>25.18922514</v>
      </c>
      <c r="G833" s="18">
        <f>E833* 0.0585300964416362</f>
        <v>1.580312604</v>
      </c>
      <c r="H833" s="18">
        <f>E833* 0.00853563906440528</f>
        <v>0.2304622547</v>
      </c>
    </row>
    <row r="834" ht="15.75" hidden="1" customHeight="1">
      <c r="A834" s="15" t="s">
        <v>105</v>
      </c>
      <c r="B834" s="11" t="s">
        <v>116</v>
      </c>
      <c r="C834" s="15"/>
      <c r="D834" s="16" t="s">
        <v>19</v>
      </c>
      <c r="E834" s="17">
        <v>47.0</v>
      </c>
      <c r="F834" s="18">
        <f>E834* 0.290681971640783</f>
        <v>13.66205267</v>
      </c>
      <c r="G834" s="18">
        <f>E834* 0.694125590817016</f>
        <v>32.62390277</v>
      </c>
      <c r="H834" s="18">
        <f>E834* 0.0151924375422012</f>
        <v>0.7140445645</v>
      </c>
    </row>
    <row r="835" ht="15.75" hidden="1" customHeight="1">
      <c r="A835" s="15" t="s">
        <v>105</v>
      </c>
      <c r="B835" s="11" t="s">
        <v>116</v>
      </c>
      <c r="C835" s="15"/>
      <c r="D835" s="16" t="s">
        <v>20</v>
      </c>
      <c r="E835" s="17">
        <v>67.0</v>
      </c>
      <c r="F835" s="18">
        <f>E835* 0.686268801552644</f>
        <v>45.9800097</v>
      </c>
      <c r="G835" s="18">
        <f>E835* 0.196991751576904</f>
        <v>13.19844736</v>
      </c>
      <c r="H835" s="18">
        <f>E835* 0.116642406598738</f>
        <v>7.815041242</v>
      </c>
    </row>
    <row r="836" ht="15.75" hidden="1" customHeight="1">
      <c r="A836" s="15" t="s">
        <v>105</v>
      </c>
      <c r="B836" s="11" t="s">
        <v>116</v>
      </c>
      <c r="C836" s="15"/>
      <c r="D836" s="16" t="s">
        <v>21</v>
      </c>
      <c r="E836" s="17">
        <v>203.0</v>
      </c>
      <c r="F836" s="18">
        <f>E836* 0.999513766486355</f>
        <v>202.9012946</v>
      </c>
      <c r="G836" s="18">
        <f>E836* 0.0000243116756822464</f>
        <v>0.004935270163</v>
      </c>
      <c r="H836" s="18">
        <f>E836* 0.00034036345955145</f>
        <v>0.06909378229</v>
      </c>
    </row>
    <row r="837" ht="15.75" hidden="1" customHeight="1">
      <c r="A837" s="15" t="s">
        <v>105</v>
      </c>
      <c r="B837" s="11" t="s">
        <v>116</v>
      </c>
      <c r="C837" s="15"/>
      <c r="D837" s="16" t="s">
        <v>37</v>
      </c>
      <c r="E837" s="17">
        <v>0.0</v>
      </c>
      <c r="F837" s="20">
        <v>0.0</v>
      </c>
      <c r="G837" s="20">
        <f>E837</f>
        <v>0</v>
      </c>
      <c r="H837" s="20">
        <v>0.0</v>
      </c>
    </row>
    <row r="838" ht="15.75" hidden="1" customHeight="1">
      <c r="A838" s="15" t="s">
        <v>105</v>
      </c>
      <c r="B838" s="11" t="s">
        <v>116</v>
      </c>
      <c r="C838" s="15"/>
      <c r="D838" s="16" t="s">
        <v>28</v>
      </c>
      <c r="E838" s="17">
        <v>18.0</v>
      </c>
      <c r="F838" s="18">
        <f>E838* 0.00094876660341556</f>
        <v>0.01707779886</v>
      </c>
      <c r="G838" s="18">
        <f>E838* 0.999051233396584</f>
        <v>17.9829222</v>
      </c>
      <c r="H838" s="18">
        <v>0.0</v>
      </c>
    </row>
    <row r="839" ht="15.75" hidden="1" customHeight="1">
      <c r="A839" s="15" t="s">
        <v>105</v>
      </c>
      <c r="B839" s="11" t="s">
        <v>116</v>
      </c>
      <c r="C839" s="15"/>
      <c r="D839" s="16" t="s">
        <v>12</v>
      </c>
      <c r="E839" s="17">
        <v>660.0</v>
      </c>
      <c r="F839" s="18">
        <f>E839* 0.843786808009423</f>
        <v>556.8992933</v>
      </c>
      <c r="G839" s="18">
        <f>E839* 0.0740675304279545</f>
        <v>48.88457008</v>
      </c>
      <c r="H839" s="18">
        <f>E839* 0.0820965842167256</f>
        <v>54.18374558</v>
      </c>
    </row>
    <row r="840" ht="15.75" hidden="1" customHeight="1">
      <c r="A840" s="15" t="s">
        <v>105</v>
      </c>
      <c r="B840" s="8"/>
      <c r="C840" s="8"/>
      <c r="D840" s="9"/>
      <c r="E840" s="19"/>
    </row>
    <row r="841" ht="15.75" hidden="1" customHeight="1">
      <c r="A841" s="15" t="s">
        <v>105</v>
      </c>
      <c r="B841" s="11" t="s">
        <v>117</v>
      </c>
      <c r="C841" s="12" t="str">
        <f>B841&amp;"_"&amp;A841</f>
        <v>Cocapata_Cochabamba</v>
      </c>
      <c r="E841" s="13">
        <v>302.0</v>
      </c>
      <c r="F841" s="14">
        <f t="shared" ref="F841:H841" si="89">SUM(F842:F853)</f>
        <v>242.7214792</v>
      </c>
      <c r="G841" s="14">
        <f t="shared" si="89"/>
        <v>51.57374877</v>
      </c>
      <c r="H841" s="14">
        <f t="shared" si="89"/>
        <v>7.669824203</v>
      </c>
    </row>
    <row r="842" ht="15.75" hidden="1" customHeight="1">
      <c r="A842" s="15" t="s">
        <v>105</v>
      </c>
      <c r="B842" s="11" t="s">
        <v>117</v>
      </c>
      <c r="C842" s="15"/>
      <c r="D842" s="16" t="s">
        <v>14</v>
      </c>
      <c r="E842" s="17">
        <v>0.0</v>
      </c>
      <c r="F842" s="20">
        <v>0.0</v>
      </c>
      <c r="G842" s="20">
        <f>E842</f>
        <v>0</v>
      </c>
      <c r="H842" s="20">
        <v>0.0</v>
      </c>
    </row>
    <row r="843" ht="15.75" hidden="1" customHeight="1">
      <c r="A843" s="15" t="s">
        <v>105</v>
      </c>
      <c r="B843" s="11" t="s">
        <v>117</v>
      </c>
      <c r="C843" s="15"/>
      <c r="D843" s="16" t="s">
        <v>15</v>
      </c>
      <c r="E843" s="17">
        <v>6.0</v>
      </c>
      <c r="F843" s="18">
        <f>E843* 0.932775698199239</f>
        <v>5.596654189</v>
      </c>
      <c r="G843" s="18">
        <f>E843* 0.00808724987291465</f>
        <v>0.04852349924</v>
      </c>
      <c r="H843" s="18">
        <f>E843*0.0590600305004852</f>
        <v>0.354360183</v>
      </c>
    </row>
    <row r="844" ht="15.75" hidden="1" customHeight="1">
      <c r="A844" s="15" t="s">
        <v>105</v>
      </c>
      <c r="B844" s="11" t="s">
        <v>117</v>
      </c>
      <c r="C844" s="15"/>
      <c r="D844" s="16" t="s">
        <v>16</v>
      </c>
      <c r="E844" s="17">
        <v>3.0</v>
      </c>
      <c r="F844" s="18">
        <f>E844* 0.0803212851405623</f>
        <v>0.2409638554</v>
      </c>
      <c r="G844" s="18">
        <f>E844* 0.913367756741251</f>
        <v>2.74010327</v>
      </c>
      <c r="H844" s="18">
        <f>E844* 0.0057372346528973</f>
        <v>0.01721170396</v>
      </c>
    </row>
    <row r="845" ht="15.75" hidden="1" customHeight="1">
      <c r="A845" s="15" t="s">
        <v>105</v>
      </c>
      <c r="B845" s="11" t="s">
        <v>117</v>
      </c>
      <c r="C845" s="15"/>
      <c r="D845" s="16" t="s">
        <v>11</v>
      </c>
      <c r="E845" s="17">
        <v>29.0</v>
      </c>
      <c r="F845" s="18">
        <f>E845* 0.150611071171819</f>
        <v>4.367721064</v>
      </c>
      <c r="G845" s="18">
        <f>E845* 0.847699496764917</f>
        <v>24.58328541</v>
      </c>
      <c r="H845" s="18">
        <f>E845* 0.00136592379583034</f>
        <v>0.03961179008</v>
      </c>
    </row>
    <row r="846" ht="15.75" hidden="1" customHeight="1">
      <c r="A846" s="15" t="s">
        <v>105</v>
      </c>
      <c r="B846" s="11" t="s">
        <v>117</v>
      </c>
      <c r="C846" s="15"/>
      <c r="D846" s="16" t="s">
        <v>17</v>
      </c>
      <c r="E846" s="17">
        <v>16.0</v>
      </c>
      <c r="F846" s="18">
        <f>E846* 0.840430229624022</f>
        <v>13.44688367</v>
      </c>
      <c r="G846" s="18">
        <f>E846* 0.0777504415846581</f>
        <v>1.244007065</v>
      </c>
      <c r="H846" s="18">
        <f>E846* 0.0817877870300278</f>
        <v>1.308604592</v>
      </c>
    </row>
    <row r="847" ht="15.75" hidden="1" customHeight="1">
      <c r="A847" s="15" t="s">
        <v>105</v>
      </c>
      <c r="B847" s="11" t="s">
        <v>117</v>
      </c>
      <c r="C847" s="15"/>
      <c r="D847" s="16" t="s">
        <v>31</v>
      </c>
      <c r="E847" s="17">
        <v>1.0</v>
      </c>
      <c r="F847" s="18">
        <f>E847* 0.901975683890578</f>
        <v>0.9019756839</v>
      </c>
      <c r="G847" s="18">
        <f>E847* 0.0364741641337386</f>
        <v>0.03647416413</v>
      </c>
      <c r="H847" s="18">
        <f>E847* 0.0615501519756839</f>
        <v>0.06155015198</v>
      </c>
    </row>
    <row r="848" ht="15.75" hidden="1" customHeight="1">
      <c r="A848" s="15" t="s">
        <v>105</v>
      </c>
      <c r="B848" s="11" t="s">
        <v>117</v>
      </c>
      <c r="C848" s="15"/>
      <c r="D848" s="16" t="s">
        <v>18</v>
      </c>
      <c r="E848" s="17">
        <v>5.0</v>
      </c>
      <c r="F848" s="18">
        <f>E848* 0.932934264493959</f>
        <v>4.664671322</v>
      </c>
      <c r="G848" s="18">
        <f>E848* 0.0585300964416362</f>
        <v>0.2926504822</v>
      </c>
      <c r="H848" s="18">
        <f>E848* 0.00853563906440528</f>
        <v>0.04267819532</v>
      </c>
    </row>
    <row r="849" ht="15.75" hidden="1" customHeight="1">
      <c r="A849" s="15" t="s">
        <v>105</v>
      </c>
      <c r="B849" s="11" t="s">
        <v>117</v>
      </c>
      <c r="C849" s="15"/>
      <c r="D849" s="16" t="s">
        <v>19</v>
      </c>
      <c r="E849" s="17">
        <v>1.0</v>
      </c>
      <c r="F849" s="18">
        <f>E849* 0.290681971640783</f>
        <v>0.2906819716</v>
      </c>
      <c r="G849" s="18">
        <f>E849* 0.694125590817016</f>
        <v>0.6941255908</v>
      </c>
      <c r="H849" s="18">
        <f>E849* 0.0151924375422012</f>
        <v>0.01519243754</v>
      </c>
    </row>
    <row r="850" ht="15.75" hidden="1" customHeight="1">
      <c r="A850" s="15" t="s">
        <v>105</v>
      </c>
      <c r="B850" s="11" t="s">
        <v>117</v>
      </c>
      <c r="C850" s="15"/>
      <c r="D850" s="16" t="s">
        <v>20</v>
      </c>
      <c r="E850" s="17">
        <v>8.0</v>
      </c>
      <c r="F850" s="18">
        <f>E850* 0.686268801552644</f>
        <v>5.490150412</v>
      </c>
      <c r="G850" s="18">
        <f>E850* 0.196991751576904</f>
        <v>1.575934013</v>
      </c>
      <c r="H850" s="18">
        <f>E850* 0.116642406598738</f>
        <v>0.9331392528</v>
      </c>
    </row>
    <row r="851" ht="15.75" hidden="1" customHeight="1">
      <c r="A851" s="15" t="s">
        <v>105</v>
      </c>
      <c r="B851" s="11" t="s">
        <v>117</v>
      </c>
      <c r="C851" s="15"/>
      <c r="D851" s="16" t="s">
        <v>21</v>
      </c>
      <c r="E851" s="17">
        <v>158.0</v>
      </c>
      <c r="F851" s="18">
        <f>E851* 0.999513766486355</f>
        <v>157.9231751</v>
      </c>
      <c r="G851" s="18">
        <f>E851* 0.0000243116756822464</f>
        <v>0.003841244758</v>
      </c>
      <c r="H851" s="18">
        <f>E851* 0.00034036345955145</f>
        <v>0.05377742661</v>
      </c>
    </row>
    <row r="852" ht="15.75" hidden="1" customHeight="1">
      <c r="A852" s="15" t="s">
        <v>105</v>
      </c>
      <c r="B852" s="11" t="s">
        <v>117</v>
      </c>
      <c r="C852" s="15"/>
      <c r="D852" s="16" t="s">
        <v>28</v>
      </c>
      <c r="E852" s="17">
        <v>16.0</v>
      </c>
      <c r="F852" s="18">
        <f>E852* 0.00094876660341556</f>
        <v>0.01518026565</v>
      </c>
      <c r="G852" s="18">
        <f>E852* 0.999051233396584</f>
        <v>15.98481973</v>
      </c>
      <c r="H852" s="18">
        <v>0.0</v>
      </c>
    </row>
    <row r="853" ht="15.75" hidden="1" customHeight="1">
      <c r="A853" s="15" t="s">
        <v>105</v>
      </c>
      <c r="B853" s="11" t="s">
        <v>117</v>
      </c>
      <c r="C853" s="15"/>
      <c r="D853" s="16" t="s">
        <v>12</v>
      </c>
      <c r="E853" s="17">
        <v>59.0</v>
      </c>
      <c r="F853" s="18">
        <f>E853* 0.843786808009423</f>
        <v>49.78342167</v>
      </c>
      <c r="G853" s="18">
        <f>E853* 0.0740675304279545</f>
        <v>4.369984295</v>
      </c>
      <c r="H853" s="18">
        <f>E853* 0.0820965842167256</f>
        <v>4.843698469</v>
      </c>
    </row>
    <row r="854" ht="15.75" hidden="1" customHeight="1">
      <c r="A854" s="15" t="s">
        <v>105</v>
      </c>
      <c r="B854" s="8"/>
      <c r="C854" s="8"/>
      <c r="D854" s="9"/>
      <c r="E854" s="19"/>
    </row>
    <row r="855" ht="15.75" hidden="1" customHeight="1">
      <c r="A855" s="15" t="s">
        <v>105</v>
      </c>
      <c r="B855" s="11" t="s">
        <v>105</v>
      </c>
      <c r="C855" s="12" t="str">
        <f>B855&amp;"_"&amp;A855</f>
        <v>Cochabamba_Cochabamba</v>
      </c>
      <c r="E855" s="22">
        <v>205083.0</v>
      </c>
      <c r="F855" s="14">
        <f t="shared" ref="F855:H855" si="90">SUM(F856:F871)</f>
        <v>177329.2979</v>
      </c>
      <c r="G855" s="14">
        <f t="shared" si="90"/>
        <v>18242.61915</v>
      </c>
      <c r="H855" s="14">
        <f t="shared" si="90"/>
        <v>9492.978061</v>
      </c>
    </row>
    <row r="856" ht="15.75" hidden="1" customHeight="1">
      <c r="A856" s="15" t="s">
        <v>105</v>
      </c>
      <c r="B856" s="11" t="s">
        <v>105</v>
      </c>
      <c r="C856" s="15"/>
      <c r="D856" s="16" t="s">
        <v>14</v>
      </c>
      <c r="E856" s="17">
        <v>0.0</v>
      </c>
      <c r="F856" s="20">
        <v>0.0</v>
      </c>
      <c r="G856" s="20">
        <f>E856</f>
        <v>0</v>
      </c>
      <c r="H856" s="20">
        <v>0.0</v>
      </c>
    </row>
    <row r="857" ht="15.75" hidden="1" customHeight="1">
      <c r="A857" s="15" t="s">
        <v>105</v>
      </c>
      <c r="B857" s="11" t="s">
        <v>105</v>
      </c>
      <c r="C857" s="15"/>
      <c r="D857" s="16" t="s">
        <v>15</v>
      </c>
      <c r="E857" s="23">
        <v>45613.0</v>
      </c>
      <c r="F857" s="18">
        <f>E857* 0.932775698199239</f>
        <v>42546.69792</v>
      </c>
      <c r="G857" s="18">
        <f>E857* 0.00808724987291465</f>
        <v>368.8837285</v>
      </c>
      <c r="H857" s="18">
        <f>E857*0.0590600305004852</f>
        <v>2693.905171</v>
      </c>
    </row>
    <row r="858" ht="15.75" hidden="1" customHeight="1">
      <c r="A858" s="15" t="s">
        <v>105</v>
      </c>
      <c r="B858" s="11" t="s">
        <v>105</v>
      </c>
      <c r="C858" s="15"/>
      <c r="D858" s="16" t="s">
        <v>16</v>
      </c>
      <c r="E858" s="17">
        <v>745.0</v>
      </c>
      <c r="F858" s="18">
        <f>E858* 0.0803212851405623</f>
        <v>59.83935743</v>
      </c>
      <c r="G858" s="18">
        <f>E858* 0.913367756741251</f>
        <v>680.4589788</v>
      </c>
      <c r="H858" s="18">
        <f>E858* 0.0057372346528973</f>
        <v>4.274239816</v>
      </c>
    </row>
    <row r="859" ht="15.75" hidden="1" customHeight="1">
      <c r="A859" s="15" t="s">
        <v>105</v>
      </c>
      <c r="B859" s="11" t="s">
        <v>105</v>
      </c>
      <c r="C859" s="15"/>
      <c r="D859" s="16" t="s">
        <v>11</v>
      </c>
      <c r="E859" s="23">
        <v>10083.0</v>
      </c>
      <c r="F859" s="18">
        <f>E859* 0.150611071171819</f>
        <v>1518.611431</v>
      </c>
      <c r="G859" s="18">
        <f>E859* 0.847699496764917</f>
        <v>8547.354026</v>
      </c>
      <c r="H859" s="18">
        <f>E859* 0.00136592379583034</f>
        <v>13.77260963</v>
      </c>
    </row>
    <row r="860" ht="15.75" hidden="1" customHeight="1">
      <c r="A860" s="15" t="s">
        <v>105</v>
      </c>
      <c r="B860" s="11" t="s">
        <v>105</v>
      </c>
      <c r="C860" s="15"/>
      <c r="D860" s="16" t="s">
        <v>17</v>
      </c>
      <c r="E860" s="23">
        <v>20143.0</v>
      </c>
      <c r="F860" s="18">
        <f>E860* 0.840430229624022</f>
        <v>16928.78612</v>
      </c>
      <c r="G860" s="18">
        <f>E860* 0.0777504415846581</f>
        <v>1566.127145</v>
      </c>
      <c r="H860" s="18">
        <f>E860* 0.0817877870300278</f>
        <v>1647.451394</v>
      </c>
    </row>
    <row r="861" ht="15.75" hidden="1" customHeight="1">
      <c r="A861" s="15" t="s">
        <v>105</v>
      </c>
      <c r="B861" s="11" t="s">
        <v>105</v>
      </c>
      <c r="C861" s="15"/>
      <c r="D861" s="16" t="s">
        <v>31</v>
      </c>
      <c r="E861" s="17">
        <v>888.0</v>
      </c>
      <c r="F861" s="18">
        <f>E861* 0.901975683890578</f>
        <v>800.9544073</v>
      </c>
      <c r="G861" s="18">
        <f>E861* 0.0364741641337386</f>
        <v>32.38905775</v>
      </c>
      <c r="H861" s="18">
        <f>E861* 0.0615501519756839</f>
        <v>54.65653495</v>
      </c>
    </row>
    <row r="862" ht="15.75" hidden="1" customHeight="1">
      <c r="A862" s="15" t="s">
        <v>105</v>
      </c>
      <c r="B862" s="11" t="s">
        <v>105</v>
      </c>
      <c r="C862" s="15"/>
      <c r="D862" s="16" t="s">
        <v>18</v>
      </c>
      <c r="E862" s="23">
        <v>6642.0</v>
      </c>
      <c r="F862" s="18">
        <f>E862* 0.932934264493959</f>
        <v>6196.549385</v>
      </c>
      <c r="G862" s="18">
        <f>E862* 0.0585300964416362</f>
        <v>388.7569006</v>
      </c>
      <c r="H862" s="18">
        <f>E862* 0.00853563906440528</f>
        <v>56.69371467</v>
      </c>
    </row>
    <row r="863" ht="15.75" hidden="1" customHeight="1">
      <c r="A863" s="15" t="s">
        <v>105</v>
      </c>
      <c r="B863" s="11" t="s">
        <v>105</v>
      </c>
      <c r="C863" s="15"/>
      <c r="D863" s="16" t="s">
        <v>35</v>
      </c>
      <c r="E863" s="17">
        <v>0.0</v>
      </c>
      <c r="F863" s="20">
        <v>0.0</v>
      </c>
      <c r="G863" s="20">
        <f>E863</f>
        <v>0</v>
      </c>
      <c r="H863" s="20">
        <v>0.0</v>
      </c>
    </row>
    <row r="864" ht="15.75" hidden="1" customHeight="1">
      <c r="A864" s="15" t="s">
        <v>105</v>
      </c>
      <c r="B864" s="11" t="s">
        <v>105</v>
      </c>
      <c r="C864" s="15"/>
      <c r="D864" s="16" t="s">
        <v>19</v>
      </c>
      <c r="E864" s="23">
        <v>1540.0</v>
      </c>
      <c r="F864" s="18">
        <f>E864* 0.290681971640783</f>
        <v>447.6502363</v>
      </c>
      <c r="G864" s="18">
        <f>E864* 0.694125590817016</f>
        <v>1068.95341</v>
      </c>
      <c r="H864" s="18">
        <f>E864* 0.0151924375422012</f>
        <v>23.39635381</v>
      </c>
    </row>
    <row r="865" ht="15.75" hidden="1" customHeight="1">
      <c r="A865" s="15" t="s">
        <v>105</v>
      </c>
      <c r="B865" s="11" t="s">
        <v>105</v>
      </c>
      <c r="C865" s="15"/>
      <c r="D865" s="16" t="s">
        <v>20</v>
      </c>
      <c r="E865" s="23">
        <v>3370.0</v>
      </c>
      <c r="F865" s="18">
        <f>E865* 0.686268801552644</f>
        <v>2312.725861</v>
      </c>
      <c r="G865" s="18">
        <f>E865* 0.196991751576904</f>
        <v>663.8622028</v>
      </c>
      <c r="H865" s="18">
        <f>E865* 0.116642406598738</f>
        <v>393.0849102</v>
      </c>
    </row>
    <row r="866" ht="15.75" hidden="1" customHeight="1">
      <c r="A866" s="15" t="s">
        <v>105</v>
      </c>
      <c r="B866" s="11" t="s">
        <v>105</v>
      </c>
      <c r="C866" s="15"/>
      <c r="D866" s="16" t="s">
        <v>21</v>
      </c>
      <c r="E866" s="23">
        <v>59220.0</v>
      </c>
      <c r="F866" s="18">
        <f>E866* 0.999513766486355</f>
        <v>59191.20525</v>
      </c>
      <c r="G866" s="18">
        <f>E866* 0.0000243116756822464</f>
        <v>1.439737434</v>
      </c>
      <c r="H866" s="18">
        <f>E866* 0.00034036345955145</f>
        <v>20.15632407</v>
      </c>
    </row>
    <row r="867" ht="15.75" hidden="1" customHeight="1">
      <c r="A867" s="15" t="s">
        <v>105</v>
      </c>
      <c r="B867" s="11" t="s">
        <v>105</v>
      </c>
      <c r="C867" s="15"/>
      <c r="D867" s="16" t="s">
        <v>36</v>
      </c>
      <c r="E867" s="17">
        <v>195.0</v>
      </c>
      <c r="F867" s="20">
        <f>E867</f>
        <v>195</v>
      </c>
      <c r="G867" s="20">
        <v>0.0</v>
      </c>
      <c r="H867" s="20">
        <v>0.0</v>
      </c>
    </row>
    <row r="868" ht="15.75" hidden="1" customHeight="1">
      <c r="A868" s="15" t="s">
        <v>105</v>
      </c>
      <c r="B868" s="11" t="s">
        <v>105</v>
      </c>
      <c r="C868" s="15"/>
      <c r="D868" s="16" t="s">
        <v>37</v>
      </c>
      <c r="E868" s="17">
        <v>16.0</v>
      </c>
      <c r="F868" s="20">
        <v>0.0</v>
      </c>
      <c r="G868" s="20">
        <f>E868</f>
        <v>16</v>
      </c>
      <c r="H868" s="20">
        <v>0.0</v>
      </c>
    </row>
    <row r="869" ht="15.75" hidden="1" customHeight="1">
      <c r="A869" s="15" t="s">
        <v>105</v>
      </c>
      <c r="B869" s="11" t="s">
        <v>105</v>
      </c>
      <c r="C869" s="15"/>
      <c r="D869" s="16" t="s">
        <v>28</v>
      </c>
      <c r="E869" s="17">
        <v>761.0</v>
      </c>
      <c r="F869" s="18">
        <f>E869* 0.00094876660341556</f>
        <v>0.7220113852</v>
      </c>
      <c r="G869" s="18">
        <f>E869* 0.999051233396584</f>
        <v>760.2779886</v>
      </c>
      <c r="H869" s="18">
        <v>0.0</v>
      </c>
    </row>
    <row r="870" ht="15.75" hidden="1" customHeight="1">
      <c r="A870" s="15" t="s">
        <v>105</v>
      </c>
      <c r="B870" s="11" t="s">
        <v>105</v>
      </c>
      <c r="C870" s="15"/>
      <c r="D870" s="16" t="s">
        <v>84</v>
      </c>
      <c r="E870" s="17">
        <v>11.0</v>
      </c>
      <c r="F870" s="20">
        <v>0.0</v>
      </c>
      <c r="G870" s="20">
        <f>E870</f>
        <v>11</v>
      </c>
      <c r="H870" s="20">
        <v>0.0</v>
      </c>
    </row>
    <row r="871" ht="15.75" hidden="1" customHeight="1">
      <c r="A871" s="15" t="s">
        <v>105</v>
      </c>
      <c r="B871" s="11" t="s">
        <v>105</v>
      </c>
      <c r="C871" s="15"/>
      <c r="D871" s="16" t="s">
        <v>12</v>
      </c>
      <c r="E871" s="23">
        <v>55856.0</v>
      </c>
      <c r="F871" s="18">
        <f>E871* 0.843786808009423</f>
        <v>47130.55595</v>
      </c>
      <c r="G871" s="18">
        <f>E871* 0.0740675304279545</f>
        <v>4137.11598</v>
      </c>
      <c r="H871" s="18">
        <f>E871* 0.0820965842167256</f>
        <v>4585.586808</v>
      </c>
    </row>
    <row r="872" ht="15.75" hidden="1" customHeight="1">
      <c r="A872" s="15" t="s">
        <v>105</v>
      </c>
      <c r="B872" s="8"/>
      <c r="C872" s="8"/>
      <c r="D872" s="9"/>
      <c r="E872" s="19"/>
    </row>
    <row r="873" ht="15.75" hidden="1" customHeight="1">
      <c r="A873" s="15" t="s">
        <v>105</v>
      </c>
      <c r="B873" s="11" t="s">
        <v>118</v>
      </c>
      <c r="C873" s="12" t="str">
        <f>B873&amp;"_"&amp;A873</f>
        <v>Colcapirhua_Cochabamba</v>
      </c>
      <c r="E873" s="22">
        <v>7867.0</v>
      </c>
      <c r="F873" s="14">
        <f t="shared" ref="F873:H873" si="91">SUM(F874:F887)</f>
        <v>5840.408688</v>
      </c>
      <c r="G873" s="14">
        <f t="shared" si="91"/>
        <v>1628.049343</v>
      </c>
      <c r="H873" s="14">
        <f t="shared" si="91"/>
        <v>397.8296302</v>
      </c>
    </row>
    <row r="874" ht="15.75" hidden="1" customHeight="1">
      <c r="A874" s="15" t="s">
        <v>105</v>
      </c>
      <c r="B874" s="11" t="s">
        <v>118</v>
      </c>
      <c r="C874" s="15"/>
      <c r="D874" s="16" t="s">
        <v>14</v>
      </c>
      <c r="E874" s="17">
        <v>0.0</v>
      </c>
      <c r="F874" s="20">
        <v>0.0</v>
      </c>
      <c r="G874" s="20">
        <f>E874</f>
        <v>0</v>
      </c>
      <c r="H874" s="20">
        <v>0.0</v>
      </c>
    </row>
    <row r="875" ht="15.75" hidden="1" customHeight="1">
      <c r="A875" s="15" t="s">
        <v>105</v>
      </c>
      <c r="B875" s="11" t="s">
        <v>118</v>
      </c>
      <c r="C875" s="15"/>
      <c r="D875" s="16" t="s">
        <v>15</v>
      </c>
      <c r="E875" s="23">
        <v>1225.0</v>
      </c>
      <c r="F875" s="18">
        <f>E875* 0.932775698199239</f>
        <v>1142.65023</v>
      </c>
      <c r="G875" s="18">
        <f>E875* 0.00808724987291465</f>
        <v>9.906881094</v>
      </c>
      <c r="H875" s="18">
        <f>E875*0.0590600305004852</f>
        <v>72.34853736</v>
      </c>
    </row>
    <row r="876" ht="15.75" hidden="1" customHeight="1">
      <c r="A876" s="15" t="s">
        <v>105</v>
      </c>
      <c r="B876" s="11" t="s">
        <v>118</v>
      </c>
      <c r="C876" s="15"/>
      <c r="D876" s="16" t="s">
        <v>16</v>
      </c>
      <c r="E876" s="17">
        <v>36.0</v>
      </c>
      <c r="F876" s="18">
        <f>E876* 0.0803212851405623</f>
        <v>2.891566265</v>
      </c>
      <c r="G876" s="18">
        <f>E876* 0.913367756741251</f>
        <v>32.88123924</v>
      </c>
      <c r="H876" s="18">
        <f>E876* 0.0057372346528973</f>
        <v>0.2065404475</v>
      </c>
    </row>
    <row r="877" ht="15.75" hidden="1" customHeight="1">
      <c r="A877" s="15" t="s">
        <v>105</v>
      </c>
      <c r="B877" s="11" t="s">
        <v>118</v>
      </c>
      <c r="C877" s="15"/>
      <c r="D877" s="16" t="s">
        <v>11</v>
      </c>
      <c r="E877" s="17">
        <v>820.0</v>
      </c>
      <c r="F877" s="18">
        <f>E877* 0.150611071171819</f>
        <v>123.5010784</v>
      </c>
      <c r="G877" s="18">
        <f>E877* 0.847699496764917</f>
        <v>695.1135873</v>
      </c>
      <c r="H877" s="18">
        <f>E877* 0.00136592379583034</f>
        <v>1.120057513</v>
      </c>
    </row>
    <row r="878" ht="15.75" hidden="1" customHeight="1">
      <c r="A878" s="15" t="s">
        <v>105</v>
      </c>
      <c r="B878" s="11" t="s">
        <v>118</v>
      </c>
      <c r="C878" s="15"/>
      <c r="D878" s="16" t="s">
        <v>17</v>
      </c>
      <c r="E878" s="17">
        <v>829.0</v>
      </c>
      <c r="F878" s="18">
        <f>E878* 0.840430229624022</f>
        <v>696.7166604</v>
      </c>
      <c r="G878" s="18">
        <f>E878* 0.0777504415846581</f>
        <v>64.45511607</v>
      </c>
      <c r="H878" s="18">
        <f>E878* 0.0817877870300278</f>
        <v>67.80207545</v>
      </c>
    </row>
    <row r="879" ht="15.75" hidden="1" customHeight="1">
      <c r="A879" s="15" t="s">
        <v>105</v>
      </c>
      <c r="B879" s="11" t="s">
        <v>118</v>
      </c>
      <c r="C879" s="15"/>
      <c r="D879" s="16" t="s">
        <v>31</v>
      </c>
      <c r="E879" s="17">
        <v>30.0</v>
      </c>
      <c r="F879" s="18">
        <f>E879* 0.901975683890578</f>
        <v>27.05927052</v>
      </c>
      <c r="G879" s="18">
        <f>E879* 0.0364741641337386</f>
        <v>1.094224924</v>
      </c>
      <c r="H879" s="18">
        <f>E879* 0.0615501519756839</f>
        <v>1.846504559</v>
      </c>
    </row>
    <row r="880" ht="15.75" hidden="1" customHeight="1">
      <c r="A880" s="15" t="s">
        <v>105</v>
      </c>
      <c r="B880" s="11" t="s">
        <v>118</v>
      </c>
      <c r="C880" s="15"/>
      <c r="D880" s="16" t="s">
        <v>18</v>
      </c>
      <c r="E880" s="17">
        <v>154.0</v>
      </c>
      <c r="F880" s="18">
        <f>E880* 0.932934264493959</f>
        <v>143.6718767</v>
      </c>
      <c r="G880" s="18">
        <f>E880* 0.0585300964416362</f>
        <v>9.013634852</v>
      </c>
      <c r="H880" s="18">
        <f>E880* 0.00853563906440528</f>
        <v>1.314488416</v>
      </c>
    </row>
    <row r="881" ht="15.75" hidden="1" customHeight="1">
      <c r="A881" s="15" t="s">
        <v>105</v>
      </c>
      <c r="B881" s="11" t="s">
        <v>118</v>
      </c>
      <c r="C881" s="15"/>
      <c r="D881" s="16" t="s">
        <v>19</v>
      </c>
      <c r="E881" s="17">
        <v>45.0</v>
      </c>
      <c r="F881" s="18">
        <f>E881* 0.290681971640783</f>
        <v>13.08068872</v>
      </c>
      <c r="G881" s="18">
        <f>E881* 0.694125590817016</f>
        <v>31.23565159</v>
      </c>
      <c r="H881" s="18">
        <f>E881* 0.0151924375422012</f>
        <v>0.6836596894</v>
      </c>
    </row>
    <row r="882" ht="15.75" hidden="1" customHeight="1">
      <c r="A882" s="15" t="s">
        <v>105</v>
      </c>
      <c r="B882" s="11" t="s">
        <v>118</v>
      </c>
      <c r="C882" s="15"/>
      <c r="D882" s="16" t="s">
        <v>20</v>
      </c>
      <c r="E882" s="17">
        <v>244.0</v>
      </c>
      <c r="F882" s="18">
        <f>E882* 0.686268801552644</f>
        <v>167.4495876</v>
      </c>
      <c r="G882" s="18">
        <f>E882* 0.196991751576904</f>
        <v>48.06598738</v>
      </c>
      <c r="H882" s="18">
        <f>E882* 0.116642406598738</f>
        <v>28.46074721</v>
      </c>
    </row>
    <row r="883" ht="15.75" hidden="1" customHeight="1">
      <c r="A883" s="15" t="s">
        <v>105</v>
      </c>
      <c r="B883" s="11" t="s">
        <v>118</v>
      </c>
      <c r="C883" s="15"/>
      <c r="D883" s="16" t="s">
        <v>21</v>
      </c>
      <c r="E883" s="23">
        <v>1222.0</v>
      </c>
      <c r="F883" s="18">
        <f>E883* 0.999513766486355</f>
        <v>1221.405823</v>
      </c>
      <c r="G883" s="18">
        <f>E883* 0.0000243116756822464</f>
        <v>0.02970886768</v>
      </c>
      <c r="H883" s="18">
        <f>E883* 0.00034036345955145</f>
        <v>0.4159241476</v>
      </c>
    </row>
    <row r="884" ht="15.75" hidden="1" customHeight="1">
      <c r="A884" s="15" t="s">
        <v>105</v>
      </c>
      <c r="B884" s="11" t="s">
        <v>118</v>
      </c>
      <c r="C884" s="15"/>
      <c r="D884" s="16" t="s">
        <v>36</v>
      </c>
      <c r="E884" s="17">
        <v>3.0</v>
      </c>
      <c r="F884" s="20">
        <f>E884</f>
        <v>3</v>
      </c>
      <c r="G884" s="20">
        <v>0.0</v>
      </c>
      <c r="H884" s="20">
        <v>0.0</v>
      </c>
    </row>
    <row r="885" ht="15.75" hidden="1" customHeight="1">
      <c r="A885" s="15" t="s">
        <v>105</v>
      </c>
      <c r="B885" s="11" t="s">
        <v>118</v>
      </c>
      <c r="C885" s="15"/>
      <c r="D885" s="16" t="s">
        <v>37</v>
      </c>
      <c r="E885" s="17">
        <v>1.0</v>
      </c>
      <c r="F885" s="20">
        <v>0.0</v>
      </c>
      <c r="G885" s="20">
        <f>E885</f>
        <v>1</v>
      </c>
      <c r="H885" s="20">
        <v>0.0</v>
      </c>
    </row>
    <row r="886" ht="15.75" hidden="1" customHeight="1">
      <c r="A886" s="15" t="s">
        <v>105</v>
      </c>
      <c r="B886" s="11" t="s">
        <v>118</v>
      </c>
      <c r="C886" s="15"/>
      <c r="D886" s="16" t="s">
        <v>28</v>
      </c>
      <c r="E886" s="17">
        <v>534.0</v>
      </c>
      <c r="F886" s="18">
        <f>E886* 0.00094876660341556</f>
        <v>0.5066413662</v>
      </c>
      <c r="G886" s="18">
        <f>E886* 0.999051233396584</f>
        <v>533.4933586</v>
      </c>
      <c r="H886" s="18">
        <v>0.0</v>
      </c>
    </row>
    <row r="887" ht="15.75" hidden="1" customHeight="1">
      <c r="A887" s="15" t="s">
        <v>105</v>
      </c>
      <c r="B887" s="11" t="s">
        <v>118</v>
      </c>
      <c r="C887" s="15"/>
      <c r="D887" s="16" t="s">
        <v>12</v>
      </c>
      <c r="E887" s="23">
        <v>2724.0</v>
      </c>
      <c r="F887" s="18">
        <f>E887* 0.843786808009423</f>
        <v>2298.475265</v>
      </c>
      <c r="G887" s="18">
        <f>E887* 0.0740675304279545</f>
        <v>201.7599529</v>
      </c>
      <c r="H887" s="18">
        <f>E887* 0.0820965842167256</f>
        <v>223.6310954</v>
      </c>
    </row>
    <row r="888" ht="15.75" hidden="1" customHeight="1">
      <c r="A888" s="15" t="s">
        <v>105</v>
      </c>
      <c r="B888" s="8"/>
      <c r="C888" s="8"/>
      <c r="D888" s="9"/>
      <c r="E888" s="19"/>
    </row>
    <row r="889" ht="15.75" hidden="1" customHeight="1">
      <c r="A889" s="15" t="s">
        <v>105</v>
      </c>
      <c r="B889" s="11" t="s">
        <v>119</v>
      </c>
      <c r="C889" s="12" t="str">
        <f>B889&amp;"_"&amp;A889</f>
        <v>Colomi_Cochabamba</v>
      </c>
      <c r="E889" s="13">
        <v>547.0</v>
      </c>
      <c r="F889" s="14">
        <f t="shared" ref="F889:H889" si="92">SUM(F890:F902)</f>
        <v>339.5715502</v>
      </c>
      <c r="G889" s="14">
        <f t="shared" si="92"/>
        <v>183.7892718</v>
      </c>
      <c r="H889" s="14">
        <f t="shared" si="92"/>
        <v>23.55775263</v>
      </c>
    </row>
    <row r="890" ht="15.75" hidden="1" customHeight="1">
      <c r="A890" s="15" t="s">
        <v>105</v>
      </c>
      <c r="B890" s="11" t="s">
        <v>119</v>
      </c>
      <c r="C890" s="15"/>
      <c r="D890" s="16" t="s">
        <v>14</v>
      </c>
      <c r="E890" s="17">
        <v>0.0</v>
      </c>
      <c r="F890" s="20">
        <v>0.0</v>
      </c>
      <c r="G890" s="20">
        <f>E890</f>
        <v>0</v>
      </c>
      <c r="H890" s="20">
        <v>0.0</v>
      </c>
    </row>
    <row r="891" ht="15.75" hidden="1" customHeight="1">
      <c r="A891" s="15" t="s">
        <v>105</v>
      </c>
      <c r="B891" s="11" t="s">
        <v>119</v>
      </c>
      <c r="C891" s="15"/>
      <c r="D891" s="16" t="s">
        <v>15</v>
      </c>
      <c r="E891" s="17">
        <v>40.0</v>
      </c>
      <c r="F891" s="18">
        <f>E891* 0.932775698199239</f>
        <v>37.31102793</v>
      </c>
      <c r="G891" s="18">
        <f>E891* 0.00808724987291465</f>
        <v>0.3234899949</v>
      </c>
      <c r="H891" s="18">
        <f>E891*0.0590600305004852</f>
        <v>2.36240122</v>
      </c>
    </row>
    <row r="892" ht="15.75" hidden="1" customHeight="1">
      <c r="A892" s="15" t="s">
        <v>105</v>
      </c>
      <c r="B892" s="11" t="s">
        <v>119</v>
      </c>
      <c r="C892" s="15"/>
      <c r="D892" s="16" t="s">
        <v>16</v>
      </c>
      <c r="E892" s="17">
        <v>5.0</v>
      </c>
      <c r="F892" s="18">
        <f>E892* 0.0803212851405623</f>
        <v>0.4016064257</v>
      </c>
      <c r="G892" s="18">
        <f>E892* 0.913367756741251</f>
        <v>4.566838784</v>
      </c>
      <c r="H892" s="18">
        <f>E892* 0.0057372346528973</f>
        <v>0.02868617326</v>
      </c>
    </row>
    <row r="893" ht="15.75" hidden="1" customHeight="1">
      <c r="A893" s="15" t="s">
        <v>105</v>
      </c>
      <c r="B893" s="11" t="s">
        <v>119</v>
      </c>
      <c r="C893" s="15"/>
      <c r="D893" s="16" t="s">
        <v>11</v>
      </c>
      <c r="E893" s="17">
        <v>178.0</v>
      </c>
      <c r="F893" s="18">
        <f>E893* 0.150611071171819</f>
        <v>26.80877067</v>
      </c>
      <c r="G893" s="18">
        <f>E893* 0.847699496764917</f>
        <v>150.8905104</v>
      </c>
      <c r="H893" s="18">
        <f>E893* 0.00136592379583034</f>
        <v>0.2431344357</v>
      </c>
    </row>
    <row r="894" ht="15.75" hidden="1" customHeight="1">
      <c r="A894" s="15" t="s">
        <v>105</v>
      </c>
      <c r="B894" s="11" t="s">
        <v>119</v>
      </c>
      <c r="C894" s="15"/>
      <c r="D894" s="16" t="s">
        <v>17</v>
      </c>
      <c r="E894" s="17">
        <v>77.0</v>
      </c>
      <c r="F894" s="18">
        <f>E894* 0.840430229624022</f>
        <v>64.71312768</v>
      </c>
      <c r="G894" s="18">
        <f>E894* 0.0777504415846581</f>
        <v>5.986784002</v>
      </c>
      <c r="H894" s="18">
        <f>E894* 0.0817877870300278</f>
        <v>6.297659601</v>
      </c>
    </row>
    <row r="895" ht="15.75" hidden="1" customHeight="1">
      <c r="A895" s="15" t="s">
        <v>105</v>
      </c>
      <c r="B895" s="11" t="s">
        <v>119</v>
      </c>
      <c r="C895" s="15"/>
      <c r="D895" s="16" t="s">
        <v>31</v>
      </c>
      <c r="E895" s="17">
        <v>1.0</v>
      </c>
      <c r="F895" s="18">
        <f>E895* 0.901975683890578</f>
        <v>0.9019756839</v>
      </c>
      <c r="G895" s="18">
        <f>E895* 0.0364741641337386</f>
        <v>0.03647416413</v>
      </c>
      <c r="H895" s="18">
        <f>E895* 0.0615501519756839</f>
        <v>0.06155015198</v>
      </c>
    </row>
    <row r="896" ht="15.75" hidden="1" customHeight="1">
      <c r="A896" s="15" t="s">
        <v>105</v>
      </c>
      <c r="B896" s="11" t="s">
        <v>119</v>
      </c>
      <c r="C896" s="15"/>
      <c r="D896" s="16" t="s">
        <v>18</v>
      </c>
      <c r="E896" s="17">
        <v>9.0</v>
      </c>
      <c r="F896" s="18">
        <f>E896* 0.932934264493959</f>
        <v>8.39640838</v>
      </c>
      <c r="G896" s="18">
        <f>E896* 0.0585300964416362</f>
        <v>0.526770868</v>
      </c>
      <c r="H896" s="18">
        <f>E896* 0.00853563906440528</f>
        <v>0.07682075158</v>
      </c>
    </row>
    <row r="897" ht="15.75" hidden="1" customHeight="1">
      <c r="A897" s="15" t="s">
        <v>105</v>
      </c>
      <c r="B897" s="11" t="s">
        <v>119</v>
      </c>
      <c r="C897" s="15"/>
      <c r="D897" s="16" t="s">
        <v>19</v>
      </c>
      <c r="E897" s="17">
        <v>7.0</v>
      </c>
      <c r="F897" s="18">
        <f>E897* 0.290681971640783</f>
        <v>2.034773801</v>
      </c>
      <c r="G897" s="18">
        <f>E897* 0.694125590817016</f>
        <v>4.858879136</v>
      </c>
      <c r="H897" s="18">
        <f>E897* 0.0151924375422012</f>
        <v>0.1063470628</v>
      </c>
    </row>
    <row r="898" ht="15.75" hidden="1" customHeight="1">
      <c r="A898" s="15" t="s">
        <v>105</v>
      </c>
      <c r="B898" s="11" t="s">
        <v>119</v>
      </c>
      <c r="C898" s="15"/>
      <c r="D898" s="16" t="s">
        <v>20</v>
      </c>
      <c r="E898" s="17">
        <v>7.0</v>
      </c>
      <c r="F898" s="18">
        <f>E898* 0.686268801552644</f>
        <v>4.803881611</v>
      </c>
      <c r="G898" s="18">
        <f>E898* 0.196991751576904</f>
        <v>1.378942261</v>
      </c>
      <c r="H898" s="18">
        <f>E898* 0.116642406598738</f>
        <v>0.8164968462</v>
      </c>
    </row>
    <row r="899" ht="15.75" hidden="1" customHeight="1">
      <c r="A899" s="15" t="s">
        <v>105</v>
      </c>
      <c r="B899" s="11" t="s">
        <v>119</v>
      </c>
      <c r="C899" s="15"/>
      <c r="D899" s="16" t="s">
        <v>21</v>
      </c>
      <c r="E899" s="17">
        <v>55.0</v>
      </c>
      <c r="F899" s="18">
        <f>E899* 0.999513766486355</f>
        <v>54.97325716</v>
      </c>
      <c r="G899" s="18">
        <f>E899* 0.0000243116756822464</f>
        <v>0.001337142163</v>
      </c>
      <c r="H899" s="18">
        <f>E899* 0.00034036345955145</f>
        <v>0.01871999028</v>
      </c>
    </row>
    <row r="900" ht="15.75" hidden="1" customHeight="1">
      <c r="A900" s="15" t="s">
        <v>105</v>
      </c>
      <c r="B900" s="11" t="s">
        <v>119</v>
      </c>
      <c r="C900" s="15"/>
      <c r="D900" s="16" t="s">
        <v>37</v>
      </c>
      <c r="E900" s="17">
        <v>1.0</v>
      </c>
      <c r="F900" s="20">
        <v>0.0</v>
      </c>
      <c r="G900" s="20">
        <f>E900</f>
        <v>1</v>
      </c>
      <c r="H900" s="20">
        <v>0.0</v>
      </c>
    </row>
    <row r="901" ht="15.75" hidden="1" customHeight="1">
      <c r="A901" s="15" t="s">
        <v>105</v>
      </c>
      <c r="B901" s="11" t="s">
        <v>119</v>
      </c>
      <c r="C901" s="15"/>
      <c r="D901" s="16" t="s">
        <v>28</v>
      </c>
      <c r="E901" s="17">
        <v>2.0</v>
      </c>
      <c r="F901" s="18">
        <f>E901* 0.00094876660341556</f>
        <v>0.001897533207</v>
      </c>
      <c r="G901" s="18">
        <f>E901* 0.999051233396584</f>
        <v>1.998102467</v>
      </c>
      <c r="H901" s="18">
        <v>0.0</v>
      </c>
    </row>
    <row r="902" ht="15.75" hidden="1" customHeight="1">
      <c r="A902" s="15" t="s">
        <v>105</v>
      </c>
      <c r="B902" s="11" t="s">
        <v>119</v>
      </c>
      <c r="C902" s="15"/>
      <c r="D902" s="16" t="s">
        <v>12</v>
      </c>
      <c r="E902" s="17">
        <v>165.0</v>
      </c>
      <c r="F902" s="18">
        <f>E902* 0.843786808009423</f>
        <v>139.2248233</v>
      </c>
      <c r="G902" s="18">
        <f>E902* 0.0740675304279545</f>
        <v>12.22114252</v>
      </c>
      <c r="H902" s="18">
        <f>E902* 0.0820965842167256</f>
        <v>13.5459364</v>
      </c>
    </row>
    <row r="903" ht="15.75" hidden="1" customHeight="1">
      <c r="A903" s="15" t="s">
        <v>105</v>
      </c>
      <c r="B903" s="8"/>
      <c r="C903" s="8"/>
      <c r="D903" s="9"/>
      <c r="E903" s="19"/>
    </row>
    <row r="904" ht="15.75" hidden="1" customHeight="1">
      <c r="A904" s="15" t="s">
        <v>105</v>
      </c>
      <c r="B904" s="11" t="s">
        <v>120</v>
      </c>
      <c r="C904" s="12" t="str">
        <f>B904&amp;"_"&amp;A904</f>
        <v>Entre Ríos_Cochabamba</v>
      </c>
      <c r="E904" s="22">
        <v>1730.0</v>
      </c>
      <c r="F904" s="14">
        <f t="shared" ref="F904:H904" si="93">SUM(F905:F916)</f>
        <v>1456.169219</v>
      </c>
      <c r="G904" s="14">
        <f t="shared" si="93"/>
        <v>177.9097886</v>
      </c>
      <c r="H904" s="14">
        <f t="shared" si="93"/>
        <v>95.77797936</v>
      </c>
    </row>
    <row r="905" ht="15.75" hidden="1" customHeight="1">
      <c r="A905" s="15" t="s">
        <v>105</v>
      </c>
      <c r="B905" s="11" t="s">
        <v>120</v>
      </c>
      <c r="C905" s="15"/>
      <c r="D905" s="16" t="s">
        <v>14</v>
      </c>
      <c r="E905" s="10">
        <v>0.0</v>
      </c>
      <c r="F905" s="20">
        <v>0.0</v>
      </c>
      <c r="G905" s="20">
        <f>E905</f>
        <v>0</v>
      </c>
      <c r="H905" s="20">
        <v>0.0</v>
      </c>
    </row>
    <row r="906" ht="15.75" hidden="1" customHeight="1">
      <c r="A906" s="15" t="s">
        <v>105</v>
      </c>
      <c r="B906" s="11" t="s">
        <v>120</v>
      </c>
      <c r="C906" s="15"/>
      <c r="D906" s="16" t="s">
        <v>15</v>
      </c>
      <c r="E906" s="17">
        <v>20.0</v>
      </c>
      <c r="F906" s="18">
        <f>E906* 0.932775698199239</f>
        <v>18.65551396</v>
      </c>
      <c r="G906" s="18">
        <f>E906* 0.00808724987291465</f>
        <v>0.1617449975</v>
      </c>
      <c r="H906" s="18">
        <f>E906*0.0590600305004852</f>
        <v>1.18120061</v>
      </c>
    </row>
    <row r="907" ht="15.75" hidden="1" customHeight="1">
      <c r="A907" s="15" t="s">
        <v>105</v>
      </c>
      <c r="B907" s="11" t="s">
        <v>120</v>
      </c>
      <c r="C907" s="15"/>
      <c r="D907" s="16" t="s">
        <v>16</v>
      </c>
      <c r="E907" s="17">
        <v>5.0</v>
      </c>
      <c r="F907" s="18">
        <f>E907* 0.0803212851405623</f>
        <v>0.4016064257</v>
      </c>
      <c r="G907" s="18">
        <f>E907* 0.913367756741251</f>
        <v>4.566838784</v>
      </c>
      <c r="H907" s="18">
        <f>E907* 0.0057372346528973</f>
        <v>0.02868617326</v>
      </c>
    </row>
    <row r="908" ht="15.75" hidden="1" customHeight="1">
      <c r="A908" s="15" t="s">
        <v>105</v>
      </c>
      <c r="B908" s="11" t="s">
        <v>120</v>
      </c>
      <c r="C908" s="15"/>
      <c r="D908" s="16" t="s">
        <v>11</v>
      </c>
      <c r="E908" s="17">
        <v>84.0</v>
      </c>
      <c r="F908" s="18">
        <f>E908* 0.150611071171819</f>
        <v>12.65132998</v>
      </c>
      <c r="G908" s="18">
        <f>E908* 0.847699496764917</f>
        <v>71.20675773</v>
      </c>
      <c r="H908" s="18">
        <f>E908* 0.00136592379583034</f>
        <v>0.1147375988</v>
      </c>
    </row>
    <row r="909" ht="15.75" hidden="1" customHeight="1">
      <c r="A909" s="15" t="s">
        <v>105</v>
      </c>
      <c r="B909" s="11" t="s">
        <v>120</v>
      </c>
      <c r="C909" s="15"/>
      <c r="D909" s="16" t="s">
        <v>17</v>
      </c>
      <c r="E909" s="17">
        <v>37.0</v>
      </c>
      <c r="F909" s="18">
        <f>E909* 0.840430229624022</f>
        <v>31.0959185</v>
      </c>
      <c r="G909" s="18">
        <f>E909* 0.0777504415846581</f>
        <v>2.876766339</v>
      </c>
      <c r="H909" s="18">
        <f>E909* 0.0817877870300278</f>
        <v>3.02614812</v>
      </c>
    </row>
    <row r="910" ht="15.75" hidden="1" customHeight="1">
      <c r="A910" s="15" t="s">
        <v>105</v>
      </c>
      <c r="B910" s="11" t="s">
        <v>120</v>
      </c>
      <c r="C910" s="15"/>
      <c r="D910" s="16" t="s">
        <v>31</v>
      </c>
      <c r="E910" s="17">
        <v>2.0</v>
      </c>
      <c r="F910" s="18">
        <f>E910* 0.901975683890578</f>
        <v>1.803951368</v>
      </c>
      <c r="G910" s="18">
        <f>E910* 0.0364741641337386</f>
        <v>0.07294832827</v>
      </c>
      <c r="H910" s="18">
        <f>E910* 0.0615501519756839</f>
        <v>0.123100304</v>
      </c>
    </row>
    <row r="911" ht="15.75" hidden="1" customHeight="1">
      <c r="A911" s="15" t="s">
        <v>105</v>
      </c>
      <c r="B911" s="11" t="s">
        <v>120</v>
      </c>
      <c r="C911" s="15"/>
      <c r="D911" s="16" t="s">
        <v>18</v>
      </c>
      <c r="E911" s="17">
        <v>3.0</v>
      </c>
      <c r="F911" s="18">
        <f>E911* 0.932934264493959</f>
        <v>2.798802793</v>
      </c>
      <c r="G911" s="18">
        <f>E911* 0.0585300964416362</f>
        <v>0.1755902893</v>
      </c>
      <c r="H911" s="18">
        <f>E911* 0.00853563906440528</f>
        <v>0.02560691719</v>
      </c>
    </row>
    <row r="912" ht="15.75" hidden="1" customHeight="1">
      <c r="A912" s="15" t="s">
        <v>105</v>
      </c>
      <c r="B912" s="11" t="s">
        <v>120</v>
      </c>
      <c r="C912" s="15"/>
      <c r="D912" s="16" t="s">
        <v>19</v>
      </c>
      <c r="E912" s="17">
        <v>4.0</v>
      </c>
      <c r="F912" s="18">
        <f>E912* 0.290681971640783</f>
        <v>1.162727887</v>
      </c>
      <c r="G912" s="18">
        <f>E912* 0.694125590817016</f>
        <v>2.776502363</v>
      </c>
      <c r="H912" s="18">
        <f>E912* 0.0151924375422012</f>
        <v>0.06076975017</v>
      </c>
    </row>
    <row r="913" ht="15.75" hidden="1" customHeight="1">
      <c r="A913" s="15" t="s">
        <v>105</v>
      </c>
      <c r="B913" s="11" t="s">
        <v>120</v>
      </c>
      <c r="C913" s="15"/>
      <c r="D913" s="16" t="s">
        <v>20</v>
      </c>
      <c r="E913" s="17">
        <v>10.0</v>
      </c>
      <c r="F913" s="18">
        <f>E913* 0.686268801552644</f>
        <v>6.862688016</v>
      </c>
      <c r="G913" s="18">
        <f>E913* 0.196991751576904</f>
        <v>1.969917516</v>
      </c>
      <c r="H913" s="18">
        <f>E913* 0.116642406598738</f>
        <v>1.166424066</v>
      </c>
    </row>
    <row r="914" ht="15.75" hidden="1" customHeight="1">
      <c r="A914" s="15" t="s">
        <v>105</v>
      </c>
      <c r="B914" s="11" t="s">
        <v>120</v>
      </c>
      <c r="C914" s="15"/>
      <c r="D914" s="16" t="s">
        <v>21</v>
      </c>
      <c r="E914" s="17">
        <v>457.0</v>
      </c>
      <c r="F914" s="18">
        <f>E914* 0.999513766486355</f>
        <v>456.7777913</v>
      </c>
      <c r="G914" s="18">
        <f>E914* 0.0000243116756822464</f>
        <v>0.01111043579</v>
      </c>
      <c r="H914" s="18">
        <f>E914* 0.00034036345955145</f>
        <v>0.155546101</v>
      </c>
    </row>
    <row r="915" ht="15.75" hidden="1" customHeight="1">
      <c r="A915" s="15" t="s">
        <v>105</v>
      </c>
      <c r="B915" s="11" t="s">
        <v>120</v>
      </c>
      <c r="C915" s="15"/>
      <c r="D915" s="16" t="s">
        <v>28</v>
      </c>
      <c r="E915" s="17">
        <v>13.0</v>
      </c>
      <c r="F915" s="18">
        <f>E915* 0.00094876660341556</f>
        <v>0.01233396584</v>
      </c>
      <c r="G915" s="18">
        <f>E915* 0.999051233396584</f>
        <v>12.98766603</v>
      </c>
      <c r="H915" s="18">
        <v>0.0</v>
      </c>
    </row>
    <row r="916" ht="15.75" hidden="1" customHeight="1">
      <c r="A916" s="15" t="s">
        <v>105</v>
      </c>
      <c r="B916" s="11" t="s">
        <v>120</v>
      </c>
      <c r="C916" s="15"/>
      <c r="D916" s="16" t="s">
        <v>12</v>
      </c>
      <c r="E916" s="23">
        <v>1095.0</v>
      </c>
      <c r="F916" s="18">
        <f>E916* 0.843786808009423</f>
        <v>923.9465548</v>
      </c>
      <c r="G916" s="18">
        <f>E916* 0.0740675304279545</f>
        <v>81.10394582</v>
      </c>
      <c r="H916" s="18">
        <f>E916* 0.0820965842167256</f>
        <v>89.89575972</v>
      </c>
    </row>
    <row r="917" ht="15.75" hidden="1" customHeight="1">
      <c r="A917" s="15" t="s">
        <v>105</v>
      </c>
      <c r="B917" s="8"/>
      <c r="C917" s="8"/>
      <c r="D917" s="9"/>
      <c r="E917" s="19"/>
    </row>
    <row r="918" ht="15.75" hidden="1" customHeight="1">
      <c r="A918" s="15" t="s">
        <v>105</v>
      </c>
      <c r="B918" s="11" t="s">
        <v>121</v>
      </c>
      <c r="C918" s="12" t="str">
        <f>B918&amp;"_"&amp;A918</f>
        <v>Independencia (Ayopaya)_Cochabamba</v>
      </c>
      <c r="E918" s="13">
        <v>23.0</v>
      </c>
      <c r="F918" s="14">
        <f t="shared" ref="F918:H918" si="94">SUM(F919:F927)</f>
        <v>18.73981917</v>
      </c>
      <c r="G918" s="14">
        <f t="shared" si="94"/>
        <v>3.460958217</v>
      </c>
      <c r="H918" s="14">
        <f t="shared" si="94"/>
        <v>0.7967210094</v>
      </c>
    </row>
    <row r="919" ht="15.75" hidden="1" customHeight="1">
      <c r="A919" s="15" t="s">
        <v>105</v>
      </c>
      <c r="B919" s="11" t="s">
        <v>121</v>
      </c>
      <c r="C919" s="15"/>
      <c r="D919" s="16" t="s">
        <v>14</v>
      </c>
      <c r="E919" s="17">
        <v>0.0</v>
      </c>
      <c r="F919" s="20">
        <v>0.0</v>
      </c>
      <c r="G919" s="20">
        <f>E919</f>
        <v>0</v>
      </c>
      <c r="H919" s="20">
        <v>0.0</v>
      </c>
    </row>
    <row r="920" ht="15.75" hidden="1" customHeight="1">
      <c r="A920" s="15" t="s">
        <v>105</v>
      </c>
      <c r="B920" s="11" t="s">
        <v>121</v>
      </c>
      <c r="C920" s="15"/>
      <c r="D920" s="16" t="s">
        <v>15</v>
      </c>
      <c r="E920" s="17">
        <v>0.0</v>
      </c>
      <c r="F920" s="18">
        <f>E920* 0.932775698199239</f>
        <v>0</v>
      </c>
      <c r="G920" s="18">
        <f>E920* 0.00808724987291465</f>
        <v>0</v>
      </c>
      <c r="H920" s="18">
        <f>E920*0.0590600305004852</f>
        <v>0</v>
      </c>
    </row>
    <row r="921" ht="15.75" hidden="1" customHeight="1">
      <c r="A921" s="15" t="s">
        <v>105</v>
      </c>
      <c r="B921" s="11" t="s">
        <v>121</v>
      </c>
      <c r="C921" s="15"/>
      <c r="D921" s="16" t="s">
        <v>11</v>
      </c>
      <c r="E921" s="17">
        <v>3.0</v>
      </c>
      <c r="F921" s="18">
        <f>E921* 0.150611071171819</f>
        <v>0.4518332135</v>
      </c>
      <c r="G921" s="18">
        <f>E921* 0.847699496764917</f>
        <v>2.54309849</v>
      </c>
      <c r="H921" s="18">
        <f>E921* 0.00136592379583034</f>
        <v>0.004097771387</v>
      </c>
    </row>
    <row r="922" ht="15.75" hidden="1" customHeight="1">
      <c r="A922" s="15" t="s">
        <v>105</v>
      </c>
      <c r="B922" s="11" t="s">
        <v>121</v>
      </c>
      <c r="C922" s="15"/>
      <c r="D922" s="16" t="s">
        <v>17</v>
      </c>
      <c r="E922" s="17">
        <v>3.0</v>
      </c>
      <c r="F922" s="18">
        <f>E922* 0.840430229624022</f>
        <v>2.521290689</v>
      </c>
      <c r="G922" s="18">
        <f>E922* 0.0777504415846581</f>
        <v>0.2332513248</v>
      </c>
      <c r="H922" s="18">
        <f>E922* 0.0817877870300278</f>
        <v>0.2453633611</v>
      </c>
    </row>
    <row r="923" ht="15.75" hidden="1" customHeight="1">
      <c r="A923" s="15" t="s">
        <v>105</v>
      </c>
      <c r="B923" s="11" t="s">
        <v>121</v>
      </c>
      <c r="C923" s="15"/>
      <c r="D923" s="16" t="s">
        <v>18</v>
      </c>
      <c r="E923" s="17">
        <v>2.0</v>
      </c>
      <c r="F923" s="18">
        <f>E923* 0.932934264493959</f>
        <v>1.865868529</v>
      </c>
      <c r="G923" s="18">
        <f>E923* 0.0585300964416362</f>
        <v>0.1170601929</v>
      </c>
      <c r="H923" s="18">
        <f>E923* 0.00853563906440528</f>
        <v>0.01707127813</v>
      </c>
    </row>
    <row r="924" ht="15.75" hidden="1" customHeight="1">
      <c r="A924" s="15" t="s">
        <v>105</v>
      </c>
      <c r="B924" s="11" t="s">
        <v>121</v>
      </c>
      <c r="C924" s="15"/>
      <c r="D924" s="16" t="s">
        <v>19</v>
      </c>
      <c r="E924" s="17">
        <v>0.0</v>
      </c>
      <c r="F924" s="18">
        <f>E924* 0.290681971640783</f>
        <v>0</v>
      </c>
      <c r="G924" s="18">
        <f>E924* 0.694125590817016</f>
        <v>0</v>
      </c>
      <c r="H924" s="18">
        <f>E924* 0.0151924375422012</f>
        <v>0</v>
      </c>
    </row>
    <row r="925" ht="15.75" hidden="1" customHeight="1">
      <c r="A925" s="15" t="s">
        <v>105</v>
      </c>
      <c r="B925" s="11" t="s">
        <v>121</v>
      </c>
      <c r="C925" s="15"/>
      <c r="D925" s="16" t="s">
        <v>20</v>
      </c>
      <c r="E925" s="17">
        <v>1.0</v>
      </c>
      <c r="F925" s="18">
        <f>E925* 0.686268801552644</f>
        <v>0.6862688016</v>
      </c>
      <c r="G925" s="18">
        <f>E925* 0.196991751576904</f>
        <v>0.1969917516</v>
      </c>
      <c r="H925" s="18">
        <f>E925* 0.116642406598738</f>
        <v>0.1166424066</v>
      </c>
    </row>
    <row r="926" ht="15.75" hidden="1" customHeight="1">
      <c r="A926" s="15" t="s">
        <v>105</v>
      </c>
      <c r="B926" s="11" t="s">
        <v>121</v>
      </c>
      <c r="C926" s="15"/>
      <c r="D926" s="16" t="s">
        <v>21</v>
      </c>
      <c r="E926" s="17">
        <v>9.0</v>
      </c>
      <c r="F926" s="18">
        <f>E926* 0.999513766486355</f>
        <v>8.995623898</v>
      </c>
      <c r="G926" s="18">
        <f>E926* 0.0000243116756822464</f>
        <v>0.0002188050811</v>
      </c>
      <c r="H926" s="18">
        <f>E926* 0.00034036345955145</f>
        <v>0.003063271136</v>
      </c>
    </row>
    <row r="927" ht="15.75" hidden="1" customHeight="1">
      <c r="A927" s="15" t="s">
        <v>105</v>
      </c>
      <c r="B927" s="11" t="s">
        <v>121</v>
      </c>
      <c r="C927" s="15"/>
      <c r="D927" s="16" t="s">
        <v>12</v>
      </c>
      <c r="E927" s="17">
        <v>5.0</v>
      </c>
      <c r="F927" s="18">
        <f>E927* 0.843786808009423</f>
        <v>4.21893404</v>
      </c>
      <c r="G927" s="18">
        <f>E927* 0.0740675304279545</f>
        <v>0.3703376521</v>
      </c>
      <c r="H927" s="18">
        <f>E927* 0.0820965842167256</f>
        <v>0.4104829211</v>
      </c>
    </row>
    <row r="928" ht="15.75" hidden="1" customHeight="1">
      <c r="A928" s="15" t="s">
        <v>105</v>
      </c>
      <c r="B928" s="8"/>
      <c r="C928" s="8"/>
      <c r="D928" s="9"/>
      <c r="E928" s="19"/>
    </row>
    <row r="929" ht="15.75" hidden="1" customHeight="1">
      <c r="A929" s="15" t="s">
        <v>105</v>
      </c>
      <c r="B929" s="11" t="s">
        <v>122</v>
      </c>
      <c r="C929" s="12" t="str">
        <f>B929&amp;"_"&amp;A929</f>
        <v>Mizque_Cochabamba</v>
      </c>
      <c r="E929" s="13">
        <v>152.0</v>
      </c>
      <c r="F929" s="14">
        <f t="shared" ref="F929:H929" si="95">SUM(F930:F940)</f>
        <v>116.1296313</v>
      </c>
      <c r="G929" s="14">
        <f t="shared" si="95"/>
        <v>31.64636635</v>
      </c>
      <c r="H929" s="14">
        <f t="shared" si="95"/>
        <v>4.20359375</v>
      </c>
    </row>
    <row r="930" ht="15.75" hidden="1" customHeight="1">
      <c r="A930" s="15" t="s">
        <v>105</v>
      </c>
      <c r="B930" s="11" t="s">
        <v>122</v>
      </c>
      <c r="C930" s="15"/>
      <c r="D930" s="16" t="s">
        <v>14</v>
      </c>
      <c r="E930" s="17">
        <v>0.0</v>
      </c>
      <c r="F930" s="20">
        <v>0.0</v>
      </c>
      <c r="G930" s="20">
        <f>E930</f>
        <v>0</v>
      </c>
      <c r="H930" s="20">
        <v>0.0</v>
      </c>
    </row>
    <row r="931" ht="15.75" hidden="1" customHeight="1">
      <c r="A931" s="15" t="s">
        <v>105</v>
      </c>
      <c r="B931" s="11" t="s">
        <v>122</v>
      </c>
      <c r="C931" s="15"/>
      <c r="D931" s="16" t="s">
        <v>15</v>
      </c>
      <c r="E931" s="17">
        <v>13.0</v>
      </c>
      <c r="F931" s="18">
        <f>E931* 0.932775698199239</f>
        <v>12.12608408</v>
      </c>
      <c r="G931" s="18">
        <f>E931* 0.00808724987291465</f>
        <v>0.1051342483</v>
      </c>
      <c r="H931" s="18">
        <f>E931*0.0590600305004852</f>
        <v>0.7677803965</v>
      </c>
    </row>
    <row r="932" ht="15.75" hidden="1" customHeight="1">
      <c r="A932" s="15" t="s">
        <v>105</v>
      </c>
      <c r="B932" s="11" t="s">
        <v>122</v>
      </c>
      <c r="C932" s="15"/>
      <c r="D932" s="16" t="s">
        <v>16</v>
      </c>
      <c r="E932" s="17">
        <v>2.0</v>
      </c>
      <c r="F932" s="18">
        <f>E932* 0.0803212851405623</f>
        <v>0.1606425703</v>
      </c>
      <c r="G932" s="18">
        <f>E932* 0.913367756741251</f>
        <v>1.826735513</v>
      </c>
      <c r="H932" s="18">
        <f>E932* 0.0057372346528973</f>
        <v>0.01147446931</v>
      </c>
    </row>
    <row r="933" ht="15.75" hidden="1" customHeight="1">
      <c r="A933" s="15" t="s">
        <v>105</v>
      </c>
      <c r="B933" s="11" t="s">
        <v>122</v>
      </c>
      <c r="C933" s="15"/>
      <c r="D933" s="16" t="s">
        <v>11</v>
      </c>
      <c r="E933" s="17">
        <v>28.0</v>
      </c>
      <c r="F933" s="18">
        <f>E933* 0.150611071171819</f>
        <v>4.217109993</v>
      </c>
      <c r="G933" s="18">
        <f>E933* 0.847699496764917</f>
        <v>23.73558591</v>
      </c>
      <c r="H933" s="18">
        <f>E933* 0.00136592379583034</f>
        <v>0.03824586628</v>
      </c>
    </row>
    <row r="934" ht="15.75" hidden="1" customHeight="1">
      <c r="A934" s="15" t="s">
        <v>105</v>
      </c>
      <c r="B934" s="11" t="s">
        <v>122</v>
      </c>
      <c r="C934" s="15"/>
      <c r="D934" s="16" t="s">
        <v>17</v>
      </c>
      <c r="E934" s="17">
        <v>17.0</v>
      </c>
      <c r="F934" s="18">
        <f>E934* 0.840430229624022</f>
        <v>14.2873139</v>
      </c>
      <c r="G934" s="18">
        <f>E934* 0.0777504415846581</f>
        <v>1.321757507</v>
      </c>
      <c r="H934" s="18">
        <f>E934* 0.0817877870300278</f>
        <v>1.39039238</v>
      </c>
    </row>
    <row r="935" ht="15.75" hidden="1" customHeight="1">
      <c r="A935" s="15" t="s">
        <v>105</v>
      </c>
      <c r="B935" s="11" t="s">
        <v>122</v>
      </c>
      <c r="C935" s="15"/>
      <c r="D935" s="16" t="s">
        <v>18</v>
      </c>
      <c r="E935" s="17">
        <v>3.0</v>
      </c>
      <c r="F935" s="18">
        <f>E935* 0.932934264493959</f>
        <v>2.798802793</v>
      </c>
      <c r="G935" s="18">
        <f>E935* 0.0585300964416362</f>
        <v>0.1755902893</v>
      </c>
      <c r="H935" s="18">
        <f>E935* 0.00853563906440528</f>
        <v>0.02560691719</v>
      </c>
    </row>
    <row r="936" ht="15.75" hidden="1" customHeight="1">
      <c r="A936" s="15" t="s">
        <v>105</v>
      </c>
      <c r="B936" s="11" t="s">
        <v>122</v>
      </c>
      <c r="C936" s="15"/>
      <c r="D936" s="16" t="s">
        <v>35</v>
      </c>
      <c r="E936" s="17">
        <v>0.0</v>
      </c>
      <c r="F936" s="20">
        <v>0.0</v>
      </c>
      <c r="G936" s="20">
        <f>E936</f>
        <v>0</v>
      </c>
      <c r="H936" s="20">
        <v>0.0</v>
      </c>
    </row>
    <row r="937" ht="15.75" hidden="1" customHeight="1">
      <c r="A937" s="15" t="s">
        <v>105</v>
      </c>
      <c r="B937" s="11" t="s">
        <v>122</v>
      </c>
      <c r="C937" s="15"/>
      <c r="D937" s="16" t="s">
        <v>19</v>
      </c>
      <c r="E937" s="17">
        <v>4.0</v>
      </c>
      <c r="F937" s="18">
        <f>E937* 0.290681971640783</f>
        <v>1.162727887</v>
      </c>
      <c r="G937" s="18">
        <f>E937* 0.694125590817016</f>
        <v>2.776502363</v>
      </c>
      <c r="H937" s="18">
        <f>E937* 0.0151924375422012</f>
        <v>0.06076975017</v>
      </c>
    </row>
    <row r="938" ht="15.75" hidden="1" customHeight="1">
      <c r="A938" s="15" t="s">
        <v>105</v>
      </c>
      <c r="B938" s="11" t="s">
        <v>122</v>
      </c>
      <c r="C938" s="15"/>
      <c r="D938" s="16" t="s">
        <v>20</v>
      </c>
      <c r="E938" s="17">
        <v>0.0</v>
      </c>
      <c r="F938" s="18">
        <f>E938* 0.686268801552644</f>
        <v>0</v>
      </c>
      <c r="G938" s="18">
        <f>E938* 0.196991751576904</f>
        <v>0</v>
      </c>
      <c r="H938" s="18">
        <f>E938* 0.116642406598738</f>
        <v>0</v>
      </c>
    </row>
    <row r="939" ht="15.75" hidden="1" customHeight="1">
      <c r="A939" s="15" t="s">
        <v>105</v>
      </c>
      <c r="B939" s="11" t="s">
        <v>122</v>
      </c>
      <c r="C939" s="15"/>
      <c r="D939" s="16" t="s">
        <v>21</v>
      </c>
      <c r="E939" s="17">
        <v>62.0</v>
      </c>
      <c r="F939" s="18">
        <f>E939* 0.999513766486355</f>
        <v>61.96985352</v>
      </c>
      <c r="G939" s="18">
        <f>E939* 0.0000243116756822464</f>
        <v>0.001507323892</v>
      </c>
      <c r="H939" s="18">
        <f>E939* 0.00034036345955145</f>
        <v>0.02110253449</v>
      </c>
    </row>
    <row r="940" ht="15.75" hidden="1" customHeight="1">
      <c r="A940" s="15" t="s">
        <v>105</v>
      </c>
      <c r="B940" s="11" t="s">
        <v>122</v>
      </c>
      <c r="C940" s="15"/>
      <c r="D940" s="16" t="s">
        <v>12</v>
      </c>
      <c r="E940" s="17">
        <v>23.0</v>
      </c>
      <c r="F940" s="18">
        <f>E940* 0.843786808009423</f>
        <v>19.40709658</v>
      </c>
      <c r="G940" s="18">
        <f>E940* 0.0740675304279545</f>
        <v>1.7035532</v>
      </c>
      <c r="H940" s="18">
        <f>E940* 0.0820965842167256</f>
        <v>1.888221437</v>
      </c>
    </row>
    <row r="941" ht="15.75" hidden="1" customHeight="1">
      <c r="A941" s="15" t="s">
        <v>105</v>
      </c>
      <c r="B941" s="8"/>
      <c r="C941" s="8"/>
      <c r="D941" s="9"/>
      <c r="E941" s="19"/>
    </row>
    <row r="942" ht="15.75" hidden="1" customHeight="1">
      <c r="A942" s="15" t="s">
        <v>105</v>
      </c>
      <c r="B942" s="11" t="s">
        <v>123</v>
      </c>
      <c r="C942" s="12" t="str">
        <f>B942&amp;"_"&amp;A942</f>
        <v>Morochata_Cochabamba</v>
      </c>
      <c r="E942" s="13">
        <v>24.0</v>
      </c>
      <c r="F942" s="14">
        <f t="shared" ref="F942:H942" si="96">SUM(F943:F954)</f>
        <v>20.12587056</v>
      </c>
      <c r="G942" s="14">
        <f t="shared" si="96"/>
        <v>3.198143481</v>
      </c>
      <c r="H942" s="14">
        <f t="shared" si="96"/>
        <v>0.6731816485</v>
      </c>
    </row>
    <row r="943" ht="15.75" hidden="1" customHeight="1">
      <c r="A943" s="15" t="s">
        <v>105</v>
      </c>
      <c r="B943" s="11" t="s">
        <v>123</v>
      </c>
      <c r="C943" s="15"/>
      <c r="D943" s="16" t="s">
        <v>14</v>
      </c>
      <c r="E943" s="17">
        <v>0.0</v>
      </c>
      <c r="F943" s="20">
        <v>0.0</v>
      </c>
      <c r="G943" s="20">
        <f>E943</f>
        <v>0</v>
      </c>
      <c r="H943" s="20">
        <v>0.0</v>
      </c>
    </row>
    <row r="944" ht="15.75" hidden="1" customHeight="1">
      <c r="A944" s="15" t="s">
        <v>105</v>
      </c>
      <c r="B944" s="11" t="s">
        <v>123</v>
      </c>
      <c r="C944" s="15"/>
      <c r="D944" s="16" t="s">
        <v>15</v>
      </c>
      <c r="E944" s="17">
        <v>0.0</v>
      </c>
      <c r="F944" s="18">
        <f>E944* 0.932775698199239</f>
        <v>0</v>
      </c>
      <c r="G944" s="18">
        <f>E944* 0.00808724987291465</f>
        <v>0</v>
      </c>
      <c r="H944" s="18">
        <f>E944*0.0590600305004852</f>
        <v>0</v>
      </c>
    </row>
    <row r="945" ht="15.75" hidden="1" customHeight="1">
      <c r="A945" s="15" t="s">
        <v>105</v>
      </c>
      <c r="B945" s="11" t="s">
        <v>123</v>
      </c>
      <c r="C945" s="15"/>
      <c r="D945" s="16" t="s">
        <v>16</v>
      </c>
      <c r="E945" s="17">
        <v>0.0</v>
      </c>
      <c r="F945" s="18">
        <f>E945* 0.0803212851405623</f>
        <v>0</v>
      </c>
      <c r="G945" s="18">
        <f>E945* 0.913367756741251</f>
        <v>0</v>
      </c>
      <c r="H945" s="18">
        <f>E945* 0.0057372346528973</f>
        <v>0</v>
      </c>
    </row>
    <row r="946" ht="15.75" hidden="1" customHeight="1">
      <c r="A946" s="15" t="s">
        <v>105</v>
      </c>
      <c r="B946" s="11" t="s">
        <v>123</v>
      </c>
      <c r="C946" s="15"/>
      <c r="D946" s="16" t="s">
        <v>11</v>
      </c>
      <c r="E946" s="17">
        <v>3.0</v>
      </c>
      <c r="F946" s="18">
        <f>E946* 0.150611071171819</f>
        <v>0.4518332135</v>
      </c>
      <c r="G946" s="18">
        <f>E946* 0.847699496764917</f>
        <v>2.54309849</v>
      </c>
      <c r="H946" s="18">
        <f>E946* 0.00136592379583034</f>
        <v>0.004097771387</v>
      </c>
    </row>
    <row r="947" ht="15.75" hidden="1" customHeight="1">
      <c r="A947" s="15" t="s">
        <v>105</v>
      </c>
      <c r="B947" s="11" t="s">
        <v>123</v>
      </c>
      <c r="C947" s="15"/>
      <c r="D947" s="16" t="s">
        <v>17</v>
      </c>
      <c r="E947" s="17">
        <v>1.0</v>
      </c>
      <c r="F947" s="18">
        <f>E947* 0.840430229624022</f>
        <v>0.8404302296</v>
      </c>
      <c r="G947" s="18">
        <f>E947* 0.0777504415846581</f>
        <v>0.07775044158</v>
      </c>
      <c r="H947" s="18">
        <f>E947* 0.0817877870300278</f>
        <v>0.08178778703</v>
      </c>
    </row>
    <row r="948" ht="15.75" hidden="1" customHeight="1">
      <c r="A948" s="15" t="s">
        <v>105</v>
      </c>
      <c r="B948" s="11" t="s">
        <v>123</v>
      </c>
      <c r="C948" s="15"/>
      <c r="D948" s="16" t="s">
        <v>31</v>
      </c>
      <c r="E948" s="17">
        <v>0.0</v>
      </c>
      <c r="F948" s="18">
        <f>E948* 0.901975683890578</f>
        <v>0</v>
      </c>
      <c r="G948" s="18">
        <f>E948* 0.0364741641337386</f>
        <v>0</v>
      </c>
      <c r="H948" s="18">
        <f>E948* 0.0615501519756839</f>
        <v>0</v>
      </c>
    </row>
    <row r="949" ht="15.75" hidden="1" customHeight="1">
      <c r="A949" s="15" t="s">
        <v>105</v>
      </c>
      <c r="B949" s="11" t="s">
        <v>123</v>
      </c>
      <c r="C949" s="15"/>
      <c r="D949" s="16" t="s">
        <v>18</v>
      </c>
      <c r="E949" s="17">
        <v>1.0</v>
      </c>
      <c r="F949" s="18">
        <f>E949* 0.932934264493959</f>
        <v>0.9329342645</v>
      </c>
      <c r="G949" s="18">
        <f>E949* 0.0585300964416362</f>
        <v>0.05853009644</v>
      </c>
      <c r="H949" s="18">
        <f>E949* 0.00853563906440528</f>
        <v>0.008535639064</v>
      </c>
    </row>
    <row r="950" ht="15.75" hidden="1" customHeight="1">
      <c r="A950" s="15" t="s">
        <v>105</v>
      </c>
      <c r="B950" s="11" t="s">
        <v>123</v>
      </c>
      <c r="C950" s="15"/>
      <c r="D950" s="16" t="s">
        <v>19</v>
      </c>
      <c r="E950" s="17">
        <v>0.0</v>
      </c>
      <c r="F950" s="18">
        <f>E950* 0.290681971640783</f>
        <v>0</v>
      </c>
      <c r="G950" s="18">
        <f>E950* 0.694125590817016</f>
        <v>0</v>
      </c>
      <c r="H950" s="18">
        <f>E950* 0.0151924375422012</f>
        <v>0</v>
      </c>
    </row>
    <row r="951" ht="15.75" hidden="1" customHeight="1">
      <c r="A951" s="15" t="s">
        <v>105</v>
      </c>
      <c r="B951" s="11" t="s">
        <v>123</v>
      </c>
      <c r="C951" s="15"/>
      <c r="D951" s="16" t="s">
        <v>20</v>
      </c>
      <c r="E951" s="17">
        <v>0.0</v>
      </c>
      <c r="F951" s="18">
        <f>E951* 0.686268801552644</f>
        <v>0</v>
      </c>
      <c r="G951" s="18">
        <f>E951* 0.196991751576904</f>
        <v>0</v>
      </c>
      <c r="H951" s="18">
        <f>E951* 0.116642406598738</f>
        <v>0</v>
      </c>
    </row>
    <row r="952" ht="15.75" hidden="1" customHeight="1">
      <c r="A952" s="15" t="s">
        <v>105</v>
      </c>
      <c r="B952" s="11" t="s">
        <v>123</v>
      </c>
      <c r="C952" s="15"/>
      <c r="D952" s="16" t="s">
        <v>21</v>
      </c>
      <c r="E952" s="17">
        <v>12.0</v>
      </c>
      <c r="F952" s="18">
        <f>E952* 0.999513766486355</f>
        <v>11.9941652</v>
      </c>
      <c r="G952" s="18">
        <f>E952* 0.0000243116756822464</f>
        <v>0.0002917401082</v>
      </c>
      <c r="H952" s="18">
        <f>E952* 0.00034036345955145</f>
        <v>0.004084361515</v>
      </c>
    </row>
    <row r="953" ht="15.75" hidden="1" customHeight="1">
      <c r="A953" s="15" t="s">
        <v>105</v>
      </c>
      <c r="B953" s="11" t="s">
        <v>123</v>
      </c>
      <c r="C953" s="15"/>
      <c r="D953" s="16" t="s">
        <v>28</v>
      </c>
      <c r="E953" s="17">
        <v>0.0</v>
      </c>
      <c r="F953" s="18">
        <f>E953* 0.00094876660341556</f>
        <v>0</v>
      </c>
      <c r="G953" s="18">
        <f>E953* 0.999051233396584</f>
        <v>0</v>
      </c>
      <c r="H953" s="18">
        <v>0.0</v>
      </c>
    </row>
    <row r="954" ht="15.75" hidden="1" customHeight="1">
      <c r="A954" s="15" t="s">
        <v>105</v>
      </c>
      <c r="B954" s="11" t="s">
        <v>123</v>
      </c>
      <c r="C954" s="15"/>
      <c r="D954" s="16" t="s">
        <v>12</v>
      </c>
      <c r="E954" s="17">
        <v>7.0</v>
      </c>
      <c r="F954" s="18">
        <f>E954* 0.843786808009423</f>
        <v>5.906507656</v>
      </c>
      <c r="G954" s="18">
        <f>E954* 0.0740675304279545</f>
        <v>0.518472713</v>
      </c>
      <c r="H954" s="18">
        <f>E954* 0.0820965842167256</f>
        <v>0.5746760895</v>
      </c>
    </row>
    <row r="955" ht="15.75" hidden="1" customHeight="1">
      <c r="A955" s="15" t="s">
        <v>105</v>
      </c>
      <c r="B955" s="8"/>
      <c r="C955" s="8"/>
      <c r="D955" s="9"/>
      <c r="E955" s="19"/>
    </row>
    <row r="956" ht="15.75" hidden="1" customHeight="1">
      <c r="A956" s="15" t="s">
        <v>105</v>
      </c>
      <c r="B956" s="11" t="s">
        <v>124</v>
      </c>
      <c r="C956" s="12" t="str">
        <f>B956&amp;"_"&amp;A956</f>
        <v>Omereque_Cochabamba</v>
      </c>
      <c r="E956" s="13">
        <v>6.0</v>
      </c>
      <c r="F956" s="14">
        <f t="shared" ref="F956:H956" si="97">SUM(F957:F964)</f>
        <v>3.317215509</v>
      </c>
      <c r="G956" s="14">
        <f t="shared" si="97"/>
        <v>2.660182995</v>
      </c>
      <c r="H956" s="14">
        <f t="shared" si="97"/>
        <v>0.02150941298</v>
      </c>
    </row>
    <row r="957" ht="15.75" hidden="1" customHeight="1">
      <c r="A957" s="15" t="s">
        <v>105</v>
      </c>
      <c r="B957" s="11" t="s">
        <v>124</v>
      </c>
      <c r="C957" s="15"/>
      <c r="D957" s="16" t="s">
        <v>16</v>
      </c>
      <c r="E957" s="17">
        <v>0.0</v>
      </c>
      <c r="F957" s="18">
        <f>E957* 0.0803212851405623</f>
        <v>0</v>
      </c>
      <c r="G957" s="18">
        <f>E957* 0.913367756741251</f>
        <v>0</v>
      </c>
      <c r="H957" s="18">
        <f>E957* 0.0057372346528973</f>
        <v>0</v>
      </c>
    </row>
    <row r="958" ht="15.75" hidden="1" customHeight="1">
      <c r="A958" s="15" t="s">
        <v>105</v>
      </c>
      <c r="B958" s="11" t="s">
        <v>124</v>
      </c>
      <c r="C958" s="15"/>
      <c r="D958" s="16" t="s">
        <v>11</v>
      </c>
      <c r="E958" s="17">
        <v>3.0</v>
      </c>
      <c r="F958" s="18">
        <f>E958* 0.150611071171819</f>
        <v>0.4518332135</v>
      </c>
      <c r="G958" s="18">
        <f>E958* 0.847699496764917</f>
        <v>2.54309849</v>
      </c>
      <c r="H958" s="18">
        <f>E958* 0.00136592379583034</f>
        <v>0.004097771387</v>
      </c>
    </row>
    <row r="959" ht="15.75" hidden="1" customHeight="1">
      <c r="A959" s="15" t="s">
        <v>105</v>
      </c>
      <c r="B959" s="11" t="s">
        <v>124</v>
      </c>
      <c r="C959" s="15"/>
      <c r="D959" s="16" t="s">
        <v>17</v>
      </c>
      <c r="E959" s="17">
        <v>0.0</v>
      </c>
      <c r="F959" s="18">
        <f>E959* 0.840430229624022</f>
        <v>0</v>
      </c>
      <c r="G959" s="18">
        <f>E959* 0.0777504415846581</f>
        <v>0</v>
      </c>
      <c r="H959" s="18">
        <f>E959* 0.0817877870300278</f>
        <v>0</v>
      </c>
    </row>
    <row r="960" ht="15.75" hidden="1" customHeight="1">
      <c r="A960" s="15" t="s">
        <v>105</v>
      </c>
      <c r="B960" s="11" t="s">
        <v>124</v>
      </c>
      <c r="C960" s="15"/>
      <c r="D960" s="16" t="s">
        <v>18</v>
      </c>
      <c r="E960" s="17">
        <v>2.0</v>
      </c>
      <c r="F960" s="18">
        <f>E960* 0.932934264493959</f>
        <v>1.865868529</v>
      </c>
      <c r="G960" s="18">
        <f>E960* 0.0585300964416362</f>
        <v>0.1170601929</v>
      </c>
      <c r="H960" s="18">
        <f>E960* 0.00853563906440528</f>
        <v>0.01707127813</v>
      </c>
    </row>
    <row r="961" ht="15.75" hidden="1" customHeight="1">
      <c r="A961" s="15" t="s">
        <v>105</v>
      </c>
      <c r="B961" s="11" t="s">
        <v>124</v>
      </c>
      <c r="C961" s="15"/>
      <c r="D961" s="16" t="s">
        <v>20</v>
      </c>
      <c r="E961" s="17">
        <v>0.0</v>
      </c>
      <c r="F961" s="18">
        <f>E961* 0.686268801552644</f>
        <v>0</v>
      </c>
      <c r="G961" s="18">
        <f>E961* 0.196991751576904</f>
        <v>0</v>
      </c>
      <c r="H961" s="18">
        <f>E961* 0.116642406598738</f>
        <v>0</v>
      </c>
    </row>
    <row r="962" ht="15.75" hidden="1" customHeight="1">
      <c r="A962" s="15" t="s">
        <v>105</v>
      </c>
      <c r="B962" s="11" t="s">
        <v>124</v>
      </c>
      <c r="C962" s="15"/>
      <c r="D962" s="16" t="s">
        <v>21</v>
      </c>
      <c r="E962" s="17">
        <v>1.0</v>
      </c>
      <c r="F962" s="18">
        <f>E962* 0.999513766486355</f>
        <v>0.9995137665</v>
      </c>
      <c r="G962" s="18">
        <f>E962* 0.0000243116756822464</f>
        <v>0.00002431167568</v>
      </c>
      <c r="H962" s="18">
        <f>E962* 0.00034036345955145</f>
        <v>0.0003403634596</v>
      </c>
    </row>
    <row r="963" ht="15.75" hidden="1" customHeight="1">
      <c r="A963" s="15" t="s">
        <v>105</v>
      </c>
      <c r="B963" s="11" t="s">
        <v>124</v>
      </c>
      <c r="C963" s="15"/>
      <c r="D963" s="16" t="s">
        <v>28</v>
      </c>
      <c r="E963" s="17">
        <v>0.0</v>
      </c>
      <c r="F963" s="18">
        <f>E963* 0.00094876660341556</f>
        <v>0</v>
      </c>
      <c r="G963" s="18">
        <f>E963* 0.999051233396584</f>
        <v>0</v>
      </c>
      <c r="H963" s="18">
        <v>0.0</v>
      </c>
    </row>
    <row r="964" ht="15.75" hidden="1" customHeight="1">
      <c r="A964" s="15" t="s">
        <v>105</v>
      </c>
      <c r="B964" s="11" t="s">
        <v>124</v>
      </c>
      <c r="C964" s="15"/>
      <c r="D964" s="16" t="s">
        <v>12</v>
      </c>
      <c r="E964" s="17">
        <v>0.0</v>
      </c>
      <c r="F964" s="18">
        <f>E964* 0.843786808009423</f>
        <v>0</v>
      </c>
      <c r="G964" s="18">
        <f>E964* 0.0740675304279545</f>
        <v>0</v>
      </c>
      <c r="H964" s="18">
        <f>E964* 0.0820965842167256</f>
        <v>0</v>
      </c>
    </row>
    <row r="965" ht="15.75" hidden="1" customHeight="1">
      <c r="A965" s="15" t="s">
        <v>105</v>
      </c>
      <c r="B965" s="8"/>
      <c r="C965" s="8"/>
      <c r="D965" s="9"/>
      <c r="E965" s="19"/>
    </row>
    <row r="966" ht="15.75" hidden="1" customHeight="1">
      <c r="A966" s="15" t="s">
        <v>105</v>
      </c>
      <c r="B966" s="11" t="s">
        <v>125</v>
      </c>
      <c r="C966" s="12" t="str">
        <f>B966&amp;"_"&amp;A966</f>
        <v>Pasorapa_Cochabamba</v>
      </c>
      <c r="E966" s="13">
        <v>1.0</v>
      </c>
      <c r="F966" s="14">
        <f t="shared" ref="F966:H966" si="98">SUM(F967)</f>
        <v>0.8404302296</v>
      </c>
      <c r="G966" s="14">
        <f t="shared" si="98"/>
        <v>0.07775044158</v>
      </c>
      <c r="H966" s="14">
        <f t="shared" si="98"/>
        <v>0.08178778703</v>
      </c>
    </row>
    <row r="967" ht="15.75" hidden="1" customHeight="1">
      <c r="A967" s="15" t="s">
        <v>105</v>
      </c>
      <c r="B967" s="11" t="s">
        <v>125</v>
      </c>
      <c r="C967" s="15"/>
      <c r="D967" s="16" t="s">
        <v>17</v>
      </c>
      <c r="E967" s="17">
        <v>1.0</v>
      </c>
      <c r="F967" s="18">
        <f>E967* 0.840430229624022</f>
        <v>0.8404302296</v>
      </c>
      <c r="G967" s="18">
        <f>E967* 0.0777504415846581</f>
        <v>0.07775044158</v>
      </c>
      <c r="H967" s="18">
        <f>E967* 0.0817877870300278</f>
        <v>0.08178778703</v>
      </c>
    </row>
    <row r="968" ht="15.75" hidden="1" customHeight="1">
      <c r="A968" s="15" t="s">
        <v>105</v>
      </c>
      <c r="B968" s="8"/>
      <c r="C968" s="8"/>
      <c r="D968" s="9"/>
      <c r="E968" s="19"/>
    </row>
    <row r="969" ht="15.75" hidden="1" customHeight="1">
      <c r="A969" s="15" t="s">
        <v>105</v>
      </c>
      <c r="B969" s="11" t="s">
        <v>126</v>
      </c>
      <c r="C969" s="12" t="str">
        <f>B969&amp;"_"&amp;A969</f>
        <v>Pocona_Cochabamba</v>
      </c>
      <c r="E969" s="13">
        <v>67.0</v>
      </c>
      <c r="F969" s="14">
        <f t="shared" ref="F969:H969" si="99">SUM(F970:F976)</f>
        <v>17.80358196</v>
      </c>
      <c r="G969" s="14">
        <f t="shared" si="99"/>
        <v>48.29216267</v>
      </c>
      <c r="H969" s="14">
        <f t="shared" si="99"/>
        <v>0.8854751878</v>
      </c>
    </row>
    <row r="970" ht="15.75" hidden="1" customHeight="1">
      <c r="A970" s="15" t="s">
        <v>105</v>
      </c>
      <c r="B970" s="11" t="s">
        <v>126</v>
      </c>
      <c r="C970" s="15"/>
      <c r="D970" s="16" t="s">
        <v>15</v>
      </c>
      <c r="E970" s="17">
        <v>1.0</v>
      </c>
      <c r="F970" s="18">
        <f>E970* 0.932775698199239</f>
        <v>0.9327756982</v>
      </c>
      <c r="G970" s="18">
        <f>E970* 0.00808724987291465</f>
        <v>0.008087249873</v>
      </c>
      <c r="H970" s="18">
        <f>E970*0.0590600305004852</f>
        <v>0.0590600305</v>
      </c>
    </row>
    <row r="971" ht="15.75" hidden="1" customHeight="1">
      <c r="A971" s="15" t="s">
        <v>105</v>
      </c>
      <c r="B971" s="11" t="s">
        <v>126</v>
      </c>
      <c r="C971" s="15"/>
      <c r="D971" s="16" t="s">
        <v>16</v>
      </c>
      <c r="E971" s="17">
        <v>1.0</v>
      </c>
      <c r="F971" s="18">
        <f>E971* 0.0803212851405623</f>
        <v>0.08032128514</v>
      </c>
      <c r="G971" s="18">
        <f>E971* 0.913367756741251</f>
        <v>0.9133677567</v>
      </c>
      <c r="H971" s="18">
        <f>E971* 0.0057372346528973</f>
        <v>0.005737234653</v>
      </c>
    </row>
    <row r="972" ht="15.75" hidden="1" customHeight="1">
      <c r="A972" s="15" t="s">
        <v>105</v>
      </c>
      <c r="B972" s="11" t="s">
        <v>126</v>
      </c>
      <c r="C972" s="15"/>
      <c r="D972" s="16" t="s">
        <v>11</v>
      </c>
      <c r="E972" s="17">
        <v>55.0</v>
      </c>
      <c r="F972" s="18">
        <f>E972* 0.150611071171819</f>
        <v>8.283608914</v>
      </c>
      <c r="G972" s="18">
        <f>E972* 0.847699496764917</f>
        <v>46.62347232</v>
      </c>
      <c r="H972" s="18">
        <f>E972* 0.00136592379583034</f>
        <v>0.07512580877</v>
      </c>
    </row>
    <row r="973" ht="15.75" hidden="1" customHeight="1">
      <c r="A973" s="15" t="s">
        <v>105</v>
      </c>
      <c r="B973" s="11" t="s">
        <v>126</v>
      </c>
      <c r="C973" s="15"/>
      <c r="D973" s="16" t="s">
        <v>17</v>
      </c>
      <c r="E973" s="17">
        <v>6.0</v>
      </c>
      <c r="F973" s="18">
        <f>E973* 0.840430229624022</f>
        <v>5.042581378</v>
      </c>
      <c r="G973" s="18">
        <f>E973* 0.0777504415846581</f>
        <v>0.4665026495</v>
      </c>
      <c r="H973" s="18">
        <f>E973* 0.0817877870300278</f>
        <v>0.4907267222</v>
      </c>
    </row>
    <row r="974" ht="15.75" hidden="1" customHeight="1">
      <c r="A974" s="15" t="s">
        <v>105</v>
      </c>
      <c r="B974" s="11" t="s">
        <v>126</v>
      </c>
      <c r="C974" s="15"/>
      <c r="D974" s="16" t="s">
        <v>18</v>
      </c>
      <c r="E974" s="17">
        <v>1.0</v>
      </c>
      <c r="F974" s="18">
        <f>E974* 0.932934264493959</f>
        <v>0.9329342645</v>
      </c>
      <c r="G974" s="18">
        <f>E974* 0.0585300964416362</f>
        <v>0.05853009644</v>
      </c>
      <c r="H974" s="18">
        <f>E974* 0.00853563906440528</f>
        <v>0.008535639064</v>
      </c>
    </row>
    <row r="975" ht="15.75" hidden="1" customHeight="1">
      <c r="A975" s="15" t="s">
        <v>105</v>
      </c>
      <c r="B975" s="11" t="s">
        <v>126</v>
      </c>
      <c r="C975" s="15"/>
      <c r="D975" s="16" t="s">
        <v>19</v>
      </c>
      <c r="E975" s="17">
        <v>0.0</v>
      </c>
      <c r="F975" s="18">
        <f>E975* 0.290681971640783</f>
        <v>0</v>
      </c>
      <c r="G975" s="18">
        <f>E975* 0.694125590817016</f>
        <v>0</v>
      </c>
      <c r="H975" s="18">
        <f>E975* 0.0151924375422012</f>
        <v>0</v>
      </c>
    </row>
    <row r="976" ht="15.75" hidden="1" customHeight="1">
      <c r="A976" s="15" t="s">
        <v>105</v>
      </c>
      <c r="B976" s="11" t="s">
        <v>126</v>
      </c>
      <c r="C976" s="15"/>
      <c r="D976" s="16" t="s">
        <v>12</v>
      </c>
      <c r="E976" s="17">
        <v>3.0</v>
      </c>
      <c r="F976" s="18">
        <f>E976* 0.843786808009423</f>
        <v>2.531360424</v>
      </c>
      <c r="G976" s="18">
        <f>E976* 0.0740675304279545</f>
        <v>0.2222025913</v>
      </c>
      <c r="H976" s="18">
        <f>E976* 0.0820965842167256</f>
        <v>0.2462897527</v>
      </c>
    </row>
    <row r="977" ht="15.75" hidden="1" customHeight="1">
      <c r="A977" s="15" t="s">
        <v>105</v>
      </c>
      <c r="B977" s="8"/>
      <c r="C977" s="8"/>
      <c r="D977" s="9"/>
      <c r="E977" s="19"/>
    </row>
    <row r="978" ht="15.75" hidden="1" customHeight="1">
      <c r="A978" s="15" t="s">
        <v>105</v>
      </c>
      <c r="B978" s="11" t="s">
        <v>127</v>
      </c>
      <c r="C978" s="12" t="str">
        <f>B978&amp;"_"&amp;A978</f>
        <v>Pojo_Cochabamba</v>
      </c>
      <c r="E978" s="13">
        <v>38.0</v>
      </c>
      <c r="F978" s="14">
        <f t="shared" ref="F978:H978" si="100">SUM(F979:F983)</f>
        <v>27.67743094</v>
      </c>
      <c r="G978" s="14">
        <f t="shared" si="100"/>
        <v>8.441436542</v>
      </c>
      <c r="H978" s="14">
        <f t="shared" si="100"/>
        <v>1.876642035</v>
      </c>
    </row>
    <row r="979" ht="15.75" hidden="1" customHeight="1">
      <c r="A979" s="15" t="s">
        <v>105</v>
      </c>
      <c r="B979" s="11" t="s">
        <v>127</v>
      </c>
      <c r="C979" s="15"/>
      <c r="D979" s="16" t="s">
        <v>15</v>
      </c>
      <c r="E979" s="17">
        <v>1.0</v>
      </c>
      <c r="F979" s="18">
        <f>E979* 0.932775698199239</f>
        <v>0.9327756982</v>
      </c>
      <c r="G979" s="18">
        <f>E979* 0.00808724987291465</f>
        <v>0.008087249873</v>
      </c>
      <c r="H979" s="18">
        <f>E979*0.0590600305004852</f>
        <v>0.0590600305</v>
      </c>
    </row>
    <row r="980" ht="15.75" hidden="1" customHeight="1">
      <c r="A980" s="15" t="s">
        <v>105</v>
      </c>
      <c r="B980" s="11" t="s">
        <v>127</v>
      </c>
      <c r="C980" s="15"/>
      <c r="D980" s="16" t="s">
        <v>11</v>
      </c>
      <c r="E980" s="17">
        <v>8.0</v>
      </c>
      <c r="F980" s="18">
        <f>E980* 0.150611071171819</f>
        <v>1.204888569</v>
      </c>
      <c r="G980" s="18">
        <f>E980* 0.847699496764917</f>
        <v>6.781595974</v>
      </c>
      <c r="H980" s="18">
        <f>E980* 0.00136592379583034</f>
        <v>0.01092739037</v>
      </c>
    </row>
    <row r="981" ht="15.75" hidden="1" customHeight="1">
      <c r="A981" s="15" t="s">
        <v>105</v>
      </c>
      <c r="B981" s="11" t="s">
        <v>127</v>
      </c>
      <c r="C981" s="15"/>
      <c r="D981" s="16" t="s">
        <v>17</v>
      </c>
      <c r="E981" s="17">
        <v>6.0</v>
      </c>
      <c r="F981" s="18">
        <f>E981* 0.840430229624022</f>
        <v>5.042581378</v>
      </c>
      <c r="G981" s="18">
        <f>E981* 0.0777504415846581</f>
        <v>0.4665026495</v>
      </c>
      <c r="H981" s="18">
        <f>E981* 0.0817877870300278</f>
        <v>0.4907267222</v>
      </c>
    </row>
    <row r="982" ht="15.75" hidden="1" customHeight="1">
      <c r="A982" s="15" t="s">
        <v>105</v>
      </c>
      <c r="B982" s="11" t="s">
        <v>127</v>
      </c>
      <c r="C982" s="15"/>
      <c r="D982" s="16" t="s">
        <v>21</v>
      </c>
      <c r="E982" s="17">
        <v>7.0</v>
      </c>
      <c r="F982" s="18">
        <f>E982* 0.999513766486355</f>
        <v>6.996596365</v>
      </c>
      <c r="G982" s="18">
        <f>E982* 0.0000243116756822464</f>
        <v>0.0001701817298</v>
      </c>
      <c r="H982" s="18">
        <f>E982* 0.00034036345955145</f>
        <v>0.002382544217</v>
      </c>
    </row>
    <row r="983" ht="15.75" hidden="1" customHeight="1">
      <c r="A983" s="15" t="s">
        <v>105</v>
      </c>
      <c r="B983" s="11" t="s">
        <v>127</v>
      </c>
      <c r="C983" s="15"/>
      <c r="D983" s="16" t="s">
        <v>12</v>
      </c>
      <c r="E983" s="17">
        <v>16.0</v>
      </c>
      <c r="F983" s="18">
        <f>E983* 0.843786808009423</f>
        <v>13.50058893</v>
      </c>
      <c r="G983" s="18">
        <f>E983* 0.0740675304279545</f>
        <v>1.185080487</v>
      </c>
      <c r="H983" s="18">
        <f>E983* 0.0820965842167256</f>
        <v>1.313545347</v>
      </c>
    </row>
    <row r="984" ht="15.75" hidden="1" customHeight="1">
      <c r="A984" s="15" t="s">
        <v>105</v>
      </c>
      <c r="B984" s="8"/>
      <c r="C984" s="8"/>
      <c r="D984" s="9"/>
      <c r="E984" s="19"/>
    </row>
    <row r="985" ht="15.75" hidden="1" customHeight="1">
      <c r="A985" s="15" t="s">
        <v>105</v>
      </c>
      <c r="B985" s="11" t="s">
        <v>128</v>
      </c>
      <c r="C985" s="12" t="str">
        <f>B985&amp;"_"&amp;A985</f>
        <v>Puerto Villarroel_Cochabamba</v>
      </c>
      <c r="E985" s="22">
        <v>3183.0</v>
      </c>
      <c r="F985" s="14">
        <f t="shared" ref="F985:H985" si="101">SUM(F986:F998)</f>
        <v>2785.669124</v>
      </c>
      <c r="G985" s="14">
        <f t="shared" si="101"/>
        <v>288.2146975</v>
      </c>
      <c r="H985" s="14">
        <f t="shared" si="101"/>
        <v>108.7760479</v>
      </c>
    </row>
    <row r="986" ht="15.75" hidden="1" customHeight="1">
      <c r="A986" s="15" t="s">
        <v>105</v>
      </c>
      <c r="B986" s="11" t="s">
        <v>128</v>
      </c>
      <c r="C986" s="15"/>
      <c r="D986" s="16" t="s">
        <v>14</v>
      </c>
      <c r="E986" s="17">
        <v>0.0</v>
      </c>
      <c r="F986" s="20">
        <v>0.0</v>
      </c>
      <c r="G986" s="20">
        <f>E986</f>
        <v>0</v>
      </c>
      <c r="H986" s="20">
        <v>0.0</v>
      </c>
    </row>
    <row r="987" ht="15.75" hidden="1" customHeight="1">
      <c r="A987" s="15" t="s">
        <v>105</v>
      </c>
      <c r="B987" s="11" t="s">
        <v>128</v>
      </c>
      <c r="C987" s="15"/>
      <c r="D987" s="16" t="s">
        <v>15</v>
      </c>
      <c r="E987" s="17">
        <v>31.0</v>
      </c>
      <c r="F987" s="18">
        <f>E987* 0.932775698199239</f>
        <v>28.91604664</v>
      </c>
      <c r="G987" s="18">
        <f>E987* 0.00808724987291465</f>
        <v>0.2507047461</v>
      </c>
      <c r="H987" s="18">
        <f>E987*0.0590600305004852</f>
        <v>1.830860946</v>
      </c>
    </row>
    <row r="988" ht="15.75" hidden="1" customHeight="1">
      <c r="A988" s="15" t="s">
        <v>105</v>
      </c>
      <c r="B988" s="11" t="s">
        <v>128</v>
      </c>
      <c r="C988" s="15"/>
      <c r="D988" s="16" t="s">
        <v>16</v>
      </c>
      <c r="E988" s="17">
        <v>33.0</v>
      </c>
      <c r="F988" s="18">
        <f>E988* 0.0803212851405623</f>
        <v>2.65060241</v>
      </c>
      <c r="G988" s="18">
        <f>E988* 0.913367756741251</f>
        <v>30.14113597</v>
      </c>
      <c r="H988" s="18">
        <f>E988* 0.0057372346528973</f>
        <v>0.1893287435</v>
      </c>
    </row>
    <row r="989" ht="15.75" hidden="1" customHeight="1">
      <c r="A989" s="15" t="s">
        <v>105</v>
      </c>
      <c r="B989" s="11" t="s">
        <v>128</v>
      </c>
      <c r="C989" s="15"/>
      <c r="D989" s="16" t="s">
        <v>11</v>
      </c>
      <c r="E989" s="17">
        <v>176.0</v>
      </c>
      <c r="F989" s="18">
        <f>E989* 0.150611071171819</f>
        <v>26.50754853</v>
      </c>
      <c r="G989" s="18">
        <f>E989* 0.847699496764917</f>
        <v>149.1951114</v>
      </c>
      <c r="H989" s="18">
        <f>E989* 0.00136592379583034</f>
        <v>0.2404025881</v>
      </c>
    </row>
    <row r="990" ht="15.75" hidden="1" customHeight="1">
      <c r="A990" s="15" t="s">
        <v>105</v>
      </c>
      <c r="B990" s="11" t="s">
        <v>128</v>
      </c>
      <c r="C990" s="15"/>
      <c r="D990" s="16" t="s">
        <v>17</v>
      </c>
      <c r="E990" s="17">
        <v>36.0</v>
      </c>
      <c r="F990" s="18">
        <f>E990* 0.840430229624022</f>
        <v>30.25548827</v>
      </c>
      <c r="G990" s="18">
        <f>E990* 0.0777504415846581</f>
        <v>2.799015897</v>
      </c>
      <c r="H990" s="18">
        <f>E990* 0.0817877870300278</f>
        <v>2.944360333</v>
      </c>
    </row>
    <row r="991" ht="15.75" hidden="1" customHeight="1">
      <c r="A991" s="15" t="s">
        <v>105</v>
      </c>
      <c r="B991" s="11" t="s">
        <v>128</v>
      </c>
      <c r="C991" s="15"/>
      <c r="D991" s="16" t="s">
        <v>31</v>
      </c>
      <c r="E991" s="17">
        <v>1.0</v>
      </c>
      <c r="F991" s="18">
        <f>E991* 0.901975683890578</f>
        <v>0.9019756839</v>
      </c>
      <c r="G991" s="18">
        <f>E991* 0.0364741641337386</f>
        <v>0.03647416413</v>
      </c>
      <c r="H991" s="18">
        <f>E991* 0.0615501519756839</f>
        <v>0.06155015198</v>
      </c>
    </row>
    <row r="992" ht="15.75" hidden="1" customHeight="1">
      <c r="A992" s="15" t="s">
        <v>105</v>
      </c>
      <c r="B992" s="11" t="s">
        <v>128</v>
      </c>
      <c r="C992" s="15"/>
      <c r="D992" s="16" t="s">
        <v>18</v>
      </c>
      <c r="E992" s="17">
        <v>10.0</v>
      </c>
      <c r="F992" s="18">
        <f>E992* 0.932934264493959</f>
        <v>9.329342645</v>
      </c>
      <c r="G992" s="18">
        <f>E992* 0.0585300964416362</f>
        <v>0.5853009644</v>
      </c>
      <c r="H992" s="18">
        <f>E992* 0.00853563906440528</f>
        <v>0.08535639064</v>
      </c>
    </row>
    <row r="993" ht="15.75" hidden="1" customHeight="1">
      <c r="A993" s="15" t="s">
        <v>105</v>
      </c>
      <c r="B993" s="11" t="s">
        <v>128</v>
      </c>
      <c r="C993" s="15"/>
      <c r="D993" s="16" t="s">
        <v>19</v>
      </c>
      <c r="E993" s="17">
        <v>10.0</v>
      </c>
      <c r="F993" s="18">
        <f>E993* 0.290681971640783</f>
        <v>2.906819716</v>
      </c>
      <c r="G993" s="18">
        <f>E993* 0.694125590817016</f>
        <v>6.941255908</v>
      </c>
      <c r="H993" s="18">
        <f>E993* 0.0151924375422012</f>
        <v>0.1519243754</v>
      </c>
    </row>
    <row r="994" ht="15.75" hidden="1" customHeight="1">
      <c r="A994" s="15" t="s">
        <v>105</v>
      </c>
      <c r="B994" s="11" t="s">
        <v>128</v>
      </c>
      <c r="C994" s="15"/>
      <c r="D994" s="16" t="s">
        <v>20</v>
      </c>
      <c r="E994" s="17">
        <v>17.0</v>
      </c>
      <c r="F994" s="18">
        <f>E994* 0.686268801552644</f>
        <v>11.66656963</v>
      </c>
      <c r="G994" s="18">
        <f>E994* 0.196991751576904</f>
        <v>3.348859777</v>
      </c>
      <c r="H994" s="18">
        <f>E994* 0.116642406598738</f>
        <v>1.982920912</v>
      </c>
    </row>
    <row r="995" ht="15.75" hidden="1" customHeight="1">
      <c r="A995" s="15" t="s">
        <v>105</v>
      </c>
      <c r="B995" s="11" t="s">
        <v>128</v>
      </c>
      <c r="C995" s="15"/>
      <c r="D995" s="16" t="s">
        <v>21</v>
      </c>
      <c r="E995" s="23">
        <v>1636.0</v>
      </c>
      <c r="F995" s="18">
        <f>E995* 0.999513766486355</f>
        <v>1635.204522</v>
      </c>
      <c r="G995" s="18">
        <f>E995* 0.0000243116756822464</f>
        <v>0.03977390142</v>
      </c>
      <c r="H995" s="18">
        <f>E995* 0.00034036345955145</f>
        <v>0.5568346198</v>
      </c>
    </row>
    <row r="996" ht="15.75" hidden="1" customHeight="1">
      <c r="A996" s="15" t="s">
        <v>105</v>
      </c>
      <c r="B996" s="11" t="s">
        <v>128</v>
      </c>
      <c r="C996" s="15"/>
      <c r="D996" s="16" t="s">
        <v>36</v>
      </c>
      <c r="E996" s="17">
        <v>2.0</v>
      </c>
      <c r="F996" s="20">
        <f>E996</f>
        <v>2</v>
      </c>
      <c r="G996" s="20">
        <v>0.0</v>
      </c>
      <c r="H996" s="20">
        <v>0.0</v>
      </c>
    </row>
    <row r="997" ht="15.75" hidden="1" customHeight="1">
      <c r="A997" s="15" t="s">
        <v>105</v>
      </c>
      <c r="B997" s="11" t="s">
        <v>128</v>
      </c>
      <c r="C997" s="15"/>
      <c r="D997" s="16" t="s">
        <v>28</v>
      </c>
      <c r="E997" s="17">
        <v>4.0</v>
      </c>
      <c r="F997" s="18">
        <f>E997* 0.00094876660341556</f>
        <v>0.003795066414</v>
      </c>
      <c r="G997" s="18">
        <f>E997* 0.999051233396584</f>
        <v>3.996204934</v>
      </c>
      <c r="H997" s="18">
        <v>0.0</v>
      </c>
    </row>
    <row r="998" ht="15.75" hidden="1" customHeight="1">
      <c r="A998" s="15" t="s">
        <v>105</v>
      </c>
      <c r="B998" s="11" t="s">
        <v>128</v>
      </c>
      <c r="C998" s="15"/>
      <c r="D998" s="16" t="s">
        <v>12</v>
      </c>
      <c r="E998" s="23">
        <v>1227.0</v>
      </c>
      <c r="F998" s="18">
        <f>E998* 0.843786808009423</f>
        <v>1035.326413</v>
      </c>
      <c r="G998" s="18">
        <f>E998* 0.0740675304279545</f>
        <v>90.88085984</v>
      </c>
      <c r="H998" s="18">
        <f>E998* 0.0820965842167256</f>
        <v>100.7325088</v>
      </c>
    </row>
    <row r="999" ht="15.75" hidden="1" customHeight="1">
      <c r="A999" s="15" t="s">
        <v>105</v>
      </c>
      <c r="B999" s="8"/>
      <c r="C999" s="8"/>
      <c r="D999" s="9"/>
      <c r="E999" s="19"/>
    </row>
    <row r="1000" ht="15.75" hidden="1" customHeight="1">
      <c r="A1000" s="15" t="s">
        <v>105</v>
      </c>
      <c r="B1000" s="11" t="s">
        <v>129</v>
      </c>
      <c r="C1000" s="12" t="str">
        <f>B1000&amp;"_"&amp;A1000</f>
        <v>Punata_Cochabamba</v>
      </c>
      <c r="E1000" s="22">
        <v>5272.0</v>
      </c>
      <c r="F1000" s="14">
        <f t="shared" ref="F1000:H1000" si="102">SUM(F1001:F1013)</f>
        <v>4257.332718</v>
      </c>
      <c r="G1000" s="14">
        <f t="shared" si="102"/>
        <v>744.4725625</v>
      </c>
      <c r="H1000" s="14">
        <f t="shared" si="102"/>
        <v>269.687354</v>
      </c>
    </row>
    <row r="1001" ht="15.75" hidden="1" customHeight="1">
      <c r="A1001" s="15" t="s">
        <v>105</v>
      </c>
      <c r="B1001" s="11" t="s">
        <v>129</v>
      </c>
      <c r="C1001" s="15"/>
      <c r="D1001" s="16" t="s">
        <v>14</v>
      </c>
      <c r="E1001" s="17">
        <v>0.0</v>
      </c>
      <c r="F1001" s="20">
        <v>0.0</v>
      </c>
      <c r="G1001" s="20">
        <f>E1001</f>
        <v>0</v>
      </c>
      <c r="H1001" s="20">
        <v>0.0</v>
      </c>
    </row>
    <row r="1002" ht="15.75" hidden="1" customHeight="1">
      <c r="A1002" s="15" t="s">
        <v>105</v>
      </c>
      <c r="B1002" s="11" t="s">
        <v>129</v>
      </c>
      <c r="C1002" s="15"/>
      <c r="D1002" s="16" t="s">
        <v>15</v>
      </c>
      <c r="E1002" s="17">
        <v>877.0</v>
      </c>
      <c r="F1002" s="18">
        <f>E1002* 0.932775698199239</f>
        <v>818.0442873</v>
      </c>
      <c r="G1002" s="18">
        <f>E1002* 0.00808724987291465</f>
        <v>7.092518139</v>
      </c>
      <c r="H1002" s="18">
        <f>E1002*0.0590600305004852</f>
        <v>51.79564675</v>
      </c>
    </row>
    <row r="1003" ht="15.75" hidden="1" customHeight="1">
      <c r="A1003" s="15" t="s">
        <v>105</v>
      </c>
      <c r="B1003" s="11" t="s">
        <v>129</v>
      </c>
      <c r="C1003" s="15"/>
      <c r="D1003" s="16" t="s">
        <v>16</v>
      </c>
      <c r="E1003" s="17">
        <v>15.0</v>
      </c>
      <c r="F1003" s="18">
        <f>E1003* 0.0803212851405623</f>
        <v>1.204819277</v>
      </c>
      <c r="G1003" s="18">
        <f>E1003* 0.913367756741251</f>
        <v>13.70051635</v>
      </c>
      <c r="H1003" s="18">
        <f>E1003* 0.0057372346528973</f>
        <v>0.08605851979</v>
      </c>
    </row>
    <row r="1004" ht="15.75" hidden="1" customHeight="1">
      <c r="A1004" s="15" t="s">
        <v>105</v>
      </c>
      <c r="B1004" s="11" t="s">
        <v>129</v>
      </c>
      <c r="C1004" s="15"/>
      <c r="D1004" s="16" t="s">
        <v>11</v>
      </c>
      <c r="E1004" s="17">
        <v>498.0</v>
      </c>
      <c r="F1004" s="18">
        <f>E1004* 0.150611071171819</f>
        <v>75.00431344</v>
      </c>
      <c r="G1004" s="18">
        <f>E1004* 0.847699496764917</f>
        <v>422.1543494</v>
      </c>
      <c r="H1004" s="18">
        <f>E1004* 0.00136592379583034</f>
        <v>0.6802300503</v>
      </c>
    </row>
    <row r="1005" ht="15.75" hidden="1" customHeight="1">
      <c r="A1005" s="15" t="s">
        <v>105</v>
      </c>
      <c r="B1005" s="11" t="s">
        <v>129</v>
      </c>
      <c r="C1005" s="15"/>
      <c r="D1005" s="16" t="s">
        <v>17</v>
      </c>
      <c r="E1005" s="17">
        <v>415.0</v>
      </c>
      <c r="F1005" s="18">
        <f>E1005* 0.840430229624022</f>
        <v>348.7785453</v>
      </c>
      <c r="G1005" s="18">
        <f>E1005* 0.0777504415846581</f>
        <v>32.26643326</v>
      </c>
      <c r="H1005" s="18">
        <f>E1005* 0.0817877870300278</f>
        <v>33.94193162</v>
      </c>
    </row>
    <row r="1006" ht="15.75" hidden="1" customHeight="1">
      <c r="A1006" s="15" t="s">
        <v>105</v>
      </c>
      <c r="B1006" s="11" t="s">
        <v>129</v>
      </c>
      <c r="C1006" s="15"/>
      <c r="D1006" s="16" t="s">
        <v>31</v>
      </c>
      <c r="E1006" s="17">
        <v>17.0</v>
      </c>
      <c r="F1006" s="18">
        <f>E1006* 0.901975683890578</f>
        <v>15.33358663</v>
      </c>
      <c r="G1006" s="18">
        <f>E1006* 0.0364741641337386</f>
        <v>0.6200607903</v>
      </c>
      <c r="H1006" s="18">
        <f>E1006* 0.0615501519756839</f>
        <v>1.046352584</v>
      </c>
    </row>
    <row r="1007" ht="15.75" hidden="1" customHeight="1">
      <c r="A1007" s="15" t="s">
        <v>105</v>
      </c>
      <c r="B1007" s="11" t="s">
        <v>129</v>
      </c>
      <c r="C1007" s="15"/>
      <c r="D1007" s="16" t="s">
        <v>18</v>
      </c>
      <c r="E1007" s="17">
        <v>59.0</v>
      </c>
      <c r="F1007" s="18">
        <f>E1007* 0.932934264493959</f>
        <v>55.04312161</v>
      </c>
      <c r="G1007" s="18">
        <f>E1007* 0.0585300964416362</f>
        <v>3.45327569</v>
      </c>
      <c r="H1007" s="18">
        <f>E1007* 0.00853563906440528</f>
        <v>0.5036027048</v>
      </c>
    </row>
    <row r="1008" ht="15.75" hidden="1" customHeight="1">
      <c r="A1008" s="15" t="s">
        <v>105</v>
      </c>
      <c r="B1008" s="11" t="s">
        <v>129</v>
      </c>
      <c r="C1008" s="15"/>
      <c r="D1008" s="16" t="s">
        <v>19</v>
      </c>
      <c r="E1008" s="17">
        <v>55.0</v>
      </c>
      <c r="F1008" s="18">
        <f>E1008* 0.290681971640783</f>
        <v>15.98750844</v>
      </c>
      <c r="G1008" s="18">
        <f>E1008* 0.694125590817016</f>
        <v>38.17690749</v>
      </c>
      <c r="H1008" s="18">
        <f>E1008* 0.0151924375422012</f>
        <v>0.8355840648</v>
      </c>
    </row>
    <row r="1009" ht="15.75" hidden="1" customHeight="1">
      <c r="A1009" s="15" t="s">
        <v>105</v>
      </c>
      <c r="B1009" s="11" t="s">
        <v>129</v>
      </c>
      <c r="C1009" s="15"/>
      <c r="D1009" s="16" t="s">
        <v>20</v>
      </c>
      <c r="E1009" s="17">
        <v>210.0</v>
      </c>
      <c r="F1009" s="18">
        <f>E1009* 0.686268801552644</f>
        <v>144.1164483</v>
      </c>
      <c r="G1009" s="18">
        <f>E1009* 0.196991751576904</f>
        <v>41.36826783</v>
      </c>
      <c r="H1009" s="18">
        <f>E1009* 0.116642406598738</f>
        <v>24.49490539</v>
      </c>
    </row>
    <row r="1010" ht="15.75" hidden="1" customHeight="1">
      <c r="A1010" s="15" t="s">
        <v>105</v>
      </c>
      <c r="B1010" s="11" t="s">
        <v>129</v>
      </c>
      <c r="C1010" s="15"/>
      <c r="D1010" s="16" t="s">
        <v>21</v>
      </c>
      <c r="E1010" s="23">
        <v>1180.0</v>
      </c>
      <c r="F1010" s="18">
        <f>E1010* 0.999513766486355</f>
        <v>1179.426244</v>
      </c>
      <c r="G1010" s="18">
        <f>E1010* 0.0000243116756822464</f>
        <v>0.02868777731</v>
      </c>
      <c r="H1010" s="18">
        <f>E1010* 0.00034036345955145</f>
        <v>0.4016288823</v>
      </c>
    </row>
    <row r="1011" ht="15.75" hidden="1" customHeight="1">
      <c r="A1011" s="15" t="s">
        <v>105</v>
      </c>
      <c r="B1011" s="11" t="s">
        <v>129</v>
      </c>
      <c r="C1011" s="15"/>
      <c r="D1011" s="16" t="s">
        <v>36</v>
      </c>
      <c r="E1011" s="17">
        <v>2.0</v>
      </c>
      <c r="F1011" s="20">
        <f>E1011</f>
        <v>2</v>
      </c>
      <c r="G1011" s="20">
        <v>0.0</v>
      </c>
      <c r="H1011" s="20">
        <v>0.0</v>
      </c>
    </row>
    <row r="1012" ht="15.75" hidden="1" customHeight="1">
      <c r="A1012" s="15" t="s">
        <v>105</v>
      </c>
      <c r="B1012" s="11" t="s">
        <v>129</v>
      </c>
      <c r="C1012" s="15"/>
      <c r="D1012" s="16" t="s">
        <v>28</v>
      </c>
      <c r="E1012" s="17">
        <v>45.0</v>
      </c>
      <c r="F1012" s="18">
        <f>E1012* 0.00094876660341556</f>
        <v>0.04269449715</v>
      </c>
      <c r="G1012" s="18">
        <f>E1012* 0.999051233396584</f>
        <v>44.9573055</v>
      </c>
      <c r="H1012" s="18">
        <v>0.0</v>
      </c>
    </row>
    <row r="1013" ht="15.75" hidden="1" customHeight="1">
      <c r="A1013" s="15" t="s">
        <v>105</v>
      </c>
      <c r="B1013" s="11" t="s">
        <v>129</v>
      </c>
      <c r="C1013" s="15"/>
      <c r="D1013" s="16" t="s">
        <v>12</v>
      </c>
      <c r="E1013" s="23">
        <v>1899.0</v>
      </c>
      <c r="F1013" s="18">
        <f>E1013* 0.843786808009423</f>
        <v>1602.351148</v>
      </c>
      <c r="G1013" s="18">
        <f>E1013* 0.0740675304279545</f>
        <v>140.6542403</v>
      </c>
      <c r="H1013" s="18">
        <f>E1013* 0.0820965842167256</f>
        <v>155.9014134</v>
      </c>
    </row>
    <row r="1014" ht="15.75" hidden="1" customHeight="1">
      <c r="A1014" s="15" t="s">
        <v>105</v>
      </c>
      <c r="B1014" s="8"/>
      <c r="C1014" s="8"/>
      <c r="D1014" s="9"/>
      <c r="E1014" s="19"/>
    </row>
    <row r="1015" ht="15.75" hidden="1" customHeight="1">
      <c r="A1015" s="15" t="s">
        <v>105</v>
      </c>
      <c r="B1015" s="11" t="s">
        <v>130</v>
      </c>
      <c r="C1015" s="12" t="str">
        <f>B1015&amp;"_"&amp;A1015</f>
        <v>Quillacollo_Cochabamba</v>
      </c>
      <c r="E1015" s="22">
        <v>61899.0</v>
      </c>
      <c r="F1015" s="14">
        <f t="shared" ref="F1015:H1015" si="103">SUM(F1016:F1029)</f>
        <v>44025.56048</v>
      </c>
      <c r="G1015" s="14">
        <f t="shared" si="103"/>
        <v>14651.00843</v>
      </c>
      <c r="H1015" s="14">
        <f t="shared" si="103"/>
        <v>3216.173311</v>
      </c>
    </row>
    <row r="1016" ht="15.75" hidden="1" customHeight="1">
      <c r="A1016" s="15" t="s">
        <v>105</v>
      </c>
      <c r="B1016" s="11" t="s">
        <v>130</v>
      </c>
      <c r="C1016" s="15"/>
      <c r="D1016" s="16" t="s">
        <v>14</v>
      </c>
      <c r="E1016" s="17">
        <v>0.0</v>
      </c>
      <c r="F1016" s="20">
        <v>0.0</v>
      </c>
      <c r="G1016" s="20">
        <f>E1016</f>
        <v>0</v>
      </c>
      <c r="H1016" s="20">
        <v>0.0</v>
      </c>
    </row>
    <row r="1017" ht="15.75" hidden="1" customHeight="1">
      <c r="A1017" s="15" t="s">
        <v>105</v>
      </c>
      <c r="B1017" s="11" t="s">
        <v>130</v>
      </c>
      <c r="C1017" s="15"/>
      <c r="D1017" s="16" t="s">
        <v>15</v>
      </c>
      <c r="E1017" s="23">
        <v>10128.0</v>
      </c>
      <c r="F1017" s="18">
        <f>E1017* 0.932775698199239</f>
        <v>9447.152271</v>
      </c>
      <c r="G1017" s="18">
        <f>E1017* 0.00808724987291465</f>
        <v>81.90766671</v>
      </c>
      <c r="H1017" s="18">
        <f>E1017*0.0590600305004852</f>
        <v>598.1599889</v>
      </c>
    </row>
    <row r="1018" ht="15.75" hidden="1" customHeight="1">
      <c r="A1018" s="15" t="s">
        <v>105</v>
      </c>
      <c r="B1018" s="11" t="s">
        <v>130</v>
      </c>
      <c r="C1018" s="15"/>
      <c r="D1018" s="16" t="s">
        <v>16</v>
      </c>
      <c r="E1018" s="17">
        <v>373.0</v>
      </c>
      <c r="F1018" s="18">
        <f>E1018* 0.0803212851405623</f>
        <v>29.95983936</v>
      </c>
      <c r="G1018" s="18">
        <f>E1018* 0.913367756741251</f>
        <v>340.6861733</v>
      </c>
      <c r="H1018" s="18">
        <f>E1018* 0.0057372346528973</f>
        <v>2.139988526</v>
      </c>
    </row>
    <row r="1019" ht="15.75" hidden="1" customHeight="1">
      <c r="A1019" s="15" t="s">
        <v>105</v>
      </c>
      <c r="B1019" s="11" t="s">
        <v>130</v>
      </c>
      <c r="C1019" s="15"/>
      <c r="D1019" s="16" t="s">
        <v>11</v>
      </c>
      <c r="E1019" s="23">
        <v>9029.0</v>
      </c>
      <c r="F1019" s="18">
        <f>E1019* 0.150611071171819</f>
        <v>1359.867362</v>
      </c>
      <c r="G1019" s="18">
        <f>E1019* 0.847699496764917</f>
        <v>7653.878756</v>
      </c>
      <c r="H1019" s="18">
        <f>E1019* 0.00136592379583034</f>
        <v>12.33292595</v>
      </c>
    </row>
    <row r="1020" ht="15.75" hidden="1" customHeight="1">
      <c r="A1020" s="15" t="s">
        <v>105</v>
      </c>
      <c r="B1020" s="11" t="s">
        <v>130</v>
      </c>
      <c r="C1020" s="15"/>
      <c r="D1020" s="16" t="s">
        <v>17</v>
      </c>
      <c r="E1020" s="23">
        <v>5933.0</v>
      </c>
      <c r="F1020" s="18">
        <f>E1020* 0.840430229624022</f>
        <v>4986.272552</v>
      </c>
      <c r="G1020" s="18">
        <f>E1020* 0.0777504415846581</f>
        <v>461.2933699</v>
      </c>
      <c r="H1020" s="18">
        <f>E1020* 0.0817877870300278</f>
        <v>485.2469404</v>
      </c>
    </row>
    <row r="1021" ht="15.75" hidden="1" customHeight="1">
      <c r="A1021" s="15" t="s">
        <v>105</v>
      </c>
      <c r="B1021" s="11" t="s">
        <v>130</v>
      </c>
      <c r="C1021" s="15"/>
      <c r="D1021" s="16" t="s">
        <v>31</v>
      </c>
      <c r="E1021" s="17">
        <v>220.0</v>
      </c>
      <c r="F1021" s="18">
        <f>E1021* 0.901975683890578</f>
        <v>198.4346505</v>
      </c>
      <c r="G1021" s="18">
        <f>E1021* 0.0364741641337386</f>
        <v>8.024316109</v>
      </c>
      <c r="H1021" s="18">
        <f>E1021* 0.0615501519756839</f>
        <v>13.54103343</v>
      </c>
    </row>
    <row r="1022" ht="15.75" hidden="1" customHeight="1">
      <c r="A1022" s="15" t="s">
        <v>105</v>
      </c>
      <c r="B1022" s="11" t="s">
        <v>130</v>
      </c>
      <c r="C1022" s="15"/>
      <c r="D1022" s="16" t="s">
        <v>18</v>
      </c>
      <c r="E1022" s="23">
        <v>1313.0</v>
      </c>
      <c r="F1022" s="18">
        <f>E1022* 0.932934264493959</f>
        <v>1224.942689</v>
      </c>
      <c r="G1022" s="18">
        <f>E1022* 0.0585300964416362</f>
        <v>76.85001663</v>
      </c>
      <c r="H1022" s="18">
        <f>E1022* 0.00853563906440528</f>
        <v>11.20729409</v>
      </c>
    </row>
    <row r="1023" ht="15.75" hidden="1" customHeight="1">
      <c r="A1023" s="15" t="s">
        <v>105</v>
      </c>
      <c r="B1023" s="11" t="s">
        <v>130</v>
      </c>
      <c r="C1023" s="15"/>
      <c r="D1023" s="16" t="s">
        <v>19</v>
      </c>
      <c r="E1023" s="17">
        <v>827.0</v>
      </c>
      <c r="F1023" s="18">
        <f>E1023* 0.290681971640783</f>
        <v>240.3939905</v>
      </c>
      <c r="G1023" s="18">
        <f>E1023* 0.694125590817016</f>
        <v>574.0418636</v>
      </c>
      <c r="H1023" s="18">
        <f>E1023* 0.0151924375422012</f>
        <v>12.56414585</v>
      </c>
    </row>
    <row r="1024" ht="15.75" hidden="1" customHeight="1">
      <c r="A1024" s="15" t="s">
        <v>105</v>
      </c>
      <c r="B1024" s="11" t="s">
        <v>130</v>
      </c>
      <c r="C1024" s="15"/>
      <c r="D1024" s="16" t="s">
        <v>20</v>
      </c>
      <c r="E1024" s="23">
        <v>3203.0</v>
      </c>
      <c r="F1024" s="18">
        <f>E1024* 0.686268801552644</f>
        <v>2198.118971</v>
      </c>
      <c r="G1024" s="18">
        <f>E1024* 0.196991751576904</f>
        <v>630.9645803</v>
      </c>
      <c r="H1024" s="18">
        <f>E1024* 0.116642406598738</f>
        <v>373.6056283</v>
      </c>
    </row>
    <row r="1025" ht="15.75" hidden="1" customHeight="1">
      <c r="A1025" s="15" t="s">
        <v>105</v>
      </c>
      <c r="B1025" s="11" t="s">
        <v>130</v>
      </c>
      <c r="C1025" s="15"/>
      <c r="D1025" s="16" t="s">
        <v>21</v>
      </c>
      <c r="E1025" s="23">
        <v>6791.0</v>
      </c>
      <c r="F1025" s="18">
        <f>E1025* 0.999513766486355</f>
        <v>6787.697988</v>
      </c>
      <c r="G1025" s="18">
        <f>E1025* 0.0000243116756822464</f>
        <v>0.1651005896</v>
      </c>
      <c r="H1025" s="18">
        <f>E1025* 0.00034036345955145</f>
        <v>2.311408254</v>
      </c>
    </row>
    <row r="1026" ht="15.75" hidden="1" customHeight="1">
      <c r="A1026" s="15" t="s">
        <v>105</v>
      </c>
      <c r="B1026" s="11" t="s">
        <v>130</v>
      </c>
      <c r="C1026" s="15"/>
      <c r="D1026" s="16" t="s">
        <v>36</v>
      </c>
      <c r="E1026" s="17">
        <v>25.0</v>
      </c>
      <c r="F1026" s="20">
        <f>E1026</f>
        <v>25</v>
      </c>
      <c r="G1026" s="20">
        <v>0.0</v>
      </c>
      <c r="H1026" s="20">
        <v>0.0</v>
      </c>
    </row>
    <row r="1027" ht="15.75" hidden="1" customHeight="1">
      <c r="A1027" s="15" t="s">
        <v>105</v>
      </c>
      <c r="B1027" s="11" t="s">
        <v>130</v>
      </c>
      <c r="C1027" s="15"/>
      <c r="D1027" s="16" t="s">
        <v>37</v>
      </c>
      <c r="E1027" s="17">
        <v>8.0</v>
      </c>
      <c r="F1027" s="20">
        <v>0.0</v>
      </c>
      <c r="G1027" s="20">
        <f>E1027</f>
        <v>8</v>
      </c>
      <c r="H1027" s="20">
        <v>0.0</v>
      </c>
    </row>
    <row r="1028" ht="15.75" hidden="1" customHeight="1">
      <c r="A1028" s="15" t="s">
        <v>105</v>
      </c>
      <c r="B1028" s="11" t="s">
        <v>130</v>
      </c>
      <c r="C1028" s="15"/>
      <c r="D1028" s="16" t="s">
        <v>28</v>
      </c>
      <c r="E1028" s="23">
        <v>3280.0</v>
      </c>
      <c r="F1028" s="18">
        <f>E1028* 0.00094876660341556</f>
        <v>3.111954459</v>
      </c>
      <c r="G1028" s="18">
        <f>E1028* 0.999051233396584</f>
        <v>3276.888046</v>
      </c>
      <c r="H1028" s="18">
        <v>0.0</v>
      </c>
    </row>
    <row r="1029" ht="15.75" hidden="1" customHeight="1">
      <c r="A1029" s="15" t="s">
        <v>105</v>
      </c>
      <c r="B1029" s="11" t="s">
        <v>130</v>
      </c>
      <c r="C1029" s="15"/>
      <c r="D1029" s="16" t="s">
        <v>12</v>
      </c>
      <c r="E1029" s="23">
        <v>20769.0</v>
      </c>
      <c r="F1029" s="18">
        <f>E1029* 0.843786808009423</f>
        <v>17524.60822</v>
      </c>
      <c r="G1029" s="18">
        <f>E1029* 0.0740675304279545</f>
        <v>1538.308539</v>
      </c>
      <c r="H1029" s="18">
        <f>E1029* 0.0820965842167256</f>
        <v>1705.063958</v>
      </c>
    </row>
    <row r="1030" ht="15.75" hidden="1" customHeight="1">
      <c r="A1030" s="15" t="s">
        <v>105</v>
      </c>
      <c r="B1030" s="8"/>
      <c r="C1030" s="8"/>
      <c r="D1030" s="9"/>
      <c r="E1030" s="19"/>
    </row>
    <row r="1031" ht="15.75" hidden="1" customHeight="1">
      <c r="A1031" s="15" t="s">
        <v>105</v>
      </c>
      <c r="B1031" s="11" t="s">
        <v>131</v>
      </c>
      <c r="C1031" s="12" t="str">
        <f>B1031&amp;"_"&amp;A1031</f>
        <v>Sacaba_Cochabamba</v>
      </c>
      <c r="E1031" s="22">
        <v>34426.0</v>
      </c>
      <c r="F1031" s="14">
        <f t="shared" ref="F1031:H1031" si="104">SUM(F1032:F1047)</f>
        <v>24911.41045</v>
      </c>
      <c r="G1031" s="14">
        <f t="shared" si="104"/>
        <v>7815.957001</v>
      </c>
      <c r="H1031" s="14">
        <f t="shared" si="104"/>
        <v>1694.785592</v>
      </c>
    </row>
    <row r="1032" ht="15.75" hidden="1" customHeight="1">
      <c r="A1032" s="15" t="s">
        <v>105</v>
      </c>
      <c r="B1032" s="11" t="s">
        <v>131</v>
      </c>
      <c r="C1032" s="15"/>
      <c r="D1032" s="16" t="s">
        <v>14</v>
      </c>
      <c r="E1032" s="17">
        <v>0.0</v>
      </c>
      <c r="F1032" s="20">
        <v>0.0</v>
      </c>
      <c r="G1032" s="20">
        <f>E1032</f>
        <v>0</v>
      </c>
      <c r="H1032" s="20">
        <v>0.0</v>
      </c>
    </row>
    <row r="1033" ht="15.75" hidden="1" customHeight="1">
      <c r="A1033" s="15" t="s">
        <v>105</v>
      </c>
      <c r="B1033" s="11" t="s">
        <v>131</v>
      </c>
      <c r="C1033" s="15"/>
      <c r="D1033" s="16" t="s">
        <v>15</v>
      </c>
      <c r="E1033" s="23">
        <v>4959.0</v>
      </c>
      <c r="F1033" s="18">
        <f>E1033* 0.932775698199239</f>
        <v>4625.634687</v>
      </c>
      <c r="G1033" s="18">
        <f>E1033* 0.00808724987291465</f>
        <v>40.10467212</v>
      </c>
      <c r="H1033" s="18">
        <f>E1033*0.0590600305004852</f>
        <v>292.8786913</v>
      </c>
    </row>
    <row r="1034" ht="15.75" hidden="1" customHeight="1">
      <c r="A1034" s="15" t="s">
        <v>105</v>
      </c>
      <c r="B1034" s="11" t="s">
        <v>131</v>
      </c>
      <c r="C1034" s="15"/>
      <c r="D1034" s="16" t="s">
        <v>16</v>
      </c>
      <c r="E1034" s="17">
        <v>433.0</v>
      </c>
      <c r="F1034" s="18">
        <f>E1034* 0.0803212851405623</f>
        <v>34.77911647</v>
      </c>
      <c r="G1034" s="18">
        <f>E1034* 0.913367756741251</f>
        <v>395.4882387</v>
      </c>
      <c r="H1034" s="18">
        <f>E1034* 0.0057372346528973</f>
        <v>2.484222605</v>
      </c>
    </row>
    <row r="1035" ht="15.75" hidden="1" customHeight="1">
      <c r="A1035" s="15" t="s">
        <v>105</v>
      </c>
      <c r="B1035" s="11" t="s">
        <v>131</v>
      </c>
      <c r="C1035" s="15"/>
      <c r="D1035" s="16" t="s">
        <v>11</v>
      </c>
      <c r="E1035" s="23">
        <v>5165.0</v>
      </c>
      <c r="F1035" s="18">
        <f>E1035* 0.150611071171819</f>
        <v>777.9061826</v>
      </c>
      <c r="G1035" s="18">
        <f>E1035* 0.847699496764917</f>
        <v>4378.367901</v>
      </c>
      <c r="H1035" s="18">
        <f>E1035* 0.00136592379583034</f>
        <v>7.054996405</v>
      </c>
    </row>
    <row r="1036" ht="15.75" hidden="1" customHeight="1">
      <c r="A1036" s="15" t="s">
        <v>105</v>
      </c>
      <c r="B1036" s="11" t="s">
        <v>131</v>
      </c>
      <c r="C1036" s="15"/>
      <c r="D1036" s="16" t="s">
        <v>17</v>
      </c>
      <c r="E1036" s="23">
        <v>2777.0</v>
      </c>
      <c r="F1036" s="18">
        <f>E1036* 0.840430229624022</f>
        <v>2333.874748</v>
      </c>
      <c r="G1036" s="18">
        <f>E1036* 0.0777504415846581</f>
        <v>215.9129763</v>
      </c>
      <c r="H1036" s="18">
        <f>E1036* 0.0817877870300278</f>
        <v>227.1246846</v>
      </c>
    </row>
    <row r="1037" ht="15.75" hidden="1" customHeight="1">
      <c r="A1037" s="15" t="s">
        <v>105</v>
      </c>
      <c r="B1037" s="11" t="s">
        <v>131</v>
      </c>
      <c r="C1037" s="15"/>
      <c r="D1037" s="16" t="s">
        <v>31</v>
      </c>
      <c r="E1037" s="17">
        <v>94.0</v>
      </c>
      <c r="F1037" s="18">
        <f>E1037* 0.901975683890578</f>
        <v>84.78571429</v>
      </c>
      <c r="G1037" s="18">
        <f>E1037* 0.0364741641337386</f>
        <v>3.428571429</v>
      </c>
      <c r="H1037" s="18">
        <f>E1037* 0.0615501519756839</f>
        <v>5.785714286</v>
      </c>
    </row>
    <row r="1038" ht="15.75" hidden="1" customHeight="1">
      <c r="A1038" s="15" t="s">
        <v>105</v>
      </c>
      <c r="B1038" s="11" t="s">
        <v>131</v>
      </c>
      <c r="C1038" s="15"/>
      <c r="D1038" s="16" t="s">
        <v>18</v>
      </c>
      <c r="E1038" s="17">
        <v>582.0</v>
      </c>
      <c r="F1038" s="18">
        <f>E1038* 0.932934264493959</f>
        <v>542.9677419</v>
      </c>
      <c r="G1038" s="18">
        <f>E1038* 0.0585300964416362</f>
        <v>34.06451613</v>
      </c>
      <c r="H1038" s="18">
        <f>E1038* 0.00853563906440528</f>
        <v>4.967741935</v>
      </c>
    </row>
    <row r="1039" ht="15.75" hidden="1" customHeight="1">
      <c r="A1039" s="15" t="s">
        <v>105</v>
      </c>
      <c r="B1039" s="11" t="s">
        <v>131</v>
      </c>
      <c r="C1039" s="15"/>
      <c r="D1039" s="16" t="s">
        <v>35</v>
      </c>
      <c r="E1039" s="17">
        <v>0.0</v>
      </c>
      <c r="F1039" s="20">
        <v>0.0</v>
      </c>
      <c r="G1039" s="20">
        <f>E1039</f>
        <v>0</v>
      </c>
      <c r="H1039" s="20">
        <v>0.0</v>
      </c>
    </row>
    <row r="1040" ht="15.75" hidden="1" customHeight="1">
      <c r="A1040" s="15" t="s">
        <v>105</v>
      </c>
      <c r="B1040" s="11" t="s">
        <v>131</v>
      </c>
      <c r="C1040" s="15"/>
      <c r="D1040" s="16" t="s">
        <v>19</v>
      </c>
      <c r="E1040" s="17">
        <v>337.0</v>
      </c>
      <c r="F1040" s="18">
        <f>E1040* 0.290681971640783</f>
        <v>97.95982444</v>
      </c>
      <c r="G1040" s="18">
        <f>E1040* 0.694125590817016</f>
        <v>233.9203241</v>
      </c>
      <c r="H1040" s="18">
        <f>E1040* 0.0151924375422012</f>
        <v>5.119851452</v>
      </c>
    </row>
    <row r="1041" ht="15.75" hidden="1" customHeight="1">
      <c r="A1041" s="15" t="s">
        <v>105</v>
      </c>
      <c r="B1041" s="11" t="s">
        <v>131</v>
      </c>
      <c r="C1041" s="15"/>
      <c r="D1041" s="16" t="s">
        <v>20</v>
      </c>
      <c r="E1041" s="23">
        <v>2360.0</v>
      </c>
      <c r="F1041" s="18">
        <f>E1041* 0.686268801552644</f>
        <v>1619.594372</v>
      </c>
      <c r="G1041" s="18">
        <f>E1041* 0.196991751576904</f>
        <v>464.9005337</v>
      </c>
      <c r="H1041" s="18">
        <f>E1041* 0.116642406598738</f>
        <v>275.2760796</v>
      </c>
    </row>
    <row r="1042" ht="15.75" hidden="1" customHeight="1">
      <c r="A1042" s="15" t="s">
        <v>105</v>
      </c>
      <c r="B1042" s="11" t="s">
        <v>131</v>
      </c>
      <c r="C1042" s="15"/>
      <c r="D1042" s="16" t="s">
        <v>21</v>
      </c>
      <c r="E1042" s="23">
        <v>5822.0</v>
      </c>
      <c r="F1042" s="18">
        <f>E1042* 0.999513766486355</f>
        <v>5819.169148</v>
      </c>
      <c r="G1042" s="18">
        <f>E1042* 0.0000243116756822464</f>
        <v>0.1415425758</v>
      </c>
      <c r="H1042" s="18">
        <f>E1042* 0.00034036345955145</f>
        <v>1.981596062</v>
      </c>
    </row>
    <row r="1043" ht="15.75" hidden="1" customHeight="1">
      <c r="A1043" s="15" t="s">
        <v>105</v>
      </c>
      <c r="B1043" s="11" t="s">
        <v>131</v>
      </c>
      <c r="C1043" s="15"/>
      <c r="D1043" s="16" t="s">
        <v>36</v>
      </c>
      <c r="E1043" s="17">
        <v>10.0</v>
      </c>
      <c r="F1043" s="20">
        <f>E1043</f>
        <v>10</v>
      </c>
      <c r="G1043" s="20">
        <v>0.0</v>
      </c>
      <c r="H1043" s="20">
        <v>0.0</v>
      </c>
    </row>
    <row r="1044" ht="15.75" hidden="1" customHeight="1">
      <c r="A1044" s="15" t="s">
        <v>105</v>
      </c>
      <c r="B1044" s="11" t="s">
        <v>131</v>
      </c>
      <c r="C1044" s="15"/>
      <c r="D1044" s="16" t="s">
        <v>37</v>
      </c>
      <c r="E1044" s="17">
        <v>8.0</v>
      </c>
      <c r="F1044" s="20">
        <v>0.0</v>
      </c>
      <c r="G1044" s="20">
        <f>E1044</f>
        <v>8</v>
      </c>
      <c r="H1044" s="20">
        <v>0.0</v>
      </c>
    </row>
    <row r="1045" ht="15.75" hidden="1" customHeight="1">
      <c r="A1045" s="15" t="s">
        <v>105</v>
      </c>
      <c r="B1045" s="11" t="s">
        <v>131</v>
      </c>
      <c r="C1045" s="15"/>
      <c r="D1045" s="16" t="s">
        <v>28</v>
      </c>
      <c r="E1045" s="23">
        <v>1256.0</v>
      </c>
      <c r="F1045" s="18">
        <f>E1045* 0.00094876660341556</f>
        <v>1.191650854</v>
      </c>
      <c r="G1045" s="18">
        <f>E1045* 0.999051233396584</f>
        <v>1254.808349</v>
      </c>
      <c r="H1045" s="18">
        <v>0.0</v>
      </c>
    </row>
    <row r="1046" ht="15.75" hidden="1" customHeight="1">
      <c r="A1046" s="15" t="s">
        <v>105</v>
      </c>
      <c r="B1046" s="11" t="s">
        <v>131</v>
      </c>
      <c r="C1046" s="15"/>
      <c r="D1046" s="16" t="s">
        <v>84</v>
      </c>
      <c r="E1046" s="17">
        <v>0.0</v>
      </c>
      <c r="F1046" s="20">
        <v>0.0</v>
      </c>
      <c r="G1046" s="20">
        <f>E1046</f>
        <v>0</v>
      </c>
      <c r="H1046" s="20">
        <v>0.0</v>
      </c>
    </row>
    <row r="1047" ht="15.75" hidden="1" customHeight="1">
      <c r="A1047" s="15" t="s">
        <v>105</v>
      </c>
      <c r="B1047" s="11" t="s">
        <v>131</v>
      </c>
      <c r="C1047" s="15"/>
      <c r="D1047" s="16" t="s">
        <v>12</v>
      </c>
      <c r="E1047" s="23">
        <v>10623.0</v>
      </c>
      <c r="F1047" s="18">
        <f>E1047* 0.843786808009423</f>
        <v>8963.547261</v>
      </c>
      <c r="G1047" s="18">
        <f>E1047* 0.0740675304279545</f>
        <v>786.8193757</v>
      </c>
      <c r="H1047" s="18">
        <f>E1047* 0.0820965842167256</f>
        <v>872.1120141</v>
      </c>
    </row>
    <row r="1048" ht="15.75" hidden="1" customHeight="1">
      <c r="A1048" s="15" t="s">
        <v>105</v>
      </c>
      <c r="B1048" s="8"/>
      <c r="C1048" s="8"/>
      <c r="D1048" s="9"/>
      <c r="E1048" s="19"/>
    </row>
    <row r="1049" ht="15.75" hidden="1" customHeight="1">
      <c r="A1049" s="15" t="s">
        <v>105</v>
      </c>
      <c r="B1049" s="11" t="s">
        <v>132</v>
      </c>
      <c r="C1049" s="12" t="str">
        <f>B1049&amp;"_"&amp;A1049</f>
        <v>Sacabamba_Cochabamba</v>
      </c>
      <c r="E1049" s="13">
        <v>5.0</v>
      </c>
      <c r="F1049" s="14">
        <f t="shared" ref="F1049:H1049" si="105">SUM(F1050:F1053)</f>
        <v>3.280750805</v>
      </c>
      <c r="G1049" s="14">
        <f t="shared" si="105"/>
        <v>1.619624153</v>
      </c>
      <c r="H1049" s="14">
        <f t="shared" si="105"/>
        <v>0.09902687529</v>
      </c>
    </row>
    <row r="1050" ht="15.75" hidden="1" customHeight="1">
      <c r="A1050" s="15" t="s">
        <v>105</v>
      </c>
      <c r="B1050" s="11" t="s">
        <v>132</v>
      </c>
      <c r="C1050" s="15"/>
      <c r="D1050" s="16" t="s">
        <v>11</v>
      </c>
      <c r="E1050" s="17">
        <v>1.0</v>
      </c>
      <c r="F1050" s="18">
        <f>E1050* 0.150611071171819</f>
        <v>0.1506110712</v>
      </c>
      <c r="G1050" s="18">
        <f>E1050* 0.847699496764917</f>
        <v>0.8476994968</v>
      </c>
      <c r="H1050" s="18">
        <f>E1050* 0.00136592379583034</f>
        <v>0.001365923796</v>
      </c>
    </row>
    <row r="1051" ht="15.75" hidden="1" customHeight="1">
      <c r="A1051" s="15" t="s">
        <v>105</v>
      </c>
      <c r="B1051" s="11" t="s">
        <v>132</v>
      </c>
      <c r="C1051" s="15"/>
      <c r="D1051" s="16" t="s">
        <v>17</v>
      </c>
      <c r="E1051" s="17">
        <v>1.0</v>
      </c>
      <c r="F1051" s="18">
        <f>E1051* 0.840430229624022</f>
        <v>0.8404302296</v>
      </c>
      <c r="G1051" s="18">
        <f>E1051* 0.0777504415846581</f>
        <v>0.07775044158</v>
      </c>
      <c r="H1051" s="18">
        <f>E1051* 0.0817877870300278</f>
        <v>0.08178778703</v>
      </c>
    </row>
    <row r="1052" ht="15.75" hidden="1" customHeight="1">
      <c r="A1052" s="15" t="s">
        <v>105</v>
      </c>
      <c r="B1052" s="11" t="s">
        <v>132</v>
      </c>
      <c r="C1052" s="15"/>
      <c r="D1052" s="16" t="s">
        <v>19</v>
      </c>
      <c r="E1052" s="17">
        <v>1.0</v>
      </c>
      <c r="F1052" s="18">
        <f>E1052* 0.290681971640783</f>
        <v>0.2906819716</v>
      </c>
      <c r="G1052" s="18">
        <f>E1052* 0.694125590817016</f>
        <v>0.6941255908</v>
      </c>
      <c r="H1052" s="18">
        <f>E1052* 0.0151924375422012</f>
        <v>0.01519243754</v>
      </c>
    </row>
    <row r="1053" ht="15.75" hidden="1" customHeight="1">
      <c r="A1053" s="15" t="s">
        <v>105</v>
      </c>
      <c r="B1053" s="11" t="s">
        <v>132</v>
      </c>
      <c r="C1053" s="15"/>
      <c r="D1053" s="16" t="s">
        <v>21</v>
      </c>
      <c r="E1053" s="17">
        <v>2.0</v>
      </c>
      <c r="F1053" s="18">
        <f>E1053* 0.999513766486355</f>
        <v>1.999027533</v>
      </c>
      <c r="G1053" s="18">
        <f>E1053* 0.0000243116756822464</f>
        <v>0.00004862335136</v>
      </c>
      <c r="H1053" s="18">
        <f>E1053* 0.00034036345955145</f>
        <v>0.0006807269191</v>
      </c>
    </row>
    <row r="1054" ht="15.75" hidden="1" customHeight="1">
      <c r="A1054" s="15" t="s">
        <v>105</v>
      </c>
      <c r="B1054" s="21"/>
      <c r="C1054" s="21"/>
      <c r="D1054" s="16"/>
      <c r="E1054" s="19"/>
    </row>
    <row r="1055" ht="15.75" hidden="1" customHeight="1">
      <c r="A1055" s="15" t="s">
        <v>105</v>
      </c>
      <c r="B1055" s="11" t="s">
        <v>133</v>
      </c>
      <c r="C1055" s="12" t="str">
        <f>B1055&amp;"_"&amp;A1055</f>
        <v>San Benito_Cochabamba</v>
      </c>
      <c r="E1055" s="13">
        <v>100.0</v>
      </c>
      <c r="F1055" s="14">
        <f t="shared" ref="F1055:H1055" si="106">SUM(F1056:F1065)</f>
        <v>74.04770385</v>
      </c>
      <c r="G1055" s="14">
        <f t="shared" si="106"/>
        <v>20.2355148</v>
      </c>
      <c r="H1055" s="14">
        <f t="shared" si="106"/>
        <v>5.706155999</v>
      </c>
    </row>
    <row r="1056" ht="15.75" hidden="1" customHeight="1">
      <c r="A1056" s="15" t="s">
        <v>105</v>
      </c>
      <c r="B1056" s="11" t="s">
        <v>133</v>
      </c>
      <c r="C1056" s="15"/>
      <c r="D1056" s="16" t="s">
        <v>14</v>
      </c>
      <c r="E1056" s="17">
        <v>0.0</v>
      </c>
      <c r="F1056" s="20">
        <v>0.0</v>
      </c>
      <c r="G1056" s="20">
        <f>E1056</f>
        <v>0</v>
      </c>
      <c r="H1056" s="20">
        <v>0.0</v>
      </c>
    </row>
    <row r="1057" ht="15.75" hidden="1" customHeight="1">
      <c r="A1057" s="15" t="s">
        <v>105</v>
      </c>
      <c r="B1057" s="11" t="s">
        <v>133</v>
      </c>
      <c r="C1057" s="15"/>
      <c r="D1057" s="16" t="s">
        <v>15</v>
      </c>
      <c r="E1057" s="17">
        <v>22.0</v>
      </c>
      <c r="F1057" s="18">
        <f>E1057* 0.932775698199239</f>
        <v>20.52106536</v>
      </c>
      <c r="G1057" s="18">
        <f>E1057* 0.00808724987291465</f>
        <v>0.1779194972</v>
      </c>
      <c r="H1057" s="18">
        <f>E1057*0.0590600305004852</f>
        <v>1.299320671</v>
      </c>
    </row>
    <row r="1058" ht="15.75" hidden="1" customHeight="1">
      <c r="A1058" s="15" t="s">
        <v>105</v>
      </c>
      <c r="B1058" s="11" t="s">
        <v>133</v>
      </c>
      <c r="C1058" s="15"/>
      <c r="D1058" s="16" t="s">
        <v>11</v>
      </c>
      <c r="E1058" s="17">
        <v>17.0</v>
      </c>
      <c r="F1058" s="18">
        <f>E1058* 0.150611071171819</f>
        <v>2.56038821</v>
      </c>
      <c r="G1058" s="18">
        <f>E1058* 0.847699496764917</f>
        <v>14.41089145</v>
      </c>
      <c r="H1058" s="18">
        <f>E1058* 0.00136592379583034</f>
        <v>0.02322070453</v>
      </c>
    </row>
    <row r="1059" ht="15.75" hidden="1" customHeight="1">
      <c r="A1059" s="15" t="s">
        <v>105</v>
      </c>
      <c r="B1059" s="11" t="s">
        <v>133</v>
      </c>
      <c r="C1059" s="15"/>
      <c r="D1059" s="16" t="s">
        <v>17</v>
      </c>
      <c r="E1059" s="17">
        <v>23.0</v>
      </c>
      <c r="F1059" s="18">
        <f>E1059* 0.840430229624022</f>
        <v>19.32989528</v>
      </c>
      <c r="G1059" s="18">
        <f>E1059* 0.0777504415846581</f>
        <v>1.788260156</v>
      </c>
      <c r="H1059" s="18">
        <f>E1059* 0.0817877870300278</f>
        <v>1.881119102</v>
      </c>
    </row>
    <row r="1060" ht="15.75" hidden="1" customHeight="1">
      <c r="A1060" s="15" t="s">
        <v>105</v>
      </c>
      <c r="B1060" s="11" t="s">
        <v>133</v>
      </c>
      <c r="C1060" s="15"/>
      <c r="D1060" s="16" t="s">
        <v>31</v>
      </c>
      <c r="E1060" s="17">
        <v>2.0</v>
      </c>
      <c r="F1060" s="18">
        <f>E1060* 0.901975683890578</f>
        <v>1.803951368</v>
      </c>
      <c r="G1060" s="18">
        <f>E1060* 0.0364741641337386</f>
        <v>0.07294832827</v>
      </c>
      <c r="H1060" s="18">
        <f>E1060* 0.0615501519756839</f>
        <v>0.123100304</v>
      </c>
    </row>
    <row r="1061" ht="15.75" hidden="1" customHeight="1">
      <c r="A1061" s="15" t="s">
        <v>105</v>
      </c>
      <c r="B1061" s="11" t="s">
        <v>133</v>
      </c>
      <c r="C1061" s="15"/>
      <c r="D1061" s="16" t="s">
        <v>18</v>
      </c>
      <c r="E1061" s="17">
        <v>0.0</v>
      </c>
      <c r="F1061" s="18">
        <f>E1061* 0.932934264493959</f>
        <v>0</v>
      </c>
      <c r="G1061" s="18">
        <f>E1061* 0.0585300964416362</f>
        <v>0</v>
      </c>
      <c r="H1061" s="18">
        <f>E1061* 0.00853563906440528</f>
        <v>0</v>
      </c>
    </row>
    <row r="1062" ht="15.75" hidden="1" customHeight="1">
      <c r="A1062" s="15" t="s">
        <v>105</v>
      </c>
      <c r="B1062" s="11" t="s">
        <v>133</v>
      </c>
      <c r="C1062" s="15"/>
      <c r="D1062" s="16" t="s">
        <v>20</v>
      </c>
      <c r="E1062" s="17">
        <v>7.0</v>
      </c>
      <c r="F1062" s="18">
        <f>E1062* 0.686268801552644</f>
        <v>4.803881611</v>
      </c>
      <c r="G1062" s="18">
        <f>E1062* 0.196991751576904</f>
        <v>1.378942261</v>
      </c>
      <c r="H1062" s="18">
        <f>E1062* 0.116642406598738</f>
        <v>0.8164968462</v>
      </c>
    </row>
    <row r="1063" ht="15.75" hidden="1" customHeight="1">
      <c r="A1063" s="15" t="s">
        <v>105</v>
      </c>
      <c r="B1063" s="11" t="s">
        <v>133</v>
      </c>
      <c r="C1063" s="15"/>
      <c r="D1063" s="16" t="s">
        <v>21</v>
      </c>
      <c r="E1063" s="17">
        <v>9.0</v>
      </c>
      <c r="F1063" s="18">
        <f>E1063* 0.999513766486355</f>
        <v>8.995623898</v>
      </c>
      <c r="G1063" s="18">
        <f>E1063* 0.0000243116756822464</f>
        <v>0.0002188050811</v>
      </c>
      <c r="H1063" s="18">
        <f>E1063* 0.00034036345955145</f>
        <v>0.003063271136</v>
      </c>
    </row>
    <row r="1064" ht="15.75" hidden="1" customHeight="1">
      <c r="A1064" s="15" t="s">
        <v>105</v>
      </c>
      <c r="B1064" s="11" t="s">
        <v>133</v>
      </c>
      <c r="C1064" s="15"/>
      <c r="D1064" s="16" t="s">
        <v>28</v>
      </c>
      <c r="E1064" s="17">
        <v>1.0</v>
      </c>
      <c r="F1064" s="18">
        <f>E1064* 0.00094876660341556</f>
        <v>0.0009487666034</v>
      </c>
      <c r="G1064" s="18">
        <f>E1064* 0.999051233396584</f>
        <v>0.9990512334</v>
      </c>
      <c r="H1064" s="18">
        <v>0.0</v>
      </c>
    </row>
    <row r="1065" ht="15.75" hidden="1" customHeight="1">
      <c r="A1065" s="15" t="s">
        <v>105</v>
      </c>
      <c r="B1065" s="11" t="s">
        <v>133</v>
      </c>
      <c r="C1065" s="15"/>
      <c r="D1065" s="16" t="s">
        <v>12</v>
      </c>
      <c r="E1065" s="17">
        <v>19.0</v>
      </c>
      <c r="F1065" s="18">
        <f>E1065* 0.843786808009423</f>
        <v>16.03194935</v>
      </c>
      <c r="G1065" s="18">
        <f>E1065* 0.0740675304279545</f>
        <v>1.407283078</v>
      </c>
      <c r="H1065" s="18">
        <f>E1065* 0.0820965842167256</f>
        <v>1.5598351</v>
      </c>
    </row>
    <row r="1066" ht="15.75" hidden="1" customHeight="1">
      <c r="A1066" s="15" t="s">
        <v>105</v>
      </c>
      <c r="B1066" s="8"/>
      <c r="C1066" s="8"/>
      <c r="D1066" s="9"/>
      <c r="E1066" s="19"/>
    </row>
    <row r="1067" ht="15.75" hidden="1" customHeight="1">
      <c r="A1067" s="15" t="s">
        <v>105</v>
      </c>
      <c r="B1067" s="11" t="s">
        <v>134</v>
      </c>
      <c r="C1067" s="12" t="str">
        <f>B1067&amp;"_"&amp;A1067</f>
        <v>Santiváñez_Cochabamba</v>
      </c>
      <c r="E1067" s="13">
        <v>43.0</v>
      </c>
      <c r="F1067" s="14">
        <f t="shared" ref="F1067:H1067" si="107">SUM(F1068:F1078)</f>
        <v>28.99476409</v>
      </c>
      <c r="G1067" s="14">
        <f t="shared" si="107"/>
        <v>11.92794</v>
      </c>
      <c r="H1067" s="14">
        <f t="shared" si="107"/>
        <v>2.071585098</v>
      </c>
    </row>
    <row r="1068" ht="15.75" hidden="1" customHeight="1">
      <c r="A1068" s="15" t="s">
        <v>105</v>
      </c>
      <c r="B1068" s="11" t="s">
        <v>134</v>
      </c>
      <c r="C1068" s="15"/>
      <c r="D1068" s="16" t="s">
        <v>14</v>
      </c>
      <c r="E1068" s="17">
        <v>0.0</v>
      </c>
      <c r="F1068" s="20">
        <v>0.0</v>
      </c>
      <c r="G1068" s="20">
        <f>E1068</f>
        <v>0</v>
      </c>
      <c r="H1068" s="20">
        <v>0.0</v>
      </c>
    </row>
    <row r="1069" ht="15.75" hidden="1" customHeight="1">
      <c r="A1069" s="15" t="s">
        <v>105</v>
      </c>
      <c r="B1069" s="11" t="s">
        <v>134</v>
      </c>
      <c r="C1069" s="15"/>
      <c r="D1069" s="16" t="s">
        <v>15</v>
      </c>
      <c r="E1069" s="17">
        <v>5.0</v>
      </c>
      <c r="F1069" s="18">
        <f>E1069* 0.932775698199239</f>
        <v>4.663878491</v>
      </c>
      <c r="G1069" s="18">
        <f>E1069* 0.00808724987291465</f>
        <v>0.04043624936</v>
      </c>
      <c r="H1069" s="18">
        <f>E1069*0.0590600305004852</f>
        <v>0.2953001525</v>
      </c>
    </row>
    <row r="1070" ht="15.75" hidden="1" customHeight="1">
      <c r="A1070" s="15" t="s">
        <v>105</v>
      </c>
      <c r="B1070" s="11" t="s">
        <v>134</v>
      </c>
      <c r="C1070" s="15"/>
      <c r="D1070" s="16" t="s">
        <v>11</v>
      </c>
      <c r="E1070" s="17">
        <v>11.0</v>
      </c>
      <c r="F1070" s="18">
        <f>E1070* 0.150611071171819</f>
        <v>1.656721783</v>
      </c>
      <c r="G1070" s="18">
        <f>E1070* 0.847699496764917</f>
        <v>9.324694464</v>
      </c>
      <c r="H1070" s="18">
        <f>E1070* 0.00136592379583034</f>
        <v>0.01502516175</v>
      </c>
    </row>
    <row r="1071" ht="15.75" hidden="1" customHeight="1">
      <c r="A1071" s="15" t="s">
        <v>105</v>
      </c>
      <c r="B1071" s="11" t="s">
        <v>134</v>
      </c>
      <c r="C1071" s="15"/>
      <c r="D1071" s="16" t="s">
        <v>17</v>
      </c>
      <c r="E1071" s="17">
        <v>5.0</v>
      </c>
      <c r="F1071" s="18">
        <f>E1071* 0.840430229624022</f>
        <v>4.202151148</v>
      </c>
      <c r="G1071" s="18">
        <f>E1071* 0.0777504415846581</f>
        <v>0.3887522079</v>
      </c>
      <c r="H1071" s="18">
        <f>E1071* 0.0817877870300278</f>
        <v>0.4089389352</v>
      </c>
    </row>
    <row r="1072" ht="15.75" hidden="1" customHeight="1">
      <c r="A1072" s="15" t="s">
        <v>105</v>
      </c>
      <c r="B1072" s="11" t="s">
        <v>134</v>
      </c>
      <c r="C1072" s="15"/>
      <c r="D1072" s="16" t="s">
        <v>31</v>
      </c>
      <c r="E1072" s="17">
        <v>0.0</v>
      </c>
      <c r="F1072" s="18">
        <f>E1072* 0.901975683890578</f>
        <v>0</v>
      </c>
      <c r="G1072" s="18">
        <f>E1072* 0.0364741641337386</f>
        <v>0</v>
      </c>
      <c r="H1072" s="18">
        <f>E1072* 0.0615501519756839</f>
        <v>0</v>
      </c>
    </row>
    <row r="1073" ht="15.75" hidden="1" customHeight="1">
      <c r="A1073" s="15" t="s">
        <v>105</v>
      </c>
      <c r="B1073" s="11" t="s">
        <v>134</v>
      </c>
      <c r="C1073" s="15"/>
      <c r="D1073" s="16" t="s">
        <v>18</v>
      </c>
      <c r="E1073" s="17">
        <v>0.0</v>
      </c>
      <c r="F1073" s="18">
        <f>E1073* 0.932934264493959</f>
        <v>0</v>
      </c>
      <c r="G1073" s="18">
        <f>E1073* 0.0585300964416362</f>
        <v>0</v>
      </c>
      <c r="H1073" s="18">
        <f>E1073* 0.00853563906440528</f>
        <v>0</v>
      </c>
    </row>
    <row r="1074" ht="15.75" hidden="1" customHeight="1">
      <c r="A1074" s="15" t="s">
        <v>105</v>
      </c>
      <c r="B1074" s="11" t="s">
        <v>134</v>
      </c>
      <c r="C1074" s="15"/>
      <c r="D1074" s="16" t="s">
        <v>19</v>
      </c>
      <c r="E1074" s="17">
        <v>1.0</v>
      </c>
      <c r="F1074" s="18">
        <f>E1074* 0.290681971640783</f>
        <v>0.2906819716</v>
      </c>
      <c r="G1074" s="18">
        <f>E1074* 0.694125590817016</f>
        <v>0.6941255908</v>
      </c>
      <c r="H1074" s="18">
        <f>E1074* 0.0151924375422012</f>
        <v>0.01519243754</v>
      </c>
    </row>
    <row r="1075" ht="15.75" hidden="1" customHeight="1">
      <c r="A1075" s="15" t="s">
        <v>105</v>
      </c>
      <c r="B1075" s="11" t="s">
        <v>134</v>
      </c>
      <c r="C1075" s="15"/>
      <c r="D1075" s="16" t="s">
        <v>20</v>
      </c>
      <c r="E1075" s="17">
        <v>3.0</v>
      </c>
      <c r="F1075" s="18">
        <f>E1075* 0.686268801552644</f>
        <v>2.058806405</v>
      </c>
      <c r="G1075" s="18">
        <f>E1075* 0.196991751576904</f>
        <v>0.5909752547</v>
      </c>
      <c r="H1075" s="18">
        <f>E1075* 0.116642406598738</f>
        <v>0.3499272198</v>
      </c>
    </row>
    <row r="1076" ht="15.75" hidden="1" customHeight="1">
      <c r="A1076" s="15" t="s">
        <v>105</v>
      </c>
      <c r="B1076" s="11" t="s">
        <v>134</v>
      </c>
      <c r="C1076" s="15"/>
      <c r="D1076" s="16" t="s">
        <v>21</v>
      </c>
      <c r="E1076" s="17">
        <v>6.0</v>
      </c>
      <c r="F1076" s="18">
        <f>E1076* 0.999513766486355</f>
        <v>5.997082599</v>
      </c>
      <c r="G1076" s="18">
        <f>E1076* 0.0000243116756822464</f>
        <v>0.0001458700541</v>
      </c>
      <c r="H1076" s="18">
        <f>E1076* 0.00034036345955145</f>
        <v>0.002042180757</v>
      </c>
    </row>
    <row r="1077" ht="15.75" hidden="1" customHeight="1">
      <c r="A1077" s="15" t="s">
        <v>105</v>
      </c>
      <c r="B1077" s="11" t="s">
        <v>134</v>
      </c>
      <c r="C1077" s="15"/>
      <c r="D1077" s="16" t="s">
        <v>28</v>
      </c>
      <c r="E1077" s="17">
        <v>0.0</v>
      </c>
      <c r="F1077" s="18">
        <f>E1077* 0.00094876660341556</f>
        <v>0</v>
      </c>
      <c r="G1077" s="18">
        <f>E1077* 0.999051233396584</f>
        <v>0</v>
      </c>
      <c r="H1077" s="18">
        <v>0.0</v>
      </c>
    </row>
    <row r="1078" ht="15.75" hidden="1" customHeight="1">
      <c r="A1078" s="15" t="s">
        <v>105</v>
      </c>
      <c r="B1078" s="11" t="s">
        <v>134</v>
      </c>
      <c r="C1078" s="15"/>
      <c r="D1078" s="16" t="s">
        <v>12</v>
      </c>
      <c r="E1078" s="17">
        <v>12.0</v>
      </c>
      <c r="F1078" s="18">
        <f>E1078* 0.843786808009423</f>
        <v>10.1254417</v>
      </c>
      <c r="G1078" s="18">
        <f>E1078* 0.0740675304279545</f>
        <v>0.8888103651</v>
      </c>
      <c r="H1078" s="18">
        <f>E1078* 0.0820965842167256</f>
        <v>0.9851590106</v>
      </c>
    </row>
    <row r="1079" ht="15.75" hidden="1" customHeight="1">
      <c r="A1079" s="15" t="s">
        <v>105</v>
      </c>
      <c r="B1079" s="8"/>
      <c r="C1079" s="8"/>
      <c r="D1079" s="9"/>
      <c r="E1079" s="19"/>
    </row>
    <row r="1080" ht="15.75" hidden="1" customHeight="1">
      <c r="A1080" s="15" t="s">
        <v>105</v>
      </c>
      <c r="B1080" s="11" t="s">
        <v>135</v>
      </c>
      <c r="C1080" s="12" t="str">
        <f>B1080&amp;"_"&amp;A1080</f>
        <v>Shinahota_Cochabamba</v>
      </c>
      <c r="E1080" s="13">
        <v>746.0</v>
      </c>
      <c r="F1080" s="14">
        <f t="shared" ref="F1080:H1080" si="108">SUM(F1081:F1093)</f>
        <v>681.9117179</v>
      </c>
      <c r="G1080" s="14">
        <f t="shared" si="108"/>
        <v>37.73464177</v>
      </c>
      <c r="H1080" s="14">
        <f t="shared" si="108"/>
        <v>26.28286148</v>
      </c>
    </row>
    <row r="1081" ht="15.75" hidden="1" customHeight="1">
      <c r="A1081" s="15" t="s">
        <v>105</v>
      </c>
      <c r="B1081" s="11" t="s">
        <v>135</v>
      </c>
      <c r="C1081" s="15"/>
      <c r="D1081" s="16" t="s">
        <v>14</v>
      </c>
      <c r="E1081" s="17">
        <v>0.0</v>
      </c>
      <c r="F1081" s="20">
        <v>0.0</v>
      </c>
      <c r="G1081" s="20">
        <f>E1081</f>
        <v>0</v>
      </c>
      <c r="H1081" s="20">
        <v>0.0</v>
      </c>
    </row>
    <row r="1082" ht="15.75" hidden="1" customHeight="1">
      <c r="A1082" s="15" t="s">
        <v>105</v>
      </c>
      <c r="B1082" s="11" t="s">
        <v>135</v>
      </c>
      <c r="C1082" s="15"/>
      <c r="D1082" s="16" t="s">
        <v>15</v>
      </c>
      <c r="E1082" s="17">
        <v>14.0</v>
      </c>
      <c r="F1082" s="18">
        <f>E1082* 0.932775698199239</f>
        <v>13.05885977</v>
      </c>
      <c r="G1082" s="18">
        <f>E1082* 0.00808724987291465</f>
        <v>0.1132214982</v>
      </c>
      <c r="H1082" s="18">
        <f>E1082*0.0590600305004852</f>
        <v>0.826840427</v>
      </c>
    </row>
    <row r="1083" ht="15.75" hidden="1" customHeight="1">
      <c r="A1083" s="15" t="s">
        <v>105</v>
      </c>
      <c r="B1083" s="11" t="s">
        <v>135</v>
      </c>
      <c r="C1083" s="15"/>
      <c r="D1083" s="16" t="s">
        <v>16</v>
      </c>
      <c r="E1083" s="17">
        <v>0.0</v>
      </c>
      <c r="F1083" s="18">
        <f>E1083* 0.0803212851405623</f>
        <v>0</v>
      </c>
      <c r="G1083" s="18">
        <f>E1083* 0.913367756741251</f>
        <v>0</v>
      </c>
      <c r="H1083" s="18">
        <f>E1083* 0.0057372346528973</f>
        <v>0</v>
      </c>
    </row>
    <row r="1084" ht="15.75" hidden="1" customHeight="1">
      <c r="A1084" s="15" t="s">
        <v>105</v>
      </c>
      <c r="B1084" s="11" t="s">
        <v>135</v>
      </c>
      <c r="C1084" s="15"/>
      <c r="D1084" s="16" t="s">
        <v>11</v>
      </c>
      <c r="E1084" s="17">
        <v>17.0</v>
      </c>
      <c r="F1084" s="18">
        <f>E1084* 0.150611071171819</f>
        <v>2.56038821</v>
      </c>
      <c r="G1084" s="18">
        <f>E1084* 0.847699496764917</f>
        <v>14.41089145</v>
      </c>
      <c r="H1084" s="18">
        <f>E1084* 0.00136592379583034</f>
        <v>0.02322070453</v>
      </c>
    </row>
    <row r="1085" ht="15.75" hidden="1" customHeight="1">
      <c r="A1085" s="15" t="s">
        <v>105</v>
      </c>
      <c r="B1085" s="11" t="s">
        <v>135</v>
      </c>
      <c r="C1085" s="15"/>
      <c r="D1085" s="16" t="s">
        <v>17</v>
      </c>
      <c r="E1085" s="17">
        <v>11.0</v>
      </c>
      <c r="F1085" s="18">
        <f>E1085* 0.840430229624022</f>
        <v>9.244732526</v>
      </c>
      <c r="G1085" s="18">
        <f>E1085* 0.0777504415846581</f>
        <v>0.8552548574</v>
      </c>
      <c r="H1085" s="18">
        <f>E1085* 0.0817877870300278</f>
        <v>0.8996656573</v>
      </c>
    </row>
    <row r="1086" ht="15.75" hidden="1" customHeight="1">
      <c r="A1086" s="15" t="s">
        <v>105</v>
      </c>
      <c r="B1086" s="11" t="s">
        <v>135</v>
      </c>
      <c r="C1086" s="15"/>
      <c r="D1086" s="16" t="s">
        <v>31</v>
      </c>
      <c r="E1086" s="17">
        <v>0.0</v>
      </c>
      <c r="F1086" s="18">
        <f>E1086* 0.901975683890578</f>
        <v>0</v>
      </c>
      <c r="G1086" s="18">
        <f>E1086* 0.0364741641337386</f>
        <v>0</v>
      </c>
      <c r="H1086" s="18">
        <f>E1086* 0.0615501519756839</f>
        <v>0</v>
      </c>
    </row>
    <row r="1087" ht="15.75" hidden="1" customHeight="1">
      <c r="A1087" s="15" t="s">
        <v>105</v>
      </c>
      <c r="B1087" s="11" t="s">
        <v>135</v>
      </c>
      <c r="C1087" s="15"/>
      <c r="D1087" s="16" t="s">
        <v>18</v>
      </c>
      <c r="E1087" s="17">
        <v>3.0</v>
      </c>
      <c r="F1087" s="18">
        <f>E1087* 0.932934264493959</f>
        <v>2.798802793</v>
      </c>
      <c r="G1087" s="18">
        <f>E1087* 0.0585300964416362</f>
        <v>0.1755902893</v>
      </c>
      <c r="H1087" s="18">
        <f>E1087* 0.00853563906440528</f>
        <v>0.02560691719</v>
      </c>
    </row>
    <row r="1088" ht="15.75" hidden="1" customHeight="1">
      <c r="A1088" s="15" t="s">
        <v>105</v>
      </c>
      <c r="B1088" s="11" t="s">
        <v>135</v>
      </c>
      <c r="C1088" s="15"/>
      <c r="D1088" s="16" t="s">
        <v>19</v>
      </c>
      <c r="E1088" s="17">
        <v>0.0</v>
      </c>
      <c r="F1088" s="18">
        <f>E1088* 0.290681971640783</f>
        <v>0</v>
      </c>
      <c r="G1088" s="18">
        <f>E1088* 0.694125590817016</f>
        <v>0</v>
      </c>
      <c r="H1088" s="18">
        <f>E1088* 0.0151924375422012</f>
        <v>0</v>
      </c>
    </row>
    <row r="1089" ht="15.75" hidden="1" customHeight="1">
      <c r="A1089" s="15" t="s">
        <v>105</v>
      </c>
      <c r="B1089" s="11" t="s">
        <v>135</v>
      </c>
      <c r="C1089" s="15"/>
      <c r="D1089" s="16" t="s">
        <v>20</v>
      </c>
      <c r="E1089" s="17">
        <v>2.0</v>
      </c>
      <c r="F1089" s="18">
        <f>E1089* 0.686268801552644</f>
        <v>1.372537603</v>
      </c>
      <c r="G1089" s="18">
        <f>E1089* 0.196991751576904</f>
        <v>0.3939835032</v>
      </c>
      <c r="H1089" s="18">
        <f>E1089* 0.116642406598738</f>
        <v>0.2332848132</v>
      </c>
    </row>
    <row r="1090" ht="15.75" hidden="1" customHeight="1">
      <c r="A1090" s="15" t="s">
        <v>105</v>
      </c>
      <c r="B1090" s="11" t="s">
        <v>135</v>
      </c>
      <c r="C1090" s="15"/>
      <c r="D1090" s="16" t="s">
        <v>21</v>
      </c>
      <c r="E1090" s="17">
        <v>405.0</v>
      </c>
      <c r="F1090" s="18">
        <f>E1090* 0.999513766486355</f>
        <v>404.8030754</v>
      </c>
      <c r="G1090" s="18">
        <f>E1090* 0.0000243116756822464</f>
        <v>0.009846228651</v>
      </c>
      <c r="H1090" s="18">
        <f>E1090* 0.00034036345955145</f>
        <v>0.1378472011</v>
      </c>
    </row>
    <row r="1091" ht="15.75" hidden="1" customHeight="1">
      <c r="A1091" s="15" t="s">
        <v>105</v>
      </c>
      <c r="B1091" s="11" t="s">
        <v>135</v>
      </c>
      <c r="C1091" s="15"/>
      <c r="D1091" s="16" t="s">
        <v>36</v>
      </c>
      <c r="E1091" s="17">
        <v>0.0</v>
      </c>
      <c r="F1091" s="20">
        <f>E1091</f>
        <v>0</v>
      </c>
      <c r="G1091" s="20">
        <v>0.0</v>
      </c>
      <c r="H1091" s="20">
        <v>0.0</v>
      </c>
    </row>
    <row r="1092" ht="15.75" hidden="1" customHeight="1">
      <c r="A1092" s="15" t="s">
        <v>105</v>
      </c>
      <c r="B1092" s="11" t="s">
        <v>135</v>
      </c>
      <c r="C1092" s="15"/>
      <c r="D1092" s="16" t="s">
        <v>28</v>
      </c>
      <c r="E1092" s="17">
        <v>0.0</v>
      </c>
      <c r="F1092" s="18">
        <f>E1092* 0.00094876660341556</f>
        <v>0</v>
      </c>
      <c r="G1092" s="18">
        <f>E1092* 0.999051233396584</f>
        <v>0</v>
      </c>
      <c r="H1092" s="18">
        <v>0.0</v>
      </c>
    </row>
    <row r="1093" ht="15.75" hidden="1" customHeight="1">
      <c r="A1093" s="15" t="s">
        <v>105</v>
      </c>
      <c r="B1093" s="11" t="s">
        <v>135</v>
      </c>
      <c r="C1093" s="15"/>
      <c r="D1093" s="16" t="s">
        <v>12</v>
      </c>
      <c r="E1093" s="17">
        <v>294.0</v>
      </c>
      <c r="F1093" s="18">
        <f>E1093* 0.843786808009423</f>
        <v>248.0733216</v>
      </c>
      <c r="G1093" s="18">
        <f>E1093* 0.0740675304279545</f>
        <v>21.77585395</v>
      </c>
      <c r="H1093" s="18">
        <f>E1093* 0.0820965842167256</f>
        <v>24.13639576</v>
      </c>
    </row>
    <row r="1094" ht="15.75" hidden="1" customHeight="1">
      <c r="A1094" s="15" t="s">
        <v>105</v>
      </c>
      <c r="B1094" s="8"/>
      <c r="C1094" s="8"/>
      <c r="D1094" s="9"/>
      <c r="E1094" s="19"/>
    </row>
    <row r="1095" ht="15.75" hidden="1" customHeight="1">
      <c r="A1095" s="15" t="s">
        <v>105</v>
      </c>
      <c r="B1095" s="11" t="s">
        <v>136</v>
      </c>
      <c r="C1095" s="12" t="str">
        <f>B1095&amp;"_"&amp;A1095</f>
        <v>Sipe Sipe_Cochabamba</v>
      </c>
      <c r="E1095" s="13">
        <v>198.0</v>
      </c>
      <c r="F1095" s="14">
        <f t="shared" ref="F1095:H1095" si="109">SUM(F1096:F1108)</f>
        <v>107.390738</v>
      </c>
      <c r="G1095" s="14">
        <f t="shared" si="109"/>
        <v>80.36077251</v>
      </c>
      <c r="H1095" s="14">
        <f t="shared" si="109"/>
        <v>10.23197014</v>
      </c>
    </row>
    <row r="1096" ht="15.75" hidden="1" customHeight="1">
      <c r="A1096" s="15" t="s">
        <v>105</v>
      </c>
      <c r="B1096" s="11" t="s">
        <v>136</v>
      </c>
      <c r="C1096" s="15"/>
      <c r="D1096" s="16" t="s">
        <v>14</v>
      </c>
      <c r="E1096" s="17">
        <v>0.0</v>
      </c>
      <c r="F1096" s="20">
        <v>0.0</v>
      </c>
      <c r="G1096" s="20">
        <f>E1096</f>
        <v>0</v>
      </c>
      <c r="H1096" s="20">
        <v>0.0</v>
      </c>
    </row>
    <row r="1097" ht="15.75" hidden="1" customHeight="1">
      <c r="A1097" s="15" t="s">
        <v>105</v>
      </c>
      <c r="B1097" s="11" t="s">
        <v>136</v>
      </c>
      <c r="C1097" s="15"/>
      <c r="D1097" s="16" t="s">
        <v>15</v>
      </c>
      <c r="E1097" s="17">
        <v>11.0</v>
      </c>
      <c r="F1097" s="18">
        <f>E1097* 0.932775698199239</f>
        <v>10.26053268</v>
      </c>
      <c r="G1097" s="18">
        <f>E1097* 0.00808724987291465</f>
        <v>0.0889597486</v>
      </c>
      <c r="H1097" s="18">
        <f>E1097*0.0590600305004852</f>
        <v>0.6496603355</v>
      </c>
    </row>
    <row r="1098" ht="15.75" hidden="1" customHeight="1">
      <c r="A1098" s="15" t="s">
        <v>105</v>
      </c>
      <c r="B1098" s="11" t="s">
        <v>136</v>
      </c>
      <c r="C1098" s="15"/>
      <c r="D1098" s="16" t="s">
        <v>16</v>
      </c>
      <c r="E1098" s="17">
        <v>0.0</v>
      </c>
      <c r="F1098" s="18">
        <f>E1098* 0.0803212851405623</f>
        <v>0</v>
      </c>
      <c r="G1098" s="18">
        <f>E1098* 0.913367756741251</f>
        <v>0</v>
      </c>
      <c r="H1098" s="18">
        <f>E1098* 0.0057372346528973</f>
        <v>0</v>
      </c>
    </row>
    <row r="1099" ht="15.75" hidden="1" customHeight="1">
      <c r="A1099" s="15" t="s">
        <v>105</v>
      </c>
      <c r="B1099" s="11" t="s">
        <v>136</v>
      </c>
      <c r="C1099" s="15"/>
      <c r="D1099" s="16" t="s">
        <v>11</v>
      </c>
      <c r="E1099" s="17">
        <v>30.0</v>
      </c>
      <c r="F1099" s="18">
        <f>E1099* 0.150611071171819</f>
        <v>4.518332135</v>
      </c>
      <c r="G1099" s="18">
        <f>E1099* 0.847699496764917</f>
        <v>25.4309849</v>
      </c>
      <c r="H1099" s="18">
        <f>E1099* 0.00136592379583034</f>
        <v>0.04097771387</v>
      </c>
    </row>
    <row r="1100" ht="15.75" hidden="1" customHeight="1">
      <c r="A1100" s="15" t="s">
        <v>105</v>
      </c>
      <c r="B1100" s="11" t="s">
        <v>136</v>
      </c>
      <c r="C1100" s="15"/>
      <c r="D1100" s="16" t="s">
        <v>17</v>
      </c>
      <c r="E1100" s="17">
        <v>20.0</v>
      </c>
      <c r="F1100" s="18">
        <f>E1100* 0.840430229624022</f>
        <v>16.80860459</v>
      </c>
      <c r="G1100" s="18">
        <f>E1100* 0.0777504415846581</f>
        <v>1.555008832</v>
      </c>
      <c r="H1100" s="18">
        <f>E1100* 0.0817877870300278</f>
        <v>1.635755741</v>
      </c>
    </row>
    <row r="1101" ht="15.75" hidden="1" customHeight="1">
      <c r="A1101" s="15" t="s">
        <v>105</v>
      </c>
      <c r="B1101" s="11" t="s">
        <v>136</v>
      </c>
      <c r="C1101" s="15"/>
      <c r="D1101" s="16" t="s">
        <v>31</v>
      </c>
      <c r="E1101" s="17">
        <v>1.0</v>
      </c>
      <c r="F1101" s="18">
        <f>E1101* 0.901975683890578</f>
        <v>0.9019756839</v>
      </c>
      <c r="G1101" s="18">
        <f>E1101* 0.0364741641337386</f>
        <v>0.03647416413</v>
      </c>
      <c r="H1101" s="18">
        <f>E1101* 0.0615501519756839</f>
        <v>0.06155015198</v>
      </c>
    </row>
    <row r="1102" ht="15.75" hidden="1" customHeight="1">
      <c r="A1102" s="15" t="s">
        <v>105</v>
      </c>
      <c r="B1102" s="11" t="s">
        <v>136</v>
      </c>
      <c r="C1102" s="15"/>
      <c r="D1102" s="16" t="s">
        <v>18</v>
      </c>
      <c r="E1102" s="17">
        <v>6.0</v>
      </c>
      <c r="F1102" s="18">
        <f>E1102* 0.932934264493959</f>
        <v>5.597605587</v>
      </c>
      <c r="G1102" s="18">
        <f>E1102* 0.0585300964416362</f>
        <v>0.3511805786</v>
      </c>
      <c r="H1102" s="18">
        <f>E1102* 0.00853563906440528</f>
        <v>0.05121383439</v>
      </c>
    </row>
    <row r="1103" ht="15.75" hidden="1" customHeight="1">
      <c r="A1103" s="15" t="s">
        <v>105</v>
      </c>
      <c r="B1103" s="11" t="s">
        <v>136</v>
      </c>
      <c r="C1103" s="15"/>
      <c r="D1103" s="16" t="s">
        <v>19</v>
      </c>
      <c r="E1103" s="17">
        <v>38.0</v>
      </c>
      <c r="F1103" s="18">
        <f>E1103* 0.290681971640783</f>
        <v>11.04591492</v>
      </c>
      <c r="G1103" s="18">
        <f>E1103* 0.694125590817016</f>
        <v>26.37677245</v>
      </c>
      <c r="H1103" s="18">
        <f>E1103* 0.0151924375422012</f>
        <v>0.5773126266</v>
      </c>
    </row>
    <row r="1104" ht="15.75" hidden="1" customHeight="1">
      <c r="A1104" s="15" t="s">
        <v>105</v>
      </c>
      <c r="B1104" s="11" t="s">
        <v>136</v>
      </c>
      <c r="C1104" s="15"/>
      <c r="D1104" s="16" t="s">
        <v>20</v>
      </c>
      <c r="E1104" s="17">
        <v>33.0</v>
      </c>
      <c r="F1104" s="18">
        <f>E1104* 0.686268801552644</f>
        <v>22.64687045</v>
      </c>
      <c r="G1104" s="18">
        <f>E1104* 0.196991751576904</f>
        <v>6.500727802</v>
      </c>
      <c r="H1104" s="18">
        <f>E1104* 0.116642406598738</f>
        <v>3.849199418</v>
      </c>
    </row>
    <row r="1105" ht="15.75" hidden="1" customHeight="1">
      <c r="A1105" s="15" t="s">
        <v>105</v>
      </c>
      <c r="B1105" s="11" t="s">
        <v>136</v>
      </c>
      <c r="C1105" s="15"/>
      <c r="D1105" s="16" t="s">
        <v>21</v>
      </c>
      <c r="E1105" s="17">
        <v>1.0</v>
      </c>
      <c r="F1105" s="18">
        <f>E1105* 0.999513766486355</f>
        <v>0.9995137665</v>
      </c>
      <c r="G1105" s="18">
        <f>E1105* 0.0000243116756822464</f>
        <v>0.00002431167568</v>
      </c>
      <c r="H1105" s="18">
        <f>E1105* 0.00034036345955145</f>
        <v>0.0003403634596</v>
      </c>
    </row>
    <row r="1106" ht="15.75" hidden="1" customHeight="1">
      <c r="A1106" s="15" t="s">
        <v>105</v>
      </c>
      <c r="B1106" s="11" t="s">
        <v>136</v>
      </c>
      <c r="C1106" s="15"/>
      <c r="D1106" s="16" t="s">
        <v>36</v>
      </c>
      <c r="E1106" s="17">
        <v>0.0</v>
      </c>
      <c r="F1106" s="20">
        <f>E1106</f>
        <v>0</v>
      </c>
      <c r="G1106" s="20">
        <v>0.0</v>
      </c>
      <c r="H1106" s="20">
        <v>0.0</v>
      </c>
    </row>
    <row r="1107" ht="15.75" hidden="1" customHeight="1">
      <c r="A1107" s="15" t="s">
        <v>105</v>
      </c>
      <c r="B1107" s="11" t="s">
        <v>136</v>
      </c>
      <c r="C1107" s="15"/>
      <c r="D1107" s="16" t="s">
        <v>28</v>
      </c>
      <c r="E1107" s="17">
        <v>17.0</v>
      </c>
      <c r="F1107" s="18">
        <f>E1107* 0.00094876660341556</f>
        <v>0.01612903226</v>
      </c>
      <c r="G1107" s="18">
        <f>E1107* 0.999051233396584</f>
        <v>16.98387097</v>
      </c>
      <c r="H1107" s="18">
        <v>0.0</v>
      </c>
    </row>
    <row r="1108" ht="15.75" hidden="1" customHeight="1">
      <c r="A1108" s="15" t="s">
        <v>105</v>
      </c>
      <c r="B1108" s="11" t="s">
        <v>136</v>
      </c>
      <c r="C1108" s="15"/>
      <c r="D1108" s="16" t="s">
        <v>12</v>
      </c>
      <c r="E1108" s="17">
        <v>41.0</v>
      </c>
      <c r="F1108" s="18">
        <f>E1108* 0.843786808009423</f>
        <v>34.59525913</v>
      </c>
      <c r="G1108" s="18">
        <f>E1108* 0.0740675304279545</f>
        <v>3.036768748</v>
      </c>
      <c r="H1108" s="18">
        <f>E1108* 0.0820965842167256</f>
        <v>3.365959953</v>
      </c>
    </row>
    <row r="1109" ht="15.75" hidden="1" customHeight="1">
      <c r="A1109" s="15" t="s">
        <v>105</v>
      </c>
      <c r="B1109" s="8"/>
      <c r="C1109" s="8"/>
      <c r="D1109" s="9"/>
      <c r="E1109" s="19"/>
    </row>
    <row r="1110" ht="15.75" hidden="1" customHeight="1">
      <c r="A1110" s="15" t="s">
        <v>105</v>
      </c>
      <c r="B1110" s="11" t="s">
        <v>137</v>
      </c>
      <c r="C1110" s="12" t="str">
        <f>B1110&amp;"_"&amp;A1110</f>
        <v>Tacopaya_Cochabamba</v>
      </c>
      <c r="E1110" s="13">
        <v>9.0</v>
      </c>
      <c r="F1110" s="14">
        <f t="shared" ref="F1110:H1110" si="110">SUM(F1111:F1120)</f>
        <v>7.990994245</v>
      </c>
      <c r="G1110" s="14">
        <f t="shared" si="110"/>
        <v>0.9219372089</v>
      </c>
      <c r="H1110" s="14">
        <f t="shared" si="110"/>
        <v>0.08584505223</v>
      </c>
    </row>
    <row r="1111" ht="15.75" hidden="1" customHeight="1">
      <c r="A1111" s="15" t="s">
        <v>105</v>
      </c>
      <c r="B1111" s="11" t="s">
        <v>137</v>
      </c>
      <c r="C1111" s="15"/>
      <c r="D1111" s="16" t="s">
        <v>15</v>
      </c>
      <c r="E1111" s="17">
        <v>0.0</v>
      </c>
      <c r="F1111" s="18">
        <f>E1111* 0.932775698199239</f>
        <v>0</v>
      </c>
      <c r="G1111" s="18">
        <f>E1111* 0.00808724987291465</f>
        <v>0</v>
      </c>
      <c r="H1111" s="18">
        <f>E1111*0.0590600305004852</f>
        <v>0</v>
      </c>
    </row>
    <row r="1112" ht="15.75" hidden="1" customHeight="1">
      <c r="A1112" s="15" t="s">
        <v>105</v>
      </c>
      <c r="B1112" s="11" t="s">
        <v>137</v>
      </c>
      <c r="C1112" s="15"/>
      <c r="D1112" s="16" t="s">
        <v>16</v>
      </c>
      <c r="E1112" s="17">
        <v>0.0</v>
      </c>
      <c r="F1112" s="18">
        <f>E1112* 0.0803212851405623</f>
        <v>0</v>
      </c>
      <c r="G1112" s="18">
        <f>E1112* 0.913367756741251</f>
        <v>0</v>
      </c>
      <c r="H1112" s="18">
        <f>E1112* 0.0057372346528973</f>
        <v>0</v>
      </c>
    </row>
    <row r="1113" ht="15.75" hidden="1" customHeight="1">
      <c r="A1113" s="15" t="s">
        <v>105</v>
      </c>
      <c r="B1113" s="11" t="s">
        <v>137</v>
      </c>
      <c r="C1113" s="15"/>
      <c r="D1113" s="16" t="s">
        <v>11</v>
      </c>
      <c r="E1113" s="17">
        <v>1.0</v>
      </c>
      <c r="F1113" s="18">
        <f>E1113* 0.150611071171819</f>
        <v>0.1506110712</v>
      </c>
      <c r="G1113" s="18">
        <f>E1113* 0.847699496764917</f>
        <v>0.8476994968</v>
      </c>
      <c r="H1113" s="18">
        <f>E1113* 0.00136592379583034</f>
        <v>0.001365923796</v>
      </c>
    </row>
    <row r="1114" ht="15.75" hidden="1" customHeight="1">
      <c r="A1114" s="15" t="s">
        <v>105</v>
      </c>
      <c r="B1114" s="11" t="s">
        <v>137</v>
      </c>
      <c r="C1114" s="15"/>
      <c r="D1114" s="16" t="s">
        <v>17</v>
      </c>
      <c r="E1114" s="17">
        <v>0.0</v>
      </c>
      <c r="F1114" s="18">
        <f>E1114* 0.840430229624022</f>
        <v>0</v>
      </c>
      <c r="G1114" s="18">
        <f>E1114* 0.0777504415846581</f>
        <v>0</v>
      </c>
      <c r="H1114" s="18">
        <f>E1114* 0.0817877870300278</f>
        <v>0</v>
      </c>
    </row>
    <row r="1115" ht="15.75" hidden="1" customHeight="1">
      <c r="A1115" s="15" t="s">
        <v>105</v>
      </c>
      <c r="B1115" s="11" t="s">
        <v>137</v>
      </c>
      <c r="C1115" s="15"/>
      <c r="D1115" s="16" t="s">
        <v>18</v>
      </c>
      <c r="E1115" s="17">
        <v>0.0</v>
      </c>
      <c r="F1115" s="18">
        <f>E1115* 0.932934264493959</f>
        <v>0</v>
      </c>
      <c r="G1115" s="18">
        <f>E1115* 0.0585300964416362</f>
        <v>0</v>
      </c>
      <c r="H1115" s="18">
        <f>E1115* 0.00853563906440528</f>
        <v>0</v>
      </c>
    </row>
    <row r="1116" ht="15.75" hidden="1" customHeight="1">
      <c r="A1116" s="15" t="s">
        <v>105</v>
      </c>
      <c r="B1116" s="11" t="s">
        <v>137</v>
      </c>
      <c r="C1116" s="15"/>
      <c r="D1116" s="16" t="s">
        <v>19</v>
      </c>
      <c r="E1116" s="17">
        <v>0.0</v>
      </c>
      <c r="F1116" s="18">
        <f>E1116* 0.290681971640783</f>
        <v>0</v>
      </c>
      <c r="G1116" s="18">
        <f>E1116* 0.694125590817016</f>
        <v>0</v>
      </c>
      <c r="H1116" s="18">
        <f>E1116* 0.0151924375422012</f>
        <v>0</v>
      </c>
    </row>
    <row r="1117" ht="15.75" hidden="1" customHeight="1">
      <c r="A1117" s="15" t="s">
        <v>105</v>
      </c>
      <c r="B1117" s="11" t="s">
        <v>137</v>
      </c>
      <c r="C1117" s="15"/>
      <c r="D1117" s="16" t="s">
        <v>20</v>
      </c>
      <c r="E1117" s="17">
        <v>0.0</v>
      </c>
      <c r="F1117" s="18">
        <f>E1117* 0.686268801552644</f>
        <v>0</v>
      </c>
      <c r="G1117" s="18">
        <f>E1117* 0.196991751576904</f>
        <v>0</v>
      </c>
      <c r="H1117" s="18">
        <f>E1117* 0.116642406598738</f>
        <v>0</v>
      </c>
    </row>
    <row r="1118" ht="15.75" hidden="1" customHeight="1">
      <c r="A1118" s="15" t="s">
        <v>105</v>
      </c>
      <c r="B1118" s="11" t="s">
        <v>137</v>
      </c>
      <c r="C1118" s="15"/>
      <c r="D1118" s="16" t="s">
        <v>21</v>
      </c>
      <c r="E1118" s="17">
        <v>7.0</v>
      </c>
      <c r="F1118" s="18">
        <f>E1118* 0.999513766486355</f>
        <v>6.996596365</v>
      </c>
      <c r="G1118" s="18">
        <f>E1118* 0.0000243116756822464</f>
        <v>0.0001701817298</v>
      </c>
      <c r="H1118" s="18">
        <f>E1118* 0.00034036345955145</f>
        <v>0.002382544217</v>
      </c>
    </row>
    <row r="1119" ht="15.75" hidden="1" customHeight="1">
      <c r="A1119" s="15" t="s">
        <v>105</v>
      </c>
      <c r="B1119" s="11" t="s">
        <v>137</v>
      </c>
      <c r="C1119" s="15"/>
      <c r="D1119" s="16" t="s">
        <v>28</v>
      </c>
      <c r="E1119" s="17">
        <v>0.0</v>
      </c>
      <c r="F1119" s="18">
        <f>E1119* 0.00094876660341556</f>
        <v>0</v>
      </c>
      <c r="G1119" s="18">
        <f>E1119* 0.999051233396584</f>
        <v>0</v>
      </c>
      <c r="H1119" s="18">
        <v>0.0</v>
      </c>
    </row>
    <row r="1120" ht="15.75" hidden="1" customHeight="1">
      <c r="A1120" s="15" t="s">
        <v>105</v>
      </c>
      <c r="B1120" s="11" t="s">
        <v>137</v>
      </c>
      <c r="C1120" s="15"/>
      <c r="D1120" s="16" t="s">
        <v>12</v>
      </c>
      <c r="E1120" s="17">
        <v>1.0</v>
      </c>
      <c r="F1120" s="18">
        <f>E1120* 0.843786808009423</f>
        <v>0.843786808</v>
      </c>
      <c r="G1120" s="18">
        <f>E1120* 0.0740675304279545</f>
        <v>0.07406753043</v>
      </c>
      <c r="H1120" s="18">
        <f>E1120* 0.0820965842167256</f>
        <v>0.08209658422</v>
      </c>
    </row>
    <row r="1121" ht="15.75" hidden="1" customHeight="1">
      <c r="A1121" s="15" t="s">
        <v>105</v>
      </c>
      <c r="B1121" s="8"/>
      <c r="C1121" s="8"/>
      <c r="D1121" s="9"/>
      <c r="E1121" s="19"/>
    </row>
    <row r="1122" ht="15.75" hidden="1" customHeight="1">
      <c r="A1122" s="15" t="s">
        <v>105</v>
      </c>
      <c r="B1122" s="11" t="s">
        <v>138</v>
      </c>
      <c r="C1122" s="12" t="str">
        <f>B1122&amp;"_"&amp;A1122</f>
        <v>Tapacarí_Cochabamba</v>
      </c>
      <c r="E1122" s="13">
        <v>13.0</v>
      </c>
      <c r="F1122" s="14">
        <f t="shared" ref="F1122:H1122" si="111">SUM(F1123:F1133)</f>
        <v>10.82533612</v>
      </c>
      <c r="G1122" s="14">
        <f t="shared" si="111"/>
        <v>1.921478989</v>
      </c>
      <c r="H1122" s="14">
        <f t="shared" si="111"/>
        <v>0.2514357107</v>
      </c>
    </row>
    <row r="1123" ht="15.75" hidden="1" customHeight="1">
      <c r="A1123" s="15" t="s">
        <v>105</v>
      </c>
      <c r="B1123" s="11" t="s">
        <v>138</v>
      </c>
      <c r="C1123" s="15"/>
      <c r="D1123" s="16" t="s">
        <v>14</v>
      </c>
      <c r="E1123" s="17">
        <v>0.0</v>
      </c>
      <c r="F1123" s="20">
        <v>0.0</v>
      </c>
      <c r="G1123" s="20">
        <f>E1123</f>
        <v>0</v>
      </c>
      <c r="H1123" s="20">
        <v>0.0</v>
      </c>
    </row>
    <row r="1124" ht="15.75" hidden="1" customHeight="1">
      <c r="A1124" s="15" t="s">
        <v>105</v>
      </c>
      <c r="B1124" s="11" t="s">
        <v>138</v>
      </c>
      <c r="C1124" s="15"/>
      <c r="D1124" s="16" t="s">
        <v>15</v>
      </c>
      <c r="E1124" s="17">
        <v>0.0</v>
      </c>
      <c r="F1124" s="18">
        <f>E1124* 0.932775698199239</f>
        <v>0</v>
      </c>
      <c r="G1124" s="18">
        <f>E1124* 0.00808724987291465</f>
        <v>0</v>
      </c>
      <c r="H1124" s="18">
        <f>E1124*0.0590600305004852</f>
        <v>0</v>
      </c>
    </row>
    <row r="1125" ht="15.75" hidden="1" customHeight="1">
      <c r="A1125" s="15" t="s">
        <v>105</v>
      </c>
      <c r="B1125" s="11" t="s">
        <v>138</v>
      </c>
      <c r="C1125" s="15"/>
      <c r="D1125" s="16" t="s">
        <v>16</v>
      </c>
      <c r="E1125" s="17">
        <v>0.0</v>
      </c>
      <c r="F1125" s="18">
        <f>E1125* 0.0803212851405623</f>
        <v>0</v>
      </c>
      <c r="G1125" s="18">
        <f>E1125* 0.913367756741251</f>
        <v>0</v>
      </c>
      <c r="H1125" s="18">
        <f>E1125* 0.0057372346528973</f>
        <v>0</v>
      </c>
    </row>
    <row r="1126" ht="15.75" hidden="1" customHeight="1">
      <c r="A1126" s="15" t="s">
        <v>105</v>
      </c>
      <c r="B1126" s="11" t="s">
        <v>138</v>
      </c>
      <c r="C1126" s="15"/>
      <c r="D1126" s="16" t="s">
        <v>11</v>
      </c>
      <c r="E1126" s="17">
        <v>2.0</v>
      </c>
      <c r="F1126" s="18">
        <f>E1126* 0.150611071171819</f>
        <v>0.3012221423</v>
      </c>
      <c r="G1126" s="18">
        <f>E1126* 0.847699496764917</f>
        <v>1.695398994</v>
      </c>
      <c r="H1126" s="18">
        <f>E1126* 0.00136592379583034</f>
        <v>0.002731847592</v>
      </c>
    </row>
    <row r="1127" ht="15.75" hidden="1" customHeight="1">
      <c r="A1127" s="15" t="s">
        <v>105</v>
      </c>
      <c r="B1127" s="11" t="s">
        <v>138</v>
      </c>
      <c r="C1127" s="15"/>
      <c r="D1127" s="16" t="s">
        <v>17</v>
      </c>
      <c r="E1127" s="17">
        <v>1.0</v>
      </c>
      <c r="F1127" s="18">
        <f>E1127* 0.840430229624022</f>
        <v>0.8404302296</v>
      </c>
      <c r="G1127" s="18">
        <f>E1127* 0.0777504415846581</f>
        <v>0.07775044158</v>
      </c>
      <c r="H1127" s="18">
        <f>E1127* 0.0817877870300278</f>
        <v>0.08178778703</v>
      </c>
    </row>
    <row r="1128" ht="15.75" hidden="1" customHeight="1">
      <c r="A1128" s="15" t="s">
        <v>105</v>
      </c>
      <c r="B1128" s="11" t="s">
        <v>138</v>
      </c>
      <c r="C1128" s="15"/>
      <c r="D1128" s="16" t="s">
        <v>31</v>
      </c>
      <c r="E1128" s="17">
        <v>0.0</v>
      </c>
      <c r="F1128" s="18">
        <f>E1128* 0.901975683890578</f>
        <v>0</v>
      </c>
      <c r="G1128" s="18">
        <f>E1128* 0.0364741641337386</f>
        <v>0</v>
      </c>
      <c r="H1128" s="18">
        <f>E1128* 0.0615501519756839</f>
        <v>0</v>
      </c>
    </row>
    <row r="1129" ht="15.75" hidden="1" customHeight="1">
      <c r="A1129" s="15" t="s">
        <v>105</v>
      </c>
      <c r="B1129" s="11" t="s">
        <v>138</v>
      </c>
      <c r="C1129" s="15"/>
      <c r="D1129" s="16" t="s">
        <v>18</v>
      </c>
      <c r="E1129" s="17">
        <v>0.0</v>
      </c>
      <c r="F1129" s="18">
        <f>E1129* 0.932934264493959</f>
        <v>0</v>
      </c>
      <c r="G1129" s="18">
        <f>E1129* 0.0585300964416362</f>
        <v>0</v>
      </c>
      <c r="H1129" s="18">
        <f>E1129* 0.00853563906440528</f>
        <v>0</v>
      </c>
    </row>
    <row r="1130" ht="15.75" hidden="1" customHeight="1">
      <c r="A1130" s="15" t="s">
        <v>105</v>
      </c>
      <c r="B1130" s="11" t="s">
        <v>138</v>
      </c>
      <c r="C1130" s="15"/>
      <c r="D1130" s="16" t="s">
        <v>19</v>
      </c>
      <c r="E1130" s="17">
        <v>0.0</v>
      </c>
      <c r="F1130" s="18">
        <f>E1130* 0.290681971640783</f>
        <v>0</v>
      </c>
      <c r="G1130" s="18">
        <f>E1130* 0.694125590817016</f>
        <v>0</v>
      </c>
      <c r="H1130" s="18">
        <f>E1130* 0.0151924375422012</f>
        <v>0</v>
      </c>
    </row>
    <row r="1131" ht="15.75" hidden="1" customHeight="1">
      <c r="A1131" s="15" t="s">
        <v>105</v>
      </c>
      <c r="B1131" s="11" t="s">
        <v>138</v>
      </c>
      <c r="C1131" s="15"/>
      <c r="D1131" s="16" t="s">
        <v>20</v>
      </c>
      <c r="E1131" s="17">
        <v>0.0</v>
      </c>
      <c r="F1131" s="18">
        <f>E1131* 0.686268801552644</f>
        <v>0</v>
      </c>
      <c r="G1131" s="18">
        <f>E1131* 0.196991751576904</f>
        <v>0</v>
      </c>
      <c r="H1131" s="18">
        <f>E1131* 0.116642406598738</f>
        <v>0</v>
      </c>
    </row>
    <row r="1132" ht="15.75" hidden="1" customHeight="1">
      <c r="A1132" s="15" t="s">
        <v>105</v>
      </c>
      <c r="B1132" s="11" t="s">
        <v>138</v>
      </c>
      <c r="C1132" s="15"/>
      <c r="D1132" s="16" t="s">
        <v>21</v>
      </c>
      <c r="E1132" s="17">
        <v>8.0</v>
      </c>
      <c r="F1132" s="18">
        <f>E1132* 0.999513766486355</f>
        <v>7.996110132</v>
      </c>
      <c r="G1132" s="18">
        <f>E1132* 0.0000243116756822464</f>
        <v>0.0001944934055</v>
      </c>
      <c r="H1132" s="18">
        <f>E1132* 0.00034036345955145</f>
        <v>0.002722907676</v>
      </c>
    </row>
    <row r="1133" ht="15.75" hidden="1" customHeight="1">
      <c r="A1133" s="15" t="s">
        <v>105</v>
      </c>
      <c r="B1133" s="11" t="s">
        <v>138</v>
      </c>
      <c r="C1133" s="15"/>
      <c r="D1133" s="16" t="s">
        <v>12</v>
      </c>
      <c r="E1133" s="17">
        <v>2.0</v>
      </c>
      <c r="F1133" s="18">
        <f>E1133* 0.843786808009423</f>
        <v>1.687573616</v>
      </c>
      <c r="G1133" s="18">
        <f>E1133* 0.0740675304279545</f>
        <v>0.1481350609</v>
      </c>
      <c r="H1133" s="18">
        <f>E1133* 0.0820965842167256</f>
        <v>0.1641931684</v>
      </c>
    </row>
    <row r="1134" ht="15.75" hidden="1" customHeight="1">
      <c r="A1134" s="15" t="s">
        <v>105</v>
      </c>
      <c r="B1134" s="8"/>
      <c r="C1134" s="8"/>
      <c r="D1134" s="9"/>
      <c r="E1134" s="19"/>
    </row>
    <row r="1135" ht="15.75" hidden="1" customHeight="1">
      <c r="A1135" s="15" t="s">
        <v>105</v>
      </c>
      <c r="B1135" s="11" t="s">
        <v>139</v>
      </c>
      <c r="C1135" s="12" t="str">
        <f>B1135&amp;"_"&amp;A1135</f>
        <v>Tarata_Cochabamba</v>
      </c>
      <c r="E1135" s="13">
        <v>407.0</v>
      </c>
      <c r="F1135" s="14">
        <f t="shared" ref="F1135:H1135" si="112">SUM(F1136:F1146)</f>
        <v>327.1930438</v>
      </c>
      <c r="G1135" s="14">
        <f t="shared" si="112"/>
        <v>51.80152261</v>
      </c>
      <c r="H1135" s="14">
        <f t="shared" si="112"/>
        <v>27.97392674</v>
      </c>
    </row>
    <row r="1136" ht="15.75" hidden="1" customHeight="1">
      <c r="A1136" s="15" t="s">
        <v>105</v>
      </c>
      <c r="B1136" s="11" t="s">
        <v>139</v>
      </c>
      <c r="C1136" s="15"/>
      <c r="D1136" s="16" t="s">
        <v>14</v>
      </c>
      <c r="E1136" s="17">
        <v>0.0</v>
      </c>
      <c r="F1136" s="20">
        <v>0.0</v>
      </c>
      <c r="G1136" s="20">
        <f>E1136</f>
        <v>0</v>
      </c>
      <c r="H1136" s="20">
        <v>0.0</v>
      </c>
    </row>
    <row r="1137" ht="15.75" hidden="1" customHeight="1">
      <c r="A1137" s="15" t="s">
        <v>105</v>
      </c>
      <c r="B1137" s="11" t="s">
        <v>139</v>
      </c>
      <c r="C1137" s="15"/>
      <c r="D1137" s="16" t="s">
        <v>15</v>
      </c>
      <c r="E1137" s="17">
        <v>40.0</v>
      </c>
      <c r="F1137" s="18">
        <f>E1137* 0.932775698199239</f>
        <v>37.31102793</v>
      </c>
      <c r="G1137" s="18">
        <f>E1137* 0.00808724987291465</f>
        <v>0.3234899949</v>
      </c>
      <c r="H1137" s="18">
        <f>E1137*0.0590600305004852</f>
        <v>2.36240122</v>
      </c>
    </row>
    <row r="1138" ht="15.75" hidden="1" customHeight="1">
      <c r="A1138" s="15" t="s">
        <v>105</v>
      </c>
      <c r="B1138" s="11" t="s">
        <v>139</v>
      </c>
      <c r="C1138" s="15"/>
      <c r="D1138" s="16" t="s">
        <v>16</v>
      </c>
      <c r="E1138" s="17">
        <v>1.0</v>
      </c>
      <c r="F1138" s="18">
        <f>E1138* 0.0803212851405623</f>
        <v>0.08032128514</v>
      </c>
      <c r="G1138" s="18">
        <f>E1138* 0.913367756741251</f>
        <v>0.9133677567</v>
      </c>
      <c r="H1138" s="18">
        <f>E1138* 0.0057372346528973</f>
        <v>0.005737234653</v>
      </c>
    </row>
    <row r="1139" ht="15.75" hidden="1" customHeight="1">
      <c r="A1139" s="15" t="s">
        <v>105</v>
      </c>
      <c r="B1139" s="11" t="s">
        <v>139</v>
      </c>
      <c r="C1139" s="15"/>
      <c r="D1139" s="16" t="s">
        <v>11</v>
      </c>
      <c r="E1139" s="17">
        <v>25.0</v>
      </c>
      <c r="F1139" s="18">
        <f>E1139* 0.150611071171819</f>
        <v>3.765276779</v>
      </c>
      <c r="G1139" s="18">
        <f>E1139* 0.847699496764917</f>
        <v>21.19248742</v>
      </c>
      <c r="H1139" s="18">
        <f>E1139* 0.00136592379583034</f>
        <v>0.0341480949</v>
      </c>
    </row>
    <row r="1140" ht="15.75" hidden="1" customHeight="1">
      <c r="A1140" s="15" t="s">
        <v>105</v>
      </c>
      <c r="B1140" s="11" t="s">
        <v>139</v>
      </c>
      <c r="C1140" s="15"/>
      <c r="D1140" s="16" t="s">
        <v>17</v>
      </c>
      <c r="E1140" s="17">
        <v>41.0</v>
      </c>
      <c r="F1140" s="18">
        <f>E1140* 0.840430229624022</f>
        <v>34.45763941</v>
      </c>
      <c r="G1140" s="18">
        <f>E1140* 0.0777504415846581</f>
        <v>3.187768105</v>
      </c>
      <c r="H1140" s="18">
        <f>E1140* 0.0817877870300278</f>
        <v>3.353299268</v>
      </c>
    </row>
    <row r="1141" ht="15.75" hidden="1" customHeight="1">
      <c r="A1141" s="15" t="s">
        <v>105</v>
      </c>
      <c r="B1141" s="11" t="s">
        <v>139</v>
      </c>
      <c r="C1141" s="15"/>
      <c r="D1141" s="16" t="s">
        <v>31</v>
      </c>
      <c r="E1141" s="17">
        <v>2.0</v>
      </c>
      <c r="F1141" s="18">
        <f>E1141* 0.901975683890578</f>
        <v>1.803951368</v>
      </c>
      <c r="G1141" s="18">
        <f>E1141* 0.0364741641337386</f>
        <v>0.07294832827</v>
      </c>
      <c r="H1141" s="18">
        <f>E1141* 0.0615501519756839</f>
        <v>0.123100304</v>
      </c>
    </row>
    <row r="1142" ht="15.75" hidden="1" customHeight="1">
      <c r="A1142" s="15" t="s">
        <v>105</v>
      </c>
      <c r="B1142" s="11" t="s">
        <v>139</v>
      </c>
      <c r="C1142" s="15"/>
      <c r="D1142" s="16" t="s">
        <v>18</v>
      </c>
      <c r="E1142" s="17">
        <v>5.0</v>
      </c>
      <c r="F1142" s="18">
        <f>E1142* 0.932934264493959</f>
        <v>4.664671322</v>
      </c>
      <c r="G1142" s="18">
        <f>E1142* 0.0585300964416362</f>
        <v>0.2926504822</v>
      </c>
      <c r="H1142" s="18">
        <f>E1142* 0.00853563906440528</f>
        <v>0.04267819532</v>
      </c>
    </row>
    <row r="1143" ht="15.75" hidden="1" customHeight="1">
      <c r="A1143" s="15" t="s">
        <v>105</v>
      </c>
      <c r="B1143" s="11" t="s">
        <v>139</v>
      </c>
      <c r="C1143" s="15"/>
      <c r="D1143" s="16" t="s">
        <v>19</v>
      </c>
      <c r="E1143" s="17">
        <v>4.0</v>
      </c>
      <c r="F1143" s="18">
        <f>E1143* 0.290681971640783</f>
        <v>1.162727887</v>
      </c>
      <c r="G1143" s="18">
        <f>E1143* 0.694125590817016</f>
        <v>2.776502363</v>
      </c>
      <c r="H1143" s="18">
        <f>E1143* 0.0151924375422012</f>
        <v>0.06076975017</v>
      </c>
    </row>
    <row r="1144" ht="15.75" hidden="1" customHeight="1">
      <c r="A1144" s="15" t="s">
        <v>105</v>
      </c>
      <c r="B1144" s="11" t="s">
        <v>139</v>
      </c>
      <c r="C1144" s="15"/>
      <c r="D1144" s="16" t="s">
        <v>20</v>
      </c>
      <c r="E1144" s="17">
        <v>35.0</v>
      </c>
      <c r="F1144" s="18">
        <f>E1144* 0.686268801552644</f>
        <v>24.01940805</v>
      </c>
      <c r="G1144" s="18">
        <f>E1144* 0.196991751576904</f>
        <v>6.894711305</v>
      </c>
      <c r="H1144" s="18">
        <f>E1144* 0.116642406598738</f>
        <v>4.082484231</v>
      </c>
    </row>
    <row r="1145" ht="15.75" hidden="1" customHeight="1">
      <c r="A1145" s="15" t="s">
        <v>105</v>
      </c>
      <c r="B1145" s="11" t="s">
        <v>139</v>
      </c>
      <c r="C1145" s="15"/>
      <c r="D1145" s="16" t="s">
        <v>21</v>
      </c>
      <c r="E1145" s="17">
        <v>36.0</v>
      </c>
      <c r="F1145" s="18">
        <f>E1145* 0.999513766486355</f>
        <v>35.98249559</v>
      </c>
      <c r="G1145" s="18">
        <f>E1145* 0.0000243116756822464</f>
        <v>0.0008752203246</v>
      </c>
      <c r="H1145" s="18">
        <f>E1145* 0.00034036345955145</f>
        <v>0.01225308454</v>
      </c>
    </row>
    <row r="1146" ht="15.75" hidden="1" customHeight="1">
      <c r="A1146" s="15" t="s">
        <v>105</v>
      </c>
      <c r="B1146" s="11" t="s">
        <v>139</v>
      </c>
      <c r="C1146" s="15"/>
      <c r="D1146" s="16" t="s">
        <v>12</v>
      </c>
      <c r="E1146" s="17">
        <v>218.0</v>
      </c>
      <c r="F1146" s="18">
        <f>E1146* 0.843786808009423</f>
        <v>183.9455241</v>
      </c>
      <c r="G1146" s="18">
        <f>E1146* 0.0740675304279545</f>
        <v>16.14672163</v>
      </c>
      <c r="H1146" s="18">
        <f>E1146* 0.0820965842167256</f>
        <v>17.89705536</v>
      </c>
    </row>
    <row r="1147" ht="15.75" hidden="1" customHeight="1">
      <c r="A1147" s="15" t="s">
        <v>105</v>
      </c>
      <c r="B1147" s="8"/>
      <c r="C1147" s="8"/>
      <c r="D1147" s="9"/>
      <c r="E1147" s="19"/>
    </row>
    <row r="1148" ht="15.75" hidden="1" customHeight="1">
      <c r="A1148" s="15" t="s">
        <v>105</v>
      </c>
      <c r="B1148" s="11" t="s">
        <v>140</v>
      </c>
      <c r="C1148" s="12" t="str">
        <f>B1148&amp;"_"&amp;A1148</f>
        <v>Tiquipaya_Cochabamba</v>
      </c>
      <c r="E1148" s="22">
        <v>4121.0</v>
      </c>
      <c r="F1148" s="14">
        <f t="shared" ref="F1148:H1148" si="113">SUM(F1149:F1161)</f>
        <v>3482.24493</v>
      </c>
      <c r="G1148" s="14">
        <f t="shared" si="113"/>
        <v>432.69995</v>
      </c>
      <c r="H1148" s="14">
        <f t="shared" si="113"/>
        <v>205.6979734</v>
      </c>
    </row>
    <row r="1149" ht="15.75" hidden="1" customHeight="1">
      <c r="A1149" s="15" t="s">
        <v>105</v>
      </c>
      <c r="B1149" s="11" t="s">
        <v>140</v>
      </c>
      <c r="C1149" s="15"/>
      <c r="D1149" s="16" t="s">
        <v>14</v>
      </c>
      <c r="E1149" s="17">
        <v>0.0</v>
      </c>
      <c r="F1149" s="20">
        <v>0.0</v>
      </c>
      <c r="G1149" s="20">
        <f>E1149</f>
        <v>0</v>
      </c>
      <c r="H1149" s="20">
        <v>0.0</v>
      </c>
    </row>
    <row r="1150" ht="15.75" hidden="1" customHeight="1">
      <c r="A1150" s="15" t="s">
        <v>105</v>
      </c>
      <c r="B1150" s="11" t="s">
        <v>140</v>
      </c>
      <c r="C1150" s="15"/>
      <c r="D1150" s="16" t="s">
        <v>15</v>
      </c>
      <c r="E1150" s="17">
        <v>674.0</v>
      </c>
      <c r="F1150" s="18">
        <f>E1150* 0.932775698199239</f>
        <v>628.6908206</v>
      </c>
      <c r="G1150" s="18">
        <f>E1150* 0.00808724987291465</f>
        <v>5.450806414</v>
      </c>
      <c r="H1150" s="18">
        <f>E1150*0.0590600305004852</f>
        <v>39.80646056</v>
      </c>
    </row>
    <row r="1151" ht="15.75" hidden="1" customHeight="1">
      <c r="A1151" s="15" t="s">
        <v>105</v>
      </c>
      <c r="B1151" s="11" t="s">
        <v>140</v>
      </c>
      <c r="C1151" s="15"/>
      <c r="D1151" s="16" t="s">
        <v>16</v>
      </c>
      <c r="E1151" s="17">
        <v>8.0</v>
      </c>
      <c r="F1151" s="18">
        <f>E1151* 0.0803212851405623</f>
        <v>0.6425702811</v>
      </c>
      <c r="G1151" s="18">
        <f>E1151* 0.913367756741251</f>
        <v>7.306942054</v>
      </c>
      <c r="H1151" s="18">
        <f>E1151* 0.0057372346528973</f>
        <v>0.04589787722</v>
      </c>
    </row>
    <row r="1152" ht="15.75" hidden="1" customHeight="1">
      <c r="A1152" s="15" t="s">
        <v>105</v>
      </c>
      <c r="B1152" s="11" t="s">
        <v>140</v>
      </c>
      <c r="C1152" s="15"/>
      <c r="D1152" s="16" t="s">
        <v>11</v>
      </c>
      <c r="E1152" s="17">
        <v>218.0</v>
      </c>
      <c r="F1152" s="18">
        <f>E1152* 0.150611071171819</f>
        <v>32.83321352</v>
      </c>
      <c r="G1152" s="18">
        <f>E1152* 0.847699496764917</f>
        <v>184.7984903</v>
      </c>
      <c r="H1152" s="18">
        <f>E1152* 0.00136592379583034</f>
        <v>0.2977713875</v>
      </c>
    </row>
    <row r="1153" ht="15.75" hidden="1" customHeight="1">
      <c r="A1153" s="15" t="s">
        <v>105</v>
      </c>
      <c r="B1153" s="11" t="s">
        <v>140</v>
      </c>
      <c r="C1153" s="15"/>
      <c r="D1153" s="16" t="s">
        <v>17</v>
      </c>
      <c r="E1153" s="17">
        <v>392.0</v>
      </c>
      <c r="F1153" s="18">
        <f>E1153* 0.840430229624022</f>
        <v>329.44865</v>
      </c>
      <c r="G1153" s="18">
        <f>E1153* 0.0777504415846581</f>
        <v>30.4781731</v>
      </c>
      <c r="H1153" s="18">
        <f>E1153* 0.0817877870300278</f>
        <v>32.06081252</v>
      </c>
    </row>
    <row r="1154" ht="15.75" hidden="1" customHeight="1">
      <c r="A1154" s="15" t="s">
        <v>105</v>
      </c>
      <c r="B1154" s="11" t="s">
        <v>140</v>
      </c>
      <c r="C1154" s="15"/>
      <c r="D1154" s="16" t="s">
        <v>31</v>
      </c>
      <c r="E1154" s="17">
        <v>22.0</v>
      </c>
      <c r="F1154" s="18">
        <f>E1154* 0.901975683890578</f>
        <v>19.84346505</v>
      </c>
      <c r="G1154" s="18">
        <f>E1154* 0.0364741641337386</f>
        <v>0.8024316109</v>
      </c>
      <c r="H1154" s="18">
        <f>E1154* 0.0615501519756839</f>
        <v>1.354103343</v>
      </c>
    </row>
    <row r="1155" ht="15.75" hidden="1" customHeight="1">
      <c r="A1155" s="15" t="s">
        <v>105</v>
      </c>
      <c r="B1155" s="11" t="s">
        <v>140</v>
      </c>
      <c r="C1155" s="15"/>
      <c r="D1155" s="16" t="s">
        <v>18</v>
      </c>
      <c r="E1155" s="17">
        <v>74.0</v>
      </c>
      <c r="F1155" s="18">
        <f>E1155* 0.932934264493959</f>
        <v>69.03713557</v>
      </c>
      <c r="G1155" s="18">
        <f>E1155* 0.0585300964416362</f>
        <v>4.331227137</v>
      </c>
      <c r="H1155" s="18">
        <f>E1155* 0.00853563906440528</f>
        <v>0.6316372908</v>
      </c>
    </row>
    <row r="1156" ht="15.75" hidden="1" customHeight="1">
      <c r="A1156" s="15" t="s">
        <v>105</v>
      </c>
      <c r="B1156" s="11" t="s">
        <v>140</v>
      </c>
      <c r="C1156" s="15"/>
      <c r="D1156" s="16" t="s">
        <v>19</v>
      </c>
      <c r="E1156" s="17">
        <v>36.0</v>
      </c>
      <c r="F1156" s="18">
        <f>E1156* 0.290681971640783</f>
        <v>10.46455098</v>
      </c>
      <c r="G1156" s="18">
        <f>E1156* 0.694125590817016</f>
        <v>24.98852127</v>
      </c>
      <c r="H1156" s="18">
        <f>E1156* 0.0151924375422012</f>
        <v>0.5469277515</v>
      </c>
    </row>
    <row r="1157" ht="15.75" hidden="1" customHeight="1">
      <c r="A1157" s="15" t="s">
        <v>105</v>
      </c>
      <c r="B1157" s="11" t="s">
        <v>140</v>
      </c>
      <c r="C1157" s="15"/>
      <c r="D1157" s="16" t="s">
        <v>20</v>
      </c>
      <c r="E1157" s="17">
        <v>139.0</v>
      </c>
      <c r="F1157" s="18">
        <f>E1157* 0.686268801552644</f>
        <v>95.39136342</v>
      </c>
      <c r="G1157" s="18">
        <f>E1157* 0.196991751576904</f>
        <v>27.38185347</v>
      </c>
      <c r="H1157" s="18">
        <f>E1157* 0.116642406598738</f>
        <v>16.21329452</v>
      </c>
    </row>
    <row r="1158" ht="15.75" hidden="1" customHeight="1">
      <c r="A1158" s="15" t="s">
        <v>105</v>
      </c>
      <c r="B1158" s="11" t="s">
        <v>140</v>
      </c>
      <c r="C1158" s="15"/>
      <c r="D1158" s="16" t="s">
        <v>21</v>
      </c>
      <c r="E1158" s="23">
        <v>1118.0</v>
      </c>
      <c r="F1158" s="18">
        <f>E1158* 0.999513766486355</f>
        <v>1117.456391</v>
      </c>
      <c r="G1158" s="18">
        <f>E1158* 0.0000243116756822464</f>
        <v>0.02718045341</v>
      </c>
      <c r="H1158" s="18">
        <f>E1158* 0.00034036345955145</f>
        <v>0.3805263478</v>
      </c>
    </row>
    <row r="1159" ht="15.75" hidden="1" customHeight="1">
      <c r="A1159" s="15" t="s">
        <v>105</v>
      </c>
      <c r="B1159" s="11" t="s">
        <v>140</v>
      </c>
      <c r="C1159" s="15"/>
      <c r="D1159" s="16" t="s">
        <v>36</v>
      </c>
      <c r="E1159" s="17">
        <v>3.0</v>
      </c>
      <c r="F1159" s="20">
        <f>E1159</f>
        <v>3</v>
      </c>
      <c r="G1159" s="20">
        <v>0.0</v>
      </c>
      <c r="H1159" s="20">
        <v>0.0</v>
      </c>
    </row>
    <row r="1160" ht="15.75" hidden="1" customHeight="1">
      <c r="A1160" s="15" t="s">
        <v>105</v>
      </c>
      <c r="B1160" s="11" t="s">
        <v>140</v>
      </c>
      <c r="C1160" s="15"/>
      <c r="D1160" s="16" t="s">
        <v>28</v>
      </c>
      <c r="E1160" s="17">
        <v>44.0</v>
      </c>
      <c r="F1160" s="18">
        <f>E1160* 0.00094876660341556</f>
        <v>0.04174573055</v>
      </c>
      <c r="G1160" s="18">
        <f>E1160* 0.999051233396584</f>
        <v>43.95825427</v>
      </c>
      <c r="H1160" s="18">
        <v>0.0</v>
      </c>
    </row>
    <row r="1161" ht="15.75" hidden="1" customHeight="1">
      <c r="A1161" s="15" t="s">
        <v>105</v>
      </c>
      <c r="B1161" s="11" t="s">
        <v>140</v>
      </c>
      <c r="C1161" s="15"/>
      <c r="D1161" s="16" t="s">
        <v>12</v>
      </c>
      <c r="E1161" s="23">
        <v>1393.0</v>
      </c>
      <c r="F1161" s="18">
        <f>E1161* 0.843786808009423</f>
        <v>1175.395024</v>
      </c>
      <c r="G1161" s="18">
        <f>E1161* 0.0740675304279545</f>
        <v>103.1760699</v>
      </c>
      <c r="H1161" s="18">
        <f>E1161* 0.0820965842167256</f>
        <v>114.3605418</v>
      </c>
    </row>
    <row r="1162" ht="15.75" hidden="1" customHeight="1">
      <c r="A1162" s="15" t="s">
        <v>105</v>
      </c>
      <c r="B1162" s="8"/>
      <c r="C1162" s="8"/>
      <c r="D1162" s="9"/>
      <c r="E1162" s="19"/>
    </row>
    <row r="1163" ht="15.75" hidden="1" customHeight="1">
      <c r="A1163" s="15" t="s">
        <v>105</v>
      </c>
      <c r="B1163" s="11" t="s">
        <v>141</v>
      </c>
      <c r="C1163" s="12" t="str">
        <f>B1163&amp;"_"&amp;A1163</f>
        <v>Tiraque_Cochabamba</v>
      </c>
      <c r="E1163" s="13">
        <v>413.0</v>
      </c>
      <c r="F1163" s="14">
        <f t="shared" ref="F1163:H1163" si="114">SUM(F1164:F1175)</f>
        <v>283.2661748</v>
      </c>
      <c r="G1163" s="14">
        <f t="shared" si="114"/>
        <v>109.0167535</v>
      </c>
      <c r="H1163" s="14">
        <f t="shared" si="114"/>
        <v>20.66698957</v>
      </c>
    </row>
    <row r="1164" ht="15.75" hidden="1" customHeight="1">
      <c r="A1164" s="15" t="s">
        <v>105</v>
      </c>
      <c r="B1164" s="11" t="s">
        <v>141</v>
      </c>
      <c r="C1164" s="15"/>
      <c r="D1164" s="16" t="s">
        <v>14</v>
      </c>
      <c r="E1164" s="17">
        <v>0.0</v>
      </c>
      <c r="F1164" s="20">
        <v>0.0</v>
      </c>
      <c r="G1164" s="20">
        <f>E1164</f>
        <v>0</v>
      </c>
      <c r="H1164" s="20">
        <v>0.0</v>
      </c>
    </row>
    <row r="1165" ht="15.75" hidden="1" customHeight="1">
      <c r="A1165" s="15" t="s">
        <v>105</v>
      </c>
      <c r="B1165" s="11" t="s">
        <v>141</v>
      </c>
      <c r="C1165" s="15"/>
      <c r="D1165" s="16" t="s">
        <v>15</v>
      </c>
      <c r="E1165" s="17">
        <v>18.0</v>
      </c>
      <c r="F1165" s="18">
        <f>E1165* 0.932775698199239</f>
        <v>16.78996257</v>
      </c>
      <c r="G1165" s="18">
        <f>E1165* 0.00808724987291465</f>
        <v>0.1455704977</v>
      </c>
      <c r="H1165" s="18">
        <f>E1165*0.0590600305004852</f>
        <v>1.063080549</v>
      </c>
    </row>
    <row r="1166" ht="15.75" hidden="1" customHeight="1">
      <c r="A1166" s="15" t="s">
        <v>105</v>
      </c>
      <c r="B1166" s="11" t="s">
        <v>141</v>
      </c>
      <c r="C1166" s="15"/>
      <c r="D1166" s="16" t="s">
        <v>16</v>
      </c>
      <c r="E1166" s="17">
        <v>2.0</v>
      </c>
      <c r="F1166" s="18">
        <f>E1166* 0.0803212851405623</f>
        <v>0.1606425703</v>
      </c>
      <c r="G1166" s="18">
        <f>E1166* 0.913367756741251</f>
        <v>1.826735513</v>
      </c>
      <c r="H1166" s="18">
        <f>E1166* 0.0057372346528973</f>
        <v>0.01147446931</v>
      </c>
    </row>
    <row r="1167" ht="15.75" hidden="1" customHeight="1">
      <c r="A1167" s="15" t="s">
        <v>105</v>
      </c>
      <c r="B1167" s="11" t="s">
        <v>141</v>
      </c>
      <c r="C1167" s="15"/>
      <c r="D1167" s="16" t="s">
        <v>11</v>
      </c>
      <c r="E1167" s="17">
        <v>92.0</v>
      </c>
      <c r="F1167" s="18">
        <f>E1167* 0.150611071171819</f>
        <v>13.85621855</v>
      </c>
      <c r="G1167" s="18">
        <f>E1167* 0.847699496764917</f>
        <v>77.9883537</v>
      </c>
      <c r="H1167" s="18">
        <f>E1167* 0.00136592379583034</f>
        <v>0.1256649892</v>
      </c>
    </row>
    <row r="1168" ht="15.75" hidden="1" customHeight="1">
      <c r="A1168" s="15" t="s">
        <v>105</v>
      </c>
      <c r="B1168" s="11" t="s">
        <v>141</v>
      </c>
      <c r="C1168" s="15"/>
      <c r="D1168" s="16" t="s">
        <v>17</v>
      </c>
      <c r="E1168" s="17">
        <v>34.0</v>
      </c>
      <c r="F1168" s="18">
        <f>E1168* 0.840430229624022</f>
        <v>28.57462781</v>
      </c>
      <c r="G1168" s="18">
        <f>E1168* 0.0777504415846581</f>
        <v>2.643515014</v>
      </c>
      <c r="H1168" s="18">
        <f>E1168* 0.0817877870300278</f>
        <v>2.780784759</v>
      </c>
    </row>
    <row r="1169" ht="15.75" hidden="1" customHeight="1">
      <c r="A1169" s="15" t="s">
        <v>105</v>
      </c>
      <c r="B1169" s="11" t="s">
        <v>141</v>
      </c>
      <c r="C1169" s="15"/>
      <c r="D1169" s="16" t="s">
        <v>31</v>
      </c>
      <c r="E1169" s="17">
        <v>0.0</v>
      </c>
      <c r="F1169" s="18">
        <f>E1169* 0.901975683890578</f>
        <v>0</v>
      </c>
      <c r="G1169" s="18">
        <f>E1169* 0.0364741641337386</f>
        <v>0</v>
      </c>
      <c r="H1169" s="18">
        <f>E1169* 0.0615501519756839</f>
        <v>0</v>
      </c>
    </row>
    <row r="1170" ht="15.75" hidden="1" customHeight="1">
      <c r="A1170" s="15" t="s">
        <v>105</v>
      </c>
      <c r="B1170" s="11" t="s">
        <v>141</v>
      </c>
      <c r="C1170" s="15"/>
      <c r="D1170" s="16" t="s">
        <v>18</v>
      </c>
      <c r="E1170" s="17">
        <v>3.0</v>
      </c>
      <c r="F1170" s="18">
        <f>E1170* 0.932934264493959</f>
        <v>2.798802793</v>
      </c>
      <c r="G1170" s="18">
        <f>E1170* 0.0585300964416362</f>
        <v>0.1755902893</v>
      </c>
      <c r="H1170" s="18">
        <f>E1170* 0.00853563906440528</f>
        <v>0.02560691719</v>
      </c>
    </row>
    <row r="1171" ht="15.75" hidden="1" customHeight="1">
      <c r="A1171" s="15" t="s">
        <v>105</v>
      </c>
      <c r="B1171" s="11" t="s">
        <v>141</v>
      </c>
      <c r="C1171" s="15"/>
      <c r="D1171" s="16" t="s">
        <v>19</v>
      </c>
      <c r="E1171" s="17">
        <v>5.0</v>
      </c>
      <c r="F1171" s="18">
        <f>E1171* 0.290681971640783</f>
        <v>1.453409858</v>
      </c>
      <c r="G1171" s="18">
        <f>E1171* 0.694125590817016</f>
        <v>3.470627954</v>
      </c>
      <c r="H1171" s="18">
        <f>E1171* 0.0151924375422012</f>
        <v>0.07596218771</v>
      </c>
    </row>
    <row r="1172" ht="15.75" hidden="1" customHeight="1">
      <c r="A1172" s="15" t="s">
        <v>105</v>
      </c>
      <c r="B1172" s="11" t="s">
        <v>141</v>
      </c>
      <c r="C1172" s="15"/>
      <c r="D1172" s="16" t="s">
        <v>20</v>
      </c>
      <c r="E1172" s="17">
        <v>9.0</v>
      </c>
      <c r="F1172" s="18">
        <f>E1172* 0.686268801552644</f>
        <v>6.176419214</v>
      </c>
      <c r="G1172" s="18">
        <f>E1172* 0.196991751576904</f>
        <v>1.772925764</v>
      </c>
      <c r="H1172" s="18">
        <f>E1172* 0.116642406598738</f>
        <v>1.049781659</v>
      </c>
    </row>
    <row r="1173" ht="15.75" hidden="1" customHeight="1">
      <c r="A1173" s="15" t="s">
        <v>105</v>
      </c>
      <c r="B1173" s="11" t="s">
        <v>141</v>
      </c>
      <c r="C1173" s="15"/>
      <c r="D1173" s="16" t="s">
        <v>21</v>
      </c>
      <c r="E1173" s="17">
        <v>54.0</v>
      </c>
      <c r="F1173" s="18">
        <f>E1173* 0.999513766486355</f>
        <v>53.97374339</v>
      </c>
      <c r="G1173" s="18">
        <f>E1173* 0.0000243116756822464</f>
        <v>0.001312830487</v>
      </c>
      <c r="H1173" s="18">
        <f>E1173* 0.00034036345955145</f>
        <v>0.01837962682</v>
      </c>
    </row>
    <row r="1174" ht="15.75" hidden="1" customHeight="1">
      <c r="A1174" s="15" t="s">
        <v>105</v>
      </c>
      <c r="B1174" s="11" t="s">
        <v>141</v>
      </c>
      <c r="C1174" s="15"/>
      <c r="D1174" s="16" t="s">
        <v>28</v>
      </c>
      <c r="E1174" s="17">
        <v>7.0</v>
      </c>
      <c r="F1174" s="18">
        <f>E1174* 0.00094876660341556</f>
        <v>0.006641366224</v>
      </c>
      <c r="G1174" s="18">
        <f>E1174* 0.999051233396584</f>
        <v>6.993358634</v>
      </c>
      <c r="H1174" s="18">
        <v>0.0</v>
      </c>
    </row>
    <row r="1175" ht="15.75" hidden="1" customHeight="1">
      <c r="A1175" s="15" t="s">
        <v>105</v>
      </c>
      <c r="B1175" s="11" t="s">
        <v>141</v>
      </c>
      <c r="C1175" s="15"/>
      <c r="D1175" s="16" t="s">
        <v>12</v>
      </c>
      <c r="E1175" s="17">
        <v>189.0</v>
      </c>
      <c r="F1175" s="18">
        <f>E1175* 0.843786808009423</f>
        <v>159.4757067</v>
      </c>
      <c r="G1175" s="18">
        <f>E1175* 0.0740675304279545</f>
        <v>13.99876325</v>
      </c>
      <c r="H1175" s="18">
        <f>E1175* 0.0820965842167256</f>
        <v>15.51625442</v>
      </c>
    </row>
    <row r="1176" ht="15.75" hidden="1" customHeight="1">
      <c r="A1176" s="15" t="s">
        <v>105</v>
      </c>
      <c r="B1176" s="8"/>
      <c r="C1176" s="8"/>
      <c r="D1176" s="9"/>
      <c r="E1176" s="19"/>
    </row>
    <row r="1177" ht="15.75" hidden="1" customHeight="1">
      <c r="A1177" s="15" t="s">
        <v>105</v>
      </c>
      <c r="B1177" s="11" t="s">
        <v>142</v>
      </c>
      <c r="C1177" s="12" t="str">
        <f>B1177&amp;"_"&amp;A1177</f>
        <v>Toco_Cochabamba</v>
      </c>
      <c r="E1177" s="13">
        <v>18.0</v>
      </c>
      <c r="F1177" s="14">
        <f t="shared" ref="F1177:H1177" si="115">SUM(F1178:F1185)</f>
        <v>13.8394263</v>
      </c>
      <c r="G1177" s="14">
        <f t="shared" si="115"/>
        <v>3.23772386</v>
      </c>
      <c r="H1177" s="14">
        <f t="shared" si="115"/>
        <v>0.920859414</v>
      </c>
    </row>
    <row r="1178" ht="15.75" hidden="1" customHeight="1">
      <c r="A1178" s="15" t="s">
        <v>105</v>
      </c>
      <c r="B1178" s="11" t="s">
        <v>142</v>
      </c>
      <c r="C1178" s="15"/>
      <c r="D1178" s="16" t="s">
        <v>15</v>
      </c>
      <c r="E1178" s="17">
        <v>3.0</v>
      </c>
      <c r="F1178" s="18">
        <f>E1178* 0.932775698199239</f>
        <v>2.798327095</v>
      </c>
      <c r="G1178" s="18">
        <f>E1178* 0.00808724987291465</f>
        <v>0.02426174962</v>
      </c>
      <c r="H1178" s="18">
        <f>E1178*0.0590600305004852</f>
        <v>0.1771800915</v>
      </c>
    </row>
    <row r="1179" ht="15.75" hidden="1" customHeight="1">
      <c r="A1179" s="15" t="s">
        <v>105</v>
      </c>
      <c r="B1179" s="11" t="s">
        <v>142</v>
      </c>
      <c r="C1179" s="15"/>
      <c r="D1179" s="16" t="s">
        <v>11</v>
      </c>
      <c r="E1179" s="17">
        <v>3.0</v>
      </c>
      <c r="F1179" s="18">
        <f>E1179* 0.150611071171819</f>
        <v>0.4518332135</v>
      </c>
      <c r="G1179" s="18">
        <f>E1179* 0.847699496764917</f>
        <v>2.54309849</v>
      </c>
      <c r="H1179" s="18">
        <f>E1179* 0.00136592379583034</f>
        <v>0.004097771387</v>
      </c>
    </row>
    <row r="1180" ht="15.75" hidden="1" customHeight="1">
      <c r="A1180" s="15" t="s">
        <v>105</v>
      </c>
      <c r="B1180" s="11" t="s">
        <v>142</v>
      </c>
      <c r="C1180" s="15"/>
      <c r="D1180" s="16" t="s">
        <v>17</v>
      </c>
      <c r="E1180" s="17">
        <v>1.0</v>
      </c>
      <c r="F1180" s="18">
        <f>E1180* 0.840430229624022</f>
        <v>0.8404302296</v>
      </c>
      <c r="G1180" s="18">
        <f>E1180* 0.0777504415846581</f>
        <v>0.07775044158</v>
      </c>
      <c r="H1180" s="18">
        <f>E1180* 0.0817877870300278</f>
        <v>0.08178778703</v>
      </c>
    </row>
    <row r="1181" ht="15.75" hidden="1" customHeight="1">
      <c r="A1181" s="15" t="s">
        <v>105</v>
      </c>
      <c r="B1181" s="11" t="s">
        <v>142</v>
      </c>
      <c r="C1181" s="15"/>
      <c r="D1181" s="16" t="s">
        <v>18</v>
      </c>
      <c r="E1181" s="17">
        <v>0.0</v>
      </c>
      <c r="F1181" s="18">
        <f>E1181* 0.932934264493959</f>
        <v>0</v>
      </c>
      <c r="G1181" s="18">
        <f>E1181* 0.0585300964416362</f>
        <v>0</v>
      </c>
      <c r="H1181" s="18">
        <f>E1181* 0.00853563906440528</f>
        <v>0</v>
      </c>
    </row>
    <row r="1182" ht="15.75" hidden="1" customHeight="1">
      <c r="A1182" s="15" t="s">
        <v>105</v>
      </c>
      <c r="B1182" s="11" t="s">
        <v>142</v>
      </c>
      <c r="C1182" s="15"/>
      <c r="D1182" s="16" t="s">
        <v>20</v>
      </c>
      <c r="E1182" s="17">
        <v>0.0</v>
      </c>
      <c r="F1182" s="18">
        <f>E1182* 0.686268801552644</f>
        <v>0</v>
      </c>
      <c r="G1182" s="18">
        <f>E1182* 0.196991751576904</f>
        <v>0</v>
      </c>
      <c r="H1182" s="18">
        <f>E1182* 0.116642406598738</f>
        <v>0</v>
      </c>
    </row>
    <row r="1183" ht="15.75" hidden="1" customHeight="1">
      <c r="A1183" s="15" t="s">
        <v>105</v>
      </c>
      <c r="B1183" s="11" t="s">
        <v>142</v>
      </c>
      <c r="C1183" s="15"/>
      <c r="D1183" s="16" t="s">
        <v>21</v>
      </c>
      <c r="E1183" s="17">
        <v>3.0</v>
      </c>
      <c r="F1183" s="18">
        <f>E1183* 0.999513766486355</f>
        <v>2.998541299</v>
      </c>
      <c r="G1183" s="18">
        <f>E1183* 0.0000243116756822464</f>
        <v>0.00007293502705</v>
      </c>
      <c r="H1183" s="18">
        <f>E1183* 0.00034036345955145</f>
        <v>0.001021090379</v>
      </c>
    </row>
    <row r="1184" ht="15.75" hidden="1" customHeight="1">
      <c r="A1184" s="15" t="s">
        <v>105</v>
      </c>
      <c r="B1184" s="11" t="s">
        <v>142</v>
      </c>
      <c r="C1184" s="15"/>
      <c r="D1184" s="16" t="s">
        <v>28</v>
      </c>
      <c r="E1184" s="17">
        <v>0.0</v>
      </c>
      <c r="F1184" s="18">
        <f>E1184* 0.00094876660341556</f>
        <v>0</v>
      </c>
      <c r="G1184" s="18">
        <f>E1184* 0.999051233396584</f>
        <v>0</v>
      </c>
      <c r="H1184" s="18">
        <v>0.0</v>
      </c>
    </row>
    <row r="1185" ht="15.75" hidden="1" customHeight="1">
      <c r="A1185" s="15" t="s">
        <v>105</v>
      </c>
      <c r="B1185" s="11" t="s">
        <v>142</v>
      </c>
      <c r="C1185" s="15"/>
      <c r="D1185" s="16" t="s">
        <v>12</v>
      </c>
      <c r="E1185" s="17">
        <v>8.0</v>
      </c>
      <c r="F1185" s="18">
        <f>E1185* 0.843786808009423</f>
        <v>6.750294464</v>
      </c>
      <c r="G1185" s="18">
        <f>E1185* 0.0740675304279545</f>
        <v>0.5925402434</v>
      </c>
      <c r="H1185" s="18">
        <f>E1185* 0.0820965842167256</f>
        <v>0.6567726737</v>
      </c>
    </row>
    <row r="1186" ht="15.75" hidden="1" customHeight="1">
      <c r="A1186" s="15" t="s">
        <v>105</v>
      </c>
      <c r="B1186" s="8"/>
      <c r="C1186" s="8"/>
      <c r="D1186" s="9"/>
      <c r="E1186" s="19"/>
    </row>
    <row r="1187" ht="15.75" hidden="1" customHeight="1">
      <c r="A1187" s="15" t="s">
        <v>105</v>
      </c>
      <c r="B1187" s="11" t="s">
        <v>143</v>
      </c>
      <c r="C1187" s="12" t="str">
        <f>B1187&amp;"_"&amp;A1187</f>
        <v>Tolata_Cochabamba</v>
      </c>
      <c r="E1187" s="13">
        <v>29.0</v>
      </c>
      <c r="F1187" s="14">
        <f t="shared" ref="F1187:H1187" si="116">SUM(F1188:F1198)</f>
        <v>19.67093891</v>
      </c>
      <c r="G1187" s="14">
        <f t="shared" si="116"/>
        <v>7.840878492</v>
      </c>
      <c r="H1187" s="14">
        <f t="shared" si="116"/>
        <v>1.484933528</v>
      </c>
    </row>
    <row r="1188" ht="15.75" hidden="1" customHeight="1">
      <c r="A1188" s="15" t="s">
        <v>105</v>
      </c>
      <c r="B1188" s="11" t="s">
        <v>143</v>
      </c>
      <c r="C1188" s="15"/>
      <c r="D1188" s="16" t="s">
        <v>14</v>
      </c>
      <c r="E1188" s="17">
        <v>0.0</v>
      </c>
      <c r="F1188" s="20">
        <v>0.0</v>
      </c>
      <c r="G1188" s="20">
        <f>E1188</f>
        <v>0</v>
      </c>
      <c r="H1188" s="20">
        <v>0.0</v>
      </c>
    </row>
    <row r="1189" ht="15.75" hidden="1" customHeight="1">
      <c r="A1189" s="15" t="s">
        <v>105</v>
      </c>
      <c r="B1189" s="11" t="s">
        <v>143</v>
      </c>
      <c r="C1189" s="15"/>
      <c r="D1189" s="16" t="s">
        <v>15</v>
      </c>
      <c r="E1189" s="17">
        <v>5.0</v>
      </c>
      <c r="F1189" s="18">
        <f>E1189* 0.932775698199239</f>
        <v>4.663878491</v>
      </c>
      <c r="G1189" s="18">
        <f>E1189* 0.00808724987291465</f>
        <v>0.04043624936</v>
      </c>
      <c r="H1189" s="18">
        <f>E1189*0.0590600305004852</f>
        <v>0.2953001525</v>
      </c>
    </row>
    <row r="1190" ht="15.75" hidden="1" customHeight="1">
      <c r="A1190" s="15" t="s">
        <v>105</v>
      </c>
      <c r="B1190" s="11" t="s">
        <v>143</v>
      </c>
      <c r="C1190" s="15"/>
      <c r="D1190" s="16" t="s">
        <v>16</v>
      </c>
      <c r="E1190" s="17">
        <v>0.0</v>
      </c>
      <c r="F1190" s="18">
        <f>E1190* 0.0803212851405623</f>
        <v>0</v>
      </c>
      <c r="G1190" s="18">
        <f>E1190* 0.913367756741251</f>
        <v>0</v>
      </c>
      <c r="H1190" s="18">
        <f>E1190* 0.0057372346528973</f>
        <v>0</v>
      </c>
    </row>
    <row r="1191" ht="15.75" hidden="1" customHeight="1">
      <c r="A1191" s="15" t="s">
        <v>105</v>
      </c>
      <c r="B1191" s="11" t="s">
        <v>143</v>
      </c>
      <c r="C1191" s="15"/>
      <c r="D1191" s="16" t="s">
        <v>11</v>
      </c>
      <c r="E1191" s="17">
        <v>7.0</v>
      </c>
      <c r="F1191" s="18">
        <f>E1191* 0.150611071171819</f>
        <v>1.054277498</v>
      </c>
      <c r="G1191" s="18">
        <f>E1191* 0.847699496764917</f>
        <v>5.933896477</v>
      </c>
      <c r="H1191" s="18">
        <f>E1191* 0.00136592379583034</f>
        <v>0.009561466571</v>
      </c>
    </row>
    <row r="1192" ht="15.75" hidden="1" customHeight="1">
      <c r="A1192" s="15" t="s">
        <v>105</v>
      </c>
      <c r="B1192" s="11" t="s">
        <v>143</v>
      </c>
      <c r="C1192" s="15"/>
      <c r="D1192" s="16" t="s">
        <v>17</v>
      </c>
      <c r="E1192" s="17">
        <v>5.0</v>
      </c>
      <c r="F1192" s="18">
        <f>E1192* 0.840430229624022</f>
        <v>4.202151148</v>
      </c>
      <c r="G1192" s="18">
        <f>E1192* 0.0777504415846581</f>
        <v>0.3887522079</v>
      </c>
      <c r="H1192" s="18">
        <f>E1192* 0.0817877870300278</f>
        <v>0.4089389352</v>
      </c>
    </row>
    <row r="1193" ht="15.75" hidden="1" customHeight="1">
      <c r="A1193" s="15" t="s">
        <v>105</v>
      </c>
      <c r="B1193" s="11" t="s">
        <v>143</v>
      </c>
      <c r="C1193" s="15"/>
      <c r="D1193" s="16" t="s">
        <v>18</v>
      </c>
      <c r="E1193" s="17">
        <v>2.0</v>
      </c>
      <c r="F1193" s="18">
        <f>E1193* 0.932934264493959</f>
        <v>1.865868529</v>
      </c>
      <c r="G1193" s="18">
        <f>E1193* 0.0585300964416362</f>
        <v>0.1170601929</v>
      </c>
      <c r="H1193" s="18">
        <f>E1193* 0.00853563906440528</f>
        <v>0.01707127813</v>
      </c>
    </row>
    <row r="1194" ht="15.75" hidden="1" customHeight="1">
      <c r="A1194" s="15" t="s">
        <v>105</v>
      </c>
      <c r="B1194" s="11" t="s">
        <v>143</v>
      </c>
      <c r="C1194" s="15"/>
      <c r="D1194" s="16" t="s">
        <v>20</v>
      </c>
      <c r="E1194" s="17">
        <v>0.0</v>
      </c>
      <c r="F1194" s="18">
        <f>E1194* 0.686268801552644</f>
        <v>0</v>
      </c>
      <c r="G1194" s="18">
        <f>E1194* 0.196991751576904</f>
        <v>0</v>
      </c>
      <c r="H1194" s="18">
        <f>E1194* 0.116642406598738</f>
        <v>0</v>
      </c>
    </row>
    <row r="1195" ht="15.75" hidden="1" customHeight="1">
      <c r="A1195" s="15" t="s">
        <v>105</v>
      </c>
      <c r="B1195" s="11" t="s">
        <v>143</v>
      </c>
      <c r="C1195" s="15"/>
      <c r="D1195" s="16" t="s">
        <v>21</v>
      </c>
      <c r="E1195" s="17">
        <v>0.0</v>
      </c>
      <c r="F1195" s="18">
        <f>E1195* 0.999513766486355</f>
        <v>0</v>
      </c>
      <c r="G1195" s="18">
        <f>E1195* 0.0000243116756822464</f>
        <v>0</v>
      </c>
      <c r="H1195" s="18">
        <f>E1195* 0.00034036345955145</f>
        <v>0</v>
      </c>
    </row>
    <row r="1196" ht="15.75" hidden="1" customHeight="1">
      <c r="A1196" s="15" t="s">
        <v>105</v>
      </c>
      <c r="B1196" s="11" t="s">
        <v>143</v>
      </c>
      <c r="C1196" s="15"/>
      <c r="D1196" s="16" t="s">
        <v>19</v>
      </c>
      <c r="E1196" s="17">
        <v>1.0</v>
      </c>
      <c r="F1196" s="18">
        <f>E1196* 0.290681971640783</f>
        <v>0.2906819716</v>
      </c>
      <c r="G1196" s="18">
        <f>E1196* 0.694125590817016</f>
        <v>0.6941255908</v>
      </c>
      <c r="H1196" s="18">
        <f>E1196* 0.0151924375422012</f>
        <v>0.01519243754</v>
      </c>
    </row>
    <row r="1197" ht="15.75" hidden="1" customHeight="1">
      <c r="A1197" s="15" t="s">
        <v>105</v>
      </c>
      <c r="B1197" s="11" t="s">
        <v>143</v>
      </c>
      <c r="C1197" s="15"/>
      <c r="D1197" s="16" t="s">
        <v>28</v>
      </c>
      <c r="E1197" s="17">
        <v>0.0</v>
      </c>
      <c r="F1197" s="18">
        <f>E1197* 0.00094876660341556</f>
        <v>0</v>
      </c>
      <c r="G1197" s="18">
        <f>E1197* 0.999051233396584</f>
        <v>0</v>
      </c>
      <c r="H1197" s="18">
        <v>0.0</v>
      </c>
    </row>
    <row r="1198" ht="15.75" hidden="1" customHeight="1">
      <c r="A1198" s="15" t="s">
        <v>105</v>
      </c>
      <c r="B1198" s="11" t="s">
        <v>143</v>
      </c>
      <c r="C1198" s="15"/>
      <c r="D1198" s="16" t="s">
        <v>12</v>
      </c>
      <c r="E1198" s="17">
        <v>9.0</v>
      </c>
      <c r="F1198" s="18">
        <f>E1198* 0.843786808009423</f>
        <v>7.594081272</v>
      </c>
      <c r="G1198" s="18">
        <f>E1198* 0.0740675304279545</f>
        <v>0.6666077739</v>
      </c>
      <c r="H1198" s="18">
        <f>E1198* 0.0820965842167256</f>
        <v>0.738869258</v>
      </c>
    </row>
    <row r="1199" ht="15.75" hidden="1" customHeight="1">
      <c r="A1199" s="15" t="s">
        <v>105</v>
      </c>
      <c r="B1199" s="8"/>
      <c r="C1199" s="8"/>
      <c r="D1199" s="9"/>
      <c r="E1199" s="19"/>
    </row>
    <row r="1200" ht="15.75" hidden="1" customHeight="1">
      <c r="A1200" s="15" t="s">
        <v>105</v>
      </c>
      <c r="B1200" s="11" t="s">
        <v>144</v>
      </c>
      <c r="C1200" s="12" t="str">
        <f>B1200&amp;"_"&amp;A1200</f>
        <v>Totora_Cochabamba</v>
      </c>
      <c r="E1200" s="13">
        <v>59.0</v>
      </c>
      <c r="F1200" s="14">
        <f t="shared" ref="F1200:H1200" si="117">SUM(F1201:F1209)</f>
        <v>27.22201768</v>
      </c>
      <c r="G1200" s="14">
        <f t="shared" si="117"/>
        <v>30.55683901</v>
      </c>
      <c r="H1200" s="14">
        <f t="shared" si="117"/>
        <v>1.208376264</v>
      </c>
    </row>
    <row r="1201" ht="15.75" hidden="1" customHeight="1">
      <c r="A1201" s="15" t="s">
        <v>105</v>
      </c>
      <c r="B1201" s="11" t="s">
        <v>144</v>
      </c>
      <c r="C1201" s="15"/>
      <c r="D1201" s="16" t="s">
        <v>14</v>
      </c>
      <c r="E1201" s="17">
        <v>0.0</v>
      </c>
      <c r="F1201" s="20">
        <v>0.0</v>
      </c>
      <c r="G1201" s="20">
        <f>E1201</f>
        <v>0</v>
      </c>
      <c r="H1201" s="20">
        <v>0.0</v>
      </c>
    </row>
    <row r="1202" ht="15.75" hidden="1" customHeight="1">
      <c r="A1202" s="15" t="s">
        <v>105</v>
      </c>
      <c r="B1202" s="11" t="s">
        <v>144</v>
      </c>
      <c r="C1202" s="15"/>
      <c r="D1202" s="16" t="s">
        <v>15</v>
      </c>
      <c r="E1202" s="17">
        <v>5.0</v>
      </c>
      <c r="F1202" s="18">
        <f>E1202* 0.932775698199239</f>
        <v>4.663878491</v>
      </c>
      <c r="G1202" s="18">
        <f>E1202* 0.00808724987291465</f>
        <v>0.04043624936</v>
      </c>
      <c r="H1202" s="18">
        <f>E1202*0.0590600305004852</f>
        <v>0.2953001525</v>
      </c>
    </row>
    <row r="1203" ht="15.75" hidden="1" customHeight="1">
      <c r="A1203" s="15" t="s">
        <v>105</v>
      </c>
      <c r="B1203" s="11" t="s">
        <v>144</v>
      </c>
      <c r="C1203" s="15"/>
      <c r="D1203" s="16" t="s">
        <v>16</v>
      </c>
      <c r="E1203" s="17">
        <v>1.0</v>
      </c>
      <c r="F1203" s="18">
        <f>E1203* 0.0803212851405623</f>
        <v>0.08032128514</v>
      </c>
      <c r="G1203" s="18">
        <f>E1203* 0.913367756741251</f>
        <v>0.9133677567</v>
      </c>
      <c r="H1203" s="18">
        <f>E1203* 0.0057372346528973</f>
        <v>0.005737234653</v>
      </c>
    </row>
    <row r="1204" ht="15.75" hidden="1" customHeight="1">
      <c r="A1204" s="15" t="s">
        <v>105</v>
      </c>
      <c r="B1204" s="11" t="s">
        <v>144</v>
      </c>
      <c r="C1204" s="15"/>
      <c r="D1204" s="16" t="s">
        <v>11</v>
      </c>
      <c r="E1204" s="17">
        <v>33.0</v>
      </c>
      <c r="F1204" s="18">
        <f>E1204* 0.150611071171819</f>
        <v>4.970165349</v>
      </c>
      <c r="G1204" s="18">
        <f>E1204* 0.847699496764917</f>
        <v>27.97408339</v>
      </c>
      <c r="H1204" s="18">
        <f>E1204* 0.00136592379583034</f>
        <v>0.04507548526</v>
      </c>
    </row>
    <row r="1205" ht="15.75" hidden="1" customHeight="1">
      <c r="A1205" s="15" t="s">
        <v>105</v>
      </c>
      <c r="B1205" s="11" t="s">
        <v>144</v>
      </c>
      <c r="C1205" s="15"/>
      <c r="D1205" s="16" t="s">
        <v>17</v>
      </c>
      <c r="E1205" s="17">
        <v>5.0</v>
      </c>
      <c r="F1205" s="18">
        <f>E1205* 0.840430229624022</f>
        <v>4.202151148</v>
      </c>
      <c r="G1205" s="18">
        <f>E1205* 0.0777504415846581</f>
        <v>0.3887522079</v>
      </c>
      <c r="H1205" s="18">
        <f>E1205* 0.0817877870300278</f>
        <v>0.4089389352</v>
      </c>
    </row>
    <row r="1206" ht="15.75" hidden="1" customHeight="1">
      <c r="A1206" s="15" t="s">
        <v>105</v>
      </c>
      <c r="B1206" s="11" t="s">
        <v>144</v>
      </c>
      <c r="C1206" s="15"/>
      <c r="D1206" s="16" t="s">
        <v>18</v>
      </c>
      <c r="E1206" s="17">
        <v>3.0</v>
      </c>
      <c r="F1206" s="18">
        <f>E1206* 0.932934264493959</f>
        <v>2.798802793</v>
      </c>
      <c r="G1206" s="18">
        <f>E1206* 0.0585300964416362</f>
        <v>0.1755902893</v>
      </c>
      <c r="H1206" s="18">
        <f>E1206* 0.00853563906440528</f>
        <v>0.02560691719</v>
      </c>
    </row>
    <row r="1207" ht="15.75" hidden="1" customHeight="1">
      <c r="A1207" s="15" t="s">
        <v>105</v>
      </c>
      <c r="B1207" s="11" t="s">
        <v>144</v>
      </c>
      <c r="C1207" s="15"/>
      <c r="D1207" s="16" t="s">
        <v>19</v>
      </c>
      <c r="E1207" s="17">
        <v>1.0</v>
      </c>
      <c r="F1207" s="18">
        <f>E1207* 0.290681971640783</f>
        <v>0.2906819716</v>
      </c>
      <c r="G1207" s="18">
        <f>E1207* 0.694125590817016</f>
        <v>0.6941255908</v>
      </c>
      <c r="H1207" s="18">
        <f>E1207* 0.0151924375422012</f>
        <v>0.01519243754</v>
      </c>
    </row>
    <row r="1208" ht="15.75" hidden="1" customHeight="1">
      <c r="A1208" s="15" t="s">
        <v>105</v>
      </c>
      <c r="B1208" s="11" t="s">
        <v>144</v>
      </c>
      <c r="C1208" s="15"/>
      <c r="D1208" s="16" t="s">
        <v>21</v>
      </c>
      <c r="E1208" s="17">
        <v>6.0</v>
      </c>
      <c r="F1208" s="18">
        <f>E1208* 0.999513766486355</f>
        <v>5.997082599</v>
      </c>
      <c r="G1208" s="18">
        <f>E1208* 0.0000243116756822464</f>
        <v>0.0001458700541</v>
      </c>
      <c r="H1208" s="18">
        <f>E1208* 0.00034036345955145</f>
        <v>0.002042180757</v>
      </c>
    </row>
    <row r="1209" ht="15.75" hidden="1" customHeight="1">
      <c r="A1209" s="15" t="s">
        <v>105</v>
      </c>
      <c r="B1209" s="11" t="s">
        <v>144</v>
      </c>
      <c r="C1209" s="15"/>
      <c r="D1209" s="16" t="s">
        <v>12</v>
      </c>
      <c r="E1209" s="17">
        <v>5.0</v>
      </c>
      <c r="F1209" s="18">
        <f>E1209* 0.843786808009423</f>
        <v>4.21893404</v>
      </c>
      <c r="G1209" s="18">
        <f>E1209* 0.0740675304279545</f>
        <v>0.3703376521</v>
      </c>
      <c r="H1209" s="18">
        <f>E1209* 0.0820965842167256</f>
        <v>0.4104829211</v>
      </c>
    </row>
    <row r="1210" ht="15.75" hidden="1" customHeight="1">
      <c r="A1210" s="15" t="s">
        <v>105</v>
      </c>
      <c r="B1210" s="8"/>
      <c r="C1210" s="8"/>
      <c r="D1210" s="9"/>
      <c r="E1210" s="19"/>
    </row>
    <row r="1211" ht="15.75" hidden="1" customHeight="1">
      <c r="A1211" s="15" t="s">
        <v>105</v>
      </c>
      <c r="B1211" s="11" t="s">
        <v>145</v>
      </c>
      <c r="C1211" s="12" t="str">
        <f>B1211&amp;"_"&amp;A1211</f>
        <v>Vacas_Cochabamba</v>
      </c>
      <c r="E1211" s="13">
        <v>25.0</v>
      </c>
      <c r="F1211" s="14">
        <f t="shared" ref="F1211:H1211" si="118">SUM(F1212:F1219)</f>
        <v>14.70702667</v>
      </c>
      <c r="G1211" s="14">
        <f t="shared" si="118"/>
        <v>9.413750134</v>
      </c>
      <c r="H1211" s="14">
        <f t="shared" si="118"/>
        <v>0.8746264363</v>
      </c>
    </row>
    <row r="1212" ht="15.75" hidden="1" customHeight="1">
      <c r="A1212" s="15" t="s">
        <v>105</v>
      </c>
      <c r="B1212" s="11" t="s">
        <v>145</v>
      </c>
      <c r="C1212" s="15"/>
      <c r="D1212" s="16" t="s">
        <v>14</v>
      </c>
      <c r="E1212" s="17">
        <v>0.0</v>
      </c>
      <c r="F1212" s="20">
        <v>0.0</v>
      </c>
      <c r="G1212" s="20">
        <f>E1212</f>
        <v>0</v>
      </c>
      <c r="H1212" s="20">
        <v>0.0</v>
      </c>
    </row>
    <row r="1213" ht="15.75" hidden="1" customHeight="1">
      <c r="A1213" s="15" t="s">
        <v>105</v>
      </c>
      <c r="B1213" s="11" t="s">
        <v>145</v>
      </c>
      <c r="C1213" s="15"/>
      <c r="D1213" s="16" t="s">
        <v>15</v>
      </c>
      <c r="E1213" s="17">
        <v>0.0</v>
      </c>
      <c r="F1213" s="18">
        <f>E1213* 0.932775698199239</f>
        <v>0</v>
      </c>
      <c r="G1213" s="18">
        <f>E1213* 0.00808724987291465</f>
        <v>0</v>
      </c>
      <c r="H1213" s="18">
        <f>E1213*0.0590600305004852</f>
        <v>0</v>
      </c>
    </row>
    <row r="1214" ht="15.75" hidden="1" customHeight="1">
      <c r="A1214" s="15" t="s">
        <v>105</v>
      </c>
      <c r="B1214" s="11" t="s">
        <v>145</v>
      </c>
      <c r="C1214" s="15"/>
      <c r="D1214" s="16" t="s">
        <v>16</v>
      </c>
      <c r="E1214" s="17">
        <v>1.0</v>
      </c>
      <c r="F1214" s="18">
        <f>E1214* 0.0803212851405623</f>
        <v>0.08032128514</v>
      </c>
      <c r="G1214" s="18">
        <f>E1214* 0.913367756741251</f>
        <v>0.9133677567</v>
      </c>
      <c r="H1214" s="18">
        <f>E1214* 0.0057372346528973</f>
        <v>0.005737234653</v>
      </c>
    </row>
    <row r="1215" ht="15.75" hidden="1" customHeight="1">
      <c r="A1215" s="15" t="s">
        <v>105</v>
      </c>
      <c r="B1215" s="11" t="s">
        <v>145</v>
      </c>
      <c r="C1215" s="15"/>
      <c r="D1215" s="16" t="s">
        <v>11</v>
      </c>
      <c r="E1215" s="17">
        <v>9.0</v>
      </c>
      <c r="F1215" s="18">
        <f>E1215* 0.150611071171819</f>
        <v>1.355499641</v>
      </c>
      <c r="G1215" s="18">
        <f>E1215* 0.847699496764917</f>
        <v>7.629295471</v>
      </c>
      <c r="H1215" s="18">
        <f>E1215* 0.00136592379583034</f>
        <v>0.01229331416</v>
      </c>
    </row>
    <row r="1216" ht="15.75" hidden="1" customHeight="1">
      <c r="A1216" s="15" t="s">
        <v>105</v>
      </c>
      <c r="B1216" s="11" t="s">
        <v>145</v>
      </c>
      <c r="C1216" s="15"/>
      <c r="D1216" s="16" t="s">
        <v>17</v>
      </c>
      <c r="E1216" s="17">
        <v>2.0</v>
      </c>
      <c r="F1216" s="18">
        <f>E1216* 0.840430229624022</f>
        <v>1.680860459</v>
      </c>
      <c r="G1216" s="18">
        <f>E1216* 0.0777504415846581</f>
        <v>0.1555008832</v>
      </c>
      <c r="H1216" s="18">
        <f>E1216* 0.0817877870300278</f>
        <v>0.1635755741</v>
      </c>
    </row>
    <row r="1217" ht="15.75" hidden="1" customHeight="1">
      <c r="A1217" s="15" t="s">
        <v>105</v>
      </c>
      <c r="B1217" s="11" t="s">
        <v>145</v>
      </c>
      <c r="C1217" s="15"/>
      <c r="D1217" s="16" t="s">
        <v>20</v>
      </c>
      <c r="E1217" s="17">
        <v>1.0</v>
      </c>
      <c r="F1217" s="18">
        <f>E1217* 0.686268801552644</f>
        <v>0.6862688016</v>
      </c>
      <c r="G1217" s="18">
        <f>E1217* 0.196991751576904</f>
        <v>0.1969917516</v>
      </c>
      <c r="H1217" s="18">
        <f>E1217* 0.116642406598738</f>
        <v>0.1166424066</v>
      </c>
    </row>
    <row r="1218" ht="15.75" hidden="1" customHeight="1">
      <c r="A1218" s="15" t="s">
        <v>105</v>
      </c>
      <c r="B1218" s="11" t="s">
        <v>145</v>
      </c>
      <c r="C1218" s="15"/>
      <c r="D1218" s="16" t="s">
        <v>21</v>
      </c>
      <c r="E1218" s="17">
        <v>5.0</v>
      </c>
      <c r="F1218" s="18">
        <f>E1218* 0.999513766486355</f>
        <v>4.997568832</v>
      </c>
      <c r="G1218" s="18">
        <f>E1218* 0.0000243116756822464</f>
        <v>0.0001215583784</v>
      </c>
      <c r="H1218" s="18">
        <f>E1218* 0.00034036345955145</f>
        <v>0.001701817298</v>
      </c>
    </row>
    <row r="1219" ht="15.75" hidden="1" customHeight="1">
      <c r="A1219" s="15" t="s">
        <v>105</v>
      </c>
      <c r="B1219" s="11" t="s">
        <v>145</v>
      </c>
      <c r="C1219" s="15"/>
      <c r="D1219" s="16" t="s">
        <v>12</v>
      </c>
      <c r="E1219" s="17">
        <v>7.0</v>
      </c>
      <c r="F1219" s="18">
        <f>E1219* 0.843786808009423</f>
        <v>5.906507656</v>
      </c>
      <c r="G1219" s="18">
        <f>E1219* 0.0740675304279545</f>
        <v>0.518472713</v>
      </c>
      <c r="H1219" s="18">
        <f>E1219* 0.0820965842167256</f>
        <v>0.5746760895</v>
      </c>
    </row>
    <row r="1220" ht="15.75" hidden="1" customHeight="1">
      <c r="A1220" s="15" t="s">
        <v>105</v>
      </c>
      <c r="B1220" s="8"/>
      <c r="C1220" s="8"/>
      <c r="D1220" s="9"/>
      <c r="E1220" s="19"/>
    </row>
    <row r="1221" ht="15.75" hidden="1" customHeight="1">
      <c r="A1221" s="15" t="s">
        <v>105</v>
      </c>
      <c r="B1221" s="11" t="s">
        <v>146</v>
      </c>
      <c r="C1221" s="12" t="str">
        <f>B1221&amp;"_"&amp;A1221</f>
        <v>Vila Vila_Cochabamba</v>
      </c>
      <c r="E1221" s="13">
        <v>1.0</v>
      </c>
      <c r="F1221" s="14">
        <f t="shared" ref="F1221:H1221" si="119">SUM(F1222:F1223)</f>
        <v>0.9995137665</v>
      </c>
      <c r="G1221" s="14">
        <f t="shared" si="119"/>
        <v>0.00002431167568</v>
      </c>
      <c r="H1221" s="14">
        <f t="shared" si="119"/>
        <v>0.0003403634596</v>
      </c>
    </row>
    <row r="1222" ht="15.75" hidden="1" customHeight="1">
      <c r="A1222" s="15" t="s">
        <v>105</v>
      </c>
      <c r="B1222" s="11" t="s">
        <v>146</v>
      </c>
      <c r="C1222" s="15"/>
      <c r="D1222" s="16" t="s">
        <v>21</v>
      </c>
      <c r="E1222" s="17">
        <v>1.0</v>
      </c>
      <c r="F1222" s="18">
        <f>E1222* 0.999513766486355</f>
        <v>0.9995137665</v>
      </c>
      <c r="G1222" s="18">
        <f>E1222* 0.0000243116756822464</f>
        <v>0.00002431167568</v>
      </c>
      <c r="H1222" s="18">
        <f>E1222* 0.00034036345955145</f>
        <v>0.0003403634596</v>
      </c>
    </row>
    <row r="1223" ht="15.75" hidden="1" customHeight="1">
      <c r="A1223" s="15" t="s">
        <v>105</v>
      </c>
      <c r="B1223" s="11" t="s">
        <v>146</v>
      </c>
      <c r="C1223" s="15"/>
      <c r="D1223" s="16" t="s">
        <v>12</v>
      </c>
      <c r="E1223" s="17">
        <v>0.0</v>
      </c>
      <c r="F1223" s="18">
        <f>E1223* 0.843786808009423</f>
        <v>0</v>
      </c>
      <c r="G1223" s="18">
        <f>E1223* 0.0740675304279545</f>
        <v>0</v>
      </c>
      <c r="H1223" s="18">
        <f>E1223* 0.0820965842167256</f>
        <v>0</v>
      </c>
    </row>
    <row r="1224" ht="15.75" hidden="1" customHeight="1">
      <c r="A1224" s="15" t="s">
        <v>105</v>
      </c>
      <c r="B1224" s="8"/>
      <c r="C1224" s="8"/>
      <c r="D1224" s="9"/>
      <c r="E1224" s="19"/>
    </row>
    <row r="1225" ht="15.75" hidden="1" customHeight="1">
      <c r="A1225" s="15" t="s">
        <v>105</v>
      </c>
      <c r="B1225" s="11" t="s">
        <v>147</v>
      </c>
      <c r="C1225" s="12" t="str">
        <f>B1225&amp;"_"&amp;A1225</f>
        <v>Villa Rivero_Cochabamba</v>
      </c>
      <c r="E1225" s="13">
        <v>189.0</v>
      </c>
      <c r="F1225" s="14">
        <f t="shared" ref="F1225:H1225" si="120">SUM(F1226:F1236)</f>
        <v>157.9593941</v>
      </c>
      <c r="G1225" s="14">
        <f t="shared" si="120"/>
        <v>19.14913497</v>
      </c>
      <c r="H1225" s="14">
        <f t="shared" si="120"/>
        <v>11.87639586</v>
      </c>
    </row>
    <row r="1226" ht="15.75" hidden="1" customHeight="1">
      <c r="A1226" s="15" t="s">
        <v>105</v>
      </c>
      <c r="B1226" s="11" t="s">
        <v>147</v>
      </c>
      <c r="C1226" s="15"/>
      <c r="D1226" s="16" t="s">
        <v>14</v>
      </c>
      <c r="E1226" s="17">
        <v>0.0</v>
      </c>
      <c r="F1226" s="20">
        <v>0.0</v>
      </c>
      <c r="G1226" s="20">
        <f>E1226</f>
        <v>0</v>
      </c>
      <c r="H1226" s="20">
        <v>0.0</v>
      </c>
    </row>
    <row r="1227" ht="15.75" hidden="1" customHeight="1">
      <c r="A1227" s="15" t="s">
        <v>105</v>
      </c>
      <c r="B1227" s="11" t="s">
        <v>147</v>
      </c>
      <c r="C1227" s="15"/>
      <c r="D1227" s="16" t="s">
        <v>15</v>
      </c>
      <c r="E1227" s="17">
        <v>16.0</v>
      </c>
      <c r="F1227" s="18">
        <f>E1227* 0.932775698199239</f>
        <v>14.92441117</v>
      </c>
      <c r="G1227" s="18">
        <f>E1227* 0.00808724987291465</f>
        <v>0.129395998</v>
      </c>
      <c r="H1227" s="18">
        <f>E1227*0.0590600305004852</f>
        <v>0.944960488</v>
      </c>
    </row>
    <row r="1228" ht="15.75" hidden="1" customHeight="1">
      <c r="A1228" s="15" t="s">
        <v>105</v>
      </c>
      <c r="B1228" s="11" t="s">
        <v>147</v>
      </c>
      <c r="C1228" s="15"/>
      <c r="D1228" s="16" t="s">
        <v>11</v>
      </c>
      <c r="E1228" s="17">
        <v>6.0</v>
      </c>
      <c r="F1228" s="18">
        <f>E1228* 0.150611071171819</f>
        <v>0.903666427</v>
      </c>
      <c r="G1228" s="18">
        <f>E1228* 0.847699496764917</f>
        <v>5.086196981</v>
      </c>
      <c r="H1228" s="18">
        <f>E1228* 0.00136592379583034</f>
        <v>0.008195542775</v>
      </c>
    </row>
    <row r="1229" ht="15.75" hidden="1" customHeight="1">
      <c r="A1229" s="15" t="s">
        <v>105</v>
      </c>
      <c r="B1229" s="11" t="s">
        <v>147</v>
      </c>
      <c r="C1229" s="15"/>
      <c r="D1229" s="16" t="s">
        <v>17</v>
      </c>
      <c r="E1229" s="17">
        <v>4.0</v>
      </c>
      <c r="F1229" s="18">
        <f>E1229* 0.840430229624022</f>
        <v>3.361720918</v>
      </c>
      <c r="G1229" s="18">
        <f>E1229* 0.0777504415846581</f>
        <v>0.3110017663</v>
      </c>
      <c r="H1229" s="18">
        <f>E1229* 0.0817877870300278</f>
        <v>0.3271511481</v>
      </c>
    </row>
    <row r="1230" ht="15.75" hidden="1" customHeight="1">
      <c r="A1230" s="15" t="s">
        <v>105</v>
      </c>
      <c r="B1230" s="11" t="s">
        <v>147</v>
      </c>
      <c r="C1230" s="15"/>
      <c r="D1230" s="16" t="s">
        <v>31</v>
      </c>
      <c r="E1230" s="17">
        <v>7.0</v>
      </c>
      <c r="F1230" s="18">
        <f>E1230* 0.901975683890578</f>
        <v>6.313829787</v>
      </c>
      <c r="G1230" s="18">
        <f>E1230* 0.0364741641337386</f>
        <v>0.2553191489</v>
      </c>
      <c r="H1230" s="18">
        <f>E1230* 0.0615501519756839</f>
        <v>0.4308510638</v>
      </c>
    </row>
    <row r="1231" ht="15.75" hidden="1" customHeight="1">
      <c r="A1231" s="15" t="s">
        <v>105</v>
      </c>
      <c r="B1231" s="11" t="s">
        <v>147</v>
      </c>
      <c r="C1231" s="15"/>
      <c r="D1231" s="16" t="s">
        <v>18</v>
      </c>
      <c r="E1231" s="17">
        <v>1.0</v>
      </c>
      <c r="F1231" s="18">
        <f>E1231* 0.932934264493959</f>
        <v>0.9329342645</v>
      </c>
      <c r="G1231" s="18">
        <f>E1231* 0.0585300964416362</f>
        <v>0.05853009644</v>
      </c>
      <c r="H1231" s="18">
        <f>E1231* 0.00853563906440528</f>
        <v>0.008535639064</v>
      </c>
    </row>
    <row r="1232" ht="15.75" hidden="1" customHeight="1">
      <c r="A1232" s="15" t="s">
        <v>105</v>
      </c>
      <c r="B1232" s="11" t="s">
        <v>147</v>
      </c>
      <c r="C1232" s="15"/>
      <c r="D1232" s="16" t="s">
        <v>19</v>
      </c>
      <c r="E1232" s="17">
        <v>1.0</v>
      </c>
      <c r="F1232" s="18">
        <f>E1232* 0.290681971640783</f>
        <v>0.2906819716</v>
      </c>
      <c r="G1232" s="18">
        <f>E1232* 0.694125590817016</f>
        <v>0.6941255908</v>
      </c>
      <c r="H1232" s="18">
        <f>E1232* 0.0151924375422012</f>
        <v>0.01519243754</v>
      </c>
    </row>
    <row r="1233" ht="15.75" hidden="1" customHeight="1">
      <c r="A1233" s="15" t="s">
        <v>105</v>
      </c>
      <c r="B1233" s="11" t="s">
        <v>147</v>
      </c>
      <c r="C1233" s="15"/>
      <c r="D1233" s="16" t="s">
        <v>20</v>
      </c>
      <c r="E1233" s="17">
        <v>27.0</v>
      </c>
      <c r="F1233" s="18">
        <f>E1233* 0.686268801552644</f>
        <v>18.52925764</v>
      </c>
      <c r="G1233" s="18">
        <f>E1233* 0.196991751576904</f>
        <v>5.318777293</v>
      </c>
      <c r="H1233" s="18">
        <f>E1233* 0.116642406598738</f>
        <v>3.149344978</v>
      </c>
    </row>
    <row r="1234" ht="15.75" hidden="1" customHeight="1">
      <c r="A1234" s="15" t="s">
        <v>105</v>
      </c>
      <c r="B1234" s="11" t="s">
        <v>147</v>
      </c>
      <c r="C1234" s="15"/>
      <c r="D1234" s="16" t="s">
        <v>21</v>
      </c>
      <c r="E1234" s="17">
        <v>41.0</v>
      </c>
      <c r="F1234" s="18">
        <f>E1234* 0.999513766486355</f>
        <v>40.98006443</v>
      </c>
      <c r="G1234" s="18">
        <f>E1234* 0.0000243116756822464</f>
        <v>0.000996778703</v>
      </c>
      <c r="H1234" s="18">
        <f>E1234* 0.00034036345955145</f>
        <v>0.01395490184</v>
      </c>
    </row>
    <row r="1235" ht="15.75" hidden="1" customHeight="1">
      <c r="A1235" s="15" t="s">
        <v>105</v>
      </c>
      <c r="B1235" s="11" t="s">
        <v>147</v>
      </c>
      <c r="C1235" s="15"/>
      <c r="D1235" s="16" t="s">
        <v>148</v>
      </c>
      <c r="E1235" s="17">
        <v>1.0</v>
      </c>
      <c r="F1235" s="18">
        <f>E1235* 0.00094876660341556</f>
        <v>0.0009487666034</v>
      </c>
      <c r="G1235" s="18">
        <f>E1235* 0.999051233396584</f>
        <v>0.9990512334</v>
      </c>
      <c r="H1235" s="18">
        <v>0.0</v>
      </c>
    </row>
    <row r="1236" ht="15.75" hidden="1" customHeight="1">
      <c r="A1236" s="15" t="s">
        <v>105</v>
      </c>
      <c r="B1236" s="11" t="s">
        <v>147</v>
      </c>
      <c r="C1236" s="15"/>
      <c r="D1236" s="16" t="s">
        <v>12</v>
      </c>
      <c r="E1236" s="17">
        <v>85.0</v>
      </c>
      <c r="F1236" s="18">
        <f>E1236* 0.843786808009423</f>
        <v>71.72187868</v>
      </c>
      <c r="G1236" s="18">
        <f>E1236* 0.0740675304279545</f>
        <v>6.295740086</v>
      </c>
      <c r="H1236" s="18">
        <f>E1236* 0.0820965842167256</f>
        <v>6.978209658</v>
      </c>
    </row>
    <row r="1237" ht="15.75" hidden="1" customHeight="1">
      <c r="A1237" s="15" t="s">
        <v>105</v>
      </c>
      <c r="B1237" s="8"/>
      <c r="C1237" s="8"/>
      <c r="D1237" s="9"/>
      <c r="E1237" s="19"/>
    </row>
    <row r="1238" ht="15.75" hidden="1" customHeight="1">
      <c r="A1238" s="15" t="s">
        <v>105</v>
      </c>
      <c r="B1238" s="11" t="s">
        <v>149</v>
      </c>
      <c r="C1238" s="12" t="str">
        <f>B1238&amp;"_"&amp;A1238</f>
        <v>Villa Tunari_Cochabamba</v>
      </c>
      <c r="E1238" s="22">
        <v>4981.0</v>
      </c>
      <c r="F1238" s="14">
        <f t="shared" ref="F1238:H1238" si="121">SUM(F1239:F1252)</f>
        <v>4354.104962</v>
      </c>
      <c r="G1238" s="14">
        <f t="shared" si="121"/>
        <v>402.5902694</v>
      </c>
      <c r="H1238" s="14">
        <f t="shared" si="121"/>
        <v>223.8411798</v>
      </c>
    </row>
    <row r="1239" ht="15.75" hidden="1" customHeight="1">
      <c r="A1239" s="15" t="s">
        <v>105</v>
      </c>
      <c r="B1239" s="11" t="s">
        <v>149</v>
      </c>
      <c r="C1239" s="15"/>
      <c r="D1239" s="16" t="s">
        <v>14</v>
      </c>
      <c r="E1239" s="17">
        <v>0.0</v>
      </c>
      <c r="F1239" s="20">
        <v>0.0</v>
      </c>
      <c r="G1239" s="20">
        <f>E1239</f>
        <v>0</v>
      </c>
      <c r="H1239" s="20">
        <v>0.0</v>
      </c>
    </row>
    <row r="1240" ht="15.75" hidden="1" customHeight="1">
      <c r="A1240" s="15" t="s">
        <v>105</v>
      </c>
      <c r="B1240" s="11" t="s">
        <v>149</v>
      </c>
      <c r="C1240" s="15"/>
      <c r="D1240" s="16" t="s">
        <v>15</v>
      </c>
      <c r="E1240" s="17">
        <v>65.0</v>
      </c>
      <c r="F1240" s="18">
        <f>E1240* 0.932775698199239</f>
        <v>60.63042038</v>
      </c>
      <c r="G1240" s="18">
        <f>E1240* 0.00808724987291465</f>
        <v>0.5256712417</v>
      </c>
      <c r="H1240" s="18">
        <f>E1240*0.0590600305004852</f>
        <v>3.838901983</v>
      </c>
    </row>
    <row r="1241" ht="15.75" hidden="1" customHeight="1">
      <c r="A1241" s="15" t="s">
        <v>105</v>
      </c>
      <c r="B1241" s="11" t="s">
        <v>149</v>
      </c>
      <c r="C1241" s="15"/>
      <c r="D1241" s="16" t="s">
        <v>16</v>
      </c>
      <c r="E1241" s="17">
        <v>1.0</v>
      </c>
      <c r="F1241" s="18">
        <f>E1241* 0.0803212851405623</f>
        <v>0.08032128514</v>
      </c>
      <c r="G1241" s="18">
        <f>E1241* 0.913367756741251</f>
        <v>0.9133677567</v>
      </c>
      <c r="H1241" s="18">
        <f>E1241* 0.0057372346528973</f>
        <v>0.005737234653</v>
      </c>
    </row>
    <row r="1242" ht="15.75" hidden="1" customHeight="1">
      <c r="A1242" s="15" t="s">
        <v>105</v>
      </c>
      <c r="B1242" s="11" t="s">
        <v>149</v>
      </c>
      <c r="C1242" s="15"/>
      <c r="D1242" s="16" t="s">
        <v>11</v>
      </c>
      <c r="E1242" s="17">
        <v>201.0</v>
      </c>
      <c r="F1242" s="18">
        <f>E1242* 0.150611071171819</f>
        <v>30.27282531</v>
      </c>
      <c r="G1242" s="18">
        <f>E1242* 0.847699496764917</f>
        <v>170.3875988</v>
      </c>
      <c r="H1242" s="18">
        <f>E1242* 0.00136592379583034</f>
        <v>0.274550683</v>
      </c>
    </row>
    <row r="1243" ht="15.75" hidden="1" customHeight="1">
      <c r="A1243" s="15" t="s">
        <v>105</v>
      </c>
      <c r="B1243" s="11" t="s">
        <v>149</v>
      </c>
      <c r="C1243" s="15"/>
      <c r="D1243" s="16" t="s">
        <v>17</v>
      </c>
      <c r="E1243" s="17">
        <v>100.0</v>
      </c>
      <c r="F1243" s="18">
        <f>E1243* 0.840430229624022</f>
        <v>84.04302296</v>
      </c>
      <c r="G1243" s="18">
        <f>E1243* 0.0777504415846581</f>
        <v>7.775044158</v>
      </c>
      <c r="H1243" s="18">
        <f>E1243* 0.0817877870300278</f>
        <v>8.178778703</v>
      </c>
    </row>
    <row r="1244" ht="15.75" hidden="1" customHeight="1">
      <c r="A1244" s="15" t="s">
        <v>105</v>
      </c>
      <c r="B1244" s="11" t="s">
        <v>149</v>
      </c>
      <c r="C1244" s="15"/>
      <c r="D1244" s="16" t="s">
        <v>31</v>
      </c>
      <c r="E1244" s="17">
        <v>2.0</v>
      </c>
      <c r="F1244" s="18">
        <f>E1244* 0.901975683890578</f>
        <v>1.803951368</v>
      </c>
      <c r="G1244" s="18">
        <f>E1244* 0.0364741641337386</f>
        <v>0.07294832827</v>
      </c>
      <c r="H1244" s="18">
        <f>E1244* 0.0615501519756839</f>
        <v>0.123100304</v>
      </c>
    </row>
    <row r="1245" ht="15.75" hidden="1" customHeight="1">
      <c r="A1245" s="15" t="s">
        <v>105</v>
      </c>
      <c r="B1245" s="11" t="s">
        <v>149</v>
      </c>
      <c r="C1245" s="15"/>
      <c r="D1245" s="16" t="s">
        <v>18</v>
      </c>
      <c r="E1245" s="17">
        <v>16.0</v>
      </c>
      <c r="F1245" s="18">
        <f>E1245* 0.932934264493959</f>
        <v>14.92694823</v>
      </c>
      <c r="G1245" s="18">
        <f>E1245* 0.0585300964416362</f>
        <v>0.9364815431</v>
      </c>
      <c r="H1245" s="18">
        <f>E1245* 0.00853563906440528</f>
        <v>0.136570225</v>
      </c>
    </row>
    <row r="1246" ht="15.75" hidden="1" customHeight="1">
      <c r="A1246" s="15" t="s">
        <v>105</v>
      </c>
      <c r="B1246" s="11" t="s">
        <v>149</v>
      </c>
      <c r="C1246" s="15"/>
      <c r="D1246" s="16" t="s">
        <v>19</v>
      </c>
      <c r="E1246" s="17">
        <v>5.0</v>
      </c>
      <c r="F1246" s="18">
        <f>E1246* 0.290681971640783</f>
        <v>1.453409858</v>
      </c>
      <c r="G1246" s="18">
        <f>E1246* 0.694125590817016</f>
        <v>3.470627954</v>
      </c>
      <c r="H1246" s="18">
        <f>E1246* 0.0151924375422012</f>
        <v>0.07596218771</v>
      </c>
    </row>
    <row r="1247" ht="15.75" hidden="1" customHeight="1">
      <c r="A1247" s="15" t="s">
        <v>105</v>
      </c>
      <c r="B1247" s="11" t="s">
        <v>149</v>
      </c>
      <c r="C1247" s="15"/>
      <c r="D1247" s="16" t="s">
        <v>20</v>
      </c>
      <c r="E1247" s="17">
        <v>235.0</v>
      </c>
      <c r="F1247" s="18">
        <f>E1247* 0.686268801552644</f>
        <v>161.2731684</v>
      </c>
      <c r="G1247" s="18">
        <f>E1247* 0.196991751576904</f>
        <v>46.29306162</v>
      </c>
      <c r="H1247" s="18">
        <f>E1247* 0.116642406598738</f>
        <v>27.41096555</v>
      </c>
    </row>
    <row r="1248" ht="15.75" hidden="1" customHeight="1">
      <c r="A1248" s="15" t="s">
        <v>105</v>
      </c>
      <c r="B1248" s="11" t="s">
        <v>149</v>
      </c>
      <c r="C1248" s="15"/>
      <c r="D1248" s="16" t="s">
        <v>21</v>
      </c>
      <c r="E1248" s="23">
        <v>2119.0</v>
      </c>
      <c r="F1248" s="18">
        <f>E1248* 0.999513766486355</f>
        <v>2117.969671</v>
      </c>
      <c r="G1248" s="18">
        <f>E1248* 0.0000243116756822464</f>
        <v>0.05151644077</v>
      </c>
      <c r="H1248" s="18">
        <f>E1248* 0.00034036345955145</f>
        <v>0.7212301708</v>
      </c>
    </row>
    <row r="1249" ht="15.75" hidden="1" customHeight="1">
      <c r="A1249" s="15" t="s">
        <v>105</v>
      </c>
      <c r="B1249" s="11" t="s">
        <v>149</v>
      </c>
      <c r="C1249" s="15"/>
      <c r="D1249" s="16" t="s">
        <v>36</v>
      </c>
      <c r="E1249" s="17">
        <v>0.0</v>
      </c>
      <c r="F1249" s="20">
        <f>E1249</f>
        <v>0</v>
      </c>
      <c r="G1249" s="20">
        <v>0.0</v>
      </c>
      <c r="H1249" s="20">
        <v>0.0</v>
      </c>
    </row>
    <row r="1250" ht="15.75" hidden="1" customHeight="1">
      <c r="A1250" s="15" t="s">
        <v>105</v>
      </c>
      <c r="B1250" s="11" t="s">
        <v>149</v>
      </c>
      <c r="C1250" s="15"/>
      <c r="D1250" s="16" t="s">
        <v>148</v>
      </c>
      <c r="E1250" s="17">
        <v>7.0</v>
      </c>
      <c r="F1250" s="18">
        <f>E1250* 0.00094876660341556</f>
        <v>0.006641366224</v>
      </c>
      <c r="G1250" s="18">
        <f>E1250* 0.999051233396584</f>
        <v>6.993358634</v>
      </c>
      <c r="H1250" s="18">
        <v>0.0</v>
      </c>
    </row>
    <row r="1251" ht="15.75" hidden="1" customHeight="1">
      <c r="A1251" s="15" t="s">
        <v>105</v>
      </c>
      <c r="B1251" s="11" t="s">
        <v>149</v>
      </c>
      <c r="C1251" s="15"/>
      <c r="D1251" s="16" t="s">
        <v>84</v>
      </c>
      <c r="E1251" s="17">
        <v>0.0</v>
      </c>
      <c r="F1251" s="20">
        <v>0.0</v>
      </c>
      <c r="G1251" s="20">
        <f>E1251</f>
        <v>0</v>
      </c>
      <c r="H1251" s="20">
        <v>0.0</v>
      </c>
    </row>
    <row r="1252" ht="15.75" hidden="1" customHeight="1">
      <c r="A1252" s="15" t="s">
        <v>105</v>
      </c>
      <c r="B1252" s="11" t="s">
        <v>149</v>
      </c>
      <c r="C1252" s="15"/>
      <c r="D1252" s="16" t="s">
        <v>12</v>
      </c>
      <c r="E1252" s="23">
        <v>2230.0</v>
      </c>
      <c r="F1252" s="18">
        <f>E1252* 0.843786808009423</f>
        <v>1881.644582</v>
      </c>
      <c r="G1252" s="18">
        <f>E1252* 0.0740675304279545</f>
        <v>165.1705929</v>
      </c>
      <c r="H1252" s="18">
        <f>E1252* 0.0820965842167256</f>
        <v>183.0753828</v>
      </c>
    </row>
    <row r="1253" ht="15.75" hidden="1" customHeight="1">
      <c r="A1253" s="15" t="s">
        <v>105</v>
      </c>
      <c r="B1253" s="8"/>
      <c r="C1253" s="8"/>
      <c r="D1253" s="9"/>
      <c r="E1253" s="19"/>
    </row>
    <row r="1254" ht="15.75" hidden="1" customHeight="1">
      <c r="A1254" s="15" t="s">
        <v>105</v>
      </c>
      <c r="B1254" s="11" t="s">
        <v>150</v>
      </c>
      <c r="C1254" s="12" t="str">
        <f>B1254&amp;"_"&amp;A1254</f>
        <v>Vinto_Cochabamba</v>
      </c>
      <c r="E1254" s="22">
        <v>4045.0</v>
      </c>
      <c r="F1254" s="14">
        <f t="shared" ref="F1254:H1254" si="122">SUM(F1255:F1268)</f>
        <v>2945.99112</v>
      </c>
      <c r="G1254" s="14">
        <f t="shared" si="122"/>
        <v>899.7151014</v>
      </c>
      <c r="H1254" s="14">
        <f t="shared" si="122"/>
        <v>198.8740058</v>
      </c>
    </row>
    <row r="1255" ht="15.75" hidden="1" customHeight="1">
      <c r="A1255" s="15" t="s">
        <v>105</v>
      </c>
      <c r="B1255" s="11" t="s">
        <v>150</v>
      </c>
      <c r="C1255" s="15"/>
      <c r="D1255" s="16" t="s">
        <v>14</v>
      </c>
      <c r="E1255" s="17">
        <v>0.0</v>
      </c>
      <c r="F1255" s="20">
        <v>0.0</v>
      </c>
      <c r="G1255" s="20">
        <f>E1255</f>
        <v>0</v>
      </c>
      <c r="H1255" s="20">
        <v>0.0</v>
      </c>
    </row>
    <row r="1256" ht="15.75" hidden="1" customHeight="1">
      <c r="A1256" s="15" t="s">
        <v>105</v>
      </c>
      <c r="B1256" s="11" t="s">
        <v>150</v>
      </c>
      <c r="C1256" s="15"/>
      <c r="D1256" s="16" t="s">
        <v>15</v>
      </c>
      <c r="E1256" s="17">
        <v>460.0</v>
      </c>
      <c r="F1256" s="18">
        <f>E1256* 0.932775698199239</f>
        <v>429.0768212</v>
      </c>
      <c r="G1256" s="18">
        <f>E1256* 0.00808724987291465</f>
        <v>3.720134942</v>
      </c>
      <c r="H1256" s="18">
        <f>E1256*0.0590600305004852</f>
        <v>27.16761403</v>
      </c>
    </row>
    <row r="1257" ht="15.75" hidden="1" customHeight="1">
      <c r="A1257" s="15" t="s">
        <v>105</v>
      </c>
      <c r="B1257" s="11" t="s">
        <v>150</v>
      </c>
      <c r="C1257" s="15"/>
      <c r="D1257" s="16" t="s">
        <v>16</v>
      </c>
      <c r="E1257" s="17">
        <v>68.0</v>
      </c>
      <c r="F1257" s="18">
        <f>E1257* 0.0803212851405623</f>
        <v>5.46184739</v>
      </c>
      <c r="G1257" s="18">
        <f>E1257* 0.913367756741251</f>
        <v>62.10900746</v>
      </c>
      <c r="H1257" s="18">
        <f>E1257* 0.0057372346528973</f>
        <v>0.3901319564</v>
      </c>
    </row>
    <row r="1258" ht="15.75" hidden="1" customHeight="1">
      <c r="A1258" s="15" t="s">
        <v>105</v>
      </c>
      <c r="B1258" s="11" t="s">
        <v>150</v>
      </c>
      <c r="C1258" s="15"/>
      <c r="D1258" s="16" t="s">
        <v>11</v>
      </c>
      <c r="E1258" s="17">
        <v>466.0</v>
      </c>
      <c r="F1258" s="18">
        <f>E1258* 0.150611071171819</f>
        <v>70.18475917</v>
      </c>
      <c r="G1258" s="18">
        <f>E1258* 0.847699496764917</f>
        <v>395.0279655</v>
      </c>
      <c r="H1258" s="18">
        <f>E1258* 0.00136592379583034</f>
        <v>0.6365204889</v>
      </c>
    </row>
    <row r="1259" ht="15.75" hidden="1" customHeight="1">
      <c r="A1259" s="15" t="s">
        <v>105</v>
      </c>
      <c r="B1259" s="11" t="s">
        <v>150</v>
      </c>
      <c r="C1259" s="15"/>
      <c r="D1259" s="16" t="s">
        <v>17</v>
      </c>
      <c r="E1259" s="17">
        <v>412.0</v>
      </c>
      <c r="F1259" s="18">
        <f>E1259* 0.840430229624022</f>
        <v>346.2572546</v>
      </c>
      <c r="G1259" s="18">
        <f>E1259* 0.0777504415846581</f>
        <v>32.03318193</v>
      </c>
      <c r="H1259" s="18">
        <f>E1259* 0.0817877870300278</f>
        <v>33.69656826</v>
      </c>
    </row>
    <row r="1260" ht="15.75" hidden="1" customHeight="1">
      <c r="A1260" s="15" t="s">
        <v>105</v>
      </c>
      <c r="B1260" s="11" t="s">
        <v>150</v>
      </c>
      <c r="C1260" s="15"/>
      <c r="D1260" s="16" t="s">
        <v>31</v>
      </c>
      <c r="E1260" s="17">
        <v>15.0</v>
      </c>
      <c r="F1260" s="18">
        <f>E1260* 0.901975683890578</f>
        <v>13.52963526</v>
      </c>
      <c r="G1260" s="18">
        <f>E1260* 0.0364741641337386</f>
        <v>0.547112462</v>
      </c>
      <c r="H1260" s="18">
        <f>E1260* 0.0615501519756839</f>
        <v>0.9232522796</v>
      </c>
    </row>
    <row r="1261" ht="15.75" hidden="1" customHeight="1">
      <c r="A1261" s="15" t="s">
        <v>105</v>
      </c>
      <c r="B1261" s="11" t="s">
        <v>150</v>
      </c>
      <c r="C1261" s="15"/>
      <c r="D1261" s="16" t="s">
        <v>18</v>
      </c>
      <c r="E1261" s="17">
        <v>67.0</v>
      </c>
      <c r="F1261" s="18">
        <f>E1261* 0.932934264493959</f>
        <v>62.50659572</v>
      </c>
      <c r="G1261" s="18">
        <f>E1261* 0.0585300964416362</f>
        <v>3.921516462</v>
      </c>
      <c r="H1261" s="18">
        <f>E1261* 0.00853563906440528</f>
        <v>0.5718878173</v>
      </c>
    </row>
    <row r="1262" ht="15.75" hidden="1" customHeight="1">
      <c r="A1262" s="15" t="s">
        <v>105</v>
      </c>
      <c r="B1262" s="11" t="s">
        <v>150</v>
      </c>
      <c r="C1262" s="15"/>
      <c r="D1262" s="16" t="s">
        <v>19</v>
      </c>
      <c r="E1262" s="17">
        <v>32.0</v>
      </c>
      <c r="F1262" s="18">
        <f>E1262* 0.290681971640783</f>
        <v>9.301823093</v>
      </c>
      <c r="G1262" s="18">
        <f>E1262* 0.694125590817016</f>
        <v>22.21201891</v>
      </c>
      <c r="H1262" s="18">
        <f>E1262* 0.0151924375422012</f>
        <v>0.4861580014</v>
      </c>
    </row>
    <row r="1263" ht="15.75" hidden="1" customHeight="1">
      <c r="A1263" s="15" t="s">
        <v>105</v>
      </c>
      <c r="B1263" s="11" t="s">
        <v>150</v>
      </c>
      <c r="C1263" s="15"/>
      <c r="D1263" s="16" t="s">
        <v>20</v>
      </c>
      <c r="E1263" s="17">
        <v>281.0</v>
      </c>
      <c r="F1263" s="18">
        <f>E1263* 0.686268801552644</f>
        <v>192.8415332</v>
      </c>
      <c r="G1263" s="18">
        <f>E1263* 0.196991751576904</f>
        <v>55.35468219</v>
      </c>
      <c r="H1263" s="18">
        <f>E1263* 0.116642406598738</f>
        <v>32.77651625</v>
      </c>
    </row>
    <row r="1264" ht="15.75" hidden="1" customHeight="1">
      <c r="A1264" s="15" t="s">
        <v>105</v>
      </c>
      <c r="B1264" s="11" t="s">
        <v>150</v>
      </c>
      <c r="C1264" s="15"/>
      <c r="D1264" s="16" t="s">
        <v>21</v>
      </c>
      <c r="E1264" s="17">
        <v>768.0</v>
      </c>
      <c r="F1264" s="18">
        <f>E1264* 0.999513766486355</f>
        <v>767.6265727</v>
      </c>
      <c r="G1264" s="18">
        <f>E1264* 0.0000243116756822464</f>
        <v>0.01867136692</v>
      </c>
      <c r="H1264" s="18">
        <f>E1264* 0.00034036345955145</f>
        <v>0.2613991369</v>
      </c>
    </row>
    <row r="1265" ht="15.75" hidden="1" customHeight="1">
      <c r="A1265" s="15" t="s">
        <v>105</v>
      </c>
      <c r="B1265" s="11" t="s">
        <v>150</v>
      </c>
      <c r="C1265" s="15"/>
      <c r="D1265" s="16" t="s">
        <v>36</v>
      </c>
      <c r="E1265" s="17">
        <v>1.0</v>
      </c>
      <c r="F1265" s="20">
        <f>E1265</f>
        <v>1</v>
      </c>
      <c r="G1265" s="20">
        <v>0.0</v>
      </c>
      <c r="H1265" s="20">
        <v>0.0</v>
      </c>
    </row>
    <row r="1266" ht="15.75" hidden="1" customHeight="1">
      <c r="A1266" s="15" t="s">
        <v>105</v>
      </c>
      <c r="B1266" s="11" t="s">
        <v>150</v>
      </c>
      <c r="C1266" s="15"/>
      <c r="D1266" s="16" t="s">
        <v>37</v>
      </c>
      <c r="E1266" s="19"/>
      <c r="F1266" s="20">
        <v>0.0</v>
      </c>
      <c r="G1266" s="20">
        <v>0.0</v>
      </c>
      <c r="H1266" s="20">
        <v>0.0</v>
      </c>
    </row>
    <row r="1267" ht="15.75" hidden="1" customHeight="1">
      <c r="A1267" s="15" t="s">
        <v>105</v>
      </c>
      <c r="B1267" s="11" t="s">
        <v>150</v>
      </c>
      <c r="C1267" s="15"/>
      <c r="D1267" s="16" t="s">
        <v>148</v>
      </c>
      <c r="E1267" s="17">
        <v>233.0</v>
      </c>
      <c r="F1267" s="18">
        <f>E1267* 0.00094876660341556</f>
        <v>0.2210626186</v>
      </c>
      <c r="G1267" s="18">
        <f>E1267* 0.999051233396584</f>
        <v>232.7789374</v>
      </c>
      <c r="H1267" s="18">
        <v>0.0</v>
      </c>
    </row>
    <row r="1268" ht="15.75" hidden="1" customHeight="1">
      <c r="A1268" s="15" t="s">
        <v>105</v>
      </c>
      <c r="B1268" s="11" t="s">
        <v>150</v>
      </c>
      <c r="C1268" s="15"/>
      <c r="D1268" s="25" t="s">
        <v>12</v>
      </c>
      <c r="E1268" s="27">
        <v>1242.0</v>
      </c>
      <c r="F1268" s="18">
        <f>E1268* 0.843786808009423</f>
        <v>1047.983216</v>
      </c>
      <c r="G1268" s="18">
        <f>E1268* 0.0740675304279545</f>
        <v>91.99187279</v>
      </c>
      <c r="H1268" s="18">
        <f>E1268* 0.0820965842167256</f>
        <v>101.9639576</v>
      </c>
    </row>
    <row r="1269" ht="15.75" customHeight="1">
      <c r="A1269" s="15" t="s">
        <v>151</v>
      </c>
      <c r="B1269" s="11" t="s">
        <v>152</v>
      </c>
      <c r="C1269" s="12" t="str">
        <f>B1269&amp;"_"&amp;A1269</f>
        <v>Andamarca_Oruro</v>
      </c>
      <c r="E1269" s="22">
        <v>1.0</v>
      </c>
      <c r="F1269" s="14">
        <f t="shared" ref="F1269:H1269" si="123">SUM(F1270:F1272)</f>
        <v>0.8494004049</v>
      </c>
      <c r="G1269" s="14">
        <f t="shared" si="123"/>
        <v>0.06547266781</v>
      </c>
      <c r="H1269" s="14">
        <f t="shared" si="123"/>
        <v>0.08512692727</v>
      </c>
    </row>
    <row r="1270" ht="15.75" hidden="1" customHeight="1">
      <c r="A1270" s="15" t="s">
        <v>151</v>
      </c>
      <c r="B1270" s="11" t="s">
        <v>152</v>
      </c>
      <c r="C1270" s="15"/>
      <c r="D1270" s="16" t="s">
        <v>11</v>
      </c>
      <c r="E1270" s="23">
        <v>0.0</v>
      </c>
      <c r="F1270" s="18">
        <f>E1270* 0.080360592401803</f>
        <v>0</v>
      </c>
      <c r="G1270" s="18">
        <f>E1270* 0.917192530585963</f>
        <v>0</v>
      </c>
      <c r="H1270" s="18">
        <f>E1270* 0.00218931101094656</f>
        <v>0</v>
      </c>
    </row>
    <row r="1271" ht="15.75" hidden="1" customHeight="1">
      <c r="A1271" s="15" t="s">
        <v>151</v>
      </c>
      <c r="B1271" s="11" t="s">
        <v>152</v>
      </c>
      <c r="C1271" s="15"/>
      <c r="D1271" s="16" t="s">
        <v>21</v>
      </c>
      <c r="E1271" s="23">
        <v>0.0</v>
      </c>
      <c r="F1271" s="18">
        <f>E1271* 0.999801370543252</f>
        <v>0</v>
      </c>
      <c r="G1271" s="18">
        <f>E1271* 0.0000993147283742179</f>
        <v>0</v>
      </c>
      <c r="H1271" s="18">
        <f>E1271* 0.0000993147283742179</f>
        <v>0</v>
      </c>
    </row>
    <row r="1272" ht="15.75" hidden="1" customHeight="1">
      <c r="A1272" s="15" t="s">
        <v>151</v>
      </c>
      <c r="B1272" s="11" t="s">
        <v>152</v>
      </c>
      <c r="C1272" s="15"/>
      <c r="D1272" s="16" t="s">
        <v>12</v>
      </c>
      <c r="E1272" s="23">
        <v>1.0</v>
      </c>
      <c r="F1272" s="18">
        <f>E1272* 0.849400404921352</f>
        <v>0.8494004049</v>
      </c>
      <c r="G1272" s="18">
        <f>E1272* 0.0654726678087525</f>
        <v>0.06547266781</v>
      </c>
      <c r="H1272" s="18">
        <f>E1272* 0.0851269272698957</f>
        <v>0.08512692727</v>
      </c>
    </row>
    <row r="1273" ht="15.75" hidden="1" customHeight="1">
      <c r="A1273" s="15" t="s">
        <v>151</v>
      </c>
      <c r="B1273" s="8"/>
      <c r="C1273" s="8"/>
      <c r="D1273" s="9"/>
      <c r="E1273" s="29"/>
    </row>
    <row r="1274" ht="15.75" customHeight="1">
      <c r="A1274" s="15" t="s">
        <v>151</v>
      </c>
      <c r="B1274" s="11" t="s">
        <v>153</v>
      </c>
      <c r="C1274" s="12" t="str">
        <f>B1274&amp;"_"&amp;A1274</f>
        <v>Belén de Andamarca_Oruro</v>
      </c>
      <c r="E1274" s="22">
        <v>0.0</v>
      </c>
      <c r="F1274" s="14">
        <v>0.0</v>
      </c>
      <c r="G1274" s="14">
        <v>0.0</v>
      </c>
      <c r="H1274" s="14">
        <v>0.0</v>
      </c>
    </row>
    <row r="1275" ht="15.75" hidden="1" customHeight="1">
      <c r="A1275" s="15" t="s">
        <v>151</v>
      </c>
      <c r="B1275" s="11" t="s">
        <v>153</v>
      </c>
      <c r="C1275" s="15"/>
      <c r="D1275" s="16" t="s">
        <v>12</v>
      </c>
      <c r="E1275" s="23">
        <v>0.0</v>
      </c>
      <c r="F1275" s="18">
        <f>E1275* 0.849400404921352</f>
        <v>0</v>
      </c>
      <c r="G1275" s="18">
        <f>E1275* 0.0654726678087525</f>
        <v>0</v>
      </c>
      <c r="H1275" s="18">
        <f>E1275* 0.0851269272698957</f>
        <v>0</v>
      </c>
    </row>
    <row r="1276" ht="15.75" hidden="1" customHeight="1">
      <c r="A1276" s="15" t="s">
        <v>151</v>
      </c>
      <c r="B1276" s="8"/>
      <c r="C1276" s="8"/>
      <c r="D1276" s="9"/>
      <c r="E1276" s="29"/>
    </row>
    <row r="1277" ht="15.75" customHeight="1">
      <c r="A1277" s="15" t="s">
        <v>151</v>
      </c>
      <c r="B1277" s="11" t="s">
        <v>154</v>
      </c>
      <c r="C1277" s="12" t="str">
        <f>B1277&amp;"_"&amp;A1277</f>
        <v>Caracollo_Oruro</v>
      </c>
      <c r="E1277" s="22">
        <v>36.0</v>
      </c>
      <c r="F1277" s="14">
        <f t="shared" ref="F1277:H1277" si="124">SUM(F1278:F1290)</f>
        <v>24.86014106</v>
      </c>
      <c r="G1277" s="14">
        <f t="shared" si="124"/>
        <v>9.151673933</v>
      </c>
      <c r="H1277" s="14">
        <f t="shared" si="124"/>
        <v>1.98588787</v>
      </c>
    </row>
    <row r="1278" ht="15.75" hidden="1" customHeight="1">
      <c r="A1278" s="15" t="s">
        <v>151</v>
      </c>
      <c r="B1278" s="11" t="s">
        <v>154</v>
      </c>
      <c r="C1278" s="15"/>
      <c r="D1278" s="16" t="s">
        <v>53</v>
      </c>
      <c r="E1278" s="23">
        <v>0.0</v>
      </c>
      <c r="F1278" s="20">
        <v>0.0</v>
      </c>
      <c r="G1278" s="24">
        <f>E1278</f>
        <v>0</v>
      </c>
      <c r="H1278" s="20">
        <v>0.0</v>
      </c>
    </row>
    <row r="1279" ht="15.75" hidden="1" customHeight="1">
      <c r="A1279" s="15" t="s">
        <v>151</v>
      </c>
      <c r="B1279" s="11" t="s">
        <v>154</v>
      </c>
      <c r="C1279" s="15"/>
      <c r="D1279" s="16" t="s">
        <v>15</v>
      </c>
      <c r="E1279" s="23">
        <v>9.0</v>
      </c>
      <c r="F1279" s="18">
        <f>E1279* 0.929012779104059</f>
        <v>8.361115012</v>
      </c>
      <c r="G1279" s="18">
        <f>E1279* 0.00947900575761831</f>
        <v>0.08531105182</v>
      </c>
      <c r="H1279" s="18">
        <f>E1279* 0.0614380002808594</f>
        <v>0.5529420025</v>
      </c>
    </row>
    <row r="1280" ht="15.75" hidden="1" customHeight="1">
      <c r="A1280" s="15" t="s">
        <v>151</v>
      </c>
      <c r="B1280" s="11" t="s">
        <v>154</v>
      </c>
      <c r="C1280" s="15"/>
      <c r="D1280" s="16" t="s">
        <v>16</v>
      </c>
      <c r="E1280" s="23">
        <v>0.0</v>
      </c>
      <c r="F1280" s="18">
        <f>E1280* 0.0624390243902439</f>
        <v>0</v>
      </c>
      <c r="G1280" s="18">
        <f>E1280* 0.936585365853659</f>
        <v>0</v>
      </c>
      <c r="H1280" s="20">
        <v>0.0</v>
      </c>
    </row>
    <row r="1281" ht="15.75" hidden="1" customHeight="1">
      <c r="A1281" s="15" t="s">
        <v>151</v>
      </c>
      <c r="B1281" s="11" t="s">
        <v>154</v>
      </c>
      <c r="C1281" s="15"/>
      <c r="D1281" s="16" t="s">
        <v>11</v>
      </c>
      <c r="E1281" s="23">
        <v>6.0</v>
      </c>
      <c r="F1281" s="18">
        <f>E1281* 0.080360592401803</f>
        <v>0.4821635544</v>
      </c>
      <c r="G1281" s="18">
        <f>E1281* 0.917192530585963</f>
        <v>5.503155184</v>
      </c>
      <c r="H1281" s="18">
        <f>E1281* 0.00218931101094656</f>
        <v>0.01313586607</v>
      </c>
    </row>
    <row r="1282" ht="15.75" hidden="1" customHeight="1">
      <c r="A1282" s="15" t="s">
        <v>151</v>
      </c>
      <c r="B1282" s="11" t="s">
        <v>154</v>
      </c>
      <c r="C1282" s="15"/>
      <c r="D1282" s="16" t="s">
        <v>17</v>
      </c>
      <c r="E1282" s="23">
        <v>6.0</v>
      </c>
      <c r="F1282" s="18">
        <f>E1282* 0.836035451794207</f>
        <v>5.016212711</v>
      </c>
      <c r="G1282" s="18">
        <f>E1282* 0.0583657587548638</f>
        <v>0.3501945525</v>
      </c>
      <c r="H1282" s="18">
        <f>E1282* 0.10559878945093</f>
        <v>0.6335927367</v>
      </c>
    </row>
    <row r="1283" ht="15.75" hidden="1" customHeight="1">
      <c r="A1283" s="15" t="s">
        <v>151</v>
      </c>
      <c r="B1283" s="11" t="s">
        <v>154</v>
      </c>
      <c r="C1283" s="15"/>
      <c r="D1283" s="16" t="s">
        <v>31</v>
      </c>
      <c r="E1283" s="23">
        <v>0.0</v>
      </c>
      <c r="F1283" s="18">
        <f>E1283* 0.872611464968153</f>
        <v>0</v>
      </c>
      <c r="G1283" s="18">
        <f>E1283* 0.0764331210191083</f>
        <v>0</v>
      </c>
      <c r="H1283" s="18">
        <f>E1283* 0.0509554140127389</f>
        <v>0</v>
      </c>
    </row>
    <row r="1284" ht="15.75" hidden="1" customHeight="1">
      <c r="A1284" s="15" t="s">
        <v>151</v>
      </c>
      <c r="B1284" s="11" t="s">
        <v>154</v>
      </c>
      <c r="C1284" s="15"/>
      <c r="D1284" s="16" t="s">
        <v>18</v>
      </c>
      <c r="E1284" s="23">
        <v>1.0</v>
      </c>
      <c r="F1284" s="18">
        <f>E1284* 0.920270974465868</f>
        <v>0.9202709745</v>
      </c>
      <c r="G1284" s="18">
        <f>E1284* 0.0703491401771756</f>
        <v>0.07034914018</v>
      </c>
      <c r="H1284" s="18">
        <f>E1284* 0.00937988535695675</f>
        <v>0.009379885357</v>
      </c>
    </row>
    <row r="1285" ht="15.75" hidden="1" customHeight="1">
      <c r="A1285" s="15" t="s">
        <v>151</v>
      </c>
      <c r="B1285" s="11" t="s">
        <v>154</v>
      </c>
      <c r="C1285" s="15"/>
      <c r="D1285" s="16" t="s">
        <v>19</v>
      </c>
      <c r="E1285" s="23">
        <v>3.0</v>
      </c>
      <c r="F1285" s="18">
        <f>E1285* 0.223420647149461</f>
        <v>0.6702619414</v>
      </c>
      <c r="G1285" s="18">
        <f>E1285* 0.773497688751926</f>
        <v>2.320493066</v>
      </c>
      <c r="H1285" s="18">
        <f>E1285* 0.00308166409861325</f>
        <v>0.009244992296</v>
      </c>
    </row>
    <row r="1286" ht="15.75" hidden="1" customHeight="1">
      <c r="A1286" s="15" t="s">
        <v>151</v>
      </c>
      <c r="B1286" s="11" t="s">
        <v>154</v>
      </c>
      <c r="C1286" s="15"/>
      <c r="D1286" s="16" t="s">
        <v>20</v>
      </c>
      <c r="E1286" s="23">
        <v>1.0</v>
      </c>
      <c r="F1286" s="18">
        <f>E1286* 0.61531089014017</f>
        <v>0.6153108901</v>
      </c>
      <c r="G1286" s="18">
        <f>E1286* 0.298190966814424</f>
        <v>0.2981909668</v>
      </c>
      <c r="H1286" s="18">
        <f>E1286* 0.086378339523182</f>
        <v>0.08637833952</v>
      </c>
    </row>
    <row r="1287" ht="15.75" hidden="1" customHeight="1">
      <c r="A1287" s="15" t="s">
        <v>151</v>
      </c>
      <c r="B1287" s="11" t="s">
        <v>154</v>
      </c>
      <c r="C1287" s="15"/>
      <c r="D1287" s="16" t="s">
        <v>21</v>
      </c>
      <c r="E1287" s="23">
        <v>2.0</v>
      </c>
      <c r="F1287" s="18">
        <f>E1287* 0.999801370543252</f>
        <v>1.999602741</v>
      </c>
      <c r="G1287" s="18">
        <f>E1287* 0.0000993147283742179</f>
        <v>0.0001986294567</v>
      </c>
      <c r="H1287" s="18">
        <f>E1287* 0.0000993147283742179</f>
        <v>0.0001986294567</v>
      </c>
    </row>
    <row r="1288" ht="15.75" hidden="1" customHeight="1">
      <c r="A1288" s="15" t="s">
        <v>151</v>
      </c>
      <c r="B1288" s="11" t="s">
        <v>154</v>
      </c>
      <c r="C1288" s="15"/>
      <c r="D1288" s="16" t="s">
        <v>36</v>
      </c>
      <c r="E1288" s="23">
        <v>0.0</v>
      </c>
      <c r="F1288" s="24">
        <f>E1288</f>
        <v>0</v>
      </c>
      <c r="G1288" s="20">
        <v>0.0</v>
      </c>
      <c r="H1288" s="20">
        <v>0.0</v>
      </c>
    </row>
    <row r="1289" ht="15.75" hidden="1" customHeight="1">
      <c r="A1289" s="15" t="s">
        <v>151</v>
      </c>
      <c r="B1289" s="11" t="s">
        <v>154</v>
      </c>
      <c r="C1289" s="15"/>
      <c r="D1289" s="16" t="s">
        <v>28</v>
      </c>
      <c r="E1289" s="23">
        <v>0.0</v>
      </c>
      <c r="F1289" s="20">
        <v>0.0</v>
      </c>
      <c r="G1289" s="18">
        <f>E1289* 0.99904671115348</f>
        <v>0</v>
      </c>
      <c r="H1289" s="18">
        <f>E1289* 0.000953288846520496</f>
        <v>0</v>
      </c>
    </row>
    <row r="1290" ht="15.75" hidden="1" customHeight="1">
      <c r="A1290" s="15" t="s">
        <v>151</v>
      </c>
      <c r="B1290" s="11" t="s">
        <v>154</v>
      </c>
      <c r="C1290" s="15"/>
      <c r="D1290" s="16" t="s">
        <v>12</v>
      </c>
      <c r="E1290" s="23">
        <v>8.0</v>
      </c>
      <c r="F1290" s="18">
        <f>E1290* 0.849400404921352</f>
        <v>6.795203239</v>
      </c>
      <c r="G1290" s="18">
        <f>E1290* 0.0654726678087525</f>
        <v>0.5237813425</v>
      </c>
      <c r="H1290" s="18">
        <f>E1290* 0.0851269272698957</f>
        <v>0.6810154182</v>
      </c>
    </row>
    <row r="1291" ht="15.75" hidden="1" customHeight="1">
      <c r="A1291" s="15" t="s">
        <v>151</v>
      </c>
      <c r="B1291" s="8"/>
      <c r="C1291" s="8"/>
      <c r="D1291" s="9"/>
      <c r="E1291" s="29"/>
    </row>
    <row r="1292" ht="15.75" customHeight="1">
      <c r="A1292" s="15" t="s">
        <v>151</v>
      </c>
      <c r="B1292" s="11" t="s">
        <v>155</v>
      </c>
      <c r="C1292" s="12" t="str">
        <f>B1292&amp;"_"&amp;A1292</f>
        <v>Carangas_Oruro</v>
      </c>
      <c r="E1292" s="22">
        <v>108.0</v>
      </c>
      <c r="F1292" s="14">
        <f t="shared" ref="F1292:H1292" si="125">SUM(F1293:F1305)</f>
        <v>79.17589923</v>
      </c>
      <c r="G1292" s="14">
        <f t="shared" si="125"/>
        <v>20.88629366</v>
      </c>
      <c r="H1292" s="14">
        <f t="shared" si="125"/>
        <v>7.933280058</v>
      </c>
    </row>
    <row r="1293" ht="15.75" hidden="1" customHeight="1">
      <c r="A1293" s="15" t="s">
        <v>151</v>
      </c>
      <c r="B1293" s="11" t="s">
        <v>155</v>
      </c>
      <c r="C1293" s="15"/>
      <c r="D1293" s="16" t="s">
        <v>53</v>
      </c>
      <c r="E1293" s="23">
        <v>0.0</v>
      </c>
      <c r="F1293" s="20">
        <v>0.0</v>
      </c>
      <c r="G1293" s="24">
        <f>E1293</f>
        <v>0</v>
      </c>
      <c r="H1293" s="20">
        <v>0.0</v>
      </c>
    </row>
    <row r="1294" ht="15.75" hidden="1" customHeight="1">
      <c r="A1294" s="15" t="s">
        <v>151</v>
      </c>
      <c r="B1294" s="11" t="s">
        <v>155</v>
      </c>
      <c r="C1294" s="15"/>
      <c r="D1294" s="16" t="s">
        <v>15</v>
      </c>
      <c r="E1294" s="23">
        <v>8.0</v>
      </c>
      <c r="F1294" s="18">
        <f>E1294* 0.929012779104059</f>
        <v>7.432102233</v>
      </c>
      <c r="G1294" s="18">
        <f>E1294* 0.00947900575761831</f>
        <v>0.07583204606</v>
      </c>
      <c r="H1294" s="18">
        <f>E1294* 0.0614380002808594</f>
        <v>0.4915040022</v>
      </c>
    </row>
    <row r="1295" ht="15.75" hidden="1" customHeight="1">
      <c r="A1295" s="15" t="s">
        <v>151</v>
      </c>
      <c r="B1295" s="11" t="s">
        <v>155</v>
      </c>
      <c r="C1295" s="15"/>
      <c r="D1295" s="16" t="s">
        <v>16</v>
      </c>
      <c r="E1295" s="23">
        <v>0.0</v>
      </c>
      <c r="F1295" s="18">
        <f>E1295* 0.0624390243902439</f>
        <v>0</v>
      </c>
      <c r="G1295" s="18">
        <f>E1295* 0.936585365853659</f>
        <v>0</v>
      </c>
      <c r="H1295" s="20">
        <v>0.0</v>
      </c>
    </row>
    <row r="1296" ht="15.75" hidden="1" customHeight="1">
      <c r="A1296" s="15" t="s">
        <v>151</v>
      </c>
      <c r="B1296" s="11" t="s">
        <v>155</v>
      </c>
      <c r="C1296" s="15"/>
      <c r="D1296" s="16" t="s">
        <v>11</v>
      </c>
      <c r="E1296" s="23">
        <v>14.0</v>
      </c>
      <c r="F1296" s="18">
        <f>E1296* 0.080360592401803</f>
        <v>1.125048294</v>
      </c>
      <c r="G1296" s="18">
        <f>E1296* 0.917192530585963</f>
        <v>12.84069543</v>
      </c>
      <c r="H1296" s="18">
        <f>E1296* 0.00218931101094656</f>
        <v>0.03065035415</v>
      </c>
    </row>
    <row r="1297" ht="15.75" hidden="1" customHeight="1">
      <c r="A1297" s="15" t="s">
        <v>151</v>
      </c>
      <c r="B1297" s="11" t="s">
        <v>155</v>
      </c>
      <c r="C1297" s="15"/>
      <c r="D1297" s="16" t="s">
        <v>17</v>
      </c>
      <c r="E1297" s="23">
        <v>24.0</v>
      </c>
      <c r="F1297" s="18">
        <f>E1297* 0.836035451794207</f>
        <v>20.06485084</v>
      </c>
      <c r="G1297" s="18">
        <f>E1297* 0.0583657587548638</f>
        <v>1.40077821</v>
      </c>
      <c r="H1297" s="18">
        <f>E1297* 0.10559878945093</f>
        <v>2.534370947</v>
      </c>
    </row>
    <row r="1298" ht="15.75" hidden="1" customHeight="1">
      <c r="A1298" s="15" t="s">
        <v>151</v>
      </c>
      <c r="B1298" s="11" t="s">
        <v>155</v>
      </c>
      <c r="C1298" s="15"/>
      <c r="D1298" s="16" t="s">
        <v>31</v>
      </c>
      <c r="E1298" s="23">
        <v>0.0</v>
      </c>
      <c r="F1298" s="18">
        <f>E1298* 0.872611464968153</f>
        <v>0</v>
      </c>
      <c r="G1298" s="18">
        <f>E1298* 0.0764331210191083</f>
        <v>0</v>
      </c>
      <c r="H1298" s="18">
        <f>E1298* 0.0509554140127389</f>
        <v>0</v>
      </c>
    </row>
    <row r="1299" ht="15.75" hidden="1" customHeight="1">
      <c r="A1299" s="15" t="s">
        <v>151</v>
      </c>
      <c r="B1299" s="11" t="s">
        <v>155</v>
      </c>
      <c r="C1299" s="15"/>
      <c r="D1299" s="16" t="s">
        <v>18</v>
      </c>
      <c r="E1299" s="23">
        <v>2.0</v>
      </c>
      <c r="F1299" s="18">
        <f>E1299* 0.920270974465868</f>
        <v>1.840541949</v>
      </c>
      <c r="G1299" s="18">
        <f>E1299* 0.0703491401771756</f>
        <v>0.1406982804</v>
      </c>
      <c r="H1299" s="18">
        <f>E1299* 0.00937988535695675</f>
        <v>0.01875977071</v>
      </c>
    </row>
    <row r="1300" ht="15.75" hidden="1" customHeight="1">
      <c r="A1300" s="15" t="s">
        <v>151</v>
      </c>
      <c r="B1300" s="11" t="s">
        <v>155</v>
      </c>
      <c r="C1300" s="15"/>
      <c r="D1300" s="16" t="s">
        <v>55</v>
      </c>
      <c r="E1300" s="23">
        <v>0.0</v>
      </c>
      <c r="F1300" s="20">
        <v>0.0</v>
      </c>
      <c r="G1300" s="24">
        <f>E1300</f>
        <v>0</v>
      </c>
      <c r="H1300" s="20">
        <v>0.0</v>
      </c>
    </row>
    <row r="1301" ht="15.75" hidden="1" customHeight="1">
      <c r="A1301" s="15" t="s">
        <v>151</v>
      </c>
      <c r="B1301" s="11" t="s">
        <v>155</v>
      </c>
      <c r="C1301" s="15"/>
      <c r="D1301" s="16" t="s">
        <v>19</v>
      </c>
      <c r="E1301" s="23">
        <v>0.0</v>
      </c>
      <c r="F1301" s="18">
        <f>E1301* 0.223420647149461</f>
        <v>0</v>
      </c>
      <c r="G1301" s="18">
        <f>E1301* 0.773497688751926</f>
        <v>0</v>
      </c>
      <c r="H1301" s="18">
        <f>E1301* 0.00308166409861325</f>
        <v>0</v>
      </c>
    </row>
    <row r="1302" ht="15.75" hidden="1" customHeight="1">
      <c r="A1302" s="15" t="s">
        <v>151</v>
      </c>
      <c r="B1302" s="11" t="s">
        <v>155</v>
      </c>
      <c r="C1302" s="15"/>
      <c r="D1302" s="16" t="s">
        <v>20</v>
      </c>
      <c r="E1302" s="23">
        <v>3.0</v>
      </c>
      <c r="F1302" s="18">
        <f>E1302* 0.61531089014017</f>
        <v>1.84593267</v>
      </c>
      <c r="G1302" s="18">
        <f>E1302* 0.298190966814424</f>
        <v>0.8945729004</v>
      </c>
      <c r="H1302" s="18">
        <f>E1302* 0.086378339523182</f>
        <v>0.2591350186</v>
      </c>
    </row>
    <row r="1303" ht="15.75" hidden="1" customHeight="1">
      <c r="A1303" s="15" t="s">
        <v>151</v>
      </c>
      <c r="B1303" s="11" t="s">
        <v>155</v>
      </c>
      <c r="C1303" s="15"/>
      <c r="D1303" s="16" t="s">
        <v>21</v>
      </c>
      <c r="E1303" s="23">
        <v>1.0</v>
      </c>
      <c r="F1303" s="18">
        <f>E1303* 0.999801370543252</f>
        <v>0.9998013705</v>
      </c>
      <c r="G1303" s="18">
        <f>E1303* 0.0000993147283742179</f>
        <v>0.00009931472837</v>
      </c>
      <c r="H1303" s="18">
        <f>E1303* 0.0000993147283742179</f>
        <v>0.00009931472837</v>
      </c>
    </row>
    <row r="1304" ht="15.75" hidden="1" customHeight="1">
      <c r="A1304" s="15" t="s">
        <v>151</v>
      </c>
      <c r="B1304" s="11" t="s">
        <v>155</v>
      </c>
      <c r="C1304" s="15"/>
      <c r="D1304" s="16" t="s">
        <v>28</v>
      </c>
      <c r="E1304" s="23">
        <v>2.0</v>
      </c>
      <c r="F1304" s="20">
        <v>0.0</v>
      </c>
      <c r="G1304" s="18">
        <f>E1304* 0.99904671115348</f>
        <v>1.998093422</v>
      </c>
      <c r="H1304" s="18">
        <f>E1304* 0.000953288846520496</f>
        <v>0.001906577693</v>
      </c>
    </row>
    <row r="1305" ht="15.75" hidden="1" customHeight="1">
      <c r="A1305" s="15" t="s">
        <v>151</v>
      </c>
      <c r="B1305" s="11" t="s">
        <v>155</v>
      </c>
      <c r="C1305" s="15"/>
      <c r="D1305" s="16" t="s">
        <v>12</v>
      </c>
      <c r="E1305" s="23">
        <v>54.0</v>
      </c>
      <c r="F1305" s="18">
        <f>E1305* 0.849400404921352</f>
        <v>45.86762187</v>
      </c>
      <c r="G1305" s="18">
        <f>E1305* 0.0654726678087525</f>
        <v>3.535524062</v>
      </c>
      <c r="H1305" s="18">
        <f>E1305* 0.0851269272698957</f>
        <v>4.596854073</v>
      </c>
    </row>
    <row r="1306" ht="15.75" hidden="1" customHeight="1">
      <c r="A1306" s="15" t="s">
        <v>151</v>
      </c>
      <c r="B1306" s="8"/>
      <c r="C1306" s="8"/>
      <c r="D1306" s="9"/>
      <c r="E1306" s="29"/>
    </row>
    <row r="1307" ht="15.75" customHeight="1">
      <c r="A1307" s="15" t="s">
        <v>151</v>
      </c>
      <c r="B1307" s="11" t="s">
        <v>156</v>
      </c>
      <c r="C1307" s="12" t="str">
        <f>B1307&amp;"_"&amp;A1307</f>
        <v>Challapata_Oruro</v>
      </c>
      <c r="E1307" s="22">
        <v>2446.0</v>
      </c>
      <c r="F1307" s="14">
        <f t="shared" ref="F1307:H1307" si="126">SUM(F1308:F1321)</f>
        <v>1781.512254</v>
      </c>
      <c r="G1307" s="14">
        <f t="shared" si="126"/>
        <v>514.7123284</v>
      </c>
      <c r="H1307" s="14">
        <f t="shared" si="126"/>
        <v>149.6349945</v>
      </c>
    </row>
    <row r="1308" ht="15.75" hidden="1" customHeight="1">
      <c r="A1308" s="15" t="s">
        <v>151</v>
      </c>
      <c r="B1308" s="11" t="s">
        <v>156</v>
      </c>
      <c r="C1308" s="15"/>
      <c r="D1308" s="16" t="s">
        <v>53</v>
      </c>
      <c r="E1308" s="23">
        <v>0.0</v>
      </c>
      <c r="F1308" s="20">
        <v>0.0</v>
      </c>
      <c r="G1308" s="24">
        <f>E1308</f>
        <v>0</v>
      </c>
      <c r="H1308" s="20">
        <v>0.0</v>
      </c>
    </row>
    <row r="1309" ht="15.75" hidden="1" customHeight="1">
      <c r="A1309" s="15" t="s">
        <v>151</v>
      </c>
      <c r="B1309" s="11" t="s">
        <v>156</v>
      </c>
      <c r="C1309" s="15"/>
      <c r="D1309" s="16" t="s">
        <v>15</v>
      </c>
      <c r="E1309" s="23">
        <v>124.0</v>
      </c>
      <c r="F1309" s="18">
        <f>E1309* 0.929012779104059</f>
        <v>115.1975846</v>
      </c>
      <c r="G1309" s="18">
        <f>E1309* 0.00947900575761831</f>
        <v>1.175396714</v>
      </c>
      <c r="H1309" s="18">
        <f>E1309* 0.0614380002808594</f>
        <v>7.618312035</v>
      </c>
    </row>
    <row r="1310" ht="15.75" hidden="1" customHeight="1">
      <c r="A1310" s="15" t="s">
        <v>151</v>
      </c>
      <c r="B1310" s="11" t="s">
        <v>156</v>
      </c>
      <c r="C1310" s="15"/>
      <c r="D1310" s="16" t="s">
        <v>16</v>
      </c>
      <c r="E1310" s="23">
        <v>12.0</v>
      </c>
      <c r="F1310" s="18">
        <f>E1310* 0.0624390243902439</f>
        <v>0.7492682927</v>
      </c>
      <c r="G1310" s="18">
        <f>E1310* 0.936585365853659</f>
        <v>11.23902439</v>
      </c>
      <c r="H1310" s="20">
        <v>0.0</v>
      </c>
    </row>
    <row r="1311" ht="15.75" hidden="1" customHeight="1">
      <c r="A1311" s="15" t="s">
        <v>151</v>
      </c>
      <c r="B1311" s="11" t="s">
        <v>156</v>
      </c>
      <c r="C1311" s="15"/>
      <c r="D1311" s="16" t="s">
        <v>11</v>
      </c>
      <c r="E1311" s="23">
        <v>365.0</v>
      </c>
      <c r="F1311" s="18">
        <f>E1311* 0.080360592401803</f>
        <v>29.33161623</v>
      </c>
      <c r="G1311" s="18">
        <f>E1311* 0.917192530585963</f>
        <v>334.7752737</v>
      </c>
      <c r="H1311" s="18">
        <f>E1311* 0.00218931101094656</f>
        <v>0.799098519</v>
      </c>
    </row>
    <row r="1312" ht="15.75" hidden="1" customHeight="1">
      <c r="A1312" s="15" t="s">
        <v>151</v>
      </c>
      <c r="B1312" s="11" t="s">
        <v>156</v>
      </c>
      <c r="C1312" s="15"/>
      <c r="D1312" s="16" t="s">
        <v>17</v>
      </c>
      <c r="E1312" s="23">
        <v>330.0</v>
      </c>
      <c r="F1312" s="18">
        <f>E1312* 0.836035451794207</f>
        <v>275.8916991</v>
      </c>
      <c r="G1312" s="18">
        <f>E1312* 0.0583657587548638</f>
        <v>19.26070039</v>
      </c>
      <c r="H1312" s="18">
        <f>E1312* 0.10559878945093</f>
        <v>34.84760052</v>
      </c>
    </row>
    <row r="1313" ht="15.75" hidden="1" customHeight="1">
      <c r="A1313" s="15" t="s">
        <v>151</v>
      </c>
      <c r="B1313" s="11" t="s">
        <v>156</v>
      </c>
      <c r="C1313" s="15"/>
      <c r="D1313" s="16" t="s">
        <v>31</v>
      </c>
      <c r="E1313" s="23">
        <v>10.0</v>
      </c>
      <c r="F1313" s="18">
        <f>E1313* 0.872611464968153</f>
        <v>8.72611465</v>
      </c>
      <c r="G1313" s="18">
        <f>E1313* 0.0764331210191083</f>
        <v>0.7643312102</v>
      </c>
      <c r="H1313" s="18">
        <f>E1313* 0.0509554140127389</f>
        <v>0.5095541401</v>
      </c>
    </row>
    <row r="1314" ht="15.75" hidden="1" customHeight="1">
      <c r="A1314" s="15" t="s">
        <v>151</v>
      </c>
      <c r="B1314" s="11" t="s">
        <v>156</v>
      </c>
      <c r="C1314" s="15"/>
      <c r="D1314" s="16" t="s">
        <v>18</v>
      </c>
      <c r="E1314" s="23">
        <v>71.0</v>
      </c>
      <c r="F1314" s="18">
        <f>E1314* 0.920270974465868</f>
        <v>65.33923919</v>
      </c>
      <c r="G1314" s="18">
        <f>E1314* 0.0703491401771756</f>
        <v>4.994788953</v>
      </c>
      <c r="H1314" s="18">
        <f>E1314* 0.00937988535695675</f>
        <v>0.6659718603</v>
      </c>
    </row>
    <row r="1315" ht="15.75" hidden="1" customHeight="1">
      <c r="A1315" s="15" t="s">
        <v>151</v>
      </c>
      <c r="B1315" s="11" t="s">
        <v>156</v>
      </c>
      <c r="C1315" s="15"/>
      <c r="D1315" s="16" t="s">
        <v>19</v>
      </c>
      <c r="E1315" s="23">
        <v>3.0</v>
      </c>
      <c r="F1315" s="18">
        <f>E1315* 0.223420647149461</f>
        <v>0.6702619414</v>
      </c>
      <c r="G1315" s="18">
        <f>E1315* 0.773497688751926</f>
        <v>2.320493066</v>
      </c>
      <c r="H1315" s="18">
        <f>E1315* 0.00308166409861325</f>
        <v>0.009244992296</v>
      </c>
    </row>
    <row r="1316" ht="15.75" hidden="1" customHeight="1">
      <c r="A1316" s="15" t="s">
        <v>151</v>
      </c>
      <c r="B1316" s="11" t="s">
        <v>156</v>
      </c>
      <c r="C1316" s="15"/>
      <c r="D1316" s="16" t="s">
        <v>20</v>
      </c>
      <c r="E1316" s="23">
        <v>217.0</v>
      </c>
      <c r="F1316" s="18">
        <f>E1316* 0.61531089014017</f>
        <v>133.5224632</v>
      </c>
      <c r="G1316" s="18">
        <f>E1316* 0.298190966814424</f>
        <v>64.7074398</v>
      </c>
      <c r="H1316" s="18">
        <f>E1316* 0.086378339523182</f>
        <v>18.74409968</v>
      </c>
    </row>
    <row r="1317" ht="15.75" hidden="1" customHeight="1">
      <c r="A1317" s="15" t="s">
        <v>151</v>
      </c>
      <c r="B1317" s="11" t="s">
        <v>156</v>
      </c>
      <c r="C1317" s="15"/>
      <c r="D1317" s="16" t="s">
        <v>21</v>
      </c>
      <c r="E1317" s="23">
        <v>289.0</v>
      </c>
      <c r="F1317" s="18">
        <f>E1317* 0.999801370543252</f>
        <v>288.9425961</v>
      </c>
      <c r="G1317" s="18">
        <f>E1317* 0.0000993147283742179</f>
        <v>0.0287019565</v>
      </c>
      <c r="H1317" s="18">
        <f>E1317* 0.0000993147283742179</f>
        <v>0.0287019565</v>
      </c>
    </row>
    <row r="1318" ht="15.75" hidden="1" customHeight="1">
      <c r="A1318" s="15" t="s">
        <v>151</v>
      </c>
      <c r="B1318" s="11" t="s">
        <v>156</v>
      </c>
      <c r="C1318" s="15"/>
      <c r="D1318" s="16" t="s">
        <v>36</v>
      </c>
      <c r="E1318" s="23">
        <v>1.0</v>
      </c>
      <c r="F1318" s="24">
        <f>E1318</f>
        <v>1</v>
      </c>
      <c r="G1318" s="20">
        <v>0.0</v>
      </c>
      <c r="H1318" s="20">
        <v>0.0</v>
      </c>
    </row>
    <row r="1319" ht="15.75" hidden="1" customHeight="1">
      <c r="A1319" s="15" t="s">
        <v>151</v>
      </c>
      <c r="B1319" s="11" t="s">
        <v>156</v>
      </c>
      <c r="C1319" s="15"/>
      <c r="D1319" s="16" t="s">
        <v>37</v>
      </c>
      <c r="E1319" s="23">
        <v>0.0</v>
      </c>
      <c r="F1319" s="20">
        <v>0.0</v>
      </c>
      <c r="G1319" s="24">
        <f>E1319</f>
        <v>0</v>
      </c>
      <c r="H1319" s="20">
        <v>0.0</v>
      </c>
    </row>
    <row r="1320" ht="15.75" hidden="1" customHeight="1">
      <c r="A1320" s="15" t="s">
        <v>151</v>
      </c>
      <c r="B1320" s="11" t="s">
        <v>156</v>
      </c>
      <c r="C1320" s="15"/>
      <c r="D1320" s="16" t="s">
        <v>28</v>
      </c>
      <c r="E1320" s="23">
        <v>9.0</v>
      </c>
      <c r="F1320" s="20">
        <v>0.0</v>
      </c>
      <c r="G1320" s="18">
        <f>E1320* 0.99904671115348</f>
        <v>8.9914204</v>
      </c>
      <c r="H1320" s="18">
        <f>E1320* 0.000953288846520496</f>
        <v>0.008579599619</v>
      </c>
    </row>
    <row r="1321" ht="15.75" hidden="1" customHeight="1">
      <c r="A1321" s="15" t="s">
        <v>151</v>
      </c>
      <c r="B1321" s="11" t="s">
        <v>156</v>
      </c>
      <c r="C1321" s="15"/>
      <c r="D1321" s="16" t="s">
        <v>12</v>
      </c>
      <c r="E1321" s="23">
        <v>1015.0</v>
      </c>
      <c r="F1321" s="18">
        <f>E1321* 0.849400404921352</f>
        <v>862.141411</v>
      </c>
      <c r="G1321" s="18">
        <f>E1321* 0.0654726678087525</f>
        <v>66.45475783</v>
      </c>
      <c r="H1321" s="18">
        <f>E1321* 0.0851269272698957</f>
        <v>86.40383118</v>
      </c>
    </row>
    <row r="1322" ht="15.75" hidden="1" customHeight="1">
      <c r="A1322" s="15" t="s">
        <v>151</v>
      </c>
      <c r="B1322" s="8"/>
      <c r="C1322" s="8"/>
      <c r="D1322" s="9"/>
      <c r="E1322" s="29"/>
    </row>
    <row r="1323" ht="15.75" customHeight="1">
      <c r="A1323" s="15" t="s">
        <v>151</v>
      </c>
      <c r="B1323" s="11" t="s">
        <v>157</v>
      </c>
      <c r="C1323" s="12" t="str">
        <f>B1323&amp;"_"&amp;A1323</f>
        <v>Chipaya_Oruro</v>
      </c>
      <c r="E1323" s="22">
        <v>1.0</v>
      </c>
      <c r="F1323" s="14">
        <f t="shared" ref="F1323:H1323" si="127">F1324</f>
        <v>0.0803605924</v>
      </c>
      <c r="G1323" s="14">
        <f t="shared" si="127"/>
        <v>0.9171925306</v>
      </c>
      <c r="H1323" s="14">
        <f t="shared" si="127"/>
        <v>0.002189311011</v>
      </c>
    </row>
    <row r="1324" ht="15.75" hidden="1" customHeight="1">
      <c r="A1324" s="15" t="s">
        <v>151</v>
      </c>
      <c r="B1324" s="11" t="s">
        <v>157</v>
      </c>
      <c r="C1324" s="15"/>
      <c r="D1324" s="16" t="s">
        <v>11</v>
      </c>
      <c r="E1324" s="23">
        <v>1.0</v>
      </c>
      <c r="F1324" s="18">
        <f>E1324* 0.080360592401803</f>
        <v>0.0803605924</v>
      </c>
      <c r="G1324" s="18">
        <f>E1324* 0.917192530585963</f>
        <v>0.9171925306</v>
      </c>
      <c r="H1324" s="18">
        <f>E1324* 0.00218931101094656</f>
        <v>0.002189311011</v>
      </c>
    </row>
    <row r="1325" ht="15.75" hidden="1" customHeight="1">
      <c r="A1325" s="15" t="s">
        <v>151</v>
      </c>
      <c r="B1325" s="8"/>
      <c r="C1325" s="8"/>
      <c r="D1325" s="9"/>
      <c r="E1325" s="29"/>
    </row>
    <row r="1326" ht="15.75" customHeight="1">
      <c r="A1326" s="15" t="s">
        <v>151</v>
      </c>
      <c r="B1326" s="11" t="s">
        <v>158</v>
      </c>
      <c r="C1326" s="12" t="str">
        <f>B1326&amp;"_"&amp;A1326</f>
        <v>Coipasa_Oruro</v>
      </c>
      <c r="E1326" s="22">
        <v>0.0</v>
      </c>
      <c r="F1326" s="14">
        <v>0.0</v>
      </c>
      <c r="G1326" s="14">
        <v>0.0</v>
      </c>
      <c r="H1326" s="14">
        <v>0.0</v>
      </c>
    </row>
    <row r="1327" ht="15.75" hidden="1" customHeight="1">
      <c r="A1327" s="15" t="s">
        <v>151</v>
      </c>
      <c r="B1327" s="11" t="s">
        <v>158</v>
      </c>
      <c r="C1327" s="15"/>
      <c r="D1327" s="16" t="s">
        <v>53</v>
      </c>
      <c r="E1327" s="23">
        <v>0.0</v>
      </c>
      <c r="F1327" s="20">
        <v>0.0</v>
      </c>
      <c r="G1327" s="24">
        <f>E1327</f>
        <v>0</v>
      </c>
      <c r="H1327" s="20">
        <v>0.0</v>
      </c>
    </row>
    <row r="1328" ht="15.75" hidden="1" customHeight="1">
      <c r="A1328" s="15" t="s">
        <v>151</v>
      </c>
      <c r="B1328" s="11" t="s">
        <v>158</v>
      </c>
      <c r="C1328" s="15"/>
      <c r="D1328" s="16" t="s">
        <v>15</v>
      </c>
      <c r="E1328" s="23">
        <v>0.0</v>
      </c>
      <c r="F1328" s="18">
        <f>E1328* 0.929012779104059</f>
        <v>0</v>
      </c>
      <c r="G1328" s="18">
        <f>E1328* 0.00947900575761831</f>
        <v>0</v>
      </c>
      <c r="H1328" s="18">
        <f>E1328* 0.0614380002808594</f>
        <v>0</v>
      </c>
    </row>
    <row r="1329" ht="15.75" hidden="1" customHeight="1">
      <c r="A1329" s="15" t="s">
        <v>151</v>
      </c>
      <c r="B1329" s="11" t="s">
        <v>158</v>
      </c>
      <c r="C1329" s="15"/>
      <c r="D1329" s="16" t="s">
        <v>16</v>
      </c>
      <c r="E1329" s="23">
        <v>0.0</v>
      </c>
      <c r="F1329" s="18">
        <f>E1329* 0.0624390243902439</f>
        <v>0</v>
      </c>
      <c r="G1329" s="18">
        <f>E1329* 0.936585365853659</f>
        <v>0</v>
      </c>
      <c r="H1329" s="20">
        <v>0.0</v>
      </c>
    </row>
    <row r="1330" ht="15.75" hidden="1" customHeight="1">
      <c r="A1330" s="15" t="s">
        <v>151</v>
      </c>
      <c r="B1330" s="11" t="s">
        <v>158</v>
      </c>
      <c r="C1330" s="15"/>
      <c r="D1330" s="16" t="s">
        <v>11</v>
      </c>
      <c r="E1330" s="23">
        <v>0.0</v>
      </c>
      <c r="F1330" s="18">
        <f>E1330* 0.080360592401803</f>
        <v>0</v>
      </c>
      <c r="G1330" s="18">
        <f>E1330* 0.917192530585963</f>
        <v>0</v>
      </c>
      <c r="H1330" s="18">
        <f>E1330* 0.00218931101094656</f>
        <v>0</v>
      </c>
    </row>
    <row r="1331" ht="15.75" hidden="1" customHeight="1">
      <c r="A1331" s="15" t="s">
        <v>151</v>
      </c>
      <c r="B1331" s="11" t="s">
        <v>158</v>
      </c>
      <c r="C1331" s="15"/>
      <c r="D1331" s="16" t="s">
        <v>17</v>
      </c>
      <c r="E1331" s="23">
        <v>0.0</v>
      </c>
      <c r="F1331" s="18">
        <f>E1331* 0.836035451794207</f>
        <v>0</v>
      </c>
      <c r="G1331" s="18">
        <f>E1331* 0.0583657587548638</f>
        <v>0</v>
      </c>
      <c r="H1331" s="18">
        <f>E1331* 0.10559878945093</f>
        <v>0</v>
      </c>
    </row>
    <row r="1332" ht="15.75" hidden="1" customHeight="1">
      <c r="A1332" s="15" t="s">
        <v>151</v>
      </c>
      <c r="B1332" s="11" t="s">
        <v>158</v>
      </c>
      <c r="C1332" s="15"/>
      <c r="D1332" s="16" t="s">
        <v>31</v>
      </c>
      <c r="E1332" s="23">
        <v>0.0</v>
      </c>
      <c r="F1332" s="18">
        <f>E1332* 0.872611464968153</f>
        <v>0</v>
      </c>
      <c r="G1332" s="18">
        <f>E1332* 0.0764331210191083</f>
        <v>0</v>
      </c>
      <c r="H1332" s="18">
        <f>E1332* 0.0509554140127389</f>
        <v>0</v>
      </c>
    </row>
    <row r="1333" ht="15.75" hidden="1" customHeight="1">
      <c r="A1333" s="15" t="s">
        <v>151</v>
      </c>
      <c r="B1333" s="11" t="s">
        <v>158</v>
      </c>
      <c r="C1333" s="15"/>
      <c r="D1333" s="16" t="s">
        <v>18</v>
      </c>
      <c r="E1333" s="23">
        <v>0.0</v>
      </c>
      <c r="F1333" s="18">
        <f>E1333* 0.920270974465868</f>
        <v>0</v>
      </c>
      <c r="G1333" s="18">
        <f>E1333* 0.0703491401771756</f>
        <v>0</v>
      </c>
      <c r="H1333" s="18">
        <f>E1333* 0.00937988535695675</f>
        <v>0</v>
      </c>
    </row>
    <row r="1334" ht="15.75" hidden="1" customHeight="1">
      <c r="A1334" s="15" t="s">
        <v>151</v>
      </c>
      <c r="B1334" s="11" t="s">
        <v>158</v>
      </c>
      <c r="C1334" s="15"/>
      <c r="D1334" s="16" t="s">
        <v>55</v>
      </c>
      <c r="E1334" s="23">
        <v>0.0</v>
      </c>
      <c r="F1334" s="20">
        <v>0.0</v>
      </c>
      <c r="G1334" s="24">
        <f>E1334</f>
        <v>0</v>
      </c>
      <c r="H1334" s="20">
        <v>0.0</v>
      </c>
    </row>
    <row r="1335" ht="15.75" hidden="1" customHeight="1">
      <c r="A1335" s="15" t="s">
        <v>151</v>
      </c>
      <c r="B1335" s="11" t="s">
        <v>158</v>
      </c>
      <c r="C1335" s="15"/>
      <c r="D1335" s="16" t="s">
        <v>19</v>
      </c>
      <c r="E1335" s="23">
        <v>0.0</v>
      </c>
      <c r="F1335" s="18">
        <f>E1335* 0.223420647149461</f>
        <v>0</v>
      </c>
      <c r="G1335" s="18">
        <f>E1335* 0.773497688751926</f>
        <v>0</v>
      </c>
      <c r="H1335" s="18">
        <f>E1335* 0.00308166409861325</f>
        <v>0</v>
      </c>
    </row>
    <row r="1336" ht="15.75" hidden="1" customHeight="1">
      <c r="A1336" s="15" t="s">
        <v>151</v>
      </c>
      <c r="B1336" s="11" t="s">
        <v>158</v>
      </c>
      <c r="C1336" s="15"/>
      <c r="D1336" s="16" t="s">
        <v>20</v>
      </c>
      <c r="E1336" s="23">
        <v>0.0</v>
      </c>
      <c r="F1336" s="18">
        <f>E1336* 0.61531089014017</f>
        <v>0</v>
      </c>
      <c r="G1336" s="18">
        <f>E1336* 0.298190966814424</f>
        <v>0</v>
      </c>
      <c r="H1336" s="18">
        <f>E1336* 0.086378339523182</f>
        <v>0</v>
      </c>
    </row>
    <row r="1337" ht="15.75" hidden="1" customHeight="1">
      <c r="A1337" s="15" t="s">
        <v>151</v>
      </c>
      <c r="B1337" s="11" t="s">
        <v>158</v>
      </c>
      <c r="C1337" s="15"/>
      <c r="D1337" s="16" t="s">
        <v>21</v>
      </c>
      <c r="E1337" s="23">
        <v>0.0</v>
      </c>
      <c r="F1337" s="18">
        <f>E1337* 0.999801370543252</f>
        <v>0</v>
      </c>
      <c r="G1337" s="18">
        <f>E1337* 0.0000993147283742179</f>
        <v>0</v>
      </c>
      <c r="H1337" s="18">
        <f>E1337* 0.0000993147283742179</f>
        <v>0</v>
      </c>
    </row>
    <row r="1338" ht="15.75" hidden="1" customHeight="1">
      <c r="A1338" s="15" t="s">
        <v>151</v>
      </c>
      <c r="B1338" s="11" t="s">
        <v>158</v>
      </c>
      <c r="C1338" s="15"/>
      <c r="D1338" s="16" t="s">
        <v>28</v>
      </c>
      <c r="E1338" s="23">
        <v>0.0</v>
      </c>
      <c r="F1338" s="20">
        <v>0.0</v>
      </c>
      <c r="G1338" s="18">
        <f>E1338* 0.99904671115348</f>
        <v>0</v>
      </c>
      <c r="H1338" s="18">
        <f>E1338* 0.000953288846520496</f>
        <v>0</v>
      </c>
    </row>
    <row r="1339" ht="15.75" hidden="1" customHeight="1">
      <c r="A1339" s="15" t="s">
        <v>151</v>
      </c>
      <c r="B1339" s="11" t="s">
        <v>158</v>
      </c>
      <c r="C1339" s="15"/>
      <c r="D1339" s="16" t="s">
        <v>12</v>
      </c>
      <c r="E1339" s="23">
        <v>0.0</v>
      </c>
      <c r="F1339" s="18">
        <f>E1339* 0.849400404921352</f>
        <v>0</v>
      </c>
      <c r="G1339" s="18">
        <f>E1339* 0.0654726678087525</f>
        <v>0</v>
      </c>
      <c r="H1339" s="18">
        <f>E1339* 0.0851269272698957</f>
        <v>0</v>
      </c>
    </row>
    <row r="1340" ht="15.75" hidden="1" customHeight="1">
      <c r="A1340" s="15" t="s">
        <v>151</v>
      </c>
      <c r="B1340" s="30"/>
      <c r="C1340" s="30"/>
      <c r="D1340" s="19"/>
      <c r="E1340" s="29"/>
    </row>
    <row r="1341" ht="15.75" customHeight="1">
      <c r="A1341" s="15" t="s">
        <v>151</v>
      </c>
      <c r="B1341" s="11" t="s">
        <v>159</v>
      </c>
      <c r="C1341" s="12" t="str">
        <f>B1341&amp;"_"&amp;A1341</f>
        <v>Corque_Oruro</v>
      </c>
      <c r="E1341" s="22">
        <v>1.0</v>
      </c>
      <c r="F1341" s="14">
        <f t="shared" ref="F1341:H1341" si="128">F1342</f>
        <v>0.8360354518</v>
      </c>
      <c r="G1341" s="14">
        <f t="shared" si="128"/>
        <v>0.05836575875</v>
      </c>
      <c r="H1341" s="14">
        <f t="shared" si="128"/>
        <v>0.1055987895</v>
      </c>
    </row>
    <row r="1342" ht="15.75" hidden="1" customHeight="1">
      <c r="A1342" s="15" t="s">
        <v>151</v>
      </c>
      <c r="B1342" s="11" t="s">
        <v>159</v>
      </c>
      <c r="C1342" s="15"/>
      <c r="D1342" s="16" t="s">
        <v>17</v>
      </c>
      <c r="E1342" s="23">
        <v>1.0</v>
      </c>
      <c r="F1342" s="18">
        <f>E1342* 0.836035451794207</f>
        <v>0.8360354518</v>
      </c>
      <c r="G1342" s="18">
        <f>E1342* 0.0583657587548638</f>
        <v>0.05836575875</v>
      </c>
      <c r="H1342" s="18">
        <f>E1342* 0.10559878945093</f>
        <v>0.1055987895</v>
      </c>
    </row>
    <row r="1343" ht="15.75" hidden="1" customHeight="1">
      <c r="A1343" s="15" t="s">
        <v>151</v>
      </c>
      <c r="B1343" s="21"/>
      <c r="C1343" s="21"/>
      <c r="D1343" s="16"/>
      <c r="E1343" s="29"/>
    </row>
    <row r="1344" ht="15.75" customHeight="1">
      <c r="A1344" s="15" t="s">
        <v>151</v>
      </c>
      <c r="B1344" s="11" t="s">
        <v>160</v>
      </c>
      <c r="C1344" s="12" t="str">
        <f>B1344&amp;"_"&amp;A1344</f>
        <v>Cruz de Machamarca_Oruro</v>
      </c>
      <c r="E1344" s="22">
        <v>0.0</v>
      </c>
      <c r="F1344" s="14">
        <v>0.0</v>
      </c>
      <c r="G1344" s="14">
        <v>0.0</v>
      </c>
      <c r="H1344" s="14">
        <v>0.0</v>
      </c>
    </row>
    <row r="1345" ht="15.75" hidden="1" customHeight="1">
      <c r="A1345" s="15" t="s">
        <v>151</v>
      </c>
      <c r="B1345" s="11" t="s">
        <v>160</v>
      </c>
      <c r="C1345" s="15"/>
      <c r="D1345" s="16" t="s">
        <v>53</v>
      </c>
      <c r="E1345" s="23">
        <v>0.0</v>
      </c>
      <c r="F1345" s="20">
        <v>0.0</v>
      </c>
      <c r="G1345" s="24">
        <f>E1345</f>
        <v>0</v>
      </c>
      <c r="H1345" s="20">
        <v>0.0</v>
      </c>
    </row>
    <row r="1346" ht="15.75" hidden="1" customHeight="1">
      <c r="A1346" s="15" t="s">
        <v>151</v>
      </c>
      <c r="B1346" s="11" t="s">
        <v>160</v>
      </c>
      <c r="C1346" s="15"/>
      <c r="D1346" s="16" t="s">
        <v>15</v>
      </c>
      <c r="E1346" s="23">
        <v>0.0</v>
      </c>
      <c r="F1346" s="18">
        <f>E1346* 0.929012779104059</f>
        <v>0</v>
      </c>
      <c r="G1346" s="18">
        <f>E1346* 0.00947900575761831</f>
        <v>0</v>
      </c>
      <c r="H1346" s="18">
        <f>E1346* 0.0614380002808594</f>
        <v>0</v>
      </c>
    </row>
    <row r="1347" ht="15.75" hidden="1" customHeight="1">
      <c r="A1347" s="15" t="s">
        <v>151</v>
      </c>
      <c r="B1347" s="11" t="s">
        <v>160</v>
      </c>
      <c r="C1347" s="15"/>
      <c r="D1347" s="16" t="s">
        <v>11</v>
      </c>
      <c r="E1347" s="23">
        <v>0.0</v>
      </c>
      <c r="F1347" s="18">
        <f>E1347* 0.080360592401803</f>
        <v>0</v>
      </c>
      <c r="G1347" s="18">
        <f>E1347* 0.917192530585963</f>
        <v>0</v>
      </c>
      <c r="H1347" s="18">
        <f>E1347* 0.00218931101094656</f>
        <v>0</v>
      </c>
    </row>
    <row r="1348" ht="15.75" hidden="1" customHeight="1">
      <c r="A1348" s="15" t="s">
        <v>151</v>
      </c>
      <c r="B1348" s="11" t="s">
        <v>160</v>
      </c>
      <c r="C1348" s="15"/>
      <c r="D1348" s="16" t="s">
        <v>17</v>
      </c>
      <c r="E1348" s="23">
        <v>0.0</v>
      </c>
      <c r="F1348" s="18">
        <f>E1348* 0.836035451794207</f>
        <v>0</v>
      </c>
      <c r="G1348" s="18">
        <f>E1348* 0.0583657587548638</f>
        <v>0</v>
      </c>
      <c r="H1348" s="18">
        <f>E1348* 0.10559878945093</f>
        <v>0</v>
      </c>
    </row>
    <row r="1349" ht="15.75" hidden="1" customHeight="1">
      <c r="A1349" s="15" t="s">
        <v>151</v>
      </c>
      <c r="B1349" s="11" t="s">
        <v>160</v>
      </c>
      <c r="C1349" s="15"/>
      <c r="D1349" s="16" t="s">
        <v>31</v>
      </c>
      <c r="E1349" s="23">
        <v>0.0</v>
      </c>
      <c r="F1349" s="18">
        <f>E1349* 0.872611464968153</f>
        <v>0</v>
      </c>
      <c r="G1349" s="18">
        <f>E1349* 0.0764331210191083</f>
        <v>0</v>
      </c>
      <c r="H1349" s="18">
        <f>E1349* 0.0509554140127389</f>
        <v>0</v>
      </c>
    </row>
    <row r="1350" ht="15.75" hidden="1" customHeight="1">
      <c r="A1350" s="15" t="s">
        <v>151</v>
      </c>
      <c r="B1350" s="11" t="s">
        <v>160</v>
      </c>
      <c r="C1350" s="15"/>
      <c r="D1350" s="16" t="s">
        <v>18</v>
      </c>
      <c r="E1350" s="23">
        <v>0.0</v>
      </c>
      <c r="F1350" s="18">
        <f>E1350* 0.920270974465868</f>
        <v>0</v>
      </c>
      <c r="G1350" s="18">
        <f>E1350* 0.0703491401771756</f>
        <v>0</v>
      </c>
      <c r="H1350" s="18">
        <f>E1350* 0.00937988535695675</f>
        <v>0</v>
      </c>
    </row>
    <row r="1351" ht="15.75" hidden="1" customHeight="1">
      <c r="A1351" s="15" t="s">
        <v>151</v>
      </c>
      <c r="B1351" s="11" t="s">
        <v>160</v>
      </c>
      <c r="C1351" s="15"/>
      <c r="D1351" s="16" t="s">
        <v>20</v>
      </c>
      <c r="E1351" s="23">
        <v>0.0</v>
      </c>
      <c r="F1351" s="18">
        <f>E1351* 0.61531089014017</f>
        <v>0</v>
      </c>
      <c r="G1351" s="18">
        <f>E1351* 0.298190966814424</f>
        <v>0</v>
      </c>
      <c r="H1351" s="18">
        <f>E1351* 0.086378339523182</f>
        <v>0</v>
      </c>
    </row>
    <row r="1352" ht="15.75" hidden="1" customHeight="1">
      <c r="A1352" s="15" t="s">
        <v>151</v>
      </c>
      <c r="B1352" s="11" t="s">
        <v>160</v>
      </c>
      <c r="C1352" s="15"/>
      <c r="D1352" s="16" t="s">
        <v>21</v>
      </c>
      <c r="E1352" s="23">
        <v>0.0</v>
      </c>
      <c r="F1352" s="18">
        <f>E1352* 0.999801370543252</f>
        <v>0</v>
      </c>
      <c r="G1352" s="18">
        <f>E1352* 0.0000993147283742179</f>
        <v>0</v>
      </c>
      <c r="H1352" s="18">
        <f>E1352* 0.0000993147283742179</f>
        <v>0</v>
      </c>
    </row>
    <row r="1353" ht="15.75" hidden="1" customHeight="1">
      <c r="A1353" s="15" t="s">
        <v>151</v>
      </c>
      <c r="B1353" s="11" t="s">
        <v>160</v>
      </c>
      <c r="C1353" s="15"/>
      <c r="D1353" s="16" t="s">
        <v>28</v>
      </c>
      <c r="E1353" s="23">
        <v>0.0</v>
      </c>
      <c r="F1353" s="20">
        <v>0.0</v>
      </c>
      <c r="G1353" s="18">
        <f>E1353* 0.99904671115348</f>
        <v>0</v>
      </c>
      <c r="H1353" s="18">
        <f>E1353* 0.000953288846520496</f>
        <v>0</v>
      </c>
    </row>
    <row r="1354" ht="15.75" hidden="1" customHeight="1">
      <c r="A1354" s="15" t="s">
        <v>151</v>
      </c>
      <c r="B1354" s="11" t="s">
        <v>160</v>
      </c>
      <c r="C1354" s="15"/>
      <c r="D1354" s="16" t="s">
        <v>12</v>
      </c>
      <c r="E1354" s="23">
        <v>0.0</v>
      </c>
      <c r="F1354" s="18">
        <f>E1354* 0.849400404921352</f>
        <v>0</v>
      </c>
      <c r="G1354" s="18">
        <f>E1354* 0.0654726678087525</f>
        <v>0</v>
      </c>
      <c r="H1354" s="18">
        <f>E1354* 0.0851269272698957</f>
        <v>0</v>
      </c>
    </row>
    <row r="1355" ht="15.75" hidden="1" customHeight="1">
      <c r="A1355" s="15" t="s">
        <v>151</v>
      </c>
      <c r="B1355" s="8"/>
      <c r="C1355" s="8"/>
      <c r="D1355" s="9"/>
      <c r="E1355" s="29"/>
    </row>
    <row r="1356" ht="15.75" customHeight="1">
      <c r="A1356" s="15" t="s">
        <v>151</v>
      </c>
      <c r="B1356" s="11" t="s">
        <v>161</v>
      </c>
      <c r="C1356" s="12" t="str">
        <f>B1356&amp;"_"&amp;A1356</f>
        <v>Curahuara de Carangas_Oruro</v>
      </c>
      <c r="E1356" s="22">
        <v>1.0</v>
      </c>
      <c r="F1356" s="14">
        <f t="shared" ref="F1356:H1356" si="129">F1357</f>
        <v>0.0803605924</v>
      </c>
      <c r="G1356" s="14">
        <f t="shared" si="129"/>
        <v>0.9171925306</v>
      </c>
      <c r="H1356" s="14">
        <f t="shared" si="129"/>
        <v>0.002189311011</v>
      </c>
    </row>
    <row r="1357" ht="15.75" hidden="1" customHeight="1">
      <c r="A1357" s="15" t="s">
        <v>151</v>
      </c>
      <c r="B1357" s="11" t="s">
        <v>161</v>
      </c>
      <c r="C1357" s="15"/>
      <c r="D1357" s="16" t="s">
        <v>11</v>
      </c>
      <c r="E1357" s="23">
        <v>1.0</v>
      </c>
      <c r="F1357" s="18">
        <f>E1357* 0.080360592401803</f>
        <v>0.0803605924</v>
      </c>
      <c r="G1357" s="18">
        <f>E1357* 0.917192530585963</f>
        <v>0.9171925306</v>
      </c>
      <c r="H1357" s="18">
        <f>E1357* 0.00218931101094656</f>
        <v>0.002189311011</v>
      </c>
    </row>
    <row r="1358" ht="15.75" hidden="1" customHeight="1">
      <c r="A1358" s="15" t="s">
        <v>151</v>
      </c>
      <c r="B1358" s="8"/>
      <c r="C1358" s="8"/>
      <c r="D1358" s="9"/>
      <c r="E1358" s="29"/>
    </row>
    <row r="1359" ht="15.75" customHeight="1">
      <c r="A1359" s="15" t="s">
        <v>151</v>
      </c>
      <c r="B1359" s="11" t="s">
        <v>162</v>
      </c>
      <c r="C1359" s="12" t="str">
        <f>B1359&amp;"_"&amp;A1359</f>
        <v>Escara_Oruro</v>
      </c>
      <c r="E1359" s="22">
        <v>3.0</v>
      </c>
      <c r="F1359" s="14">
        <f t="shared" ref="F1359:H1359" si="130">SUM(F1360:F1372)</f>
        <v>2.671872274</v>
      </c>
      <c r="G1359" s="14">
        <f t="shared" si="130"/>
        <v>0.1168308322</v>
      </c>
      <c r="H1359" s="14">
        <f t="shared" si="130"/>
        <v>0.2112968936</v>
      </c>
    </row>
    <row r="1360" ht="15.75" hidden="1" customHeight="1">
      <c r="A1360" s="15" t="s">
        <v>151</v>
      </c>
      <c r="B1360" s="11" t="s">
        <v>162</v>
      </c>
      <c r="C1360" s="15"/>
      <c r="D1360" s="16" t="s">
        <v>53</v>
      </c>
      <c r="E1360" s="23">
        <v>0.0</v>
      </c>
      <c r="F1360" s="20">
        <v>0.0</v>
      </c>
      <c r="G1360" s="24">
        <f>E1360</f>
        <v>0</v>
      </c>
      <c r="H1360" s="20">
        <v>0.0</v>
      </c>
    </row>
    <row r="1361" ht="15.75" hidden="1" customHeight="1">
      <c r="A1361" s="15" t="s">
        <v>151</v>
      </c>
      <c r="B1361" s="11" t="s">
        <v>162</v>
      </c>
      <c r="C1361" s="15"/>
      <c r="D1361" s="16" t="s">
        <v>15</v>
      </c>
      <c r="E1361" s="23">
        <v>0.0</v>
      </c>
      <c r="F1361" s="18">
        <f>E1361* 0.929012779104059</f>
        <v>0</v>
      </c>
      <c r="G1361" s="18">
        <f>E1361* 0.00947900575761831</f>
        <v>0</v>
      </c>
      <c r="H1361" s="18">
        <f>E1361* 0.0614380002808594</f>
        <v>0</v>
      </c>
    </row>
    <row r="1362" ht="15.75" hidden="1" customHeight="1">
      <c r="A1362" s="15" t="s">
        <v>151</v>
      </c>
      <c r="B1362" s="11" t="s">
        <v>162</v>
      </c>
      <c r="C1362" s="15"/>
      <c r="D1362" s="16" t="s">
        <v>16</v>
      </c>
      <c r="E1362" s="23">
        <v>0.0</v>
      </c>
      <c r="F1362" s="18">
        <f>E1362* 0.0624390243902439</f>
        <v>0</v>
      </c>
      <c r="G1362" s="18">
        <f>E1362* 0.936585365853659</f>
        <v>0</v>
      </c>
      <c r="H1362" s="20">
        <v>0.0</v>
      </c>
    </row>
    <row r="1363" ht="15.75" hidden="1" customHeight="1">
      <c r="A1363" s="15" t="s">
        <v>151</v>
      </c>
      <c r="B1363" s="11" t="s">
        <v>162</v>
      </c>
      <c r="C1363" s="15"/>
      <c r="D1363" s="16" t="s">
        <v>11</v>
      </c>
      <c r="E1363" s="23">
        <v>0.0</v>
      </c>
      <c r="F1363" s="18">
        <f>E1363* 0.080360592401803</f>
        <v>0</v>
      </c>
      <c r="G1363" s="18">
        <f>E1363* 0.917192530585963</f>
        <v>0</v>
      </c>
      <c r="H1363" s="18">
        <f>E1363* 0.00218931101094656</f>
        <v>0</v>
      </c>
    </row>
    <row r="1364" ht="15.75" hidden="1" customHeight="1">
      <c r="A1364" s="15" t="s">
        <v>151</v>
      </c>
      <c r="B1364" s="11" t="s">
        <v>162</v>
      </c>
      <c r="C1364" s="15"/>
      <c r="D1364" s="16" t="s">
        <v>17</v>
      </c>
      <c r="E1364" s="23">
        <v>2.0</v>
      </c>
      <c r="F1364" s="18">
        <f>E1364* 0.836035451794207</f>
        <v>1.672070904</v>
      </c>
      <c r="G1364" s="18">
        <f>E1364* 0.0583657587548638</f>
        <v>0.1167315175</v>
      </c>
      <c r="H1364" s="18">
        <f>E1364* 0.10559878945093</f>
        <v>0.2111975789</v>
      </c>
    </row>
    <row r="1365" ht="15.75" hidden="1" customHeight="1">
      <c r="A1365" s="15" t="s">
        <v>151</v>
      </c>
      <c r="B1365" s="11" t="s">
        <v>162</v>
      </c>
      <c r="C1365" s="15"/>
      <c r="D1365" s="16" t="s">
        <v>31</v>
      </c>
      <c r="E1365" s="23">
        <v>0.0</v>
      </c>
      <c r="F1365" s="18">
        <f>E1365* 0.872611464968153</f>
        <v>0</v>
      </c>
      <c r="G1365" s="18">
        <f>E1365* 0.0764331210191083</f>
        <v>0</v>
      </c>
      <c r="H1365" s="18">
        <f>E1365* 0.0509554140127389</f>
        <v>0</v>
      </c>
    </row>
    <row r="1366" ht="15.75" hidden="1" customHeight="1">
      <c r="A1366" s="15" t="s">
        <v>151</v>
      </c>
      <c r="B1366" s="11" t="s">
        <v>162</v>
      </c>
      <c r="C1366" s="15"/>
      <c r="D1366" s="16" t="s">
        <v>18</v>
      </c>
      <c r="E1366" s="23">
        <v>0.0</v>
      </c>
      <c r="F1366" s="18">
        <f>E1366* 0.920270974465868</f>
        <v>0</v>
      </c>
      <c r="G1366" s="18">
        <f>E1366* 0.0703491401771756</f>
        <v>0</v>
      </c>
      <c r="H1366" s="18">
        <f>E1366* 0.00937988535695675</f>
        <v>0</v>
      </c>
    </row>
    <row r="1367" ht="15.75" hidden="1" customHeight="1">
      <c r="A1367" s="15" t="s">
        <v>151</v>
      </c>
      <c r="B1367" s="11" t="s">
        <v>162</v>
      </c>
      <c r="C1367" s="15"/>
      <c r="D1367" s="16" t="s">
        <v>19</v>
      </c>
      <c r="E1367" s="23">
        <v>0.0</v>
      </c>
      <c r="F1367" s="18">
        <f>E1367* 0.223420647149461</f>
        <v>0</v>
      </c>
      <c r="G1367" s="18">
        <f>E1367* 0.773497688751926</f>
        <v>0</v>
      </c>
      <c r="H1367" s="18">
        <f>E1367* 0.00308166409861325</f>
        <v>0</v>
      </c>
    </row>
    <row r="1368" ht="15.75" hidden="1" customHeight="1">
      <c r="A1368" s="15" t="s">
        <v>151</v>
      </c>
      <c r="B1368" s="11" t="s">
        <v>162</v>
      </c>
      <c r="C1368" s="15"/>
      <c r="D1368" s="16" t="s">
        <v>20</v>
      </c>
      <c r="E1368" s="23">
        <v>0.0</v>
      </c>
      <c r="F1368" s="18">
        <f>E1368* 0.61531089014017</f>
        <v>0</v>
      </c>
      <c r="G1368" s="18">
        <f>E1368* 0.298190966814424</f>
        <v>0</v>
      </c>
      <c r="H1368" s="18">
        <f>E1368* 0.086378339523182</f>
        <v>0</v>
      </c>
    </row>
    <row r="1369" ht="15.75" hidden="1" customHeight="1">
      <c r="A1369" s="15" t="s">
        <v>151</v>
      </c>
      <c r="B1369" s="11" t="s">
        <v>162</v>
      </c>
      <c r="C1369" s="15"/>
      <c r="D1369" s="16" t="s">
        <v>21</v>
      </c>
      <c r="E1369" s="23">
        <v>1.0</v>
      </c>
      <c r="F1369" s="18">
        <f>E1369* 0.999801370543252</f>
        <v>0.9998013705</v>
      </c>
      <c r="G1369" s="18">
        <f>E1369* 0.0000993147283742179</f>
        <v>0.00009931472837</v>
      </c>
      <c r="H1369" s="18">
        <f>E1369* 0.0000993147283742179</f>
        <v>0.00009931472837</v>
      </c>
    </row>
    <row r="1370" ht="15.75" hidden="1" customHeight="1">
      <c r="A1370" s="15" t="s">
        <v>151</v>
      </c>
      <c r="B1370" s="11" t="s">
        <v>162</v>
      </c>
      <c r="C1370" s="15"/>
      <c r="D1370" s="16" t="s">
        <v>36</v>
      </c>
      <c r="E1370" s="23">
        <v>0.0</v>
      </c>
      <c r="F1370" s="24">
        <f>E1370</f>
        <v>0</v>
      </c>
      <c r="G1370" s="20">
        <v>0.0</v>
      </c>
      <c r="H1370" s="20">
        <v>0.0</v>
      </c>
    </row>
    <row r="1371" ht="15.75" hidden="1" customHeight="1">
      <c r="A1371" s="15" t="s">
        <v>151</v>
      </c>
      <c r="B1371" s="11" t="s">
        <v>162</v>
      </c>
      <c r="C1371" s="15"/>
      <c r="D1371" s="16" t="s">
        <v>28</v>
      </c>
      <c r="E1371" s="23">
        <v>0.0</v>
      </c>
      <c r="F1371" s="20">
        <v>0.0</v>
      </c>
      <c r="G1371" s="18">
        <f>E1371* 0.99904671115348</f>
        <v>0</v>
      </c>
      <c r="H1371" s="18">
        <f>E1371* 0.000953288846520496</f>
        <v>0</v>
      </c>
    </row>
    <row r="1372" ht="15.75" hidden="1" customHeight="1">
      <c r="A1372" s="15" t="s">
        <v>151</v>
      </c>
      <c r="B1372" s="11" t="s">
        <v>162</v>
      </c>
      <c r="C1372" s="15"/>
      <c r="D1372" s="16" t="s">
        <v>12</v>
      </c>
      <c r="E1372" s="23">
        <v>0.0</v>
      </c>
      <c r="F1372" s="18">
        <f>E1372* 0.849400404921352</f>
        <v>0</v>
      </c>
      <c r="G1372" s="18">
        <f>E1372* 0.0654726678087525</f>
        <v>0</v>
      </c>
      <c r="H1372" s="18">
        <f>E1372* 0.0851269272698957</f>
        <v>0</v>
      </c>
    </row>
    <row r="1373" ht="15.75" hidden="1" customHeight="1">
      <c r="A1373" s="15" t="s">
        <v>151</v>
      </c>
      <c r="B1373" s="8"/>
      <c r="C1373" s="8"/>
      <c r="D1373" s="9"/>
      <c r="E1373" s="29"/>
    </row>
    <row r="1374" ht="15.75" customHeight="1">
      <c r="A1374" s="15" t="s">
        <v>151</v>
      </c>
      <c r="B1374" s="11" t="s">
        <v>163</v>
      </c>
      <c r="C1374" s="12" t="str">
        <f>B1374&amp;"_"&amp;A1374</f>
        <v>Esmeralda_Oruro</v>
      </c>
      <c r="E1374" s="22">
        <v>715.0</v>
      </c>
      <c r="F1374" s="14">
        <f t="shared" ref="F1374:H1374" si="131">SUM(F1375:F1386)</f>
        <v>484.7020614</v>
      </c>
      <c r="G1374" s="14">
        <f t="shared" si="131"/>
        <v>187.8249869</v>
      </c>
      <c r="H1374" s="14">
        <f t="shared" si="131"/>
        <v>42.42452734</v>
      </c>
    </row>
    <row r="1375" ht="15.75" hidden="1" customHeight="1">
      <c r="A1375" s="15" t="s">
        <v>151</v>
      </c>
      <c r="B1375" s="11" t="s">
        <v>163</v>
      </c>
      <c r="C1375" s="15"/>
      <c r="D1375" s="16" t="s">
        <v>53</v>
      </c>
      <c r="E1375" s="23">
        <v>0.0</v>
      </c>
      <c r="F1375" s="20">
        <v>0.0</v>
      </c>
      <c r="G1375" s="24">
        <f>E1375</f>
        <v>0</v>
      </c>
      <c r="H1375" s="20">
        <v>0.0</v>
      </c>
    </row>
    <row r="1376" ht="15.75" hidden="1" customHeight="1">
      <c r="A1376" s="15" t="s">
        <v>151</v>
      </c>
      <c r="B1376" s="11" t="s">
        <v>163</v>
      </c>
      <c r="C1376" s="15"/>
      <c r="D1376" s="16" t="s">
        <v>15</v>
      </c>
      <c r="E1376" s="23">
        <v>66.0</v>
      </c>
      <c r="F1376" s="18">
        <f>E1376* 0.929012779104059</f>
        <v>61.31484342</v>
      </c>
      <c r="G1376" s="18">
        <f>E1376* 0.00947900575761831</f>
        <v>0.62561438</v>
      </c>
      <c r="H1376" s="18">
        <f>E1376* 0.0614380002808594</f>
        <v>4.054908019</v>
      </c>
    </row>
    <row r="1377" ht="15.75" hidden="1" customHeight="1">
      <c r="A1377" s="15" t="s">
        <v>151</v>
      </c>
      <c r="B1377" s="11" t="s">
        <v>163</v>
      </c>
      <c r="C1377" s="15"/>
      <c r="D1377" s="16" t="s">
        <v>16</v>
      </c>
      <c r="E1377" s="23">
        <v>11.0</v>
      </c>
      <c r="F1377" s="18">
        <f>E1377* 0.0624390243902439</f>
        <v>0.6868292683</v>
      </c>
      <c r="G1377" s="18">
        <f>E1377* 0.936585365853659</f>
        <v>10.30243902</v>
      </c>
      <c r="H1377" s="20">
        <v>0.0</v>
      </c>
    </row>
    <row r="1378" ht="15.75" hidden="1" customHeight="1">
      <c r="A1378" s="15" t="s">
        <v>151</v>
      </c>
      <c r="B1378" s="11" t="s">
        <v>163</v>
      </c>
      <c r="C1378" s="15"/>
      <c r="D1378" s="16" t="s">
        <v>11</v>
      </c>
      <c r="E1378" s="23">
        <v>113.0</v>
      </c>
      <c r="F1378" s="18">
        <f>E1378* 0.080360592401803</f>
        <v>9.080746941</v>
      </c>
      <c r="G1378" s="18">
        <f>E1378* 0.917192530585963</f>
        <v>103.642756</v>
      </c>
      <c r="H1378" s="18">
        <f>E1378* 0.00218931101094656</f>
        <v>0.2473921442</v>
      </c>
    </row>
    <row r="1379" ht="15.75" hidden="1" customHeight="1">
      <c r="A1379" s="15" t="s">
        <v>151</v>
      </c>
      <c r="B1379" s="11" t="s">
        <v>163</v>
      </c>
      <c r="C1379" s="15"/>
      <c r="D1379" s="16" t="s">
        <v>17</v>
      </c>
      <c r="E1379" s="23">
        <v>101.0</v>
      </c>
      <c r="F1379" s="18">
        <f>E1379* 0.836035451794207</f>
        <v>84.43958063</v>
      </c>
      <c r="G1379" s="18">
        <f>E1379* 0.0583657587548638</f>
        <v>5.894941634</v>
      </c>
      <c r="H1379" s="18">
        <f>E1379* 0.10559878945093</f>
        <v>10.66547773</v>
      </c>
    </row>
    <row r="1380" ht="15.75" hidden="1" customHeight="1">
      <c r="A1380" s="15" t="s">
        <v>151</v>
      </c>
      <c r="B1380" s="11" t="s">
        <v>163</v>
      </c>
      <c r="C1380" s="15"/>
      <c r="D1380" s="16" t="s">
        <v>31</v>
      </c>
      <c r="E1380" s="23">
        <v>0.0</v>
      </c>
      <c r="F1380" s="18">
        <f>E1380* 0.872611464968153</f>
        <v>0</v>
      </c>
      <c r="G1380" s="18">
        <f>E1380* 0.0764331210191083</f>
        <v>0</v>
      </c>
      <c r="H1380" s="18">
        <f>E1380* 0.0509554140127389</f>
        <v>0</v>
      </c>
    </row>
    <row r="1381" ht="15.75" hidden="1" customHeight="1">
      <c r="A1381" s="15" t="s">
        <v>151</v>
      </c>
      <c r="B1381" s="11" t="s">
        <v>163</v>
      </c>
      <c r="C1381" s="15"/>
      <c r="D1381" s="16" t="s">
        <v>18</v>
      </c>
      <c r="E1381" s="23">
        <v>14.0</v>
      </c>
      <c r="F1381" s="18">
        <f>E1381* 0.920270974465868</f>
        <v>12.88379364</v>
      </c>
      <c r="G1381" s="18">
        <f>E1381* 0.0703491401771756</f>
        <v>0.9848879625</v>
      </c>
      <c r="H1381" s="18">
        <f>E1381* 0.00937988535695675</f>
        <v>0.131318395</v>
      </c>
    </row>
    <row r="1382" ht="15.75" hidden="1" customHeight="1">
      <c r="A1382" s="15" t="s">
        <v>151</v>
      </c>
      <c r="B1382" s="11" t="s">
        <v>163</v>
      </c>
      <c r="C1382" s="15"/>
      <c r="D1382" s="16" t="s">
        <v>19</v>
      </c>
      <c r="E1382" s="23">
        <v>1.0</v>
      </c>
      <c r="F1382" s="18">
        <f>E1382* 0.223420647149461</f>
        <v>0.2234206471</v>
      </c>
      <c r="G1382" s="18">
        <f>E1382* 0.773497688751926</f>
        <v>0.7734976888</v>
      </c>
      <c r="H1382" s="18">
        <f>E1382* 0.00308166409861325</f>
        <v>0.003081664099</v>
      </c>
    </row>
    <row r="1383" ht="15.75" hidden="1" customHeight="1">
      <c r="A1383" s="15" t="s">
        <v>151</v>
      </c>
      <c r="B1383" s="11" t="s">
        <v>163</v>
      </c>
      <c r="C1383" s="15"/>
      <c r="D1383" s="16" t="s">
        <v>20</v>
      </c>
      <c r="E1383" s="23">
        <v>33.0</v>
      </c>
      <c r="F1383" s="18">
        <f>E1383* 0.61531089014017</f>
        <v>20.30525937</v>
      </c>
      <c r="G1383" s="18">
        <f>E1383* 0.298190966814424</f>
        <v>9.840301905</v>
      </c>
      <c r="H1383" s="18">
        <f>E1383* 0.086378339523182</f>
        <v>2.850485204</v>
      </c>
    </row>
    <row r="1384" ht="15.75" hidden="1" customHeight="1">
      <c r="A1384" s="15" t="s">
        <v>151</v>
      </c>
      <c r="B1384" s="11" t="s">
        <v>163</v>
      </c>
      <c r="C1384" s="15"/>
      <c r="D1384" s="16" t="s">
        <v>21</v>
      </c>
      <c r="E1384" s="23">
        <v>52.0</v>
      </c>
      <c r="F1384" s="18">
        <f>E1384* 0.999801370543252</f>
        <v>51.98967127</v>
      </c>
      <c r="G1384" s="18">
        <f>E1384* 0.0000993147283742179</f>
        <v>0.005164365875</v>
      </c>
      <c r="H1384" s="18">
        <f>E1384* 0.0000993147283742179</f>
        <v>0.005164365875</v>
      </c>
    </row>
    <row r="1385" ht="15.75" hidden="1" customHeight="1">
      <c r="A1385" s="15" t="s">
        <v>151</v>
      </c>
      <c r="B1385" s="11" t="s">
        <v>163</v>
      </c>
      <c r="C1385" s="15"/>
      <c r="D1385" s="16" t="s">
        <v>28</v>
      </c>
      <c r="E1385" s="23">
        <v>37.0</v>
      </c>
      <c r="F1385" s="20">
        <v>0.0</v>
      </c>
      <c r="G1385" s="18">
        <f>E1385* 0.99904671115348</f>
        <v>36.96472831</v>
      </c>
      <c r="H1385" s="18">
        <f>E1385* 0.000953288846520496</f>
        <v>0.03527168732</v>
      </c>
    </row>
    <row r="1386" ht="15.75" hidden="1" customHeight="1">
      <c r="A1386" s="15" t="s">
        <v>151</v>
      </c>
      <c r="B1386" s="11" t="s">
        <v>163</v>
      </c>
      <c r="C1386" s="15"/>
      <c r="D1386" s="16" t="s">
        <v>12</v>
      </c>
      <c r="E1386" s="23">
        <v>287.0</v>
      </c>
      <c r="F1386" s="18">
        <f>E1386* 0.849400404921352</f>
        <v>243.7779162</v>
      </c>
      <c r="G1386" s="18">
        <f>E1386* 0.0654726678087525</f>
        <v>18.79065566</v>
      </c>
      <c r="H1386" s="18">
        <f>E1386* 0.0851269272698957</f>
        <v>24.43142813</v>
      </c>
    </row>
    <row r="1387" ht="15.75" hidden="1" customHeight="1">
      <c r="A1387" s="15" t="s">
        <v>151</v>
      </c>
      <c r="B1387" s="8"/>
      <c r="C1387" s="8"/>
      <c r="D1387" s="9"/>
      <c r="E1387" s="29"/>
    </row>
    <row r="1388" ht="15.75" customHeight="1">
      <c r="A1388" s="15" t="s">
        <v>151</v>
      </c>
      <c r="B1388" s="11" t="s">
        <v>164</v>
      </c>
      <c r="C1388" s="12" t="str">
        <f>B1388&amp;"_"&amp;A1388</f>
        <v>Eucaliptus_Oruro</v>
      </c>
      <c r="E1388" s="22">
        <v>9.0</v>
      </c>
      <c r="F1388" s="14">
        <f t="shared" ref="F1388:H1388" si="132">SUM(F1389:F1393)</f>
        <v>5.314428679</v>
      </c>
      <c r="G1388" s="14">
        <f t="shared" si="132"/>
        <v>3.091671062</v>
      </c>
      <c r="H1388" s="14">
        <f t="shared" si="132"/>
        <v>0.5916212585</v>
      </c>
    </row>
    <row r="1389" ht="15.75" hidden="1" customHeight="1">
      <c r="A1389" s="15" t="s">
        <v>151</v>
      </c>
      <c r="B1389" s="11" t="s">
        <v>164</v>
      </c>
      <c r="C1389" s="15"/>
      <c r="D1389" s="16" t="s">
        <v>15</v>
      </c>
      <c r="E1389" s="23">
        <v>1.0</v>
      </c>
      <c r="F1389" s="18">
        <f>E1389* 0.929012779104059</f>
        <v>0.9290127791</v>
      </c>
      <c r="G1389" s="18">
        <f>E1389* 0.00947900575761831</f>
        <v>0.009479005758</v>
      </c>
      <c r="H1389" s="18">
        <f>E1389* 0.0614380002808594</f>
        <v>0.06143800028</v>
      </c>
    </row>
    <row r="1390" ht="15.75" hidden="1" customHeight="1">
      <c r="A1390" s="15" t="s">
        <v>151</v>
      </c>
      <c r="B1390" s="11" t="s">
        <v>164</v>
      </c>
      <c r="C1390" s="15"/>
      <c r="D1390" s="16" t="s">
        <v>11</v>
      </c>
      <c r="E1390" s="23">
        <v>1.0</v>
      </c>
      <c r="F1390" s="18">
        <f>E1390* 0.080360592401803</f>
        <v>0.0803605924</v>
      </c>
      <c r="G1390" s="18">
        <f>E1390* 0.917192530585963</f>
        <v>0.9171925306</v>
      </c>
      <c r="H1390" s="18">
        <f>E1390* 0.00218931101094656</f>
        <v>0.002189311011</v>
      </c>
    </row>
    <row r="1391" ht="15.75" hidden="1" customHeight="1">
      <c r="A1391" s="15" t="s">
        <v>151</v>
      </c>
      <c r="B1391" s="11" t="s">
        <v>164</v>
      </c>
      <c r="C1391" s="15"/>
      <c r="D1391" s="16" t="s">
        <v>17</v>
      </c>
      <c r="E1391" s="23">
        <v>5.0</v>
      </c>
      <c r="F1391" s="18">
        <f>E1391* 0.836035451794207</f>
        <v>4.180177259</v>
      </c>
      <c r="G1391" s="18">
        <f>E1391* 0.0583657587548638</f>
        <v>0.2918287938</v>
      </c>
      <c r="H1391" s="18">
        <f>E1391* 0.10559878945093</f>
        <v>0.5279939473</v>
      </c>
    </row>
    <row r="1392" ht="15.75" hidden="1" customHeight="1">
      <c r="A1392" s="15" t="s">
        <v>151</v>
      </c>
      <c r="B1392" s="11" t="s">
        <v>164</v>
      </c>
      <c r="C1392" s="15"/>
      <c r="D1392" s="16" t="s">
        <v>165</v>
      </c>
      <c r="E1392" s="23">
        <v>2.0</v>
      </c>
      <c r="F1392" s="18">
        <f>E1392* 0.0624390243902439</f>
        <v>0.1248780488</v>
      </c>
      <c r="G1392" s="18">
        <f>E1392* 0.936585365853659</f>
        <v>1.873170732</v>
      </c>
      <c r="H1392" s="20">
        <v>0.0</v>
      </c>
    </row>
    <row r="1393" ht="15.75" hidden="1" customHeight="1">
      <c r="A1393" s="15" t="s">
        <v>151</v>
      </c>
      <c r="B1393" s="11" t="s">
        <v>164</v>
      </c>
      <c r="C1393" s="15"/>
      <c r="D1393" s="16" t="s">
        <v>12</v>
      </c>
      <c r="E1393" s="23">
        <v>0.0</v>
      </c>
      <c r="F1393" s="18">
        <f>E1393* 0.849400404921352</f>
        <v>0</v>
      </c>
      <c r="G1393" s="18">
        <f>E1393* 0.0654726678087525</f>
        <v>0</v>
      </c>
      <c r="H1393" s="18">
        <f>E1393* 0.0851269272698957</f>
        <v>0</v>
      </c>
    </row>
    <row r="1394" ht="15.75" hidden="1" customHeight="1">
      <c r="A1394" s="15" t="s">
        <v>151</v>
      </c>
      <c r="B1394" s="8"/>
      <c r="C1394" s="8"/>
      <c r="D1394" s="9"/>
      <c r="E1394" s="29"/>
    </row>
    <row r="1395" ht="15.75" customHeight="1">
      <c r="A1395" s="15" t="s">
        <v>151</v>
      </c>
      <c r="B1395" s="11" t="s">
        <v>166</v>
      </c>
      <c r="C1395" s="12" t="str">
        <f>B1395&amp;"_"&amp;A1395</f>
        <v>Huachacalla_Oruro</v>
      </c>
      <c r="E1395" s="22">
        <v>33.0</v>
      </c>
      <c r="F1395" s="14">
        <f t="shared" ref="F1395:H1395" si="133">SUM(F1396:F1404)</f>
        <v>20.41939724</v>
      </c>
      <c r="G1395" s="14">
        <f t="shared" si="133"/>
        <v>10.70249621</v>
      </c>
      <c r="H1395" s="14">
        <f t="shared" si="133"/>
        <v>1.875270652</v>
      </c>
    </row>
    <row r="1396" ht="15.75" hidden="1" customHeight="1">
      <c r="A1396" s="15" t="s">
        <v>151</v>
      </c>
      <c r="B1396" s="11" t="s">
        <v>166</v>
      </c>
      <c r="C1396" s="15"/>
      <c r="D1396" s="16" t="s">
        <v>15</v>
      </c>
      <c r="E1396" s="23">
        <v>2.0</v>
      </c>
      <c r="F1396" s="18">
        <f>E1396* 0.929012779104059</f>
        <v>1.858025558</v>
      </c>
      <c r="G1396" s="18">
        <f>E1396* 0.00947900575761831</f>
        <v>0.01895801152</v>
      </c>
      <c r="H1396" s="18">
        <f>E1396* 0.0614380002808594</f>
        <v>0.1228760006</v>
      </c>
    </row>
    <row r="1397" ht="15.75" hidden="1" customHeight="1">
      <c r="A1397" s="15" t="s">
        <v>151</v>
      </c>
      <c r="B1397" s="11" t="s">
        <v>166</v>
      </c>
      <c r="C1397" s="15"/>
      <c r="D1397" s="16" t="s">
        <v>16</v>
      </c>
      <c r="E1397" s="23">
        <v>0.0</v>
      </c>
      <c r="F1397" s="18">
        <f>E1397* 0.0624390243902439</f>
        <v>0</v>
      </c>
      <c r="G1397" s="18">
        <f>E1397* 0.936585365853659</f>
        <v>0</v>
      </c>
      <c r="H1397" s="20">
        <v>0.0</v>
      </c>
    </row>
    <row r="1398" ht="15.75" hidden="1" customHeight="1">
      <c r="A1398" s="15" t="s">
        <v>151</v>
      </c>
      <c r="B1398" s="11" t="s">
        <v>166</v>
      </c>
      <c r="C1398" s="15"/>
      <c r="D1398" s="16" t="s">
        <v>11</v>
      </c>
      <c r="E1398" s="23">
        <v>10.0</v>
      </c>
      <c r="F1398" s="18">
        <f>E1398* 0.080360592401803</f>
        <v>0.803605924</v>
      </c>
      <c r="G1398" s="18">
        <f>E1398* 0.917192530585963</f>
        <v>9.171925306</v>
      </c>
      <c r="H1398" s="18">
        <f>E1398* 0.00218931101094656</f>
        <v>0.02189311011</v>
      </c>
    </row>
    <row r="1399" ht="15.75" hidden="1" customHeight="1">
      <c r="A1399" s="15" t="s">
        <v>151</v>
      </c>
      <c r="B1399" s="11" t="s">
        <v>166</v>
      </c>
      <c r="C1399" s="15"/>
      <c r="D1399" s="16" t="s">
        <v>17</v>
      </c>
      <c r="E1399" s="23">
        <v>5.0</v>
      </c>
      <c r="F1399" s="18">
        <f>E1399* 0.836035451794207</f>
        <v>4.180177259</v>
      </c>
      <c r="G1399" s="18">
        <f>E1399* 0.0583657587548638</f>
        <v>0.2918287938</v>
      </c>
      <c r="H1399" s="18">
        <f>E1399* 0.10559878945093</f>
        <v>0.5279939473</v>
      </c>
    </row>
    <row r="1400" ht="15.75" hidden="1" customHeight="1">
      <c r="A1400" s="15" t="s">
        <v>151</v>
      </c>
      <c r="B1400" s="11" t="s">
        <v>166</v>
      </c>
      <c r="C1400" s="15"/>
      <c r="D1400" s="16" t="s">
        <v>18</v>
      </c>
      <c r="E1400" s="23">
        <v>1.0</v>
      </c>
      <c r="F1400" s="18">
        <f>E1400* 0.920270974465868</f>
        <v>0.9202709745</v>
      </c>
      <c r="G1400" s="18">
        <f>E1400* 0.0703491401771756</f>
        <v>0.07034914018</v>
      </c>
      <c r="H1400" s="18">
        <f>E1400* 0.00937988535695675</f>
        <v>0.009379885357</v>
      </c>
    </row>
    <row r="1401" ht="15.75" hidden="1" customHeight="1">
      <c r="A1401" s="15" t="s">
        <v>151</v>
      </c>
      <c r="B1401" s="11" t="s">
        <v>166</v>
      </c>
      <c r="C1401" s="15"/>
      <c r="D1401" s="16" t="s">
        <v>20</v>
      </c>
      <c r="E1401" s="23">
        <v>1.0</v>
      </c>
      <c r="F1401" s="18">
        <f>E1401* 0.61531089014017</f>
        <v>0.6153108901</v>
      </c>
      <c r="G1401" s="18">
        <f>E1401* 0.298190966814424</f>
        <v>0.2981909668</v>
      </c>
      <c r="H1401" s="18">
        <f>E1401* 0.086378339523182</f>
        <v>0.08637833952</v>
      </c>
    </row>
    <row r="1402" ht="15.75" hidden="1" customHeight="1">
      <c r="A1402" s="15" t="s">
        <v>151</v>
      </c>
      <c r="B1402" s="11" t="s">
        <v>166</v>
      </c>
      <c r="C1402" s="15"/>
      <c r="D1402" s="16" t="s">
        <v>21</v>
      </c>
      <c r="E1402" s="23">
        <v>1.0</v>
      </c>
      <c r="F1402" s="18">
        <f>E1402* 0.999801370543252</f>
        <v>0.9998013705</v>
      </c>
      <c r="G1402" s="18">
        <f>E1402* 0.0000993147283742179</f>
        <v>0.00009931472837</v>
      </c>
      <c r="H1402" s="18">
        <f>E1402* 0.0000993147283742179</f>
        <v>0.00009931472837</v>
      </c>
    </row>
    <row r="1403" ht="15.75" hidden="1" customHeight="1">
      <c r="A1403" s="15" t="s">
        <v>151</v>
      </c>
      <c r="B1403" s="11" t="s">
        <v>166</v>
      </c>
      <c r="C1403" s="15"/>
      <c r="D1403" s="16" t="s">
        <v>28</v>
      </c>
      <c r="E1403" s="23">
        <v>0.0</v>
      </c>
      <c r="F1403" s="20">
        <v>0.0</v>
      </c>
      <c r="G1403" s="18">
        <f>E1403* 0.99904671115348</f>
        <v>0</v>
      </c>
      <c r="H1403" s="18">
        <f>E1403* 0.000953288846520496</f>
        <v>0</v>
      </c>
    </row>
    <row r="1404" ht="15.75" hidden="1" customHeight="1">
      <c r="A1404" s="15" t="s">
        <v>151</v>
      </c>
      <c r="B1404" s="11" t="s">
        <v>166</v>
      </c>
      <c r="C1404" s="15"/>
      <c r="D1404" s="16" t="s">
        <v>12</v>
      </c>
      <c r="E1404" s="23">
        <v>13.0</v>
      </c>
      <c r="F1404" s="18">
        <f>E1404* 0.849400404921352</f>
        <v>11.04220526</v>
      </c>
      <c r="G1404" s="18">
        <f>E1404* 0.0654726678087525</f>
        <v>0.8511446815</v>
      </c>
      <c r="H1404" s="18">
        <f>E1404* 0.0851269272698957</f>
        <v>1.106650055</v>
      </c>
    </row>
    <row r="1405" ht="15.75" hidden="1" customHeight="1">
      <c r="A1405" s="15" t="s">
        <v>151</v>
      </c>
      <c r="B1405" s="8"/>
      <c r="C1405" s="8"/>
      <c r="D1405" s="9"/>
      <c r="E1405" s="29"/>
    </row>
    <row r="1406" ht="15.75" customHeight="1">
      <c r="A1406" s="15" t="s">
        <v>151</v>
      </c>
      <c r="B1406" s="11" t="s">
        <v>167</v>
      </c>
      <c r="C1406" s="12" t="str">
        <f>B1406&amp;"_"&amp;A1406</f>
        <v>La Riviera_Oruro</v>
      </c>
      <c r="E1406" s="22">
        <v>0.0</v>
      </c>
      <c r="F1406" s="14">
        <v>0.0</v>
      </c>
      <c r="G1406" s="14">
        <v>0.0</v>
      </c>
      <c r="H1406" s="14">
        <v>0.0</v>
      </c>
    </row>
    <row r="1407" ht="15.75" hidden="1" customHeight="1">
      <c r="A1407" s="15" t="s">
        <v>151</v>
      </c>
      <c r="B1407" s="11" t="s">
        <v>167</v>
      </c>
      <c r="C1407" s="15"/>
      <c r="D1407" s="16" t="s">
        <v>53</v>
      </c>
      <c r="E1407" s="23">
        <v>0.0</v>
      </c>
      <c r="F1407" s="20">
        <v>0.0</v>
      </c>
      <c r="G1407" s="24">
        <f>E1407</f>
        <v>0</v>
      </c>
      <c r="H1407" s="20">
        <v>0.0</v>
      </c>
    </row>
    <row r="1408" ht="15.75" hidden="1" customHeight="1">
      <c r="A1408" s="15" t="s">
        <v>151</v>
      </c>
      <c r="B1408" s="11" t="s">
        <v>167</v>
      </c>
      <c r="C1408" s="15"/>
      <c r="D1408" s="16" t="s">
        <v>15</v>
      </c>
      <c r="E1408" s="23">
        <v>0.0</v>
      </c>
      <c r="F1408" s="18">
        <f>E1408* 0.929012779104059</f>
        <v>0</v>
      </c>
      <c r="G1408" s="18">
        <f>E1408* 0.00947900575761831</f>
        <v>0</v>
      </c>
      <c r="H1408" s="18">
        <f>E1408* 0.0614380002808594</f>
        <v>0</v>
      </c>
    </row>
    <row r="1409" ht="15.75" hidden="1" customHeight="1">
      <c r="A1409" s="15" t="s">
        <v>151</v>
      </c>
      <c r="B1409" s="11" t="s">
        <v>167</v>
      </c>
      <c r="C1409" s="15"/>
      <c r="D1409" s="16" t="s">
        <v>16</v>
      </c>
      <c r="E1409" s="23">
        <v>0.0</v>
      </c>
      <c r="F1409" s="18">
        <f>E1409* 0.0624390243902439</f>
        <v>0</v>
      </c>
      <c r="G1409" s="18">
        <f>E1409* 0.936585365853659</f>
        <v>0</v>
      </c>
      <c r="H1409" s="20">
        <v>0.0</v>
      </c>
    </row>
    <row r="1410" ht="15.75" hidden="1" customHeight="1">
      <c r="A1410" s="15" t="s">
        <v>151</v>
      </c>
      <c r="B1410" s="11" t="s">
        <v>167</v>
      </c>
      <c r="C1410" s="15"/>
      <c r="D1410" s="16" t="s">
        <v>11</v>
      </c>
      <c r="E1410" s="23">
        <v>0.0</v>
      </c>
      <c r="F1410" s="18">
        <f>E1410* 0.080360592401803</f>
        <v>0</v>
      </c>
      <c r="G1410" s="18">
        <f>E1410* 0.917192530585963</f>
        <v>0</v>
      </c>
      <c r="H1410" s="18">
        <f>E1410* 0.00218931101094656</f>
        <v>0</v>
      </c>
    </row>
    <row r="1411" ht="15.75" hidden="1" customHeight="1">
      <c r="A1411" s="15" t="s">
        <v>151</v>
      </c>
      <c r="B1411" s="11" t="s">
        <v>167</v>
      </c>
      <c r="C1411" s="15"/>
      <c r="D1411" s="16" t="s">
        <v>17</v>
      </c>
      <c r="E1411" s="23">
        <v>0.0</v>
      </c>
      <c r="F1411" s="18">
        <f>E1411* 0.836035451794207</f>
        <v>0</v>
      </c>
      <c r="G1411" s="18">
        <f>E1411* 0.0583657587548638</f>
        <v>0</v>
      </c>
      <c r="H1411" s="18">
        <f>E1411* 0.10559878945093</f>
        <v>0</v>
      </c>
    </row>
    <row r="1412" ht="15.75" hidden="1" customHeight="1">
      <c r="A1412" s="15" t="s">
        <v>151</v>
      </c>
      <c r="B1412" s="11" t="s">
        <v>167</v>
      </c>
      <c r="C1412" s="15"/>
      <c r="D1412" s="16" t="s">
        <v>31</v>
      </c>
      <c r="E1412" s="23">
        <v>0.0</v>
      </c>
      <c r="F1412" s="18">
        <f>E1412* 0.872611464968153</f>
        <v>0</v>
      </c>
      <c r="G1412" s="18">
        <f>E1412* 0.0764331210191083</f>
        <v>0</v>
      </c>
      <c r="H1412" s="18">
        <f>E1412* 0.0509554140127389</f>
        <v>0</v>
      </c>
    </row>
    <row r="1413" ht="15.75" hidden="1" customHeight="1">
      <c r="A1413" s="15" t="s">
        <v>151</v>
      </c>
      <c r="B1413" s="11" t="s">
        <v>167</v>
      </c>
      <c r="C1413" s="15"/>
      <c r="D1413" s="16" t="s">
        <v>18</v>
      </c>
      <c r="E1413" s="23">
        <v>0.0</v>
      </c>
      <c r="F1413" s="18">
        <f>E1413* 0.920270974465868</f>
        <v>0</v>
      </c>
      <c r="G1413" s="18">
        <f>E1413* 0.0703491401771756</f>
        <v>0</v>
      </c>
      <c r="H1413" s="18">
        <f>E1413* 0.00937988535695675</f>
        <v>0</v>
      </c>
    </row>
    <row r="1414" ht="15.75" hidden="1" customHeight="1">
      <c r="A1414" s="15" t="s">
        <v>151</v>
      </c>
      <c r="B1414" s="11" t="s">
        <v>167</v>
      </c>
      <c r="C1414" s="15"/>
      <c r="D1414" s="16" t="s">
        <v>55</v>
      </c>
      <c r="E1414" s="23">
        <v>0.0</v>
      </c>
      <c r="F1414" s="20">
        <v>0.0</v>
      </c>
      <c r="G1414" s="24">
        <f>E1414</f>
        <v>0</v>
      </c>
      <c r="H1414" s="20">
        <v>0.0</v>
      </c>
    </row>
    <row r="1415" ht="15.75" hidden="1" customHeight="1">
      <c r="A1415" s="15" t="s">
        <v>151</v>
      </c>
      <c r="B1415" s="11" t="s">
        <v>167</v>
      </c>
      <c r="C1415" s="15"/>
      <c r="D1415" s="16" t="s">
        <v>19</v>
      </c>
      <c r="E1415" s="23">
        <v>0.0</v>
      </c>
      <c r="F1415" s="18">
        <f>E1415* 0.223420647149461</f>
        <v>0</v>
      </c>
      <c r="G1415" s="18">
        <f>E1415* 0.773497688751926</f>
        <v>0</v>
      </c>
      <c r="H1415" s="18">
        <f>E1415* 0.00308166409861325</f>
        <v>0</v>
      </c>
    </row>
    <row r="1416" ht="15.75" hidden="1" customHeight="1">
      <c r="A1416" s="15" t="s">
        <v>151</v>
      </c>
      <c r="B1416" s="11" t="s">
        <v>167</v>
      </c>
      <c r="C1416" s="15"/>
      <c r="D1416" s="16" t="s">
        <v>20</v>
      </c>
      <c r="E1416" s="23">
        <v>0.0</v>
      </c>
      <c r="F1416" s="18">
        <f>E1416* 0.61531089014017</f>
        <v>0</v>
      </c>
      <c r="G1416" s="18">
        <f>E1416* 0.298190966814424</f>
        <v>0</v>
      </c>
      <c r="H1416" s="18">
        <f>E1416* 0.086378339523182</f>
        <v>0</v>
      </c>
    </row>
    <row r="1417" ht="15.75" hidden="1" customHeight="1">
      <c r="A1417" s="15" t="s">
        <v>151</v>
      </c>
      <c r="B1417" s="11" t="s">
        <v>167</v>
      </c>
      <c r="C1417" s="15"/>
      <c r="D1417" s="16" t="s">
        <v>21</v>
      </c>
      <c r="E1417" s="23">
        <v>0.0</v>
      </c>
      <c r="F1417" s="18">
        <f>E1417* 0.999801370543252</f>
        <v>0</v>
      </c>
      <c r="G1417" s="18">
        <f>E1417* 0.0000993147283742179</f>
        <v>0</v>
      </c>
      <c r="H1417" s="18">
        <f>E1417* 0.0000993147283742179</f>
        <v>0</v>
      </c>
    </row>
    <row r="1418" ht="15.75" hidden="1" customHeight="1">
      <c r="A1418" s="15" t="s">
        <v>151</v>
      </c>
      <c r="B1418" s="11" t="s">
        <v>167</v>
      </c>
      <c r="C1418" s="15"/>
      <c r="D1418" s="16" t="s">
        <v>28</v>
      </c>
      <c r="E1418" s="23">
        <v>0.0</v>
      </c>
      <c r="F1418" s="20">
        <v>0.0</v>
      </c>
      <c r="G1418" s="18">
        <f>E1418* 0.99904671115348</f>
        <v>0</v>
      </c>
      <c r="H1418" s="18">
        <f>E1418* 0.000953288846520496</f>
        <v>0</v>
      </c>
    </row>
    <row r="1419" ht="15.75" hidden="1" customHeight="1">
      <c r="A1419" s="15" t="s">
        <v>151</v>
      </c>
      <c r="B1419" s="11" t="s">
        <v>167</v>
      </c>
      <c r="C1419" s="15"/>
      <c r="D1419" s="16" t="s">
        <v>12</v>
      </c>
      <c r="E1419" s="23">
        <v>0.0</v>
      </c>
      <c r="F1419" s="18">
        <f>E1419* 0.849400404921352</f>
        <v>0</v>
      </c>
      <c r="G1419" s="18">
        <f>E1419* 0.0654726678087525</f>
        <v>0</v>
      </c>
      <c r="H1419" s="18">
        <f>E1419* 0.0851269272698957</f>
        <v>0</v>
      </c>
    </row>
    <row r="1420" ht="15.75" hidden="1" customHeight="1">
      <c r="A1420" s="15" t="s">
        <v>151</v>
      </c>
      <c r="B1420" s="8"/>
      <c r="C1420" s="8"/>
      <c r="D1420" s="9"/>
      <c r="E1420" s="29"/>
    </row>
    <row r="1421" ht="15.75" customHeight="1">
      <c r="A1421" s="15" t="s">
        <v>151</v>
      </c>
      <c r="B1421" s="11" t="s">
        <v>168</v>
      </c>
      <c r="C1421" s="12" t="str">
        <f>B1421&amp;"_"&amp;A1421</f>
        <v>Machacamarca_Oruro</v>
      </c>
      <c r="E1421" s="22">
        <v>8.0</v>
      </c>
      <c r="F1421" s="14">
        <f t="shared" ref="F1421:H1421" si="134">SUM(F1422:F1426)</f>
        <v>3.288154881</v>
      </c>
      <c r="G1421" s="14">
        <f t="shared" si="134"/>
        <v>4.440319588</v>
      </c>
      <c r="H1421" s="14">
        <f t="shared" si="134"/>
        <v>0.2711481615</v>
      </c>
    </row>
    <row r="1422" ht="15.75" hidden="1" customHeight="1">
      <c r="A1422" s="15" t="s">
        <v>151</v>
      </c>
      <c r="B1422" s="11" t="s">
        <v>168</v>
      </c>
      <c r="C1422" s="15"/>
      <c r="D1422" s="16" t="s">
        <v>16</v>
      </c>
      <c r="E1422" s="23">
        <v>0.0</v>
      </c>
      <c r="F1422" s="18">
        <f>E1422* 0.0624390243902439</f>
        <v>0</v>
      </c>
      <c r="G1422" s="18">
        <f>E1422* 0.936585365853659</f>
        <v>0</v>
      </c>
      <c r="H1422" s="20">
        <v>0.0</v>
      </c>
    </row>
    <row r="1423" ht="15.75" hidden="1" customHeight="1">
      <c r="A1423" s="15" t="s">
        <v>151</v>
      </c>
      <c r="B1423" s="11" t="s">
        <v>168</v>
      </c>
      <c r="C1423" s="15"/>
      <c r="D1423" s="16" t="s">
        <v>11</v>
      </c>
      <c r="E1423" s="23">
        <v>1.0</v>
      </c>
      <c r="F1423" s="18">
        <f>E1423* 0.080360592401803</f>
        <v>0.0803605924</v>
      </c>
      <c r="G1423" s="18">
        <f>E1423* 0.917192530585963</f>
        <v>0.9171925306</v>
      </c>
      <c r="H1423" s="18">
        <f>E1423* 0.00218931101094656</f>
        <v>0.002189311011</v>
      </c>
    </row>
    <row r="1424" ht="15.75" hidden="1" customHeight="1">
      <c r="A1424" s="15" t="s">
        <v>151</v>
      </c>
      <c r="B1424" s="11" t="s">
        <v>168</v>
      </c>
      <c r="C1424" s="15"/>
      <c r="D1424" s="16" t="s">
        <v>19</v>
      </c>
      <c r="E1424" s="23">
        <v>4.0</v>
      </c>
      <c r="F1424" s="18">
        <f>E1424* 0.223420647149461</f>
        <v>0.8936825886</v>
      </c>
      <c r="G1424" s="18">
        <f>E1424* 0.773497688751926</f>
        <v>3.093990755</v>
      </c>
      <c r="H1424" s="18">
        <f>E1424* 0.00308166409861325</f>
        <v>0.01232665639</v>
      </c>
    </row>
    <row r="1425" ht="15.75" hidden="1" customHeight="1">
      <c r="A1425" s="15" t="s">
        <v>151</v>
      </c>
      <c r="B1425" s="11" t="s">
        <v>168</v>
      </c>
      <c r="C1425" s="15"/>
      <c r="D1425" s="16" t="s">
        <v>20</v>
      </c>
      <c r="E1425" s="23">
        <v>1.0</v>
      </c>
      <c r="F1425" s="18">
        <f>E1425* 0.61531089014017</f>
        <v>0.6153108901</v>
      </c>
      <c r="G1425" s="18">
        <f>E1425* 0.298190966814424</f>
        <v>0.2981909668</v>
      </c>
      <c r="H1425" s="18">
        <f>E1425* 0.086378339523182</f>
        <v>0.08637833952</v>
      </c>
    </row>
    <row r="1426" ht="15.75" hidden="1" customHeight="1">
      <c r="A1426" s="15" t="s">
        <v>151</v>
      </c>
      <c r="B1426" s="11" t="s">
        <v>168</v>
      </c>
      <c r="C1426" s="15"/>
      <c r="D1426" s="16" t="s">
        <v>12</v>
      </c>
      <c r="E1426" s="23">
        <v>2.0</v>
      </c>
      <c r="F1426" s="18">
        <f>E1426* 0.849400404921352</f>
        <v>1.69880081</v>
      </c>
      <c r="G1426" s="18">
        <f>E1426* 0.0654726678087525</f>
        <v>0.1309453356</v>
      </c>
      <c r="H1426" s="18">
        <f>E1426* 0.0851269272698957</f>
        <v>0.1702538545</v>
      </c>
    </row>
    <row r="1427" ht="15.75" hidden="1" customHeight="1">
      <c r="A1427" s="15" t="s">
        <v>151</v>
      </c>
      <c r="B1427" s="8"/>
      <c r="C1427" s="8"/>
      <c r="D1427" s="9"/>
      <c r="E1427" s="29"/>
    </row>
    <row r="1428" ht="15.75" customHeight="1">
      <c r="A1428" s="15" t="s">
        <v>151</v>
      </c>
      <c r="B1428" s="11" t="s">
        <v>151</v>
      </c>
      <c r="C1428" s="12" t="str">
        <f>B1428&amp;"_"&amp;A1428</f>
        <v>Oruro_Oruro</v>
      </c>
      <c r="E1428" s="22">
        <v>82992.0</v>
      </c>
      <c r="F1428" s="14">
        <f t="shared" ref="F1428:H1428" si="135">SUM(F1429:F1442)</f>
        <v>63636.74603</v>
      </c>
      <c r="G1428" s="14">
        <f t="shared" si="135"/>
        <v>14217.94073</v>
      </c>
      <c r="H1428" s="14">
        <f t="shared" si="135"/>
        <v>5132.538394</v>
      </c>
      <c r="I1428" s="14"/>
    </row>
    <row r="1429" ht="15.75" hidden="1" customHeight="1">
      <c r="A1429" s="15" t="s">
        <v>151</v>
      </c>
      <c r="B1429" s="11" t="s">
        <v>151</v>
      </c>
      <c r="C1429" s="15"/>
      <c r="D1429" s="16" t="s">
        <v>53</v>
      </c>
      <c r="E1429" s="23">
        <v>0.0</v>
      </c>
      <c r="F1429" s="20">
        <v>0.0</v>
      </c>
      <c r="G1429" s="24">
        <f>E1429</f>
        <v>0</v>
      </c>
      <c r="H1429" s="20">
        <v>0.0</v>
      </c>
    </row>
    <row r="1430" ht="15.75" hidden="1" customHeight="1">
      <c r="A1430" s="15" t="s">
        <v>151</v>
      </c>
      <c r="B1430" s="11" t="s">
        <v>151</v>
      </c>
      <c r="C1430" s="15"/>
      <c r="D1430" s="16" t="s">
        <v>15</v>
      </c>
      <c r="E1430" s="23">
        <v>14012.0</v>
      </c>
      <c r="F1430" s="18">
        <f>E1430* 0.929012779104059</f>
        <v>13017.32706</v>
      </c>
      <c r="G1430" s="18">
        <f>E1430* 0.00947900575761831</f>
        <v>132.8198287</v>
      </c>
      <c r="H1430" s="18">
        <f>E1430* 0.0614380002808594</f>
        <v>860.8692599</v>
      </c>
    </row>
    <row r="1431" ht="15.75" hidden="1" customHeight="1">
      <c r="A1431" s="15" t="s">
        <v>151</v>
      </c>
      <c r="B1431" s="11" t="s">
        <v>151</v>
      </c>
      <c r="C1431" s="15"/>
      <c r="D1431" s="16" t="s">
        <v>16</v>
      </c>
      <c r="E1431" s="23">
        <v>992.0</v>
      </c>
      <c r="F1431" s="18">
        <f>E1431* 0.0624390243902439</f>
        <v>61.9395122</v>
      </c>
      <c r="G1431" s="18">
        <f>E1431* 0.936585365853659</f>
        <v>929.0926829</v>
      </c>
      <c r="H1431" s="20">
        <v>0.0</v>
      </c>
    </row>
    <row r="1432" ht="15.75" hidden="1" customHeight="1">
      <c r="A1432" s="15" t="s">
        <v>151</v>
      </c>
      <c r="B1432" s="11" t="s">
        <v>151</v>
      </c>
      <c r="C1432" s="15"/>
      <c r="D1432" s="16" t="s">
        <v>11</v>
      </c>
      <c r="E1432" s="23">
        <v>7206.0</v>
      </c>
      <c r="F1432" s="18">
        <f>E1432* 0.080360592401803</f>
        <v>579.0784288</v>
      </c>
      <c r="G1432" s="18">
        <f>E1432* 0.917192530585963</f>
        <v>6609.289375</v>
      </c>
      <c r="H1432" s="18">
        <f>E1432* 0.00218931101094656</f>
        <v>15.77617514</v>
      </c>
    </row>
    <row r="1433" ht="15.75" hidden="1" customHeight="1">
      <c r="A1433" s="15" t="s">
        <v>151</v>
      </c>
      <c r="B1433" s="11" t="s">
        <v>151</v>
      </c>
      <c r="C1433" s="15"/>
      <c r="D1433" s="16" t="s">
        <v>17</v>
      </c>
      <c r="E1433" s="23">
        <v>8735.0</v>
      </c>
      <c r="F1433" s="18">
        <f>E1433* 0.836035451794207</f>
        <v>7302.769671</v>
      </c>
      <c r="G1433" s="18">
        <f>E1433* 0.0583657587548638</f>
        <v>509.8249027</v>
      </c>
      <c r="H1433" s="18">
        <f>E1433* 0.10559878945093</f>
        <v>922.4054259</v>
      </c>
    </row>
    <row r="1434" ht="15.75" hidden="1" customHeight="1">
      <c r="A1434" s="15" t="s">
        <v>151</v>
      </c>
      <c r="B1434" s="11" t="s">
        <v>151</v>
      </c>
      <c r="C1434" s="15"/>
      <c r="D1434" s="16" t="s">
        <v>31</v>
      </c>
      <c r="E1434" s="23">
        <v>147.0</v>
      </c>
      <c r="F1434" s="18">
        <f>E1434* 0.872611464968153</f>
        <v>128.2738854</v>
      </c>
      <c r="G1434" s="18">
        <f>E1434* 0.0764331210191083</f>
        <v>11.23566879</v>
      </c>
      <c r="H1434" s="18">
        <f>E1434* 0.0509554140127389</f>
        <v>7.49044586</v>
      </c>
    </row>
    <row r="1435" ht="15.75" hidden="1" customHeight="1">
      <c r="A1435" s="15" t="s">
        <v>151</v>
      </c>
      <c r="B1435" s="11" t="s">
        <v>151</v>
      </c>
      <c r="C1435" s="15"/>
      <c r="D1435" s="16" t="s">
        <v>18</v>
      </c>
      <c r="E1435" s="23">
        <v>1823.0</v>
      </c>
      <c r="F1435" s="18">
        <f>E1435* 0.920270974465868</f>
        <v>1677.653986</v>
      </c>
      <c r="G1435" s="18">
        <f>E1435* 0.0703491401771756</f>
        <v>128.2464825</v>
      </c>
      <c r="H1435" s="18">
        <f>E1435* 0.00937988535695675</f>
        <v>17.09953101</v>
      </c>
    </row>
    <row r="1436" ht="15.75" hidden="1" customHeight="1">
      <c r="A1436" s="15" t="s">
        <v>151</v>
      </c>
      <c r="B1436" s="11" t="s">
        <v>151</v>
      </c>
      <c r="C1436" s="15"/>
      <c r="D1436" s="16" t="s">
        <v>19</v>
      </c>
      <c r="E1436" s="23">
        <v>638.0</v>
      </c>
      <c r="F1436" s="18">
        <f>E1436* 0.223420647149461</f>
        <v>142.5423729</v>
      </c>
      <c r="G1436" s="18">
        <f>E1436* 0.773497688751926</f>
        <v>493.4915254</v>
      </c>
      <c r="H1436" s="18">
        <f>E1436* 0.00308166409861325</f>
        <v>1.966101695</v>
      </c>
    </row>
    <row r="1437" ht="15.75" hidden="1" customHeight="1">
      <c r="A1437" s="15" t="s">
        <v>151</v>
      </c>
      <c r="B1437" s="11" t="s">
        <v>151</v>
      </c>
      <c r="C1437" s="15"/>
      <c r="D1437" s="16" t="s">
        <v>20</v>
      </c>
      <c r="E1437" s="23">
        <v>8073.0</v>
      </c>
      <c r="F1437" s="18">
        <f>E1437* 0.61531089014017</f>
        <v>4967.404816</v>
      </c>
      <c r="G1437" s="18">
        <f>E1437* 0.298190966814424</f>
        <v>2407.295675</v>
      </c>
      <c r="H1437" s="18">
        <f>E1437* 0.086378339523182</f>
        <v>697.332335</v>
      </c>
    </row>
    <row r="1438" ht="15.75" hidden="1" customHeight="1">
      <c r="A1438" s="15" t="s">
        <v>151</v>
      </c>
      <c r="B1438" s="11" t="s">
        <v>151</v>
      </c>
      <c r="C1438" s="15"/>
      <c r="D1438" s="16" t="s">
        <v>21</v>
      </c>
      <c r="E1438" s="23">
        <v>9698.0</v>
      </c>
      <c r="F1438" s="18">
        <f>E1438* 0.999801370543252</f>
        <v>9696.073692</v>
      </c>
      <c r="G1438" s="18">
        <f>E1438* 0.0000993147283742179</f>
        <v>0.9631542358</v>
      </c>
      <c r="H1438" s="18">
        <f>E1438* 0.0000993147283742179</f>
        <v>0.9631542358</v>
      </c>
    </row>
    <row r="1439" ht="15.75" hidden="1" customHeight="1">
      <c r="A1439" s="15" t="s">
        <v>151</v>
      </c>
      <c r="B1439" s="11" t="s">
        <v>151</v>
      </c>
      <c r="C1439" s="15"/>
      <c r="D1439" s="16" t="s">
        <v>36</v>
      </c>
      <c r="E1439" s="23">
        <v>44.0</v>
      </c>
      <c r="F1439" s="24">
        <f>E1439</f>
        <v>44</v>
      </c>
      <c r="G1439" s="20">
        <v>0.0</v>
      </c>
      <c r="H1439" s="20">
        <v>0.0</v>
      </c>
    </row>
    <row r="1440" ht="15.75" hidden="1" customHeight="1">
      <c r="A1440" s="15" t="s">
        <v>151</v>
      </c>
      <c r="B1440" s="11" t="s">
        <v>151</v>
      </c>
      <c r="C1440" s="15"/>
      <c r="D1440" s="16" t="s">
        <v>37</v>
      </c>
      <c r="E1440" s="23">
        <v>2.0</v>
      </c>
      <c r="F1440" s="20">
        <v>0.0</v>
      </c>
      <c r="G1440" s="24">
        <f>E1440</f>
        <v>2</v>
      </c>
      <c r="H1440" s="20">
        <v>0.0</v>
      </c>
    </row>
    <row r="1441" ht="15.75" hidden="1" customHeight="1">
      <c r="A1441" s="15" t="s">
        <v>151</v>
      </c>
      <c r="B1441" s="11" t="s">
        <v>151</v>
      </c>
      <c r="C1441" s="15"/>
      <c r="D1441" s="16" t="s">
        <v>28</v>
      </c>
      <c r="E1441" s="23">
        <v>989.0</v>
      </c>
      <c r="F1441" s="20">
        <v>0.0</v>
      </c>
      <c r="G1441" s="18">
        <f>E1441* 0.99904671115348</f>
        <v>988.0571973</v>
      </c>
      <c r="H1441" s="18">
        <f>E1441* 0.000953288846520496</f>
        <v>0.9428026692</v>
      </c>
    </row>
    <row r="1442" ht="15.75" hidden="1" customHeight="1">
      <c r="A1442" s="15" t="s">
        <v>151</v>
      </c>
      <c r="B1442" s="11" t="s">
        <v>151</v>
      </c>
      <c r="C1442" s="15"/>
      <c r="D1442" s="16" t="s">
        <v>12</v>
      </c>
      <c r="E1442" s="23">
        <v>30633.0</v>
      </c>
      <c r="F1442" s="18">
        <f>E1442* 0.849400404921352</f>
        <v>26019.6826</v>
      </c>
      <c r="G1442" s="18">
        <f>E1442* 0.0654726678087525</f>
        <v>2005.624233</v>
      </c>
      <c r="H1442" s="18">
        <f>E1442* 0.0851269272698957</f>
        <v>2607.693163</v>
      </c>
    </row>
    <row r="1443" ht="15.75" hidden="1" customHeight="1">
      <c r="A1443" s="15" t="s">
        <v>151</v>
      </c>
      <c r="B1443" s="8"/>
      <c r="C1443" s="8"/>
      <c r="D1443" s="9"/>
      <c r="E1443" s="29"/>
    </row>
    <row r="1444" ht="15.75" customHeight="1">
      <c r="A1444" s="15" t="s">
        <v>151</v>
      </c>
      <c r="B1444" s="11" t="s">
        <v>169</v>
      </c>
      <c r="C1444" s="12" t="str">
        <f>B1444&amp;"_"&amp;A1444</f>
        <v>Pampa Aullagas_Oruro</v>
      </c>
      <c r="E1444" s="22">
        <v>1.0</v>
      </c>
      <c r="F1444" s="14">
        <f t="shared" ref="F1444:H1444" si="136">F1445</f>
        <v>0.0803605924</v>
      </c>
      <c r="G1444" s="14">
        <f t="shared" si="136"/>
        <v>0.9171925306</v>
      </c>
      <c r="H1444" s="14">
        <f t="shared" si="136"/>
        <v>0.002189311011</v>
      </c>
    </row>
    <row r="1445" ht="15.75" hidden="1" customHeight="1">
      <c r="A1445" s="15" t="s">
        <v>151</v>
      </c>
      <c r="B1445" s="11" t="s">
        <v>169</v>
      </c>
      <c r="C1445" s="15"/>
      <c r="D1445" s="16" t="s">
        <v>11</v>
      </c>
      <c r="E1445" s="23">
        <v>1.0</v>
      </c>
      <c r="F1445" s="18">
        <f>E1445* 0.080360592401803</f>
        <v>0.0803605924</v>
      </c>
      <c r="G1445" s="18">
        <f>E1445* 0.917192530585963</f>
        <v>0.9171925306</v>
      </c>
      <c r="H1445" s="18">
        <f>E1445* 0.00218931101094656</f>
        <v>0.002189311011</v>
      </c>
    </row>
    <row r="1446" ht="15.75" hidden="1" customHeight="1">
      <c r="A1446" s="15" t="s">
        <v>151</v>
      </c>
      <c r="B1446" s="8"/>
      <c r="C1446" s="8"/>
      <c r="D1446" s="9"/>
      <c r="E1446" s="29"/>
    </row>
    <row r="1447" ht="15.75" customHeight="1">
      <c r="A1447" s="15" t="s">
        <v>151</v>
      </c>
      <c r="B1447" s="11" t="s">
        <v>170</v>
      </c>
      <c r="C1447" s="12" t="str">
        <f>B1447&amp;"_"&amp;A1447</f>
        <v>Pazña_Oruro</v>
      </c>
      <c r="E1447" s="22">
        <v>4.0</v>
      </c>
      <c r="F1447" s="14">
        <f t="shared" ref="F1447:H1447" si="137">SUM(F1448:F1449)</f>
        <v>3.370871713</v>
      </c>
      <c r="G1447" s="14">
        <f t="shared" si="137"/>
        <v>0.2476768531</v>
      </c>
      <c r="H1447" s="14">
        <f t="shared" si="137"/>
        <v>0.3814514334</v>
      </c>
    </row>
    <row r="1448" ht="15.75" hidden="1" customHeight="1">
      <c r="A1448" s="15" t="s">
        <v>151</v>
      </c>
      <c r="B1448" s="11" t="s">
        <v>170</v>
      </c>
      <c r="C1448" s="15"/>
      <c r="D1448" s="16" t="s">
        <v>17</v>
      </c>
      <c r="E1448" s="23">
        <v>2.0</v>
      </c>
      <c r="F1448" s="18">
        <f>E1448* 0.836035451794207</f>
        <v>1.672070904</v>
      </c>
      <c r="G1448" s="18">
        <f>E1448* 0.0583657587548638</f>
        <v>0.1167315175</v>
      </c>
      <c r="H1448" s="18">
        <f>E1448* 0.10559878945093</f>
        <v>0.2111975789</v>
      </c>
    </row>
    <row r="1449" ht="15.75" hidden="1" customHeight="1">
      <c r="A1449" s="15" t="s">
        <v>151</v>
      </c>
      <c r="B1449" s="11" t="s">
        <v>170</v>
      </c>
      <c r="C1449" s="15"/>
      <c r="D1449" s="16" t="s">
        <v>12</v>
      </c>
      <c r="E1449" s="23">
        <v>2.0</v>
      </c>
      <c r="F1449" s="18">
        <f>E1449* 0.849400404921352</f>
        <v>1.69880081</v>
      </c>
      <c r="G1449" s="18">
        <f>E1449* 0.0654726678087525</f>
        <v>0.1309453356</v>
      </c>
      <c r="H1449" s="18">
        <f>E1449* 0.0851269272698957</f>
        <v>0.1702538545</v>
      </c>
    </row>
    <row r="1450" ht="15.75" hidden="1" customHeight="1">
      <c r="A1450" s="15" t="s">
        <v>151</v>
      </c>
      <c r="B1450" s="8"/>
      <c r="C1450" s="8"/>
      <c r="D1450" s="9"/>
      <c r="E1450" s="29"/>
    </row>
    <row r="1451" ht="15.75" customHeight="1">
      <c r="A1451" s="15" t="s">
        <v>151</v>
      </c>
      <c r="B1451" s="11" t="s">
        <v>171</v>
      </c>
      <c r="C1451" s="12" t="str">
        <f>B1451&amp;"_"&amp;A1451</f>
        <v>Poopo_Oruro</v>
      </c>
      <c r="E1451" s="22">
        <v>3.0</v>
      </c>
      <c r="F1451" s="14">
        <f t="shared" ref="F1451:H1451" si="138">SUM(F1452:F1454)</f>
        <v>0.9967566366</v>
      </c>
      <c r="G1451" s="14">
        <f t="shared" si="138"/>
        <v>1.89275082</v>
      </c>
      <c r="H1451" s="14">
        <f t="shared" si="138"/>
        <v>0.1099774115</v>
      </c>
    </row>
    <row r="1452" ht="15.75" hidden="1" customHeight="1">
      <c r="A1452" s="15" t="s">
        <v>151</v>
      </c>
      <c r="B1452" s="11" t="s">
        <v>171</v>
      </c>
      <c r="C1452" s="15"/>
      <c r="D1452" s="16" t="s">
        <v>11</v>
      </c>
      <c r="E1452" s="23">
        <v>2.0</v>
      </c>
      <c r="F1452" s="18">
        <f>E1452* 0.080360592401803</f>
        <v>0.1607211848</v>
      </c>
      <c r="G1452" s="18">
        <f>E1452* 0.917192530585963</f>
        <v>1.834385061</v>
      </c>
      <c r="H1452" s="18">
        <f>E1452* 0.00218931101094656</f>
        <v>0.004378622022</v>
      </c>
    </row>
    <row r="1453" ht="15.75" hidden="1" customHeight="1">
      <c r="A1453" s="15" t="s">
        <v>151</v>
      </c>
      <c r="B1453" s="11" t="s">
        <v>171</v>
      </c>
      <c r="C1453" s="15"/>
      <c r="D1453" s="16" t="s">
        <v>17</v>
      </c>
      <c r="E1453" s="23">
        <v>1.0</v>
      </c>
      <c r="F1453" s="18">
        <f>E1453* 0.836035451794207</f>
        <v>0.8360354518</v>
      </c>
      <c r="G1453" s="18">
        <f>E1453* 0.0583657587548638</f>
        <v>0.05836575875</v>
      </c>
      <c r="H1453" s="18">
        <f>E1453* 0.10559878945093</f>
        <v>0.1055987895</v>
      </c>
    </row>
    <row r="1454" ht="15.75" hidden="1" customHeight="1">
      <c r="A1454" s="15" t="s">
        <v>151</v>
      </c>
      <c r="B1454" s="11" t="s">
        <v>171</v>
      </c>
      <c r="C1454" s="15"/>
      <c r="D1454" s="16" t="s">
        <v>21</v>
      </c>
      <c r="E1454" s="23">
        <v>0.0</v>
      </c>
      <c r="F1454" s="18">
        <f>E1454* 0.999801370543252</f>
        <v>0</v>
      </c>
      <c r="G1454" s="18">
        <f>E1454* 0.0000993147283742179</f>
        <v>0</v>
      </c>
      <c r="H1454" s="18">
        <f>E1454* 0.0000993147283742179</f>
        <v>0</v>
      </c>
    </row>
    <row r="1455" ht="15.75" hidden="1" customHeight="1">
      <c r="A1455" s="15" t="s">
        <v>151</v>
      </c>
      <c r="B1455" s="8"/>
      <c r="C1455" s="8"/>
      <c r="D1455" s="9"/>
      <c r="E1455" s="29"/>
    </row>
    <row r="1456" ht="15.75" customHeight="1">
      <c r="A1456" s="15" t="s">
        <v>151</v>
      </c>
      <c r="B1456" s="11" t="s">
        <v>172</v>
      </c>
      <c r="C1456" s="12" t="str">
        <f>B1456&amp;"_"&amp;A1456</f>
        <v>Quillacas_Oruro</v>
      </c>
      <c r="E1456" s="22">
        <v>0.0</v>
      </c>
      <c r="F1456" s="14">
        <v>0.0</v>
      </c>
      <c r="G1456" s="14">
        <v>0.0</v>
      </c>
      <c r="H1456" s="14">
        <v>0.0</v>
      </c>
    </row>
    <row r="1457" ht="15.75" hidden="1" customHeight="1">
      <c r="A1457" s="15" t="s">
        <v>151</v>
      </c>
      <c r="B1457" s="11" t="s">
        <v>172</v>
      </c>
      <c r="C1457" s="15"/>
      <c r="D1457" s="16" t="s">
        <v>20</v>
      </c>
      <c r="E1457" s="23">
        <v>0.0</v>
      </c>
      <c r="F1457" s="18">
        <f>E1457* 0.61531089014017</f>
        <v>0</v>
      </c>
      <c r="G1457" s="18">
        <f>E1457* 0.298190966814424</f>
        <v>0</v>
      </c>
      <c r="H1457" s="18">
        <f>E1457* 0.086378339523182</f>
        <v>0</v>
      </c>
    </row>
    <row r="1458" ht="15.75" hidden="1" customHeight="1">
      <c r="A1458" s="15" t="s">
        <v>151</v>
      </c>
      <c r="B1458" s="8"/>
      <c r="C1458" s="8"/>
      <c r="D1458" s="9"/>
      <c r="E1458" s="29"/>
    </row>
    <row r="1459" ht="15.75" customHeight="1">
      <c r="A1459" s="15" t="s">
        <v>151</v>
      </c>
      <c r="B1459" s="11" t="s">
        <v>173</v>
      </c>
      <c r="C1459" s="12" t="str">
        <f>B1459&amp;"_"&amp;A1459</f>
        <v>Sabaya_Oruro</v>
      </c>
      <c r="E1459" s="22">
        <v>125.0</v>
      </c>
      <c r="F1459" s="14">
        <f t="shared" ref="F1459:H1459" si="139">SUM(F1460:F1470)</f>
        <v>70.85757859</v>
      </c>
      <c r="G1459" s="14">
        <f t="shared" si="139"/>
        <v>46.89963827</v>
      </c>
      <c r="H1459" s="14">
        <f t="shared" si="139"/>
        <v>7.230888153</v>
      </c>
    </row>
    <row r="1460" ht="15.75" hidden="1" customHeight="1">
      <c r="A1460" s="15" t="s">
        <v>151</v>
      </c>
      <c r="B1460" s="11" t="s">
        <v>173</v>
      </c>
      <c r="C1460" s="15"/>
      <c r="D1460" s="16" t="s">
        <v>53</v>
      </c>
      <c r="E1460" s="23">
        <v>0.0</v>
      </c>
      <c r="F1460" s="20">
        <v>0.0</v>
      </c>
      <c r="G1460" s="24">
        <f>E1460</f>
        <v>0</v>
      </c>
      <c r="H1460" s="20">
        <v>0.0</v>
      </c>
    </row>
    <row r="1461" ht="15.75" hidden="1" customHeight="1">
      <c r="A1461" s="15" t="s">
        <v>151</v>
      </c>
      <c r="B1461" s="11" t="s">
        <v>173</v>
      </c>
      <c r="C1461" s="15"/>
      <c r="D1461" s="16" t="s">
        <v>15</v>
      </c>
      <c r="E1461" s="23">
        <v>6.0</v>
      </c>
      <c r="F1461" s="18">
        <f>E1461* 0.929012779104059</f>
        <v>5.574076675</v>
      </c>
      <c r="G1461" s="18">
        <f>E1461* 0.00947900575761831</f>
        <v>0.05687403455</v>
      </c>
      <c r="H1461" s="18">
        <f>E1461* 0.0614380002808594</f>
        <v>0.3686280017</v>
      </c>
    </row>
    <row r="1462" ht="15.75" hidden="1" customHeight="1">
      <c r="A1462" s="15" t="s">
        <v>151</v>
      </c>
      <c r="B1462" s="11" t="s">
        <v>173</v>
      </c>
      <c r="C1462" s="15"/>
      <c r="D1462" s="16" t="s">
        <v>16</v>
      </c>
      <c r="E1462" s="23">
        <v>4.0</v>
      </c>
      <c r="F1462" s="18">
        <f>E1462* 0.0624390243902439</f>
        <v>0.2497560976</v>
      </c>
      <c r="G1462" s="18">
        <f>E1462* 0.936585365853659</f>
        <v>3.746341463</v>
      </c>
      <c r="H1462" s="20">
        <v>0.0</v>
      </c>
    </row>
    <row r="1463" ht="15.75" hidden="1" customHeight="1">
      <c r="A1463" s="15" t="s">
        <v>151</v>
      </c>
      <c r="B1463" s="11" t="s">
        <v>173</v>
      </c>
      <c r="C1463" s="15"/>
      <c r="D1463" s="16" t="s">
        <v>11</v>
      </c>
      <c r="E1463" s="23">
        <v>28.0</v>
      </c>
      <c r="F1463" s="18">
        <f>E1463* 0.080360592401803</f>
        <v>2.250096587</v>
      </c>
      <c r="G1463" s="18">
        <f>E1463* 0.917192530585963</f>
        <v>25.68139086</v>
      </c>
      <c r="H1463" s="18">
        <f>E1463* 0.00218931101094656</f>
        <v>0.06130070831</v>
      </c>
    </row>
    <row r="1464" ht="15.75" hidden="1" customHeight="1">
      <c r="A1464" s="15" t="s">
        <v>151</v>
      </c>
      <c r="B1464" s="11" t="s">
        <v>173</v>
      </c>
      <c r="C1464" s="15"/>
      <c r="D1464" s="16" t="s">
        <v>17</v>
      </c>
      <c r="E1464" s="23">
        <v>27.0</v>
      </c>
      <c r="F1464" s="18">
        <f>E1464* 0.836035451794207</f>
        <v>22.5729572</v>
      </c>
      <c r="G1464" s="18">
        <f>E1464* 0.0583657587548638</f>
        <v>1.575875486</v>
      </c>
      <c r="H1464" s="18">
        <f>E1464* 0.10559878945093</f>
        <v>2.851167315</v>
      </c>
    </row>
    <row r="1465" ht="15.75" hidden="1" customHeight="1">
      <c r="A1465" s="15" t="s">
        <v>151</v>
      </c>
      <c r="B1465" s="11" t="s">
        <v>173</v>
      </c>
      <c r="C1465" s="15"/>
      <c r="D1465" s="16" t="s">
        <v>31</v>
      </c>
      <c r="E1465" s="23">
        <v>0.0</v>
      </c>
      <c r="F1465" s="18">
        <f>E1465* 0.872611464968153</f>
        <v>0</v>
      </c>
      <c r="G1465" s="18">
        <f>E1465* 0.0764331210191083</f>
        <v>0</v>
      </c>
      <c r="H1465" s="18">
        <f>E1465* 0.0509554140127389</f>
        <v>0</v>
      </c>
    </row>
    <row r="1466" ht="15.75" hidden="1" customHeight="1">
      <c r="A1466" s="15" t="s">
        <v>151</v>
      </c>
      <c r="B1466" s="11" t="s">
        <v>173</v>
      </c>
      <c r="C1466" s="15"/>
      <c r="D1466" s="16" t="s">
        <v>18</v>
      </c>
      <c r="E1466" s="23">
        <v>2.0</v>
      </c>
      <c r="F1466" s="18">
        <f>E1466* 0.920270974465868</f>
        <v>1.840541949</v>
      </c>
      <c r="G1466" s="18">
        <f>E1466* 0.0703491401771756</f>
        <v>0.1406982804</v>
      </c>
      <c r="H1466" s="18">
        <f>E1466* 0.00937988535695675</f>
        <v>0.01875977071</v>
      </c>
    </row>
    <row r="1467" ht="15.75" hidden="1" customHeight="1">
      <c r="A1467" s="15" t="s">
        <v>151</v>
      </c>
      <c r="B1467" s="11" t="s">
        <v>173</v>
      </c>
      <c r="C1467" s="15"/>
      <c r="D1467" s="16" t="s">
        <v>20</v>
      </c>
      <c r="E1467" s="23">
        <v>3.0</v>
      </c>
      <c r="F1467" s="18">
        <f>E1467* 0.61531089014017</f>
        <v>1.84593267</v>
      </c>
      <c r="G1467" s="18">
        <f>E1467* 0.298190966814424</f>
        <v>0.8945729004</v>
      </c>
      <c r="H1467" s="18">
        <f>E1467* 0.086378339523182</f>
        <v>0.2591350186</v>
      </c>
    </row>
    <row r="1468" ht="15.75" hidden="1" customHeight="1">
      <c r="A1468" s="15" t="s">
        <v>151</v>
      </c>
      <c r="B1468" s="11" t="s">
        <v>173</v>
      </c>
      <c r="C1468" s="15"/>
      <c r="D1468" s="16" t="s">
        <v>21</v>
      </c>
      <c r="E1468" s="23">
        <v>0.0</v>
      </c>
      <c r="F1468" s="18">
        <f>E1468* 0.999801370543252</f>
        <v>0</v>
      </c>
      <c r="G1468" s="18">
        <f>E1468* 0.0000993147283742179</f>
        <v>0</v>
      </c>
      <c r="H1468" s="18">
        <f>E1468* 0.0000993147283742179</f>
        <v>0</v>
      </c>
    </row>
    <row r="1469" ht="15.75" hidden="1" customHeight="1">
      <c r="A1469" s="15" t="s">
        <v>151</v>
      </c>
      <c r="B1469" s="11" t="s">
        <v>173</v>
      </c>
      <c r="C1469" s="15"/>
      <c r="D1469" s="16" t="s">
        <v>28</v>
      </c>
      <c r="E1469" s="23">
        <v>12.0</v>
      </c>
      <c r="F1469" s="20">
        <v>0.0</v>
      </c>
      <c r="G1469" s="18">
        <f>E1469* 0.99904671115348</f>
        <v>11.98856053</v>
      </c>
      <c r="H1469" s="18">
        <f>E1469* 0.000953288846520496</f>
        <v>0.01143946616</v>
      </c>
    </row>
    <row r="1470" ht="15.75" hidden="1" customHeight="1">
      <c r="A1470" s="15" t="s">
        <v>151</v>
      </c>
      <c r="B1470" s="11" t="s">
        <v>173</v>
      </c>
      <c r="C1470" s="15"/>
      <c r="D1470" s="16" t="s">
        <v>12</v>
      </c>
      <c r="E1470" s="23">
        <v>43.0</v>
      </c>
      <c r="F1470" s="18">
        <f>E1470* 0.849400404921352</f>
        <v>36.52421741</v>
      </c>
      <c r="G1470" s="18">
        <f>E1470* 0.0654726678087525</f>
        <v>2.815324716</v>
      </c>
      <c r="H1470" s="18">
        <f>E1470* 0.0851269272698957</f>
        <v>3.660457873</v>
      </c>
    </row>
    <row r="1471" ht="15.75" hidden="1" customHeight="1">
      <c r="A1471" s="15" t="s">
        <v>151</v>
      </c>
      <c r="B1471" s="8"/>
      <c r="C1471" s="8"/>
      <c r="D1471" s="9"/>
      <c r="E1471" s="29"/>
    </row>
    <row r="1472" ht="15.75" customHeight="1">
      <c r="A1472" s="15" t="s">
        <v>151</v>
      </c>
      <c r="B1472" s="11" t="s">
        <v>174</v>
      </c>
      <c r="C1472" s="12" t="str">
        <f>B1472&amp;"_"&amp;A1472</f>
        <v>Salinas de Garci Mendoza_Oruro</v>
      </c>
      <c r="E1472" s="22">
        <v>6.0</v>
      </c>
      <c r="F1472" s="14">
        <f t="shared" ref="F1472:H1472" si="140">SUM(F1473:F1478)</f>
        <v>2.006878226</v>
      </c>
      <c r="G1472" s="14">
        <f t="shared" si="140"/>
        <v>3.792608549</v>
      </c>
      <c r="H1472" s="14">
        <f t="shared" si="140"/>
        <v>0.1994829608</v>
      </c>
    </row>
    <row r="1473" ht="15.75" hidden="1" customHeight="1">
      <c r="A1473" s="15" t="s">
        <v>151</v>
      </c>
      <c r="B1473" s="11" t="s">
        <v>174</v>
      </c>
      <c r="C1473" s="15"/>
      <c r="D1473" s="16" t="s">
        <v>15</v>
      </c>
      <c r="E1473" s="23">
        <v>0.0</v>
      </c>
      <c r="F1473" s="18">
        <f>E1473* 0.929012779104059</f>
        <v>0</v>
      </c>
      <c r="G1473" s="18">
        <f>E1473* 0.00947900575761831</f>
        <v>0</v>
      </c>
      <c r="H1473" s="18">
        <f>E1473* 0.0614380002808594</f>
        <v>0</v>
      </c>
    </row>
    <row r="1474" ht="15.75" hidden="1" customHeight="1">
      <c r="A1474" s="15" t="s">
        <v>151</v>
      </c>
      <c r="B1474" s="11" t="s">
        <v>174</v>
      </c>
      <c r="C1474" s="15"/>
      <c r="D1474" s="16" t="s">
        <v>11</v>
      </c>
      <c r="E1474" s="23">
        <v>4.0</v>
      </c>
      <c r="F1474" s="18">
        <f>E1474* 0.080360592401803</f>
        <v>0.3214423696</v>
      </c>
      <c r="G1474" s="18">
        <f>E1474* 0.917192530585963</f>
        <v>3.668770122</v>
      </c>
      <c r="H1474" s="18">
        <f>E1474* 0.00218931101094656</f>
        <v>0.008757244044</v>
      </c>
    </row>
    <row r="1475" ht="15.75" hidden="1" customHeight="1">
      <c r="A1475" s="15" t="s">
        <v>151</v>
      </c>
      <c r="B1475" s="11" t="s">
        <v>174</v>
      </c>
      <c r="C1475" s="15"/>
      <c r="D1475" s="16" t="s">
        <v>17</v>
      </c>
      <c r="E1475" s="23">
        <v>1.0</v>
      </c>
      <c r="F1475" s="18">
        <f>E1475* 0.836035451794207</f>
        <v>0.8360354518</v>
      </c>
      <c r="G1475" s="18">
        <f>E1475* 0.0583657587548638</f>
        <v>0.05836575875</v>
      </c>
      <c r="H1475" s="18">
        <f>E1475* 0.10559878945093</f>
        <v>0.1055987895</v>
      </c>
    </row>
    <row r="1476" ht="15.75" hidden="1" customHeight="1">
      <c r="A1476" s="15" t="s">
        <v>151</v>
      </c>
      <c r="B1476" s="11" t="s">
        <v>174</v>
      </c>
      <c r="C1476" s="15"/>
      <c r="D1476" s="16" t="s">
        <v>18</v>
      </c>
      <c r="E1476" s="23">
        <v>0.0</v>
      </c>
      <c r="F1476" s="18">
        <f>E1476* 0.920270974465868</f>
        <v>0</v>
      </c>
      <c r="G1476" s="18">
        <f>E1476* 0.0703491401771756</f>
        <v>0</v>
      </c>
      <c r="H1476" s="18">
        <f>E1476* 0.00937988535695675</f>
        <v>0</v>
      </c>
    </row>
    <row r="1477" ht="15.75" hidden="1" customHeight="1">
      <c r="A1477" s="15" t="s">
        <v>151</v>
      </c>
      <c r="B1477" s="11" t="s">
        <v>174</v>
      </c>
      <c r="C1477" s="15"/>
      <c r="D1477" s="16" t="s">
        <v>21</v>
      </c>
      <c r="E1477" s="23">
        <v>0.0</v>
      </c>
      <c r="F1477" s="18">
        <f>E1477* 0.999801370543252</f>
        <v>0</v>
      </c>
      <c r="G1477" s="18">
        <f>E1477* 0.0000993147283742179</f>
        <v>0</v>
      </c>
      <c r="H1477" s="18">
        <f>E1477* 0.0000993147283742179</f>
        <v>0</v>
      </c>
    </row>
    <row r="1478" ht="15.75" hidden="1" customHeight="1">
      <c r="A1478" s="15" t="s">
        <v>151</v>
      </c>
      <c r="B1478" s="11" t="s">
        <v>174</v>
      </c>
      <c r="C1478" s="15"/>
      <c r="D1478" s="16" t="s">
        <v>12</v>
      </c>
      <c r="E1478" s="23">
        <v>1.0</v>
      </c>
      <c r="F1478" s="18">
        <f>E1478* 0.849400404921352</f>
        <v>0.8494004049</v>
      </c>
      <c r="G1478" s="18">
        <f>E1478* 0.0654726678087525</f>
        <v>0.06547266781</v>
      </c>
      <c r="H1478" s="18">
        <f>E1478* 0.0851269272698957</f>
        <v>0.08512692727</v>
      </c>
    </row>
    <row r="1479" ht="15.75" hidden="1" customHeight="1">
      <c r="A1479" s="15" t="s">
        <v>151</v>
      </c>
      <c r="B1479" s="8"/>
      <c r="C1479" s="8"/>
      <c r="D1479" s="9"/>
      <c r="E1479" s="29"/>
    </row>
    <row r="1480" ht="15.75" customHeight="1">
      <c r="A1480" s="15" t="s">
        <v>151</v>
      </c>
      <c r="B1480" s="11" t="s">
        <v>175</v>
      </c>
      <c r="C1480" s="12" t="str">
        <f>B1480&amp;"_"&amp;A1480</f>
        <v>San Pedro de Totora_Oruro</v>
      </c>
      <c r="E1480" s="22">
        <v>2.0</v>
      </c>
      <c r="F1480" s="14">
        <f t="shared" ref="F1480:H1480" si="141">SUM(F1481:F1482)</f>
        <v>0.9163960442</v>
      </c>
      <c r="G1480" s="14">
        <f t="shared" si="141"/>
        <v>0.9755582893</v>
      </c>
      <c r="H1480" s="14">
        <f t="shared" si="141"/>
        <v>0.1077881005</v>
      </c>
    </row>
    <row r="1481" ht="15.75" hidden="1" customHeight="1">
      <c r="A1481" s="15" t="s">
        <v>151</v>
      </c>
      <c r="B1481" s="11" t="s">
        <v>175</v>
      </c>
      <c r="C1481" s="15"/>
      <c r="D1481" s="16" t="s">
        <v>11</v>
      </c>
      <c r="E1481" s="23">
        <v>1.0</v>
      </c>
      <c r="F1481" s="18">
        <f>E1481* 0.080360592401803</f>
        <v>0.0803605924</v>
      </c>
      <c r="G1481" s="18">
        <f>E1481* 0.917192530585963</f>
        <v>0.9171925306</v>
      </c>
      <c r="H1481" s="18">
        <f>E1481* 0.00218931101094656</f>
        <v>0.002189311011</v>
      </c>
    </row>
    <row r="1482" ht="15.75" hidden="1" customHeight="1">
      <c r="A1482" s="15" t="s">
        <v>151</v>
      </c>
      <c r="B1482" s="11" t="s">
        <v>175</v>
      </c>
      <c r="C1482" s="15"/>
      <c r="D1482" s="16" t="s">
        <v>17</v>
      </c>
      <c r="E1482" s="23">
        <v>1.0</v>
      </c>
      <c r="F1482" s="18">
        <f>E1482* 0.836035451794207</f>
        <v>0.8360354518</v>
      </c>
      <c r="G1482" s="18">
        <f>E1482* 0.0583657587548638</f>
        <v>0.05836575875</v>
      </c>
      <c r="H1482" s="18">
        <f>E1482* 0.10559878945093</f>
        <v>0.1055987895</v>
      </c>
    </row>
    <row r="1483" ht="15.75" hidden="1" customHeight="1">
      <c r="A1483" s="15" t="s">
        <v>151</v>
      </c>
      <c r="B1483" s="8"/>
      <c r="C1483" s="8"/>
      <c r="D1483" s="9"/>
      <c r="E1483" s="29"/>
    </row>
    <row r="1484" ht="15.75" customHeight="1">
      <c r="A1484" s="15" t="s">
        <v>151</v>
      </c>
      <c r="B1484" s="11" t="s">
        <v>176</v>
      </c>
      <c r="C1484" s="12" t="str">
        <f>B1484&amp;"_"&amp;A1484</f>
        <v>Santiago de Andamarca_Oruro</v>
      </c>
      <c r="E1484" s="22">
        <v>0.0</v>
      </c>
      <c r="F1484" s="14">
        <v>0.0</v>
      </c>
      <c r="G1484" s="14">
        <v>0.0</v>
      </c>
      <c r="H1484" s="14">
        <v>0.0</v>
      </c>
    </row>
    <row r="1485" ht="15.75" hidden="1" customHeight="1">
      <c r="A1485" s="15" t="s">
        <v>151</v>
      </c>
      <c r="B1485" s="11" t="s">
        <v>176</v>
      </c>
      <c r="C1485" s="15"/>
      <c r="D1485" s="16" t="s">
        <v>53</v>
      </c>
      <c r="E1485" s="23">
        <v>0.0</v>
      </c>
      <c r="F1485" s="20">
        <v>0.0</v>
      </c>
      <c r="G1485" s="24">
        <f>E1485</f>
        <v>0</v>
      </c>
      <c r="H1485" s="20">
        <v>0.0</v>
      </c>
    </row>
    <row r="1486" ht="15.75" hidden="1" customHeight="1">
      <c r="A1486" s="15" t="s">
        <v>151</v>
      </c>
      <c r="B1486" s="11" t="s">
        <v>176</v>
      </c>
      <c r="C1486" s="15"/>
      <c r="D1486" s="16" t="s">
        <v>15</v>
      </c>
      <c r="E1486" s="23">
        <v>0.0</v>
      </c>
      <c r="F1486" s="18">
        <f>E1486* 0.929012779104059</f>
        <v>0</v>
      </c>
      <c r="G1486" s="18">
        <f>E1486* 0.00947900575761831</f>
        <v>0</v>
      </c>
      <c r="H1486" s="18">
        <f>E1486* 0.0614380002808594</f>
        <v>0</v>
      </c>
    </row>
    <row r="1487" ht="15.75" hidden="1" customHeight="1">
      <c r="A1487" s="15" t="s">
        <v>151</v>
      </c>
      <c r="B1487" s="11" t="s">
        <v>176</v>
      </c>
      <c r="C1487" s="15"/>
      <c r="D1487" s="16" t="s">
        <v>11</v>
      </c>
      <c r="E1487" s="23">
        <v>0.0</v>
      </c>
      <c r="F1487" s="18">
        <f>E1487* 0.080360592401803</f>
        <v>0</v>
      </c>
      <c r="G1487" s="18">
        <f>E1487* 0.917192530585963</f>
        <v>0</v>
      </c>
      <c r="H1487" s="18">
        <f>E1487* 0.00218931101094656</f>
        <v>0</v>
      </c>
    </row>
    <row r="1488" ht="15.75" hidden="1" customHeight="1">
      <c r="A1488" s="15" t="s">
        <v>151</v>
      </c>
      <c r="B1488" s="11" t="s">
        <v>176</v>
      </c>
      <c r="C1488" s="15"/>
      <c r="D1488" s="16" t="s">
        <v>17</v>
      </c>
      <c r="E1488" s="23">
        <v>0.0</v>
      </c>
      <c r="F1488" s="18">
        <f>E1488* 0.836035451794207</f>
        <v>0</v>
      </c>
      <c r="G1488" s="18">
        <f>E1488* 0.0583657587548638</f>
        <v>0</v>
      </c>
      <c r="H1488" s="18">
        <f>E1488* 0.10559878945093</f>
        <v>0</v>
      </c>
    </row>
    <row r="1489" ht="15.75" hidden="1" customHeight="1">
      <c r="A1489" s="15" t="s">
        <v>151</v>
      </c>
      <c r="B1489" s="11" t="s">
        <v>176</v>
      </c>
      <c r="C1489" s="15"/>
      <c r="D1489" s="16" t="s">
        <v>31</v>
      </c>
      <c r="E1489" s="23">
        <v>0.0</v>
      </c>
      <c r="F1489" s="18">
        <f>E1489* 0.872611464968153</f>
        <v>0</v>
      </c>
      <c r="G1489" s="18">
        <f>E1489* 0.0764331210191083</f>
        <v>0</v>
      </c>
      <c r="H1489" s="18">
        <f>E1489* 0.0509554140127389</f>
        <v>0</v>
      </c>
    </row>
    <row r="1490" ht="15.75" hidden="1" customHeight="1">
      <c r="A1490" s="15" t="s">
        <v>151</v>
      </c>
      <c r="B1490" s="11" t="s">
        <v>176</v>
      </c>
      <c r="C1490" s="15"/>
      <c r="D1490" s="16" t="s">
        <v>55</v>
      </c>
      <c r="E1490" s="23">
        <v>0.0</v>
      </c>
      <c r="F1490" s="20">
        <v>0.0</v>
      </c>
      <c r="G1490" s="24">
        <f>E1490</f>
        <v>0</v>
      </c>
      <c r="H1490" s="20">
        <v>0.0</v>
      </c>
    </row>
    <row r="1491" ht="15.75" hidden="1" customHeight="1">
      <c r="A1491" s="15" t="s">
        <v>151</v>
      </c>
      <c r="B1491" s="11" t="s">
        <v>176</v>
      </c>
      <c r="C1491" s="15"/>
      <c r="D1491" s="16" t="s">
        <v>19</v>
      </c>
      <c r="E1491" s="23">
        <v>0.0</v>
      </c>
      <c r="F1491" s="18">
        <f>E1491* 0.223420647149461</f>
        <v>0</v>
      </c>
      <c r="G1491" s="18">
        <f>E1491* 0.773497688751926</f>
        <v>0</v>
      </c>
      <c r="H1491" s="18">
        <f>E1491* 0.00308166409861325</f>
        <v>0</v>
      </c>
    </row>
    <row r="1492" ht="15.75" hidden="1" customHeight="1">
      <c r="A1492" s="15" t="s">
        <v>151</v>
      </c>
      <c r="B1492" s="11" t="s">
        <v>176</v>
      </c>
      <c r="C1492" s="15"/>
      <c r="D1492" s="16" t="s">
        <v>20</v>
      </c>
      <c r="E1492" s="23">
        <v>0.0</v>
      </c>
      <c r="F1492" s="18">
        <f>E1492* 0.61531089014017</f>
        <v>0</v>
      </c>
      <c r="G1492" s="18">
        <f>E1492* 0.298190966814424</f>
        <v>0</v>
      </c>
      <c r="H1492" s="18">
        <f>E1492* 0.086378339523182</f>
        <v>0</v>
      </c>
    </row>
    <row r="1493" ht="15.75" hidden="1" customHeight="1">
      <c r="A1493" s="15" t="s">
        <v>151</v>
      </c>
      <c r="B1493" s="11" t="s">
        <v>176</v>
      </c>
      <c r="C1493" s="15"/>
      <c r="D1493" s="16" t="s">
        <v>21</v>
      </c>
      <c r="E1493" s="23">
        <v>0.0</v>
      </c>
      <c r="F1493" s="18">
        <f>E1493* 0.999801370543252</f>
        <v>0</v>
      </c>
      <c r="G1493" s="18">
        <f>E1493* 0.0000993147283742179</f>
        <v>0</v>
      </c>
      <c r="H1493" s="18">
        <f>E1493* 0.0000993147283742179</f>
        <v>0</v>
      </c>
    </row>
    <row r="1494" ht="15.75" hidden="1" customHeight="1">
      <c r="A1494" s="15" t="s">
        <v>151</v>
      </c>
      <c r="B1494" s="11" t="s">
        <v>176</v>
      </c>
      <c r="C1494" s="15"/>
      <c r="D1494" s="16" t="s">
        <v>12</v>
      </c>
      <c r="E1494" s="23">
        <v>0.0</v>
      </c>
      <c r="F1494" s="18">
        <f>E1494* 0.849400404921352</f>
        <v>0</v>
      </c>
      <c r="G1494" s="18">
        <f>E1494* 0.0654726678087525</f>
        <v>0</v>
      </c>
      <c r="H1494" s="18">
        <f>E1494* 0.0851269272698957</f>
        <v>0</v>
      </c>
    </row>
    <row r="1495" ht="15.75" hidden="1" customHeight="1">
      <c r="A1495" s="15" t="s">
        <v>151</v>
      </c>
      <c r="B1495" s="8"/>
      <c r="C1495" s="8"/>
      <c r="D1495" s="9"/>
      <c r="E1495" s="29"/>
    </row>
    <row r="1496" ht="15.75" customHeight="1">
      <c r="A1496" s="15" t="s">
        <v>151</v>
      </c>
      <c r="B1496" s="11" t="s">
        <v>177</v>
      </c>
      <c r="C1496" s="12" t="str">
        <f>B1496&amp;"_"&amp;A1496</f>
        <v>Santiago de Huallamarca_Oruro</v>
      </c>
      <c r="E1496" s="22">
        <v>1.0</v>
      </c>
      <c r="F1496" s="14">
        <f t="shared" ref="F1496:H1496" si="142">F1497</f>
        <v>0.8360354518</v>
      </c>
      <c r="G1496" s="14">
        <f t="shared" si="142"/>
        <v>0.05836575875</v>
      </c>
      <c r="H1496" s="14">
        <f t="shared" si="142"/>
        <v>0.1055987895</v>
      </c>
    </row>
    <row r="1497" ht="15.75" hidden="1" customHeight="1">
      <c r="A1497" s="15" t="s">
        <v>151</v>
      </c>
      <c r="B1497" s="11" t="s">
        <v>177</v>
      </c>
      <c r="C1497" s="15"/>
      <c r="D1497" s="16" t="s">
        <v>17</v>
      </c>
      <c r="E1497" s="23">
        <v>1.0</v>
      </c>
      <c r="F1497" s="18">
        <f>E1497* 0.836035451794207</f>
        <v>0.8360354518</v>
      </c>
      <c r="G1497" s="18">
        <f>E1497* 0.0583657587548638</f>
        <v>0.05836575875</v>
      </c>
      <c r="H1497" s="18">
        <f>E1497* 0.10559878945093</f>
        <v>0.1055987895</v>
      </c>
    </row>
    <row r="1498" ht="15.75" hidden="1" customHeight="1">
      <c r="A1498" s="15" t="s">
        <v>151</v>
      </c>
      <c r="B1498" s="8"/>
      <c r="C1498" s="8"/>
      <c r="D1498" s="9"/>
      <c r="E1498" s="29"/>
    </row>
    <row r="1499" ht="15.75" customHeight="1">
      <c r="A1499" s="15" t="s">
        <v>151</v>
      </c>
      <c r="B1499" s="11" t="s">
        <v>178</v>
      </c>
      <c r="C1499" s="12" t="str">
        <f>B1499&amp;"_"&amp;A1499</f>
        <v>Santiago de Huari_Oruro</v>
      </c>
      <c r="E1499" s="22">
        <v>14.0</v>
      </c>
      <c r="F1499" s="14">
        <f t="shared" ref="F1499:H1499" si="143">SUM(F1500:F1509)</f>
        <v>7.746121278</v>
      </c>
      <c r="G1499" s="14">
        <f t="shared" si="143"/>
        <v>5.565984908</v>
      </c>
      <c r="H1499" s="14">
        <f t="shared" si="143"/>
        <v>0.6862961629</v>
      </c>
    </row>
    <row r="1500" ht="15.75" hidden="1" customHeight="1">
      <c r="A1500" s="15" t="s">
        <v>151</v>
      </c>
      <c r="B1500" s="11" t="s">
        <v>178</v>
      </c>
      <c r="C1500" s="15"/>
      <c r="D1500" s="16" t="s">
        <v>15</v>
      </c>
      <c r="E1500" s="23">
        <v>1.0</v>
      </c>
      <c r="F1500" s="18">
        <f>E1500* 0.929012779104059</f>
        <v>0.9290127791</v>
      </c>
      <c r="G1500" s="18">
        <f>E1500* 0.00947900575761831</f>
        <v>0.009479005758</v>
      </c>
      <c r="H1500" s="18">
        <f>E1500* 0.0614380002808594</f>
        <v>0.06143800028</v>
      </c>
    </row>
    <row r="1501" ht="15.75" hidden="1" customHeight="1">
      <c r="A1501" s="15" t="s">
        <v>151</v>
      </c>
      <c r="B1501" s="11" t="s">
        <v>178</v>
      </c>
      <c r="C1501" s="15"/>
      <c r="D1501" s="16" t="s">
        <v>16</v>
      </c>
      <c r="E1501" s="23">
        <v>0.0</v>
      </c>
      <c r="F1501" s="18">
        <f>E1501* 0.0624390243902439</f>
        <v>0</v>
      </c>
      <c r="G1501" s="18">
        <f>E1501* 0.936585365853659</f>
        <v>0</v>
      </c>
      <c r="H1501" s="20">
        <v>0.0</v>
      </c>
    </row>
    <row r="1502" ht="15.75" hidden="1" customHeight="1">
      <c r="A1502" s="15" t="s">
        <v>151</v>
      </c>
      <c r="B1502" s="11" t="s">
        <v>178</v>
      </c>
      <c r="C1502" s="15"/>
      <c r="D1502" s="16" t="s">
        <v>11</v>
      </c>
      <c r="E1502" s="23">
        <v>5.0</v>
      </c>
      <c r="F1502" s="18">
        <f>E1502* 0.080360592401803</f>
        <v>0.401802962</v>
      </c>
      <c r="G1502" s="18">
        <f>E1502* 0.917192530585963</f>
        <v>4.585962653</v>
      </c>
      <c r="H1502" s="18">
        <f>E1502* 0.00218931101094656</f>
        <v>0.01094655505</v>
      </c>
    </row>
    <row r="1503" ht="15.75" hidden="1" customHeight="1">
      <c r="A1503" s="15" t="s">
        <v>151</v>
      </c>
      <c r="B1503" s="11" t="s">
        <v>178</v>
      </c>
      <c r="C1503" s="15"/>
      <c r="D1503" s="16" t="s">
        <v>17</v>
      </c>
      <c r="E1503" s="23">
        <v>4.0</v>
      </c>
      <c r="F1503" s="18">
        <f>E1503* 0.836035451794207</f>
        <v>3.344141807</v>
      </c>
      <c r="G1503" s="18">
        <f>E1503* 0.0583657587548638</f>
        <v>0.233463035</v>
      </c>
      <c r="H1503" s="18">
        <f>E1503* 0.10559878945093</f>
        <v>0.4223951578</v>
      </c>
    </row>
    <row r="1504" ht="15.75" hidden="1" customHeight="1">
      <c r="A1504" s="15" t="s">
        <v>151</v>
      </c>
      <c r="B1504" s="11" t="s">
        <v>178</v>
      </c>
      <c r="C1504" s="15"/>
      <c r="D1504" s="16" t="s">
        <v>18</v>
      </c>
      <c r="E1504" s="23">
        <v>2.0</v>
      </c>
      <c r="F1504" s="18">
        <f>E1504* 0.920270974465868</f>
        <v>1.840541949</v>
      </c>
      <c r="G1504" s="18">
        <f>E1504* 0.0703491401771756</f>
        <v>0.1406982804</v>
      </c>
      <c r="H1504" s="18">
        <f>E1504* 0.00937988535695675</f>
        <v>0.01875977071</v>
      </c>
    </row>
    <row r="1505" ht="15.75" hidden="1" customHeight="1">
      <c r="A1505" s="15" t="s">
        <v>151</v>
      </c>
      <c r="B1505" s="11" t="s">
        <v>178</v>
      </c>
      <c r="C1505" s="15"/>
      <c r="D1505" s="16" t="s">
        <v>19</v>
      </c>
      <c r="E1505" s="23">
        <v>0.0</v>
      </c>
      <c r="F1505" s="18">
        <f>E1505* 0.223420647149461</f>
        <v>0</v>
      </c>
      <c r="G1505" s="18">
        <f>E1505* 0.773497688751926</f>
        <v>0</v>
      </c>
      <c r="H1505" s="18">
        <f>E1505* 0.00308166409861325</f>
        <v>0</v>
      </c>
    </row>
    <row r="1506" ht="15.75" hidden="1" customHeight="1">
      <c r="A1506" s="15" t="s">
        <v>151</v>
      </c>
      <c r="B1506" s="11" t="s">
        <v>178</v>
      </c>
      <c r="C1506" s="15"/>
      <c r="D1506" s="16" t="s">
        <v>20</v>
      </c>
      <c r="E1506" s="23">
        <v>2.0</v>
      </c>
      <c r="F1506" s="18">
        <f>E1506* 0.61531089014017</f>
        <v>1.23062178</v>
      </c>
      <c r="G1506" s="18">
        <f>E1506* 0.298190966814424</f>
        <v>0.5963819336</v>
      </c>
      <c r="H1506" s="18">
        <f>E1506* 0.086378339523182</f>
        <v>0.172756679</v>
      </c>
    </row>
    <row r="1507" ht="15.75" hidden="1" customHeight="1">
      <c r="A1507" s="15" t="s">
        <v>151</v>
      </c>
      <c r="B1507" s="11" t="s">
        <v>178</v>
      </c>
      <c r="C1507" s="15"/>
      <c r="D1507" s="16" t="s">
        <v>21</v>
      </c>
      <c r="E1507" s="23">
        <v>0.0</v>
      </c>
      <c r="F1507" s="18">
        <f>E1507* 0.999801370543252</f>
        <v>0</v>
      </c>
      <c r="G1507" s="18">
        <f>E1507* 0.0000993147283742179</f>
        <v>0</v>
      </c>
      <c r="H1507" s="18">
        <f>E1507* 0.0000993147283742179</f>
        <v>0</v>
      </c>
    </row>
    <row r="1508" ht="15.75" hidden="1" customHeight="1">
      <c r="A1508" s="15" t="s">
        <v>151</v>
      </c>
      <c r="B1508" s="11" t="s">
        <v>178</v>
      </c>
      <c r="C1508" s="15"/>
      <c r="D1508" s="16" t="s">
        <v>28</v>
      </c>
      <c r="E1508" s="23">
        <v>0.0</v>
      </c>
      <c r="F1508" s="20">
        <v>0.0</v>
      </c>
      <c r="G1508" s="18">
        <f>E1508* 0.99904671115348</f>
        <v>0</v>
      </c>
      <c r="H1508" s="18">
        <f>E1508* 0.000953288846520496</f>
        <v>0</v>
      </c>
    </row>
    <row r="1509" ht="15.75" hidden="1" customHeight="1">
      <c r="A1509" s="15" t="s">
        <v>151</v>
      </c>
      <c r="B1509" s="11" t="s">
        <v>178</v>
      </c>
      <c r="C1509" s="15"/>
      <c r="D1509" s="16" t="s">
        <v>12</v>
      </c>
      <c r="E1509" s="23">
        <v>0.0</v>
      </c>
      <c r="F1509" s="18">
        <f>E1509* 0.849400404921352</f>
        <v>0</v>
      </c>
      <c r="G1509" s="18">
        <f>E1509* 0.0654726678087525</f>
        <v>0</v>
      </c>
      <c r="H1509" s="18">
        <f>E1509* 0.0851269272698957</f>
        <v>0</v>
      </c>
    </row>
    <row r="1510" ht="15.75" hidden="1" customHeight="1">
      <c r="A1510" s="15" t="s">
        <v>151</v>
      </c>
      <c r="B1510" s="8"/>
      <c r="C1510" s="8"/>
      <c r="D1510" s="9"/>
      <c r="E1510" s="29"/>
    </row>
    <row r="1511" ht="15.75" customHeight="1">
      <c r="A1511" s="15" t="s">
        <v>151</v>
      </c>
      <c r="B1511" s="11" t="s">
        <v>179</v>
      </c>
      <c r="C1511" s="12" t="str">
        <f>B1511&amp;"_"&amp;A1511</f>
        <v>Soracachi_Oruro</v>
      </c>
      <c r="E1511" s="22">
        <v>8.0</v>
      </c>
      <c r="F1511" s="14">
        <f t="shared" ref="F1511:H1511" si="144">SUM(F1512:F1522)</f>
        <v>6.061872545</v>
      </c>
      <c r="G1511" s="14">
        <f t="shared" si="144"/>
        <v>2.297872753</v>
      </c>
      <c r="H1511" s="14">
        <f t="shared" si="144"/>
        <v>0.6390215263</v>
      </c>
    </row>
    <row r="1512" ht="15.75" hidden="1" customHeight="1">
      <c r="A1512" s="15" t="s">
        <v>151</v>
      </c>
      <c r="B1512" s="11" t="s">
        <v>179</v>
      </c>
      <c r="C1512" s="15"/>
      <c r="D1512" s="16" t="s">
        <v>53</v>
      </c>
      <c r="E1512" s="23">
        <v>0.0</v>
      </c>
      <c r="F1512" s="20">
        <v>0.0</v>
      </c>
      <c r="G1512" s="24">
        <f>E1512</f>
        <v>0</v>
      </c>
      <c r="H1512" s="20">
        <v>0.0</v>
      </c>
    </row>
    <row r="1513" ht="15.75" hidden="1" customHeight="1">
      <c r="A1513" s="15" t="s">
        <v>151</v>
      </c>
      <c r="B1513" s="11" t="s">
        <v>179</v>
      </c>
      <c r="C1513" s="15"/>
      <c r="D1513" s="16" t="s">
        <v>15</v>
      </c>
      <c r="E1513" s="23">
        <v>0.0</v>
      </c>
      <c r="F1513" s="18">
        <f>E1513* 0.929012779104059</f>
        <v>0</v>
      </c>
      <c r="G1513" s="18">
        <f>E1513* 0.00947900575761831</f>
        <v>0</v>
      </c>
      <c r="H1513" s="18">
        <f>E1513* 0.0614380002808594</f>
        <v>0</v>
      </c>
    </row>
    <row r="1514" ht="15.75" hidden="1" customHeight="1">
      <c r="A1514" s="15" t="s">
        <v>151</v>
      </c>
      <c r="B1514" s="11" t="s">
        <v>179</v>
      </c>
      <c r="C1514" s="15"/>
      <c r="D1514" s="16" t="s">
        <v>16</v>
      </c>
      <c r="E1514" s="23">
        <v>1.0</v>
      </c>
      <c r="F1514" s="18">
        <f>E1514* 0.0624390243902439</f>
        <v>0.06243902439</v>
      </c>
      <c r="G1514" s="18">
        <f>E1514* 0.936585365853659</f>
        <v>0.9365853659</v>
      </c>
      <c r="H1514" s="20">
        <v>0.0</v>
      </c>
    </row>
    <row r="1515" ht="15.75" hidden="1" customHeight="1">
      <c r="A1515" s="15" t="s">
        <v>151</v>
      </c>
      <c r="B1515" s="11" t="s">
        <v>179</v>
      </c>
      <c r="C1515" s="15"/>
      <c r="D1515" s="16" t="s">
        <v>11</v>
      </c>
      <c r="E1515" s="23">
        <v>1.0</v>
      </c>
      <c r="F1515" s="18">
        <f>E1515* 0.080360592401803</f>
        <v>0.0803605924</v>
      </c>
      <c r="G1515" s="18">
        <f>E1515* 0.917192530585963</f>
        <v>0.9171925306</v>
      </c>
      <c r="H1515" s="18">
        <f>E1515* 0.00218931101094656</f>
        <v>0.002189311011</v>
      </c>
    </row>
    <row r="1516" ht="15.75" hidden="1" customHeight="1">
      <c r="A1516" s="15" t="s">
        <v>151</v>
      </c>
      <c r="B1516" s="11" t="s">
        <v>179</v>
      </c>
      <c r="C1516" s="15"/>
      <c r="D1516" s="16" t="s">
        <v>17</v>
      </c>
      <c r="E1516" s="23">
        <v>2.0</v>
      </c>
      <c r="F1516" s="18">
        <f>E1516* 0.836035451794207</f>
        <v>1.672070904</v>
      </c>
      <c r="G1516" s="18">
        <f>E1516* 0.0583657587548638</f>
        <v>0.1167315175</v>
      </c>
      <c r="H1516" s="18">
        <f>E1516* 0.10559878945093</f>
        <v>0.2111975789</v>
      </c>
    </row>
    <row r="1517" ht="15.75" hidden="1" customHeight="1">
      <c r="A1517" s="15" t="s">
        <v>151</v>
      </c>
      <c r="B1517" s="11" t="s">
        <v>179</v>
      </c>
      <c r="C1517" s="15"/>
      <c r="D1517" s="16" t="s">
        <v>18</v>
      </c>
      <c r="E1517" s="23">
        <v>0.0</v>
      </c>
      <c r="F1517" s="18">
        <f>E1517* 0.920270974465868</f>
        <v>0</v>
      </c>
      <c r="G1517" s="18">
        <f>E1517* 0.0703491401771756</f>
        <v>0</v>
      </c>
      <c r="H1517" s="18">
        <f>E1517* 0.00937988535695675</f>
        <v>0</v>
      </c>
    </row>
    <row r="1518" ht="15.75" hidden="1" customHeight="1">
      <c r="A1518" s="15" t="s">
        <v>151</v>
      </c>
      <c r="B1518" s="11" t="s">
        <v>179</v>
      </c>
      <c r="C1518" s="15"/>
      <c r="D1518" s="16" t="s">
        <v>19</v>
      </c>
      <c r="E1518" s="23">
        <v>0.0</v>
      </c>
      <c r="F1518" s="18">
        <f>E1518* 0.223420647149461</f>
        <v>0</v>
      </c>
      <c r="G1518" s="18">
        <f>E1518* 0.773497688751926</f>
        <v>0</v>
      </c>
      <c r="H1518" s="18">
        <f>E1518* 0.00308166409861325</f>
        <v>0</v>
      </c>
    </row>
    <row r="1519" ht="15.75" hidden="1" customHeight="1">
      <c r="A1519" s="15" t="s">
        <v>151</v>
      </c>
      <c r="B1519" s="11" t="s">
        <v>179</v>
      </c>
      <c r="C1519" s="15"/>
      <c r="D1519" s="16" t="s">
        <v>20</v>
      </c>
      <c r="E1519" s="23">
        <v>0.0</v>
      </c>
      <c r="F1519" s="18">
        <f>E1519* 0.61531089014017</f>
        <v>0</v>
      </c>
      <c r="G1519" s="18">
        <f>E1519* 0.298190966814424</f>
        <v>0</v>
      </c>
      <c r="H1519" s="18">
        <f>E1519* 0.086378339523182</f>
        <v>0</v>
      </c>
    </row>
    <row r="1520" ht="15.75" hidden="1" customHeight="1">
      <c r="A1520" s="15" t="s">
        <v>151</v>
      </c>
      <c r="B1520" s="11" t="s">
        <v>179</v>
      </c>
      <c r="C1520" s="15"/>
      <c r="D1520" s="16" t="s">
        <v>21</v>
      </c>
      <c r="E1520" s="23">
        <v>0.0</v>
      </c>
      <c r="F1520" s="18">
        <f>E1520* 0.999801370543252</f>
        <v>0</v>
      </c>
      <c r="G1520" s="18">
        <f>E1520* 0.0000993147283742179</f>
        <v>0</v>
      </c>
      <c r="H1520" s="18">
        <f>E1520* 0.0000993147283742179</f>
        <v>0</v>
      </c>
    </row>
    <row r="1521" ht="15.75" hidden="1" customHeight="1">
      <c r="A1521" s="15" t="s">
        <v>151</v>
      </c>
      <c r="B1521" s="11" t="s">
        <v>179</v>
      </c>
      <c r="C1521" s="15"/>
      <c r="D1521" s="16" t="s">
        <v>28</v>
      </c>
      <c r="E1521" s="23">
        <v>0.0</v>
      </c>
      <c r="F1521" s="20">
        <v>0.0</v>
      </c>
      <c r="G1521" s="18">
        <f>E1521* 0.99904671115348</f>
        <v>0</v>
      </c>
      <c r="H1521" s="18">
        <f>E1521* 0.000953288846520496</f>
        <v>0</v>
      </c>
    </row>
    <row r="1522" ht="15.75" hidden="1" customHeight="1">
      <c r="A1522" s="15" t="s">
        <v>151</v>
      </c>
      <c r="B1522" s="11" t="s">
        <v>179</v>
      </c>
      <c r="C1522" s="15"/>
      <c r="D1522" s="16" t="s">
        <v>12</v>
      </c>
      <c r="E1522" s="23">
        <v>5.0</v>
      </c>
      <c r="F1522" s="18">
        <f>E1522* 0.849400404921352</f>
        <v>4.247002025</v>
      </c>
      <c r="G1522" s="18">
        <f>E1522* 0.0654726678087525</f>
        <v>0.327363339</v>
      </c>
      <c r="H1522" s="18">
        <f>E1522* 0.0851269272698957</f>
        <v>0.4256346363</v>
      </c>
    </row>
    <row r="1523" ht="15.75" hidden="1" customHeight="1">
      <c r="A1523" s="15" t="s">
        <v>151</v>
      </c>
      <c r="B1523" s="8"/>
      <c r="C1523" s="8"/>
      <c r="D1523" s="9"/>
      <c r="E1523" s="29"/>
    </row>
    <row r="1524" ht="15.75" customHeight="1">
      <c r="A1524" s="15" t="s">
        <v>151</v>
      </c>
      <c r="B1524" s="11" t="s">
        <v>180</v>
      </c>
      <c r="C1524" s="12" t="str">
        <f>B1524&amp;"_"&amp;A1524</f>
        <v>Toledo_Oruro</v>
      </c>
      <c r="E1524" s="22">
        <v>26.0</v>
      </c>
      <c r="F1524" s="14">
        <f t="shared" ref="F1524:H1524" si="145">SUM(F1525:F1529)</f>
        <v>22.92613415</v>
      </c>
      <c r="G1524" s="14">
        <f t="shared" si="145"/>
        <v>1.834468504</v>
      </c>
      <c r="H1524" s="14">
        <f t="shared" si="145"/>
        <v>1.238918132</v>
      </c>
    </row>
    <row r="1525" ht="15.75" hidden="1" customHeight="1">
      <c r="A1525" s="15" t="s">
        <v>151</v>
      </c>
      <c r="B1525" s="11" t="s">
        <v>180</v>
      </c>
      <c r="C1525" s="15"/>
      <c r="D1525" s="16" t="s">
        <v>53</v>
      </c>
      <c r="E1525" s="23">
        <v>0.0</v>
      </c>
      <c r="F1525" s="20">
        <v>0.0</v>
      </c>
      <c r="G1525" s="24">
        <f>E1525</f>
        <v>0</v>
      </c>
      <c r="H1525" s="20">
        <v>0.0</v>
      </c>
    </row>
    <row r="1526" ht="15.75" hidden="1" customHeight="1">
      <c r="A1526" s="15" t="s">
        <v>151</v>
      </c>
      <c r="B1526" s="11" t="s">
        <v>180</v>
      </c>
      <c r="C1526" s="15"/>
      <c r="D1526" s="16" t="s">
        <v>17</v>
      </c>
      <c r="E1526" s="23">
        <v>2.0</v>
      </c>
      <c r="F1526" s="18">
        <f>E1526* 0.836035451794207</f>
        <v>1.672070904</v>
      </c>
      <c r="G1526" s="18">
        <f>E1526* 0.0583657587548638</f>
        <v>0.1167315175</v>
      </c>
      <c r="H1526" s="18">
        <f>E1526* 0.10559878945093</f>
        <v>0.2111975789</v>
      </c>
    </row>
    <row r="1527" ht="15.75" hidden="1" customHeight="1">
      <c r="A1527" s="15" t="s">
        <v>151</v>
      </c>
      <c r="B1527" s="11" t="s">
        <v>180</v>
      </c>
      <c r="C1527" s="15"/>
      <c r="D1527" s="16" t="s">
        <v>20</v>
      </c>
      <c r="E1527" s="23">
        <v>4.0</v>
      </c>
      <c r="F1527" s="18">
        <f>E1527* 0.61531089014017</f>
        <v>2.461243561</v>
      </c>
      <c r="G1527" s="18">
        <f>E1527* 0.298190966814424</f>
        <v>1.192763867</v>
      </c>
      <c r="H1527" s="18">
        <f>E1527* 0.086378339523182</f>
        <v>0.3455133581</v>
      </c>
    </row>
    <row r="1528" ht="15.75" hidden="1" customHeight="1">
      <c r="A1528" s="15" t="s">
        <v>151</v>
      </c>
      <c r="B1528" s="11" t="s">
        <v>180</v>
      </c>
      <c r="C1528" s="15"/>
      <c r="D1528" s="16" t="s">
        <v>21</v>
      </c>
      <c r="E1528" s="23">
        <v>12.0</v>
      </c>
      <c r="F1528" s="18">
        <f>E1528* 0.999801370543252</f>
        <v>11.99761645</v>
      </c>
      <c r="G1528" s="18">
        <f>E1528* 0.0000993147283742179</f>
        <v>0.00119177674</v>
      </c>
      <c r="H1528" s="18">
        <f>E1528* 0.0000993147283742179</f>
        <v>0.00119177674</v>
      </c>
    </row>
    <row r="1529" ht="15.75" hidden="1" customHeight="1">
      <c r="A1529" s="15" t="s">
        <v>151</v>
      </c>
      <c r="B1529" s="11" t="s">
        <v>180</v>
      </c>
      <c r="C1529" s="15"/>
      <c r="D1529" s="16" t="s">
        <v>12</v>
      </c>
      <c r="E1529" s="23">
        <v>8.0</v>
      </c>
      <c r="F1529" s="18">
        <f>E1529* 0.849400404921352</f>
        <v>6.795203239</v>
      </c>
      <c r="G1529" s="18">
        <f>E1529* 0.0654726678087525</f>
        <v>0.5237813425</v>
      </c>
      <c r="H1529" s="18">
        <f>E1529* 0.0851269272698957</f>
        <v>0.6810154182</v>
      </c>
    </row>
    <row r="1530" ht="15.75" hidden="1" customHeight="1">
      <c r="A1530" s="15" t="s">
        <v>151</v>
      </c>
      <c r="B1530" s="8"/>
      <c r="C1530" s="8"/>
      <c r="D1530" s="9"/>
      <c r="E1530" s="29"/>
    </row>
    <row r="1531" ht="15.75" customHeight="1">
      <c r="A1531" s="15" t="s">
        <v>151</v>
      </c>
      <c r="B1531" s="11" t="s">
        <v>181</v>
      </c>
      <c r="C1531" s="12" t="str">
        <f>B1531&amp;"_"&amp;A1531</f>
        <v>Turco_Oruro</v>
      </c>
      <c r="E1531" s="22">
        <v>0.0</v>
      </c>
      <c r="F1531" s="14">
        <v>0.0</v>
      </c>
      <c r="G1531" s="14">
        <v>0.0</v>
      </c>
      <c r="H1531" s="14">
        <v>0.0</v>
      </c>
    </row>
    <row r="1532" ht="15.75" hidden="1" customHeight="1">
      <c r="A1532" s="15" t="s">
        <v>151</v>
      </c>
      <c r="B1532" s="11" t="s">
        <v>181</v>
      </c>
      <c r="C1532" s="15"/>
      <c r="D1532" s="16" t="s">
        <v>21</v>
      </c>
      <c r="E1532" s="23">
        <v>0.0</v>
      </c>
      <c r="F1532" s="18">
        <f>E1532* 0.999801370543252</f>
        <v>0</v>
      </c>
      <c r="G1532" s="18">
        <f>E1532* 0.0000993147283742179</f>
        <v>0</v>
      </c>
      <c r="H1532" s="18">
        <f>E1532* 0.0000993147283742179</f>
        <v>0</v>
      </c>
    </row>
    <row r="1533" ht="15.75" hidden="1" customHeight="1">
      <c r="A1533" s="15" t="s">
        <v>151</v>
      </c>
      <c r="B1533" s="8"/>
      <c r="C1533" s="8"/>
      <c r="D1533" s="9"/>
      <c r="E1533" s="29"/>
    </row>
    <row r="1534" ht="15.75" customHeight="1">
      <c r="A1534" s="15" t="s">
        <v>151</v>
      </c>
      <c r="B1534" s="11" t="s">
        <v>182</v>
      </c>
      <c r="C1534" s="12" t="str">
        <f>B1534&amp;"_"&amp;A1534</f>
        <v>Villa Huanuni_Oruro</v>
      </c>
      <c r="E1534" s="22">
        <v>82.0</v>
      </c>
      <c r="F1534" s="14">
        <f t="shared" ref="F1534:H1534" si="146">SUM(F1535:F1546)</f>
        <v>64.12070077</v>
      </c>
      <c r="G1534" s="14">
        <f t="shared" si="146"/>
        <v>13.02229026</v>
      </c>
      <c r="H1534" s="14">
        <f t="shared" si="146"/>
        <v>4.851401528</v>
      </c>
    </row>
    <row r="1535" ht="15.75" hidden="1" customHeight="1">
      <c r="A1535" s="15" t="s">
        <v>151</v>
      </c>
      <c r="B1535" s="11" t="s">
        <v>182</v>
      </c>
      <c r="C1535" s="15"/>
      <c r="D1535" s="16" t="s">
        <v>53</v>
      </c>
      <c r="E1535" s="23">
        <v>0.0</v>
      </c>
      <c r="F1535" s="20">
        <v>0.0</v>
      </c>
      <c r="G1535" s="24">
        <f>E1535</f>
        <v>0</v>
      </c>
      <c r="H1535" s="20">
        <v>0.0</v>
      </c>
    </row>
    <row r="1536" ht="15.75" hidden="1" customHeight="1">
      <c r="A1536" s="15" t="s">
        <v>151</v>
      </c>
      <c r="B1536" s="11" t="s">
        <v>182</v>
      </c>
      <c r="C1536" s="15"/>
      <c r="D1536" s="16" t="s">
        <v>15</v>
      </c>
      <c r="E1536" s="23">
        <v>13.0</v>
      </c>
      <c r="F1536" s="18">
        <f>E1536* 0.929012779104059</f>
        <v>12.07716613</v>
      </c>
      <c r="G1536" s="18">
        <f>E1536* 0.00947900575761831</f>
        <v>0.1232270748</v>
      </c>
      <c r="H1536" s="18">
        <f>E1536* 0.0614380002808594</f>
        <v>0.7986940037</v>
      </c>
    </row>
    <row r="1537" ht="15.75" hidden="1" customHeight="1">
      <c r="A1537" s="15" t="s">
        <v>151</v>
      </c>
      <c r="B1537" s="11" t="s">
        <v>182</v>
      </c>
      <c r="C1537" s="15"/>
      <c r="D1537" s="16" t="s">
        <v>16</v>
      </c>
      <c r="E1537" s="23">
        <v>2.0</v>
      </c>
      <c r="F1537" s="18">
        <f>E1537* 0.0624390243902439</f>
        <v>0.1248780488</v>
      </c>
      <c r="G1537" s="18">
        <f>E1537* 0.936585365853659</f>
        <v>1.873170732</v>
      </c>
      <c r="H1537" s="20">
        <v>0.0</v>
      </c>
    </row>
    <row r="1538" ht="15.75" hidden="1" customHeight="1">
      <c r="A1538" s="15" t="s">
        <v>151</v>
      </c>
      <c r="B1538" s="11" t="s">
        <v>182</v>
      </c>
      <c r="C1538" s="15"/>
      <c r="D1538" s="16" t="s">
        <v>11</v>
      </c>
      <c r="E1538" s="23">
        <v>6.0</v>
      </c>
      <c r="F1538" s="18">
        <f>E1538* 0.080360592401803</f>
        <v>0.4821635544</v>
      </c>
      <c r="G1538" s="18">
        <f>E1538* 0.917192530585963</f>
        <v>5.503155184</v>
      </c>
      <c r="H1538" s="18">
        <f>E1538* 0.00218931101094656</f>
        <v>0.01313586607</v>
      </c>
    </row>
    <row r="1539" ht="15.75" hidden="1" customHeight="1">
      <c r="A1539" s="15" t="s">
        <v>151</v>
      </c>
      <c r="B1539" s="11" t="s">
        <v>182</v>
      </c>
      <c r="C1539" s="15"/>
      <c r="D1539" s="16" t="s">
        <v>17</v>
      </c>
      <c r="E1539" s="23">
        <v>4.0</v>
      </c>
      <c r="F1539" s="18">
        <f>E1539* 0.836035451794207</f>
        <v>3.344141807</v>
      </c>
      <c r="G1539" s="18">
        <f>E1539* 0.0583657587548638</f>
        <v>0.233463035</v>
      </c>
      <c r="H1539" s="18">
        <f>E1539* 0.10559878945093</f>
        <v>0.4223951578</v>
      </c>
    </row>
    <row r="1540" ht="15.75" hidden="1" customHeight="1">
      <c r="A1540" s="15" t="s">
        <v>151</v>
      </c>
      <c r="B1540" s="11" t="s">
        <v>182</v>
      </c>
      <c r="C1540" s="15"/>
      <c r="D1540" s="16" t="s">
        <v>31</v>
      </c>
      <c r="E1540" s="29"/>
      <c r="F1540" s="20">
        <v>0.0</v>
      </c>
      <c r="G1540" s="20">
        <v>0.0</v>
      </c>
      <c r="H1540" s="20">
        <v>0.0</v>
      </c>
    </row>
    <row r="1541" ht="15.75" hidden="1" customHeight="1">
      <c r="A1541" s="15" t="s">
        <v>151</v>
      </c>
      <c r="B1541" s="11" t="s">
        <v>182</v>
      </c>
      <c r="C1541" s="15"/>
      <c r="D1541" s="16" t="s">
        <v>18</v>
      </c>
      <c r="E1541" s="23">
        <v>3.0</v>
      </c>
      <c r="F1541" s="18">
        <f>E1541* 0.920270974465868</f>
        <v>2.760812923</v>
      </c>
      <c r="G1541" s="18">
        <f>E1541* 0.0703491401771756</f>
        <v>0.2110474205</v>
      </c>
      <c r="H1541" s="18">
        <f>E1541* 0.00937988535695675</f>
        <v>0.02813965607</v>
      </c>
    </row>
    <row r="1542" ht="15.75" hidden="1" customHeight="1">
      <c r="A1542" s="15" t="s">
        <v>151</v>
      </c>
      <c r="B1542" s="11" t="s">
        <v>182</v>
      </c>
      <c r="C1542" s="15"/>
      <c r="D1542" s="16" t="s">
        <v>19</v>
      </c>
      <c r="E1542" s="29"/>
      <c r="F1542" s="20">
        <v>0.0</v>
      </c>
      <c r="G1542" s="20">
        <v>0.0</v>
      </c>
      <c r="H1542" s="20">
        <v>0.0</v>
      </c>
    </row>
    <row r="1543" ht="15.75" hidden="1" customHeight="1">
      <c r="A1543" s="15" t="s">
        <v>151</v>
      </c>
      <c r="B1543" s="11" t="s">
        <v>182</v>
      </c>
      <c r="C1543" s="15"/>
      <c r="D1543" s="16" t="s">
        <v>20</v>
      </c>
      <c r="E1543" s="23">
        <v>10.0</v>
      </c>
      <c r="F1543" s="18">
        <f>E1543* 0.61531089014017</f>
        <v>6.153108901</v>
      </c>
      <c r="G1543" s="18">
        <f>E1543* 0.298190966814424</f>
        <v>2.981909668</v>
      </c>
      <c r="H1543" s="18">
        <f>E1543* 0.086378339523182</f>
        <v>0.8637833952</v>
      </c>
    </row>
    <row r="1544" ht="15.75" hidden="1" customHeight="1">
      <c r="A1544" s="15" t="s">
        <v>151</v>
      </c>
      <c r="B1544" s="11" t="s">
        <v>182</v>
      </c>
      <c r="C1544" s="15"/>
      <c r="D1544" s="16" t="s">
        <v>21</v>
      </c>
      <c r="E1544" s="23">
        <v>12.0</v>
      </c>
      <c r="F1544" s="18">
        <f>E1544* 0.999801370543252</f>
        <v>11.99761645</v>
      </c>
      <c r="G1544" s="18">
        <f>E1544* 0.0000993147283742179</f>
        <v>0.00119177674</v>
      </c>
      <c r="H1544" s="18">
        <f>E1544* 0.0000993147283742179</f>
        <v>0.00119177674</v>
      </c>
    </row>
    <row r="1545" ht="15.75" hidden="1" customHeight="1">
      <c r="A1545" s="15" t="s">
        <v>151</v>
      </c>
      <c r="B1545" s="11" t="s">
        <v>182</v>
      </c>
      <c r="C1545" s="15"/>
      <c r="D1545" s="16" t="s">
        <v>28</v>
      </c>
      <c r="E1545" s="23">
        <v>0.0</v>
      </c>
      <c r="F1545" s="20">
        <v>0.0</v>
      </c>
      <c r="G1545" s="18">
        <f>E1545* 0.99904671115348</f>
        <v>0</v>
      </c>
      <c r="H1545" s="18">
        <f>E1545* 0.000953288846520496</f>
        <v>0</v>
      </c>
    </row>
    <row r="1546" ht="15.75" hidden="1" customHeight="1">
      <c r="A1546" s="15" t="s">
        <v>151</v>
      </c>
      <c r="B1546" s="11" t="s">
        <v>182</v>
      </c>
      <c r="C1546" s="15"/>
      <c r="D1546" s="25" t="s">
        <v>12</v>
      </c>
      <c r="E1546" s="27">
        <v>32.0</v>
      </c>
      <c r="F1546" s="18">
        <f>E1546* 0.849400404921352</f>
        <v>27.18081296</v>
      </c>
      <c r="G1546" s="18">
        <f>E1546* 0.0654726678087525</f>
        <v>2.09512537</v>
      </c>
      <c r="H1546" s="18">
        <f>E1546* 0.0851269272698957</f>
        <v>2.724061673</v>
      </c>
    </row>
    <row r="1547" ht="15.75" hidden="1" customHeight="1">
      <c r="A1547" s="15" t="s">
        <v>183</v>
      </c>
      <c r="B1547" s="11" t="s">
        <v>184</v>
      </c>
      <c r="C1547" s="12" t="str">
        <f>B1547&amp;"_"&amp;A1547</f>
        <v>Acasio_Potosí</v>
      </c>
      <c r="E1547" s="22">
        <v>0.0</v>
      </c>
      <c r="F1547" s="14">
        <v>0.0</v>
      </c>
      <c r="G1547" s="14">
        <v>0.0</v>
      </c>
      <c r="H1547" s="14">
        <v>0.0</v>
      </c>
    </row>
    <row r="1548" ht="15.75" hidden="1" customHeight="1">
      <c r="A1548" s="15" t="s">
        <v>183</v>
      </c>
      <c r="B1548" s="11" t="s">
        <v>184</v>
      </c>
      <c r="C1548" s="15"/>
      <c r="D1548" s="31" t="s">
        <v>18</v>
      </c>
      <c r="E1548" s="32">
        <v>0.0</v>
      </c>
      <c r="F1548" s="18">
        <f>E1548* 0.941463414634146</f>
        <v>0</v>
      </c>
      <c r="G1548" s="18">
        <f>E1548* 0.0532833020637899</f>
        <v>0</v>
      </c>
      <c r="H1548" s="18">
        <f>E1548* 0.00487804878048781</f>
        <v>0</v>
      </c>
    </row>
    <row r="1549" ht="15.75" hidden="1" customHeight="1">
      <c r="A1549" s="15" t="s">
        <v>183</v>
      </c>
      <c r="B1549" s="33"/>
      <c r="C1549" s="33"/>
      <c r="D1549" s="34"/>
      <c r="E1549" s="35"/>
    </row>
    <row r="1550" ht="15.75" hidden="1" customHeight="1">
      <c r="A1550" s="15" t="s">
        <v>183</v>
      </c>
      <c r="B1550" s="11" t="s">
        <v>185</v>
      </c>
      <c r="C1550" s="12" t="str">
        <f>B1550&amp;"_"&amp;A1550</f>
        <v>Atocha_Potosí</v>
      </c>
      <c r="E1550" s="22">
        <v>57.0</v>
      </c>
      <c r="F1550" s="14">
        <f t="shared" ref="F1550:H1550" si="147">SUM(F1551:F1560)</f>
        <v>38.24156757</v>
      </c>
      <c r="G1550" s="14">
        <f t="shared" si="147"/>
        <v>17.17696841</v>
      </c>
      <c r="H1550" s="14">
        <f t="shared" si="147"/>
        <v>1.576197694</v>
      </c>
    </row>
    <row r="1551" ht="15.75" hidden="1" customHeight="1">
      <c r="A1551" s="15" t="s">
        <v>183</v>
      </c>
      <c r="B1551" s="11" t="s">
        <v>185</v>
      </c>
      <c r="C1551" s="15"/>
      <c r="D1551" s="31" t="s">
        <v>15</v>
      </c>
      <c r="E1551" s="32">
        <v>3.0</v>
      </c>
      <c r="F1551" s="18">
        <f>E1551* 0.975464549882735</f>
        <v>2.92639365</v>
      </c>
      <c r="G1551" s="18">
        <f>E1551* 0.00487100847916291</f>
        <v>0.01461302544</v>
      </c>
      <c r="H1551" s="18">
        <f>E1551* 0.0195742377773769</f>
        <v>0.05872271333</v>
      </c>
    </row>
    <row r="1552" ht="15.75" hidden="1" customHeight="1">
      <c r="A1552" s="15" t="s">
        <v>183</v>
      </c>
      <c r="B1552" s="11" t="s">
        <v>185</v>
      </c>
      <c r="C1552" s="15"/>
      <c r="D1552" s="31" t="s">
        <v>16</v>
      </c>
      <c r="E1552" s="32">
        <v>0.0</v>
      </c>
      <c r="F1552" s="18">
        <f>E1552* 0.0607843137254902</f>
        <v>0</v>
      </c>
      <c r="G1552" s="18">
        <f>E1552* 0.93921568627451</f>
        <v>0</v>
      </c>
      <c r="H1552" s="20">
        <v>0.0</v>
      </c>
    </row>
    <row r="1553" ht="15.75" hidden="1" customHeight="1">
      <c r="A1553" s="15" t="s">
        <v>183</v>
      </c>
      <c r="B1553" s="11" t="s">
        <v>185</v>
      </c>
      <c r="C1553" s="15"/>
      <c r="D1553" s="31" t="s">
        <v>11</v>
      </c>
      <c r="E1553" s="32">
        <v>10.0</v>
      </c>
      <c r="F1553" s="18">
        <f>E1553* 0.175725756639901</f>
        <v>1.757257566</v>
      </c>
      <c r="G1553" s="18">
        <f>E1553* 0.823656578134651</f>
        <v>8.236565781</v>
      </c>
      <c r="H1553" s="18">
        <f>E1553* 0.000617665225447807</f>
        <v>0.006176652254</v>
      </c>
    </row>
    <row r="1554" ht="15.75" hidden="1" customHeight="1">
      <c r="A1554" s="15" t="s">
        <v>183</v>
      </c>
      <c r="B1554" s="11" t="s">
        <v>185</v>
      </c>
      <c r="C1554" s="15"/>
      <c r="D1554" s="31" t="s">
        <v>17</v>
      </c>
      <c r="E1554" s="32">
        <v>14.0</v>
      </c>
      <c r="F1554" s="18">
        <f>E1554* 0.869679539852095</f>
        <v>12.17551356</v>
      </c>
      <c r="G1554" s="18">
        <f>E1554* 0.0695152013147083</f>
        <v>0.9732128184</v>
      </c>
      <c r="H1554" s="18">
        <f>E1554* 0.0608052588331964</f>
        <v>0.8512736237</v>
      </c>
    </row>
    <row r="1555" ht="15.75" hidden="1" customHeight="1">
      <c r="A1555" s="15" t="s">
        <v>183</v>
      </c>
      <c r="B1555" s="11" t="s">
        <v>185</v>
      </c>
      <c r="C1555" s="15"/>
      <c r="D1555" s="31" t="s">
        <v>18</v>
      </c>
      <c r="E1555" s="32">
        <v>6.0</v>
      </c>
      <c r="F1555" s="18">
        <f>E1555* 0.941463414634146</f>
        <v>5.648780488</v>
      </c>
      <c r="G1555" s="18">
        <f>E1555* 0.0532833020637899</f>
        <v>0.3196998124</v>
      </c>
      <c r="H1555" s="18">
        <f>E1555* 0.00487804878048781</f>
        <v>0.02926829268</v>
      </c>
    </row>
    <row r="1556" ht="15.75" hidden="1" customHeight="1">
      <c r="A1556" s="15" t="s">
        <v>183</v>
      </c>
      <c r="B1556" s="11" t="s">
        <v>185</v>
      </c>
      <c r="C1556" s="15"/>
      <c r="D1556" s="31" t="s">
        <v>35</v>
      </c>
      <c r="E1556" s="32">
        <v>0.0</v>
      </c>
      <c r="F1556" s="20">
        <v>0.0</v>
      </c>
      <c r="G1556" s="24">
        <f>E1556</f>
        <v>0</v>
      </c>
      <c r="H1556" s="20">
        <v>0.0</v>
      </c>
    </row>
    <row r="1557" ht="15.75" hidden="1" customHeight="1">
      <c r="A1557" s="15" t="s">
        <v>183</v>
      </c>
      <c r="B1557" s="11" t="s">
        <v>185</v>
      </c>
      <c r="C1557" s="15"/>
      <c r="D1557" s="31" t="s">
        <v>19</v>
      </c>
      <c r="E1557" s="32">
        <v>7.0</v>
      </c>
      <c r="F1557" s="18">
        <f>E1557* 0.0748299319727891</f>
        <v>0.5238095238</v>
      </c>
      <c r="G1557" s="18">
        <f>E1557* 0.924036281179138</f>
        <v>6.468253968</v>
      </c>
      <c r="H1557" s="18">
        <f>E1557* 0.00113378684807256</f>
        <v>0.007936507937</v>
      </c>
    </row>
    <row r="1558" ht="15.75" hidden="1" customHeight="1">
      <c r="A1558" s="15" t="s">
        <v>183</v>
      </c>
      <c r="B1558" s="11" t="s">
        <v>185</v>
      </c>
      <c r="C1558" s="15"/>
      <c r="D1558" s="31" t="s">
        <v>20</v>
      </c>
      <c r="E1558" s="32">
        <v>1.0</v>
      </c>
      <c r="F1558" s="18">
        <f>E1558* 0.799709724238026</f>
        <v>0.7997097242</v>
      </c>
      <c r="G1558" s="18">
        <f>E1558* 0.150580551523948</f>
        <v>0.1505805515</v>
      </c>
      <c r="H1558" s="18">
        <f>E1558* 0.0493468795355588</f>
        <v>0.04934687954</v>
      </c>
    </row>
    <row r="1559" ht="15.75" hidden="1" customHeight="1">
      <c r="A1559" s="15" t="s">
        <v>183</v>
      </c>
      <c r="B1559" s="11" t="s">
        <v>185</v>
      </c>
      <c r="C1559" s="15"/>
      <c r="D1559" s="31" t="s">
        <v>21</v>
      </c>
      <c r="E1559" s="32">
        <v>1.0</v>
      </c>
      <c r="F1559" s="18">
        <f>E1559* 0.999328295549958</f>
        <v>0.9993282955</v>
      </c>
      <c r="G1559" s="18">
        <f>E1559* 0.000335852225020991</f>
        <v>0.000335852225</v>
      </c>
      <c r="H1559" s="18">
        <f>E1559* 0.000335852225020991</f>
        <v>0.000335852225</v>
      </c>
    </row>
    <row r="1560" ht="15.75" hidden="1" customHeight="1">
      <c r="A1560" s="15" t="s">
        <v>183</v>
      </c>
      <c r="B1560" s="11" t="s">
        <v>185</v>
      </c>
      <c r="C1560" s="15"/>
      <c r="D1560" s="31" t="s">
        <v>12</v>
      </c>
      <c r="E1560" s="32">
        <v>15.0</v>
      </c>
      <c r="F1560" s="18">
        <f>E1560* 0.894051651143099</f>
        <v>13.41077477</v>
      </c>
      <c r="G1560" s="18">
        <f>E1560* 0.0675804403048264</f>
        <v>1.013706605</v>
      </c>
      <c r="H1560" s="18">
        <f>E1560* 0.0382091447925487</f>
        <v>0.5731371719</v>
      </c>
    </row>
    <row r="1561" ht="15.75" hidden="1" customHeight="1">
      <c r="A1561" s="15" t="s">
        <v>183</v>
      </c>
      <c r="B1561" s="33"/>
      <c r="C1561" s="33"/>
      <c r="D1561" s="34"/>
      <c r="E1561" s="35"/>
    </row>
    <row r="1562" ht="15.75" hidden="1" customHeight="1">
      <c r="A1562" s="15" t="s">
        <v>183</v>
      </c>
      <c r="B1562" s="11" t="s">
        <v>186</v>
      </c>
      <c r="C1562" s="12" t="str">
        <f>B1562&amp;"_"&amp;A1562</f>
        <v>Belen de Urmiri_Potosí</v>
      </c>
      <c r="E1562" s="22">
        <v>0.0</v>
      </c>
      <c r="F1562" s="14">
        <v>0.0</v>
      </c>
      <c r="G1562" s="14">
        <v>0.0</v>
      </c>
      <c r="H1562" s="14">
        <v>0.0</v>
      </c>
    </row>
    <row r="1563" ht="15.75" hidden="1" customHeight="1">
      <c r="A1563" s="15" t="s">
        <v>183</v>
      </c>
      <c r="B1563" s="11" t="s">
        <v>186</v>
      </c>
      <c r="C1563" s="15"/>
      <c r="D1563" s="31" t="s">
        <v>17</v>
      </c>
      <c r="E1563" s="32">
        <v>0.0</v>
      </c>
      <c r="F1563" s="18">
        <f>E1563* 0.869679539852095</f>
        <v>0</v>
      </c>
      <c r="G1563" s="18">
        <f>E1563* 0.0695152013147083</f>
        <v>0</v>
      </c>
      <c r="H1563" s="18">
        <f>E1563* 0.0608052588331964</f>
        <v>0</v>
      </c>
    </row>
    <row r="1564" ht="15.75" hidden="1" customHeight="1">
      <c r="A1564" s="15" t="s">
        <v>183</v>
      </c>
      <c r="B1564" s="11" t="s">
        <v>186</v>
      </c>
      <c r="C1564" s="15"/>
      <c r="D1564" s="31" t="s">
        <v>18</v>
      </c>
      <c r="E1564" s="32">
        <v>0.0</v>
      </c>
      <c r="F1564" s="18">
        <f>E1564* 0.941463414634146</f>
        <v>0</v>
      </c>
      <c r="G1564" s="18">
        <f>E1564* 0.0532833020637899</f>
        <v>0</v>
      </c>
      <c r="H1564" s="18">
        <f>E1564* 0.00487804878048781</f>
        <v>0</v>
      </c>
    </row>
    <row r="1565" ht="15.75" hidden="1" customHeight="1">
      <c r="A1565" s="15" t="s">
        <v>183</v>
      </c>
      <c r="B1565" s="33"/>
      <c r="C1565" s="33"/>
      <c r="D1565" s="34"/>
      <c r="E1565" s="35"/>
    </row>
    <row r="1566" ht="15.75" hidden="1" customHeight="1">
      <c r="A1566" s="15" t="s">
        <v>183</v>
      </c>
      <c r="B1566" s="11" t="s">
        <v>187</v>
      </c>
      <c r="C1566" s="12" t="str">
        <f>B1566&amp;"_"&amp;A1566</f>
        <v>Betanzos_Potosí</v>
      </c>
      <c r="E1566" s="22">
        <v>130.0</v>
      </c>
      <c r="F1566" s="14">
        <f t="shared" ref="F1566:H1566" si="148">SUM(F1567:F1577)</f>
        <v>87.0363664</v>
      </c>
      <c r="G1566" s="14">
        <f t="shared" si="148"/>
        <v>40.13285153</v>
      </c>
      <c r="H1566" s="14">
        <f t="shared" si="148"/>
        <v>2.824650381</v>
      </c>
    </row>
    <row r="1567" ht="15.75" hidden="1" customHeight="1">
      <c r="A1567" s="15" t="s">
        <v>183</v>
      </c>
      <c r="B1567" s="11" t="s">
        <v>187</v>
      </c>
      <c r="C1567" s="15"/>
      <c r="D1567" s="31" t="s">
        <v>14</v>
      </c>
      <c r="E1567" s="32">
        <v>0.0</v>
      </c>
      <c r="F1567" s="20">
        <v>0.0</v>
      </c>
      <c r="G1567" s="24">
        <f>E1567</f>
        <v>0</v>
      </c>
      <c r="H1567" s="20">
        <v>0.0</v>
      </c>
    </row>
    <row r="1568" ht="15.75" hidden="1" customHeight="1">
      <c r="A1568" s="15" t="s">
        <v>183</v>
      </c>
      <c r="B1568" s="11" t="s">
        <v>187</v>
      </c>
      <c r="C1568" s="15"/>
      <c r="D1568" s="31" t="s">
        <v>15</v>
      </c>
      <c r="E1568" s="32">
        <v>8.0</v>
      </c>
      <c r="F1568" s="18">
        <f>E1568* 0.975464549882735</f>
        <v>7.803716399</v>
      </c>
      <c r="G1568" s="18">
        <f>E1568* 0.00487100847916291</f>
        <v>0.03896806783</v>
      </c>
      <c r="H1568" s="18">
        <f>E1568* 0.0195742377773769</f>
        <v>0.1565939022</v>
      </c>
    </row>
    <row r="1569" ht="15.75" hidden="1" customHeight="1">
      <c r="A1569" s="15" t="s">
        <v>183</v>
      </c>
      <c r="B1569" s="11" t="s">
        <v>187</v>
      </c>
      <c r="C1569" s="15"/>
      <c r="D1569" s="31" t="s">
        <v>16</v>
      </c>
      <c r="E1569" s="32">
        <v>1.0</v>
      </c>
      <c r="F1569" s="18">
        <f>E1569* 0.0607843137254902</f>
        <v>0.06078431373</v>
      </c>
      <c r="G1569" s="18">
        <f>E1569* 0.93921568627451</f>
        <v>0.9392156863</v>
      </c>
      <c r="H1569" s="20">
        <v>0.0</v>
      </c>
    </row>
    <row r="1570" ht="15.75" hidden="1" customHeight="1">
      <c r="A1570" s="15" t="s">
        <v>183</v>
      </c>
      <c r="B1570" s="11" t="s">
        <v>187</v>
      </c>
      <c r="C1570" s="15"/>
      <c r="D1570" s="31" t="s">
        <v>11</v>
      </c>
      <c r="E1570" s="32">
        <v>37.0</v>
      </c>
      <c r="F1570" s="18">
        <f>E1570* 0.175725756639901</f>
        <v>6.501852996</v>
      </c>
      <c r="G1570" s="18">
        <f>E1570* 0.823656578134651</f>
        <v>30.47529339</v>
      </c>
      <c r="H1570" s="18">
        <f>E1570* 0.000617665225447807</f>
        <v>0.02285361334</v>
      </c>
    </row>
    <row r="1571" ht="15.75" hidden="1" customHeight="1">
      <c r="A1571" s="15" t="s">
        <v>183</v>
      </c>
      <c r="B1571" s="11" t="s">
        <v>187</v>
      </c>
      <c r="C1571" s="15"/>
      <c r="D1571" s="31" t="s">
        <v>17</v>
      </c>
      <c r="E1571" s="32">
        <v>27.0</v>
      </c>
      <c r="F1571" s="18">
        <f>E1571* 0.869679539852095</f>
        <v>23.48134758</v>
      </c>
      <c r="G1571" s="18">
        <f>E1571* 0.0695152013147083</f>
        <v>1.876910435</v>
      </c>
      <c r="H1571" s="18">
        <f>E1571* 0.0608052588331964</f>
        <v>1.641741988</v>
      </c>
    </row>
    <row r="1572" ht="15.75" hidden="1" customHeight="1">
      <c r="A1572" s="15" t="s">
        <v>183</v>
      </c>
      <c r="B1572" s="11" t="s">
        <v>187</v>
      </c>
      <c r="C1572" s="15"/>
      <c r="D1572" s="31" t="s">
        <v>18</v>
      </c>
      <c r="E1572" s="32">
        <v>1.0</v>
      </c>
      <c r="F1572" s="18">
        <f>E1572* 0.941463414634146</f>
        <v>0.9414634146</v>
      </c>
      <c r="G1572" s="18">
        <f>E1572* 0.0532833020637899</f>
        <v>0.05328330206</v>
      </c>
      <c r="H1572" s="18">
        <f>E1572* 0.00487804878048781</f>
        <v>0.00487804878</v>
      </c>
    </row>
    <row r="1573" ht="15.75" hidden="1" customHeight="1">
      <c r="A1573" s="15" t="s">
        <v>183</v>
      </c>
      <c r="B1573" s="11" t="s">
        <v>187</v>
      </c>
      <c r="C1573" s="15"/>
      <c r="D1573" s="31" t="s">
        <v>19</v>
      </c>
      <c r="E1573" s="32">
        <v>5.0</v>
      </c>
      <c r="F1573" s="18">
        <f>E1573* 0.0748299319727891</f>
        <v>0.3741496599</v>
      </c>
      <c r="G1573" s="18">
        <f>E1573* 0.924036281179138</f>
        <v>4.620181406</v>
      </c>
      <c r="H1573" s="18">
        <f>E1573* 0.00113378684807256</f>
        <v>0.00566893424</v>
      </c>
    </row>
    <row r="1574" ht="15.75" hidden="1" customHeight="1">
      <c r="A1574" s="15" t="s">
        <v>183</v>
      </c>
      <c r="B1574" s="11" t="s">
        <v>187</v>
      </c>
      <c r="C1574" s="15"/>
      <c r="D1574" s="31" t="s">
        <v>20</v>
      </c>
      <c r="E1574" s="32">
        <v>6.0</v>
      </c>
      <c r="F1574" s="18">
        <f>E1574* 0.799709724238026</f>
        <v>4.798258345</v>
      </c>
      <c r="G1574" s="18">
        <f>E1574* 0.150580551523948</f>
        <v>0.9034833091</v>
      </c>
      <c r="H1574" s="18">
        <f>E1574* 0.0493468795355588</f>
        <v>0.2960812772</v>
      </c>
    </row>
    <row r="1575" ht="15.75" hidden="1" customHeight="1">
      <c r="A1575" s="15" t="s">
        <v>183</v>
      </c>
      <c r="B1575" s="11" t="s">
        <v>187</v>
      </c>
      <c r="C1575" s="15"/>
      <c r="D1575" s="31" t="s">
        <v>21</v>
      </c>
      <c r="E1575" s="32">
        <v>27.0</v>
      </c>
      <c r="F1575" s="18">
        <f>E1575* 0.999328295549958</f>
        <v>26.98186398</v>
      </c>
      <c r="G1575" s="18">
        <f>E1575* 0.000335852225020991</f>
        <v>0.009068010076</v>
      </c>
      <c r="H1575" s="18">
        <f>E1575* 0.000335852225020991</f>
        <v>0.009068010076</v>
      </c>
    </row>
    <row r="1576" ht="15.75" hidden="1" customHeight="1">
      <c r="A1576" s="15" t="s">
        <v>183</v>
      </c>
      <c r="B1576" s="11" t="s">
        <v>187</v>
      </c>
      <c r="C1576" s="15"/>
      <c r="D1576" s="31" t="s">
        <v>28</v>
      </c>
      <c r="E1576" s="32">
        <v>0.0</v>
      </c>
      <c r="F1576" s="18">
        <f>E1576* 0.00116550116550117</f>
        <v>0</v>
      </c>
      <c r="G1576" s="18">
        <f>E1576* 0.998834498834499</f>
        <v>0</v>
      </c>
      <c r="H1576" s="20">
        <v>0.0</v>
      </c>
    </row>
    <row r="1577" ht="15.75" hidden="1" customHeight="1">
      <c r="A1577" s="15" t="s">
        <v>183</v>
      </c>
      <c r="B1577" s="11" t="s">
        <v>187</v>
      </c>
      <c r="C1577" s="15"/>
      <c r="D1577" s="31" t="s">
        <v>12</v>
      </c>
      <c r="E1577" s="32">
        <v>18.0</v>
      </c>
      <c r="F1577" s="18">
        <f>E1577* 0.894051651143099</f>
        <v>16.09292972</v>
      </c>
      <c r="G1577" s="18">
        <f>E1577* 0.0675804403048264</f>
        <v>1.216447925</v>
      </c>
      <c r="H1577" s="18">
        <f>E1577* 0.0382091447925487</f>
        <v>0.6877646063</v>
      </c>
    </row>
    <row r="1578" ht="15.75" hidden="1" customHeight="1">
      <c r="A1578" s="15" t="s">
        <v>183</v>
      </c>
      <c r="B1578" s="36"/>
      <c r="C1578" s="36"/>
      <c r="D1578" s="31"/>
      <c r="E1578" s="35"/>
    </row>
    <row r="1579" ht="15.75" hidden="1" customHeight="1">
      <c r="A1579" s="15" t="s">
        <v>183</v>
      </c>
      <c r="B1579" s="11" t="s">
        <v>188</v>
      </c>
      <c r="C1579" s="12" t="str">
        <f>B1579&amp;"_"&amp;A1579</f>
        <v>Caiza_Potosí</v>
      </c>
      <c r="E1579" s="22">
        <v>6.0</v>
      </c>
      <c r="F1579" s="14">
        <f t="shared" ref="F1579:H1579" si="149">SUM(F1580:F1587)</f>
        <v>3.026163632</v>
      </c>
      <c r="G1579" s="14">
        <f t="shared" si="149"/>
        <v>2.830809957</v>
      </c>
      <c r="H1579" s="14">
        <f t="shared" si="149"/>
        <v>0.1429362075</v>
      </c>
    </row>
    <row r="1580" ht="15.75" hidden="1" customHeight="1">
      <c r="A1580" s="15" t="s">
        <v>183</v>
      </c>
      <c r="B1580" s="11" t="s">
        <v>188</v>
      </c>
      <c r="C1580" s="15"/>
      <c r="D1580" s="31" t="s">
        <v>15</v>
      </c>
      <c r="E1580" s="32">
        <v>1.0</v>
      </c>
      <c r="F1580" s="18">
        <f>E1580* 0.975464549882735</f>
        <v>0.9754645499</v>
      </c>
      <c r="G1580" s="18">
        <f>E1580* 0.00487100847916291</f>
        <v>0.004871008479</v>
      </c>
      <c r="H1580" s="18">
        <f>E1580* 0.0195742377773769</f>
        <v>0.01957423778</v>
      </c>
    </row>
    <row r="1581" ht="15.75" hidden="1" customHeight="1">
      <c r="A1581" s="15" t="s">
        <v>183</v>
      </c>
      <c r="B1581" s="11" t="s">
        <v>188</v>
      </c>
      <c r="C1581" s="15"/>
      <c r="D1581" s="31" t="s">
        <v>16</v>
      </c>
      <c r="E1581" s="32">
        <v>1.0</v>
      </c>
      <c r="F1581" s="18">
        <f>E1581* 0.0607843137254902</f>
        <v>0.06078431373</v>
      </c>
      <c r="G1581" s="18">
        <f>E1581* 0.93921568627451</f>
        <v>0.9392156863</v>
      </c>
      <c r="H1581" s="20">
        <v>0.0</v>
      </c>
    </row>
    <row r="1582" ht="15.75" hidden="1" customHeight="1">
      <c r="A1582" s="15" t="s">
        <v>183</v>
      </c>
      <c r="B1582" s="11" t="s">
        <v>188</v>
      </c>
      <c r="C1582" s="15"/>
      <c r="D1582" s="31" t="s">
        <v>11</v>
      </c>
      <c r="E1582" s="32">
        <v>1.0</v>
      </c>
      <c r="F1582" s="18">
        <f>E1582* 0.175725756639901</f>
        <v>0.1757257566</v>
      </c>
      <c r="G1582" s="18">
        <f>E1582* 0.823656578134651</f>
        <v>0.8236565781</v>
      </c>
      <c r="H1582" s="18">
        <f>E1582* 0.000617665225447807</f>
        <v>0.0006176652254</v>
      </c>
    </row>
    <row r="1583" ht="15.75" hidden="1" customHeight="1">
      <c r="A1583" s="15" t="s">
        <v>183</v>
      </c>
      <c r="B1583" s="11" t="s">
        <v>188</v>
      </c>
      <c r="C1583" s="15"/>
      <c r="D1583" s="31" t="s">
        <v>17</v>
      </c>
      <c r="E1583" s="32">
        <v>2.0</v>
      </c>
      <c r="F1583" s="18">
        <f>E1583* 0.869679539852095</f>
        <v>1.73935908</v>
      </c>
      <c r="G1583" s="18">
        <f>E1583* 0.0695152013147083</f>
        <v>0.1390304026</v>
      </c>
      <c r="H1583" s="18">
        <f>E1583* 0.0608052588331964</f>
        <v>0.1216105177</v>
      </c>
    </row>
    <row r="1584" ht="15.75" hidden="1" customHeight="1">
      <c r="A1584" s="15" t="s">
        <v>183</v>
      </c>
      <c r="B1584" s="11" t="s">
        <v>188</v>
      </c>
      <c r="C1584" s="15"/>
      <c r="D1584" s="31" t="s">
        <v>18</v>
      </c>
      <c r="E1584" s="32">
        <v>0.0</v>
      </c>
      <c r="F1584" s="18">
        <f>E1584* 0.941463414634146</f>
        <v>0</v>
      </c>
      <c r="G1584" s="18">
        <f>E1584* 0.0532833020637899</f>
        <v>0</v>
      </c>
      <c r="H1584" s="18">
        <f>E1584* 0.00487804878048781</f>
        <v>0</v>
      </c>
    </row>
    <row r="1585" ht="15.75" hidden="1" customHeight="1">
      <c r="A1585" s="15" t="s">
        <v>183</v>
      </c>
      <c r="B1585" s="11" t="s">
        <v>188</v>
      </c>
      <c r="C1585" s="15"/>
      <c r="D1585" s="31" t="s">
        <v>19</v>
      </c>
      <c r="E1585" s="32">
        <v>1.0</v>
      </c>
      <c r="F1585" s="18">
        <f>E1585* 0.0748299319727891</f>
        <v>0.07482993197</v>
      </c>
      <c r="G1585" s="18">
        <f>E1585* 0.924036281179138</f>
        <v>0.9240362812</v>
      </c>
      <c r="H1585" s="18">
        <f>E1585* 0.00113378684807256</f>
        <v>0.001133786848</v>
      </c>
    </row>
    <row r="1586" ht="15.75" hidden="1" customHeight="1">
      <c r="A1586" s="15" t="s">
        <v>183</v>
      </c>
      <c r="B1586" s="11" t="s">
        <v>188</v>
      </c>
      <c r="C1586" s="15"/>
      <c r="D1586" s="31" t="s">
        <v>20</v>
      </c>
      <c r="E1586" s="32">
        <v>0.0</v>
      </c>
      <c r="F1586" s="18">
        <f>E1586* 0.799709724238026</f>
        <v>0</v>
      </c>
      <c r="G1586" s="18">
        <f>E1586* 0.150580551523948</f>
        <v>0</v>
      </c>
      <c r="H1586" s="18">
        <f>E1586* 0.0493468795355588</f>
        <v>0</v>
      </c>
    </row>
    <row r="1587" ht="15.75" hidden="1" customHeight="1">
      <c r="A1587" s="15" t="s">
        <v>183</v>
      </c>
      <c r="B1587" s="11" t="s">
        <v>188</v>
      </c>
      <c r="C1587" s="15"/>
      <c r="D1587" s="31" t="s">
        <v>12</v>
      </c>
      <c r="E1587" s="32">
        <v>0.0</v>
      </c>
      <c r="F1587" s="18">
        <f>E1587* 0.894051651143099</f>
        <v>0</v>
      </c>
      <c r="G1587" s="18">
        <f>E1587* 0.0675804403048264</f>
        <v>0</v>
      </c>
      <c r="H1587" s="18">
        <f>E1587* 0.0382091447925487</f>
        <v>0</v>
      </c>
    </row>
    <row r="1588" ht="15.75" hidden="1" customHeight="1">
      <c r="A1588" s="15" t="s">
        <v>183</v>
      </c>
      <c r="B1588" s="33"/>
      <c r="C1588" s="33"/>
      <c r="D1588" s="34"/>
      <c r="E1588" s="35"/>
    </row>
    <row r="1589" ht="15.75" hidden="1" customHeight="1">
      <c r="A1589" s="15" t="s">
        <v>183</v>
      </c>
      <c r="B1589" s="11" t="s">
        <v>189</v>
      </c>
      <c r="C1589" s="12" t="str">
        <f>B1589&amp;"_"&amp;A1589</f>
        <v>Caripuyo_Potosí</v>
      </c>
      <c r="E1589" s="22">
        <v>2.0</v>
      </c>
      <c r="F1589" s="14">
        <f t="shared" ref="F1589:H1589" si="150">SUM(F1590:F1591)</f>
        <v>1.869007835</v>
      </c>
      <c r="G1589" s="14">
        <f t="shared" si="150"/>
        <v>0.06985105354</v>
      </c>
      <c r="H1589" s="14">
        <f t="shared" si="150"/>
        <v>0.06114111106</v>
      </c>
    </row>
    <row r="1590" ht="15.75" hidden="1" customHeight="1">
      <c r="A1590" s="15" t="s">
        <v>183</v>
      </c>
      <c r="B1590" s="11" t="s">
        <v>189</v>
      </c>
      <c r="C1590" s="15"/>
      <c r="D1590" s="31" t="s">
        <v>17</v>
      </c>
      <c r="E1590" s="32">
        <v>1.0</v>
      </c>
      <c r="F1590" s="18">
        <f>E1590* 0.869679539852095</f>
        <v>0.8696795399</v>
      </c>
      <c r="G1590" s="18">
        <f>E1590* 0.0695152013147083</f>
        <v>0.06951520131</v>
      </c>
      <c r="H1590" s="18">
        <f>E1590* 0.0608052588331964</f>
        <v>0.06080525883</v>
      </c>
    </row>
    <row r="1591" ht="15.75" hidden="1" customHeight="1">
      <c r="A1591" s="15" t="s">
        <v>183</v>
      </c>
      <c r="B1591" s="11" t="s">
        <v>189</v>
      </c>
      <c r="C1591" s="15"/>
      <c r="D1591" s="31" t="s">
        <v>21</v>
      </c>
      <c r="E1591" s="32">
        <v>1.0</v>
      </c>
      <c r="F1591" s="18">
        <f>E1591* 0.999328295549958</f>
        <v>0.9993282955</v>
      </c>
      <c r="G1591" s="18">
        <f>E1591* 0.000335852225020991</f>
        <v>0.000335852225</v>
      </c>
      <c r="H1591" s="18">
        <f>E1591* 0.000335852225020991</f>
        <v>0.000335852225</v>
      </c>
    </row>
    <row r="1592" ht="15.75" hidden="1" customHeight="1">
      <c r="A1592" s="15" t="s">
        <v>183</v>
      </c>
      <c r="B1592" s="33"/>
      <c r="C1592" s="33"/>
      <c r="D1592" s="34"/>
      <c r="E1592" s="35"/>
    </row>
    <row r="1593" ht="15.75" hidden="1" customHeight="1">
      <c r="A1593" s="15" t="s">
        <v>183</v>
      </c>
      <c r="B1593" s="11" t="s">
        <v>190</v>
      </c>
      <c r="C1593" s="12" t="str">
        <f>B1593&amp;"_"&amp;A1593</f>
        <v>Chaqui_Potosí</v>
      </c>
      <c r="E1593" s="22">
        <v>13.0</v>
      </c>
      <c r="F1593" s="14">
        <f t="shared" ref="F1593:H1593" si="151">SUM(F1594:F1601)</f>
        <v>10.85085658</v>
      </c>
      <c r="G1593" s="14">
        <f t="shared" si="151"/>
        <v>1.930990957</v>
      </c>
      <c r="H1593" s="14">
        <f t="shared" si="151"/>
        <v>0.2174957603</v>
      </c>
    </row>
    <row r="1594" ht="15.75" hidden="1" customHeight="1">
      <c r="A1594" s="15" t="s">
        <v>183</v>
      </c>
      <c r="B1594" s="11" t="s">
        <v>190</v>
      </c>
      <c r="C1594" s="15"/>
      <c r="D1594" s="31" t="s">
        <v>15</v>
      </c>
      <c r="E1594" s="32">
        <v>2.0</v>
      </c>
      <c r="F1594" s="18">
        <f>E1594* 0.975464549882735</f>
        <v>1.9509291</v>
      </c>
      <c r="G1594" s="18">
        <f>E1594* 0.00487100847916291</f>
        <v>0.009742016958</v>
      </c>
      <c r="H1594" s="18">
        <f>E1594* 0.0195742377773769</f>
        <v>0.03914847555</v>
      </c>
    </row>
    <row r="1595" ht="15.75" hidden="1" customHeight="1">
      <c r="A1595" s="15" t="s">
        <v>183</v>
      </c>
      <c r="B1595" s="11" t="s">
        <v>190</v>
      </c>
      <c r="C1595" s="15"/>
      <c r="D1595" s="31" t="s">
        <v>16</v>
      </c>
      <c r="E1595" s="32">
        <v>0.0</v>
      </c>
      <c r="F1595" s="18">
        <f>E1595* 0.0607843137254902</f>
        <v>0</v>
      </c>
      <c r="G1595" s="18">
        <f>E1595* 0.93921568627451</f>
        <v>0</v>
      </c>
      <c r="H1595" s="20">
        <v>0.0</v>
      </c>
    </row>
    <row r="1596" ht="15.75" hidden="1" customHeight="1">
      <c r="A1596" s="15" t="s">
        <v>183</v>
      </c>
      <c r="B1596" s="11" t="s">
        <v>190</v>
      </c>
      <c r="C1596" s="15"/>
      <c r="D1596" s="31" t="s">
        <v>11</v>
      </c>
      <c r="E1596" s="32">
        <v>2.0</v>
      </c>
      <c r="F1596" s="18">
        <f>E1596* 0.175725756639901</f>
        <v>0.3514515133</v>
      </c>
      <c r="G1596" s="18">
        <f>E1596* 0.823656578134651</f>
        <v>1.647313156</v>
      </c>
      <c r="H1596" s="18">
        <f>E1596* 0.000617665225447807</f>
        <v>0.001235330451</v>
      </c>
    </row>
    <row r="1597" ht="15.75" hidden="1" customHeight="1">
      <c r="A1597" s="15" t="s">
        <v>183</v>
      </c>
      <c r="B1597" s="11" t="s">
        <v>190</v>
      </c>
      <c r="C1597" s="15"/>
      <c r="D1597" s="31" t="s">
        <v>17</v>
      </c>
      <c r="E1597" s="32">
        <v>1.0</v>
      </c>
      <c r="F1597" s="18">
        <f>E1597* 0.869679539852095</f>
        <v>0.8696795399</v>
      </c>
      <c r="G1597" s="18">
        <f>E1597* 0.0695152013147083</f>
        <v>0.06951520131</v>
      </c>
      <c r="H1597" s="18">
        <f>E1597* 0.0608052588331964</f>
        <v>0.06080525883</v>
      </c>
    </row>
    <row r="1598" ht="15.75" hidden="1" customHeight="1">
      <c r="A1598" s="15" t="s">
        <v>183</v>
      </c>
      <c r="B1598" s="11" t="s">
        <v>190</v>
      </c>
      <c r="C1598" s="15"/>
      <c r="D1598" s="31" t="s">
        <v>19</v>
      </c>
      <c r="E1598" s="32">
        <v>0.0</v>
      </c>
      <c r="F1598" s="18">
        <f>E1598* 0.0748299319727891</f>
        <v>0</v>
      </c>
      <c r="G1598" s="18">
        <f>E1598* 0.924036281179138</f>
        <v>0</v>
      </c>
      <c r="H1598" s="18">
        <f>E1598* 0.00113378684807256</f>
        <v>0</v>
      </c>
    </row>
    <row r="1599" ht="15.75" hidden="1" customHeight="1">
      <c r="A1599" s="15" t="s">
        <v>183</v>
      </c>
      <c r="B1599" s="11" t="s">
        <v>190</v>
      </c>
      <c r="C1599" s="15"/>
      <c r="D1599" s="31" t="s">
        <v>20</v>
      </c>
      <c r="E1599" s="32">
        <v>0.0</v>
      </c>
      <c r="F1599" s="18">
        <f>E1599* 0.799709724238026</f>
        <v>0</v>
      </c>
      <c r="G1599" s="18">
        <f>E1599* 0.150580551523948</f>
        <v>0</v>
      </c>
      <c r="H1599" s="18">
        <f>E1599* 0.0493468795355588</f>
        <v>0</v>
      </c>
    </row>
    <row r="1600" ht="15.75" hidden="1" customHeight="1">
      <c r="A1600" s="15" t="s">
        <v>183</v>
      </c>
      <c r="B1600" s="11" t="s">
        <v>190</v>
      </c>
      <c r="C1600" s="15"/>
      <c r="D1600" s="31" t="s">
        <v>21</v>
      </c>
      <c r="E1600" s="32">
        <v>5.0</v>
      </c>
      <c r="F1600" s="18">
        <f>E1600* 0.999328295549958</f>
        <v>4.996641478</v>
      </c>
      <c r="G1600" s="18">
        <f>E1600* 0.000335852225020991</f>
        <v>0.001679261125</v>
      </c>
      <c r="H1600" s="18">
        <f>E1600* 0.000335852225020991</f>
        <v>0.001679261125</v>
      </c>
    </row>
    <row r="1601" ht="15.75" hidden="1" customHeight="1">
      <c r="A1601" s="15" t="s">
        <v>183</v>
      </c>
      <c r="B1601" s="11" t="s">
        <v>190</v>
      </c>
      <c r="C1601" s="15"/>
      <c r="D1601" s="31" t="s">
        <v>12</v>
      </c>
      <c r="E1601" s="32">
        <v>3.0</v>
      </c>
      <c r="F1601" s="18">
        <f>E1601* 0.894051651143099</f>
        <v>2.682154953</v>
      </c>
      <c r="G1601" s="18">
        <f>E1601* 0.0675804403048264</f>
        <v>0.2027413209</v>
      </c>
      <c r="H1601" s="18">
        <f>E1601* 0.0382091447925487</f>
        <v>0.1146274344</v>
      </c>
    </row>
    <row r="1602" ht="15.75" hidden="1" customHeight="1">
      <c r="A1602" s="15" t="s">
        <v>183</v>
      </c>
      <c r="B1602" s="33"/>
      <c r="C1602" s="33"/>
      <c r="D1602" s="34"/>
      <c r="E1602" s="35"/>
    </row>
    <row r="1603" ht="15.75" hidden="1" customHeight="1">
      <c r="A1603" s="15" t="s">
        <v>183</v>
      </c>
      <c r="B1603" s="11" t="s">
        <v>191</v>
      </c>
      <c r="C1603" s="12" t="str">
        <f>B1603&amp;"_"&amp;A1603</f>
        <v>Chayanta_Potosí</v>
      </c>
      <c r="E1603" s="22">
        <v>32.0</v>
      </c>
      <c r="F1603" s="14">
        <f t="shared" ref="F1603:H1603" si="152">SUM(F1604:F1611)</f>
        <v>26.77121664</v>
      </c>
      <c r="G1603" s="14">
        <f t="shared" si="152"/>
        <v>4.334401054</v>
      </c>
      <c r="H1603" s="14">
        <f t="shared" si="152"/>
        <v>0.8895484943</v>
      </c>
    </row>
    <row r="1604" ht="15.75" hidden="1" customHeight="1">
      <c r="A1604" s="15" t="s">
        <v>183</v>
      </c>
      <c r="B1604" s="11" t="s">
        <v>191</v>
      </c>
      <c r="C1604" s="15"/>
      <c r="D1604" s="31" t="s">
        <v>15</v>
      </c>
      <c r="E1604" s="32">
        <v>2.0</v>
      </c>
      <c r="F1604" s="18">
        <f>E1604* 0.975464549882735</f>
        <v>1.9509291</v>
      </c>
      <c r="G1604" s="18">
        <f>E1604* 0.00487100847916291</f>
        <v>0.009742016958</v>
      </c>
      <c r="H1604" s="18">
        <f>E1604* 0.0195742377773769</f>
        <v>0.03914847555</v>
      </c>
    </row>
    <row r="1605" ht="15.75" hidden="1" customHeight="1">
      <c r="A1605" s="15" t="s">
        <v>183</v>
      </c>
      <c r="B1605" s="11" t="s">
        <v>191</v>
      </c>
      <c r="C1605" s="15"/>
      <c r="D1605" s="31" t="s">
        <v>11</v>
      </c>
      <c r="E1605" s="32">
        <v>2.0</v>
      </c>
      <c r="F1605" s="18">
        <f>E1605* 0.175725756639901</f>
        <v>0.3514515133</v>
      </c>
      <c r="G1605" s="18">
        <f>E1605* 0.823656578134651</f>
        <v>1.647313156</v>
      </c>
      <c r="H1605" s="18">
        <f>E1605* 0.000617665225447807</f>
        <v>0.001235330451</v>
      </c>
    </row>
    <row r="1606" ht="15.75" hidden="1" customHeight="1">
      <c r="A1606" s="15" t="s">
        <v>183</v>
      </c>
      <c r="B1606" s="11" t="s">
        <v>191</v>
      </c>
      <c r="C1606" s="15"/>
      <c r="D1606" s="31" t="s">
        <v>17</v>
      </c>
      <c r="E1606" s="32">
        <v>3.0</v>
      </c>
      <c r="F1606" s="18">
        <f>E1606* 0.869679539852095</f>
        <v>2.60903862</v>
      </c>
      <c r="G1606" s="18">
        <f>E1606* 0.0695152013147083</f>
        <v>0.2085456039</v>
      </c>
      <c r="H1606" s="18">
        <f>E1606* 0.0608052588331964</f>
        <v>0.1824157765</v>
      </c>
    </row>
    <row r="1607" ht="15.75" hidden="1" customHeight="1">
      <c r="A1607" s="15" t="s">
        <v>183</v>
      </c>
      <c r="B1607" s="11" t="s">
        <v>191</v>
      </c>
      <c r="C1607" s="15"/>
      <c r="D1607" s="31" t="s">
        <v>18</v>
      </c>
      <c r="E1607" s="32">
        <v>4.0</v>
      </c>
      <c r="F1607" s="18">
        <f>E1607* 0.941463414634146</f>
        <v>3.765853659</v>
      </c>
      <c r="G1607" s="18">
        <f>E1607* 0.0532833020637899</f>
        <v>0.2131332083</v>
      </c>
      <c r="H1607" s="18">
        <f>E1607* 0.00487804878048781</f>
        <v>0.01951219512</v>
      </c>
    </row>
    <row r="1608" ht="15.75" hidden="1" customHeight="1">
      <c r="A1608" s="15" t="s">
        <v>183</v>
      </c>
      <c r="B1608" s="11" t="s">
        <v>191</v>
      </c>
      <c r="C1608" s="15"/>
      <c r="D1608" s="31" t="s">
        <v>19</v>
      </c>
      <c r="E1608" s="32">
        <v>1.0</v>
      </c>
      <c r="F1608" s="18">
        <f>E1608* 0.0748299319727891</f>
        <v>0.07482993197</v>
      </c>
      <c r="G1608" s="18">
        <f>E1608* 0.924036281179138</f>
        <v>0.9240362812</v>
      </c>
      <c r="H1608" s="18">
        <f>E1608* 0.00113378684807256</f>
        <v>0.001133786848</v>
      </c>
    </row>
    <row r="1609" ht="15.75" hidden="1" customHeight="1">
      <c r="A1609" s="15" t="s">
        <v>183</v>
      </c>
      <c r="B1609" s="11" t="s">
        <v>191</v>
      </c>
      <c r="C1609" s="15"/>
      <c r="D1609" s="31" t="s">
        <v>20</v>
      </c>
      <c r="E1609" s="32">
        <v>3.0</v>
      </c>
      <c r="F1609" s="18">
        <f>E1609* 0.799709724238026</f>
        <v>2.399129173</v>
      </c>
      <c r="G1609" s="18">
        <f>E1609* 0.150580551523948</f>
        <v>0.4517416546</v>
      </c>
      <c r="H1609" s="18">
        <f>E1609* 0.0493468795355588</f>
        <v>0.1480406386</v>
      </c>
    </row>
    <row r="1610" ht="15.75" hidden="1" customHeight="1">
      <c r="A1610" s="15" t="s">
        <v>183</v>
      </c>
      <c r="B1610" s="11" t="s">
        <v>191</v>
      </c>
      <c r="C1610" s="15"/>
      <c r="D1610" s="31" t="s">
        <v>21</v>
      </c>
      <c r="E1610" s="32">
        <v>4.0</v>
      </c>
      <c r="F1610" s="18">
        <f>E1610* 0.999328295549958</f>
        <v>3.997313182</v>
      </c>
      <c r="G1610" s="18">
        <f>E1610* 0.000335852225020991</f>
        <v>0.0013434089</v>
      </c>
      <c r="H1610" s="18">
        <f>E1610* 0.000335852225020991</f>
        <v>0.0013434089</v>
      </c>
    </row>
    <row r="1611" ht="15.75" hidden="1" customHeight="1">
      <c r="A1611" s="15" t="s">
        <v>183</v>
      </c>
      <c r="B1611" s="11" t="s">
        <v>191</v>
      </c>
      <c r="C1611" s="15"/>
      <c r="D1611" s="31" t="s">
        <v>12</v>
      </c>
      <c r="E1611" s="32">
        <v>13.0</v>
      </c>
      <c r="F1611" s="18">
        <f>E1611* 0.894051651143099</f>
        <v>11.62267146</v>
      </c>
      <c r="G1611" s="18">
        <f>E1611* 0.0675804403048264</f>
        <v>0.878545724</v>
      </c>
      <c r="H1611" s="18">
        <f>E1611* 0.0382091447925487</f>
        <v>0.4967188823</v>
      </c>
    </row>
    <row r="1612" ht="15.75" hidden="1" customHeight="1">
      <c r="A1612" s="15" t="s">
        <v>183</v>
      </c>
      <c r="B1612" s="33"/>
      <c r="C1612" s="33"/>
      <c r="D1612" s="34"/>
      <c r="E1612" s="35"/>
    </row>
    <row r="1613" ht="15.75" hidden="1" customHeight="1">
      <c r="A1613" s="15" t="s">
        <v>183</v>
      </c>
      <c r="B1613" s="11" t="s">
        <v>192</v>
      </c>
      <c r="C1613" s="12" t="str">
        <f>B1613&amp;"_"&amp;A1613</f>
        <v>Colcha (Villa Martín)_Potosí</v>
      </c>
      <c r="E1613" s="22">
        <v>284.0</v>
      </c>
      <c r="F1613" s="14">
        <f t="shared" ref="F1613:H1613" si="153">SUM(F1614:F1623)</f>
        <v>164.8922894</v>
      </c>
      <c r="G1613" s="14">
        <f t="shared" si="153"/>
        <v>57.11529294</v>
      </c>
      <c r="H1613" s="14">
        <f t="shared" si="153"/>
        <v>9.9762485</v>
      </c>
    </row>
    <row r="1614" ht="15.75" hidden="1" customHeight="1">
      <c r="A1614" s="15" t="s">
        <v>183</v>
      </c>
      <c r="B1614" s="11" t="s">
        <v>192</v>
      </c>
      <c r="C1614" s="15"/>
      <c r="D1614" s="31" t="s">
        <v>14</v>
      </c>
      <c r="E1614" s="37"/>
      <c r="F1614" s="20">
        <v>0.0</v>
      </c>
      <c r="G1614" s="20">
        <v>0.0</v>
      </c>
      <c r="H1614" s="20">
        <v>0.0</v>
      </c>
    </row>
    <row r="1615" ht="15.75" hidden="1" customHeight="1">
      <c r="A1615" s="15" t="s">
        <v>183</v>
      </c>
      <c r="B1615" s="11" t="s">
        <v>192</v>
      </c>
      <c r="C1615" s="15"/>
      <c r="D1615" s="31" t="s">
        <v>15</v>
      </c>
      <c r="E1615" s="32">
        <v>1.0</v>
      </c>
      <c r="F1615" s="18">
        <f>E1615* 0.975464549882735</f>
        <v>0.9754645499</v>
      </c>
      <c r="G1615" s="18">
        <f>E1615* 0.00487100847916291</f>
        <v>0.004871008479</v>
      </c>
      <c r="H1615" s="18">
        <f>E1615* 0.0195742377773769</f>
        <v>0.01957423778</v>
      </c>
    </row>
    <row r="1616" ht="15.75" hidden="1" customHeight="1">
      <c r="A1616" s="15" t="s">
        <v>183</v>
      </c>
      <c r="B1616" s="11" t="s">
        <v>192</v>
      </c>
      <c r="C1616" s="15"/>
      <c r="D1616" s="31" t="s">
        <v>16</v>
      </c>
      <c r="E1616" s="32">
        <v>4.0</v>
      </c>
      <c r="F1616" s="18">
        <f>E1616* 0.0607843137254902</f>
        <v>0.2431372549</v>
      </c>
      <c r="G1616" s="18">
        <f>E1616* 0.93921568627451</f>
        <v>3.756862745</v>
      </c>
      <c r="H1616" s="20">
        <v>0.0</v>
      </c>
    </row>
    <row r="1617" ht="15.75" hidden="1" customHeight="1">
      <c r="A1617" s="15" t="s">
        <v>183</v>
      </c>
      <c r="B1617" s="11" t="s">
        <v>192</v>
      </c>
      <c r="C1617" s="15"/>
      <c r="D1617" s="31" t="s">
        <v>11</v>
      </c>
      <c r="E1617" s="32">
        <v>33.0</v>
      </c>
      <c r="F1617" s="18">
        <f>E1617* 0.175725756639901</f>
        <v>5.798949969</v>
      </c>
      <c r="G1617" s="18">
        <f>E1617* 0.823656578134651</f>
        <v>27.18066708</v>
      </c>
      <c r="H1617" s="18">
        <f>E1617* 0.000617665225447807</f>
        <v>0.02038295244</v>
      </c>
    </row>
    <row r="1618" ht="15.75" hidden="1" customHeight="1">
      <c r="A1618" s="15" t="s">
        <v>183</v>
      </c>
      <c r="B1618" s="11" t="s">
        <v>192</v>
      </c>
      <c r="C1618" s="15"/>
      <c r="D1618" s="31" t="s">
        <v>17</v>
      </c>
      <c r="E1618" s="32">
        <v>158.0</v>
      </c>
      <c r="F1618" s="18">
        <f>E1618* 0.869679539852095</f>
        <v>137.4093673</v>
      </c>
      <c r="G1618" s="18">
        <f>E1618* 0.0695152013147083</f>
        <v>10.98340181</v>
      </c>
      <c r="H1618" s="18">
        <f>E1618* 0.0608052588331964</f>
        <v>9.607230896</v>
      </c>
    </row>
    <row r="1619" ht="15.75" hidden="1" customHeight="1">
      <c r="A1619" s="15" t="s">
        <v>183</v>
      </c>
      <c r="B1619" s="11" t="s">
        <v>192</v>
      </c>
      <c r="C1619" s="15"/>
      <c r="D1619" s="31" t="s">
        <v>31</v>
      </c>
      <c r="E1619" s="32">
        <v>3.0</v>
      </c>
      <c r="F1619" s="18">
        <f>E1619* 0.93</f>
        <v>2.79</v>
      </c>
      <c r="G1619" s="18">
        <f>F1619* 0.05</f>
        <v>0.1395</v>
      </c>
      <c r="H1619" s="18">
        <f>E1619* 0.02</f>
        <v>0.06</v>
      </c>
    </row>
    <row r="1620" ht="15.75" hidden="1" customHeight="1">
      <c r="A1620" s="15" t="s">
        <v>183</v>
      </c>
      <c r="B1620" s="11" t="s">
        <v>192</v>
      </c>
      <c r="C1620" s="15"/>
      <c r="D1620" s="31" t="s">
        <v>18</v>
      </c>
      <c r="E1620" s="32">
        <v>11.0</v>
      </c>
      <c r="F1620" s="18">
        <f>E1620* 0.941463414634146</f>
        <v>10.35609756</v>
      </c>
      <c r="G1620" s="18">
        <f>E1620* 0.0532833020637899</f>
        <v>0.5861163227</v>
      </c>
      <c r="H1620" s="18">
        <f>E1620* 0.00487804878048781</f>
        <v>0.05365853659</v>
      </c>
    </row>
    <row r="1621" ht="15.75" hidden="1" customHeight="1">
      <c r="A1621" s="15" t="s">
        <v>183</v>
      </c>
      <c r="B1621" s="11" t="s">
        <v>192</v>
      </c>
      <c r="C1621" s="15"/>
      <c r="D1621" s="31" t="s">
        <v>19</v>
      </c>
      <c r="E1621" s="32">
        <v>15.0</v>
      </c>
      <c r="F1621" s="18">
        <f>E1621* 0.0748299319727891</f>
        <v>1.12244898</v>
      </c>
      <c r="G1621" s="18">
        <f>E1621* 0.924036281179138</f>
        <v>13.86054422</v>
      </c>
      <c r="H1621" s="18">
        <f>E1621* 0.00113378684807256</f>
        <v>0.01700680272</v>
      </c>
    </row>
    <row r="1622" ht="15.75" hidden="1" customHeight="1">
      <c r="A1622" s="15" t="s">
        <v>183</v>
      </c>
      <c r="B1622" s="11" t="s">
        <v>192</v>
      </c>
      <c r="C1622" s="15"/>
      <c r="D1622" s="31" t="s">
        <v>20</v>
      </c>
      <c r="E1622" s="32">
        <v>4.0</v>
      </c>
      <c r="F1622" s="18">
        <f>E1622* 0.799709724238026</f>
        <v>3.198838897</v>
      </c>
      <c r="G1622" s="18">
        <f>E1622* 0.150580551523948</f>
        <v>0.6023222061</v>
      </c>
      <c r="H1622" s="18">
        <f>E1622* 0.0493468795355588</f>
        <v>0.1973875181</v>
      </c>
    </row>
    <row r="1623" ht="15.75" hidden="1" customHeight="1">
      <c r="A1623" s="15" t="s">
        <v>183</v>
      </c>
      <c r="B1623" s="11" t="s">
        <v>192</v>
      </c>
      <c r="C1623" s="15"/>
      <c r="D1623" s="31" t="s">
        <v>21</v>
      </c>
      <c r="E1623" s="32">
        <v>3.0</v>
      </c>
      <c r="F1623" s="18">
        <f>E1623* 0.999328295549958</f>
        <v>2.997984887</v>
      </c>
      <c r="G1623" s="18">
        <f>E1623* 0.000335852225020991</f>
        <v>0.001007556675</v>
      </c>
      <c r="H1623" s="18">
        <f>E1623* 0.000335852225020991</f>
        <v>0.001007556675</v>
      </c>
    </row>
    <row r="1624" ht="15.75" hidden="1" customHeight="1">
      <c r="A1624" s="15" t="s">
        <v>183</v>
      </c>
      <c r="B1624" s="11" t="s">
        <v>192</v>
      </c>
      <c r="C1624" s="15"/>
      <c r="D1624" s="31" t="s">
        <v>36</v>
      </c>
      <c r="E1624" s="35"/>
      <c r="F1624" s="24" t="str">
        <f>E1624</f>
        <v/>
      </c>
      <c r="G1624" s="20">
        <v>0.0</v>
      </c>
      <c r="H1624" s="20">
        <v>0.0</v>
      </c>
    </row>
    <row r="1625" ht="15.75" hidden="1" customHeight="1">
      <c r="A1625" s="15" t="s">
        <v>183</v>
      </c>
      <c r="B1625" s="11" t="s">
        <v>192</v>
      </c>
      <c r="C1625" s="15"/>
      <c r="D1625" s="31" t="s">
        <v>28</v>
      </c>
      <c r="E1625" s="32">
        <v>1.0</v>
      </c>
      <c r="F1625" s="18">
        <f>E1625* 0.00116550116550117</f>
        <v>0.001165501166</v>
      </c>
      <c r="G1625" s="18">
        <f>E1625* 0.998834498834499</f>
        <v>0.9988344988</v>
      </c>
      <c r="H1625" s="20">
        <v>0.0</v>
      </c>
    </row>
    <row r="1626" ht="15.75" hidden="1" customHeight="1">
      <c r="A1626" s="15" t="s">
        <v>183</v>
      </c>
      <c r="B1626" s="11" t="s">
        <v>192</v>
      </c>
      <c r="C1626" s="15"/>
      <c r="D1626" s="31" t="s">
        <v>12</v>
      </c>
      <c r="E1626" s="32">
        <v>51.0</v>
      </c>
      <c r="F1626" s="18">
        <f>E1626* 0.894051651143099</f>
        <v>45.59663421</v>
      </c>
      <c r="G1626" s="18">
        <f>E1626* 0.0675804403048264</f>
        <v>3.446602456</v>
      </c>
      <c r="H1626" s="18">
        <f>E1626* 0.0382091447925487</f>
        <v>1.948666384</v>
      </c>
    </row>
    <row r="1627" ht="15.75" hidden="1" customHeight="1">
      <c r="A1627" s="15" t="s">
        <v>183</v>
      </c>
      <c r="B1627" s="33"/>
      <c r="C1627" s="33"/>
      <c r="D1627" s="34"/>
      <c r="E1627" s="35"/>
    </row>
    <row r="1628" ht="15.75" hidden="1" customHeight="1">
      <c r="A1628" s="15" t="s">
        <v>183</v>
      </c>
      <c r="B1628" s="11" t="s">
        <v>193</v>
      </c>
      <c r="C1628" s="12" t="str">
        <f>B1628&amp;"_"&amp;A1628</f>
        <v>Colquechaca_Potosí</v>
      </c>
      <c r="E1628" s="22">
        <v>2.0</v>
      </c>
      <c r="F1628" s="14">
        <f t="shared" ref="F1628:H1628" si="154">SUM(F1629:F1630)</f>
        <v>0.3514515133</v>
      </c>
      <c r="G1628" s="14">
        <f t="shared" si="154"/>
        <v>1.647313156</v>
      </c>
      <c r="H1628" s="14">
        <f t="shared" si="154"/>
        <v>0.001235330451</v>
      </c>
    </row>
    <row r="1629" ht="15.75" hidden="1" customHeight="1">
      <c r="A1629" s="15" t="s">
        <v>183</v>
      </c>
      <c r="B1629" s="11" t="s">
        <v>193</v>
      </c>
      <c r="C1629" s="15"/>
      <c r="D1629" s="31" t="s">
        <v>11</v>
      </c>
      <c r="E1629" s="32">
        <v>2.0</v>
      </c>
      <c r="F1629" s="18">
        <f>E1629* 0.175725756639901</f>
        <v>0.3514515133</v>
      </c>
      <c r="G1629" s="18">
        <f>E1629* 0.823656578134651</f>
        <v>1.647313156</v>
      </c>
      <c r="H1629" s="18">
        <f>E1629* 0.000617665225447807</f>
        <v>0.001235330451</v>
      </c>
    </row>
    <row r="1630" ht="15.75" hidden="1" customHeight="1">
      <c r="A1630" s="15" t="s">
        <v>183</v>
      </c>
      <c r="B1630" s="11" t="s">
        <v>193</v>
      </c>
      <c r="C1630" s="15"/>
      <c r="D1630" s="31" t="s">
        <v>17</v>
      </c>
      <c r="E1630" s="32">
        <v>0.0</v>
      </c>
      <c r="F1630" s="18">
        <f>E1630* 0.869679539852095</f>
        <v>0</v>
      </c>
      <c r="G1630" s="18">
        <f>E1630* 0.0695152013147083</f>
        <v>0</v>
      </c>
      <c r="H1630" s="18">
        <f>E1630* 0.0608052588331964</f>
        <v>0</v>
      </c>
    </row>
    <row r="1631" ht="15.75" hidden="1" customHeight="1">
      <c r="A1631" s="15" t="s">
        <v>183</v>
      </c>
      <c r="B1631" s="33"/>
      <c r="C1631" s="33"/>
      <c r="D1631" s="34"/>
      <c r="E1631" s="35"/>
    </row>
    <row r="1632" ht="15.75" hidden="1" customHeight="1">
      <c r="A1632" s="15" t="s">
        <v>183</v>
      </c>
      <c r="B1632" s="11" t="s">
        <v>194</v>
      </c>
      <c r="C1632" s="12" t="str">
        <f>B1632&amp;"_"&amp;A1632</f>
        <v>Cotagaita_Potosí</v>
      </c>
      <c r="E1632" s="22">
        <v>93.0</v>
      </c>
      <c r="F1632" s="14">
        <f t="shared" ref="F1632:H1632" si="155">SUM(F1633:F1641)</f>
        <v>64.85434482</v>
      </c>
      <c r="G1632" s="14">
        <f t="shared" si="155"/>
        <v>25.46595714</v>
      </c>
      <c r="H1632" s="14">
        <f t="shared" si="155"/>
        <v>2.674629622</v>
      </c>
    </row>
    <row r="1633" ht="15.75" hidden="1" customHeight="1">
      <c r="A1633" s="15" t="s">
        <v>183</v>
      </c>
      <c r="B1633" s="11" t="s">
        <v>194</v>
      </c>
      <c r="C1633" s="15"/>
      <c r="D1633" s="31" t="s">
        <v>15</v>
      </c>
      <c r="E1633" s="32">
        <v>3.0</v>
      </c>
      <c r="F1633" s="18">
        <f>E1633* 0.975464549882735</f>
        <v>2.92639365</v>
      </c>
      <c r="G1633" s="18">
        <f>E1633* 0.00487100847916291</f>
        <v>0.01461302544</v>
      </c>
      <c r="H1633" s="18">
        <f>E1633* 0.0195742377773769</f>
        <v>0.05872271333</v>
      </c>
    </row>
    <row r="1634" ht="15.75" hidden="1" customHeight="1">
      <c r="A1634" s="15" t="s">
        <v>183</v>
      </c>
      <c r="B1634" s="11" t="s">
        <v>194</v>
      </c>
      <c r="C1634" s="15"/>
      <c r="D1634" s="31" t="s">
        <v>16</v>
      </c>
      <c r="E1634" s="32">
        <v>2.0</v>
      </c>
      <c r="F1634" s="18">
        <f>E1634* 0.0607843137254902</f>
        <v>0.1215686275</v>
      </c>
      <c r="G1634" s="18">
        <f>E1634* 0.93921568627451</f>
        <v>1.878431373</v>
      </c>
      <c r="H1634" s="20">
        <v>0.0</v>
      </c>
    </row>
    <row r="1635" ht="15.75" hidden="1" customHeight="1">
      <c r="A1635" s="15" t="s">
        <v>183</v>
      </c>
      <c r="B1635" s="11" t="s">
        <v>194</v>
      </c>
      <c r="C1635" s="15"/>
      <c r="D1635" s="31" t="s">
        <v>11</v>
      </c>
      <c r="E1635" s="32">
        <v>24.0</v>
      </c>
      <c r="F1635" s="18">
        <f>E1635* 0.175725756639901</f>
        <v>4.217418159</v>
      </c>
      <c r="G1635" s="18">
        <f>E1635* 0.823656578134651</f>
        <v>19.76775788</v>
      </c>
      <c r="H1635" s="18">
        <f>E1635* 0.000617665225447807</f>
        <v>0.01482396541</v>
      </c>
    </row>
    <row r="1636" ht="15.75" hidden="1" customHeight="1">
      <c r="A1636" s="15" t="s">
        <v>183</v>
      </c>
      <c r="B1636" s="11" t="s">
        <v>194</v>
      </c>
      <c r="C1636" s="15"/>
      <c r="D1636" s="31" t="s">
        <v>17</v>
      </c>
      <c r="E1636" s="32">
        <v>27.0</v>
      </c>
      <c r="F1636" s="18">
        <f>E1636* 0.869679539852095</f>
        <v>23.48134758</v>
      </c>
      <c r="G1636" s="18">
        <f>E1636* 0.0695152013147083</f>
        <v>1.876910435</v>
      </c>
      <c r="H1636" s="18">
        <f>E1636* 0.0608052588331964</f>
        <v>1.641741988</v>
      </c>
    </row>
    <row r="1637" ht="15.75" hidden="1" customHeight="1">
      <c r="A1637" s="15" t="s">
        <v>183</v>
      </c>
      <c r="B1637" s="11" t="s">
        <v>194</v>
      </c>
      <c r="C1637" s="15"/>
      <c r="D1637" s="31" t="s">
        <v>18</v>
      </c>
      <c r="E1637" s="32">
        <v>1.0</v>
      </c>
      <c r="F1637" s="18">
        <f>E1637* 0.941463414634146</f>
        <v>0.9414634146</v>
      </c>
      <c r="G1637" s="18">
        <f>E1637* 0.0532833020637899</f>
        <v>0.05328330206</v>
      </c>
      <c r="H1637" s="18">
        <f>E1637* 0.00487804878048781</f>
        <v>0.00487804878</v>
      </c>
    </row>
    <row r="1638" ht="15.75" hidden="1" customHeight="1">
      <c r="A1638" s="15" t="s">
        <v>183</v>
      </c>
      <c r="B1638" s="11" t="s">
        <v>194</v>
      </c>
      <c r="C1638" s="15"/>
      <c r="D1638" s="31" t="s">
        <v>19</v>
      </c>
      <c r="E1638" s="32">
        <v>0.0</v>
      </c>
      <c r="F1638" s="18">
        <f>E1638* 0.0748299319727891</f>
        <v>0</v>
      </c>
      <c r="G1638" s="18">
        <f>E1638* 0.924036281179138</f>
        <v>0</v>
      </c>
      <c r="H1638" s="18">
        <f>E1638* 0.00113378684807256</f>
        <v>0</v>
      </c>
    </row>
    <row r="1639" ht="15.75" hidden="1" customHeight="1">
      <c r="A1639" s="15" t="s">
        <v>183</v>
      </c>
      <c r="B1639" s="11" t="s">
        <v>194</v>
      </c>
      <c r="C1639" s="15"/>
      <c r="D1639" s="31" t="s">
        <v>20</v>
      </c>
      <c r="E1639" s="32">
        <v>3.0</v>
      </c>
      <c r="F1639" s="18">
        <f>E1639* 0.799709724238026</f>
        <v>2.399129173</v>
      </c>
      <c r="G1639" s="18">
        <f>E1639* 0.150580551523948</f>
        <v>0.4517416546</v>
      </c>
      <c r="H1639" s="18">
        <f>E1639* 0.0493468795355588</f>
        <v>0.1480406386</v>
      </c>
    </row>
    <row r="1640" ht="15.75" hidden="1" customHeight="1">
      <c r="A1640" s="15" t="s">
        <v>183</v>
      </c>
      <c r="B1640" s="11" t="s">
        <v>194</v>
      </c>
      <c r="C1640" s="15"/>
      <c r="D1640" s="31" t="s">
        <v>21</v>
      </c>
      <c r="E1640" s="32">
        <v>12.0</v>
      </c>
      <c r="F1640" s="18">
        <f>E1640* 0.999328295549958</f>
        <v>11.99193955</v>
      </c>
      <c r="G1640" s="18">
        <f>E1640* 0.000335852225020991</f>
        <v>0.0040302267</v>
      </c>
      <c r="H1640" s="18">
        <f>E1640* 0.000335852225020991</f>
        <v>0.0040302267</v>
      </c>
    </row>
    <row r="1641" ht="15.75" hidden="1" customHeight="1">
      <c r="A1641" s="15" t="s">
        <v>183</v>
      </c>
      <c r="B1641" s="11" t="s">
        <v>194</v>
      </c>
      <c r="C1641" s="15"/>
      <c r="D1641" s="31" t="s">
        <v>12</v>
      </c>
      <c r="E1641" s="32">
        <v>21.0</v>
      </c>
      <c r="F1641" s="18">
        <f>E1641* 0.894051651143099</f>
        <v>18.77508467</v>
      </c>
      <c r="G1641" s="18">
        <f>E1641* 0.0675804403048264</f>
        <v>1.419189246</v>
      </c>
      <c r="H1641" s="18">
        <f>E1641* 0.0382091447925487</f>
        <v>0.8023920406</v>
      </c>
    </row>
    <row r="1642" ht="15.75" hidden="1" customHeight="1">
      <c r="A1642" s="15" t="s">
        <v>183</v>
      </c>
      <c r="B1642" s="33"/>
      <c r="C1642" s="33"/>
      <c r="D1642" s="34"/>
      <c r="E1642" s="35"/>
    </row>
    <row r="1643" ht="15.75" hidden="1" customHeight="1">
      <c r="A1643" s="15" t="s">
        <v>183</v>
      </c>
      <c r="B1643" s="11" t="s">
        <v>195</v>
      </c>
      <c r="C1643" s="12" t="str">
        <f>B1643&amp;"_"&amp;A1643</f>
        <v>Llallagua_Potosí</v>
      </c>
      <c r="E1643" s="22">
        <v>1687.0</v>
      </c>
      <c r="F1643" s="14">
        <f t="shared" ref="F1643:H1643" si="156">SUM(F1644:F1657)</f>
        <v>1387.70457</v>
      </c>
      <c r="G1643" s="14">
        <f t="shared" si="156"/>
        <v>252.755492</v>
      </c>
      <c r="H1643" s="14">
        <f t="shared" si="156"/>
        <v>46.33050286</v>
      </c>
    </row>
    <row r="1644" ht="15.75" hidden="1" customHeight="1">
      <c r="A1644" s="15" t="s">
        <v>183</v>
      </c>
      <c r="B1644" s="11" t="s">
        <v>195</v>
      </c>
      <c r="C1644" s="15"/>
      <c r="D1644" s="31" t="s">
        <v>14</v>
      </c>
      <c r="E1644" s="32">
        <v>0.0</v>
      </c>
      <c r="F1644" s="20">
        <v>0.0</v>
      </c>
      <c r="G1644" s="24">
        <f>E1644</f>
        <v>0</v>
      </c>
      <c r="H1644" s="20">
        <v>0.0</v>
      </c>
    </row>
    <row r="1645" ht="15.75" hidden="1" customHeight="1">
      <c r="A1645" s="15" t="s">
        <v>183</v>
      </c>
      <c r="B1645" s="11" t="s">
        <v>195</v>
      </c>
      <c r="C1645" s="15"/>
      <c r="D1645" s="31" t="s">
        <v>15</v>
      </c>
      <c r="E1645" s="32">
        <v>86.0</v>
      </c>
      <c r="F1645" s="18">
        <f>E1645* 0.975464549882735</f>
        <v>83.88995129</v>
      </c>
      <c r="G1645" s="18">
        <f>E1645* 0.00487100847916291</f>
        <v>0.4189067292</v>
      </c>
      <c r="H1645" s="18">
        <f>E1645* 0.0195742377773769</f>
        <v>1.683384449</v>
      </c>
    </row>
    <row r="1646" ht="15.75" hidden="1" customHeight="1">
      <c r="A1646" s="15" t="s">
        <v>183</v>
      </c>
      <c r="B1646" s="11" t="s">
        <v>195</v>
      </c>
      <c r="C1646" s="15"/>
      <c r="D1646" s="31" t="s">
        <v>16</v>
      </c>
      <c r="E1646" s="32">
        <v>36.0</v>
      </c>
      <c r="F1646" s="18">
        <f>E1646* 0.0607843137254902</f>
        <v>2.188235294</v>
      </c>
      <c r="G1646" s="18">
        <f>E1646* 0.93921568627451</f>
        <v>33.81176471</v>
      </c>
      <c r="H1646" s="20">
        <v>0.0</v>
      </c>
    </row>
    <row r="1647" ht="15.75" hidden="1" customHeight="1">
      <c r="A1647" s="15" t="s">
        <v>183</v>
      </c>
      <c r="B1647" s="11" t="s">
        <v>195</v>
      </c>
      <c r="C1647" s="15"/>
      <c r="D1647" s="31" t="s">
        <v>11</v>
      </c>
      <c r="E1647" s="32">
        <v>147.0</v>
      </c>
      <c r="F1647" s="18">
        <f>E1647* 0.175725756639901</f>
        <v>25.83168623</v>
      </c>
      <c r="G1647" s="18">
        <f>E1647* 0.823656578134651</f>
        <v>121.077517</v>
      </c>
      <c r="H1647" s="18">
        <f>E1647* 0.000617665225447807</f>
        <v>0.09079678814</v>
      </c>
    </row>
    <row r="1648" ht="15.75" hidden="1" customHeight="1">
      <c r="A1648" s="15" t="s">
        <v>183</v>
      </c>
      <c r="B1648" s="11" t="s">
        <v>195</v>
      </c>
      <c r="C1648" s="15"/>
      <c r="D1648" s="31" t="s">
        <v>17</v>
      </c>
      <c r="E1648" s="32">
        <v>73.0</v>
      </c>
      <c r="F1648" s="18">
        <f>E1648* 0.869679539852095</f>
        <v>63.48660641</v>
      </c>
      <c r="G1648" s="18">
        <f>E1648* 0.0695152013147083</f>
        <v>5.074609696</v>
      </c>
      <c r="H1648" s="18">
        <f>E1648* 0.0608052588331964</f>
        <v>4.438783895</v>
      </c>
    </row>
    <row r="1649" ht="15.75" hidden="1" customHeight="1">
      <c r="A1649" s="15" t="s">
        <v>183</v>
      </c>
      <c r="B1649" s="11" t="s">
        <v>195</v>
      </c>
      <c r="C1649" s="15"/>
      <c r="D1649" s="31" t="s">
        <v>31</v>
      </c>
      <c r="E1649" s="32">
        <v>3.0</v>
      </c>
      <c r="F1649" s="18">
        <f>E1649* 0.93</f>
        <v>2.79</v>
      </c>
      <c r="G1649" s="18">
        <f>F1649* 0.05</f>
        <v>0.1395</v>
      </c>
      <c r="H1649" s="18">
        <f>E1649* 0.02</f>
        <v>0.06</v>
      </c>
    </row>
    <row r="1650" ht="15.75" hidden="1" customHeight="1">
      <c r="A1650" s="15" t="s">
        <v>183</v>
      </c>
      <c r="B1650" s="11" t="s">
        <v>195</v>
      </c>
      <c r="C1650" s="15"/>
      <c r="D1650" s="31" t="s">
        <v>18</v>
      </c>
      <c r="E1650" s="32">
        <v>30.0</v>
      </c>
      <c r="F1650" s="18">
        <f>E1650* 0.941463414634146</f>
        <v>28.24390244</v>
      </c>
      <c r="G1650" s="18">
        <f>E1650* 0.0532833020637899</f>
        <v>1.598499062</v>
      </c>
      <c r="H1650" s="18">
        <f>E1650* 0.00487804878048781</f>
        <v>0.1463414634</v>
      </c>
    </row>
    <row r="1651" ht="15.75" hidden="1" customHeight="1">
      <c r="A1651" s="15" t="s">
        <v>183</v>
      </c>
      <c r="B1651" s="11" t="s">
        <v>195</v>
      </c>
      <c r="C1651" s="15"/>
      <c r="D1651" s="31" t="s">
        <v>19</v>
      </c>
      <c r="E1651" s="32">
        <v>9.0</v>
      </c>
      <c r="F1651" s="18">
        <f>E1651* 0.0748299319727891</f>
        <v>0.6734693878</v>
      </c>
      <c r="G1651" s="18">
        <f>E1651* 0.924036281179138</f>
        <v>8.316326531</v>
      </c>
      <c r="H1651" s="18">
        <f>E1651* 0.00113378684807256</f>
        <v>0.01020408163</v>
      </c>
    </row>
    <row r="1652" ht="15.75" hidden="1" customHeight="1">
      <c r="A1652" s="15" t="s">
        <v>183</v>
      </c>
      <c r="B1652" s="11" t="s">
        <v>195</v>
      </c>
      <c r="C1652" s="15"/>
      <c r="D1652" s="31" t="s">
        <v>20</v>
      </c>
      <c r="E1652" s="32">
        <v>92.0</v>
      </c>
      <c r="F1652" s="18">
        <f>E1652* 0.799709724238026</f>
        <v>73.57329463</v>
      </c>
      <c r="G1652" s="18">
        <f>E1652* 0.150580551523948</f>
        <v>13.85341074</v>
      </c>
      <c r="H1652" s="18">
        <f>E1652* 0.0493468795355588</f>
        <v>4.539912917</v>
      </c>
    </row>
    <row r="1653" ht="15.75" hidden="1" customHeight="1">
      <c r="A1653" s="15" t="s">
        <v>183</v>
      </c>
      <c r="B1653" s="11" t="s">
        <v>195</v>
      </c>
      <c r="C1653" s="15"/>
      <c r="D1653" s="31" t="s">
        <v>21</v>
      </c>
      <c r="E1653" s="32">
        <v>280.0</v>
      </c>
      <c r="F1653" s="18">
        <f>E1653* 0.999328295549958</f>
        <v>279.8119228</v>
      </c>
      <c r="G1653" s="18">
        <f>E1653* 0.000335852225020991</f>
        <v>0.09403862301</v>
      </c>
      <c r="H1653" s="18">
        <f>E1653* 0.000335852225020991</f>
        <v>0.09403862301</v>
      </c>
    </row>
    <row r="1654" ht="15.75" hidden="1" customHeight="1">
      <c r="A1654" s="15" t="s">
        <v>183</v>
      </c>
      <c r="B1654" s="11" t="s">
        <v>195</v>
      </c>
      <c r="C1654" s="15"/>
      <c r="D1654" s="31" t="s">
        <v>36</v>
      </c>
      <c r="E1654" s="32">
        <v>2.0</v>
      </c>
      <c r="F1654" s="24">
        <f>E1654</f>
        <v>2</v>
      </c>
      <c r="G1654" s="20">
        <v>0.0</v>
      </c>
      <c r="H1654" s="20">
        <v>0.0</v>
      </c>
    </row>
    <row r="1655" ht="15.75" hidden="1" customHeight="1">
      <c r="A1655" s="15" t="s">
        <v>183</v>
      </c>
      <c r="B1655" s="11" t="s">
        <v>195</v>
      </c>
      <c r="C1655" s="15"/>
      <c r="D1655" s="31" t="s">
        <v>37</v>
      </c>
      <c r="E1655" s="32">
        <v>1.0</v>
      </c>
      <c r="F1655" s="20">
        <v>0.0</v>
      </c>
      <c r="G1655" s="24">
        <f>E1655</f>
        <v>1</v>
      </c>
      <c r="H1655" s="20">
        <v>0.0</v>
      </c>
    </row>
    <row r="1656" ht="15.75" hidden="1" customHeight="1">
      <c r="A1656" s="15" t="s">
        <v>183</v>
      </c>
      <c r="B1656" s="11" t="s">
        <v>195</v>
      </c>
      <c r="C1656" s="15"/>
      <c r="D1656" s="31" t="s">
        <v>28</v>
      </c>
      <c r="E1656" s="32">
        <v>5.0</v>
      </c>
      <c r="F1656" s="18">
        <f>E1656* 0.00116550116550117</f>
        <v>0.005827505828</v>
      </c>
      <c r="G1656" s="18">
        <f>E1656* 0.998834498834499</f>
        <v>4.994172494</v>
      </c>
      <c r="H1656" s="20">
        <v>0.0</v>
      </c>
    </row>
    <row r="1657" ht="15.75" hidden="1" customHeight="1">
      <c r="A1657" s="15" t="s">
        <v>183</v>
      </c>
      <c r="B1657" s="11" t="s">
        <v>195</v>
      </c>
      <c r="C1657" s="15"/>
      <c r="D1657" s="31" t="s">
        <v>12</v>
      </c>
      <c r="E1657" s="32">
        <v>923.0</v>
      </c>
      <c r="F1657" s="18">
        <f>E1657* 0.894051651143099</f>
        <v>825.209674</v>
      </c>
      <c r="G1657" s="18">
        <f>E1657* 0.0675804403048264</f>
        <v>62.3767464</v>
      </c>
      <c r="H1657" s="18">
        <f>E1657* 0.0382091447925487</f>
        <v>35.26704064</v>
      </c>
    </row>
    <row r="1658" ht="15.75" hidden="1" customHeight="1">
      <c r="A1658" s="15" t="s">
        <v>183</v>
      </c>
      <c r="B1658" s="33"/>
      <c r="C1658" s="33"/>
      <c r="D1658" s="34"/>
      <c r="E1658" s="35"/>
    </row>
    <row r="1659" ht="15.75" hidden="1" customHeight="1">
      <c r="A1659" s="15" t="s">
        <v>183</v>
      </c>
      <c r="B1659" s="11" t="s">
        <v>196</v>
      </c>
      <c r="C1659" s="12" t="str">
        <f>B1659&amp;"_"&amp;A1659</f>
        <v>Llica_Potosí</v>
      </c>
      <c r="E1659" s="22">
        <v>21.0</v>
      </c>
      <c r="F1659" s="14">
        <f t="shared" ref="F1659:H1659" si="157">SUM(F1660:F1666)</f>
        <v>14.3340296</v>
      </c>
      <c r="G1659" s="14">
        <f t="shared" si="157"/>
        <v>5.973416854</v>
      </c>
      <c r="H1659" s="14">
        <f t="shared" si="157"/>
        <v>0.6879530494</v>
      </c>
    </row>
    <row r="1660" ht="15.75" hidden="1" customHeight="1">
      <c r="A1660" s="15" t="s">
        <v>183</v>
      </c>
      <c r="B1660" s="11" t="s">
        <v>196</v>
      </c>
      <c r="C1660" s="15"/>
      <c r="D1660" s="31" t="s">
        <v>15</v>
      </c>
      <c r="E1660" s="32">
        <v>1.0</v>
      </c>
      <c r="F1660" s="18">
        <f>E1660* 0.975464549882735</f>
        <v>0.9754645499</v>
      </c>
      <c r="G1660" s="18">
        <f>E1660* 0.00487100847916291</f>
        <v>0.004871008479</v>
      </c>
      <c r="H1660" s="18">
        <f>E1660* 0.0195742377773769</f>
        <v>0.01957423778</v>
      </c>
    </row>
    <row r="1661" ht="15.75" hidden="1" customHeight="1">
      <c r="A1661" s="15" t="s">
        <v>183</v>
      </c>
      <c r="B1661" s="11" t="s">
        <v>196</v>
      </c>
      <c r="C1661" s="15"/>
      <c r="D1661" s="31" t="s">
        <v>11</v>
      </c>
      <c r="E1661" s="32">
        <v>5.0</v>
      </c>
      <c r="F1661" s="18">
        <f>E1661* 0.175725756639901</f>
        <v>0.8786287832</v>
      </c>
      <c r="G1661" s="18">
        <f>E1661* 0.823656578134651</f>
        <v>4.118282891</v>
      </c>
      <c r="H1661" s="18">
        <f>E1661* 0.000617665225447807</f>
        <v>0.003088326127</v>
      </c>
    </row>
    <row r="1662" ht="15.75" hidden="1" customHeight="1">
      <c r="A1662" s="15" t="s">
        <v>183</v>
      </c>
      <c r="B1662" s="11" t="s">
        <v>196</v>
      </c>
      <c r="C1662" s="15"/>
      <c r="D1662" s="31" t="s">
        <v>17</v>
      </c>
      <c r="E1662" s="32">
        <v>8.0</v>
      </c>
      <c r="F1662" s="18">
        <f>E1662* 0.869679539852095</f>
        <v>6.957436319</v>
      </c>
      <c r="G1662" s="18">
        <f>E1662* 0.0695152013147083</f>
        <v>0.5561216105</v>
      </c>
      <c r="H1662" s="18">
        <f>E1662* 0.0608052588331964</f>
        <v>0.4864420707</v>
      </c>
    </row>
    <row r="1663" ht="15.75" hidden="1" customHeight="1">
      <c r="A1663" s="15" t="s">
        <v>183</v>
      </c>
      <c r="B1663" s="11" t="s">
        <v>196</v>
      </c>
      <c r="C1663" s="15"/>
      <c r="D1663" s="31" t="s">
        <v>31</v>
      </c>
      <c r="E1663" s="32">
        <v>1.0</v>
      </c>
      <c r="F1663" s="18">
        <f>E1663* 0.93</f>
        <v>0.93</v>
      </c>
      <c r="G1663" s="18">
        <f>F1663* 0.05</f>
        <v>0.0465</v>
      </c>
      <c r="H1663" s="18">
        <f>E1663* 0.02</f>
        <v>0.02</v>
      </c>
    </row>
    <row r="1664" ht="15.75" hidden="1" customHeight="1">
      <c r="A1664" s="15" t="s">
        <v>183</v>
      </c>
      <c r="B1664" s="11" t="s">
        <v>196</v>
      </c>
      <c r="C1664" s="15"/>
      <c r="D1664" s="31" t="s">
        <v>18</v>
      </c>
      <c r="E1664" s="32">
        <v>1.0</v>
      </c>
      <c r="F1664" s="18">
        <f>E1664* 0.941463414634146</f>
        <v>0.9414634146</v>
      </c>
      <c r="G1664" s="18">
        <f>E1664* 0.0532833020637899</f>
        <v>0.05328330206</v>
      </c>
      <c r="H1664" s="18">
        <f>E1664* 0.00487804878048781</f>
        <v>0.00487804878</v>
      </c>
    </row>
    <row r="1665" ht="15.75" hidden="1" customHeight="1">
      <c r="A1665" s="15" t="s">
        <v>183</v>
      </c>
      <c r="B1665" s="11" t="s">
        <v>196</v>
      </c>
      <c r="C1665" s="15"/>
      <c r="D1665" s="31" t="s">
        <v>19</v>
      </c>
      <c r="E1665" s="32">
        <v>1.0</v>
      </c>
      <c r="F1665" s="18">
        <f>E1665* 0.0748299319727891</f>
        <v>0.07482993197</v>
      </c>
      <c r="G1665" s="18">
        <f>E1665* 0.924036281179138</f>
        <v>0.9240362812</v>
      </c>
      <c r="H1665" s="18">
        <f>E1665* 0.00113378684807256</f>
        <v>0.001133786848</v>
      </c>
    </row>
    <row r="1666" ht="15.75" hidden="1" customHeight="1">
      <c r="A1666" s="15" t="s">
        <v>183</v>
      </c>
      <c r="B1666" s="11" t="s">
        <v>196</v>
      </c>
      <c r="C1666" s="15"/>
      <c r="D1666" s="31" t="s">
        <v>12</v>
      </c>
      <c r="E1666" s="32">
        <v>4.0</v>
      </c>
      <c r="F1666" s="18">
        <f>E1666* 0.894051651143099</f>
        <v>3.576206605</v>
      </c>
      <c r="G1666" s="18">
        <f>E1666* 0.0675804403048264</f>
        <v>0.2703217612</v>
      </c>
      <c r="H1666" s="18">
        <f>E1666* 0.0382091447925487</f>
        <v>0.1528365792</v>
      </c>
    </row>
    <row r="1667" ht="15.75" hidden="1" customHeight="1">
      <c r="A1667" s="15" t="s">
        <v>183</v>
      </c>
      <c r="B1667" s="33"/>
      <c r="C1667" s="33"/>
      <c r="D1667" s="34"/>
      <c r="E1667" s="35"/>
    </row>
    <row r="1668" ht="15.75" hidden="1" customHeight="1">
      <c r="A1668" s="15" t="s">
        <v>183</v>
      </c>
      <c r="B1668" s="11" t="s">
        <v>197</v>
      </c>
      <c r="C1668" s="12" t="str">
        <f>B1668&amp;"_"&amp;A1668</f>
        <v>Ocuri_Potosí</v>
      </c>
      <c r="E1668" s="22">
        <v>1.0</v>
      </c>
      <c r="F1668" s="14">
        <f t="shared" ref="F1668:H1668" si="158">F1669</f>
        <v>0.9754645499</v>
      </c>
      <c r="G1668" s="14">
        <f t="shared" si="158"/>
        <v>0.004871008479</v>
      </c>
      <c r="H1668" s="14">
        <f t="shared" si="158"/>
        <v>0.01957423778</v>
      </c>
    </row>
    <row r="1669" ht="15.75" hidden="1" customHeight="1">
      <c r="A1669" s="15" t="s">
        <v>183</v>
      </c>
      <c r="B1669" s="11" t="s">
        <v>197</v>
      </c>
      <c r="C1669" s="15"/>
      <c r="D1669" s="31" t="s">
        <v>15</v>
      </c>
      <c r="E1669" s="32">
        <v>1.0</v>
      </c>
      <c r="F1669" s="18">
        <f>E1669* 0.975464549882735</f>
        <v>0.9754645499</v>
      </c>
      <c r="G1669" s="18">
        <f>E1669* 0.00487100847916291</f>
        <v>0.004871008479</v>
      </c>
      <c r="H1669" s="18">
        <f>E1669* 0.0195742377773769</f>
        <v>0.01957423778</v>
      </c>
    </row>
    <row r="1670" ht="15.75" hidden="1" customHeight="1">
      <c r="A1670" s="15" t="s">
        <v>183</v>
      </c>
      <c r="B1670" s="33"/>
      <c r="C1670" s="33"/>
      <c r="D1670" s="34"/>
      <c r="E1670" s="35"/>
    </row>
    <row r="1671" ht="15.75" hidden="1" customHeight="1">
      <c r="A1671" s="15" t="s">
        <v>183</v>
      </c>
      <c r="B1671" s="11" t="s">
        <v>198</v>
      </c>
      <c r="C1671" s="12" t="str">
        <f>B1671&amp;"_"&amp;A1671</f>
        <v>Pocoata_Potosí</v>
      </c>
      <c r="E1671" s="22">
        <v>9.0</v>
      </c>
      <c r="F1671" s="14">
        <f t="shared" ref="F1671:H1671" si="159">SUM(F1672:F1677)</f>
        <v>5.221054646</v>
      </c>
      <c r="G1671" s="14">
        <f t="shared" si="159"/>
        <v>3.672637211</v>
      </c>
      <c r="H1671" s="14">
        <f t="shared" si="159"/>
        <v>0.1046608316</v>
      </c>
    </row>
    <row r="1672" ht="15.75" hidden="1" customHeight="1">
      <c r="A1672" s="15" t="s">
        <v>183</v>
      </c>
      <c r="B1672" s="11" t="s">
        <v>198</v>
      </c>
      <c r="C1672" s="15"/>
      <c r="D1672" s="31" t="s">
        <v>15</v>
      </c>
      <c r="E1672" s="32">
        <v>0.0</v>
      </c>
      <c r="F1672" s="18">
        <f>E1672* 0.975464549882735</f>
        <v>0</v>
      </c>
      <c r="G1672" s="18">
        <f>E1672* 0.00487100847916291</f>
        <v>0</v>
      </c>
      <c r="H1672" s="18">
        <f>E1672* 0.0195742377773769</f>
        <v>0</v>
      </c>
    </row>
    <row r="1673" ht="15.75" hidden="1" customHeight="1">
      <c r="A1673" s="15" t="s">
        <v>183</v>
      </c>
      <c r="B1673" s="11" t="s">
        <v>198</v>
      </c>
      <c r="C1673" s="15"/>
      <c r="D1673" s="31" t="s">
        <v>11</v>
      </c>
      <c r="E1673" s="32">
        <v>4.0</v>
      </c>
      <c r="F1673" s="18">
        <f>E1673* 0.175725756639901</f>
        <v>0.7029030266</v>
      </c>
      <c r="G1673" s="18">
        <f>E1673* 0.823656578134651</f>
        <v>3.294626313</v>
      </c>
      <c r="H1673" s="18">
        <f>E1673* 0.000617665225447807</f>
        <v>0.002470660902</v>
      </c>
    </row>
    <row r="1674" ht="15.75" hidden="1" customHeight="1">
      <c r="A1674" s="15" t="s">
        <v>183</v>
      </c>
      <c r="B1674" s="11" t="s">
        <v>198</v>
      </c>
      <c r="C1674" s="15"/>
      <c r="D1674" s="31" t="s">
        <v>18</v>
      </c>
      <c r="E1674" s="32">
        <v>3.0</v>
      </c>
      <c r="F1674" s="18">
        <f>E1674* 0.941463414634146</f>
        <v>2.824390244</v>
      </c>
      <c r="G1674" s="18">
        <f>E1674* 0.0532833020637899</f>
        <v>0.1598499062</v>
      </c>
      <c r="H1674" s="18">
        <f>E1674* 0.00487804878048781</f>
        <v>0.01463414634</v>
      </c>
    </row>
    <row r="1675" ht="15.75" hidden="1" customHeight="1">
      <c r="A1675" s="15" t="s">
        <v>183</v>
      </c>
      <c r="B1675" s="11" t="s">
        <v>198</v>
      </c>
      <c r="C1675" s="15"/>
      <c r="D1675" s="31" t="s">
        <v>19</v>
      </c>
      <c r="E1675" s="32">
        <v>0.0</v>
      </c>
      <c r="F1675" s="18">
        <f>E1675* 0.0748299319727891</f>
        <v>0</v>
      </c>
      <c r="G1675" s="18">
        <f>E1675* 0.924036281179138</f>
        <v>0</v>
      </c>
      <c r="H1675" s="18">
        <f>E1675* 0.00113378684807256</f>
        <v>0</v>
      </c>
    </row>
    <row r="1676" ht="15.75" hidden="1" customHeight="1">
      <c r="A1676" s="15" t="s">
        <v>183</v>
      </c>
      <c r="B1676" s="11" t="s">
        <v>198</v>
      </c>
      <c r="C1676" s="15"/>
      <c r="D1676" s="31" t="s">
        <v>20</v>
      </c>
      <c r="E1676" s="32">
        <v>1.0</v>
      </c>
      <c r="F1676" s="18">
        <f>E1676* 0.799709724238026</f>
        <v>0.7997097242</v>
      </c>
      <c r="G1676" s="18">
        <f>E1676* 0.150580551523948</f>
        <v>0.1505805515</v>
      </c>
      <c r="H1676" s="18">
        <f>E1676* 0.0493468795355588</f>
        <v>0.04934687954</v>
      </c>
    </row>
    <row r="1677" ht="15.75" hidden="1" customHeight="1">
      <c r="A1677" s="15" t="s">
        <v>183</v>
      </c>
      <c r="B1677" s="11" t="s">
        <v>198</v>
      </c>
      <c r="C1677" s="15"/>
      <c r="D1677" s="31" t="s">
        <v>12</v>
      </c>
      <c r="E1677" s="32">
        <v>1.0</v>
      </c>
      <c r="F1677" s="18">
        <f>E1677* 0.894051651143099</f>
        <v>0.8940516511</v>
      </c>
      <c r="G1677" s="18">
        <f>E1677* 0.0675804403048264</f>
        <v>0.0675804403</v>
      </c>
      <c r="H1677" s="18">
        <f>E1677* 0.0382091447925487</f>
        <v>0.03820914479</v>
      </c>
    </row>
    <row r="1678" ht="15.75" hidden="1" customHeight="1">
      <c r="A1678" s="15" t="s">
        <v>183</v>
      </c>
      <c r="B1678" s="33"/>
      <c r="C1678" s="33"/>
      <c r="D1678" s="34"/>
      <c r="E1678" s="35"/>
    </row>
    <row r="1679" ht="15.75" hidden="1" customHeight="1">
      <c r="A1679" s="15" t="s">
        <v>183</v>
      </c>
      <c r="B1679" s="11" t="s">
        <v>199</v>
      </c>
      <c r="C1679" s="12" t="str">
        <f>B1679&amp;"_"&amp;A1679</f>
        <v>Porco_Potosí</v>
      </c>
      <c r="E1679" s="22">
        <v>226.0</v>
      </c>
      <c r="F1679" s="14">
        <f t="shared" ref="F1679:H1679" si="160">SUM(F1680:F1691)</f>
        <v>138.4288718</v>
      </c>
      <c r="G1679" s="14">
        <f t="shared" si="160"/>
        <v>81.8352968</v>
      </c>
      <c r="H1679" s="14">
        <f t="shared" si="160"/>
        <v>5.706108534</v>
      </c>
    </row>
    <row r="1680" ht="15.75" hidden="1" customHeight="1">
      <c r="A1680" s="15" t="s">
        <v>183</v>
      </c>
      <c r="B1680" s="11" t="s">
        <v>199</v>
      </c>
      <c r="C1680" s="15"/>
      <c r="D1680" s="31" t="s">
        <v>14</v>
      </c>
      <c r="E1680" s="32">
        <v>0.0</v>
      </c>
      <c r="F1680" s="20">
        <v>0.0</v>
      </c>
      <c r="G1680" s="24">
        <f>E1680</f>
        <v>0</v>
      </c>
      <c r="H1680" s="20">
        <v>0.0</v>
      </c>
    </row>
    <row r="1681" ht="15.75" hidden="1" customHeight="1">
      <c r="A1681" s="15" t="s">
        <v>183</v>
      </c>
      <c r="B1681" s="11" t="s">
        <v>199</v>
      </c>
      <c r="C1681" s="15"/>
      <c r="D1681" s="31" t="s">
        <v>15</v>
      </c>
      <c r="E1681" s="32">
        <v>7.0</v>
      </c>
      <c r="F1681" s="18">
        <f>E1681* 0.975464549882735</f>
        <v>6.828251849</v>
      </c>
      <c r="G1681" s="18">
        <f>E1681* 0.00487100847916291</f>
        <v>0.03409705935</v>
      </c>
      <c r="H1681" s="18">
        <f>E1681* 0.0195742377773769</f>
        <v>0.1370196644</v>
      </c>
    </row>
    <row r="1682" ht="15.75" hidden="1" customHeight="1">
      <c r="A1682" s="15" t="s">
        <v>183</v>
      </c>
      <c r="B1682" s="11" t="s">
        <v>199</v>
      </c>
      <c r="C1682" s="15"/>
      <c r="D1682" s="31" t="s">
        <v>16</v>
      </c>
      <c r="E1682" s="32">
        <v>3.0</v>
      </c>
      <c r="F1682" s="18">
        <f>E1682* 0.0607843137254902</f>
        <v>0.1823529412</v>
      </c>
      <c r="G1682" s="18">
        <f>E1682* 0.93921568627451</f>
        <v>2.817647059</v>
      </c>
      <c r="H1682" s="20">
        <v>0.0</v>
      </c>
    </row>
    <row r="1683" ht="15.75" hidden="1" customHeight="1">
      <c r="A1683" s="15" t="s">
        <v>183</v>
      </c>
      <c r="B1683" s="11" t="s">
        <v>199</v>
      </c>
      <c r="C1683" s="15"/>
      <c r="D1683" s="31" t="s">
        <v>11</v>
      </c>
      <c r="E1683" s="32">
        <v>78.0</v>
      </c>
      <c r="F1683" s="18">
        <f>E1683* 0.175725756639901</f>
        <v>13.70660902</v>
      </c>
      <c r="G1683" s="18">
        <f>E1683* 0.823656578134651</f>
        <v>64.24521309</v>
      </c>
      <c r="H1683" s="18">
        <f>E1683* 0.000617665225447807</f>
        <v>0.04817788758</v>
      </c>
    </row>
    <row r="1684" ht="15.75" hidden="1" customHeight="1">
      <c r="A1684" s="15" t="s">
        <v>183</v>
      </c>
      <c r="B1684" s="11" t="s">
        <v>199</v>
      </c>
      <c r="C1684" s="15"/>
      <c r="D1684" s="31" t="s">
        <v>17</v>
      </c>
      <c r="E1684" s="32">
        <v>26.0</v>
      </c>
      <c r="F1684" s="18">
        <f>E1684* 0.869679539852095</f>
        <v>22.61166804</v>
      </c>
      <c r="G1684" s="18">
        <f>E1684* 0.0695152013147083</f>
        <v>1.807395234</v>
      </c>
      <c r="H1684" s="18">
        <f>E1684* 0.0608052588331964</f>
        <v>1.58093673</v>
      </c>
    </row>
    <row r="1685" ht="15.75" hidden="1" customHeight="1">
      <c r="A1685" s="15" t="s">
        <v>183</v>
      </c>
      <c r="B1685" s="11" t="s">
        <v>199</v>
      </c>
      <c r="C1685" s="15"/>
      <c r="D1685" s="31" t="s">
        <v>31</v>
      </c>
      <c r="E1685" s="32">
        <v>2.0</v>
      </c>
      <c r="F1685" s="18">
        <f>E1685* 0.93</f>
        <v>1.86</v>
      </c>
      <c r="G1685" s="18">
        <f>F1685* 0.05</f>
        <v>0.093</v>
      </c>
      <c r="H1685" s="18">
        <f>E1685* 0.02</f>
        <v>0.04</v>
      </c>
    </row>
    <row r="1686" ht="15.75" hidden="1" customHeight="1">
      <c r="A1686" s="15" t="s">
        <v>183</v>
      </c>
      <c r="B1686" s="11" t="s">
        <v>199</v>
      </c>
      <c r="C1686" s="15"/>
      <c r="D1686" s="31" t="s">
        <v>18</v>
      </c>
      <c r="E1686" s="32">
        <v>2.0</v>
      </c>
      <c r="F1686" s="18">
        <f>E1686* 0.941463414634146</f>
        <v>1.882926829</v>
      </c>
      <c r="G1686" s="18">
        <f>E1686* 0.0532833020637899</f>
        <v>0.1065666041</v>
      </c>
      <c r="H1686" s="18">
        <f>E1686* 0.00487804878048781</f>
        <v>0.009756097561</v>
      </c>
    </row>
    <row r="1687" ht="15.75" hidden="1" customHeight="1">
      <c r="A1687" s="15" t="s">
        <v>183</v>
      </c>
      <c r="B1687" s="11" t="s">
        <v>199</v>
      </c>
      <c r="C1687" s="15"/>
      <c r="D1687" s="31" t="s">
        <v>19</v>
      </c>
      <c r="E1687" s="32">
        <v>3.0</v>
      </c>
      <c r="F1687" s="18">
        <f>E1687* 0.0748299319727891</f>
        <v>0.2244897959</v>
      </c>
      <c r="G1687" s="18">
        <f>E1687* 0.924036281179138</f>
        <v>2.772108844</v>
      </c>
      <c r="H1687" s="18">
        <f>E1687* 0.00113378684807256</f>
        <v>0.003401360544</v>
      </c>
    </row>
    <row r="1688" ht="15.75" hidden="1" customHeight="1">
      <c r="A1688" s="15" t="s">
        <v>183</v>
      </c>
      <c r="B1688" s="11" t="s">
        <v>199</v>
      </c>
      <c r="C1688" s="15"/>
      <c r="D1688" s="31" t="s">
        <v>20</v>
      </c>
      <c r="E1688" s="32">
        <v>33.0</v>
      </c>
      <c r="F1688" s="18">
        <f>E1688* 0.799709724238026</f>
        <v>26.3904209</v>
      </c>
      <c r="G1688" s="18">
        <f>E1688* 0.150580551523948</f>
        <v>4.9691582</v>
      </c>
      <c r="H1688" s="18">
        <f>E1688* 0.0493468795355588</f>
        <v>1.628447025</v>
      </c>
    </row>
    <row r="1689" ht="15.75" hidden="1" customHeight="1">
      <c r="A1689" s="15" t="s">
        <v>183</v>
      </c>
      <c r="B1689" s="11" t="s">
        <v>199</v>
      </c>
      <c r="C1689" s="15"/>
      <c r="D1689" s="31" t="s">
        <v>21</v>
      </c>
      <c r="E1689" s="32">
        <v>12.0</v>
      </c>
      <c r="F1689" s="18">
        <f>E1689* 0.999328295549958</f>
        <v>11.99193955</v>
      </c>
      <c r="G1689" s="18">
        <f>E1689* 0.000335852225020991</f>
        <v>0.0040302267</v>
      </c>
      <c r="H1689" s="18">
        <f>E1689* 0.000335852225020991</f>
        <v>0.0040302267</v>
      </c>
    </row>
    <row r="1690" ht="15.75" hidden="1" customHeight="1">
      <c r="A1690" s="15" t="s">
        <v>183</v>
      </c>
      <c r="B1690" s="11" t="s">
        <v>199</v>
      </c>
      <c r="C1690" s="15"/>
      <c r="D1690" s="31" t="s">
        <v>28</v>
      </c>
      <c r="E1690" s="32">
        <v>1.0</v>
      </c>
      <c r="F1690" s="18">
        <f>E1690* 0.00116550116550117</f>
        <v>0.001165501166</v>
      </c>
      <c r="G1690" s="18">
        <f>E1690* 0.998834498834499</f>
        <v>0.9988344988</v>
      </c>
      <c r="H1690" s="20">
        <v>0.0</v>
      </c>
    </row>
    <row r="1691" ht="15.75" hidden="1" customHeight="1">
      <c r="A1691" s="15" t="s">
        <v>183</v>
      </c>
      <c r="B1691" s="11" t="s">
        <v>199</v>
      </c>
      <c r="C1691" s="15"/>
      <c r="D1691" s="31" t="s">
        <v>12</v>
      </c>
      <c r="E1691" s="32">
        <v>59.0</v>
      </c>
      <c r="F1691" s="18">
        <f>E1691* 0.894051651143099</f>
        <v>52.74904742</v>
      </c>
      <c r="G1691" s="18">
        <f>E1691* 0.0675804403048264</f>
        <v>3.987245978</v>
      </c>
      <c r="H1691" s="18">
        <f>E1691* 0.0382091447925487</f>
        <v>2.254339543</v>
      </c>
    </row>
    <row r="1692" ht="15.75" hidden="1" customHeight="1">
      <c r="A1692" s="15" t="s">
        <v>183</v>
      </c>
      <c r="B1692" s="33"/>
      <c r="C1692" s="33"/>
      <c r="D1692" s="34"/>
      <c r="E1692" s="35"/>
    </row>
    <row r="1693" ht="15.75" hidden="1" customHeight="1">
      <c r="A1693" s="15" t="s">
        <v>183</v>
      </c>
      <c r="B1693" s="11" t="s">
        <v>183</v>
      </c>
      <c r="C1693" s="12" t="str">
        <f>B1693&amp;"_"&amp;A1693</f>
        <v>Potosí_Potosí</v>
      </c>
      <c r="E1693" s="22">
        <v>44803.0</v>
      </c>
      <c r="F1693" s="14">
        <f t="shared" ref="F1693:H1693" si="161">SUM(F1694:F1708)</f>
        <v>35051.77469</v>
      </c>
      <c r="G1693" s="14">
        <f t="shared" si="161"/>
        <v>8615.655854</v>
      </c>
      <c r="H1693" s="14">
        <f t="shared" si="161"/>
        <v>1130.444712</v>
      </c>
    </row>
    <row r="1694" ht="15.75" hidden="1" customHeight="1">
      <c r="A1694" s="15" t="s">
        <v>183</v>
      </c>
      <c r="B1694" s="11" t="s">
        <v>183</v>
      </c>
      <c r="C1694" s="15"/>
      <c r="D1694" s="31" t="s">
        <v>14</v>
      </c>
      <c r="E1694" s="32">
        <v>0.0</v>
      </c>
      <c r="F1694" s="20">
        <v>0.0</v>
      </c>
      <c r="G1694" s="24">
        <f>E1694</f>
        <v>0</v>
      </c>
      <c r="H1694" s="20">
        <v>0.0</v>
      </c>
    </row>
    <row r="1695" ht="15.75" hidden="1" customHeight="1">
      <c r="A1695" s="15" t="s">
        <v>183</v>
      </c>
      <c r="B1695" s="11" t="s">
        <v>183</v>
      </c>
      <c r="C1695" s="15"/>
      <c r="D1695" s="31" t="s">
        <v>15</v>
      </c>
      <c r="E1695" s="32">
        <v>9956.0</v>
      </c>
      <c r="F1695" s="18">
        <f>E1695* 0.975464549882735</f>
        <v>9711.725059</v>
      </c>
      <c r="G1695" s="18">
        <f>E1695* 0.00487100847916291</f>
        <v>48.49576042</v>
      </c>
      <c r="H1695" s="18">
        <f>E1695* 0.0195742377773769</f>
        <v>194.8811113</v>
      </c>
    </row>
    <row r="1696" ht="15.75" hidden="1" customHeight="1">
      <c r="A1696" s="15" t="s">
        <v>183</v>
      </c>
      <c r="B1696" s="11" t="s">
        <v>183</v>
      </c>
      <c r="C1696" s="15"/>
      <c r="D1696" s="31" t="s">
        <v>16</v>
      </c>
      <c r="E1696" s="32">
        <v>393.0</v>
      </c>
      <c r="F1696" s="18">
        <f>E1696* 0.0607843137254902</f>
        <v>23.88823529</v>
      </c>
      <c r="G1696" s="18">
        <f>E1696* 0.93921568627451</f>
        <v>369.1117647</v>
      </c>
      <c r="H1696" s="20">
        <v>0.0</v>
      </c>
    </row>
    <row r="1697" ht="15.75" hidden="1" customHeight="1">
      <c r="A1697" s="15" t="s">
        <v>183</v>
      </c>
      <c r="B1697" s="11" t="s">
        <v>183</v>
      </c>
      <c r="C1697" s="15"/>
      <c r="D1697" s="31" t="s">
        <v>11</v>
      </c>
      <c r="E1697" s="32">
        <v>5152.0</v>
      </c>
      <c r="F1697" s="18">
        <f>E1697* 0.175725756639901</f>
        <v>905.3390982</v>
      </c>
      <c r="G1697" s="18">
        <f>E1697* 0.823656578134651</f>
        <v>4243.478691</v>
      </c>
      <c r="H1697" s="18">
        <f>E1697* 0.000617665225447807</f>
        <v>3.182211242</v>
      </c>
    </row>
    <row r="1698" ht="15.75" hidden="1" customHeight="1">
      <c r="A1698" s="15" t="s">
        <v>183</v>
      </c>
      <c r="B1698" s="11" t="s">
        <v>183</v>
      </c>
      <c r="C1698" s="15"/>
      <c r="D1698" s="31" t="s">
        <v>17</v>
      </c>
      <c r="E1698" s="32">
        <v>4525.0</v>
      </c>
      <c r="F1698" s="18">
        <f>E1698* 0.869679539852095</f>
        <v>3935.299918</v>
      </c>
      <c r="G1698" s="18">
        <f>E1698* 0.0695152013147083</f>
        <v>314.5562859</v>
      </c>
      <c r="H1698" s="18">
        <f>E1698* 0.0608052588331964</f>
        <v>275.1437962</v>
      </c>
    </row>
    <row r="1699" ht="15.75" hidden="1" customHeight="1">
      <c r="A1699" s="15" t="s">
        <v>183</v>
      </c>
      <c r="B1699" s="11" t="s">
        <v>183</v>
      </c>
      <c r="C1699" s="15"/>
      <c r="D1699" s="31" t="s">
        <v>31</v>
      </c>
      <c r="E1699" s="32">
        <v>83.0</v>
      </c>
      <c r="F1699" s="18">
        <f>E1699* 0.93</f>
        <v>77.19</v>
      </c>
      <c r="G1699" s="18">
        <f>F1699* 0.05</f>
        <v>3.8595</v>
      </c>
      <c r="H1699" s="18">
        <f>E1699* 0.02</f>
        <v>1.66</v>
      </c>
    </row>
    <row r="1700" ht="15.75" hidden="1" customHeight="1">
      <c r="A1700" s="15" t="s">
        <v>183</v>
      </c>
      <c r="B1700" s="11" t="s">
        <v>183</v>
      </c>
      <c r="C1700" s="15"/>
      <c r="D1700" s="31" t="s">
        <v>18</v>
      </c>
      <c r="E1700" s="32">
        <v>2363.0</v>
      </c>
      <c r="F1700" s="18">
        <f>E1700* 0.941463414634146</f>
        <v>2224.678049</v>
      </c>
      <c r="G1700" s="18">
        <f>E1700* 0.0532833020637899</f>
        <v>125.9084428</v>
      </c>
      <c r="H1700" s="18">
        <f>E1700* 0.00487804878048781</f>
        <v>11.52682927</v>
      </c>
    </row>
    <row r="1701" ht="15.75" hidden="1" customHeight="1">
      <c r="A1701" s="15" t="s">
        <v>183</v>
      </c>
      <c r="B1701" s="11" t="s">
        <v>183</v>
      </c>
      <c r="C1701" s="15"/>
      <c r="D1701" s="31" t="s">
        <v>35</v>
      </c>
      <c r="E1701" s="32">
        <v>0.0</v>
      </c>
      <c r="F1701" s="20">
        <v>0.0</v>
      </c>
      <c r="G1701" s="24">
        <f>E1701</f>
        <v>0</v>
      </c>
      <c r="H1701" s="20">
        <v>0.0</v>
      </c>
    </row>
    <row r="1702" ht="15.75" hidden="1" customHeight="1">
      <c r="A1702" s="15" t="s">
        <v>183</v>
      </c>
      <c r="B1702" s="11" t="s">
        <v>183</v>
      </c>
      <c r="C1702" s="15"/>
      <c r="D1702" s="31" t="s">
        <v>19</v>
      </c>
      <c r="E1702" s="32">
        <v>1590.0</v>
      </c>
      <c r="F1702" s="18">
        <f>E1702* 0.0748299319727891</f>
        <v>118.9795918</v>
      </c>
      <c r="G1702" s="18">
        <f>E1702* 0.924036281179138</f>
        <v>1469.217687</v>
      </c>
      <c r="H1702" s="18">
        <f>E1702* 0.00113378684807256</f>
        <v>1.802721088</v>
      </c>
    </row>
    <row r="1703" ht="15.75" hidden="1" customHeight="1">
      <c r="A1703" s="15" t="s">
        <v>183</v>
      </c>
      <c r="B1703" s="11" t="s">
        <v>183</v>
      </c>
      <c r="C1703" s="15"/>
      <c r="D1703" s="31" t="s">
        <v>20</v>
      </c>
      <c r="E1703" s="32">
        <v>2448.0</v>
      </c>
      <c r="F1703" s="18">
        <f>E1703* 0.799709724238026</f>
        <v>1957.689405</v>
      </c>
      <c r="G1703" s="18">
        <f>E1703* 0.150580551523948</f>
        <v>368.6211901</v>
      </c>
      <c r="H1703" s="18">
        <f>E1703* 0.0493468795355588</f>
        <v>120.8011611</v>
      </c>
    </row>
    <row r="1704" ht="15.75" hidden="1" customHeight="1">
      <c r="A1704" s="15" t="s">
        <v>183</v>
      </c>
      <c r="B1704" s="11" t="s">
        <v>183</v>
      </c>
      <c r="C1704" s="15"/>
      <c r="D1704" s="31" t="s">
        <v>21</v>
      </c>
      <c r="E1704" s="32">
        <v>3888.0</v>
      </c>
      <c r="F1704" s="18">
        <f>E1704* 0.999328295549958</f>
        <v>3885.388413</v>
      </c>
      <c r="G1704" s="18">
        <f>E1704* 0.000335852225020991</f>
        <v>1.305793451</v>
      </c>
      <c r="H1704" s="18">
        <f>E1704* 0.000335852225020991</f>
        <v>1.305793451</v>
      </c>
    </row>
    <row r="1705" ht="15.75" hidden="1" customHeight="1">
      <c r="A1705" s="15" t="s">
        <v>183</v>
      </c>
      <c r="B1705" s="11" t="s">
        <v>183</v>
      </c>
      <c r="C1705" s="15"/>
      <c r="D1705" s="31" t="s">
        <v>36</v>
      </c>
      <c r="E1705" s="32">
        <v>40.0</v>
      </c>
      <c r="F1705" s="24">
        <f>E1705</f>
        <v>40</v>
      </c>
      <c r="G1705" s="20">
        <v>0.0</v>
      </c>
      <c r="H1705" s="20">
        <v>0.0</v>
      </c>
    </row>
    <row r="1706" ht="15.75" hidden="1" customHeight="1">
      <c r="A1706" s="15" t="s">
        <v>183</v>
      </c>
      <c r="B1706" s="11" t="s">
        <v>183</v>
      </c>
      <c r="C1706" s="15"/>
      <c r="D1706" s="31" t="s">
        <v>37</v>
      </c>
      <c r="E1706" s="32">
        <v>4.0</v>
      </c>
      <c r="F1706" s="20">
        <v>0.0</v>
      </c>
      <c r="G1706" s="24">
        <f>E1706</f>
        <v>4</v>
      </c>
      <c r="H1706" s="20">
        <v>0.0</v>
      </c>
    </row>
    <row r="1707" ht="15.75" hidden="1" customHeight="1">
      <c r="A1707" s="15" t="s">
        <v>183</v>
      </c>
      <c r="B1707" s="11" t="s">
        <v>183</v>
      </c>
      <c r="C1707" s="15"/>
      <c r="D1707" s="31" t="s">
        <v>28</v>
      </c>
      <c r="E1707" s="32">
        <v>748.0</v>
      </c>
      <c r="F1707" s="18">
        <f>E1707* 0.00116550116550117</f>
        <v>0.8717948718</v>
      </c>
      <c r="G1707" s="18">
        <f>E1707* 0.998834498834499</f>
        <v>747.1282051</v>
      </c>
      <c r="H1707" s="20">
        <v>0.0</v>
      </c>
    </row>
    <row r="1708" ht="15.75" hidden="1" customHeight="1">
      <c r="A1708" s="15" t="s">
        <v>183</v>
      </c>
      <c r="B1708" s="11" t="s">
        <v>183</v>
      </c>
      <c r="C1708" s="15"/>
      <c r="D1708" s="31" t="s">
        <v>12</v>
      </c>
      <c r="E1708" s="32">
        <v>13613.0</v>
      </c>
      <c r="F1708" s="18">
        <f>E1708* 0.894051651143099</f>
        <v>12170.72513</v>
      </c>
      <c r="G1708" s="18">
        <f>E1708* 0.0675804403048264</f>
        <v>919.9725339</v>
      </c>
      <c r="H1708" s="18">
        <f>E1708* 0.0382091447925487</f>
        <v>520.1410881</v>
      </c>
    </row>
    <row r="1709" ht="15.75" hidden="1" customHeight="1">
      <c r="A1709" s="15" t="s">
        <v>183</v>
      </c>
      <c r="B1709" s="33"/>
      <c r="C1709" s="33"/>
      <c r="D1709" s="34"/>
      <c r="E1709" s="35"/>
    </row>
    <row r="1710" ht="15.75" hidden="1" customHeight="1">
      <c r="A1710" s="15" t="s">
        <v>183</v>
      </c>
      <c r="B1710" s="11" t="s">
        <v>200</v>
      </c>
      <c r="C1710" s="12" t="str">
        <f>B1710&amp;"_"&amp;A1710</f>
        <v>Puna_Potosí</v>
      </c>
      <c r="E1710" s="22">
        <v>115.0</v>
      </c>
      <c r="F1710" s="14">
        <f t="shared" ref="F1710:H1710" si="162">SUM(F1711:F1721)</f>
        <v>92.24140877</v>
      </c>
      <c r="G1710" s="14">
        <f t="shared" si="162"/>
        <v>20.07131234</v>
      </c>
      <c r="H1710" s="14">
        <f t="shared" si="162"/>
        <v>2.680147275</v>
      </c>
    </row>
    <row r="1711" ht="15.75" hidden="1" customHeight="1">
      <c r="A1711" s="15" t="s">
        <v>183</v>
      </c>
      <c r="B1711" s="11" t="s">
        <v>200</v>
      </c>
      <c r="C1711" s="15"/>
      <c r="D1711" s="31" t="s">
        <v>14</v>
      </c>
      <c r="E1711" s="32">
        <v>0.0</v>
      </c>
      <c r="F1711" s="20">
        <v>0.0</v>
      </c>
      <c r="G1711" s="24">
        <f>E1711</f>
        <v>0</v>
      </c>
      <c r="H1711" s="20">
        <v>0.0</v>
      </c>
    </row>
    <row r="1712" ht="15.75" hidden="1" customHeight="1">
      <c r="A1712" s="15" t="s">
        <v>183</v>
      </c>
      <c r="B1712" s="11" t="s">
        <v>200</v>
      </c>
      <c r="C1712" s="15"/>
      <c r="D1712" s="31" t="s">
        <v>15</v>
      </c>
      <c r="E1712" s="32">
        <v>4.0</v>
      </c>
      <c r="F1712" s="18">
        <f>E1712* 0.975464549882735</f>
        <v>3.9018582</v>
      </c>
      <c r="G1712" s="18">
        <f>E1712* 0.00487100847916291</f>
        <v>0.01948403392</v>
      </c>
      <c r="H1712" s="18">
        <f>E1712* 0.0195742377773769</f>
        <v>0.07829695111</v>
      </c>
    </row>
    <row r="1713" ht="15.75" hidden="1" customHeight="1">
      <c r="A1713" s="15" t="s">
        <v>183</v>
      </c>
      <c r="B1713" s="11" t="s">
        <v>200</v>
      </c>
      <c r="C1713" s="15"/>
      <c r="D1713" s="31" t="s">
        <v>16</v>
      </c>
      <c r="E1713" s="32">
        <v>1.0</v>
      </c>
      <c r="F1713" s="18">
        <f>E1713* 0.0607843137254902</f>
        <v>0.06078431373</v>
      </c>
      <c r="G1713" s="18">
        <f>E1713* 0.93921568627451</f>
        <v>0.9392156863</v>
      </c>
      <c r="H1713" s="20">
        <v>0.0</v>
      </c>
    </row>
    <row r="1714" ht="15.75" hidden="1" customHeight="1">
      <c r="A1714" s="15" t="s">
        <v>183</v>
      </c>
      <c r="B1714" s="11" t="s">
        <v>200</v>
      </c>
      <c r="C1714" s="15"/>
      <c r="D1714" s="31" t="s">
        <v>11</v>
      </c>
      <c r="E1714" s="32">
        <v>18.0</v>
      </c>
      <c r="F1714" s="18">
        <f>E1714* 0.175725756639901</f>
        <v>3.16306362</v>
      </c>
      <c r="G1714" s="18">
        <f>E1714* 0.823656578134651</f>
        <v>14.82581841</v>
      </c>
      <c r="H1714" s="18">
        <f>E1714* 0.000617665225447807</f>
        <v>0.01111797406</v>
      </c>
    </row>
    <row r="1715" ht="15.75" hidden="1" customHeight="1">
      <c r="A1715" s="15" t="s">
        <v>183</v>
      </c>
      <c r="B1715" s="11" t="s">
        <v>200</v>
      </c>
      <c r="C1715" s="15"/>
      <c r="D1715" s="31" t="s">
        <v>17</v>
      </c>
      <c r="E1715" s="32">
        <v>22.0</v>
      </c>
      <c r="F1715" s="18">
        <f>E1715* 0.869679539852095</f>
        <v>19.13294988</v>
      </c>
      <c r="G1715" s="18">
        <f>E1715* 0.0695152013147083</f>
        <v>1.529334429</v>
      </c>
      <c r="H1715" s="18">
        <f>E1715* 0.0608052588331964</f>
        <v>1.337715694</v>
      </c>
    </row>
    <row r="1716" ht="15.75" hidden="1" customHeight="1">
      <c r="A1716" s="15" t="s">
        <v>183</v>
      </c>
      <c r="B1716" s="11" t="s">
        <v>200</v>
      </c>
      <c r="C1716" s="15"/>
      <c r="D1716" s="31" t="s">
        <v>18</v>
      </c>
      <c r="E1716" s="32">
        <v>1.0</v>
      </c>
      <c r="F1716" s="18">
        <f>E1716* 0.941463414634146</f>
        <v>0.9414634146</v>
      </c>
      <c r="G1716" s="18">
        <f>E1716* 0.0532833020637899</f>
        <v>0.05328330206</v>
      </c>
      <c r="H1716" s="18">
        <f>E1716* 0.00487804878048781</f>
        <v>0.00487804878</v>
      </c>
    </row>
    <row r="1717" ht="15.75" hidden="1" customHeight="1">
      <c r="A1717" s="15" t="s">
        <v>183</v>
      </c>
      <c r="B1717" s="11" t="s">
        <v>200</v>
      </c>
      <c r="C1717" s="15"/>
      <c r="D1717" s="31" t="s">
        <v>20</v>
      </c>
      <c r="E1717" s="32">
        <v>8.0</v>
      </c>
      <c r="F1717" s="18">
        <f>E1717* 0.799709724238026</f>
        <v>6.397677794</v>
      </c>
      <c r="G1717" s="18">
        <f>E1717* 0.150580551523948</f>
        <v>1.204644412</v>
      </c>
      <c r="H1717" s="18">
        <f>E1717* 0.0493468795355588</f>
        <v>0.3947750363</v>
      </c>
    </row>
    <row r="1718" ht="15.75" hidden="1" customHeight="1">
      <c r="A1718" s="15" t="s">
        <v>183</v>
      </c>
      <c r="B1718" s="11" t="s">
        <v>200</v>
      </c>
      <c r="C1718" s="15"/>
      <c r="D1718" s="31" t="s">
        <v>19</v>
      </c>
      <c r="E1718" s="32">
        <v>0.0</v>
      </c>
      <c r="F1718" s="18">
        <f>E1718* 0.0748299319727891</f>
        <v>0</v>
      </c>
      <c r="G1718" s="18">
        <f>E1718* 0.924036281179138</f>
        <v>0</v>
      </c>
      <c r="H1718" s="18">
        <f>E1718* 0.00113378684807256</f>
        <v>0</v>
      </c>
    </row>
    <row r="1719" ht="15.75" hidden="1" customHeight="1">
      <c r="A1719" s="15" t="s">
        <v>183</v>
      </c>
      <c r="B1719" s="11" t="s">
        <v>200</v>
      </c>
      <c r="C1719" s="15"/>
      <c r="D1719" s="31" t="s">
        <v>21</v>
      </c>
      <c r="E1719" s="32">
        <v>38.0</v>
      </c>
      <c r="F1719" s="18">
        <f>E1719* 0.999328295549958</f>
        <v>37.97447523</v>
      </c>
      <c r="G1719" s="18">
        <f>E1719* 0.000335852225020991</f>
        <v>0.01276238455</v>
      </c>
      <c r="H1719" s="18">
        <f>E1719* 0.000335852225020991</f>
        <v>0.01276238455</v>
      </c>
    </row>
    <row r="1720" ht="15.75" hidden="1" customHeight="1">
      <c r="A1720" s="15" t="s">
        <v>183</v>
      </c>
      <c r="B1720" s="11" t="s">
        <v>200</v>
      </c>
      <c r="C1720" s="15"/>
      <c r="D1720" s="31" t="s">
        <v>36</v>
      </c>
      <c r="E1720" s="32">
        <v>1.0</v>
      </c>
      <c r="F1720" s="24">
        <f>E1720</f>
        <v>1</v>
      </c>
      <c r="G1720" s="20">
        <v>0.0</v>
      </c>
      <c r="H1720" s="20">
        <v>0.0</v>
      </c>
    </row>
    <row r="1721" ht="15.75" hidden="1" customHeight="1">
      <c r="A1721" s="15" t="s">
        <v>183</v>
      </c>
      <c r="B1721" s="11" t="s">
        <v>200</v>
      </c>
      <c r="C1721" s="15"/>
      <c r="D1721" s="31" t="s">
        <v>12</v>
      </c>
      <c r="E1721" s="32">
        <v>22.0</v>
      </c>
      <c r="F1721" s="18">
        <f>E1721* 0.894051651143099</f>
        <v>19.66913633</v>
      </c>
      <c r="G1721" s="18">
        <f>E1721* 0.0675804403048264</f>
        <v>1.486769687</v>
      </c>
      <c r="H1721" s="18">
        <f>E1721* 0.0382091447925487</f>
        <v>0.8406011854</v>
      </c>
    </row>
    <row r="1722" ht="15.75" hidden="1" customHeight="1">
      <c r="A1722" s="15" t="s">
        <v>183</v>
      </c>
      <c r="B1722" s="33"/>
      <c r="C1722" s="33"/>
      <c r="D1722" s="34"/>
      <c r="E1722" s="35"/>
    </row>
    <row r="1723" ht="15.75" hidden="1" customHeight="1">
      <c r="A1723" s="15" t="s">
        <v>183</v>
      </c>
      <c r="B1723" s="11" t="s">
        <v>201</v>
      </c>
      <c r="C1723" s="12" t="str">
        <f>B1723&amp;"_"&amp;A1723</f>
        <v>Ravelo_Potosí</v>
      </c>
      <c r="E1723" s="22">
        <v>2.0</v>
      </c>
      <c r="F1723" s="14">
        <f t="shared" ref="F1723:H1723" si="163">SUM(F1724:F1725)</f>
        <v>1.117189171</v>
      </c>
      <c r="G1723" s="14">
        <f t="shared" si="163"/>
        <v>0.8769398802</v>
      </c>
      <c r="H1723" s="14">
        <f t="shared" si="163"/>
        <v>0.005495714006</v>
      </c>
    </row>
    <row r="1724" ht="15.75" hidden="1" customHeight="1">
      <c r="A1724" s="15" t="s">
        <v>183</v>
      </c>
      <c r="B1724" s="11" t="s">
        <v>201</v>
      </c>
      <c r="C1724" s="15"/>
      <c r="D1724" s="31" t="s">
        <v>11</v>
      </c>
      <c r="E1724" s="32">
        <v>1.0</v>
      </c>
      <c r="F1724" s="18">
        <f>E1724* 0.175725756639901</f>
        <v>0.1757257566</v>
      </c>
      <c r="G1724" s="18">
        <f>E1724* 0.823656578134651</f>
        <v>0.8236565781</v>
      </c>
      <c r="H1724" s="18">
        <f>E1724* 0.000617665225447807</f>
        <v>0.0006176652254</v>
      </c>
    </row>
    <row r="1725" ht="15.75" hidden="1" customHeight="1">
      <c r="A1725" s="15" t="s">
        <v>183</v>
      </c>
      <c r="B1725" s="11" t="s">
        <v>201</v>
      </c>
      <c r="C1725" s="15"/>
      <c r="D1725" s="31" t="s">
        <v>18</v>
      </c>
      <c r="E1725" s="32">
        <v>1.0</v>
      </c>
      <c r="F1725" s="18">
        <f>E1725* 0.941463414634146</f>
        <v>0.9414634146</v>
      </c>
      <c r="G1725" s="18">
        <f>E1725* 0.0532833020637899</f>
        <v>0.05328330206</v>
      </c>
      <c r="H1725" s="18">
        <f>E1725* 0.00487804878048781</f>
        <v>0.00487804878</v>
      </c>
    </row>
    <row r="1726" ht="15.75" hidden="1" customHeight="1">
      <c r="A1726" s="15" t="s">
        <v>183</v>
      </c>
      <c r="B1726" s="33"/>
      <c r="C1726" s="33"/>
      <c r="D1726" s="34"/>
      <c r="E1726" s="35"/>
    </row>
    <row r="1727" ht="15.75" hidden="1" customHeight="1">
      <c r="A1727" s="15" t="s">
        <v>183</v>
      </c>
      <c r="B1727" s="11" t="s">
        <v>202</v>
      </c>
      <c r="C1727" s="12" t="str">
        <f>B1727&amp;"_"&amp;A1727</f>
        <v>San Antonio de Esmoruco_Potosí</v>
      </c>
      <c r="E1727" s="22">
        <v>2.0</v>
      </c>
      <c r="F1727" s="14">
        <f t="shared" ref="F1727:H1727" si="164">SUM(F1728:F1729)</f>
        <v>1.045405296</v>
      </c>
      <c r="G1727" s="14">
        <f t="shared" si="164"/>
        <v>0.8931717794</v>
      </c>
      <c r="H1727" s="14">
        <f t="shared" si="164"/>
        <v>0.06142292406</v>
      </c>
    </row>
    <row r="1728" ht="15.75" hidden="1" customHeight="1">
      <c r="A1728" s="15" t="s">
        <v>183</v>
      </c>
      <c r="B1728" s="11" t="s">
        <v>202</v>
      </c>
      <c r="C1728" s="15"/>
      <c r="D1728" s="31" t="s">
        <v>11</v>
      </c>
      <c r="E1728" s="32">
        <v>1.0</v>
      </c>
      <c r="F1728" s="18">
        <f>E1728* 0.175725756639901</f>
        <v>0.1757257566</v>
      </c>
      <c r="G1728" s="18">
        <f>E1728* 0.823656578134651</f>
        <v>0.8236565781</v>
      </c>
      <c r="H1728" s="18">
        <f>E1728* 0.000617665225447807</f>
        <v>0.0006176652254</v>
      </c>
    </row>
    <row r="1729" ht="15.75" hidden="1" customHeight="1">
      <c r="A1729" s="15" t="s">
        <v>183</v>
      </c>
      <c r="B1729" s="11" t="s">
        <v>202</v>
      </c>
      <c r="C1729" s="15"/>
      <c r="D1729" s="31" t="s">
        <v>17</v>
      </c>
      <c r="E1729" s="32">
        <v>1.0</v>
      </c>
      <c r="F1729" s="18">
        <f>E1729* 0.869679539852095</f>
        <v>0.8696795399</v>
      </c>
      <c r="G1729" s="18">
        <f>E1729* 0.0695152013147083</f>
        <v>0.06951520131</v>
      </c>
      <c r="H1729" s="18">
        <f>E1729* 0.0608052588331964</f>
        <v>0.06080525883</v>
      </c>
    </row>
    <row r="1730" ht="15.75" hidden="1" customHeight="1">
      <c r="A1730" s="15" t="s">
        <v>183</v>
      </c>
      <c r="B1730" s="33"/>
      <c r="C1730" s="33"/>
      <c r="D1730" s="34"/>
      <c r="E1730" s="35"/>
    </row>
    <row r="1731" ht="15.75" hidden="1" customHeight="1">
      <c r="A1731" s="15" t="s">
        <v>183</v>
      </c>
      <c r="B1731" s="11" t="s">
        <v>203</v>
      </c>
      <c r="C1731" s="12" t="str">
        <f>B1731&amp;"_"&amp;A1731</f>
        <v>San Pedro de Buena Vista_Potosí</v>
      </c>
      <c r="E1731" s="22">
        <v>1.0</v>
      </c>
      <c r="F1731" s="14">
        <f t="shared" ref="F1731:H1731" si="165">SUM(F1732:F1733)</f>
        <v>0.1757257566</v>
      </c>
      <c r="G1731" s="14">
        <f t="shared" si="165"/>
        <v>0.8236565781</v>
      </c>
      <c r="H1731" s="14">
        <f t="shared" si="165"/>
        <v>0.0006176652254</v>
      </c>
    </row>
    <row r="1732" ht="15.75" hidden="1" customHeight="1">
      <c r="A1732" s="15" t="s">
        <v>183</v>
      </c>
      <c r="B1732" s="11" t="s">
        <v>203</v>
      </c>
      <c r="C1732" s="15"/>
      <c r="D1732" s="31" t="s">
        <v>11</v>
      </c>
      <c r="E1732" s="32">
        <v>1.0</v>
      </c>
      <c r="F1732" s="18">
        <f>E1732* 0.175725756639901</f>
        <v>0.1757257566</v>
      </c>
      <c r="G1732" s="18">
        <f>E1732* 0.823656578134651</f>
        <v>0.8236565781</v>
      </c>
      <c r="H1732" s="18">
        <f>E1732* 0.000617665225447807</f>
        <v>0.0006176652254</v>
      </c>
    </row>
    <row r="1733" ht="15.75" hidden="1" customHeight="1">
      <c r="A1733" s="15" t="s">
        <v>183</v>
      </c>
      <c r="B1733" s="11" t="s">
        <v>203</v>
      </c>
      <c r="C1733" s="15"/>
      <c r="D1733" s="31" t="s">
        <v>17</v>
      </c>
      <c r="E1733" s="32">
        <v>0.0</v>
      </c>
      <c r="F1733" s="18">
        <f>E1733* 0.869679539852095</f>
        <v>0</v>
      </c>
      <c r="G1733" s="18">
        <f>E1733* 0.0695152013147083</f>
        <v>0</v>
      </c>
      <c r="H1733" s="18">
        <f>E1733* 0.0608052588331964</f>
        <v>0</v>
      </c>
    </row>
    <row r="1734" ht="15.75" hidden="1" customHeight="1">
      <c r="A1734" s="15" t="s">
        <v>183</v>
      </c>
      <c r="B1734" s="33"/>
      <c r="C1734" s="33"/>
      <c r="D1734" s="34"/>
      <c r="E1734" s="35"/>
    </row>
    <row r="1735" ht="15.75" hidden="1" customHeight="1">
      <c r="A1735" s="15" t="s">
        <v>183</v>
      </c>
      <c r="B1735" s="11" t="s">
        <v>204</v>
      </c>
      <c r="C1735" s="12" t="str">
        <f>B1735&amp;"_"&amp;A1735</f>
        <v>Tahua_Potosí</v>
      </c>
      <c r="E1735" s="22">
        <v>0.0</v>
      </c>
      <c r="F1735" s="14">
        <v>0.0</v>
      </c>
      <c r="G1735" s="14">
        <v>0.0</v>
      </c>
      <c r="H1735" s="14">
        <v>0.0</v>
      </c>
    </row>
    <row r="1736" ht="15.75" hidden="1" customHeight="1">
      <c r="A1736" s="15" t="s">
        <v>183</v>
      </c>
      <c r="B1736" s="11" t="s">
        <v>204</v>
      </c>
      <c r="C1736" s="15"/>
      <c r="D1736" s="31" t="s">
        <v>11</v>
      </c>
      <c r="E1736" s="32">
        <v>0.0</v>
      </c>
      <c r="F1736" s="18">
        <f>E1736* 0.175725756639901</f>
        <v>0</v>
      </c>
      <c r="G1736" s="18">
        <f>E1736* 0.823656578134651</f>
        <v>0</v>
      </c>
      <c r="H1736" s="18">
        <f>E1736* 0.000617665225447807</f>
        <v>0</v>
      </c>
    </row>
    <row r="1737" ht="15.75" hidden="1" customHeight="1">
      <c r="A1737" s="15" t="s">
        <v>183</v>
      </c>
      <c r="B1737" s="11" t="s">
        <v>204</v>
      </c>
      <c r="C1737" s="15"/>
      <c r="D1737" s="31" t="s">
        <v>20</v>
      </c>
      <c r="E1737" s="32">
        <v>0.0</v>
      </c>
      <c r="F1737" s="18">
        <f>E1737* 0.799709724238026</f>
        <v>0</v>
      </c>
      <c r="G1737" s="18">
        <f>E1737* 0.150580551523948</f>
        <v>0</v>
      </c>
      <c r="H1737" s="18">
        <f>E1737* 0.0493468795355588</f>
        <v>0</v>
      </c>
    </row>
    <row r="1738" ht="15.75" hidden="1" customHeight="1">
      <c r="A1738" s="15" t="s">
        <v>183</v>
      </c>
      <c r="B1738" s="33"/>
      <c r="C1738" s="33"/>
      <c r="D1738" s="34"/>
      <c r="E1738" s="35"/>
    </row>
    <row r="1739" ht="15.75" hidden="1" customHeight="1">
      <c r="A1739" s="15" t="s">
        <v>183</v>
      </c>
      <c r="B1739" s="11" t="s">
        <v>205</v>
      </c>
      <c r="C1739" s="12" t="str">
        <f>B1739&amp;"_"&amp;A1739</f>
        <v>Tinquipaya_Potosí</v>
      </c>
      <c r="E1739" s="22">
        <v>0.0</v>
      </c>
      <c r="F1739" s="14">
        <v>0.0</v>
      </c>
      <c r="G1739" s="14">
        <v>0.0</v>
      </c>
      <c r="H1739" s="14">
        <v>0.0</v>
      </c>
    </row>
    <row r="1740" ht="15.75" hidden="1" customHeight="1">
      <c r="A1740" s="15" t="s">
        <v>183</v>
      </c>
      <c r="B1740" s="11" t="s">
        <v>205</v>
      </c>
      <c r="C1740" s="15"/>
      <c r="D1740" s="31" t="s">
        <v>17</v>
      </c>
      <c r="E1740" s="32">
        <v>0.0</v>
      </c>
      <c r="F1740" s="18">
        <f>E1740* 0.869679539852095</f>
        <v>0</v>
      </c>
      <c r="G1740" s="18">
        <f>E1740* 0.0695152013147083</f>
        <v>0</v>
      </c>
      <c r="H1740" s="18">
        <f>E1740* 0.0608052588331964</f>
        <v>0</v>
      </c>
    </row>
    <row r="1741" ht="15.75" hidden="1" customHeight="1">
      <c r="A1741" s="15" t="s">
        <v>183</v>
      </c>
      <c r="B1741" s="33"/>
      <c r="C1741" s="33"/>
      <c r="D1741" s="34"/>
      <c r="E1741" s="35"/>
    </row>
    <row r="1742" ht="15.75" hidden="1" customHeight="1">
      <c r="A1742" s="15" t="s">
        <v>183</v>
      </c>
      <c r="B1742" s="11" t="s">
        <v>206</v>
      </c>
      <c r="C1742" s="12" t="str">
        <f>B1742&amp;"_"&amp;A1742</f>
        <v>Tomave_Potosí</v>
      </c>
      <c r="E1742" s="22">
        <v>1.0</v>
      </c>
      <c r="F1742" s="14">
        <f t="shared" ref="F1742:H1742" si="166">F1743</f>
        <v>0.1757257566</v>
      </c>
      <c r="G1742" s="14">
        <f t="shared" si="166"/>
        <v>0.8236565781</v>
      </c>
      <c r="H1742" s="14">
        <f t="shared" si="166"/>
        <v>0.0006176652254</v>
      </c>
    </row>
    <row r="1743" ht="15.75" hidden="1" customHeight="1">
      <c r="A1743" s="15" t="s">
        <v>183</v>
      </c>
      <c r="B1743" s="11" t="s">
        <v>206</v>
      </c>
      <c r="C1743" s="15"/>
      <c r="D1743" s="31" t="s">
        <v>11</v>
      </c>
      <c r="E1743" s="32">
        <v>1.0</v>
      </c>
      <c r="F1743" s="18">
        <f>E1743* 0.175725756639901</f>
        <v>0.1757257566</v>
      </c>
      <c r="G1743" s="18">
        <f>E1743* 0.823656578134651</f>
        <v>0.8236565781</v>
      </c>
      <c r="H1743" s="18">
        <f>E1743* 0.000617665225447807</f>
        <v>0.0006176652254</v>
      </c>
    </row>
    <row r="1744" ht="15.75" hidden="1" customHeight="1">
      <c r="A1744" s="15" t="s">
        <v>183</v>
      </c>
      <c r="B1744" s="33"/>
      <c r="C1744" s="33"/>
      <c r="D1744" s="34"/>
      <c r="E1744" s="35"/>
    </row>
    <row r="1745" ht="15.75" hidden="1" customHeight="1">
      <c r="A1745" s="15" t="s">
        <v>183</v>
      </c>
      <c r="B1745" s="11" t="s">
        <v>207</v>
      </c>
      <c r="C1745" s="12" t="str">
        <f>B1745&amp;"_"&amp;A1745</f>
        <v>Tupiza_Potosí</v>
      </c>
      <c r="E1745" s="22">
        <v>3541.0</v>
      </c>
      <c r="F1745" s="14">
        <f t="shared" ref="F1745:H1745" si="167">SUM(F1746:F1758)</f>
        <v>2965.771586</v>
      </c>
      <c r="G1745" s="14">
        <f t="shared" si="167"/>
        <v>492.1721897</v>
      </c>
      <c r="H1745" s="14">
        <f t="shared" si="167"/>
        <v>82.78748937</v>
      </c>
    </row>
    <row r="1746" ht="15.75" hidden="1" customHeight="1">
      <c r="A1746" s="15" t="s">
        <v>183</v>
      </c>
      <c r="B1746" s="11" t="s">
        <v>207</v>
      </c>
      <c r="C1746" s="15"/>
      <c r="D1746" s="31" t="s">
        <v>14</v>
      </c>
      <c r="E1746" s="32">
        <v>0.0</v>
      </c>
      <c r="F1746" s="20">
        <v>0.0</v>
      </c>
      <c r="G1746" s="24">
        <f>E1746</f>
        <v>0</v>
      </c>
      <c r="H1746" s="20">
        <v>0.0</v>
      </c>
    </row>
    <row r="1747" ht="15.75" hidden="1" customHeight="1">
      <c r="A1747" s="15" t="s">
        <v>183</v>
      </c>
      <c r="B1747" s="11" t="s">
        <v>207</v>
      </c>
      <c r="C1747" s="15"/>
      <c r="D1747" s="31" t="s">
        <v>15</v>
      </c>
      <c r="E1747" s="32">
        <v>367.0</v>
      </c>
      <c r="F1747" s="18">
        <f>E1747* 0.975464549882735</f>
        <v>357.9954898</v>
      </c>
      <c r="G1747" s="18">
        <f>E1747* 0.00487100847916291</f>
        <v>1.787660112</v>
      </c>
      <c r="H1747" s="18">
        <f>E1747* 0.0195742377773769</f>
        <v>7.183745264</v>
      </c>
    </row>
    <row r="1748" ht="15.75" hidden="1" customHeight="1">
      <c r="A1748" s="15" t="s">
        <v>183</v>
      </c>
      <c r="B1748" s="11" t="s">
        <v>207</v>
      </c>
      <c r="C1748" s="15"/>
      <c r="D1748" s="31" t="s">
        <v>16</v>
      </c>
      <c r="E1748" s="32">
        <v>18.0</v>
      </c>
      <c r="F1748" s="18">
        <f>E1748* 0.0607843137254902</f>
        <v>1.094117647</v>
      </c>
      <c r="G1748" s="18">
        <f>E1748* 0.93921568627451</f>
        <v>16.90588235</v>
      </c>
      <c r="H1748" s="20">
        <v>0.0</v>
      </c>
    </row>
    <row r="1749" ht="15.75" hidden="1" customHeight="1">
      <c r="A1749" s="15" t="s">
        <v>183</v>
      </c>
      <c r="B1749" s="11" t="s">
        <v>207</v>
      </c>
      <c r="C1749" s="15"/>
      <c r="D1749" s="31" t="s">
        <v>11</v>
      </c>
      <c r="E1749" s="32">
        <v>319.0</v>
      </c>
      <c r="F1749" s="18">
        <f>E1749* 0.175725756639901</f>
        <v>56.05651637</v>
      </c>
      <c r="G1749" s="18">
        <f>E1749* 0.823656578134651</f>
        <v>262.7464484</v>
      </c>
      <c r="H1749" s="18">
        <f>E1749* 0.000617665225447807</f>
        <v>0.1970352069</v>
      </c>
    </row>
    <row r="1750" ht="15.75" hidden="1" customHeight="1">
      <c r="A1750" s="15" t="s">
        <v>183</v>
      </c>
      <c r="B1750" s="11" t="s">
        <v>207</v>
      </c>
      <c r="C1750" s="15"/>
      <c r="D1750" s="31" t="s">
        <v>17</v>
      </c>
      <c r="E1750" s="32">
        <v>497.0</v>
      </c>
      <c r="F1750" s="18">
        <f>E1750* 0.869679539852095</f>
        <v>432.2307313</v>
      </c>
      <c r="G1750" s="18">
        <f>E1750* 0.0695152013147083</f>
        <v>34.54905505</v>
      </c>
      <c r="H1750" s="18">
        <f>E1750* 0.0608052588331964</f>
        <v>30.22021364</v>
      </c>
    </row>
    <row r="1751" ht="15.75" hidden="1" customHeight="1">
      <c r="A1751" s="15" t="s">
        <v>183</v>
      </c>
      <c r="B1751" s="11" t="s">
        <v>207</v>
      </c>
      <c r="C1751" s="15"/>
      <c r="D1751" s="31" t="s">
        <v>31</v>
      </c>
      <c r="E1751" s="32">
        <v>2.0</v>
      </c>
      <c r="F1751" s="18">
        <f>E1751* 0.93</f>
        <v>1.86</v>
      </c>
      <c r="G1751" s="18">
        <f>F1751* 0.05</f>
        <v>0.093</v>
      </c>
      <c r="H1751" s="18">
        <f>E1751* 0.02</f>
        <v>0.04</v>
      </c>
    </row>
    <row r="1752" ht="15.75" hidden="1" customHeight="1">
      <c r="A1752" s="15" t="s">
        <v>183</v>
      </c>
      <c r="B1752" s="11" t="s">
        <v>207</v>
      </c>
      <c r="C1752" s="15"/>
      <c r="D1752" s="31" t="s">
        <v>18</v>
      </c>
      <c r="E1752" s="32">
        <v>102.0</v>
      </c>
      <c r="F1752" s="18">
        <f>E1752* 0.941463414634146</f>
        <v>96.02926829</v>
      </c>
      <c r="G1752" s="18">
        <f>E1752* 0.0532833020637899</f>
        <v>5.434896811</v>
      </c>
      <c r="H1752" s="18">
        <f>E1752* 0.00487804878048781</f>
        <v>0.4975609756</v>
      </c>
    </row>
    <row r="1753" ht="15.75" hidden="1" customHeight="1">
      <c r="A1753" s="15" t="s">
        <v>183</v>
      </c>
      <c r="B1753" s="11" t="s">
        <v>207</v>
      </c>
      <c r="C1753" s="15"/>
      <c r="D1753" s="31" t="s">
        <v>19</v>
      </c>
      <c r="E1753" s="32">
        <v>86.0</v>
      </c>
      <c r="F1753" s="18">
        <f>E1753* 0.0748299319727891</f>
        <v>6.43537415</v>
      </c>
      <c r="G1753" s="18">
        <f>E1753* 0.924036281179138</f>
        <v>79.46712018</v>
      </c>
      <c r="H1753" s="18">
        <f>E1753* 0.00113378684807256</f>
        <v>0.09750566893</v>
      </c>
    </row>
    <row r="1754" ht="15.75" hidden="1" customHeight="1">
      <c r="A1754" s="15" t="s">
        <v>183</v>
      </c>
      <c r="B1754" s="11" t="s">
        <v>207</v>
      </c>
      <c r="C1754" s="15"/>
      <c r="D1754" s="31" t="s">
        <v>20</v>
      </c>
      <c r="E1754" s="32">
        <v>42.0</v>
      </c>
      <c r="F1754" s="18">
        <f>E1754* 0.799709724238026</f>
        <v>33.58780842</v>
      </c>
      <c r="G1754" s="18">
        <f>E1754* 0.150580551523948</f>
        <v>6.324383164</v>
      </c>
      <c r="H1754" s="18">
        <f>E1754* 0.0493468795355588</f>
        <v>2.07256894</v>
      </c>
    </row>
    <row r="1755" ht="15.75" hidden="1" customHeight="1">
      <c r="A1755" s="15" t="s">
        <v>183</v>
      </c>
      <c r="B1755" s="11" t="s">
        <v>207</v>
      </c>
      <c r="C1755" s="15"/>
      <c r="D1755" s="31" t="s">
        <v>21</v>
      </c>
      <c r="E1755" s="32">
        <v>995.0</v>
      </c>
      <c r="F1755" s="18">
        <f>E1755* 0.999328295549958</f>
        <v>994.3316541</v>
      </c>
      <c r="G1755" s="18">
        <f>E1755* 0.000335852225020991</f>
        <v>0.3341729639</v>
      </c>
      <c r="H1755" s="18">
        <f>E1755* 0.000335852225020991</f>
        <v>0.3341729639</v>
      </c>
    </row>
    <row r="1756" ht="15.75" hidden="1" customHeight="1">
      <c r="A1756" s="15" t="s">
        <v>183</v>
      </c>
      <c r="B1756" s="11" t="s">
        <v>207</v>
      </c>
      <c r="C1756" s="15"/>
      <c r="D1756" s="31" t="s">
        <v>36</v>
      </c>
      <c r="E1756" s="32">
        <v>0.0</v>
      </c>
      <c r="F1756" s="24">
        <f>E1756</f>
        <v>0</v>
      </c>
      <c r="G1756" s="20">
        <v>0.0</v>
      </c>
      <c r="H1756" s="20">
        <v>0.0</v>
      </c>
    </row>
    <row r="1757" ht="15.75" hidden="1" customHeight="1">
      <c r="A1757" s="15" t="s">
        <v>183</v>
      </c>
      <c r="B1757" s="11" t="s">
        <v>207</v>
      </c>
      <c r="C1757" s="15"/>
      <c r="D1757" s="31" t="s">
        <v>148</v>
      </c>
      <c r="E1757" s="32">
        <v>10.0</v>
      </c>
      <c r="F1757" s="18">
        <f>E1757* 0.00116550116550117</f>
        <v>0.01165501166</v>
      </c>
      <c r="G1757" s="18">
        <f>E1757* 0.998834498834499</f>
        <v>9.988344988</v>
      </c>
      <c r="H1757" s="20">
        <v>0.0</v>
      </c>
    </row>
    <row r="1758" ht="15.75" hidden="1" customHeight="1">
      <c r="A1758" s="15" t="s">
        <v>183</v>
      </c>
      <c r="B1758" s="11" t="s">
        <v>207</v>
      </c>
      <c r="C1758" s="15"/>
      <c r="D1758" s="31" t="s">
        <v>12</v>
      </c>
      <c r="E1758" s="32">
        <v>1103.0</v>
      </c>
      <c r="F1758" s="18">
        <f>E1758* 0.894051651143099</f>
        <v>986.1389712</v>
      </c>
      <c r="G1758" s="18">
        <f>E1758* 0.0675804403048264</f>
        <v>74.54122566</v>
      </c>
      <c r="H1758" s="18">
        <f>E1758* 0.0382091447925487</f>
        <v>42.14468671</v>
      </c>
    </row>
    <row r="1759" ht="15.75" hidden="1" customHeight="1">
      <c r="A1759" s="15" t="s">
        <v>183</v>
      </c>
      <c r="B1759" s="33"/>
      <c r="C1759" s="33"/>
      <c r="D1759" s="34"/>
      <c r="E1759" s="35"/>
    </row>
    <row r="1760" ht="15.75" hidden="1" customHeight="1">
      <c r="A1760" s="15" t="s">
        <v>183</v>
      </c>
      <c r="B1760" s="11" t="s">
        <v>208</v>
      </c>
      <c r="C1760" s="12" t="str">
        <f>B1760&amp;"_"&amp;A1760</f>
        <v>Uncía_Potosí</v>
      </c>
      <c r="E1760" s="22">
        <v>466.0</v>
      </c>
      <c r="F1760" s="14">
        <f t="shared" ref="F1760:H1760" si="168">SUM(F1761:F1772)</f>
        <v>378.6583802</v>
      </c>
      <c r="G1760" s="14">
        <f t="shared" si="168"/>
        <v>70.6990483</v>
      </c>
      <c r="H1760" s="14">
        <f t="shared" si="168"/>
        <v>16.56142779</v>
      </c>
    </row>
    <row r="1761" ht="15.75" hidden="1" customHeight="1">
      <c r="A1761" s="15" t="s">
        <v>183</v>
      </c>
      <c r="B1761" s="11" t="s">
        <v>208</v>
      </c>
      <c r="C1761" s="15"/>
      <c r="D1761" s="31" t="s">
        <v>14</v>
      </c>
      <c r="E1761" s="32">
        <v>0.0</v>
      </c>
      <c r="F1761" s="20">
        <v>0.0</v>
      </c>
      <c r="G1761" s="24">
        <f>E1761</f>
        <v>0</v>
      </c>
      <c r="H1761" s="20">
        <v>0.0</v>
      </c>
    </row>
    <row r="1762" ht="15.75" hidden="1" customHeight="1">
      <c r="A1762" s="15" t="s">
        <v>183</v>
      </c>
      <c r="B1762" s="11" t="s">
        <v>208</v>
      </c>
      <c r="C1762" s="15"/>
      <c r="D1762" s="31" t="s">
        <v>15</v>
      </c>
      <c r="E1762" s="32">
        <v>18.0</v>
      </c>
      <c r="F1762" s="18">
        <f>E1762* 0.975464549882735</f>
        <v>17.5583619</v>
      </c>
      <c r="G1762" s="18">
        <f>E1762* 0.00487100847916291</f>
        <v>0.08767815262</v>
      </c>
      <c r="H1762" s="18">
        <f>E1762* 0.0195742377773769</f>
        <v>0.35233628</v>
      </c>
    </row>
    <row r="1763" ht="15.75" hidden="1" customHeight="1">
      <c r="A1763" s="15" t="s">
        <v>183</v>
      </c>
      <c r="B1763" s="11" t="s">
        <v>208</v>
      </c>
      <c r="C1763" s="15"/>
      <c r="D1763" s="31" t="s">
        <v>16</v>
      </c>
      <c r="E1763" s="32">
        <v>1.0</v>
      </c>
      <c r="F1763" s="18">
        <f>E1763* 0.0607843137254902</f>
        <v>0.06078431373</v>
      </c>
      <c r="G1763" s="18">
        <f>E1763* 0.93921568627451</f>
        <v>0.9392156863</v>
      </c>
      <c r="H1763" s="20">
        <v>0.0</v>
      </c>
    </row>
    <row r="1764" ht="15.75" hidden="1" customHeight="1">
      <c r="A1764" s="15" t="s">
        <v>183</v>
      </c>
      <c r="B1764" s="11" t="s">
        <v>208</v>
      </c>
      <c r="C1764" s="15"/>
      <c r="D1764" s="31" t="s">
        <v>11</v>
      </c>
      <c r="E1764" s="32">
        <v>25.0</v>
      </c>
      <c r="F1764" s="18">
        <f>E1764* 0.175725756639901</f>
        <v>4.393143916</v>
      </c>
      <c r="G1764" s="18">
        <f>E1764* 0.823656578134651</f>
        <v>20.59141445</v>
      </c>
      <c r="H1764" s="18">
        <f>E1764* 0.000617665225447807</f>
        <v>0.01544163064</v>
      </c>
    </row>
    <row r="1765" ht="15.75" hidden="1" customHeight="1">
      <c r="A1765" s="15" t="s">
        <v>183</v>
      </c>
      <c r="B1765" s="11" t="s">
        <v>208</v>
      </c>
      <c r="C1765" s="15"/>
      <c r="D1765" s="31" t="s">
        <v>17</v>
      </c>
      <c r="E1765" s="32">
        <v>18.0</v>
      </c>
      <c r="F1765" s="18">
        <f>E1765* 0.869679539852095</f>
        <v>15.65423172</v>
      </c>
      <c r="G1765" s="18">
        <f>E1765* 0.0695152013147083</f>
        <v>1.251273624</v>
      </c>
      <c r="H1765" s="18">
        <f>E1765* 0.0608052588331964</f>
        <v>1.094494659</v>
      </c>
    </row>
    <row r="1766" ht="15.75" hidden="1" customHeight="1">
      <c r="A1766" s="15" t="s">
        <v>183</v>
      </c>
      <c r="B1766" s="11" t="s">
        <v>208</v>
      </c>
      <c r="C1766" s="15"/>
      <c r="D1766" s="31" t="s">
        <v>31</v>
      </c>
      <c r="E1766" s="32">
        <v>1.0</v>
      </c>
      <c r="F1766" s="18">
        <f>E1766* 0.93</f>
        <v>0.93</v>
      </c>
      <c r="G1766" s="18">
        <f>F1766* 0.05</f>
        <v>0.0465</v>
      </c>
      <c r="H1766" s="18">
        <f>E1766* 0.02</f>
        <v>0.02</v>
      </c>
    </row>
    <row r="1767" ht="15.75" hidden="1" customHeight="1">
      <c r="A1767" s="15" t="s">
        <v>183</v>
      </c>
      <c r="B1767" s="11" t="s">
        <v>208</v>
      </c>
      <c r="C1767" s="15"/>
      <c r="D1767" s="31" t="s">
        <v>18</v>
      </c>
      <c r="E1767" s="32">
        <v>9.0</v>
      </c>
      <c r="F1767" s="18">
        <f>E1767* 0.941463414634146</f>
        <v>8.473170732</v>
      </c>
      <c r="G1767" s="18">
        <f>E1767* 0.0532833020637899</f>
        <v>0.4795497186</v>
      </c>
      <c r="H1767" s="18">
        <f>E1767* 0.00487804878048781</f>
        <v>0.04390243902</v>
      </c>
    </row>
    <row r="1768" ht="15.75" hidden="1" customHeight="1">
      <c r="A1768" s="15" t="s">
        <v>183</v>
      </c>
      <c r="B1768" s="11" t="s">
        <v>208</v>
      </c>
      <c r="C1768" s="15"/>
      <c r="D1768" s="31" t="s">
        <v>19</v>
      </c>
      <c r="E1768" s="32">
        <v>18.0</v>
      </c>
      <c r="F1768" s="18">
        <f>E1768* 0.0748299319727891</f>
        <v>1.346938776</v>
      </c>
      <c r="G1768" s="18">
        <f>E1768* 0.924036281179138</f>
        <v>16.63265306</v>
      </c>
      <c r="H1768" s="18">
        <f>E1768* 0.00113378684807256</f>
        <v>0.02040816327</v>
      </c>
    </row>
    <row r="1769" ht="15.75" hidden="1" customHeight="1">
      <c r="A1769" s="15" t="s">
        <v>183</v>
      </c>
      <c r="B1769" s="11" t="s">
        <v>208</v>
      </c>
      <c r="C1769" s="15"/>
      <c r="D1769" s="31" t="s">
        <v>20</v>
      </c>
      <c r="E1769" s="32">
        <v>65.0</v>
      </c>
      <c r="F1769" s="18">
        <f>E1769* 0.799709724238026</f>
        <v>51.98113208</v>
      </c>
      <c r="G1769" s="18">
        <f>E1769* 0.150580551523948</f>
        <v>9.787735849</v>
      </c>
      <c r="H1769" s="18">
        <f>E1769* 0.0493468795355588</f>
        <v>3.20754717</v>
      </c>
    </row>
    <row r="1770" ht="15.75" hidden="1" customHeight="1">
      <c r="A1770" s="15" t="s">
        <v>183</v>
      </c>
      <c r="B1770" s="11" t="s">
        <v>208</v>
      </c>
      <c r="C1770" s="15"/>
      <c r="D1770" s="31" t="s">
        <v>21</v>
      </c>
      <c r="E1770" s="32">
        <v>2.0</v>
      </c>
      <c r="F1770" s="18">
        <f>E1770* 0.999328295549958</f>
        <v>1.998656591</v>
      </c>
      <c r="G1770" s="18">
        <f>E1770* 0.000335852225020991</f>
        <v>0.00067170445</v>
      </c>
      <c r="H1770" s="18">
        <f>E1770* 0.000335852225020991</f>
        <v>0.00067170445</v>
      </c>
    </row>
    <row r="1771" ht="15.75" hidden="1" customHeight="1">
      <c r="A1771" s="15" t="s">
        <v>183</v>
      </c>
      <c r="B1771" s="11" t="s">
        <v>208</v>
      </c>
      <c r="C1771" s="15"/>
      <c r="D1771" s="31" t="s">
        <v>28</v>
      </c>
      <c r="E1771" s="32">
        <v>0.0</v>
      </c>
      <c r="F1771" s="18">
        <f>E1771* 0.00116550116550117</f>
        <v>0</v>
      </c>
      <c r="G1771" s="18">
        <f>E1771* 0.998834498834499</f>
        <v>0</v>
      </c>
      <c r="H1771" s="20">
        <v>0.0</v>
      </c>
    </row>
    <row r="1772" ht="15.75" hidden="1" customHeight="1">
      <c r="A1772" s="15" t="s">
        <v>183</v>
      </c>
      <c r="B1772" s="11" t="s">
        <v>208</v>
      </c>
      <c r="C1772" s="15"/>
      <c r="D1772" s="31" t="s">
        <v>12</v>
      </c>
      <c r="E1772" s="32">
        <v>309.0</v>
      </c>
      <c r="F1772" s="18">
        <f>E1772* 0.894051651143099</f>
        <v>276.2619602</v>
      </c>
      <c r="G1772" s="18">
        <f>E1772* 0.0675804403048264</f>
        <v>20.88235605</v>
      </c>
      <c r="H1772" s="18">
        <f>E1772* 0.0382091447925487</f>
        <v>11.80662574</v>
      </c>
    </row>
    <row r="1773" ht="15.75" hidden="1" customHeight="1">
      <c r="A1773" s="15" t="s">
        <v>183</v>
      </c>
      <c r="B1773" s="33"/>
      <c r="C1773" s="33"/>
      <c r="D1773" s="34"/>
      <c r="E1773" s="35"/>
    </row>
    <row r="1774" ht="15.75" hidden="1" customHeight="1">
      <c r="A1774" s="15" t="s">
        <v>183</v>
      </c>
      <c r="B1774" s="11" t="s">
        <v>209</v>
      </c>
      <c r="C1774" s="12" t="str">
        <f>B1774&amp;"_"&amp;A1774</f>
        <v>Uyuni_Potosí</v>
      </c>
      <c r="E1774" s="22">
        <v>2996.0</v>
      </c>
      <c r="F1774" s="14">
        <f t="shared" ref="F1774:H1774" si="169">SUM(F1775:F1788)</f>
        <v>2403.337383</v>
      </c>
      <c r="G1774" s="14">
        <f t="shared" si="169"/>
        <v>507.3905479</v>
      </c>
      <c r="H1774" s="14">
        <f t="shared" si="169"/>
        <v>84.95423821</v>
      </c>
    </row>
    <row r="1775" ht="15.75" hidden="1" customHeight="1">
      <c r="A1775" s="15" t="s">
        <v>183</v>
      </c>
      <c r="B1775" s="11" t="s">
        <v>209</v>
      </c>
      <c r="C1775" s="15"/>
      <c r="D1775" s="31" t="s">
        <v>14</v>
      </c>
      <c r="E1775" s="32">
        <v>0.0</v>
      </c>
      <c r="F1775" s="20">
        <v>0.0</v>
      </c>
      <c r="G1775" s="24">
        <f>E1775</f>
        <v>0</v>
      </c>
      <c r="H1775" s="20">
        <v>0.0</v>
      </c>
    </row>
    <row r="1776" ht="15.75" hidden="1" customHeight="1">
      <c r="A1776" s="15" t="s">
        <v>183</v>
      </c>
      <c r="B1776" s="11" t="s">
        <v>209</v>
      </c>
      <c r="C1776" s="15"/>
      <c r="D1776" s="31" t="s">
        <v>15</v>
      </c>
      <c r="E1776" s="32">
        <v>209.0</v>
      </c>
      <c r="F1776" s="18">
        <f>E1776* 0.975464549882735</f>
        <v>203.8720909</v>
      </c>
      <c r="G1776" s="18">
        <f>E1776* 0.00487100847916291</f>
        <v>1.018040772</v>
      </c>
      <c r="H1776" s="18">
        <f>E1776* 0.0195742377773769</f>
        <v>4.091015695</v>
      </c>
    </row>
    <row r="1777" ht="15.75" hidden="1" customHeight="1">
      <c r="A1777" s="15" t="s">
        <v>183</v>
      </c>
      <c r="B1777" s="11" t="s">
        <v>209</v>
      </c>
      <c r="C1777" s="15"/>
      <c r="D1777" s="31" t="s">
        <v>16</v>
      </c>
      <c r="E1777" s="32">
        <v>25.0</v>
      </c>
      <c r="F1777" s="18">
        <f>E1777* 0.0607843137254902</f>
        <v>1.519607843</v>
      </c>
      <c r="G1777" s="18">
        <f>E1777* 0.93921568627451</f>
        <v>23.48039216</v>
      </c>
      <c r="H1777" s="20">
        <v>0.0</v>
      </c>
    </row>
    <row r="1778" ht="15.75" hidden="1" customHeight="1">
      <c r="A1778" s="15" t="s">
        <v>183</v>
      </c>
      <c r="B1778" s="11" t="s">
        <v>209</v>
      </c>
      <c r="C1778" s="15"/>
      <c r="D1778" s="31" t="s">
        <v>11</v>
      </c>
      <c r="E1778" s="32">
        <v>351.0</v>
      </c>
      <c r="F1778" s="18">
        <f>E1778* 0.175725756639901</f>
        <v>61.67974058</v>
      </c>
      <c r="G1778" s="18">
        <f>E1778* 0.823656578134651</f>
        <v>289.1034589</v>
      </c>
      <c r="H1778" s="18">
        <f>E1778* 0.000617665225447807</f>
        <v>0.2168004941</v>
      </c>
    </row>
    <row r="1779" ht="15.75" hidden="1" customHeight="1">
      <c r="A1779" s="15" t="s">
        <v>183</v>
      </c>
      <c r="B1779" s="11" t="s">
        <v>209</v>
      </c>
      <c r="C1779" s="15"/>
      <c r="D1779" s="31" t="s">
        <v>17</v>
      </c>
      <c r="E1779" s="32">
        <v>334.0</v>
      </c>
      <c r="F1779" s="18">
        <f>E1779* 0.869679539852095</f>
        <v>290.4729663</v>
      </c>
      <c r="G1779" s="18">
        <f>E1779* 0.0695152013147083</f>
        <v>23.21807724</v>
      </c>
      <c r="H1779" s="18">
        <f>E1779* 0.0608052588331964</f>
        <v>20.30895645</v>
      </c>
    </row>
    <row r="1780" ht="15.75" hidden="1" customHeight="1">
      <c r="A1780" s="15" t="s">
        <v>183</v>
      </c>
      <c r="B1780" s="11" t="s">
        <v>209</v>
      </c>
      <c r="C1780" s="15"/>
      <c r="D1780" s="31" t="s">
        <v>31</v>
      </c>
      <c r="E1780" s="32">
        <v>2.0</v>
      </c>
      <c r="F1780" s="18">
        <f>E1780* 0.93</f>
        <v>1.86</v>
      </c>
      <c r="G1780" s="18">
        <f>F1780* 0.05</f>
        <v>0.093</v>
      </c>
      <c r="H1780" s="18">
        <f>E1780* 0.02</f>
        <v>0.04</v>
      </c>
    </row>
    <row r="1781" ht="15.75" hidden="1" customHeight="1">
      <c r="A1781" s="15" t="s">
        <v>183</v>
      </c>
      <c r="B1781" s="11" t="s">
        <v>209</v>
      </c>
      <c r="C1781" s="15"/>
      <c r="D1781" s="31" t="s">
        <v>18</v>
      </c>
      <c r="E1781" s="32">
        <v>93.0</v>
      </c>
      <c r="F1781" s="18">
        <f>E1781* 0.941463414634146</f>
        <v>87.55609756</v>
      </c>
      <c r="G1781" s="18">
        <f>E1781* 0.0532833020637899</f>
        <v>4.955347092</v>
      </c>
      <c r="H1781" s="18">
        <f>E1781* 0.00487804878048781</f>
        <v>0.4536585366</v>
      </c>
    </row>
    <row r="1782" ht="15.75" hidden="1" customHeight="1">
      <c r="A1782" s="15" t="s">
        <v>183</v>
      </c>
      <c r="B1782" s="11" t="s">
        <v>209</v>
      </c>
      <c r="C1782" s="15"/>
      <c r="D1782" s="31" t="s">
        <v>35</v>
      </c>
      <c r="E1782" s="32">
        <v>0.0</v>
      </c>
      <c r="F1782" s="20">
        <v>0.0</v>
      </c>
      <c r="G1782" s="24">
        <f>E1782</f>
        <v>0</v>
      </c>
      <c r="H1782" s="20">
        <v>0.0</v>
      </c>
    </row>
    <row r="1783" ht="15.75" hidden="1" customHeight="1">
      <c r="A1783" s="15" t="s">
        <v>183</v>
      </c>
      <c r="B1783" s="11" t="s">
        <v>209</v>
      </c>
      <c r="C1783" s="15"/>
      <c r="D1783" s="31" t="s">
        <v>19</v>
      </c>
      <c r="E1783" s="32">
        <v>10.0</v>
      </c>
      <c r="F1783" s="18">
        <f>E1783* 0.0748299319727891</f>
        <v>0.7482993197</v>
      </c>
      <c r="G1783" s="18">
        <f>E1783* 0.924036281179138</f>
        <v>9.240362812</v>
      </c>
      <c r="H1783" s="18">
        <f>E1783* 0.00113378684807256</f>
        <v>0.01133786848</v>
      </c>
    </row>
    <row r="1784" ht="15.75" hidden="1" customHeight="1">
      <c r="A1784" s="15" t="s">
        <v>183</v>
      </c>
      <c r="B1784" s="11" t="s">
        <v>209</v>
      </c>
      <c r="C1784" s="15"/>
      <c r="D1784" s="31" t="s">
        <v>20</v>
      </c>
      <c r="E1784" s="32">
        <v>57.0</v>
      </c>
      <c r="F1784" s="18">
        <f>E1784* 0.799709724238026</f>
        <v>45.58345428</v>
      </c>
      <c r="G1784" s="18">
        <f>E1784* 0.150580551523948</f>
        <v>8.583091437</v>
      </c>
      <c r="H1784" s="18">
        <f>E1784* 0.0493468795355588</f>
        <v>2.812772134</v>
      </c>
    </row>
    <row r="1785" ht="15.75" hidden="1" customHeight="1">
      <c r="A1785" s="15" t="s">
        <v>183</v>
      </c>
      <c r="B1785" s="11" t="s">
        <v>209</v>
      </c>
      <c r="C1785" s="15"/>
      <c r="D1785" s="31" t="s">
        <v>21</v>
      </c>
      <c r="E1785" s="32">
        <v>376.0</v>
      </c>
      <c r="F1785" s="18">
        <f>E1785* 0.999328295549958</f>
        <v>375.7474391</v>
      </c>
      <c r="G1785" s="18">
        <f>E1785* 0.000335852225020991</f>
        <v>0.1262804366</v>
      </c>
      <c r="H1785" s="18">
        <f>E1785* 0.000335852225020991</f>
        <v>0.1262804366</v>
      </c>
    </row>
    <row r="1786" ht="15.75" hidden="1" customHeight="1">
      <c r="A1786" s="15" t="s">
        <v>183</v>
      </c>
      <c r="B1786" s="11" t="s">
        <v>209</v>
      </c>
      <c r="C1786" s="15"/>
      <c r="D1786" s="31" t="s">
        <v>36</v>
      </c>
      <c r="E1786" s="32">
        <v>3.0</v>
      </c>
      <c r="F1786" s="24">
        <f>E1786</f>
        <v>3</v>
      </c>
      <c r="G1786" s="20">
        <v>0.0</v>
      </c>
      <c r="H1786" s="20">
        <v>0.0</v>
      </c>
    </row>
    <row r="1787" ht="15.75" hidden="1" customHeight="1">
      <c r="A1787" s="15" t="s">
        <v>183</v>
      </c>
      <c r="B1787" s="11" t="s">
        <v>209</v>
      </c>
      <c r="C1787" s="15"/>
      <c r="D1787" s="31" t="s">
        <v>28</v>
      </c>
      <c r="E1787" s="32">
        <v>47.0</v>
      </c>
      <c r="F1787" s="18">
        <f>E1787* 0.00116550116550117</f>
        <v>0.05477855478</v>
      </c>
      <c r="G1787" s="18">
        <f>E1787* 0.998834498834499</f>
        <v>46.94522145</v>
      </c>
      <c r="H1787" s="20">
        <v>0.0</v>
      </c>
    </row>
    <row r="1788" ht="15.75" hidden="1" customHeight="1">
      <c r="A1788" s="15" t="s">
        <v>183</v>
      </c>
      <c r="B1788" s="11" t="s">
        <v>209</v>
      </c>
      <c r="C1788" s="15"/>
      <c r="D1788" s="31" t="s">
        <v>12</v>
      </c>
      <c r="E1788" s="32">
        <v>1489.0</v>
      </c>
      <c r="F1788" s="18">
        <f>E1788* 0.894051651143099</f>
        <v>1331.242909</v>
      </c>
      <c r="G1788" s="18">
        <f>E1788* 0.0675804403048264</f>
        <v>100.6272756</v>
      </c>
      <c r="H1788" s="18">
        <f>E1788* 0.0382091447925487</f>
        <v>56.8934166</v>
      </c>
    </row>
    <row r="1789" ht="15.75" hidden="1" customHeight="1">
      <c r="A1789" s="15" t="s">
        <v>183</v>
      </c>
      <c r="B1789" s="33"/>
      <c r="C1789" s="33"/>
      <c r="D1789" s="34"/>
      <c r="E1789" s="35"/>
    </row>
    <row r="1790" ht="15.75" hidden="1" customHeight="1">
      <c r="A1790" s="15" t="s">
        <v>183</v>
      </c>
      <c r="B1790" s="11" t="s">
        <v>210</v>
      </c>
      <c r="C1790" s="12" t="str">
        <f>B1790&amp;"_"&amp;A1790</f>
        <v>Villazón_Potosí</v>
      </c>
      <c r="E1790" s="22">
        <v>2688.0</v>
      </c>
      <c r="F1790" s="14">
        <f t="shared" ref="F1790:H1790" si="170">SUM(F1791:F1803)</f>
        <v>2182.092924</v>
      </c>
      <c r="G1790" s="14">
        <f t="shared" si="170"/>
        <v>426.4444382</v>
      </c>
      <c r="H1790" s="14">
        <f t="shared" si="170"/>
        <v>79.18933629</v>
      </c>
    </row>
    <row r="1791" ht="15.75" hidden="1" customHeight="1">
      <c r="A1791" s="15" t="s">
        <v>183</v>
      </c>
      <c r="B1791" s="11" t="s">
        <v>210</v>
      </c>
      <c r="C1791" s="15"/>
      <c r="D1791" s="31" t="s">
        <v>14</v>
      </c>
      <c r="E1791" s="32">
        <v>0.0</v>
      </c>
      <c r="F1791" s="20">
        <v>0.0</v>
      </c>
      <c r="G1791" s="24">
        <f>E1791</f>
        <v>0</v>
      </c>
      <c r="H1791" s="20">
        <v>0.0</v>
      </c>
    </row>
    <row r="1792" ht="15.75" hidden="1" customHeight="1">
      <c r="A1792" s="15" t="s">
        <v>183</v>
      </c>
      <c r="B1792" s="11" t="s">
        <v>210</v>
      </c>
      <c r="C1792" s="15"/>
      <c r="D1792" s="31" t="s">
        <v>15</v>
      </c>
      <c r="E1792" s="32">
        <v>412.0</v>
      </c>
      <c r="F1792" s="18">
        <f>E1792* 0.975464549882735</f>
        <v>401.8913946</v>
      </c>
      <c r="G1792" s="18">
        <f>E1792* 0.00487100847916291</f>
        <v>2.006855493</v>
      </c>
      <c r="H1792" s="18">
        <f>E1792* 0.0195742377773769</f>
        <v>8.064585964</v>
      </c>
    </row>
    <row r="1793" ht="15.75" hidden="1" customHeight="1">
      <c r="A1793" s="15" t="s">
        <v>183</v>
      </c>
      <c r="B1793" s="11" t="s">
        <v>210</v>
      </c>
      <c r="C1793" s="15"/>
      <c r="D1793" s="31" t="s">
        <v>16</v>
      </c>
      <c r="E1793" s="32">
        <v>23.0</v>
      </c>
      <c r="F1793" s="18">
        <f>E1793* 0.0607843137254902</f>
        <v>1.398039216</v>
      </c>
      <c r="G1793" s="18">
        <f>E1793* 0.93921568627451</f>
        <v>21.60196078</v>
      </c>
      <c r="H1793" s="20">
        <v>0.0</v>
      </c>
    </row>
    <row r="1794" ht="15.75" hidden="1" customHeight="1">
      <c r="A1794" s="15" t="s">
        <v>183</v>
      </c>
      <c r="B1794" s="11" t="s">
        <v>210</v>
      </c>
      <c r="C1794" s="15"/>
      <c r="D1794" s="31" t="s">
        <v>11</v>
      </c>
      <c r="E1794" s="32">
        <v>254.0</v>
      </c>
      <c r="F1794" s="18">
        <f>E1794* 0.175725756639901</f>
        <v>44.63434219</v>
      </c>
      <c r="G1794" s="18">
        <f>E1794* 0.823656578134651</f>
        <v>209.2087708</v>
      </c>
      <c r="H1794" s="18">
        <f>E1794* 0.000617665225447807</f>
        <v>0.1568869673</v>
      </c>
    </row>
    <row r="1795" ht="15.75" hidden="1" customHeight="1">
      <c r="A1795" s="15" t="s">
        <v>183</v>
      </c>
      <c r="B1795" s="11" t="s">
        <v>210</v>
      </c>
      <c r="C1795" s="15"/>
      <c r="D1795" s="31" t="s">
        <v>17</v>
      </c>
      <c r="E1795" s="32">
        <v>346.0</v>
      </c>
      <c r="F1795" s="18">
        <f>E1795* 0.869679539852095</f>
        <v>300.9091208</v>
      </c>
      <c r="G1795" s="18">
        <f>E1795* 0.0695152013147083</f>
        <v>24.05225965</v>
      </c>
      <c r="H1795" s="18">
        <f>E1795* 0.0608052588331964</f>
        <v>21.03861956</v>
      </c>
    </row>
    <row r="1796" ht="15.75" hidden="1" customHeight="1">
      <c r="A1796" s="15" t="s">
        <v>183</v>
      </c>
      <c r="B1796" s="11" t="s">
        <v>210</v>
      </c>
      <c r="C1796" s="15"/>
      <c r="D1796" s="31" t="s">
        <v>31</v>
      </c>
      <c r="E1796" s="32">
        <v>3.0</v>
      </c>
      <c r="F1796" s="18">
        <f>E1796* 0.93</f>
        <v>2.79</v>
      </c>
      <c r="G1796" s="18">
        <f>F1796* 0.05</f>
        <v>0.1395</v>
      </c>
      <c r="H1796" s="18">
        <f>E1796* 0.02</f>
        <v>0.06</v>
      </c>
    </row>
    <row r="1797" ht="15.75" hidden="1" customHeight="1">
      <c r="A1797" s="15" t="s">
        <v>183</v>
      </c>
      <c r="B1797" s="11" t="s">
        <v>210</v>
      </c>
      <c r="C1797" s="15"/>
      <c r="D1797" s="31" t="s">
        <v>18</v>
      </c>
      <c r="E1797" s="32">
        <v>36.0</v>
      </c>
      <c r="F1797" s="18">
        <f>E1797* 0.941463414634146</f>
        <v>33.89268293</v>
      </c>
      <c r="G1797" s="18">
        <f>E1797* 0.0532833020637899</f>
        <v>1.918198874</v>
      </c>
      <c r="H1797" s="18">
        <f>E1797* 0.00487804878048781</f>
        <v>0.1756097561</v>
      </c>
    </row>
    <row r="1798" ht="15.75" hidden="1" customHeight="1">
      <c r="A1798" s="15" t="s">
        <v>183</v>
      </c>
      <c r="B1798" s="11" t="s">
        <v>210</v>
      </c>
      <c r="C1798" s="15"/>
      <c r="D1798" s="31" t="s">
        <v>19</v>
      </c>
      <c r="E1798" s="32">
        <v>35.0</v>
      </c>
      <c r="F1798" s="18">
        <f>E1798* 0.0748299319727891</f>
        <v>2.619047619</v>
      </c>
      <c r="G1798" s="18">
        <f>E1798* 0.924036281179138</f>
        <v>32.34126984</v>
      </c>
      <c r="H1798" s="18">
        <f>E1798* 0.00113378684807256</f>
        <v>0.03968253968</v>
      </c>
    </row>
    <row r="1799" ht="15.75" hidden="1" customHeight="1">
      <c r="A1799" s="15" t="s">
        <v>183</v>
      </c>
      <c r="B1799" s="11" t="s">
        <v>210</v>
      </c>
      <c r="C1799" s="15"/>
      <c r="D1799" s="31" t="s">
        <v>20</v>
      </c>
      <c r="E1799" s="32">
        <v>39.0</v>
      </c>
      <c r="F1799" s="18">
        <f>E1799* 0.799709724238026</f>
        <v>31.18867925</v>
      </c>
      <c r="G1799" s="18">
        <f>E1799* 0.150580551523948</f>
        <v>5.872641509</v>
      </c>
      <c r="H1799" s="18">
        <f>E1799* 0.0493468795355588</f>
        <v>1.924528302</v>
      </c>
    </row>
    <row r="1800" ht="15.75" hidden="1" customHeight="1">
      <c r="A1800" s="15" t="s">
        <v>183</v>
      </c>
      <c r="B1800" s="11" t="s">
        <v>210</v>
      </c>
      <c r="C1800" s="15"/>
      <c r="D1800" s="31" t="s">
        <v>21</v>
      </c>
      <c r="E1800" s="32">
        <v>246.0</v>
      </c>
      <c r="F1800" s="18">
        <f>E1800* 0.999328295549958</f>
        <v>245.8347607</v>
      </c>
      <c r="G1800" s="18">
        <f>E1800* 0.000335852225020991</f>
        <v>0.08261964736</v>
      </c>
      <c r="H1800" s="18">
        <f>E1800* 0.000335852225020991</f>
        <v>0.08261964736</v>
      </c>
    </row>
    <row r="1801" ht="15.75" hidden="1" customHeight="1">
      <c r="A1801" s="15" t="s">
        <v>183</v>
      </c>
      <c r="B1801" s="11" t="s">
        <v>210</v>
      </c>
      <c r="C1801" s="15"/>
      <c r="D1801" s="31" t="s">
        <v>36</v>
      </c>
      <c r="E1801" s="32">
        <v>2.0</v>
      </c>
      <c r="F1801" s="24">
        <f>E1801</f>
        <v>2</v>
      </c>
      <c r="G1801" s="20">
        <v>0.0</v>
      </c>
      <c r="H1801" s="20">
        <v>0.0</v>
      </c>
    </row>
    <row r="1802" ht="15.75" hidden="1" customHeight="1">
      <c r="A1802" s="15" t="s">
        <v>183</v>
      </c>
      <c r="B1802" s="11" t="s">
        <v>210</v>
      </c>
      <c r="C1802" s="15"/>
      <c r="D1802" s="31" t="s">
        <v>28</v>
      </c>
      <c r="E1802" s="32">
        <v>45.0</v>
      </c>
      <c r="F1802" s="18">
        <f>E1802* 0.00116550116550117</f>
        <v>0.05244755245</v>
      </c>
      <c r="G1802" s="18">
        <f>E1802* 0.998834498834499</f>
        <v>44.94755245</v>
      </c>
      <c r="H1802" s="20">
        <v>0.0</v>
      </c>
    </row>
    <row r="1803" ht="15.75" hidden="1" customHeight="1">
      <c r="A1803" s="15" t="s">
        <v>183</v>
      </c>
      <c r="B1803" s="11" t="s">
        <v>210</v>
      </c>
      <c r="C1803" s="15"/>
      <c r="D1803" s="31" t="s">
        <v>12</v>
      </c>
      <c r="E1803" s="32">
        <v>1247.0</v>
      </c>
      <c r="F1803" s="18">
        <f>E1803* 0.894051651143099</f>
        <v>1114.882409</v>
      </c>
      <c r="G1803" s="18">
        <f>E1803* 0.0675804403048264</f>
        <v>84.27280906</v>
      </c>
      <c r="H1803" s="18">
        <f>E1803* 0.0382091447925487</f>
        <v>47.64680356</v>
      </c>
    </row>
    <row r="1804" ht="15.75" hidden="1" customHeight="1">
      <c r="A1804" s="15" t="s">
        <v>183</v>
      </c>
      <c r="B1804" s="33"/>
      <c r="C1804" s="33"/>
      <c r="D1804" s="34"/>
      <c r="E1804" s="35"/>
    </row>
    <row r="1805" ht="15.75" hidden="1" customHeight="1">
      <c r="A1805" s="15" t="s">
        <v>183</v>
      </c>
      <c r="B1805" s="11" t="s">
        <v>211</v>
      </c>
      <c r="C1805" s="12" t="str">
        <f>B1805&amp;"_"&amp;A1805</f>
        <v>Vitichi_Potosí</v>
      </c>
      <c r="E1805" s="22">
        <v>11.0</v>
      </c>
      <c r="F1805" s="14">
        <f t="shared" ref="F1805:H1805" si="171">SUM(F1806:F1811)</f>
        <v>5.441831663</v>
      </c>
      <c r="G1805" s="14">
        <f t="shared" si="171"/>
        <v>5.333960473</v>
      </c>
      <c r="H1805" s="14">
        <f t="shared" si="171"/>
        <v>0.2240490996</v>
      </c>
    </row>
    <row r="1806" ht="15.75" hidden="1" customHeight="1">
      <c r="A1806" s="15" t="s">
        <v>183</v>
      </c>
      <c r="B1806" s="11" t="s">
        <v>211</v>
      </c>
      <c r="C1806" s="15"/>
      <c r="D1806" s="31" t="s">
        <v>16</v>
      </c>
      <c r="E1806" s="32">
        <v>1.0</v>
      </c>
      <c r="F1806" s="18">
        <f>E1806* 0.0607843137254902</f>
        <v>0.06078431373</v>
      </c>
      <c r="G1806" s="18">
        <f>E1806* 0.93921568627451</f>
        <v>0.9392156863</v>
      </c>
      <c r="H1806" s="20">
        <v>0.0</v>
      </c>
    </row>
    <row r="1807" ht="15.75" hidden="1" customHeight="1">
      <c r="A1807" s="15" t="s">
        <v>183</v>
      </c>
      <c r="B1807" s="11" t="s">
        <v>211</v>
      </c>
      <c r="C1807" s="15"/>
      <c r="D1807" s="31" t="s">
        <v>11</v>
      </c>
      <c r="E1807" s="32">
        <v>5.0</v>
      </c>
      <c r="F1807" s="18">
        <f>E1807* 0.175725756639901</f>
        <v>0.8786287832</v>
      </c>
      <c r="G1807" s="18">
        <f>E1807* 0.823656578134651</f>
        <v>4.118282891</v>
      </c>
      <c r="H1807" s="18">
        <f>E1807* 0.000617665225447807</f>
        <v>0.003088326127</v>
      </c>
    </row>
    <row r="1808" ht="15.75" hidden="1" customHeight="1">
      <c r="A1808" s="15" t="s">
        <v>183</v>
      </c>
      <c r="B1808" s="11" t="s">
        <v>211</v>
      </c>
      <c r="C1808" s="15"/>
      <c r="D1808" s="31" t="s">
        <v>17</v>
      </c>
      <c r="E1808" s="32">
        <v>3.0</v>
      </c>
      <c r="F1808" s="18">
        <f>E1808* 0.869679539852095</f>
        <v>2.60903862</v>
      </c>
      <c r="G1808" s="18">
        <f>E1808* 0.0695152013147083</f>
        <v>0.2085456039</v>
      </c>
      <c r="H1808" s="18">
        <f>E1808* 0.0608052588331964</f>
        <v>0.1824157765</v>
      </c>
    </row>
    <row r="1809" ht="15.75" hidden="1" customHeight="1">
      <c r="A1809" s="15" t="s">
        <v>183</v>
      </c>
      <c r="B1809" s="11" t="s">
        <v>211</v>
      </c>
      <c r="C1809" s="15"/>
      <c r="D1809" s="31" t="s">
        <v>19</v>
      </c>
      <c r="E1809" s="32">
        <v>0.0</v>
      </c>
      <c r="F1809" s="18">
        <f>E1809* 0.0748299319727891</f>
        <v>0</v>
      </c>
      <c r="G1809" s="18">
        <f>E1809* 0.924036281179138</f>
        <v>0</v>
      </c>
      <c r="H1809" s="18">
        <f>E1809* 0.00113378684807256</f>
        <v>0</v>
      </c>
    </row>
    <row r="1810" ht="15.75" hidden="1" customHeight="1">
      <c r="A1810" s="15" t="s">
        <v>183</v>
      </c>
      <c r="B1810" s="11" t="s">
        <v>211</v>
      </c>
      <c r="C1810" s="15"/>
      <c r="D1810" s="31" t="s">
        <v>21</v>
      </c>
      <c r="E1810" s="32">
        <v>1.0</v>
      </c>
      <c r="F1810" s="18">
        <f>E1810* 0.999328295549958</f>
        <v>0.9993282955</v>
      </c>
      <c r="G1810" s="18">
        <f>E1810* 0.000335852225020991</f>
        <v>0.000335852225</v>
      </c>
      <c r="H1810" s="18">
        <f>E1810* 0.000335852225020991</f>
        <v>0.000335852225</v>
      </c>
    </row>
    <row r="1811" ht="15.75" hidden="1" customHeight="1">
      <c r="A1811" s="15" t="s">
        <v>183</v>
      </c>
      <c r="B1811" s="11" t="s">
        <v>211</v>
      </c>
      <c r="C1811" s="15"/>
      <c r="D1811" s="31" t="s">
        <v>12</v>
      </c>
      <c r="E1811" s="32">
        <v>1.0</v>
      </c>
      <c r="F1811" s="18">
        <f>E1811* 0.894051651143099</f>
        <v>0.8940516511</v>
      </c>
      <c r="G1811" s="18">
        <f>E1811* 0.0675804403048264</f>
        <v>0.0675804403</v>
      </c>
      <c r="H1811" s="18">
        <f>E1811* 0.0382091447925487</f>
        <v>0.03820914479</v>
      </c>
    </row>
    <row r="1812" ht="15.75" hidden="1" customHeight="1">
      <c r="A1812" s="15" t="s">
        <v>183</v>
      </c>
      <c r="B1812" s="33"/>
      <c r="C1812" s="33"/>
      <c r="D1812" s="34"/>
      <c r="E1812" s="35"/>
    </row>
    <row r="1813" ht="15.75" hidden="1" customHeight="1">
      <c r="A1813" s="15" t="s">
        <v>183</v>
      </c>
      <c r="B1813" s="11" t="s">
        <v>212</v>
      </c>
      <c r="C1813" s="12" t="str">
        <f>B1813&amp;"_"&amp;A1813</f>
        <v>Yocalla_Potosí</v>
      </c>
      <c r="E1813" s="22">
        <v>15.0</v>
      </c>
      <c r="F1813" s="14">
        <f t="shared" ref="F1813:H1813" si="172">SUM(F1814:F1821)</f>
        <v>11.72120806</v>
      </c>
      <c r="G1813" s="14">
        <f t="shared" si="172"/>
        <v>2.969846244</v>
      </c>
      <c r="H1813" s="14">
        <f t="shared" si="172"/>
        <v>0.3071215443</v>
      </c>
    </row>
    <row r="1814" ht="15.75" hidden="1" customHeight="1">
      <c r="A1814" s="15" t="s">
        <v>183</v>
      </c>
      <c r="B1814" s="11" t="s">
        <v>212</v>
      </c>
      <c r="C1814" s="15"/>
      <c r="D1814" s="31" t="s">
        <v>15</v>
      </c>
      <c r="E1814" s="32">
        <v>5.0</v>
      </c>
      <c r="F1814" s="18">
        <f>E1814* 0.975464549882735</f>
        <v>4.877322749</v>
      </c>
      <c r="G1814" s="18">
        <f>E1814* 0.00487100847916291</f>
        <v>0.0243550424</v>
      </c>
      <c r="H1814" s="18">
        <f>E1814* 0.0195742377773769</f>
        <v>0.09787118889</v>
      </c>
    </row>
    <row r="1815" ht="15.75" hidden="1" customHeight="1">
      <c r="A1815" s="15" t="s">
        <v>183</v>
      </c>
      <c r="B1815" s="11" t="s">
        <v>212</v>
      </c>
      <c r="C1815" s="15"/>
      <c r="D1815" s="31" t="s">
        <v>11</v>
      </c>
      <c r="E1815" s="32">
        <v>3.0</v>
      </c>
      <c r="F1815" s="18">
        <f>E1815* 0.175725756639901</f>
        <v>0.5271772699</v>
      </c>
      <c r="G1815" s="18">
        <f>E1815* 0.823656578134651</f>
        <v>2.470969734</v>
      </c>
      <c r="H1815" s="18">
        <f>E1815* 0.000617665225447807</f>
        <v>0.001852995676</v>
      </c>
    </row>
    <row r="1816" ht="15.75" hidden="1" customHeight="1">
      <c r="A1816" s="15" t="s">
        <v>183</v>
      </c>
      <c r="B1816" s="11" t="s">
        <v>212</v>
      </c>
      <c r="C1816" s="15"/>
      <c r="D1816" s="31" t="s">
        <v>17</v>
      </c>
      <c r="E1816" s="32">
        <v>0.0</v>
      </c>
      <c r="F1816" s="18">
        <f>E1816* 0.869679539852095</f>
        <v>0</v>
      </c>
      <c r="G1816" s="18">
        <f>E1816* 0.0695152013147083</f>
        <v>0</v>
      </c>
      <c r="H1816" s="18">
        <f>E1816* 0.0608052588331964</f>
        <v>0</v>
      </c>
    </row>
    <row r="1817" ht="15.75" hidden="1" customHeight="1">
      <c r="A1817" s="15" t="s">
        <v>183</v>
      </c>
      <c r="B1817" s="11" t="s">
        <v>212</v>
      </c>
      <c r="C1817" s="15"/>
      <c r="D1817" s="31" t="s">
        <v>18</v>
      </c>
      <c r="E1817" s="32">
        <v>1.0</v>
      </c>
      <c r="F1817" s="18">
        <f>E1817* 0.941463414634146</f>
        <v>0.9414634146</v>
      </c>
      <c r="G1817" s="18">
        <f>E1817* 0.0532833020637899</f>
        <v>0.05328330206</v>
      </c>
      <c r="H1817" s="18">
        <f>E1817* 0.00487804878048781</f>
        <v>0.00487804878</v>
      </c>
    </row>
    <row r="1818" ht="15.75" hidden="1" customHeight="1">
      <c r="A1818" s="15" t="s">
        <v>183</v>
      </c>
      <c r="B1818" s="11" t="s">
        <v>212</v>
      </c>
      <c r="C1818" s="15"/>
      <c r="D1818" s="31" t="s">
        <v>19</v>
      </c>
      <c r="E1818" s="32">
        <v>0.0</v>
      </c>
      <c r="F1818" s="18">
        <f>E1818* 0.0748299319727891</f>
        <v>0</v>
      </c>
      <c r="G1818" s="18">
        <f>E1818* 0.924036281179138</f>
        <v>0</v>
      </c>
      <c r="H1818" s="18">
        <f>E1818* 0.00113378684807256</f>
        <v>0</v>
      </c>
    </row>
    <row r="1819" ht="15.75" hidden="1" customHeight="1">
      <c r="A1819" s="15" t="s">
        <v>183</v>
      </c>
      <c r="B1819" s="11" t="s">
        <v>212</v>
      </c>
      <c r="C1819" s="15"/>
      <c r="D1819" s="31" t="s">
        <v>20</v>
      </c>
      <c r="E1819" s="32">
        <v>1.0</v>
      </c>
      <c r="F1819" s="18">
        <f>E1819* 0.799709724238026</f>
        <v>0.7997097242</v>
      </c>
      <c r="G1819" s="18">
        <f>E1819* 0.150580551523948</f>
        <v>0.1505805515</v>
      </c>
      <c r="H1819" s="18">
        <f>E1819* 0.0493468795355588</f>
        <v>0.04934687954</v>
      </c>
    </row>
    <row r="1820" ht="15.75" hidden="1" customHeight="1">
      <c r="A1820" s="15" t="s">
        <v>183</v>
      </c>
      <c r="B1820" s="11" t="s">
        <v>212</v>
      </c>
      <c r="C1820" s="15"/>
      <c r="D1820" s="31" t="s">
        <v>21</v>
      </c>
      <c r="E1820" s="32">
        <v>1.0</v>
      </c>
      <c r="F1820" s="18">
        <f>E1820* 0.999328295549958</f>
        <v>0.9993282955</v>
      </c>
      <c r="G1820" s="18">
        <f>E1820* 0.000335852225020991</f>
        <v>0.000335852225</v>
      </c>
      <c r="H1820" s="18">
        <f>E1820* 0.000335852225020991</f>
        <v>0.000335852225</v>
      </c>
    </row>
    <row r="1821" ht="15.75" hidden="1" customHeight="1">
      <c r="A1821" s="15" t="s">
        <v>183</v>
      </c>
      <c r="B1821" s="11" t="s">
        <v>212</v>
      </c>
      <c r="C1821" s="15"/>
      <c r="D1821" s="38" t="s">
        <v>12</v>
      </c>
      <c r="E1821" s="39">
        <v>4.0</v>
      </c>
      <c r="F1821" s="18">
        <f>E1821* 0.894051651143099</f>
        <v>3.576206605</v>
      </c>
      <c r="G1821" s="18">
        <f>E1821* 0.0675804403048264</f>
        <v>0.2703217612</v>
      </c>
      <c r="H1821" s="18">
        <f>E1821* 0.0382091447925487</f>
        <v>0.1528365792</v>
      </c>
    </row>
    <row r="1822" ht="15.75" hidden="1" customHeight="1">
      <c r="A1822" s="15" t="s">
        <v>213</v>
      </c>
      <c r="B1822" s="11" t="s">
        <v>214</v>
      </c>
      <c r="C1822" s="12" t="str">
        <f>B1822&amp;"_"&amp;A1822</f>
        <v>Bermejo_Tarija</v>
      </c>
      <c r="E1822" s="22">
        <v>5247.0</v>
      </c>
      <c r="F1822" s="14">
        <f t="shared" ref="F1822:H1822" si="173">SUM(F1823:F1836)</f>
        <v>4361.052725</v>
      </c>
      <c r="G1822" s="14">
        <f t="shared" si="173"/>
        <v>768.1861078</v>
      </c>
      <c r="H1822" s="14">
        <f t="shared" si="173"/>
        <v>117.3635541</v>
      </c>
    </row>
    <row r="1823" ht="15.75" hidden="1" customHeight="1">
      <c r="A1823" s="15" t="s">
        <v>213</v>
      </c>
      <c r="B1823" s="11" t="s">
        <v>214</v>
      </c>
      <c r="C1823" s="15"/>
      <c r="D1823" s="31" t="s">
        <v>53</v>
      </c>
      <c r="E1823" s="32">
        <v>0.0</v>
      </c>
      <c r="F1823" s="20">
        <v>0.0</v>
      </c>
      <c r="G1823" s="24">
        <f>E1823</f>
        <v>0</v>
      </c>
      <c r="H1823" s="20">
        <v>0.0</v>
      </c>
    </row>
    <row r="1824" ht="15.75" hidden="1" customHeight="1">
      <c r="A1824" s="15" t="s">
        <v>213</v>
      </c>
      <c r="B1824" s="11" t="s">
        <v>214</v>
      </c>
      <c r="C1824" s="15"/>
      <c r="D1824" s="31" t="s">
        <v>15</v>
      </c>
      <c r="E1824" s="32">
        <v>706.0</v>
      </c>
      <c r="F1824" s="18">
        <f>E1824* 0.957552016439764</f>
        <v>676.0317236</v>
      </c>
      <c r="G1824" s="18">
        <f>E1824* 0.0158618032365785</f>
        <v>11.19843309</v>
      </c>
      <c r="H1824" s="18">
        <f>E1824* 0.0265861803236578</f>
        <v>18.76984331</v>
      </c>
    </row>
    <row r="1825" ht="15.75" hidden="1" customHeight="1">
      <c r="A1825" s="15" t="s">
        <v>213</v>
      </c>
      <c r="B1825" s="11" t="s">
        <v>214</v>
      </c>
      <c r="C1825" s="15"/>
      <c r="D1825" s="31" t="s">
        <v>16</v>
      </c>
      <c r="E1825" s="32">
        <v>12.0</v>
      </c>
      <c r="F1825" s="18">
        <f>E1825* 0.0288065843621399</f>
        <v>0.3456790123</v>
      </c>
      <c r="G1825" s="18">
        <f>E1825* 0.967078189300412</f>
        <v>11.60493827</v>
      </c>
      <c r="H1825" s="18">
        <f>E1825* 0.00411522633744856</f>
        <v>0.04938271605</v>
      </c>
    </row>
    <row r="1826" ht="15.75" hidden="1" customHeight="1">
      <c r="A1826" s="15" t="s">
        <v>213</v>
      </c>
      <c r="B1826" s="11" t="s">
        <v>214</v>
      </c>
      <c r="C1826" s="15"/>
      <c r="D1826" s="31" t="s">
        <v>11</v>
      </c>
      <c r="E1826" s="32">
        <v>403.0</v>
      </c>
      <c r="F1826" s="18">
        <f>E1826* 0.069996216420734</f>
        <v>28.20847522</v>
      </c>
      <c r="G1826" s="18">
        <f>E1826* 0.928364232564006</f>
        <v>374.1307857</v>
      </c>
      <c r="H1826" s="18">
        <f>E1826* 0.00113507377979569</f>
        <v>0.4574347333</v>
      </c>
    </row>
    <row r="1827" ht="15.75" hidden="1" customHeight="1">
      <c r="A1827" s="15" t="s">
        <v>213</v>
      </c>
      <c r="B1827" s="11" t="s">
        <v>214</v>
      </c>
      <c r="C1827" s="15"/>
      <c r="D1827" s="31" t="s">
        <v>17</v>
      </c>
      <c r="E1827" s="32">
        <v>742.0</v>
      </c>
      <c r="F1827" s="18">
        <f>E1827* 0.797049581005587</f>
        <v>591.4107891</v>
      </c>
      <c r="G1827" s="18">
        <f>E1827* 0.161662011173184</f>
        <v>119.9532123</v>
      </c>
      <c r="H1827" s="18">
        <f>E1827* 0.0410265363128492</f>
        <v>30.44168994</v>
      </c>
    </row>
    <row r="1828" ht="15.75" hidden="1" customHeight="1">
      <c r="A1828" s="15" t="s">
        <v>213</v>
      </c>
      <c r="B1828" s="11" t="s">
        <v>214</v>
      </c>
      <c r="C1828" s="15"/>
      <c r="D1828" s="31" t="s">
        <v>31</v>
      </c>
      <c r="E1828" s="32">
        <v>0.0</v>
      </c>
      <c r="F1828" s="18">
        <f>E1828* 0.820689655172414</f>
        <v>0</v>
      </c>
      <c r="G1828" s="18">
        <f>E1828* 0.16551724137931</f>
        <v>0</v>
      </c>
      <c r="H1828" s="18">
        <f>E1828* 0.0137931034482759</f>
        <v>0</v>
      </c>
    </row>
    <row r="1829" ht="15.75" hidden="1" customHeight="1">
      <c r="A1829" s="15" t="s">
        <v>213</v>
      </c>
      <c r="B1829" s="11" t="s">
        <v>214</v>
      </c>
      <c r="C1829" s="15"/>
      <c r="D1829" s="31" t="s">
        <v>18</v>
      </c>
      <c r="E1829" s="32">
        <v>91.0</v>
      </c>
      <c r="F1829" s="18">
        <f>E1829* 0.912233009708738</f>
        <v>83.01320388</v>
      </c>
      <c r="G1829" s="18">
        <f>E1829* 0.0811650485436893</f>
        <v>7.386019417</v>
      </c>
      <c r="H1829" s="18">
        <f>E1829* 0.00660194174757282</f>
        <v>0.600776699</v>
      </c>
    </row>
    <row r="1830" ht="15.75" hidden="1" customHeight="1">
      <c r="A1830" s="15" t="s">
        <v>213</v>
      </c>
      <c r="B1830" s="11" t="s">
        <v>214</v>
      </c>
      <c r="C1830" s="15"/>
      <c r="D1830" s="31" t="s">
        <v>19</v>
      </c>
      <c r="E1830" s="32">
        <v>13.0</v>
      </c>
      <c r="F1830" s="18">
        <f>E1830* 0.0264765784114053</f>
        <v>0.3441955193</v>
      </c>
      <c r="G1830" s="18">
        <f>E1830* 0.970807875084861</f>
        <v>12.62050238</v>
      </c>
      <c r="H1830" s="18">
        <f>E1830* 0.00271554650373388</f>
        <v>0.03530210455</v>
      </c>
    </row>
    <row r="1831" ht="15.75" hidden="1" customHeight="1">
      <c r="A1831" s="15" t="s">
        <v>213</v>
      </c>
      <c r="B1831" s="11" t="s">
        <v>214</v>
      </c>
      <c r="C1831" s="15"/>
      <c r="D1831" s="31" t="s">
        <v>20</v>
      </c>
      <c r="E1831" s="32">
        <v>122.0</v>
      </c>
      <c r="F1831" s="18">
        <f>E1831* 0.657913931436907</f>
        <v>80.26549964</v>
      </c>
      <c r="G1831" s="18">
        <f>E1831* 0.284463894967177</f>
        <v>34.70459519</v>
      </c>
      <c r="H1831" s="18">
        <f>E1831* 0.0576221735959154</f>
        <v>7.029905179</v>
      </c>
    </row>
    <row r="1832" ht="15.75" hidden="1" customHeight="1">
      <c r="A1832" s="15" t="s">
        <v>213</v>
      </c>
      <c r="B1832" s="11" t="s">
        <v>214</v>
      </c>
      <c r="C1832" s="15"/>
      <c r="D1832" s="31" t="s">
        <v>21</v>
      </c>
      <c r="E1832" s="32">
        <v>1543.0</v>
      </c>
      <c r="F1832" s="18">
        <f>E1832* 0.999266575396049</f>
        <v>1541.868326</v>
      </c>
      <c r="G1832" s="18">
        <f>E1832* 0.0000488949735967143</f>
        <v>0.07544494426</v>
      </c>
      <c r="H1832" s="18">
        <f>E1832* 0.000684529630354</f>
        <v>1.05622922</v>
      </c>
    </row>
    <row r="1833" ht="15.75" hidden="1" customHeight="1">
      <c r="A1833" s="15" t="s">
        <v>213</v>
      </c>
      <c r="B1833" s="11" t="s">
        <v>214</v>
      </c>
      <c r="C1833" s="15"/>
      <c r="D1833" s="31" t="s">
        <v>36</v>
      </c>
      <c r="E1833" s="32">
        <v>1.0</v>
      </c>
      <c r="F1833" s="18">
        <f>E1833* 0.973154362416107</f>
        <v>0.9731543624</v>
      </c>
      <c r="G1833" s="20">
        <v>0.0</v>
      </c>
      <c r="H1833" s="18">
        <f>E1833* 0.0268456375838926</f>
        <v>0.02684563758</v>
      </c>
    </row>
    <row r="1834" ht="15.75" hidden="1" customHeight="1">
      <c r="A1834" s="15" t="s">
        <v>213</v>
      </c>
      <c r="B1834" s="11" t="s">
        <v>214</v>
      </c>
      <c r="C1834" s="15"/>
      <c r="D1834" s="31" t="s">
        <v>37</v>
      </c>
      <c r="E1834" s="32">
        <v>0.0</v>
      </c>
      <c r="F1834" s="18">
        <f>E1834* 0.0588235294117647</f>
        <v>0</v>
      </c>
      <c r="G1834" s="18">
        <f>E1834* 0.941176470588235</f>
        <v>0</v>
      </c>
      <c r="H1834" s="20">
        <v>0.0</v>
      </c>
    </row>
    <row r="1835" ht="15.75" hidden="1" customHeight="1">
      <c r="A1835" s="15" t="s">
        <v>213</v>
      </c>
      <c r="B1835" s="11" t="s">
        <v>214</v>
      </c>
      <c r="C1835" s="15"/>
      <c r="D1835" s="31" t="s">
        <v>28</v>
      </c>
      <c r="E1835" s="32">
        <v>32.0</v>
      </c>
      <c r="F1835" s="18">
        <f>E1835* 0.00128865979381443</f>
        <v>0.0412371134</v>
      </c>
      <c r="G1835" s="18">
        <f>E1835* 0.998711340206186</f>
        <v>31.95876289</v>
      </c>
      <c r="H1835" s="20">
        <v>0.0</v>
      </c>
    </row>
    <row r="1836" ht="15.75" hidden="1" customHeight="1">
      <c r="A1836" s="15" t="s">
        <v>213</v>
      </c>
      <c r="B1836" s="11" t="s">
        <v>214</v>
      </c>
      <c r="C1836" s="15"/>
      <c r="D1836" s="31" t="s">
        <v>12</v>
      </c>
      <c r="E1836" s="32">
        <v>1582.0</v>
      </c>
      <c r="F1836" s="18">
        <f>E1836* 0.858755020080321</f>
        <v>1358.550442</v>
      </c>
      <c r="G1836" s="18">
        <f>E1836* 0.104016064257028</f>
        <v>164.5534137</v>
      </c>
      <c r="H1836" s="18">
        <f>E1836* 0.0372289156626506</f>
        <v>58.89614458</v>
      </c>
    </row>
    <row r="1837" ht="15.75" hidden="1" customHeight="1">
      <c r="A1837" s="15" t="s">
        <v>213</v>
      </c>
      <c r="B1837" s="33"/>
      <c r="C1837" s="33"/>
      <c r="D1837" s="34"/>
      <c r="E1837" s="35"/>
    </row>
    <row r="1838" ht="15.75" hidden="1" customHeight="1">
      <c r="A1838" s="15" t="s">
        <v>213</v>
      </c>
      <c r="B1838" s="11" t="s">
        <v>215</v>
      </c>
      <c r="C1838" s="12" t="str">
        <f>B1838&amp;"_"&amp;A1838</f>
        <v>Caraparí_Tarija</v>
      </c>
      <c r="E1838" s="22">
        <v>650.0</v>
      </c>
      <c r="F1838" s="14">
        <f t="shared" ref="F1838:H1838" si="174">SUM(F1839:F1851)</f>
        <v>480.5107297</v>
      </c>
      <c r="G1838" s="14">
        <f t="shared" si="174"/>
        <v>149.721556</v>
      </c>
      <c r="H1838" s="14">
        <f t="shared" si="174"/>
        <v>19.71151249</v>
      </c>
    </row>
    <row r="1839" ht="15.75" hidden="1" customHeight="1">
      <c r="A1839" s="15" t="s">
        <v>213</v>
      </c>
      <c r="B1839" s="11" t="s">
        <v>215</v>
      </c>
      <c r="C1839" s="15"/>
      <c r="D1839" s="31" t="s">
        <v>53</v>
      </c>
      <c r="E1839" s="32">
        <v>0.0</v>
      </c>
      <c r="F1839" s="20">
        <v>0.0</v>
      </c>
      <c r="G1839" s="24">
        <f>E1839</f>
        <v>0</v>
      </c>
      <c r="H1839" s="20">
        <v>0.0</v>
      </c>
    </row>
    <row r="1840" ht="15.75" hidden="1" customHeight="1">
      <c r="A1840" s="15" t="s">
        <v>213</v>
      </c>
      <c r="B1840" s="11" t="s">
        <v>215</v>
      </c>
      <c r="C1840" s="15"/>
      <c r="D1840" s="31" t="s">
        <v>15</v>
      </c>
      <c r="E1840" s="32">
        <v>18.0</v>
      </c>
      <c r="F1840" s="18">
        <f>E1840* 0.957552016439764</f>
        <v>17.2359363</v>
      </c>
      <c r="G1840" s="18">
        <f>E1840* 0.0158618032365785</f>
        <v>0.2855124583</v>
      </c>
      <c r="H1840" s="18">
        <f>E1840* 0.0265861803236578</f>
        <v>0.4785512458</v>
      </c>
    </row>
    <row r="1841" ht="15.75" hidden="1" customHeight="1">
      <c r="A1841" s="15" t="s">
        <v>213</v>
      </c>
      <c r="B1841" s="11" t="s">
        <v>215</v>
      </c>
      <c r="C1841" s="15"/>
      <c r="D1841" s="31" t="s">
        <v>16</v>
      </c>
      <c r="E1841" s="32">
        <v>3.0</v>
      </c>
      <c r="F1841" s="18">
        <f>E1841* 0.0288065843621399</f>
        <v>0.08641975309</v>
      </c>
      <c r="G1841" s="18">
        <f>E1841* 0.967078189300412</f>
        <v>2.901234568</v>
      </c>
      <c r="H1841" s="18">
        <f>E1841* 0.00411522633744856</f>
        <v>0.01234567901</v>
      </c>
    </row>
    <row r="1842" ht="15.75" hidden="1" customHeight="1">
      <c r="A1842" s="15" t="s">
        <v>213</v>
      </c>
      <c r="B1842" s="11" t="s">
        <v>215</v>
      </c>
      <c r="C1842" s="15"/>
      <c r="D1842" s="31" t="s">
        <v>11</v>
      </c>
      <c r="E1842" s="32">
        <v>46.0</v>
      </c>
      <c r="F1842" s="18">
        <f>E1842* 0.069996216420734</f>
        <v>3.219825955</v>
      </c>
      <c r="G1842" s="18">
        <f>E1842* 0.928364232564006</f>
        <v>42.7047547</v>
      </c>
      <c r="H1842" s="18">
        <f>E1842* 0.00113507377979569</f>
        <v>0.05221339387</v>
      </c>
    </row>
    <row r="1843" ht="15.75" hidden="1" customHeight="1">
      <c r="A1843" s="15" t="s">
        <v>213</v>
      </c>
      <c r="B1843" s="11" t="s">
        <v>215</v>
      </c>
      <c r="C1843" s="15"/>
      <c r="D1843" s="31" t="s">
        <v>17</v>
      </c>
      <c r="E1843" s="32">
        <v>126.0</v>
      </c>
      <c r="F1843" s="18">
        <f>E1843* 0.797049581005587</f>
        <v>100.4282472</v>
      </c>
      <c r="G1843" s="18">
        <f>E1843* 0.161662011173184</f>
        <v>20.36941341</v>
      </c>
      <c r="H1843" s="18">
        <f>E1843* 0.0410265363128492</f>
        <v>5.169343575</v>
      </c>
    </row>
    <row r="1844" ht="15.75" hidden="1" customHeight="1">
      <c r="A1844" s="15" t="s">
        <v>213</v>
      </c>
      <c r="B1844" s="11" t="s">
        <v>215</v>
      </c>
      <c r="C1844" s="15"/>
      <c r="D1844" s="31" t="s">
        <v>31</v>
      </c>
      <c r="E1844" s="32">
        <v>5.0</v>
      </c>
      <c r="F1844" s="18">
        <f>E1844* 0.820689655172414</f>
        <v>4.103448276</v>
      </c>
      <c r="G1844" s="18">
        <f>E1844* 0.16551724137931</f>
        <v>0.8275862069</v>
      </c>
      <c r="H1844" s="18">
        <f>E1844* 0.0137931034482759</f>
        <v>0.06896551724</v>
      </c>
    </row>
    <row r="1845" ht="15.75" hidden="1" customHeight="1">
      <c r="A1845" s="15" t="s">
        <v>213</v>
      </c>
      <c r="B1845" s="11" t="s">
        <v>215</v>
      </c>
      <c r="C1845" s="15"/>
      <c r="D1845" s="31" t="s">
        <v>18</v>
      </c>
      <c r="E1845" s="32">
        <v>4.0</v>
      </c>
      <c r="F1845" s="18">
        <f>E1845* 0.912233009708738</f>
        <v>3.648932039</v>
      </c>
      <c r="G1845" s="18">
        <f>E1845* 0.0811650485436893</f>
        <v>0.3246601942</v>
      </c>
      <c r="H1845" s="18">
        <f>E1845* 0.00660194174757282</f>
        <v>0.02640776699</v>
      </c>
    </row>
    <row r="1846" ht="15.75" hidden="1" customHeight="1">
      <c r="A1846" s="15" t="s">
        <v>213</v>
      </c>
      <c r="B1846" s="11" t="s">
        <v>215</v>
      </c>
      <c r="C1846" s="15"/>
      <c r="D1846" s="31" t="s">
        <v>19</v>
      </c>
      <c r="E1846" s="32">
        <v>37.0</v>
      </c>
      <c r="F1846" s="18">
        <f>E1846* 0.0264765784114053</f>
        <v>0.9796334012</v>
      </c>
      <c r="G1846" s="18">
        <f>E1846* 0.970807875084861</f>
        <v>35.91989138</v>
      </c>
      <c r="H1846" s="18">
        <f>E1846* 0.00271554650373388</f>
        <v>0.1004752206</v>
      </c>
    </row>
    <row r="1847" ht="15.75" hidden="1" customHeight="1">
      <c r="A1847" s="15" t="s">
        <v>213</v>
      </c>
      <c r="B1847" s="11" t="s">
        <v>215</v>
      </c>
      <c r="C1847" s="15"/>
      <c r="D1847" s="31" t="s">
        <v>20</v>
      </c>
      <c r="E1847" s="32">
        <v>50.0</v>
      </c>
      <c r="F1847" s="18">
        <f>E1847* 0.657913931436907</f>
        <v>32.89569657</v>
      </c>
      <c r="G1847" s="18">
        <f>E1847* 0.284463894967177</f>
        <v>14.22319475</v>
      </c>
      <c r="H1847" s="18">
        <f>E1847* 0.0576221735959154</f>
        <v>2.88110868</v>
      </c>
    </row>
    <row r="1848" ht="15.75" hidden="1" customHeight="1">
      <c r="A1848" s="15" t="s">
        <v>213</v>
      </c>
      <c r="B1848" s="11" t="s">
        <v>215</v>
      </c>
      <c r="C1848" s="15"/>
      <c r="D1848" s="31" t="s">
        <v>21</v>
      </c>
      <c r="E1848" s="32">
        <v>66.0</v>
      </c>
      <c r="F1848" s="18">
        <f>E1848* 0.999266575396049</f>
        <v>65.95159398</v>
      </c>
      <c r="G1848" s="18">
        <f>E1848* 0.0000488949735967143</f>
        <v>0.003227068257</v>
      </c>
      <c r="H1848" s="18">
        <f>E1848* 0.000684529630354</f>
        <v>0.0451789556</v>
      </c>
    </row>
    <row r="1849" ht="15.75" hidden="1" customHeight="1">
      <c r="A1849" s="15" t="s">
        <v>213</v>
      </c>
      <c r="B1849" s="11" t="s">
        <v>215</v>
      </c>
      <c r="C1849" s="15"/>
      <c r="D1849" s="31" t="s">
        <v>36</v>
      </c>
      <c r="E1849" s="32">
        <v>3.0</v>
      </c>
      <c r="F1849" s="18">
        <f>E1849* 0.973154362416107</f>
        <v>2.919463087</v>
      </c>
      <c r="G1849" s="20">
        <v>0.0</v>
      </c>
      <c r="H1849" s="18">
        <f>E1849* 0.0268456375838926</f>
        <v>0.08053691275</v>
      </c>
    </row>
    <row r="1850" ht="15.75" hidden="1" customHeight="1">
      <c r="A1850" s="15" t="s">
        <v>213</v>
      </c>
      <c r="B1850" s="11" t="s">
        <v>215</v>
      </c>
      <c r="C1850" s="15"/>
      <c r="D1850" s="31" t="s">
        <v>28</v>
      </c>
      <c r="E1850" s="32">
        <v>2.0</v>
      </c>
      <c r="F1850" s="18">
        <f>E1850* 0.00128865979381443</f>
        <v>0.002577319588</v>
      </c>
      <c r="G1850" s="18">
        <f>E1850* 0.998711340206186</f>
        <v>1.99742268</v>
      </c>
      <c r="H1850" s="20">
        <v>0.0</v>
      </c>
    </row>
    <row r="1851" ht="15.75" hidden="1" customHeight="1">
      <c r="A1851" s="15" t="s">
        <v>213</v>
      </c>
      <c r="B1851" s="11" t="s">
        <v>215</v>
      </c>
      <c r="C1851" s="15"/>
      <c r="D1851" s="31" t="s">
        <v>12</v>
      </c>
      <c r="E1851" s="32">
        <v>290.0</v>
      </c>
      <c r="F1851" s="18">
        <f>E1851* 0.858755020080321</f>
        <v>249.0389558</v>
      </c>
      <c r="G1851" s="18">
        <f>E1851* 0.104016064257028</f>
        <v>30.16465863</v>
      </c>
      <c r="H1851" s="18">
        <f>E1851* 0.0372289156626506</f>
        <v>10.79638554</v>
      </c>
    </row>
    <row r="1852" ht="15.75" hidden="1" customHeight="1">
      <c r="A1852" s="15" t="s">
        <v>213</v>
      </c>
      <c r="B1852" s="33"/>
      <c r="C1852" s="33"/>
      <c r="D1852" s="34"/>
      <c r="E1852" s="35"/>
    </row>
    <row r="1853" ht="15.75" hidden="1" customHeight="1">
      <c r="A1853" s="15" t="s">
        <v>213</v>
      </c>
      <c r="B1853" s="11" t="s">
        <v>216</v>
      </c>
      <c r="C1853" s="12" t="str">
        <f>B1853&amp;"_"&amp;A1853</f>
        <v>El Puente - Tarija_Tarija</v>
      </c>
      <c r="E1853" s="22">
        <v>136.0</v>
      </c>
      <c r="F1853" s="14">
        <f t="shared" ref="F1853:H1853" si="175">SUM(F1854:F1864)</f>
        <v>83.23774939</v>
      </c>
      <c r="G1853" s="14">
        <f t="shared" si="175"/>
        <v>50.21098076</v>
      </c>
      <c r="H1853" s="14">
        <f t="shared" si="175"/>
        <v>2.518501668</v>
      </c>
    </row>
    <row r="1854" ht="15.75" hidden="1" customHeight="1">
      <c r="A1854" s="15" t="s">
        <v>213</v>
      </c>
      <c r="B1854" s="11" t="s">
        <v>216</v>
      </c>
      <c r="C1854" s="15"/>
      <c r="D1854" s="31" t="s">
        <v>53</v>
      </c>
      <c r="E1854" s="32">
        <v>0.0</v>
      </c>
      <c r="F1854" s="20">
        <v>0.0</v>
      </c>
      <c r="G1854" s="24">
        <f>E1854</f>
        <v>0</v>
      </c>
      <c r="H1854" s="20">
        <v>0.0</v>
      </c>
    </row>
    <row r="1855" ht="15.75" hidden="1" customHeight="1">
      <c r="A1855" s="15" t="s">
        <v>213</v>
      </c>
      <c r="B1855" s="11" t="s">
        <v>216</v>
      </c>
      <c r="C1855" s="15"/>
      <c r="D1855" s="31" t="s">
        <v>15</v>
      </c>
      <c r="E1855" s="32">
        <v>3.0</v>
      </c>
      <c r="F1855" s="18">
        <f>E1855* 0.957552016439764</f>
        <v>2.872656049</v>
      </c>
      <c r="G1855" s="18">
        <f>E1855* 0.0158618032365785</f>
        <v>0.04758540971</v>
      </c>
      <c r="H1855" s="18">
        <f>E1855* 0.0265861803236578</f>
        <v>0.07975854097</v>
      </c>
    </row>
    <row r="1856" ht="15.75" hidden="1" customHeight="1">
      <c r="A1856" s="15" t="s">
        <v>213</v>
      </c>
      <c r="B1856" s="11" t="s">
        <v>216</v>
      </c>
      <c r="C1856" s="15"/>
      <c r="D1856" s="31" t="s">
        <v>16</v>
      </c>
      <c r="E1856" s="32">
        <v>1.0</v>
      </c>
      <c r="F1856" s="18">
        <f>E1856* 0.0288065843621399</f>
        <v>0.02880658436</v>
      </c>
      <c r="G1856" s="18">
        <f>E1856* 0.967078189300412</f>
        <v>0.9670781893</v>
      </c>
      <c r="H1856" s="18">
        <f>E1856* 0.00411522633744856</f>
        <v>0.004115226337</v>
      </c>
    </row>
    <row r="1857" ht="15.75" hidden="1" customHeight="1">
      <c r="A1857" s="15" t="s">
        <v>213</v>
      </c>
      <c r="B1857" s="11" t="s">
        <v>216</v>
      </c>
      <c r="C1857" s="15"/>
      <c r="D1857" s="31" t="s">
        <v>11</v>
      </c>
      <c r="E1857" s="32">
        <v>39.0</v>
      </c>
      <c r="F1857" s="18">
        <f>E1857* 0.069996216420734</f>
        <v>2.72985244</v>
      </c>
      <c r="G1857" s="18">
        <f>E1857* 0.928364232564006</f>
        <v>36.20620507</v>
      </c>
      <c r="H1857" s="18">
        <f>E1857* 0.00113507377979569</f>
        <v>0.04426787741</v>
      </c>
    </row>
    <row r="1858" ht="15.75" hidden="1" customHeight="1">
      <c r="A1858" s="15" t="s">
        <v>213</v>
      </c>
      <c r="B1858" s="11" t="s">
        <v>216</v>
      </c>
      <c r="C1858" s="15"/>
      <c r="D1858" s="31" t="s">
        <v>17</v>
      </c>
      <c r="E1858" s="32">
        <v>50.0</v>
      </c>
      <c r="F1858" s="18">
        <f>E1858* 0.797049581005587</f>
        <v>39.85247905</v>
      </c>
      <c r="G1858" s="18">
        <f>E1858* 0.161662011173184</f>
        <v>8.083100559</v>
      </c>
      <c r="H1858" s="18">
        <f>E1858* 0.0410265363128492</f>
        <v>2.051326816</v>
      </c>
    </row>
    <row r="1859" ht="15.75" hidden="1" customHeight="1">
      <c r="A1859" s="15" t="s">
        <v>213</v>
      </c>
      <c r="B1859" s="11" t="s">
        <v>216</v>
      </c>
      <c r="C1859" s="15"/>
      <c r="D1859" s="31" t="s">
        <v>18</v>
      </c>
      <c r="E1859" s="32">
        <v>2.0</v>
      </c>
      <c r="F1859" s="18">
        <f>E1859* 0.912233009708738</f>
        <v>1.824466019</v>
      </c>
      <c r="G1859" s="18">
        <f>E1859* 0.0811650485436893</f>
        <v>0.1623300971</v>
      </c>
      <c r="H1859" s="18">
        <f>E1859* 0.00660194174757282</f>
        <v>0.0132038835</v>
      </c>
    </row>
    <row r="1860" ht="15.75" hidden="1" customHeight="1">
      <c r="A1860" s="15" t="s">
        <v>213</v>
      </c>
      <c r="B1860" s="11" t="s">
        <v>216</v>
      </c>
      <c r="C1860" s="15"/>
      <c r="D1860" s="31" t="s">
        <v>19</v>
      </c>
      <c r="E1860" s="32">
        <v>3.0</v>
      </c>
      <c r="F1860" s="18">
        <f>E1860* 0.0264765784114053</f>
        <v>0.07942973523</v>
      </c>
      <c r="G1860" s="18">
        <f>E1860* 0.970807875084861</f>
        <v>2.912423625</v>
      </c>
      <c r="H1860" s="18">
        <f>E1860* 0.00271554650373388</f>
        <v>0.008146639511</v>
      </c>
    </row>
    <row r="1861" ht="15.75" hidden="1" customHeight="1">
      <c r="A1861" s="15" t="s">
        <v>213</v>
      </c>
      <c r="B1861" s="11" t="s">
        <v>216</v>
      </c>
      <c r="C1861" s="15"/>
      <c r="D1861" s="31" t="s">
        <v>20</v>
      </c>
      <c r="E1861" s="32">
        <v>0.0</v>
      </c>
      <c r="F1861" s="18">
        <f>E1861* 0.657913931436907</f>
        <v>0</v>
      </c>
      <c r="G1861" s="18">
        <f>E1861* 0.284463894967177</f>
        <v>0</v>
      </c>
      <c r="H1861" s="18">
        <f>E1861* 0.0576221735959154</f>
        <v>0</v>
      </c>
    </row>
    <row r="1862" ht="15.75" hidden="1" customHeight="1">
      <c r="A1862" s="15" t="s">
        <v>213</v>
      </c>
      <c r="B1862" s="11" t="s">
        <v>216</v>
      </c>
      <c r="C1862" s="15"/>
      <c r="D1862" s="31" t="s">
        <v>21</v>
      </c>
      <c r="E1862" s="32">
        <v>29.0</v>
      </c>
      <c r="F1862" s="18">
        <f>E1862* 0.999266575396049</f>
        <v>28.97873069</v>
      </c>
      <c r="G1862" s="18">
        <f>E1862* 0.0000488949735967143</f>
        <v>0.001417954234</v>
      </c>
      <c r="H1862" s="18">
        <f>E1862* 0.000684529630354</f>
        <v>0.01985135928</v>
      </c>
    </row>
    <row r="1863" ht="15.75" hidden="1" customHeight="1">
      <c r="A1863" s="15" t="s">
        <v>213</v>
      </c>
      <c r="B1863" s="11" t="s">
        <v>216</v>
      </c>
      <c r="C1863" s="15"/>
      <c r="D1863" s="31" t="s">
        <v>28</v>
      </c>
      <c r="E1863" s="32">
        <v>1.0</v>
      </c>
      <c r="F1863" s="18">
        <f>E1863* 0.00128865979381443</f>
        <v>0.001288659794</v>
      </c>
      <c r="G1863" s="18">
        <f>E1863* 0.998711340206186</f>
        <v>0.9987113402</v>
      </c>
      <c r="H1863" s="20">
        <v>0.0</v>
      </c>
    </row>
    <row r="1864" ht="15.75" hidden="1" customHeight="1">
      <c r="A1864" s="15" t="s">
        <v>213</v>
      </c>
      <c r="B1864" s="11" t="s">
        <v>216</v>
      </c>
      <c r="C1864" s="15"/>
      <c r="D1864" s="31" t="s">
        <v>12</v>
      </c>
      <c r="E1864" s="32">
        <v>8.0</v>
      </c>
      <c r="F1864" s="18">
        <f>E1864* 0.858755020080321</f>
        <v>6.870040161</v>
      </c>
      <c r="G1864" s="18">
        <f>E1864* 0.104016064257028</f>
        <v>0.8321285141</v>
      </c>
      <c r="H1864" s="18">
        <f>E1864* 0.0372289156626506</f>
        <v>0.2978313253</v>
      </c>
    </row>
    <row r="1865" ht="15.75" hidden="1" customHeight="1">
      <c r="A1865" s="15" t="s">
        <v>213</v>
      </c>
      <c r="B1865" s="33"/>
      <c r="C1865" s="33"/>
      <c r="D1865" s="34"/>
      <c r="E1865" s="35"/>
    </row>
    <row r="1866" ht="15.75" hidden="1" customHeight="1">
      <c r="A1866" s="15" t="s">
        <v>213</v>
      </c>
      <c r="B1866" s="11" t="s">
        <v>217</v>
      </c>
      <c r="C1866" s="12" t="str">
        <f>B1866&amp;"_"&amp;A1866</f>
        <v>La Moreta (Entre Ríos)_Tarija</v>
      </c>
      <c r="E1866" s="22">
        <v>135.0</v>
      </c>
      <c r="F1866" s="14">
        <f t="shared" ref="F1866:H1866" si="176">SUM(F1867:F1877)</f>
        <v>89.079907</v>
      </c>
      <c r="G1866" s="14">
        <f t="shared" si="176"/>
        <v>43.2427335</v>
      </c>
      <c r="H1866" s="14">
        <f t="shared" si="176"/>
        <v>2.64844232</v>
      </c>
    </row>
    <row r="1867" ht="15.75" hidden="1" customHeight="1">
      <c r="A1867" s="15" t="s">
        <v>213</v>
      </c>
      <c r="B1867" s="11" t="s">
        <v>217</v>
      </c>
      <c r="C1867" s="15"/>
      <c r="D1867" s="31" t="s">
        <v>53</v>
      </c>
      <c r="E1867" s="32">
        <v>0.0</v>
      </c>
      <c r="F1867" s="20">
        <v>0.0</v>
      </c>
      <c r="G1867" s="24">
        <f>E1867</f>
        <v>0</v>
      </c>
      <c r="H1867" s="20">
        <v>0.0</v>
      </c>
    </row>
    <row r="1868" ht="15.75" hidden="1" customHeight="1">
      <c r="A1868" s="15" t="s">
        <v>213</v>
      </c>
      <c r="B1868" s="11" t="s">
        <v>217</v>
      </c>
      <c r="C1868" s="15"/>
      <c r="D1868" s="31" t="s">
        <v>15</v>
      </c>
      <c r="E1868" s="32">
        <v>5.0</v>
      </c>
      <c r="F1868" s="18">
        <f>E1868* 0.957552016439764</f>
        <v>4.787760082</v>
      </c>
      <c r="G1868" s="18">
        <f>E1868* 0.0158618032365785</f>
        <v>0.07930901618</v>
      </c>
      <c r="H1868" s="18">
        <f>E1868* 0.0265861803236578</f>
        <v>0.1329309016</v>
      </c>
    </row>
    <row r="1869" ht="15.75" hidden="1" customHeight="1">
      <c r="A1869" s="15" t="s">
        <v>213</v>
      </c>
      <c r="B1869" s="11" t="s">
        <v>217</v>
      </c>
      <c r="C1869" s="15"/>
      <c r="D1869" s="31" t="s">
        <v>16</v>
      </c>
      <c r="E1869" s="32">
        <v>0.0</v>
      </c>
      <c r="F1869" s="18">
        <f>E1869* 0.0288065843621399</f>
        <v>0</v>
      </c>
      <c r="G1869" s="18">
        <f>E1869* 0.967078189300412</f>
        <v>0</v>
      </c>
      <c r="H1869" s="18">
        <f>E1869* 0.00411522633744856</f>
        <v>0</v>
      </c>
    </row>
    <row r="1870" ht="15.75" hidden="1" customHeight="1">
      <c r="A1870" s="15" t="s">
        <v>213</v>
      </c>
      <c r="B1870" s="11" t="s">
        <v>217</v>
      </c>
      <c r="C1870" s="15"/>
      <c r="D1870" s="31" t="s">
        <v>11</v>
      </c>
      <c r="E1870" s="32">
        <v>35.0</v>
      </c>
      <c r="F1870" s="18">
        <f>E1870* 0.069996216420734</f>
        <v>2.449867575</v>
      </c>
      <c r="G1870" s="18">
        <f>E1870* 0.928364232564006</f>
        <v>32.49274814</v>
      </c>
      <c r="H1870" s="18">
        <f>E1870* 0.00113507377979569</f>
        <v>0.03972758229</v>
      </c>
    </row>
    <row r="1871" ht="15.75" hidden="1" customHeight="1">
      <c r="A1871" s="15" t="s">
        <v>213</v>
      </c>
      <c r="B1871" s="11" t="s">
        <v>217</v>
      </c>
      <c r="C1871" s="15"/>
      <c r="D1871" s="31" t="s">
        <v>17</v>
      </c>
      <c r="E1871" s="32">
        <v>43.0</v>
      </c>
      <c r="F1871" s="18">
        <f>E1871* 0.797049581005587</f>
        <v>34.27313198</v>
      </c>
      <c r="G1871" s="18">
        <f>E1871* 0.161662011173184</f>
        <v>6.95146648</v>
      </c>
      <c r="H1871" s="18">
        <f>E1871* 0.0410265363128492</f>
        <v>1.764141061</v>
      </c>
    </row>
    <row r="1872" ht="15.75" hidden="1" customHeight="1">
      <c r="A1872" s="15" t="s">
        <v>213</v>
      </c>
      <c r="B1872" s="11" t="s">
        <v>217</v>
      </c>
      <c r="C1872" s="15"/>
      <c r="D1872" s="31" t="s">
        <v>31</v>
      </c>
      <c r="E1872" s="32">
        <v>3.0</v>
      </c>
      <c r="F1872" s="18">
        <f>E1872* 0.820689655172414</f>
        <v>2.462068966</v>
      </c>
      <c r="G1872" s="18">
        <f>E1872* 0.16551724137931</f>
        <v>0.4965517241</v>
      </c>
      <c r="H1872" s="18">
        <f>E1872* 0.0137931034482759</f>
        <v>0.04137931034</v>
      </c>
    </row>
    <row r="1873" ht="15.75" hidden="1" customHeight="1">
      <c r="A1873" s="15" t="s">
        <v>213</v>
      </c>
      <c r="B1873" s="11" t="s">
        <v>217</v>
      </c>
      <c r="C1873" s="15"/>
      <c r="D1873" s="31" t="s">
        <v>18</v>
      </c>
      <c r="E1873" s="32">
        <v>5.0</v>
      </c>
      <c r="F1873" s="18">
        <f>E1873* 0.912233009708738</f>
        <v>4.561165049</v>
      </c>
      <c r="G1873" s="18">
        <f>E1873* 0.0811650485436893</f>
        <v>0.4058252427</v>
      </c>
      <c r="H1873" s="18">
        <f>E1873* 0.00660194174757282</f>
        <v>0.03300970874</v>
      </c>
    </row>
    <row r="1874" ht="15.75" hidden="1" customHeight="1">
      <c r="A1874" s="15" t="s">
        <v>213</v>
      </c>
      <c r="B1874" s="11" t="s">
        <v>217</v>
      </c>
      <c r="C1874" s="15"/>
      <c r="D1874" s="31" t="s">
        <v>19</v>
      </c>
      <c r="E1874" s="32">
        <v>1.0</v>
      </c>
      <c r="F1874" s="18">
        <f>E1874* 0.0264765784114053</f>
        <v>0.02647657841</v>
      </c>
      <c r="G1874" s="18">
        <f>E1874* 0.970807875084861</f>
        <v>0.9708078751</v>
      </c>
      <c r="H1874" s="18">
        <f>E1874* 0.00271554650373388</f>
        <v>0.002715546504</v>
      </c>
    </row>
    <row r="1875" ht="15.75" hidden="1" customHeight="1">
      <c r="A1875" s="15" t="s">
        <v>213</v>
      </c>
      <c r="B1875" s="11" t="s">
        <v>217</v>
      </c>
      <c r="C1875" s="15"/>
      <c r="D1875" s="31" t="s">
        <v>20</v>
      </c>
      <c r="E1875" s="32">
        <v>1.0</v>
      </c>
      <c r="F1875" s="18">
        <f>E1875* 0.657913931436907</f>
        <v>0.6579139314</v>
      </c>
      <c r="G1875" s="18">
        <f>E1875* 0.284463894967177</f>
        <v>0.284463895</v>
      </c>
      <c r="H1875" s="18">
        <f>E1875* 0.0576221735959154</f>
        <v>0.0576221736</v>
      </c>
    </row>
    <row r="1876" ht="15.75" hidden="1" customHeight="1">
      <c r="A1876" s="15" t="s">
        <v>213</v>
      </c>
      <c r="B1876" s="11" t="s">
        <v>217</v>
      </c>
      <c r="C1876" s="15"/>
      <c r="D1876" s="31" t="s">
        <v>21</v>
      </c>
      <c r="E1876" s="32">
        <v>27.0</v>
      </c>
      <c r="F1876" s="18">
        <f>E1876* 0.999266575396049</f>
        <v>26.98019754</v>
      </c>
      <c r="G1876" s="18">
        <f>E1876* 0.0000488949735967143</f>
        <v>0.001320164287</v>
      </c>
      <c r="H1876" s="18">
        <f>E1876* 0.000684529630354</f>
        <v>0.01848230002</v>
      </c>
    </row>
    <row r="1877" ht="15.75" hidden="1" customHeight="1">
      <c r="A1877" s="15" t="s">
        <v>213</v>
      </c>
      <c r="B1877" s="11" t="s">
        <v>217</v>
      </c>
      <c r="C1877" s="15"/>
      <c r="D1877" s="31" t="s">
        <v>12</v>
      </c>
      <c r="E1877" s="32">
        <v>15.0</v>
      </c>
      <c r="F1877" s="18">
        <f>E1877* 0.858755020080321</f>
        <v>12.8813253</v>
      </c>
      <c r="G1877" s="18">
        <f>E1877* 0.104016064257028</f>
        <v>1.560240964</v>
      </c>
      <c r="H1877" s="18">
        <f>E1877* 0.0372289156626506</f>
        <v>0.5584337349</v>
      </c>
    </row>
    <row r="1878" ht="15.75" hidden="1" customHeight="1">
      <c r="A1878" s="15" t="s">
        <v>213</v>
      </c>
      <c r="B1878" s="33"/>
      <c r="C1878" s="33"/>
      <c r="D1878" s="34"/>
      <c r="E1878" s="35"/>
    </row>
    <row r="1879" ht="15.75" hidden="1" customHeight="1">
      <c r="A1879" s="15" t="s">
        <v>213</v>
      </c>
      <c r="B1879" s="11" t="s">
        <v>218</v>
      </c>
      <c r="C1879" s="12" t="str">
        <f>B1879&amp;"_"&amp;A1879</f>
        <v>Padcaya_Tarija</v>
      </c>
      <c r="E1879" s="22">
        <v>164.0</v>
      </c>
      <c r="F1879" s="14">
        <f t="shared" ref="F1879:H1879" si="177">SUM(F1880:F1892)</f>
        <v>108.9992825</v>
      </c>
      <c r="G1879" s="14">
        <f t="shared" si="177"/>
        <v>50.63034161</v>
      </c>
      <c r="H1879" s="14">
        <f t="shared" si="177"/>
        <v>4.347385426</v>
      </c>
    </row>
    <row r="1880" ht="15.75" hidden="1" customHeight="1">
      <c r="A1880" s="15" t="s">
        <v>213</v>
      </c>
      <c r="B1880" s="11" t="s">
        <v>218</v>
      </c>
      <c r="C1880" s="15"/>
      <c r="D1880" s="31" t="s">
        <v>53</v>
      </c>
      <c r="E1880" s="32">
        <v>0.0</v>
      </c>
      <c r="F1880" s="20">
        <v>0.0</v>
      </c>
      <c r="G1880" s="24">
        <f>E1880</f>
        <v>0</v>
      </c>
      <c r="H1880" s="20">
        <v>0.0</v>
      </c>
    </row>
    <row r="1881" ht="15.75" hidden="1" customHeight="1">
      <c r="A1881" s="15" t="s">
        <v>213</v>
      </c>
      <c r="B1881" s="11" t="s">
        <v>218</v>
      </c>
      <c r="C1881" s="15"/>
      <c r="D1881" s="31" t="s">
        <v>15</v>
      </c>
      <c r="E1881" s="32">
        <v>21.0</v>
      </c>
      <c r="F1881" s="18">
        <f>E1881* 0.957552016439764</f>
        <v>20.10859235</v>
      </c>
      <c r="G1881" s="18">
        <f>E1881* 0.0158618032365785</f>
        <v>0.333097868</v>
      </c>
      <c r="H1881" s="18">
        <f>E1881* 0.0265861803236578</f>
        <v>0.5583097868</v>
      </c>
    </row>
    <row r="1882" ht="15.75" hidden="1" customHeight="1">
      <c r="A1882" s="15" t="s">
        <v>213</v>
      </c>
      <c r="B1882" s="11" t="s">
        <v>218</v>
      </c>
      <c r="C1882" s="15"/>
      <c r="D1882" s="31" t="s">
        <v>16</v>
      </c>
      <c r="E1882" s="32">
        <v>4.0</v>
      </c>
      <c r="F1882" s="18">
        <f>E1882* 0.0288065843621399</f>
        <v>0.1152263374</v>
      </c>
      <c r="G1882" s="18">
        <f>E1882* 0.967078189300412</f>
        <v>3.868312757</v>
      </c>
      <c r="H1882" s="18">
        <f>E1882* 0.00411522633744856</f>
        <v>0.01646090535</v>
      </c>
    </row>
    <row r="1883" ht="15.75" hidden="1" customHeight="1">
      <c r="A1883" s="15" t="s">
        <v>213</v>
      </c>
      <c r="B1883" s="11" t="s">
        <v>218</v>
      </c>
      <c r="C1883" s="15"/>
      <c r="D1883" s="31" t="s">
        <v>11</v>
      </c>
      <c r="E1883" s="32">
        <v>30.0</v>
      </c>
      <c r="F1883" s="18">
        <f>E1883* 0.069996216420734</f>
        <v>2.099886493</v>
      </c>
      <c r="G1883" s="18">
        <f>E1883* 0.928364232564006</f>
        <v>27.85092698</v>
      </c>
      <c r="H1883" s="18">
        <f>E1883* 0.00113507377979569</f>
        <v>0.03405221339</v>
      </c>
    </row>
    <row r="1884" ht="15.75" hidden="1" customHeight="1">
      <c r="A1884" s="15" t="s">
        <v>213</v>
      </c>
      <c r="B1884" s="11" t="s">
        <v>218</v>
      </c>
      <c r="C1884" s="15"/>
      <c r="D1884" s="31" t="s">
        <v>17</v>
      </c>
      <c r="E1884" s="32">
        <v>30.0</v>
      </c>
      <c r="F1884" s="18">
        <f>E1884* 0.797049581005587</f>
        <v>23.91148743</v>
      </c>
      <c r="G1884" s="18">
        <f>E1884* 0.161662011173184</f>
        <v>4.849860335</v>
      </c>
      <c r="H1884" s="18">
        <f>E1884* 0.0410265363128492</f>
        <v>1.230796089</v>
      </c>
    </row>
    <row r="1885" ht="15.75" hidden="1" customHeight="1">
      <c r="A1885" s="15" t="s">
        <v>213</v>
      </c>
      <c r="B1885" s="11" t="s">
        <v>218</v>
      </c>
      <c r="C1885" s="15"/>
      <c r="D1885" s="31" t="s">
        <v>31</v>
      </c>
      <c r="E1885" s="32">
        <v>1.0</v>
      </c>
      <c r="F1885" s="18">
        <f>E1885* 0.820689655172414</f>
        <v>0.8206896552</v>
      </c>
      <c r="G1885" s="18">
        <f>E1885* 0.16551724137931</f>
        <v>0.1655172414</v>
      </c>
      <c r="H1885" s="18">
        <f>E1885* 0.0137931034482759</f>
        <v>0.01379310345</v>
      </c>
    </row>
    <row r="1886" ht="15.75" hidden="1" customHeight="1">
      <c r="A1886" s="15" t="s">
        <v>213</v>
      </c>
      <c r="B1886" s="11" t="s">
        <v>218</v>
      </c>
      <c r="C1886" s="15"/>
      <c r="D1886" s="31" t="s">
        <v>18</v>
      </c>
      <c r="E1886" s="32">
        <v>5.0</v>
      </c>
      <c r="F1886" s="18">
        <f>E1886* 0.912233009708738</f>
        <v>4.561165049</v>
      </c>
      <c r="G1886" s="18">
        <f>E1886* 0.0811650485436893</f>
        <v>0.4058252427</v>
      </c>
      <c r="H1886" s="18">
        <f>E1886* 0.00660194174757282</f>
        <v>0.03300970874</v>
      </c>
    </row>
    <row r="1887" ht="15.75" hidden="1" customHeight="1">
      <c r="A1887" s="15" t="s">
        <v>213</v>
      </c>
      <c r="B1887" s="11" t="s">
        <v>218</v>
      </c>
      <c r="C1887" s="15"/>
      <c r="D1887" s="31" t="s">
        <v>19</v>
      </c>
      <c r="E1887" s="32">
        <v>5.0</v>
      </c>
      <c r="F1887" s="18">
        <f>E1887* 0.0264765784114053</f>
        <v>0.1323828921</v>
      </c>
      <c r="G1887" s="18">
        <f>E1887* 0.970807875084861</f>
        <v>4.854039375</v>
      </c>
      <c r="H1887" s="18">
        <f>E1887* 0.00271554650373388</f>
        <v>0.01357773252</v>
      </c>
    </row>
    <row r="1888" ht="15.75" hidden="1" customHeight="1">
      <c r="A1888" s="15" t="s">
        <v>213</v>
      </c>
      <c r="B1888" s="11" t="s">
        <v>218</v>
      </c>
      <c r="C1888" s="15"/>
      <c r="D1888" s="31" t="s">
        <v>20</v>
      </c>
      <c r="E1888" s="32">
        <v>12.0</v>
      </c>
      <c r="F1888" s="18">
        <f>E1888* 0.657913931436907</f>
        <v>7.894967177</v>
      </c>
      <c r="G1888" s="18">
        <f>E1888* 0.284463894967177</f>
        <v>3.41356674</v>
      </c>
      <c r="H1888" s="18">
        <f>E1888* 0.0576221735959154</f>
        <v>0.6914660832</v>
      </c>
    </row>
    <row r="1889" ht="15.75" hidden="1" customHeight="1">
      <c r="A1889" s="15" t="s">
        <v>213</v>
      </c>
      <c r="B1889" s="11" t="s">
        <v>218</v>
      </c>
      <c r="C1889" s="15"/>
      <c r="D1889" s="31" t="s">
        <v>21</v>
      </c>
      <c r="E1889" s="32">
        <v>9.0</v>
      </c>
      <c r="F1889" s="18">
        <f>E1889* 0.999266575396049</f>
        <v>8.993399179</v>
      </c>
      <c r="G1889" s="18">
        <f>E1889* 0.0000488949735967143</f>
        <v>0.0004400547624</v>
      </c>
      <c r="H1889" s="18">
        <f>E1889* 0.000684529630354</f>
        <v>0.006160766673</v>
      </c>
    </row>
    <row r="1890" ht="15.75" hidden="1" customHeight="1">
      <c r="A1890" s="15" t="s">
        <v>213</v>
      </c>
      <c r="B1890" s="11" t="s">
        <v>218</v>
      </c>
      <c r="C1890" s="15"/>
      <c r="D1890" s="31" t="s">
        <v>28</v>
      </c>
      <c r="E1890" s="32">
        <v>0.0</v>
      </c>
      <c r="F1890" s="18">
        <f>E1890* 0.00128865979381443</f>
        <v>0</v>
      </c>
      <c r="G1890" s="18">
        <f>E1890* 0.998711340206186</f>
        <v>0</v>
      </c>
      <c r="H1890" s="20">
        <v>0.0</v>
      </c>
    </row>
    <row r="1891" ht="15.75" hidden="1" customHeight="1">
      <c r="A1891" s="15" t="s">
        <v>213</v>
      </c>
      <c r="B1891" s="11" t="s">
        <v>218</v>
      </c>
      <c r="C1891" s="15"/>
      <c r="D1891" s="31" t="s">
        <v>36</v>
      </c>
      <c r="E1891" s="32">
        <v>0.0</v>
      </c>
      <c r="F1891" s="18">
        <f>E1891* 0.973154362416107</f>
        <v>0</v>
      </c>
      <c r="G1891" s="20">
        <v>0.0</v>
      </c>
      <c r="H1891" s="18">
        <f>E1891* 0.0268456375838926</f>
        <v>0</v>
      </c>
    </row>
    <row r="1892" ht="15.75" hidden="1" customHeight="1">
      <c r="A1892" s="15" t="s">
        <v>213</v>
      </c>
      <c r="B1892" s="11" t="s">
        <v>218</v>
      </c>
      <c r="C1892" s="15"/>
      <c r="D1892" s="31" t="s">
        <v>12</v>
      </c>
      <c r="E1892" s="32">
        <v>47.0</v>
      </c>
      <c r="F1892" s="18">
        <f>E1892* 0.858755020080321</f>
        <v>40.36148594</v>
      </c>
      <c r="G1892" s="18">
        <f>E1892* 0.104016064257028</f>
        <v>4.88875502</v>
      </c>
      <c r="H1892" s="18">
        <f>E1892* 0.0372289156626506</f>
        <v>1.749759036</v>
      </c>
    </row>
    <row r="1893" ht="15.75" hidden="1" customHeight="1">
      <c r="A1893" s="15" t="s">
        <v>213</v>
      </c>
      <c r="B1893" s="33"/>
      <c r="C1893" s="33"/>
      <c r="D1893" s="34"/>
      <c r="E1893" s="35"/>
    </row>
    <row r="1894" ht="15.75" hidden="1" customHeight="1">
      <c r="A1894" s="15" t="s">
        <v>213</v>
      </c>
      <c r="B1894" s="11" t="s">
        <v>219</v>
      </c>
      <c r="C1894" s="12" t="str">
        <f>B1894&amp;"_"&amp;A1894</f>
        <v>San Lorenzo_Tarija</v>
      </c>
      <c r="E1894" s="22">
        <v>354.0</v>
      </c>
      <c r="F1894" s="14">
        <f t="shared" ref="F1894:H1894" si="178">SUM(F1895:F1907)</f>
        <v>276.1181092</v>
      </c>
      <c r="G1894" s="14">
        <f t="shared" si="178"/>
        <v>69.10281307</v>
      </c>
      <c r="H1894" s="14">
        <f t="shared" si="178"/>
        <v>8.737706327</v>
      </c>
    </row>
    <row r="1895" ht="15.75" hidden="1" customHeight="1">
      <c r="A1895" s="15" t="s">
        <v>213</v>
      </c>
      <c r="B1895" s="11" t="s">
        <v>219</v>
      </c>
      <c r="C1895" s="15"/>
      <c r="D1895" s="31" t="s">
        <v>53</v>
      </c>
      <c r="E1895" s="32">
        <v>0.0</v>
      </c>
      <c r="F1895" s="20">
        <v>0.0</v>
      </c>
      <c r="G1895" s="24">
        <f>E1895</f>
        <v>0</v>
      </c>
      <c r="H1895" s="20">
        <v>0.0</v>
      </c>
    </row>
    <row r="1896" ht="15.75" hidden="1" customHeight="1">
      <c r="A1896" s="15" t="s">
        <v>213</v>
      </c>
      <c r="B1896" s="11" t="s">
        <v>219</v>
      </c>
      <c r="C1896" s="15"/>
      <c r="D1896" s="31" t="s">
        <v>15</v>
      </c>
      <c r="E1896" s="32">
        <v>50.0</v>
      </c>
      <c r="F1896" s="18">
        <f>E1896* 0.957552016439764</f>
        <v>47.87760082</v>
      </c>
      <c r="G1896" s="18">
        <f>E1896* 0.0158618032365785</f>
        <v>0.7930901618</v>
      </c>
      <c r="H1896" s="18">
        <f>E1896* 0.0265861803236578</f>
        <v>1.329309016</v>
      </c>
    </row>
    <row r="1897" ht="15.75" hidden="1" customHeight="1">
      <c r="A1897" s="15" t="s">
        <v>213</v>
      </c>
      <c r="B1897" s="11" t="s">
        <v>219</v>
      </c>
      <c r="C1897" s="15"/>
      <c r="D1897" s="31" t="s">
        <v>16</v>
      </c>
      <c r="E1897" s="32">
        <v>0.0</v>
      </c>
      <c r="F1897" s="18">
        <f>E1897* 0.0288065843621399</f>
        <v>0</v>
      </c>
      <c r="G1897" s="18">
        <f>E1897* 0.967078189300412</f>
        <v>0</v>
      </c>
      <c r="H1897" s="18">
        <f>E1897* 0.00411522633744856</f>
        <v>0</v>
      </c>
    </row>
    <row r="1898" ht="15.75" hidden="1" customHeight="1">
      <c r="A1898" s="15" t="s">
        <v>213</v>
      </c>
      <c r="B1898" s="11" t="s">
        <v>219</v>
      </c>
      <c r="C1898" s="15"/>
      <c r="D1898" s="31" t="s">
        <v>11</v>
      </c>
      <c r="E1898" s="32">
        <v>41.0</v>
      </c>
      <c r="F1898" s="18">
        <f>E1898* 0.069996216420734</f>
        <v>2.869844873</v>
      </c>
      <c r="G1898" s="18">
        <f>E1898* 0.928364232564006</f>
        <v>38.06293354</v>
      </c>
      <c r="H1898" s="18">
        <f>E1898* 0.00113507377979569</f>
        <v>0.04653802497</v>
      </c>
    </row>
    <row r="1899" ht="15.75" hidden="1" customHeight="1">
      <c r="A1899" s="15" t="s">
        <v>213</v>
      </c>
      <c r="B1899" s="11" t="s">
        <v>219</v>
      </c>
      <c r="C1899" s="15"/>
      <c r="D1899" s="31" t="s">
        <v>17</v>
      </c>
      <c r="E1899" s="32">
        <v>79.0</v>
      </c>
      <c r="F1899" s="18">
        <f>E1899* 0.797049581005587</f>
        <v>62.9669169</v>
      </c>
      <c r="G1899" s="18">
        <f>E1899* 0.161662011173184</f>
        <v>12.77129888</v>
      </c>
      <c r="H1899" s="18">
        <f>E1899* 0.0410265363128492</f>
        <v>3.241096369</v>
      </c>
    </row>
    <row r="1900" ht="15.75" hidden="1" customHeight="1">
      <c r="A1900" s="15" t="s">
        <v>213</v>
      </c>
      <c r="B1900" s="11" t="s">
        <v>219</v>
      </c>
      <c r="C1900" s="15"/>
      <c r="D1900" s="31" t="s">
        <v>31</v>
      </c>
      <c r="E1900" s="32">
        <v>1.0</v>
      </c>
      <c r="F1900" s="18">
        <f>E1900* 0.820689655172414</f>
        <v>0.8206896552</v>
      </c>
      <c r="G1900" s="18">
        <f>E1900* 0.16551724137931</f>
        <v>0.1655172414</v>
      </c>
      <c r="H1900" s="18">
        <f>E1900* 0.0137931034482759</f>
        <v>0.01379310345</v>
      </c>
    </row>
    <row r="1901" ht="15.75" hidden="1" customHeight="1">
      <c r="A1901" s="15" t="s">
        <v>213</v>
      </c>
      <c r="B1901" s="11" t="s">
        <v>219</v>
      </c>
      <c r="C1901" s="15"/>
      <c r="D1901" s="31" t="s">
        <v>18</v>
      </c>
      <c r="E1901" s="32">
        <v>7.0</v>
      </c>
      <c r="F1901" s="18">
        <f>E1901* 0.912233009708738</f>
        <v>6.385631068</v>
      </c>
      <c r="G1901" s="18">
        <f>E1901* 0.0811650485436893</f>
        <v>0.5681553398</v>
      </c>
      <c r="H1901" s="18">
        <f>E1901* 0.00660194174757282</f>
        <v>0.04621359223</v>
      </c>
    </row>
    <row r="1902" ht="15.75" hidden="1" customHeight="1">
      <c r="A1902" s="15" t="s">
        <v>213</v>
      </c>
      <c r="B1902" s="11" t="s">
        <v>219</v>
      </c>
      <c r="C1902" s="15"/>
      <c r="D1902" s="31" t="s">
        <v>19</v>
      </c>
      <c r="E1902" s="32">
        <v>2.0</v>
      </c>
      <c r="F1902" s="18">
        <f>E1902* 0.0264765784114053</f>
        <v>0.05295315682</v>
      </c>
      <c r="G1902" s="18">
        <f>E1902* 0.970807875084861</f>
        <v>1.94161575</v>
      </c>
      <c r="H1902" s="18">
        <f>E1902* 0.00271554650373388</f>
        <v>0.005431093007</v>
      </c>
    </row>
    <row r="1903" ht="15.75" hidden="1" customHeight="1">
      <c r="A1903" s="15" t="s">
        <v>213</v>
      </c>
      <c r="B1903" s="11" t="s">
        <v>219</v>
      </c>
      <c r="C1903" s="15"/>
      <c r="D1903" s="31" t="s">
        <v>20</v>
      </c>
      <c r="E1903" s="32">
        <v>33.0</v>
      </c>
      <c r="F1903" s="18">
        <f>E1903* 0.657913931436907</f>
        <v>21.71115974</v>
      </c>
      <c r="G1903" s="18">
        <f>E1903* 0.284463894967177</f>
        <v>9.387308534</v>
      </c>
      <c r="H1903" s="18">
        <f>E1903* 0.0576221735959154</f>
        <v>1.901531729</v>
      </c>
    </row>
    <row r="1904" ht="15.75" hidden="1" customHeight="1">
      <c r="A1904" s="15" t="s">
        <v>213</v>
      </c>
      <c r="B1904" s="11" t="s">
        <v>219</v>
      </c>
      <c r="C1904" s="15"/>
      <c r="D1904" s="31" t="s">
        <v>21</v>
      </c>
      <c r="E1904" s="32">
        <v>83.0</v>
      </c>
      <c r="F1904" s="18">
        <f>E1904* 0.999266575396049</f>
        <v>82.93912576</v>
      </c>
      <c r="G1904" s="18">
        <f>E1904* 0.0000488949735967143</f>
        <v>0.004058282809</v>
      </c>
      <c r="H1904" s="18">
        <f>E1904* 0.000684529630354</f>
        <v>0.05681595932</v>
      </c>
    </row>
    <row r="1905" ht="15.75" hidden="1" customHeight="1">
      <c r="A1905" s="15" t="s">
        <v>213</v>
      </c>
      <c r="B1905" s="11" t="s">
        <v>219</v>
      </c>
      <c r="C1905" s="15"/>
      <c r="D1905" s="31" t="s">
        <v>36</v>
      </c>
      <c r="E1905" s="32">
        <v>6.0</v>
      </c>
      <c r="F1905" s="18">
        <f>E1905* 0.973154362416107</f>
        <v>5.838926174</v>
      </c>
      <c r="G1905" s="20">
        <v>0.0</v>
      </c>
      <c r="H1905" s="18">
        <f>E1905* 0.0268456375838926</f>
        <v>0.1610738255</v>
      </c>
    </row>
    <row r="1906" ht="15.75" hidden="1" customHeight="1">
      <c r="A1906" s="15" t="s">
        <v>213</v>
      </c>
      <c r="B1906" s="11" t="s">
        <v>219</v>
      </c>
      <c r="C1906" s="15"/>
      <c r="D1906" s="31" t="s">
        <v>28</v>
      </c>
      <c r="E1906" s="32">
        <v>0.0</v>
      </c>
      <c r="F1906" s="18">
        <f>E1906* 0.00128865979381443</f>
        <v>0</v>
      </c>
      <c r="G1906" s="18">
        <f>E1906* 0.998711340206186</f>
        <v>0</v>
      </c>
      <c r="H1906" s="20">
        <v>0.0</v>
      </c>
    </row>
    <row r="1907" ht="15.75" hidden="1" customHeight="1">
      <c r="A1907" s="15" t="s">
        <v>213</v>
      </c>
      <c r="B1907" s="11" t="s">
        <v>219</v>
      </c>
      <c r="C1907" s="15"/>
      <c r="D1907" s="31" t="s">
        <v>12</v>
      </c>
      <c r="E1907" s="32">
        <v>52.0</v>
      </c>
      <c r="F1907" s="18">
        <f>E1907* 0.858755020080321</f>
        <v>44.65526104</v>
      </c>
      <c r="G1907" s="18">
        <f>E1907* 0.104016064257028</f>
        <v>5.408835341</v>
      </c>
      <c r="H1907" s="18">
        <f>E1907* 0.0372289156626506</f>
        <v>1.935903614</v>
      </c>
    </row>
    <row r="1908" ht="15.75" hidden="1" customHeight="1">
      <c r="A1908" s="15" t="s">
        <v>213</v>
      </c>
      <c r="B1908" s="33"/>
      <c r="C1908" s="33"/>
      <c r="D1908" s="34"/>
      <c r="E1908" s="35"/>
    </row>
    <row r="1909" ht="15.75" hidden="1" customHeight="1">
      <c r="A1909" s="15" t="s">
        <v>213</v>
      </c>
      <c r="B1909" s="11" t="s">
        <v>213</v>
      </c>
      <c r="C1909" s="12" t="str">
        <f>B1909&amp;"_"&amp;A1909</f>
        <v>Tarija_Tarija</v>
      </c>
      <c r="E1909" s="22">
        <v>61230.0</v>
      </c>
      <c r="F1909" s="14">
        <f t="shared" ref="F1909:H1909" si="179">SUM(F1910:F1923)</f>
        <v>48971.69163</v>
      </c>
      <c r="G1909" s="14">
        <f t="shared" si="179"/>
        <v>10938.58049</v>
      </c>
      <c r="H1909" s="14">
        <f t="shared" si="179"/>
        <v>1314.652358</v>
      </c>
    </row>
    <row r="1910" ht="15.75" hidden="1" customHeight="1">
      <c r="A1910" s="15" t="s">
        <v>213</v>
      </c>
      <c r="B1910" s="11" t="s">
        <v>213</v>
      </c>
      <c r="C1910" s="15"/>
      <c r="D1910" s="31" t="s">
        <v>53</v>
      </c>
      <c r="E1910" s="32">
        <v>0.0</v>
      </c>
      <c r="F1910" s="20">
        <v>0.0</v>
      </c>
      <c r="G1910" s="24">
        <f>E1910</f>
        <v>0</v>
      </c>
      <c r="H1910" s="20">
        <v>0.0</v>
      </c>
    </row>
    <row r="1911" ht="15.75" hidden="1" customHeight="1">
      <c r="A1911" s="15" t="s">
        <v>213</v>
      </c>
      <c r="B1911" s="11" t="s">
        <v>213</v>
      </c>
      <c r="C1911" s="15"/>
      <c r="D1911" s="31" t="s">
        <v>15</v>
      </c>
      <c r="E1911" s="32">
        <v>12243.0</v>
      </c>
      <c r="F1911" s="18">
        <f>E1911* 0.957552016439764</f>
        <v>11723.30934</v>
      </c>
      <c r="G1911" s="18">
        <f>E1911* 0.0158618032365785</f>
        <v>194.196057</v>
      </c>
      <c r="H1911" s="18">
        <f>E1911* 0.0265861803236578</f>
        <v>325.4946057</v>
      </c>
    </row>
    <row r="1912" ht="15.75" hidden="1" customHeight="1">
      <c r="A1912" s="15" t="s">
        <v>213</v>
      </c>
      <c r="B1912" s="11" t="s">
        <v>213</v>
      </c>
      <c r="C1912" s="15"/>
      <c r="D1912" s="31" t="s">
        <v>16</v>
      </c>
      <c r="E1912" s="32">
        <v>361.0</v>
      </c>
      <c r="F1912" s="18">
        <f>E1912* 0.0288065843621399</f>
        <v>10.39917695</v>
      </c>
      <c r="G1912" s="18">
        <f>E1912* 0.967078189300412</f>
        <v>349.1152263</v>
      </c>
      <c r="H1912" s="18">
        <f>E1912* 0.00411522633744856</f>
        <v>1.485596708</v>
      </c>
    </row>
    <row r="1913" ht="15.75" hidden="1" customHeight="1">
      <c r="A1913" s="15" t="s">
        <v>213</v>
      </c>
      <c r="B1913" s="11" t="s">
        <v>213</v>
      </c>
      <c r="C1913" s="15"/>
      <c r="D1913" s="31" t="s">
        <v>11</v>
      </c>
      <c r="E1913" s="32">
        <v>5916.0</v>
      </c>
      <c r="F1913" s="18">
        <f>E1913* 0.069996216420734</f>
        <v>414.0976163</v>
      </c>
      <c r="G1913" s="18">
        <f>E1913* 0.928364232564006</f>
        <v>5492.2028</v>
      </c>
      <c r="H1913" s="18">
        <f>E1913* 0.00113507377979569</f>
        <v>6.715096481</v>
      </c>
    </row>
    <row r="1914" ht="15.75" hidden="1" customHeight="1">
      <c r="A1914" s="15" t="s">
        <v>213</v>
      </c>
      <c r="B1914" s="11" t="s">
        <v>213</v>
      </c>
      <c r="C1914" s="15"/>
      <c r="D1914" s="31" t="s">
        <v>17</v>
      </c>
      <c r="E1914" s="32">
        <v>7985.0</v>
      </c>
      <c r="F1914" s="18">
        <f>E1914* 0.797049581005587</f>
        <v>6364.440904</v>
      </c>
      <c r="G1914" s="18">
        <f>E1914* 0.161662011173184</f>
        <v>1290.871159</v>
      </c>
      <c r="H1914" s="18">
        <f>E1914* 0.0410265363128492</f>
        <v>327.5968925</v>
      </c>
    </row>
    <row r="1915" ht="15.75" hidden="1" customHeight="1">
      <c r="A1915" s="15" t="s">
        <v>213</v>
      </c>
      <c r="B1915" s="11" t="s">
        <v>213</v>
      </c>
      <c r="C1915" s="15"/>
      <c r="D1915" s="31" t="s">
        <v>31</v>
      </c>
      <c r="E1915" s="32">
        <v>104.0</v>
      </c>
      <c r="F1915" s="18">
        <f>E1915* 0.820689655172414</f>
        <v>85.35172414</v>
      </c>
      <c r="G1915" s="18">
        <f>E1915* 0.16551724137931</f>
        <v>17.2137931</v>
      </c>
      <c r="H1915" s="18">
        <f>E1915* 0.0137931034482759</f>
        <v>1.434482759</v>
      </c>
    </row>
    <row r="1916" ht="15.75" hidden="1" customHeight="1">
      <c r="A1916" s="15" t="s">
        <v>213</v>
      </c>
      <c r="B1916" s="11" t="s">
        <v>213</v>
      </c>
      <c r="C1916" s="15"/>
      <c r="D1916" s="31" t="s">
        <v>18</v>
      </c>
      <c r="E1916" s="32">
        <v>1951.0</v>
      </c>
      <c r="F1916" s="18">
        <f>E1916* 0.912233009708738</f>
        <v>1779.766602</v>
      </c>
      <c r="G1916" s="18">
        <f>E1916* 0.0811650485436893</f>
        <v>158.3530097</v>
      </c>
      <c r="H1916" s="18">
        <f>E1916* 0.00660194174757282</f>
        <v>12.88038835</v>
      </c>
    </row>
    <row r="1917" ht="15.75" hidden="1" customHeight="1">
      <c r="A1917" s="15" t="s">
        <v>213</v>
      </c>
      <c r="B1917" s="11" t="s">
        <v>213</v>
      </c>
      <c r="C1917" s="15"/>
      <c r="D1917" s="31" t="s">
        <v>19</v>
      </c>
      <c r="E1917" s="32">
        <v>1016.0</v>
      </c>
      <c r="F1917" s="18">
        <f>E1917* 0.0264765784114053</f>
        <v>26.90020367</v>
      </c>
      <c r="G1917" s="18">
        <f>E1917* 0.970807875084861</f>
        <v>986.3408011</v>
      </c>
      <c r="H1917" s="18">
        <f>E1917* 0.00271554650373388</f>
        <v>2.758995248</v>
      </c>
    </row>
    <row r="1918" ht="15.75" hidden="1" customHeight="1">
      <c r="A1918" s="15" t="s">
        <v>213</v>
      </c>
      <c r="B1918" s="11" t="s">
        <v>213</v>
      </c>
      <c r="C1918" s="15"/>
      <c r="D1918" s="31" t="s">
        <v>20</v>
      </c>
      <c r="E1918" s="32">
        <v>868.0</v>
      </c>
      <c r="F1918" s="18">
        <f>E1918* 0.657913931436907</f>
        <v>571.0692925</v>
      </c>
      <c r="G1918" s="18">
        <f>E1918* 0.284463894967177</f>
        <v>246.9146608</v>
      </c>
      <c r="H1918" s="18">
        <f>E1918* 0.0576221735959154</f>
        <v>50.01604668</v>
      </c>
    </row>
    <row r="1919" ht="15.75" hidden="1" customHeight="1">
      <c r="A1919" s="15" t="s">
        <v>213</v>
      </c>
      <c r="B1919" s="11" t="s">
        <v>213</v>
      </c>
      <c r="C1919" s="15"/>
      <c r="D1919" s="31" t="s">
        <v>21</v>
      </c>
      <c r="E1919" s="32">
        <v>14683.0</v>
      </c>
      <c r="F1919" s="18">
        <f>E1919* 0.999266575396049</f>
        <v>14672.23113</v>
      </c>
      <c r="G1919" s="18">
        <f>E1919* 0.0000488949735967143</f>
        <v>0.7179248973</v>
      </c>
      <c r="H1919" s="18">
        <f>E1919* 0.000684529630354</f>
        <v>10.05094856</v>
      </c>
    </row>
    <row r="1920" ht="15.75" hidden="1" customHeight="1">
      <c r="A1920" s="15" t="s">
        <v>213</v>
      </c>
      <c r="B1920" s="11" t="s">
        <v>213</v>
      </c>
      <c r="C1920" s="15"/>
      <c r="D1920" s="31" t="s">
        <v>36</v>
      </c>
      <c r="E1920" s="32">
        <v>87.0</v>
      </c>
      <c r="F1920" s="18">
        <f>E1920* 0.973154362416107</f>
        <v>84.66442953</v>
      </c>
      <c r="G1920" s="20">
        <v>0.0</v>
      </c>
      <c r="H1920" s="18">
        <f>E1920* 0.0268456375838926</f>
        <v>2.33557047</v>
      </c>
    </row>
    <row r="1921" ht="15.75" hidden="1" customHeight="1">
      <c r="A1921" s="15" t="s">
        <v>213</v>
      </c>
      <c r="B1921" s="11" t="s">
        <v>213</v>
      </c>
      <c r="C1921" s="15"/>
      <c r="D1921" s="31" t="s">
        <v>37</v>
      </c>
      <c r="E1921" s="32">
        <v>17.0</v>
      </c>
      <c r="F1921" s="18">
        <f>E1921* 0.0588235294117647</f>
        <v>1</v>
      </c>
      <c r="G1921" s="18">
        <f>E1921* 0.941176470588235</f>
        <v>16</v>
      </c>
      <c r="H1921" s="20">
        <v>0.0</v>
      </c>
    </row>
    <row r="1922" ht="15.75" hidden="1" customHeight="1">
      <c r="A1922" s="15" t="s">
        <v>213</v>
      </c>
      <c r="B1922" s="11" t="s">
        <v>213</v>
      </c>
      <c r="C1922" s="15"/>
      <c r="D1922" s="31" t="s">
        <v>28</v>
      </c>
      <c r="E1922" s="32">
        <v>584.0</v>
      </c>
      <c r="F1922" s="18">
        <f>E1922* 0.00128865979381443</f>
        <v>0.7525773196</v>
      </c>
      <c r="G1922" s="18">
        <f>E1922* 0.998711340206186</f>
        <v>583.2474227</v>
      </c>
      <c r="H1922" s="20">
        <v>0.0</v>
      </c>
    </row>
    <row r="1923" ht="15.75" hidden="1" customHeight="1">
      <c r="A1923" s="15" t="s">
        <v>213</v>
      </c>
      <c r="B1923" s="11" t="s">
        <v>213</v>
      </c>
      <c r="C1923" s="15"/>
      <c r="D1923" s="31" t="s">
        <v>12</v>
      </c>
      <c r="E1923" s="32">
        <v>15415.0</v>
      </c>
      <c r="F1923" s="18">
        <f>E1923* 0.858755020080321</f>
        <v>13237.70863</v>
      </c>
      <c r="G1923" s="18">
        <f>E1923* 0.104016064257028</f>
        <v>1603.407631</v>
      </c>
      <c r="H1923" s="18">
        <f>E1923* 0.0372289156626506</f>
        <v>573.8837349</v>
      </c>
    </row>
    <row r="1924" ht="15.75" hidden="1" customHeight="1">
      <c r="A1924" s="15" t="s">
        <v>213</v>
      </c>
      <c r="B1924" s="33"/>
      <c r="C1924" s="33"/>
      <c r="D1924" s="34"/>
      <c r="E1924" s="35"/>
    </row>
    <row r="1925" ht="15.75" hidden="1" customHeight="1">
      <c r="A1925" s="15" t="s">
        <v>213</v>
      </c>
      <c r="B1925" s="11" t="s">
        <v>220</v>
      </c>
      <c r="C1925" s="12" t="str">
        <f>B1925&amp;"_"&amp;A1925</f>
        <v>Uriondo (Concepción)_Tarija</v>
      </c>
      <c r="E1925" s="22">
        <v>218.0</v>
      </c>
      <c r="F1925" s="14">
        <f t="shared" ref="F1925:H1925" si="180">SUM(F1926:F1936)</f>
        <v>151.3475963</v>
      </c>
      <c r="G1925" s="14">
        <f t="shared" si="180"/>
        <v>60.59537379</v>
      </c>
      <c r="H1925" s="14">
        <f t="shared" si="180"/>
        <v>6.019732819</v>
      </c>
    </row>
    <row r="1926" ht="15.75" hidden="1" customHeight="1">
      <c r="A1926" s="15" t="s">
        <v>213</v>
      </c>
      <c r="B1926" s="11" t="s">
        <v>220</v>
      </c>
      <c r="C1926" s="15"/>
      <c r="D1926" s="31" t="s">
        <v>53</v>
      </c>
      <c r="E1926" s="32">
        <v>0.0</v>
      </c>
      <c r="F1926" s="20">
        <v>0.0</v>
      </c>
      <c r="G1926" s="24">
        <f>E1926</f>
        <v>0</v>
      </c>
      <c r="H1926" s="20">
        <v>0.0</v>
      </c>
    </row>
    <row r="1927" ht="15.75" hidden="1" customHeight="1">
      <c r="A1927" s="15" t="s">
        <v>213</v>
      </c>
      <c r="B1927" s="11" t="s">
        <v>220</v>
      </c>
      <c r="C1927" s="15"/>
      <c r="D1927" s="31" t="s">
        <v>15</v>
      </c>
      <c r="E1927" s="32">
        <v>14.0</v>
      </c>
      <c r="F1927" s="18">
        <f>E1927* 0.957552016439764</f>
        <v>13.40572823</v>
      </c>
      <c r="G1927" s="18">
        <f>E1927* 0.0158618032365785</f>
        <v>0.2220652453</v>
      </c>
      <c r="H1927" s="18">
        <f>E1927* 0.0265861803236578</f>
        <v>0.3722065245</v>
      </c>
    </row>
    <row r="1928" ht="15.75" hidden="1" customHeight="1">
      <c r="A1928" s="15" t="s">
        <v>213</v>
      </c>
      <c r="B1928" s="11" t="s">
        <v>220</v>
      </c>
      <c r="C1928" s="15"/>
      <c r="D1928" s="31" t="s">
        <v>16</v>
      </c>
      <c r="E1928" s="32">
        <v>0.0</v>
      </c>
      <c r="F1928" s="18">
        <f>E1928* 0.0288065843621399</f>
        <v>0</v>
      </c>
      <c r="G1928" s="18">
        <f>E1928* 0.967078189300412</f>
        <v>0</v>
      </c>
      <c r="H1928" s="18">
        <f>E1928* 0.00411522633744856</f>
        <v>0</v>
      </c>
    </row>
    <row r="1929" ht="15.75" hidden="1" customHeight="1">
      <c r="A1929" s="15" t="s">
        <v>213</v>
      </c>
      <c r="B1929" s="11" t="s">
        <v>220</v>
      </c>
      <c r="C1929" s="15"/>
      <c r="D1929" s="31" t="s">
        <v>11</v>
      </c>
      <c r="E1929" s="32">
        <v>35.0</v>
      </c>
      <c r="F1929" s="18">
        <f>E1929* 0.069996216420734</f>
        <v>2.449867575</v>
      </c>
      <c r="G1929" s="18">
        <f>E1929* 0.928364232564006</f>
        <v>32.49274814</v>
      </c>
      <c r="H1929" s="18">
        <f>E1929* 0.00113507377979569</f>
        <v>0.03972758229</v>
      </c>
    </row>
    <row r="1930" ht="15.75" hidden="1" customHeight="1">
      <c r="A1930" s="15" t="s">
        <v>213</v>
      </c>
      <c r="B1930" s="11" t="s">
        <v>220</v>
      </c>
      <c r="C1930" s="15"/>
      <c r="D1930" s="31" t="s">
        <v>17</v>
      </c>
      <c r="E1930" s="32">
        <v>75.0</v>
      </c>
      <c r="F1930" s="18">
        <f>E1930* 0.797049581005587</f>
        <v>59.77871858</v>
      </c>
      <c r="G1930" s="18">
        <f>E1930* 0.161662011173184</f>
        <v>12.12465084</v>
      </c>
      <c r="H1930" s="18">
        <f>E1930* 0.0410265363128492</f>
        <v>3.076990223</v>
      </c>
    </row>
    <row r="1931" ht="15.75" hidden="1" customHeight="1">
      <c r="A1931" s="15" t="s">
        <v>213</v>
      </c>
      <c r="B1931" s="11" t="s">
        <v>220</v>
      </c>
      <c r="C1931" s="15"/>
      <c r="D1931" s="31" t="s">
        <v>31</v>
      </c>
      <c r="E1931" s="32">
        <v>0.0</v>
      </c>
      <c r="F1931" s="18">
        <f>E1931* 0.820689655172414</f>
        <v>0</v>
      </c>
      <c r="G1931" s="18">
        <f>E1931* 0.16551724137931</f>
        <v>0</v>
      </c>
      <c r="H1931" s="18">
        <f>E1931* 0.0137931034482759</f>
        <v>0</v>
      </c>
    </row>
    <row r="1932" ht="15.75" hidden="1" customHeight="1">
      <c r="A1932" s="15" t="s">
        <v>213</v>
      </c>
      <c r="B1932" s="11" t="s">
        <v>220</v>
      </c>
      <c r="C1932" s="15"/>
      <c r="D1932" s="31" t="s">
        <v>18</v>
      </c>
      <c r="E1932" s="32">
        <v>2.0</v>
      </c>
      <c r="F1932" s="18">
        <f>E1932* 0.912233009708738</f>
        <v>1.824466019</v>
      </c>
      <c r="G1932" s="18">
        <f>E1932* 0.0811650485436893</f>
        <v>0.1623300971</v>
      </c>
      <c r="H1932" s="18">
        <f>E1932* 0.00660194174757282</f>
        <v>0.0132038835</v>
      </c>
    </row>
    <row r="1933" ht="15.75" hidden="1" customHeight="1">
      <c r="A1933" s="15" t="s">
        <v>213</v>
      </c>
      <c r="B1933" s="11" t="s">
        <v>220</v>
      </c>
      <c r="C1933" s="15"/>
      <c r="D1933" s="31" t="s">
        <v>19</v>
      </c>
      <c r="E1933" s="32">
        <v>6.0</v>
      </c>
      <c r="F1933" s="18">
        <f>E1933* 0.0264765784114053</f>
        <v>0.1588594705</v>
      </c>
      <c r="G1933" s="18">
        <f>E1933* 0.970807875084861</f>
        <v>5.824847251</v>
      </c>
      <c r="H1933" s="18">
        <f>E1933* 0.00271554650373388</f>
        <v>0.01629327902</v>
      </c>
    </row>
    <row r="1934" ht="15.75" hidden="1" customHeight="1">
      <c r="A1934" s="15" t="s">
        <v>213</v>
      </c>
      <c r="B1934" s="11" t="s">
        <v>220</v>
      </c>
      <c r="C1934" s="15"/>
      <c r="D1934" s="31" t="s">
        <v>20</v>
      </c>
      <c r="E1934" s="32">
        <v>23.0</v>
      </c>
      <c r="F1934" s="18">
        <f>E1934* 0.657913931436907</f>
        <v>15.13202042</v>
      </c>
      <c r="G1934" s="18">
        <f>E1934* 0.284463894967177</f>
        <v>6.542669584</v>
      </c>
      <c r="H1934" s="18">
        <f>E1934* 0.0576221735959154</f>
        <v>1.325309993</v>
      </c>
    </row>
    <row r="1935" ht="15.75" hidden="1" customHeight="1">
      <c r="A1935" s="15" t="s">
        <v>213</v>
      </c>
      <c r="B1935" s="11" t="s">
        <v>220</v>
      </c>
      <c r="C1935" s="15"/>
      <c r="D1935" s="31" t="s">
        <v>21</v>
      </c>
      <c r="E1935" s="32">
        <v>32.0</v>
      </c>
      <c r="F1935" s="18">
        <f>E1935* 0.999266575396049</f>
        <v>31.97653041</v>
      </c>
      <c r="G1935" s="18">
        <f>E1935* 0.0000488949735967143</f>
        <v>0.001564639155</v>
      </c>
      <c r="H1935" s="18">
        <f>E1935* 0.000684529630354</f>
        <v>0.02190494817</v>
      </c>
    </row>
    <row r="1936" ht="15.75" hidden="1" customHeight="1">
      <c r="A1936" s="15" t="s">
        <v>213</v>
      </c>
      <c r="B1936" s="11" t="s">
        <v>220</v>
      </c>
      <c r="C1936" s="15"/>
      <c r="D1936" s="31" t="s">
        <v>12</v>
      </c>
      <c r="E1936" s="32">
        <v>31.0</v>
      </c>
      <c r="F1936" s="18">
        <f>E1936* 0.858755020080321</f>
        <v>26.62140562</v>
      </c>
      <c r="G1936" s="18">
        <f>E1936* 0.104016064257028</f>
        <v>3.224497992</v>
      </c>
      <c r="H1936" s="18">
        <f>E1936* 0.0372289156626506</f>
        <v>1.154096386</v>
      </c>
    </row>
    <row r="1937" ht="15.75" hidden="1" customHeight="1">
      <c r="A1937" s="15" t="s">
        <v>213</v>
      </c>
      <c r="B1937" s="33"/>
      <c r="C1937" s="33"/>
      <c r="D1937" s="34"/>
      <c r="E1937" s="35"/>
    </row>
    <row r="1938" ht="15.75" hidden="1" customHeight="1">
      <c r="A1938" s="15" t="s">
        <v>213</v>
      </c>
      <c r="B1938" s="11" t="s">
        <v>221</v>
      </c>
      <c r="C1938" s="12" t="str">
        <f>B1938&amp;"_"&amp;A1938</f>
        <v>Villamontes_Tarija</v>
      </c>
      <c r="E1938" s="22">
        <v>4718.0</v>
      </c>
      <c r="F1938" s="14">
        <f t="shared" ref="F1938:H1938" si="181">SUM(F1939:F1951)</f>
        <v>3770.031554</v>
      </c>
      <c r="G1938" s="14">
        <f t="shared" si="181"/>
        <v>837.7983484</v>
      </c>
      <c r="H1938" s="14">
        <f t="shared" si="181"/>
        <v>109.7902689</v>
      </c>
    </row>
    <row r="1939" ht="15.75" hidden="1" customHeight="1">
      <c r="A1939" s="15" t="s">
        <v>213</v>
      </c>
      <c r="B1939" s="11" t="s">
        <v>221</v>
      </c>
      <c r="C1939" s="15"/>
      <c r="D1939" s="31" t="s">
        <v>53</v>
      </c>
      <c r="E1939" s="32">
        <v>0.0</v>
      </c>
      <c r="F1939" s="20">
        <v>0.0</v>
      </c>
      <c r="G1939" s="24">
        <f>E1939</f>
        <v>0</v>
      </c>
      <c r="H1939" s="20">
        <v>0.0</v>
      </c>
    </row>
    <row r="1940" ht="15.75" hidden="1" customHeight="1">
      <c r="A1940" s="15" t="s">
        <v>213</v>
      </c>
      <c r="B1940" s="11" t="s">
        <v>221</v>
      </c>
      <c r="C1940" s="15"/>
      <c r="D1940" s="31" t="s">
        <v>15</v>
      </c>
      <c r="E1940" s="32">
        <v>427.0</v>
      </c>
      <c r="F1940" s="18">
        <f>E1940* 0.957552016439764</f>
        <v>408.874711</v>
      </c>
      <c r="G1940" s="18">
        <f>E1940* 0.0158618032365785</f>
        <v>6.772989982</v>
      </c>
      <c r="H1940" s="18">
        <f>E1940* 0.0265861803236578</f>
        <v>11.352299</v>
      </c>
    </row>
    <row r="1941" ht="15.75" hidden="1" customHeight="1">
      <c r="A1941" s="15" t="s">
        <v>213</v>
      </c>
      <c r="B1941" s="11" t="s">
        <v>221</v>
      </c>
      <c r="C1941" s="15"/>
      <c r="D1941" s="31" t="s">
        <v>16</v>
      </c>
      <c r="E1941" s="32">
        <v>13.0</v>
      </c>
      <c r="F1941" s="18">
        <f>E1941* 0.0288065843621399</f>
        <v>0.3744855967</v>
      </c>
      <c r="G1941" s="18">
        <f>E1941* 0.967078189300412</f>
        <v>12.57201646</v>
      </c>
      <c r="H1941" s="18">
        <f>E1941* 0.00411522633744856</f>
        <v>0.05349794239</v>
      </c>
    </row>
    <row r="1942" ht="15.75" hidden="1" customHeight="1">
      <c r="A1942" s="15" t="s">
        <v>213</v>
      </c>
      <c r="B1942" s="11" t="s">
        <v>221</v>
      </c>
      <c r="C1942" s="15"/>
      <c r="D1942" s="31" t="s">
        <v>11</v>
      </c>
      <c r="E1942" s="32">
        <v>429.0</v>
      </c>
      <c r="F1942" s="18">
        <f>E1942* 0.069996216420734</f>
        <v>30.02837684</v>
      </c>
      <c r="G1942" s="18">
        <f>E1942* 0.928364232564006</f>
        <v>398.2682558</v>
      </c>
      <c r="H1942" s="18">
        <f>E1942* 0.00113507377979569</f>
        <v>0.4869466515</v>
      </c>
    </row>
    <row r="1943" ht="15.75" hidden="1" customHeight="1">
      <c r="A1943" s="15" t="s">
        <v>213</v>
      </c>
      <c r="B1943" s="11" t="s">
        <v>221</v>
      </c>
      <c r="C1943" s="15"/>
      <c r="D1943" s="31" t="s">
        <v>17</v>
      </c>
      <c r="E1943" s="32">
        <v>624.0</v>
      </c>
      <c r="F1943" s="18">
        <f>E1943* 0.797049581005587</f>
        <v>497.3589385</v>
      </c>
      <c r="G1943" s="18">
        <f>E1943* 0.161662011173184</f>
        <v>100.877095</v>
      </c>
      <c r="H1943" s="18">
        <f>E1943* 0.0410265363128492</f>
        <v>25.60055866</v>
      </c>
    </row>
    <row r="1944" ht="15.75" hidden="1" customHeight="1">
      <c r="A1944" s="15" t="s">
        <v>213</v>
      </c>
      <c r="B1944" s="11" t="s">
        <v>221</v>
      </c>
      <c r="C1944" s="15"/>
      <c r="D1944" s="31" t="s">
        <v>31</v>
      </c>
      <c r="E1944" s="32">
        <v>9.0</v>
      </c>
      <c r="F1944" s="18">
        <f>E1944* 0.820689655172414</f>
        <v>7.386206897</v>
      </c>
      <c r="G1944" s="18">
        <f>E1944* 0.16551724137931</f>
        <v>1.489655172</v>
      </c>
      <c r="H1944" s="18">
        <f>E1944* 0.0137931034482759</f>
        <v>0.124137931</v>
      </c>
    </row>
    <row r="1945" ht="15.75" hidden="1" customHeight="1">
      <c r="A1945" s="15" t="s">
        <v>213</v>
      </c>
      <c r="B1945" s="11" t="s">
        <v>221</v>
      </c>
      <c r="C1945" s="15"/>
      <c r="D1945" s="31" t="s">
        <v>18</v>
      </c>
      <c r="E1945" s="32">
        <v>154.0</v>
      </c>
      <c r="F1945" s="18">
        <f>E1945* 0.912233009708738</f>
        <v>140.4838835</v>
      </c>
      <c r="G1945" s="18">
        <f>E1945* 0.0811650485436893</f>
        <v>12.49941748</v>
      </c>
      <c r="H1945" s="18">
        <f>E1945* 0.00660194174757282</f>
        <v>1.016699029</v>
      </c>
    </row>
    <row r="1946" ht="15.75" hidden="1" customHeight="1">
      <c r="A1946" s="15" t="s">
        <v>213</v>
      </c>
      <c r="B1946" s="11" t="s">
        <v>221</v>
      </c>
      <c r="C1946" s="15"/>
      <c r="D1946" s="31" t="s">
        <v>19</v>
      </c>
      <c r="E1946" s="32">
        <v>72.0</v>
      </c>
      <c r="F1946" s="18">
        <f>E1946* 0.0264765784114053</f>
        <v>1.906313646</v>
      </c>
      <c r="G1946" s="18">
        <f>E1946* 0.970807875084861</f>
        <v>69.89816701</v>
      </c>
      <c r="H1946" s="18">
        <f>E1946* 0.00271554650373388</f>
        <v>0.1955193483</v>
      </c>
    </row>
    <row r="1947" ht="15.75" hidden="1" customHeight="1">
      <c r="A1947" s="15" t="s">
        <v>213</v>
      </c>
      <c r="B1947" s="11" t="s">
        <v>221</v>
      </c>
      <c r="C1947" s="15"/>
      <c r="D1947" s="31" t="s">
        <v>20</v>
      </c>
      <c r="E1947" s="32">
        <v>136.0</v>
      </c>
      <c r="F1947" s="18">
        <f>E1947* 0.657913931436907</f>
        <v>89.47629468</v>
      </c>
      <c r="G1947" s="18">
        <f>E1947* 0.284463894967177</f>
        <v>38.68708972</v>
      </c>
      <c r="H1947" s="18">
        <f>E1947* 0.0576221735959154</f>
        <v>7.836615609</v>
      </c>
    </row>
    <row r="1948" ht="15.75" hidden="1" customHeight="1">
      <c r="A1948" s="15" t="s">
        <v>213</v>
      </c>
      <c r="B1948" s="11" t="s">
        <v>221</v>
      </c>
      <c r="C1948" s="15"/>
      <c r="D1948" s="31" t="s">
        <v>21</v>
      </c>
      <c r="E1948" s="32">
        <v>1155.0</v>
      </c>
      <c r="F1948" s="18">
        <f>E1948* 0.999266575396049</f>
        <v>1154.152895</v>
      </c>
      <c r="G1948" s="18">
        <f>E1948* 0.0000488949735967143</f>
        <v>0.0564736945</v>
      </c>
      <c r="H1948" s="18">
        <f>E1948* 0.000684529630354</f>
        <v>0.7906317231</v>
      </c>
    </row>
    <row r="1949" ht="15.75" hidden="1" customHeight="1">
      <c r="A1949" s="15" t="s">
        <v>213</v>
      </c>
      <c r="B1949" s="11" t="s">
        <v>221</v>
      </c>
      <c r="C1949" s="15"/>
      <c r="D1949" s="31" t="s">
        <v>36</v>
      </c>
      <c r="E1949" s="32">
        <v>6.0</v>
      </c>
      <c r="F1949" s="18">
        <f>E1949* 0.973154362416107</f>
        <v>5.838926174</v>
      </c>
      <c r="G1949" s="20">
        <v>0.0</v>
      </c>
      <c r="H1949" s="18">
        <f>E1949* 0.0268456375838926</f>
        <v>0.1610738255</v>
      </c>
    </row>
    <row r="1950" ht="15.75" hidden="1" customHeight="1">
      <c r="A1950" s="15" t="s">
        <v>213</v>
      </c>
      <c r="B1950" s="11" t="s">
        <v>221</v>
      </c>
      <c r="C1950" s="15"/>
      <c r="D1950" s="31" t="s">
        <v>28</v>
      </c>
      <c r="E1950" s="32">
        <v>23.0</v>
      </c>
      <c r="F1950" s="18">
        <f>E1950* 0.00128865979381443</f>
        <v>0.02963917526</v>
      </c>
      <c r="G1950" s="18">
        <f>E1950* 0.998711340206186</f>
        <v>22.97036082</v>
      </c>
      <c r="H1950" s="20">
        <v>0.0</v>
      </c>
    </row>
    <row r="1951" ht="15.75" hidden="1" customHeight="1">
      <c r="A1951" s="15" t="s">
        <v>213</v>
      </c>
      <c r="B1951" s="11" t="s">
        <v>221</v>
      </c>
      <c r="C1951" s="15"/>
      <c r="D1951" s="31" t="s">
        <v>12</v>
      </c>
      <c r="E1951" s="32">
        <v>1670.0</v>
      </c>
      <c r="F1951" s="18">
        <f>E1951* 0.858755020080321</f>
        <v>1434.120884</v>
      </c>
      <c r="G1951" s="18">
        <f>E1951* 0.104016064257028</f>
        <v>173.7068273</v>
      </c>
      <c r="H1951" s="18">
        <f>E1951* 0.0372289156626506</f>
        <v>62.17228916</v>
      </c>
    </row>
    <row r="1952" ht="15.75" hidden="1" customHeight="1">
      <c r="A1952" s="15" t="s">
        <v>213</v>
      </c>
      <c r="B1952" s="33"/>
      <c r="C1952" s="33"/>
      <c r="D1952" s="34"/>
      <c r="E1952" s="35"/>
    </row>
    <row r="1953" ht="15.75" hidden="1" customHeight="1">
      <c r="A1953" s="15" t="s">
        <v>213</v>
      </c>
      <c r="B1953" s="11" t="s">
        <v>222</v>
      </c>
      <c r="C1953" s="12" t="str">
        <f>B1953&amp;"_"&amp;A1953</f>
        <v>Yacuiba_Tarija</v>
      </c>
      <c r="E1953" s="22">
        <v>14438.0</v>
      </c>
      <c r="F1953" s="14">
        <f t="shared" ref="F1953:H1953" si="182">SUM(F1954:F1966)</f>
        <v>11688.14212</v>
      </c>
      <c r="G1953" s="14">
        <f t="shared" si="182"/>
        <v>2393.014484</v>
      </c>
      <c r="H1953" s="14">
        <f t="shared" si="182"/>
        <v>355.9192621</v>
      </c>
    </row>
    <row r="1954" ht="15.75" hidden="1" customHeight="1">
      <c r="A1954" s="15" t="s">
        <v>213</v>
      </c>
      <c r="B1954" s="11" t="s">
        <v>222</v>
      </c>
      <c r="C1954" s="15"/>
      <c r="D1954" s="31" t="s">
        <v>53</v>
      </c>
      <c r="E1954" s="32">
        <v>0.0</v>
      </c>
      <c r="F1954" s="20">
        <v>0.0</v>
      </c>
      <c r="G1954" s="24">
        <f>E1954</f>
        <v>0</v>
      </c>
      <c r="H1954" s="20">
        <v>0.0</v>
      </c>
    </row>
    <row r="1955" ht="15.75" hidden="1" customHeight="1">
      <c r="A1955" s="15" t="s">
        <v>213</v>
      </c>
      <c r="B1955" s="11" t="s">
        <v>222</v>
      </c>
      <c r="C1955" s="15"/>
      <c r="D1955" s="31" t="s">
        <v>15</v>
      </c>
      <c r="E1955" s="32">
        <v>2085.0</v>
      </c>
      <c r="F1955" s="18">
        <f>E1955* 0.957552016439764</f>
        <v>1996.495954</v>
      </c>
      <c r="G1955" s="18">
        <f>E1955* 0.0158618032365785</f>
        <v>33.07185975</v>
      </c>
      <c r="H1955" s="18">
        <f>E1955* 0.0265861803236578</f>
        <v>55.43218597</v>
      </c>
    </row>
    <row r="1956" ht="15.75" hidden="1" customHeight="1">
      <c r="A1956" s="15" t="s">
        <v>213</v>
      </c>
      <c r="B1956" s="11" t="s">
        <v>222</v>
      </c>
      <c r="C1956" s="15"/>
      <c r="D1956" s="31" t="s">
        <v>16</v>
      </c>
      <c r="E1956" s="32">
        <v>92.0</v>
      </c>
      <c r="F1956" s="18">
        <f>E1956* 0.0288065843621399</f>
        <v>2.650205761</v>
      </c>
      <c r="G1956" s="18">
        <f>E1956* 0.967078189300412</f>
        <v>88.97119342</v>
      </c>
      <c r="H1956" s="18">
        <f>E1956* 0.00411522633744856</f>
        <v>0.378600823</v>
      </c>
    </row>
    <row r="1957" ht="15.75" hidden="1" customHeight="1">
      <c r="A1957" s="15" t="s">
        <v>213</v>
      </c>
      <c r="B1957" s="11" t="s">
        <v>222</v>
      </c>
      <c r="C1957" s="15"/>
      <c r="D1957" s="31" t="s">
        <v>11</v>
      </c>
      <c r="E1957" s="32">
        <v>952.0</v>
      </c>
      <c r="F1957" s="18">
        <f>E1957* 0.069996216420734</f>
        <v>66.63639803</v>
      </c>
      <c r="G1957" s="18">
        <f>E1957* 0.928364232564006</f>
        <v>883.8027494</v>
      </c>
      <c r="H1957" s="18">
        <f>E1957* 0.00113507377979569</f>
        <v>1.080590238</v>
      </c>
    </row>
    <row r="1958" ht="15.75" hidden="1" customHeight="1">
      <c r="A1958" s="15" t="s">
        <v>213</v>
      </c>
      <c r="B1958" s="11" t="s">
        <v>222</v>
      </c>
      <c r="C1958" s="15"/>
      <c r="D1958" s="31" t="s">
        <v>17</v>
      </c>
      <c r="E1958" s="32">
        <v>1695.0</v>
      </c>
      <c r="F1958" s="18">
        <f>E1958* 0.797049581005587</f>
        <v>1350.99904</v>
      </c>
      <c r="G1958" s="18">
        <f>E1958* 0.161662011173184</f>
        <v>274.0171089</v>
      </c>
      <c r="H1958" s="18">
        <f>E1958* 0.0410265363128492</f>
        <v>69.53997905</v>
      </c>
    </row>
    <row r="1959" ht="15.75" hidden="1" customHeight="1">
      <c r="A1959" s="15" t="s">
        <v>213</v>
      </c>
      <c r="B1959" s="11" t="s">
        <v>222</v>
      </c>
      <c r="C1959" s="15"/>
      <c r="D1959" s="31" t="s">
        <v>31</v>
      </c>
      <c r="E1959" s="32">
        <v>22.0</v>
      </c>
      <c r="F1959" s="18">
        <f>E1959* 0.820689655172414</f>
        <v>18.05517241</v>
      </c>
      <c r="G1959" s="18">
        <f>E1959* 0.16551724137931</f>
        <v>3.64137931</v>
      </c>
      <c r="H1959" s="18">
        <f>E1959* 0.0137931034482759</f>
        <v>0.3034482759</v>
      </c>
    </row>
    <row r="1960" ht="15.75" hidden="1" customHeight="1">
      <c r="A1960" s="15" t="s">
        <v>213</v>
      </c>
      <c r="B1960" s="11" t="s">
        <v>222</v>
      </c>
      <c r="C1960" s="15"/>
      <c r="D1960" s="31" t="s">
        <v>18</v>
      </c>
      <c r="E1960" s="32">
        <v>354.0</v>
      </c>
      <c r="F1960" s="18">
        <f>E1960* 0.912233009708738</f>
        <v>322.9304854</v>
      </c>
      <c r="G1960" s="18">
        <f>E1960* 0.0811650485436893</f>
        <v>28.73242718</v>
      </c>
      <c r="H1960" s="18">
        <f>E1960* 0.00660194174757282</f>
        <v>2.337087379</v>
      </c>
    </row>
    <row r="1961" ht="15.75" hidden="1" customHeight="1">
      <c r="A1961" s="15" t="s">
        <v>213</v>
      </c>
      <c r="B1961" s="11" t="s">
        <v>222</v>
      </c>
      <c r="C1961" s="15"/>
      <c r="D1961" s="31" t="s">
        <v>19</v>
      </c>
      <c r="E1961" s="32">
        <v>318.0</v>
      </c>
      <c r="F1961" s="18">
        <f>E1961* 0.0264765784114053</f>
        <v>8.419551935</v>
      </c>
      <c r="G1961" s="18">
        <f>E1961* 0.970807875084861</f>
        <v>308.7169043</v>
      </c>
      <c r="H1961" s="18">
        <f>E1961* 0.00271554650373388</f>
        <v>0.8635437882</v>
      </c>
    </row>
    <row r="1962" ht="15.75" hidden="1" customHeight="1">
      <c r="A1962" s="15" t="s">
        <v>213</v>
      </c>
      <c r="B1962" s="11" t="s">
        <v>222</v>
      </c>
      <c r="C1962" s="15"/>
      <c r="D1962" s="31" t="s">
        <v>20</v>
      </c>
      <c r="E1962" s="32">
        <v>126.0</v>
      </c>
      <c r="F1962" s="18">
        <f>E1962* 0.657913931436907</f>
        <v>82.89715536</v>
      </c>
      <c r="G1962" s="18">
        <f>E1962* 0.284463894967177</f>
        <v>35.84245077</v>
      </c>
      <c r="H1962" s="18">
        <f>E1962* 0.0576221735959154</f>
        <v>7.260393873</v>
      </c>
    </row>
    <row r="1963" ht="15.75" hidden="1" customHeight="1">
      <c r="A1963" s="15" t="s">
        <v>213</v>
      </c>
      <c r="B1963" s="11" t="s">
        <v>222</v>
      </c>
      <c r="C1963" s="15"/>
      <c r="D1963" s="31" t="s">
        <v>21</v>
      </c>
      <c r="E1963" s="32">
        <v>2824.0</v>
      </c>
      <c r="F1963" s="18">
        <f>E1963* 0.999266575396049</f>
        <v>2821.928809</v>
      </c>
      <c r="G1963" s="18">
        <f>E1963* 0.0000488949735967143</f>
        <v>0.1380794054</v>
      </c>
      <c r="H1963" s="18">
        <f>E1963* 0.000684529630354</f>
        <v>1.933111676</v>
      </c>
    </row>
    <row r="1964" ht="15.75" hidden="1" customHeight="1">
      <c r="A1964" s="15" t="s">
        <v>213</v>
      </c>
      <c r="B1964" s="11" t="s">
        <v>222</v>
      </c>
      <c r="C1964" s="15"/>
      <c r="D1964" s="31" t="s">
        <v>36</v>
      </c>
      <c r="E1964" s="32">
        <v>46.0</v>
      </c>
      <c r="F1964" s="18">
        <f>E1964* 0.973154362416107</f>
        <v>44.76510067</v>
      </c>
      <c r="G1964" s="20">
        <v>0.0</v>
      </c>
      <c r="H1964" s="18">
        <f>E1964* 0.0268456375838926</f>
        <v>1.234899329</v>
      </c>
    </row>
    <row r="1965" ht="15.75" hidden="1" customHeight="1">
      <c r="A1965" s="15" t="s">
        <v>213</v>
      </c>
      <c r="B1965" s="11" t="s">
        <v>222</v>
      </c>
      <c r="C1965" s="15"/>
      <c r="D1965" s="31" t="s">
        <v>28</v>
      </c>
      <c r="E1965" s="32">
        <v>134.0</v>
      </c>
      <c r="F1965" s="18">
        <f>E1965* 0.00128865979381443</f>
        <v>0.1726804124</v>
      </c>
      <c r="G1965" s="18">
        <f>E1965* 0.998711340206186</f>
        <v>133.8273196</v>
      </c>
      <c r="H1965" s="20">
        <v>0.0</v>
      </c>
    </row>
    <row r="1966" ht="15.75" hidden="1" customHeight="1">
      <c r="A1966" s="15" t="s">
        <v>213</v>
      </c>
      <c r="B1966" s="11" t="s">
        <v>222</v>
      </c>
      <c r="C1966" s="15"/>
      <c r="D1966" s="31" t="s">
        <v>12</v>
      </c>
      <c r="E1966" s="32">
        <v>5790.0</v>
      </c>
      <c r="F1966" s="18">
        <f>E1966* 0.858755020080321</f>
        <v>4972.191566</v>
      </c>
      <c r="G1966" s="18">
        <f>E1966* 0.104016064257028</f>
        <v>602.253012</v>
      </c>
      <c r="H1966" s="18">
        <f>E1966* 0.0372289156626506</f>
        <v>215.5554217</v>
      </c>
    </row>
    <row r="1967" ht="15.75" hidden="1" customHeight="1">
      <c r="A1967" s="15" t="s">
        <v>213</v>
      </c>
      <c r="B1967" s="33"/>
      <c r="C1967" s="33"/>
      <c r="D1967" s="34"/>
      <c r="E1967" s="35"/>
    </row>
    <row r="1968" ht="15.75" hidden="1" customHeight="1">
      <c r="A1968" s="15" t="s">
        <v>213</v>
      </c>
      <c r="B1968" s="11" t="s">
        <v>223</v>
      </c>
      <c r="C1968" s="12" t="str">
        <f>B1968&amp;"_"&amp;A1968</f>
        <v>Yunchará_Tarija</v>
      </c>
      <c r="E1968" s="22">
        <v>11.0</v>
      </c>
      <c r="F1968" s="14">
        <f t="shared" ref="F1968:H1968" si="183">SUM(F1969:F1978)</f>
        <v>6.788602292</v>
      </c>
      <c r="G1968" s="14">
        <f t="shared" si="183"/>
        <v>3.916775671</v>
      </c>
      <c r="H1968" s="14">
        <f t="shared" si="183"/>
        <v>0.2912755052</v>
      </c>
    </row>
    <row r="1969" ht="15.75" hidden="1" customHeight="1">
      <c r="A1969" s="15" t="s">
        <v>213</v>
      </c>
      <c r="B1969" s="11" t="s">
        <v>223</v>
      </c>
      <c r="C1969" s="15"/>
      <c r="D1969" s="31" t="s">
        <v>53</v>
      </c>
      <c r="E1969" s="32">
        <v>0.0</v>
      </c>
      <c r="F1969" s="20">
        <v>0.0</v>
      </c>
      <c r="G1969" s="24">
        <f>E1969</f>
        <v>0</v>
      </c>
      <c r="H1969" s="20">
        <v>0.0</v>
      </c>
    </row>
    <row r="1970" ht="15.75" hidden="1" customHeight="1">
      <c r="A1970" s="15" t="s">
        <v>213</v>
      </c>
      <c r="B1970" s="11" t="s">
        <v>223</v>
      </c>
      <c r="C1970" s="15"/>
      <c r="D1970" s="31" t="s">
        <v>16</v>
      </c>
      <c r="E1970" s="32">
        <v>0.0</v>
      </c>
      <c r="F1970" s="18">
        <f>E1970* 0.0288065843621399</f>
        <v>0</v>
      </c>
      <c r="G1970" s="18">
        <f>E1970* 0.967078189300412</f>
        <v>0</v>
      </c>
      <c r="H1970" s="18">
        <f>E1970* 0.00411522633744856</f>
        <v>0</v>
      </c>
    </row>
    <row r="1971" ht="15.75" hidden="1" customHeight="1">
      <c r="A1971" s="15" t="s">
        <v>213</v>
      </c>
      <c r="B1971" s="11" t="s">
        <v>223</v>
      </c>
      <c r="C1971" s="15"/>
      <c r="D1971" s="31" t="s">
        <v>11</v>
      </c>
      <c r="E1971" s="32">
        <v>3.0</v>
      </c>
      <c r="F1971" s="18">
        <f>E1971* 0.069996216420734</f>
        <v>0.2099886493</v>
      </c>
      <c r="G1971" s="18">
        <f>E1971* 0.928364232564006</f>
        <v>2.785092698</v>
      </c>
      <c r="H1971" s="18">
        <f>E1971* 0.00113507377979569</f>
        <v>0.003405221339</v>
      </c>
    </row>
    <row r="1972" ht="15.75" hidden="1" customHeight="1">
      <c r="A1972" s="15" t="s">
        <v>213</v>
      </c>
      <c r="B1972" s="11" t="s">
        <v>223</v>
      </c>
      <c r="C1972" s="15"/>
      <c r="D1972" s="31" t="s">
        <v>17</v>
      </c>
      <c r="E1972" s="32">
        <v>7.0</v>
      </c>
      <c r="F1972" s="18">
        <f>E1972* 0.797049581005587</f>
        <v>5.579347067</v>
      </c>
      <c r="G1972" s="18">
        <f>E1972* 0.161662011173184</f>
        <v>1.131634078</v>
      </c>
      <c r="H1972" s="18">
        <f>E1972* 0.0410265363128492</f>
        <v>0.2871857542</v>
      </c>
    </row>
    <row r="1973" ht="15.75" hidden="1" customHeight="1">
      <c r="A1973" s="15" t="s">
        <v>213</v>
      </c>
      <c r="B1973" s="11" t="s">
        <v>223</v>
      </c>
      <c r="C1973" s="15"/>
      <c r="D1973" s="31" t="s">
        <v>18</v>
      </c>
      <c r="E1973" s="32">
        <v>0.0</v>
      </c>
      <c r="F1973" s="18">
        <f>E1973* 0.912233009708738</f>
        <v>0</v>
      </c>
      <c r="G1973" s="18">
        <f>E1973* 0.0811650485436893</f>
        <v>0</v>
      </c>
      <c r="H1973" s="18">
        <f>E1973* 0.00660194174757282</f>
        <v>0</v>
      </c>
    </row>
    <row r="1974" ht="15.75" hidden="1" customHeight="1">
      <c r="A1974" s="15" t="s">
        <v>213</v>
      </c>
      <c r="B1974" s="11" t="s">
        <v>223</v>
      </c>
      <c r="C1974" s="15"/>
      <c r="D1974" s="31" t="s">
        <v>19</v>
      </c>
      <c r="E1974" s="32">
        <v>0.0</v>
      </c>
      <c r="F1974" s="18">
        <f>E1974* 0.0264765784114053</f>
        <v>0</v>
      </c>
      <c r="G1974" s="18">
        <f>E1974* 0.970807875084861</f>
        <v>0</v>
      </c>
      <c r="H1974" s="18">
        <f>E1974* 0.00271554650373388</f>
        <v>0</v>
      </c>
    </row>
    <row r="1975" ht="15.75" hidden="1" customHeight="1">
      <c r="A1975" s="15" t="s">
        <v>213</v>
      </c>
      <c r="B1975" s="11" t="s">
        <v>223</v>
      </c>
      <c r="C1975" s="15"/>
      <c r="D1975" s="31" t="s">
        <v>20</v>
      </c>
      <c r="E1975" s="32">
        <v>0.0</v>
      </c>
      <c r="F1975" s="18">
        <f>E1975* 0.657913931436907</f>
        <v>0</v>
      </c>
      <c r="G1975" s="18">
        <f>E1975* 0.284463894967177</f>
        <v>0</v>
      </c>
      <c r="H1975" s="18">
        <f>E1975* 0.0576221735959154</f>
        <v>0</v>
      </c>
    </row>
    <row r="1976" ht="15.75" hidden="1" customHeight="1">
      <c r="A1976" s="15" t="s">
        <v>213</v>
      </c>
      <c r="B1976" s="11" t="s">
        <v>223</v>
      </c>
      <c r="C1976" s="15"/>
      <c r="D1976" s="31" t="s">
        <v>21</v>
      </c>
      <c r="E1976" s="32">
        <v>1.0</v>
      </c>
      <c r="F1976" s="18">
        <f>E1976* 0.999266575396049</f>
        <v>0.9992665754</v>
      </c>
      <c r="G1976" s="18">
        <f>E1976* 0.0000488949735967143</f>
        <v>0.0000488949736</v>
      </c>
      <c r="H1976" s="18">
        <f>E1976* 0.000684529630354</f>
        <v>0.0006845296304</v>
      </c>
    </row>
    <row r="1977" ht="15.75" hidden="1" customHeight="1">
      <c r="A1977" s="15" t="s">
        <v>213</v>
      </c>
      <c r="B1977" s="11" t="s">
        <v>223</v>
      </c>
      <c r="C1977" s="15"/>
      <c r="D1977" s="31" t="s">
        <v>28</v>
      </c>
      <c r="E1977" s="32">
        <v>0.0</v>
      </c>
      <c r="F1977" s="18">
        <f>E1977* 0.00128865979381443</f>
        <v>0</v>
      </c>
      <c r="G1977" s="18">
        <f>E1977* 0.998711340206186</f>
        <v>0</v>
      </c>
      <c r="H1977" s="20">
        <v>0.0</v>
      </c>
    </row>
    <row r="1978" ht="15.75" hidden="1" customHeight="1">
      <c r="A1978" s="15" t="s">
        <v>213</v>
      </c>
      <c r="B1978" s="11" t="s">
        <v>223</v>
      </c>
      <c r="C1978" s="15"/>
      <c r="D1978" s="38" t="s">
        <v>12</v>
      </c>
      <c r="E1978" s="39">
        <v>0.0</v>
      </c>
      <c r="F1978" s="18">
        <f>E1978* 0.858755020080321</f>
        <v>0</v>
      </c>
      <c r="G1978" s="18">
        <f>E1978* 0.104016064257028</f>
        <v>0</v>
      </c>
      <c r="H1978" s="18">
        <f>E1978* 0.0372289156626506</f>
        <v>0</v>
      </c>
    </row>
    <row r="1979" ht="15.75" hidden="1" customHeight="1">
      <c r="A1979" s="15" t="s">
        <v>224</v>
      </c>
      <c r="B1979" s="11" t="s">
        <v>225</v>
      </c>
      <c r="C1979" s="12" t="str">
        <f>B1979&amp;"_"&amp;A1979</f>
        <v>Asunción de Guarayos_Santa Cruz</v>
      </c>
      <c r="E1979" s="22">
        <v>697.0</v>
      </c>
      <c r="F1979" s="14">
        <f t="shared" ref="F1979:H1979" si="184">SUM(F1980:F1990)</f>
        <v>663.8653834</v>
      </c>
      <c r="G1979" s="14">
        <f t="shared" si="184"/>
        <v>29.38877902</v>
      </c>
      <c r="H1979" s="14">
        <f t="shared" si="184"/>
        <v>3.687846211</v>
      </c>
    </row>
    <row r="1980" ht="15.75" hidden="1" customHeight="1">
      <c r="A1980" s="15" t="s">
        <v>224</v>
      </c>
      <c r="B1980" s="11" t="s">
        <v>225</v>
      </c>
      <c r="C1980" s="15"/>
      <c r="D1980" s="16" t="s">
        <v>14</v>
      </c>
      <c r="E1980" s="23">
        <v>0.0</v>
      </c>
      <c r="F1980" s="20">
        <v>0.0</v>
      </c>
      <c r="G1980" s="24">
        <f>E1980</f>
        <v>0</v>
      </c>
      <c r="H1980" s="20">
        <v>0.0</v>
      </c>
    </row>
    <row r="1981" ht="15.75" hidden="1" customHeight="1">
      <c r="A1981" s="15" t="s">
        <v>224</v>
      </c>
      <c r="B1981" s="11" t="s">
        <v>225</v>
      </c>
      <c r="C1981" s="15"/>
      <c r="D1981" s="16" t="s">
        <v>15</v>
      </c>
      <c r="E1981" s="23">
        <v>4.0</v>
      </c>
      <c r="F1981" s="18">
        <f>E1981* 0.932303048052446</f>
        <v>3.729212192</v>
      </c>
      <c r="G1981" s="18">
        <f>E1981* 0.0217058280204555</f>
        <v>0.08682331208</v>
      </c>
      <c r="H1981" s="18">
        <f>E1981* 0.0459798598751943</f>
        <v>0.1839194395</v>
      </c>
    </row>
    <row r="1982" ht="15.75" hidden="1" customHeight="1">
      <c r="A1982" s="15" t="s">
        <v>224</v>
      </c>
      <c r="B1982" s="11" t="s">
        <v>225</v>
      </c>
      <c r="C1982" s="15"/>
      <c r="D1982" s="16" t="s">
        <v>11</v>
      </c>
      <c r="E1982" s="23">
        <v>19.0</v>
      </c>
      <c r="F1982" s="18">
        <f>E1982* 0.083479491676667</f>
        <v>1.586110342</v>
      </c>
      <c r="G1982" s="18">
        <f>E1982* 0.913505030924029</f>
        <v>17.35659559</v>
      </c>
      <c r="H1982" s="18">
        <f>E1982* 0.00292316686667282</f>
        <v>0.05554017047</v>
      </c>
    </row>
    <row r="1983" ht="15.75" hidden="1" customHeight="1">
      <c r="A1983" s="15" t="s">
        <v>224</v>
      </c>
      <c r="B1983" s="11" t="s">
        <v>225</v>
      </c>
      <c r="C1983" s="15"/>
      <c r="D1983" s="16" t="s">
        <v>17</v>
      </c>
      <c r="E1983" s="23">
        <v>14.0</v>
      </c>
      <c r="F1983" s="18">
        <f>E1983* 0.752045572242362</f>
        <v>10.52863801</v>
      </c>
      <c r="G1983" s="18">
        <f>E1983* 0.185827723114103</f>
        <v>2.601588124</v>
      </c>
      <c r="H1983" s="18">
        <f>E1983* 0.0620921802175039</f>
        <v>0.869290523</v>
      </c>
    </row>
    <row r="1984" ht="15.75" hidden="1" customHeight="1">
      <c r="A1984" s="15" t="s">
        <v>224</v>
      </c>
      <c r="B1984" s="11" t="s">
        <v>225</v>
      </c>
      <c r="C1984" s="15"/>
      <c r="D1984" s="16" t="s">
        <v>31</v>
      </c>
      <c r="E1984" s="23">
        <v>1.0</v>
      </c>
      <c r="F1984" s="18">
        <f>E1984* 0.929131175468484</f>
        <v>0.9291311755</v>
      </c>
      <c r="G1984" s="18">
        <f>E1984* 0.0477001703577513</f>
        <v>0.04770017036</v>
      </c>
      <c r="H1984" s="18">
        <f>E1984* 0.0231686541737649</f>
        <v>0.02316865417</v>
      </c>
    </row>
    <row r="1985" ht="15.75" hidden="1" customHeight="1">
      <c r="A1985" s="15" t="s">
        <v>224</v>
      </c>
      <c r="B1985" s="11" t="s">
        <v>225</v>
      </c>
      <c r="C1985" s="15"/>
      <c r="D1985" s="16" t="s">
        <v>18</v>
      </c>
      <c r="E1985" s="23">
        <v>2.0</v>
      </c>
      <c r="F1985" s="18">
        <f>E1985* 0.893702527830246</f>
        <v>1.787405056</v>
      </c>
      <c r="G1985" s="18">
        <f>E1985* 0.0946831169875015</f>
        <v>0.189366234</v>
      </c>
      <c r="H1985" s="18">
        <f>E1985* 0.0116143551822529</f>
        <v>0.02322871036</v>
      </c>
    </row>
    <row r="1986" ht="15.75" hidden="1" customHeight="1">
      <c r="A1986" s="15" t="s">
        <v>224</v>
      </c>
      <c r="B1986" s="11" t="s">
        <v>225</v>
      </c>
      <c r="C1986" s="15"/>
      <c r="D1986" s="16" t="s">
        <v>20</v>
      </c>
      <c r="E1986" s="23">
        <v>3.0</v>
      </c>
      <c r="F1986" s="18">
        <f>E1986* 0.734251968503937</f>
        <v>2.202755906</v>
      </c>
      <c r="G1986" s="18">
        <f>E1986* 0.158017179670723</f>
        <v>0.474051539</v>
      </c>
      <c r="H1986" s="18">
        <f>E1986* 0.107551896921976</f>
        <v>0.3226556908</v>
      </c>
    </row>
    <row r="1987" ht="15.75" hidden="1" customHeight="1">
      <c r="A1987" s="15" t="s">
        <v>224</v>
      </c>
      <c r="B1987" s="11" t="s">
        <v>225</v>
      </c>
      <c r="C1987" s="15"/>
      <c r="D1987" s="16" t="s">
        <v>21</v>
      </c>
      <c r="E1987" s="23">
        <v>617.0</v>
      </c>
      <c r="F1987" s="18">
        <f>E1987* 0.999727092353423</f>
        <v>616.831616</v>
      </c>
      <c r="G1987" s="18">
        <f>E1987* 0.0000516311763794744</f>
        <v>0.03185643583</v>
      </c>
      <c r="H1987" s="18">
        <f>E1987* 0.000132765882118648</f>
        <v>0.08191654927</v>
      </c>
    </row>
    <row r="1988" ht="15.75" hidden="1" customHeight="1">
      <c r="A1988" s="15" t="s">
        <v>224</v>
      </c>
      <c r="B1988" s="11" t="s">
        <v>225</v>
      </c>
      <c r="C1988" s="15"/>
      <c r="D1988" s="16" t="s">
        <v>36</v>
      </c>
      <c r="E1988" s="23">
        <v>3.0</v>
      </c>
      <c r="F1988" s="18">
        <f>E1988* 0.995894428152493</f>
        <v>2.987683284</v>
      </c>
      <c r="G1988" s="18">
        <f>E1988* 0.000586510263929619</f>
        <v>0.001759530792</v>
      </c>
      <c r="H1988" s="18">
        <f>E1988* 0.00351906158357771</f>
        <v>0.01055718475</v>
      </c>
    </row>
    <row r="1989" ht="15.75" hidden="1" customHeight="1">
      <c r="A1989" s="15" t="s">
        <v>224</v>
      </c>
      <c r="B1989" s="11" t="s">
        <v>225</v>
      </c>
      <c r="C1989" s="15"/>
      <c r="D1989" s="16" t="s">
        <v>28</v>
      </c>
      <c r="E1989" s="23">
        <v>5.0</v>
      </c>
      <c r="F1989" s="18">
        <f>E1989* 0.00302222222222222</f>
        <v>0.01511111111</v>
      </c>
      <c r="G1989" s="18">
        <f>E1989* 0.996622222222222</f>
        <v>4.983111111</v>
      </c>
      <c r="H1989" s="18">
        <f>E1989* 0.000355555555555556</f>
        <v>0.001777777778</v>
      </c>
    </row>
    <row r="1990" ht="15.75" hidden="1" customHeight="1">
      <c r="A1990" s="15" t="s">
        <v>224</v>
      </c>
      <c r="B1990" s="11" t="s">
        <v>225</v>
      </c>
      <c r="C1990" s="15"/>
      <c r="D1990" s="16" t="s">
        <v>12</v>
      </c>
      <c r="E1990" s="23">
        <v>29.0</v>
      </c>
      <c r="F1990" s="18">
        <f>E1990* 0.802335182557089</f>
        <v>23.26772029</v>
      </c>
      <c r="G1990" s="18">
        <f>E1990* 0.124687137143594</f>
        <v>3.615926977</v>
      </c>
      <c r="H1990" s="18">
        <f>E1990* 0.0729583279576829</f>
        <v>2.115791511</v>
      </c>
    </row>
    <row r="1991" ht="15.75" hidden="1" customHeight="1">
      <c r="A1991" s="15" t="s">
        <v>224</v>
      </c>
      <c r="B1991" s="21"/>
      <c r="C1991" s="21"/>
      <c r="D1991" s="16"/>
      <c r="E1991" s="29"/>
    </row>
    <row r="1992" ht="15.75" hidden="1" customHeight="1">
      <c r="A1992" s="15" t="s">
        <v>224</v>
      </c>
      <c r="B1992" s="11" t="s">
        <v>226</v>
      </c>
      <c r="C1992" s="12" t="str">
        <f>B1992&amp;"_"&amp;A1992</f>
        <v>Boyuibe_Santa Cruz</v>
      </c>
      <c r="E1992" s="22">
        <v>0.0</v>
      </c>
      <c r="F1992" s="14">
        <v>0.0</v>
      </c>
      <c r="G1992" s="14">
        <v>0.0</v>
      </c>
      <c r="H1992" s="14">
        <v>0.0</v>
      </c>
    </row>
    <row r="1993" ht="15.75" hidden="1" customHeight="1">
      <c r="A1993" s="15" t="s">
        <v>224</v>
      </c>
      <c r="B1993" s="11" t="s">
        <v>226</v>
      </c>
      <c r="C1993" s="15"/>
      <c r="D1993" s="16" t="s">
        <v>21</v>
      </c>
      <c r="E1993" s="23">
        <v>0.0</v>
      </c>
      <c r="F1993" s="18">
        <f>E1993* 0.999727092353423</f>
        <v>0</v>
      </c>
      <c r="G1993" s="18">
        <f>E1993* 0.0000516311763794744</f>
        <v>0</v>
      </c>
      <c r="H1993" s="18">
        <f>E1993* 0.000132765882118648</f>
        <v>0</v>
      </c>
    </row>
    <row r="1994" ht="15.75" hidden="1" customHeight="1">
      <c r="A1994" s="15" t="s">
        <v>224</v>
      </c>
      <c r="B1994" s="21"/>
      <c r="C1994" s="21"/>
      <c r="D1994" s="16"/>
      <c r="E1994" s="29"/>
    </row>
    <row r="1995" ht="15.75" hidden="1" customHeight="1">
      <c r="A1995" s="15" t="s">
        <v>224</v>
      </c>
      <c r="B1995" s="11" t="s">
        <v>227</v>
      </c>
      <c r="C1995" s="12" t="str">
        <f>B1995&amp;"_"&amp;A1995</f>
        <v>Buena Vista_Santa Cruz</v>
      </c>
      <c r="E1995" s="22">
        <v>143.0</v>
      </c>
      <c r="F1995" s="14">
        <f t="shared" ref="F1995:H1995" si="185">SUM(F1996:F2006)</f>
        <v>109.6222657</v>
      </c>
      <c r="G1995" s="14">
        <f t="shared" si="185"/>
        <v>30.15059589</v>
      </c>
      <c r="H1995" s="14">
        <f t="shared" si="185"/>
        <v>3.217831922</v>
      </c>
    </row>
    <row r="1996" ht="15.75" hidden="1" customHeight="1">
      <c r="A1996" s="15" t="s">
        <v>224</v>
      </c>
      <c r="B1996" s="11" t="s">
        <v>227</v>
      </c>
      <c r="C1996" s="15"/>
      <c r="D1996" s="16" t="s">
        <v>14</v>
      </c>
      <c r="E1996" s="23">
        <v>0.0</v>
      </c>
      <c r="F1996" s="20">
        <v>0.0</v>
      </c>
      <c r="G1996" s="24">
        <f>E1996</f>
        <v>0</v>
      </c>
      <c r="H1996" s="20">
        <v>0.0</v>
      </c>
    </row>
    <row r="1997" ht="15.75" hidden="1" customHeight="1">
      <c r="A1997" s="15" t="s">
        <v>224</v>
      </c>
      <c r="B1997" s="11" t="s">
        <v>227</v>
      </c>
      <c r="C1997" s="15"/>
      <c r="D1997" s="16" t="s">
        <v>15</v>
      </c>
      <c r="E1997" s="23">
        <v>1.0</v>
      </c>
      <c r="F1997" s="18">
        <f>E1997* 0.932303048052446</f>
        <v>0.9323030481</v>
      </c>
      <c r="G1997" s="18">
        <f>E1997* 0.0217058280204555</f>
        <v>0.02170582802</v>
      </c>
      <c r="H1997" s="18">
        <f>E1997* 0.0459798598751943</f>
        <v>0.04597985988</v>
      </c>
    </row>
    <row r="1998" ht="15.75" hidden="1" customHeight="1">
      <c r="A1998" s="15" t="s">
        <v>224</v>
      </c>
      <c r="B1998" s="11" t="s">
        <v>227</v>
      </c>
      <c r="C1998" s="15"/>
      <c r="D1998" s="16" t="s">
        <v>16</v>
      </c>
      <c r="E1998" s="23">
        <v>0.0</v>
      </c>
      <c r="F1998" s="18">
        <f>E1998* 0.293894936109797</f>
        <v>0</v>
      </c>
      <c r="G1998" s="18">
        <f>E1998* 0.663038334122101</f>
        <v>0</v>
      </c>
      <c r="H1998" s="18">
        <f>E1998* 0.0430667297681022</f>
        <v>0</v>
      </c>
    </row>
    <row r="1999" ht="15.75" hidden="1" customHeight="1">
      <c r="A1999" s="15" t="s">
        <v>224</v>
      </c>
      <c r="B1999" s="11" t="s">
        <v>227</v>
      </c>
      <c r="C1999" s="15"/>
      <c r="D1999" s="16" t="s">
        <v>11</v>
      </c>
      <c r="E1999" s="23">
        <v>25.0</v>
      </c>
      <c r="F1999" s="18">
        <f>E1999* 0.083479491676667</f>
        <v>2.086987292</v>
      </c>
      <c r="G1999" s="18">
        <f>E1999* 0.913505030924029</f>
        <v>22.83762577</v>
      </c>
      <c r="H1999" s="18">
        <f>E1999* 0.00292316686667282</f>
        <v>0.07307917167</v>
      </c>
    </row>
    <row r="2000" ht="15.75" hidden="1" customHeight="1">
      <c r="A2000" s="15" t="s">
        <v>224</v>
      </c>
      <c r="B2000" s="11" t="s">
        <v>227</v>
      </c>
      <c r="C2000" s="15"/>
      <c r="D2000" s="16" t="s">
        <v>17</v>
      </c>
      <c r="E2000" s="23">
        <v>9.0</v>
      </c>
      <c r="F2000" s="18">
        <f>E2000* 0.752045572242362</f>
        <v>6.76841015</v>
      </c>
      <c r="G2000" s="18">
        <f>E2000* 0.185827723114103</f>
        <v>1.672449508</v>
      </c>
      <c r="H2000" s="18">
        <f>E2000* 0.0620921802175039</f>
        <v>0.558829622</v>
      </c>
    </row>
    <row r="2001" ht="15.75" hidden="1" customHeight="1">
      <c r="A2001" s="15" t="s">
        <v>224</v>
      </c>
      <c r="B2001" s="11" t="s">
        <v>227</v>
      </c>
      <c r="C2001" s="15"/>
      <c r="D2001" s="16" t="s">
        <v>31</v>
      </c>
      <c r="E2001" s="23">
        <v>0.0</v>
      </c>
      <c r="F2001" s="18">
        <f>E2001* 0.929131175468484</f>
        <v>0</v>
      </c>
      <c r="G2001" s="18">
        <f>E2001* 0.0477001703577513</f>
        <v>0</v>
      </c>
      <c r="H2001" s="18">
        <f>E2001* 0.0231686541737649</f>
        <v>0</v>
      </c>
    </row>
    <row r="2002" ht="15.75" hidden="1" customHeight="1">
      <c r="A2002" s="15" t="s">
        <v>224</v>
      </c>
      <c r="B2002" s="11" t="s">
        <v>227</v>
      </c>
      <c r="C2002" s="15"/>
      <c r="D2002" s="16" t="s">
        <v>18</v>
      </c>
      <c r="E2002" s="23">
        <v>4.0</v>
      </c>
      <c r="F2002" s="18">
        <f>E2002* 0.893702527830246</f>
        <v>3.574810111</v>
      </c>
      <c r="G2002" s="18">
        <f>E2002* 0.0946831169875015</f>
        <v>0.378732468</v>
      </c>
      <c r="H2002" s="18">
        <f>E2002* 0.0116143551822529</f>
        <v>0.04645742073</v>
      </c>
    </row>
    <row r="2003" ht="15.75" hidden="1" customHeight="1">
      <c r="A2003" s="15" t="s">
        <v>224</v>
      </c>
      <c r="B2003" s="11" t="s">
        <v>227</v>
      </c>
      <c r="C2003" s="15"/>
      <c r="D2003" s="16" t="s">
        <v>21</v>
      </c>
      <c r="E2003" s="23">
        <v>68.0</v>
      </c>
      <c r="F2003" s="18">
        <f>E2003* 0.999727092353423</f>
        <v>67.98144228</v>
      </c>
      <c r="G2003" s="18">
        <f>E2003* 0.0000516311763794744</f>
        <v>0.003510919994</v>
      </c>
      <c r="H2003" s="18">
        <f>E2003* 0.000132765882118648</f>
        <v>0.009028079984</v>
      </c>
    </row>
    <row r="2004" ht="15.75" hidden="1" customHeight="1">
      <c r="A2004" s="15" t="s">
        <v>224</v>
      </c>
      <c r="B2004" s="11" t="s">
        <v>227</v>
      </c>
      <c r="C2004" s="15"/>
      <c r="D2004" s="16" t="s">
        <v>36</v>
      </c>
      <c r="E2004" s="23">
        <v>1.0</v>
      </c>
      <c r="F2004" s="18">
        <f>E2004* 0.995894428152493</f>
        <v>0.9958944282</v>
      </c>
      <c r="G2004" s="18">
        <f>E2004* 0.000586510263929619</f>
        <v>0.0005865102639</v>
      </c>
      <c r="H2004" s="18">
        <f>E2004* 0.00351906158357771</f>
        <v>0.003519061584</v>
      </c>
    </row>
    <row r="2005" ht="15.75" hidden="1" customHeight="1">
      <c r="A2005" s="15" t="s">
        <v>224</v>
      </c>
      <c r="B2005" s="11" t="s">
        <v>227</v>
      </c>
      <c r="C2005" s="15"/>
      <c r="D2005" s="16" t="s">
        <v>28</v>
      </c>
      <c r="E2005" s="23">
        <v>1.0</v>
      </c>
      <c r="F2005" s="18">
        <f>E2005* 0.00302222222222222</f>
        <v>0.003022222222</v>
      </c>
      <c r="G2005" s="18">
        <f>E2005* 0.996622222222222</f>
        <v>0.9966222222</v>
      </c>
      <c r="H2005" s="18">
        <f>E2005* 0.000355555555555556</f>
        <v>0.0003555555556</v>
      </c>
    </row>
    <row r="2006" ht="15.75" hidden="1" customHeight="1">
      <c r="A2006" s="15" t="s">
        <v>224</v>
      </c>
      <c r="B2006" s="11" t="s">
        <v>227</v>
      </c>
      <c r="C2006" s="15"/>
      <c r="D2006" s="16" t="s">
        <v>12</v>
      </c>
      <c r="E2006" s="23">
        <v>34.0</v>
      </c>
      <c r="F2006" s="18">
        <f>E2006* 0.802335182557089</f>
        <v>27.27939621</v>
      </c>
      <c r="G2006" s="18">
        <f>E2006* 0.124687137143594</f>
        <v>4.239362663</v>
      </c>
      <c r="H2006" s="18">
        <f>E2006* 0.0729583279576829</f>
        <v>2.480583151</v>
      </c>
    </row>
    <row r="2007" ht="15.75" hidden="1" customHeight="1">
      <c r="A2007" s="15" t="s">
        <v>224</v>
      </c>
      <c r="B2007" s="8"/>
      <c r="C2007" s="8"/>
      <c r="D2007" s="9"/>
      <c r="E2007" s="29"/>
    </row>
    <row r="2008" ht="15.75" hidden="1" customHeight="1">
      <c r="A2008" s="15" t="s">
        <v>224</v>
      </c>
      <c r="B2008" s="11" t="s">
        <v>228</v>
      </c>
      <c r="C2008" s="12" t="str">
        <f>B2008&amp;"_"&amp;A2008</f>
        <v>Cabezas_Santa Cruz</v>
      </c>
      <c r="E2008" s="22">
        <v>615.0</v>
      </c>
      <c r="F2008" s="14">
        <f t="shared" ref="F2008:H2008" si="186">SUM(F2009:F2021)</f>
        <v>582.3131011</v>
      </c>
      <c r="G2008" s="14">
        <f t="shared" si="186"/>
        <v>25.24152658</v>
      </c>
      <c r="H2008" s="14">
        <f t="shared" si="186"/>
        <v>7.39793125</v>
      </c>
    </row>
    <row r="2009" ht="15.75" hidden="1" customHeight="1">
      <c r="A2009" s="15" t="s">
        <v>224</v>
      </c>
      <c r="B2009" s="11" t="s">
        <v>228</v>
      </c>
      <c r="C2009" s="15"/>
      <c r="D2009" s="16" t="s">
        <v>14</v>
      </c>
      <c r="E2009" s="23">
        <v>0.0</v>
      </c>
      <c r="F2009" s="20">
        <v>0.0</v>
      </c>
      <c r="G2009" s="24">
        <f>E2009</f>
        <v>0</v>
      </c>
      <c r="H2009" s="20">
        <v>0.0</v>
      </c>
    </row>
    <row r="2010" ht="15.75" hidden="1" customHeight="1">
      <c r="A2010" s="15" t="s">
        <v>224</v>
      </c>
      <c r="B2010" s="11" t="s">
        <v>228</v>
      </c>
      <c r="C2010" s="15"/>
      <c r="D2010" s="16" t="s">
        <v>15</v>
      </c>
      <c r="E2010" s="23">
        <v>6.0</v>
      </c>
      <c r="F2010" s="18">
        <f>E2010* 0.932303048052446</f>
        <v>5.593818288</v>
      </c>
      <c r="G2010" s="18">
        <f>E2010* 0.0217058280204555</f>
        <v>0.1302349681</v>
      </c>
      <c r="H2010" s="18">
        <f>E2010* 0.0459798598751943</f>
        <v>0.2758791593</v>
      </c>
    </row>
    <row r="2011" ht="15.75" hidden="1" customHeight="1">
      <c r="A2011" s="15" t="s">
        <v>224</v>
      </c>
      <c r="B2011" s="11" t="s">
        <v>228</v>
      </c>
      <c r="C2011" s="15"/>
      <c r="D2011" s="16" t="s">
        <v>16</v>
      </c>
      <c r="E2011" s="23">
        <v>2.0</v>
      </c>
      <c r="F2011" s="18">
        <f>E2011* 0.293894936109797</f>
        <v>0.5877898722</v>
      </c>
      <c r="G2011" s="18">
        <f>E2011* 0.663038334122101</f>
        <v>1.326076668</v>
      </c>
      <c r="H2011" s="18">
        <f>E2011* 0.0430667297681022</f>
        <v>0.08613345954</v>
      </c>
    </row>
    <row r="2012" ht="15.75" hidden="1" customHeight="1">
      <c r="A2012" s="15" t="s">
        <v>224</v>
      </c>
      <c r="B2012" s="11" t="s">
        <v>228</v>
      </c>
      <c r="C2012" s="15"/>
      <c r="D2012" s="16" t="s">
        <v>11</v>
      </c>
      <c r="E2012" s="23">
        <v>11.0</v>
      </c>
      <c r="F2012" s="18">
        <f>E2012* 0.083479491676667</f>
        <v>0.9182744084</v>
      </c>
      <c r="G2012" s="18">
        <f>E2012* 0.913505030924029</f>
        <v>10.04855534</v>
      </c>
      <c r="H2012" s="18">
        <f>E2012* 0.00292316686667282</f>
        <v>0.03215483553</v>
      </c>
    </row>
    <row r="2013" ht="15.75" hidden="1" customHeight="1">
      <c r="A2013" s="15" t="s">
        <v>224</v>
      </c>
      <c r="B2013" s="11" t="s">
        <v>228</v>
      </c>
      <c r="C2013" s="15"/>
      <c r="D2013" s="16" t="s">
        <v>17</v>
      </c>
      <c r="E2013" s="23">
        <v>23.0</v>
      </c>
      <c r="F2013" s="18">
        <f>E2013* 0.752045572242362</f>
        <v>17.29704816</v>
      </c>
      <c r="G2013" s="18">
        <f>E2013* 0.185827723114103</f>
        <v>4.274037632</v>
      </c>
      <c r="H2013" s="18">
        <f>E2013* 0.0620921802175039</f>
        <v>1.428120145</v>
      </c>
    </row>
    <row r="2014" ht="15.75" hidden="1" customHeight="1">
      <c r="A2014" s="15" t="s">
        <v>224</v>
      </c>
      <c r="B2014" s="11" t="s">
        <v>228</v>
      </c>
      <c r="C2014" s="15"/>
      <c r="D2014" s="16" t="s">
        <v>31</v>
      </c>
      <c r="E2014" s="23">
        <v>1.0</v>
      </c>
      <c r="F2014" s="18">
        <f>E2014* 0.929131175468484</f>
        <v>0.9291311755</v>
      </c>
      <c r="G2014" s="18">
        <f>E2014* 0.0477001703577513</f>
        <v>0.04770017036</v>
      </c>
      <c r="H2014" s="18">
        <f>E2014* 0.0231686541737649</f>
        <v>0.02316865417</v>
      </c>
    </row>
    <row r="2015" ht="15.75" hidden="1" customHeight="1">
      <c r="A2015" s="15" t="s">
        <v>224</v>
      </c>
      <c r="B2015" s="11" t="s">
        <v>228</v>
      </c>
      <c r="C2015" s="15"/>
      <c r="D2015" s="16" t="s">
        <v>18</v>
      </c>
      <c r="E2015" s="23">
        <v>1.0</v>
      </c>
      <c r="F2015" s="18">
        <f>E2015* 0.893702527830246</f>
        <v>0.8937025278</v>
      </c>
      <c r="G2015" s="18">
        <f>E2015* 0.0946831169875015</f>
        <v>0.09468311699</v>
      </c>
      <c r="H2015" s="18">
        <f>E2015* 0.0116143551822529</f>
        <v>0.01161435518</v>
      </c>
    </row>
    <row r="2016" ht="15.75" hidden="1" customHeight="1">
      <c r="A2016" s="15" t="s">
        <v>224</v>
      </c>
      <c r="B2016" s="11" t="s">
        <v>228</v>
      </c>
      <c r="C2016" s="15"/>
      <c r="D2016" s="16" t="s">
        <v>19</v>
      </c>
      <c r="E2016" s="23">
        <v>0.0</v>
      </c>
      <c r="F2016" s="18">
        <f>E2016* 0.0299845873616365</f>
        <v>0</v>
      </c>
      <c r="G2016" s="18">
        <f>E2016* 0.96385035729298</f>
        <v>0</v>
      </c>
      <c r="H2016" s="18">
        <f>E2016* 0.00616505534538321</f>
        <v>0</v>
      </c>
    </row>
    <row r="2017" ht="15.75" hidden="1" customHeight="1">
      <c r="A2017" s="15" t="s">
        <v>224</v>
      </c>
      <c r="B2017" s="11" t="s">
        <v>228</v>
      </c>
      <c r="C2017" s="15"/>
      <c r="D2017" s="16" t="s">
        <v>20</v>
      </c>
      <c r="E2017" s="23">
        <v>2.0</v>
      </c>
      <c r="F2017" s="18">
        <f>E2017* 0.734251968503937</f>
        <v>1.468503937</v>
      </c>
      <c r="G2017" s="18">
        <f>E2017* 0.158017179670723</f>
        <v>0.3160343593</v>
      </c>
      <c r="H2017" s="18">
        <f>E2017* 0.107551896921976</f>
        <v>0.2151037938</v>
      </c>
    </row>
    <row r="2018" ht="15.75" hidden="1" customHeight="1">
      <c r="A2018" s="15" t="s">
        <v>224</v>
      </c>
      <c r="B2018" s="11" t="s">
        <v>228</v>
      </c>
      <c r="C2018" s="15"/>
      <c r="D2018" s="16" t="s">
        <v>21</v>
      </c>
      <c r="E2018" s="23">
        <v>495.0</v>
      </c>
      <c r="F2018" s="18">
        <f>E2018* 0.999727092353423</f>
        <v>494.8649107</v>
      </c>
      <c r="G2018" s="18">
        <f>E2018* 0.0000516311763794744</f>
        <v>0.02555743231</v>
      </c>
      <c r="H2018" s="18">
        <f>E2018* 0.000132765882118648</f>
        <v>0.06571911165</v>
      </c>
    </row>
    <row r="2019" ht="15.75" hidden="1" customHeight="1">
      <c r="A2019" s="15" t="s">
        <v>224</v>
      </c>
      <c r="B2019" s="11" t="s">
        <v>228</v>
      </c>
      <c r="C2019" s="15"/>
      <c r="D2019" s="16" t="s">
        <v>36</v>
      </c>
      <c r="E2019" s="23">
        <v>2.0</v>
      </c>
      <c r="F2019" s="18">
        <f>E2019* 0.995894428152493</f>
        <v>1.991788856</v>
      </c>
      <c r="G2019" s="18">
        <f>E2019* 0.000586510263929619</f>
        <v>0.001173020528</v>
      </c>
      <c r="H2019" s="18">
        <f>E2019* 0.00351906158357771</f>
        <v>0.007038123167</v>
      </c>
    </row>
    <row r="2020" ht="15.75" hidden="1" customHeight="1">
      <c r="A2020" s="15" t="s">
        <v>224</v>
      </c>
      <c r="B2020" s="11" t="s">
        <v>228</v>
      </c>
      <c r="C2020" s="15"/>
      <c r="D2020" s="16" t="s">
        <v>28</v>
      </c>
      <c r="E2020" s="23">
        <v>0.0</v>
      </c>
      <c r="F2020" s="18">
        <f>E2020* 0.00302222222222222</f>
        <v>0</v>
      </c>
      <c r="G2020" s="18">
        <f>E2020* 0.996622222222222</f>
        <v>0</v>
      </c>
      <c r="H2020" s="18">
        <f>E2020* 0.000355555555555556</f>
        <v>0</v>
      </c>
    </row>
    <row r="2021" ht="15.75" hidden="1" customHeight="1">
      <c r="A2021" s="15" t="s">
        <v>224</v>
      </c>
      <c r="B2021" s="11" t="s">
        <v>228</v>
      </c>
      <c r="C2021" s="15"/>
      <c r="D2021" s="16" t="s">
        <v>12</v>
      </c>
      <c r="E2021" s="23">
        <v>72.0</v>
      </c>
      <c r="F2021" s="18">
        <f>E2021* 0.802335182557089</f>
        <v>57.76813314</v>
      </c>
      <c r="G2021" s="18">
        <f>E2021* 0.124687137143594</f>
        <v>8.977473874</v>
      </c>
      <c r="H2021" s="18">
        <f>E2021* 0.0729583279576829</f>
        <v>5.252999613</v>
      </c>
    </row>
    <row r="2022" ht="15.75" hidden="1" customHeight="1">
      <c r="A2022" s="15" t="s">
        <v>224</v>
      </c>
      <c r="B2022" s="8"/>
      <c r="C2022" s="8"/>
      <c r="D2022" s="9"/>
      <c r="E2022" s="29"/>
    </row>
    <row r="2023" ht="15.75" hidden="1" customHeight="1">
      <c r="A2023" s="15" t="s">
        <v>224</v>
      </c>
      <c r="B2023" s="11" t="s">
        <v>229</v>
      </c>
      <c r="C2023" s="12" t="str">
        <f>B2023&amp;"_"&amp;A2023</f>
        <v>Camiri_Santa Cruz</v>
      </c>
      <c r="E2023" s="22">
        <v>4314.0</v>
      </c>
      <c r="F2023" s="14">
        <f t="shared" ref="F2023:H2023" si="187">SUM(F2024:F2036)</f>
        <v>3435.047454</v>
      </c>
      <c r="G2023" s="14">
        <f t="shared" si="187"/>
        <v>670.1936598</v>
      </c>
      <c r="H2023" s="14">
        <f t="shared" si="187"/>
        <v>208.5993313</v>
      </c>
    </row>
    <row r="2024" ht="15.75" hidden="1" customHeight="1">
      <c r="A2024" s="15" t="s">
        <v>224</v>
      </c>
      <c r="B2024" s="11" t="s">
        <v>229</v>
      </c>
      <c r="C2024" s="15"/>
      <c r="D2024" s="16" t="s">
        <v>14</v>
      </c>
      <c r="E2024" s="23">
        <v>0.0</v>
      </c>
      <c r="F2024" s="20">
        <v>0.0</v>
      </c>
      <c r="G2024" s="24">
        <f>E2024</f>
        <v>0</v>
      </c>
      <c r="H2024" s="20">
        <v>0.0</v>
      </c>
    </row>
    <row r="2025" ht="15.75" hidden="1" customHeight="1">
      <c r="A2025" s="15" t="s">
        <v>224</v>
      </c>
      <c r="B2025" s="11" t="s">
        <v>229</v>
      </c>
      <c r="C2025" s="15"/>
      <c r="D2025" s="16" t="s">
        <v>15</v>
      </c>
      <c r="E2025" s="23">
        <v>529.0</v>
      </c>
      <c r="F2025" s="18">
        <f>E2025* 0.932303048052446</f>
        <v>493.1883124</v>
      </c>
      <c r="G2025" s="18">
        <f>E2025* 0.0217058280204555</f>
        <v>11.48238302</v>
      </c>
      <c r="H2025" s="18">
        <f>E2025* 0.0459798598751943</f>
        <v>24.32334587</v>
      </c>
    </row>
    <row r="2026" ht="15.75" hidden="1" customHeight="1">
      <c r="A2026" s="15" t="s">
        <v>224</v>
      </c>
      <c r="B2026" s="11" t="s">
        <v>229</v>
      </c>
      <c r="C2026" s="15"/>
      <c r="D2026" s="16" t="s">
        <v>16</v>
      </c>
      <c r="E2026" s="23">
        <v>19.0</v>
      </c>
      <c r="F2026" s="18">
        <f>E2026* 0.293894936109797</f>
        <v>5.584003786</v>
      </c>
      <c r="G2026" s="18">
        <f>E2026* 0.663038334122101</f>
        <v>12.59772835</v>
      </c>
      <c r="H2026" s="18">
        <f>E2026* 0.0430667297681022</f>
        <v>0.8182678656</v>
      </c>
    </row>
    <row r="2027" ht="15.75" hidden="1" customHeight="1">
      <c r="A2027" s="15" t="s">
        <v>224</v>
      </c>
      <c r="B2027" s="11" t="s">
        <v>229</v>
      </c>
      <c r="C2027" s="15"/>
      <c r="D2027" s="16" t="s">
        <v>11</v>
      </c>
      <c r="E2027" s="23">
        <v>252.0</v>
      </c>
      <c r="F2027" s="18">
        <f>E2027* 0.083479491676667</f>
        <v>21.0368319</v>
      </c>
      <c r="G2027" s="18">
        <f>E2027* 0.913505030924029</f>
        <v>230.2032678</v>
      </c>
      <c r="H2027" s="18">
        <f>E2027* 0.00292316686667282</f>
        <v>0.7366380504</v>
      </c>
    </row>
    <row r="2028" ht="15.75" hidden="1" customHeight="1">
      <c r="A2028" s="15" t="s">
        <v>224</v>
      </c>
      <c r="B2028" s="11" t="s">
        <v>229</v>
      </c>
      <c r="C2028" s="15"/>
      <c r="D2028" s="16" t="s">
        <v>17</v>
      </c>
      <c r="E2028" s="23">
        <v>522.0</v>
      </c>
      <c r="F2028" s="18">
        <f>E2028* 0.752045572242362</f>
        <v>392.5677887</v>
      </c>
      <c r="G2028" s="18">
        <f>E2028* 0.185827723114103</f>
        <v>97.00207147</v>
      </c>
      <c r="H2028" s="18">
        <f>E2028* 0.0620921802175039</f>
        <v>32.41211807</v>
      </c>
    </row>
    <row r="2029" ht="15.75" hidden="1" customHeight="1">
      <c r="A2029" s="15" t="s">
        <v>224</v>
      </c>
      <c r="B2029" s="11" t="s">
        <v>229</v>
      </c>
      <c r="C2029" s="15"/>
      <c r="D2029" s="16" t="s">
        <v>31</v>
      </c>
      <c r="E2029" s="23">
        <v>6.0</v>
      </c>
      <c r="F2029" s="18">
        <f>E2029* 0.929131175468484</f>
        <v>5.574787053</v>
      </c>
      <c r="G2029" s="18">
        <f>E2029* 0.0477001703577513</f>
        <v>0.2862010221</v>
      </c>
      <c r="H2029" s="18">
        <f>E2029* 0.0231686541737649</f>
        <v>0.139011925</v>
      </c>
    </row>
    <row r="2030" ht="15.75" hidden="1" customHeight="1">
      <c r="A2030" s="15" t="s">
        <v>224</v>
      </c>
      <c r="B2030" s="11" t="s">
        <v>229</v>
      </c>
      <c r="C2030" s="15"/>
      <c r="D2030" s="16" t="s">
        <v>18</v>
      </c>
      <c r="E2030" s="23">
        <v>253.0</v>
      </c>
      <c r="F2030" s="18">
        <f>E2030* 0.893702527830246</f>
        <v>226.1067395</v>
      </c>
      <c r="G2030" s="18">
        <f>E2030* 0.0946831169875015</f>
        <v>23.9548286</v>
      </c>
      <c r="H2030" s="18">
        <f>E2030* 0.0116143551822529</f>
        <v>2.938431861</v>
      </c>
    </row>
    <row r="2031" ht="15.75" hidden="1" customHeight="1">
      <c r="A2031" s="15" t="s">
        <v>224</v>
      </c>
      <c r="B2031" s="11" t="s">
        <v>229</v>
      </c>
      <c r="C2031" s="15"/>
      <c r="D2031" s="16" t="s">
        <v>19</v>
      </c>
      <c r="E2031" s="23">
        <v>40.0</v>
      </c>
      <c r="F2031" s="18">
        <f>E2031* 0.0299845873616365</f>
        <v>1.199383494</v>
      </c>
      <c r="G2031" s="18">
        <f>E2031* 0.96385035729298</f>
        <v>38.55401429</v>
      </c>
      <c r="H2031" s="18">
        <f>E2031* 0.00616505534538321</f>
        <v>0.2466022138</v>
      </c>
    </row>
    <row r="2032" ht="15.75" hidden="1" customHeight="1">
      <c r="A2032" s="15" t="s">
        <v>224</v>
      </c>
      <c r="B2032" s="11" t="s">
        <v>229</v>
      </c>
      <c r="C2032" s="15"/>
      <c r="D2032" s="16" t="s">
        <v>20</v>
      </c>
      <c r="E2032" s="23">
        <v>74.0</v>
      </c>
      <c r="F2032" s="18">
        <f>E2032* 0.734251968503937</f>
        <v>54.33464567</v>
      </c>
      <c r="G2032" s="18">
        <f>E2032* 0.158017179670723</f>
        <v>11.6932713</v>
      </c>
      <c r="H2032" s="18">
        <f>E2032* 0.107551896921976</f>
        <v>7.958840372</v>
      </c>
    </row>
    <row r="2033" ht="15.75" hidden="1" customHeight="1">
      <c r="A2033" s="15" t="s">
        <v>224</v>
      </c>
      <c r="B2033" s="11" t="s">
        <v>229</v>
      </c>
      <c r="C2033" s="15"/>
      <c r="D2033" s="16" t="s">
        <v>21</v>
      </c>
      <c r="E2033" s="23">
        <v>703.0</v>
      </c>
      <c r="F2033" s="18">
        <f>E2033* 0.999727092353423</f>
        <v>702.8081459</v>
      </c>
      <c r="G2033" s="18">
        <f>E2033* 0.0000516311763794744</f>
        <v>0.03629671699</v>
      </c>
      <c r="H2033" s="18">
        <f>E2033* 0.000132765882118648</f>
        <v>0.09333441513</v>
      </c>
    </row>
    <row r="2034" ht="15.75" hidden="1" customHeight="1">
      <c r="A2034" s="15" t="s">
        <v>224</v>
      </c>
      <c r="B2034" s="11" t="s">
        <v>229</v>
      </c>
      <c r="C2034" s="15"/>
      <c r="D2034" s="16" t="s">
        <v>36</v>
      </c>
      <c r="E2034" s="23">
        <v>5.0</v>
      </c>
      <c r="F2034" s="18">
        <f>E2034* 0.995894428152493</f>
        <v>4.979472141</v>
      </c>
      <c r="G2034" s="18">
        <f>E2034* 0.000586510263929619</f>
        <v>0.00293255132</v>
      </c>
      <c r="H2034" s="18">
        <f>E2034* 0.00351906158357771</f>
        <v>0.01759530792</v>
      </c>
    </row>
    <row r="2035" ht="15.75" hidden="1" customHeight="1">
      <c r="A2035" s="15" t="s">
        <v>224</v>
      </c>
      <c r="B2035" s="11" t="s">
        <v>229</v>
      </c>
      <c r="C2035" s="15"/>
      <c r="D2035" s="16" t="s">
        <v>28</v>
      </c>
      <c r="E2035" s="23">
        <v>7.0</v>
      </c>
      <c r="F2035" s="18">
        <f>E2035* 0.00302222222222222</f>
        <v>0.02115555556</v>
      </c>
      <c r="G2035" s="18">
        <f>E2035* 0.996622222222222</f>
        <v>6.976355556</v>
      </c>
      <c r="H2035" s="18">
        <f>E2035* 0.000355555555555556</f>
        <v>0.002488888889</v>
      </c>
    </row>
    <row r="2036" ht="15.75" hidden="1" customHeight="1">
      <c r="A2036" s="15" t="s">
        <v>224</v>
      </c>
      <c r="B2036" s="11" t="s">
        <v>229</v>
      </c>
      <c r="C2036" s="15"/>
      <c r="D2036" s="16" t="s">
        <v>12</v>
      </c>
      <c r="E2036" s="23">
        <v>1904.0</v>
      </c>
      <c r="F2036" s="18">
        <f>E2036* 0.802335182557089</f>
        <v>1527.646188</v>
      </c>
      <c r="G2036" s="18">
        <f>E2036* 0.124687137143594</f>
        <v>237.4043091</v>
      </c>
      <c r="H2036" s="18">
        <f>E2036* 0.0729583279576829</f>
        <v>138.9126564</v>
      </c>
    </row>
    <row r="2037" ht="15.75" hidden="1" customHeight="1">
      <c r="A2037" s="15" t="s">
        <v>224</v>
      </c>
      <c r="B2037" s="8"/>
      <c r="C2037" s="8"/>
      <c r="D2037" s="9"/>
      <c r="E2037" s="29"/>
    </row>
    <row r="2038" ht="15.75" hidden="1" customHeight="1">
      <c r="A2038" s="15" t="s">
        <v>224</v>
      </c>
      <c r="B2038" s="11" t="s">
        <v>230</v>
      </c>
      <c r="C2038" s="12" t="str">
        <f>B2038&amp;"_"&amp;A2038</f>
        <v>Charagua_Santa Cruz</v>
      </c>
      <c r="E2038" s="22">
        <v>95.0</v>
      </c>
      <c r="F2038" s="14">
        <f t="shared" ref="F2038:H2038" si="188">SUM(F2039:F2051)</f>
        <v>77.52378496</v>
      </c>
      <c r="G2038" s="14">
        <f t="shared" si="188"/>
        <v>13.69411365</v>
      </c>
      <c r="H2038" s="14">
        <f t="shared" si="188"/>
        <v>3.77830735</v>
      </c>
    </row>
    <row r="2039" ht="15.75" hidden="1" customHeight="1">
      <c r="A2039" s="15" t="s">
        <v>224</v>
      </c>
      <c r="B2039" s="11" t="s">
        <v>230</v>
      </c>
      <c r="C2039" s="15"/>
      <c r="D2039" s="16" t="s">
        <v>14</v>
      </c>
      <c r="E2039" s="23">
        <v>0.0</v>
      </c>
      <c r="F2039" s="20">
        <v>0.0</v>
      </c>
      <c r="G2039" s="24">
        <f>E2039</f>
        <v>0</v>
      </c>
      <c r="H2039" s="20">
        <v>0.0</v>
      </c>
    </row>
    <row r="2040" ht="15.75" hidden="1" customHeight="1">
      <c r="A2040" s="15" t="s">
        <v>224</v>
      </c>
      <c r="B2040" s="11" t="s">
        <v>230</v>
      </c>
      <c r="C2040" s="15"/>
      <c r="D2040" s="16" t="s">
        <v>15</v>
      </c>
      <c r="E2040" s="23">
        <v>0.0</v>
      </c>
      <c r="F2040" s="18">
        <f>E2040* 0.932303048052446</f>
        <v>0</v>
      </c>
      <c r="G2040" s="18">
        <f>E2040* 0.0217058280204555</f>
        <v>0</v>
      </c>
      <c r="H2040" s="18">
        <f>E2040* 0.0459798598751943</f>
        <v>0</v>
      </c>
    </row>
    <row r="2041" ht="15.75" hidden="1" customHeight="1">
      <c r="A2041" s="15" t="s">
        <v>224</v>
      </c>
      <c r="B2041" s="11" t="s">
        <v>230</v>
      </c>
      <c r="C2041" s="15"/>
      <c r="D2041" s="16" t="s">
        <v>16</v>
      </c>
      <c r="E2041" s="23">
        <v>0.0</v>
      </c>
      <c r="F2041" s="18">
        <f>E2041* 0.293894936109797</f>
        <v>0</v>
      </c>
      <c r="G2041" s="18">
        <f>E2041* 0.663038334122101</f>
        <v>0</v>
      </c>
      <c r="H2041" s="18">
        <f>E2041* 0.0430667297681022</f>
        <v>0</v>
      </c>
    </row>
    <row r="2042" ht="15.75" hidden="1" customHeight="1">
      <c r="A2042" s="15" t="s">
        <v>224</v>
      </c>
      <c r="B2042" s="11" t="s">
        <v>230</v>
      </c>
      <c r="C2042" s="15"/>
      <c r="D2042" s="16" t="s">
        <v>11</v>
      </c>
      <c r="E2042" s="23">
        <v>4.0</v>
      </c>
      <c r="F2042" s="18">
        <f>E2042* 0.083479491676667</f>
        <v>0.3339179667</v>
      </c>
      <c r="G2042" s="18">
        <f>E2042* 0.913505030924029</f>
        <v>3.654020124</v>
      </c>
      <c r="H2042" s="18">
        <f>E2042* 0.00292316686667282</f>
        <v>0.01169266747</v>
      </c>
    </row>
    <row r="2043" ht="15.75" hidden="1" customHeight="1">
      <c r="A2043" s="15" t="s">
        <v>224</v>
      </c>
      <c r="B2043" s="11" t="s">
        <v>230</v>
      </c>
      <c r="C2043" s="15"/>
      <c r="D2043" s="16" t="s">
        <v>17</v>
      </c>
      <c r="E2043" s="23">
        <v>9.0</v>
      </c>
      <c r="F2043" s="18">
        <f>E2043* 0.752045572242362</f>
        <v>6.76841015</v>
      </c>
      <c r="G2043" s="18">
        <f>E2043* 0.185827723114103</f>
        <v>1.672449508</v>
      </c>
      <c r="H2043" s="18">
        <f>E2043* 0.0620921802175039</f>
        <v>0.558829622</v>
      </c>
    </row>
    <row r="2044" ht="15.75" hidden="1" customHeight="1">
      <c r="A2044" s="15" t="s">
        <v>224</v>
      </c>
      <c r="B2044" s="11" t="s">
        <v>230</v>
      </c>
      <c r="C2044" s="15"/>
      <c r="D2044" s="16" t="s">
        <v>31</v>
      </c>
      <c r="E2044" s="23">
        <v>0.0</v>
      </c>
      <c r="F2044" s="18">
        <f>E2044* 0.929131175468484</f>
        <v>0</v>
      </c>
      <c r="G2044" s="18">
        <f>E2044* 0.0477001703577513</f>
        <v>0</v>
      </c>
      <c r="H2044" s="18">
        <f>E2044* 0.0231686541737649</f>
        <v>0</v>
      </c>
    </row>
    <row r="2045" ht="15.75" hidden="1" customHeight="1">
      <c r="A2045" s="15" t="s">
        <v>224</v>
      </c>
      <c r="B2045" s="11" t="s">
        <v>230</v>
      </c>
      <c r="C2045" s="15"/>
      <c r="D2045" s="16" t="s">
        <v>18</v>
      </c>
      <c r="E2045" s="23">
        <v>12.0</v>
      </c>
      <c r="F2045" s="18">
        <f>E2045* 0.893702527830246</f>
        <v>10.72443033</v>
      </c>
      <c r="G2045" s="18">
        <f>E2045* 0.0946831169875015</f>
        <v>1.136197404</v>
      </c>
      <c r="H2045" s="18">
        <f>E2045* 0.0116143551822529</f>
        <v>0.1393722622</v>
      </c>
    </row>
    <row r="2046" ht="15.75" hidden="1" customHeight="1">
      <c r="A2046" s="15" t="s">
        <v>224</v>
      </c>
      <c r="B2046" s="11" t="s">
        <v>230</v>
      </c>
      <c r="C2046" s="15"/>
      <c r="D2046" s="16" t="s">
        <v>19</v>
      </c>
      <c r="E2046" s="23">
        <v>0.0</v>
      </c>
      <c r="F2046" s="18">
        <f>E2046* 0.0299845873616365</f>
        <v>0</v>
      </c>
      <c r="G2046" s="18">
        <f>E2046* 0.96385035729298</f>
        <v>0</v>
      </c>
      <c r="H2046" s="18">
        <f>E2046* 0.00616505534538321</f>
        <v>0</v>
      </c>
    </row>
    <row r="2047" ht="15.75" hidden="1" customHeight="1">
      <c r="A2047" s="15" t="s">
        <v>224</v>
      </c>
      <c r="B2047" s="11" t="s">
        <v>230</v>
      </c>
      <c r="C2047" s="15"/>
      <c r="D2047" s="16" t="s">
        <v>20</v>
      </c>
      <c r="E2047" s="23">
        <v>0.0</v>
      </c>
      <c r="F2047" s="18">
        <f>E2047* 0.734251968503937</f>
        <v>0</v>
      </c>
      <c r="G2047" s="18">
        <f>E2047* 0.158017179670723</f>
        <v>0</v>
      </c>
      <c r="H2047" s="18">
        <f>E2047* 0.107551896921976</f>
        <v>0</v>
      </c>
    </row>
    <row r="2048" ht="15.75" hidden="1" customHeight="1">
      <c r="A2048" s="15" t="s">
        <v>224</v>
      </c>
      <c r="B2048" s="11" t="s">
        <v>230</v>
      </c>
      <c r="C2048" s="15"/>
      <c r="D2048" s="16" t="s">
        <v>21</v>
      </c>
      <c r="E2048" s="23">
        <v>26.0</v>
      </c>
      <c r="F2048" s="18">
        <f>E2048* 0.999727092353423</f>
        <v>25.9929044</v>
      </c>
      <c r="G2048" s="18">
        <f>E2048* 0.0000516311763794744</f>
        <v>0.001342410586</v>
      </c>
      <c r="H2048" s="18">
        <f>E2048* 0.000132765882118648</f>
        <v>0.003451912935</v>
      </c>
    </row>
    <row r="2049" ht="15.75" hidden="1" customHeight="1">
      <c r="A2049" s="15" t="s">
        <v>224</v>
      </c>
      <c r="B2049" s="11" t="s">
        <v>230</v>
      </c>
      <c r="C2049" s="15"/>
      <c r="D2049" s="16" t="s">
        <v>36</v>
      </c>
      <c r="E2049" s="23">
        <v>0.0</v>
      </c>
      <c r="F2049" s="18">
        <f>E2049* 0.995894428152493</f>
        <v>0</v>
      </c>
      <c r="G2049" s="18">
        <f>E2049* 0.000586510263929619</f>
        <v>0</v>
      </c>
      <c r="H2049" s="18">
        <f>E2049* 0.00351906158357771</f>
        <v>0</v>
      </c>
    </row>
    <row r="2050" ht="15.75" hidden="1" customHeight="1">
      <c r="A2050" s="15" t="s">
        <v>224</v>
      </c>
      <c r="B2050" s="11" t="s">
        <v>230</v>
      </c>
      <c r="C2050" s="15"/>
      <c r="D2050" s="16" t="s">
        <v>148</v>
      </c>
      <c r="E2050" s="23">
        <v>2.0</v>
      </c>
      <c r="F2050" s="18">
        <f>E2050* 0.00302222222222222</f>
        <v>0.006044444444</v>
      </c>
      <c r="G2050" s="18">
        <f>E2050* 0.996622222222222</f>
        <v>1.993244444</v>
      </c>
      <c r="H2050" s="18">
        <f>E2050* 0.000355555555555556</f>
        <v>0.0007111111111</v>
      </c>
    </row>
    <row r="2051" ht="15.75" hidden="1" customHeight="1">
      <c r="A2051" s="15" t="s">
        <v>224</v>
      </c>
      <c r="B2051" s="11" t="s">
        <v>230</v>
      </c>
      <c r="C2051" s="15"/>
      <c r="D2051" s="16" t="s">
        <v>12</v>
      </c>
      <c r="E2051" s="23">
        <v>42.0</v>
      </c>
      <c r="F2051" s="18">
        <f>E2051* 0.802335182557089</f>
        <v>33.69807767</v>
      </c>
      <c r="G2051" s="18">
        <f>E2051* 0.124687137143594</f>
        <v>5.23685976</v>
      </c>
      <c r="H2051" s="18">
        <f>E2051* 0.0729583279576829</f>
        <v>3.064249774</v>
      </c>
    </row>
    <row r="2052" ht="15.75" hidden="1" customHeight="1">
      <c r="A2052" s="15" t="s">
        <v>224</v>
      </c>
      <c r="B2052" s="8"/>
      <c r="C2052" s="8"/>
      <c r="D2052" s="9"/>
      <c r="E2052" s="29"/>
    </row>
    <row r="2053" ht="15.75" hidden="1" customHeight="1">
      <c r="A2053" s="15" t="s">
        <v>224</v>
      </c>
      <c r="B2053" s="11" t="s">
        <v>231</v>
      </c>
      <c r="C2053" s="12" t="str">
        <f>B2053&amp;"_"&amp;A2053</f>
        <v>Colpa Bélgica_Santa Cruz</v>
      </c>
      <c r="E2053" s="22">
        <v>166.0</v>
      </c>
      <c r="F2053" s="14">
        <f t="shared" ref="F2053:H2053" si="189">SUM(F2054:F2067)</f>
        <v>135.8405305</v>
      </c>
      <c r="G2053" s="14">
        <f t="shared" si="189"/>
        <v>24.87873284</v>
      </c>
      <c r="H2053" s="14">
        <f t="shared" si="189"/>
        <v>5.272240839</v>
      </c>
    </row>
    <row r="2054" ht="15.75" hidden="1" customHeight="1">
      <c r="A2054" s="15" t="s">
        <v>224</v>
      </c>
      <c r="B2054" s="11" t="s">
        <v>231</v>
      </c>
      <c r="C2054" s="15"/>
      <c r="D2054" s="16" t="s">
        <v>14</v>
      </c>
      <c r="E2054" s="23">
        <v>0.0</v>
      </c>
      <c r="F2054" s="20">
        <v>0.0</v>
      </c>
      <c r="G2054" s="24">
        <f>E2054</f>
        <v>0</v>
      </c>
      <c r="H2054" s="20">
        <v>0.0</v>
      </c>
    </row>
    <row r="2055" ht="15.75" hidden="1" customHeight="1">
      <c r="A2055" s="15" t="s">
        <v>224</v>
      </c>
      <c r="B2055" s="11" t="s">
        <v>231</v>
      </c>
      <c r="C2055" s="15"/>
      <c r="D2055" s="16" t="s">
        <v>15</v>
      </c>
      <c r="E2055" s="23">
        <v>25.0</v>
      </c>
      <c r="F2055" s="18">
        <f>E2055* 0.932303048052446</f>
        <v>23.3075762</v>
      </c>
      <c r="G2055" s="18">
        <f>E2055* 0.0217058280204555</f>
        <v>0.5426457005</v>
      </c>
      <c r="H2055" s="18">
        <f>E2055* 0.0459798598751943</f>
        <v>1.149496497</v>
      </c>
    </row>
    <row r="2056" ht="15.75" hidden="1" customHeight="1">
      <c r="A2056" s="15" t="s">
        <v>224</v>
      </c>
      <c r="B2056" s="11" t="s">
        <v>231</v>
      </c>
      <c r="C2056" s="15"/>
      <c r="D2056" s="16" t="s">
        <v>16</v>
      </c>
      <c r="E2056" s="23">
        <v>0.0</v>
      </c>
      <c r="F2056" s="18">
        <f>E2056* 0.293894936109797</f>
        <v>0</v>
      </c>
      <c r="G2056" s="18">
        <f>E2056* 0.663038334122101</f>
        <v>0</v>
      </c>
      <c r="H2056" s="18">
        <f>E2056* 0.0430667297681022</f>
        <v>0</v>
      </c>
    </row>
    <row r="2057" ht="15.75" hidden="1" customHeight="1">
      <c r="A2057" s="15" t="s">
        <v>224</v>
      </c>
      <c r="B2057" s="11" t="s">
        <v>231</v>
      </c>
      <c r="C2057" s="15"/>
      <c r="D2057" s="16" t="s">
        <v>11</v>
      </c>
      <c r="E2057" s="23">
        <v>13.0</v>
      </c>
      <c r="F2057" s="18">
        <f>E2057* 0.083479491676667</f>
        <v>1.085233392</v>
      </c>
      <c r="G2057" s="18">
        <f>E2057* 0.913505030924029</f>
        <v>11.8755654</v>
      </c>
      <c r="H2057" s="18">
        <f>E2057* 0.00292316686667282</f>
        <v>0.03800116927</v>
      </c>
    </row>
    <row r="2058" ht="15.75" hidden="1" customHeight="1">
      <c r="A2058" s="15" t="s">
        <v>224</v>
      </c>
      <c r="B2058" s="11" t="s">
        <v>231</v>
      </c>
      <c r="C2058" s="15"/>
      <c r="D2058" s="16" t="s">
        <v>17</v>
      </c>
      <c r="E2058" s="23">
        <v>7.0</v>
      </c>
      <c r="F2058" s="18">
        <f>E2058* 0.752045572242362</f>
        <v>5.264319006</v>
      </c>
      <c r="G2058" s="18">
        <f>E2058* 0.185827723114103</f>
        <v>1.300794062</v>
      </c>
      <c r="H2058" s="18">
        <f>E2058* 0.0620921802175039</f>
        <v>0.4346452615</v>
      </c>
    </row>
    <row r="2059" ht="15.75" hidden="1" customHeight="1">
      <c r="A2059" s="15" t="s">
        <v>224</v>
      </c>
      <c r="B2059" s="11" t="s">
        <v>231</v>
      </c>
      <c r="C2059" s="15"/>
      <c r="D2059" s="16" t="s">
        <v>31</v>
      </c>
      <c r="E2059" s="23">
        <v>0.0</v>
      </c>
      <c r="F2059" s="18">
        <f>E2059* 0.929131175468484</f>
        <v>0</v>
      </c>
      <c r="G2059" s="18">
        <f>E2059* 0.0477001703577513</f>
        <v>0</v>
      </c>
      <c r="H2059" s="18">
        <f>E2059* 0.0231686541737649</f>
        <v>0</v>
      </c>
    </row>
    <row r="2060" ht="15.75" hidden="1" customHeight="1">
      <c r="A2060" s="15" t="s">
        <v>224</v>
      </c>
      <c r="B2060" s="11" t="s">
        <v>231</v>
      </c>
      <c r="C2060" s="15"/>
      <c r="D2060" s="16" t="s">
        <v>18</v>
      </c>
      <c r="E2060" s="23">
        <v>1.0</v>
      </c>
      <c r="F2060" s="18">
        <f>E2060* 0.893702527830246</f>
        <v>0.8937025278</v>
      </c>
      <c r="G2060" s="18">
        <f>E2060* 0.0946831169875015</f>
        <v>0.09468311699</v>
      </c>
      <c r="H2060" s="18">
        <f>E2060* 0.0116143551822529</f>
        <v>0.01161435518</v>
      </c>
    </row>
    <row r="2061" ht="15.75" hidden="1" customHeight="1">
      <c r="A2061" s="15" t="s">
        <v>224</v>
      </c>
      <c r="B2061" s="11" t="s">
        <v>231</v>
      </c>
      <c r="C2061" s="15"/>
      <c r="D2061" s="16" t="s">
        <v>19</v>
      </c>
      <c r="E2061" s="23">
        <v>2.0</v>
      </c>
      <c r="F2061" s="18">
        <f>E2061* 0.0299845873616365</f>
        <v>0.05996917472</v>
      </c>
      <c r="G2061" s="18">
        <f>E2061* 0.96385035729298</f>
        <v>1.927700715</v>
      </c>
      <c r="H2061" s="18">
        <f>E2061* 0.00616505534538321</f>
        <v>0.01233011069</v>
      </c>
    </row>
    <row r="2062" ht="15.75" hidden="1" customHeight="1">
      <c r="A2062" s="15" t="s">
        <v>224</v>
      </c>
      <c r="B2062" s="11" t="s">
        <v>231</v>
      </c>
      <c r="C2062" s="15"/>
      <c r="D2062" s="16" t="s">
        <v>20</v>
      </c>
      <c r="E2062" s="23">
        <v>1.0</v>
      </c>
      <c r="F2062" s="18">
        <f>E2062* 0.734251968503937</f>
        <v>0.7342519685</v>
      </c>
      <c r="G2062" s="18">
        <f>E2062* 0.158017179670723</f>
        <v>0.1580171797</v>
      </c>
      <c r="H2062" s="18">
        <f>E2062* 0.107551896921976</f>
        <v>0.1075518969</v>
      </c>
    </row>
    <row r="2063" ht="15.75" hidden="1" customHeight="1">
      <c r="A2063" s="15" t="s">
        <v>224</v>
      </c>
      <c r="B2063" s="11" t="s">
        <v>231</v>
      </c>
      <c r="C2063" s="15"/>
      <c r="D2063" s="16" t="s">
        <v>21</v>
      </c>
      <c r="E2063" s="23">
        <v>64.0</v>
      </c>
      <c r="F2063" s="18">
        <f>E2063* 0.999727092353423</f>
        <v>63.98253391</v>
      </c>
      <c r="G2063" s="18">
        <f>E2063* 0.0000516311763794744</f>
        <v>0.003304395288</v>
      </c>
      <c r="H2063" s="18">
        <f>E2063* 0.000132765882118648</f>
        <v>0.008497016456</v>
      </c>
    </row>
    <row r="2064" ht="15.75" hidden="1" customHeight="1">
      <c r="A2064" s="15" t="s">
        <v>224</v>
      </c>
      <c r="B2064" s="11" t="s">
        <v>231</v>
      </c>
      <c r="C2064" s="15"/>
      <c r="D2064" s="16" t="s">
        <v>36</v>
      </c>
      <c r="E2064" s="23">
        <v>2.0</v>
      </c>
      <c r="F2064" s="18">
        <f>E2064* 0.995894428152493</f>
        <v>1.991788856</v>
      </c>
      <c r="G2064" s="18">
        <f>E2064* 0.000586510263929619</f>
        <v>0.001173020528</v>
      </c>
      <c r="H2064" s="18">
        <f>E2064* 0.00351906158357771</f>
        <v>0.007038123167</v>
      </c>
    </row>
    <row r="2065" ht="15.75" hidden="1" customHeight="1">
      <c r="A2065" s="15" t="s">
        <v>224</v>
      </c>
      <c r="B2065" s="11" t="s">
        <v>231</v>
      </c>
      <c r="C2065" s="15"/>
      <c r="D2065" s="16" t="s">
        <v>37</v>
      </c>
      <c r="E2065" s="29"/>
      <c r="F2065" s="20">
        <v>0.0</v>
      </c>
      <c r="G2065" s="24" t="str">
        <f>E2065</f>
        <v/>
      </c>
      <c r="H2065" s="20">
        <v>0.0</v>
      </c>
    </row>
    <row r="2066" ht="15.75" hidden="1" customHeight="1">
      <c r="A2066" s="15" t="s">
        <v>224</v>
      </c>
      <c r="B2066" s="11" t="s">
        <v>231</v>
      </c>
      <c r="C2066" s="15"/>
      <c r="D2066" s="16" t="s">
        <v>148</v>
      </c>
      <c r="E2066" s="23">
        <v>3.0</v>
      </c>
      <c r="F2066" s="18">
        <f>E2066* 0.00302222222222222</f>
        <v>0.009066666667</v>
      </c>
      <c r="G2066" s="18">
        <f>E2066* 0.996622222222222</f>
        <v>2.989866667</v>
      </c>
      <c r="H2066" s="18">
        <f>E2066* 0.000355555555555556</f>
        <v>0.001066666667</v>
      </c>
    </row>
    <row r="2067" ht="15.75" hidden="1" customHeight="1">
      <c r="A2067" s="15" t="s">
        <v>224</v>
      </c>
      <c r="B2067" s="11" t="s">
        <v>231</v>
      </c>
      <c r="C2067" s="15"/>
      <c r="D2067" s="16" t="s">
        <v>12</v>
      </c>
      <c r="E2067" s="23">
        <v>48.0</v>
      </c>
      <c r="F2067" s="18">
        <f>E2067* 0.802335182557089</f>
        <v>38.51208876</v>
      </c>
      <c r="G2067" s="18">
        <f>E2067* 0.124687137143594</f>
        <v>5.984982583</v>
      </c>
      <c r="H2067" s="18">
        <f>E2067* 0.0729583279576829</f>
        <v>3.501999742</v>
      </c>
    </row>
    <row r="2068" ht="15.75" hidden="1" customHeight="1">
      <c r="A2068" s="15" t="s">
        <v>224</v>
      </c>
      <c r="B2068" s="8"/>
      <c r="C2068" s="8"/>
      <c r="D2068" s="9"/>
      <c r="E2068" s="29"/>
    </row>
    <row r="2069" ht="15.75" hidden="1" customHeight="1">
      <c r="A2069" s="15" t="s">
        <v>224</v>
      </c>
      <c r="B2069" s="11" t="s">
        <v>232</v>
      </c>
      <c r="C2069" s="12" t="str">
        <f>B2069&amp;"_"&amp;A2069</f>
        <v>Comarapa_Santa Cruz</v>
      </c>
      <c r="E2069" s="22">
        <v>607.0</v>
      </c>
      <c r="F2069" s="14">
        <f t="shared" ref="F2069:H2069" si="190">SUM(F2070:F2082)</f>
        <v>487.5623686</v>
      </c>
      <c r="G2069" s="14">
        <f t="shared" si="190"/>
        <v>96.50304523</v>
      </c>
      <c r="H2069" s="14">
        <f t="shared" si="190"/>
        <v>22.90304926</v>
      </c>
    </row>
    <row r="2070" ht="15.75" hidden="1" customHeight="1">
      <c r="A2070" s="15" t="s">
        <v>224</v>
      </c>
      <c r="B2070" s="11" t="s">
        <v>232</v>
      </c>
      <c r="C2070" s="15"/>
      <c r="D2070" s="16" t="s">
        <v>14</v>
      </c>
      <c r="E2070" s="23">
        <v>0.0</v>
      </c>
      <c r="F2070" s="20">
        <v>0.0</v>
      </c>
      <c r="G2070" s="24">
        <f>E2070</f>
        <v>0</v>
      </c>
      <c r="H2070" s="20">
        <v>0.0</v>
      </c>
    </row>
    <row r="2071" ht="15.75" hidden="1" customHeight="1">
      <c r="A2071" s="15" t="s">
        <v>224</v>
      </c>
      <c r="B2071" s="11" t="s">
        <v>232</v>
      </c>
      <c r="C2071" s="15"/>
      <c r="D2071" s="16" t="s">
        <v>15</v>
      </c>
      <c r="E2071" s="23">
        <v>3.0</v>
      </c>
      <c r="F2071" s="18">
        <f>E2071* 0.932303048052446</f>
        <v>2.796909144</v>
      </c>
      <c r="G2071" s="18">
        <f>E2071* 0.0217058280204555</f>
        <v>0.06511748406</v>
      </c>
      <c r="H2071" s="18">
        <f>E2071* 0.0459798598751943</f>
        <v>0.1379395796</v>
      </c>
    </row>
    <row r="2072" ht="15.75" hidden="1" customHeight="1">
      <c r="A2072" s="15" t="s">
        <v>224</v>
      </c>
      <c r="B2072" s="11" t="s">
        <v>232</v>
      </c>
      <c r="C2072" s="15"/>
      <c r="D2072" s="16" t="s">
        <v>16</v>
      </c>
      <c r="E2072" s="23">
        <v>0.0</v>
      </c>
      <c r="F2072" s="18">
        <f>E2072* 0.293894936109797</f>
        <v>0</v>
      </c>
      <c r="G2072" s="18">
        <f>E2072* 0.663038334122101</f>
        <v>0</v>
      </c>
      <c r="H2072" s="18">
        <f>E2072* 0.0430667297681022</f>
        <v>0</v>
      </c>
    </row>
    <row r="2073" ht="15.75" hidden="1" customHeight="1">
      <c r="A2073" s="15" t="s">
        <v>224</v>
      </c>
      <c r="B2073" s="11" t="s">
        <v>232</v>
      </c>
      <c r="C2073" s="15"/>
      <c r="D2073" s="16" t="s">
        <v>11</v>
      </c>
      <c r="E2073" s="23">
        <v>60.0</v>
      </c>
      <c r="F2073" s="18">
        <f>E2073* 0.083479491676667</f>
        <v>5.008769501</v>
      </c>
      <c r="G2073" s="18">
        <f>E2073* 0.913505030924029</f>
        <v>54.81030186</v>
      </c>
      <c r="H2073" s="18">
        <f>E2073* 0.00292316686667282</f>
        <v>0.175390012</v>
      </c>
    </row>
    <row r="2074" ht="15.75" hidden="1" customHeight="1">
      <c r="A2074" s="15" t="s">
        <v>224</v>
      </c>
      <c r="B2074" s="11" t="s">
        <v>232</v>
      </c>
      <c r="C2074" s="15"/>
      <c r="D2074" s="16" t="s">
        <v>17</v>
      </c>
      <c r="E2074" s="23">
        <v>14.0</v>
      </c>
      <c r="F2074" s="18">
        <f>E2074* 0.752045572242362</f>
        <v>10.52863801</v>
      </c>
      <c r="G2074" s="18">
        <f>E2074* 0.185827723114103</f>
        <v>2.601588124</v>
      </c>
      <c r="H2074" s="18">
        <f>E2074* 0.0620921802175039</f>
        <v>0.869290523</v>
      </c>
    </row>
    <row r="2075" ht="15.75" hidden="1" customHeight="1">
      <c r="A2075" s="15" t="s">
        <v>224</v>
      </c>
      <c r="B2075" s="11" t="s">
        <v>232</v>
      </c>
      <c r="C2075" s="15"/>
      <c r="D2075" s="16" t="s">
        <v>31</v>
      </c>
      <c r="E2075" s="23">
        <v>0.0</v>
      </c>
      <c r="F2075" s="18">
        <f>E2075* 0.929131175468484</f>
        <v>0</v>
      </c>
      <c r="G2075" s="18">
        <f>E2075* 0.0477001703577513</f>
        <v>0</v>
      </c>
      <c r="H2075" s="18">
        <f>E2075* 0.0231686541737649</f>
        <v>0</v>
      </c>
    </row>
    <row r="2076" ht="15.75" hidden="1" customHeight="1">
      <c r="A2076" s="15" t="s">
        <v>224</v>
      </c>
      <c r="B2076" s="11" t="s">
        <v>232</v>
      </c>
      <c r="C2076" s="15"/>
      <c r="D2076" s="16" t="s">
        <v>18</v>
      </c>
      <c r="E2076" s="23">
        <v>14.0</v>
      </c>
      <c r="F2076" s="18">
        <f>E2076* 0.893702527830246</f>
        <v>12.51183539</v>
      </c>
      <c r="G2076" s="18">
        <f>E2076* 0.0946831169875015</f>
        <v>1.325563638</v>
      </c>
      <c r="H2076" s="18">
        <f>E2076* 0.0116143551822529</f>
        <v>0.1626009726</v>
      </c>
    </row>
    <row r="2077" ht="15.75" hidden="1" customHeight="1">
      <c r="A2077" s="15" t="s">
        <v>224</v>
      </c>
      <c r="B2077" s="11" t="s">
        <v>232</v>
      </c>
      <c r="C2077" s="15"/>
      <c r="D2077" s="16" t="s">
        <v>19</v>
      </c>
      <c r="E2077" s="23">
        <v>1.0</v>
      </c>
      <c r="F2077" s="18">
        <f>E2077* 0.0299845873616365</f>
        <v>0.02998458736</v>
      </c>
      <c r="G2077" s="18">
        <f>E2077* 0.96385035729298</f>
        <v>0.9638503573</v>
      </c>
      <c r="H2077" s="18">
        <f>E2077* 0.00616505534538321</f>
        <v>0.006165055345</v>
      </c>
    </row>
    <row r="2078" ht="15.75" hidden="1" customHeight="1">
      <c r="A2078" s="15" t="s">
        <v>224</v>
      </c>
      <c r="B2078" s="11" t="s">
        <v>232</v>
      </c>
      <c r="C2078" s="15"/>
      <c r="D2078" s="16" t="s">
        <v>20</v>
      </c>
      <c r="E2078" s="23">
        <v>2.0</v>
      </c>
      <c r="F2078" s="18">
        <f>E2078* 0.734251968503937</f>
        <v>1.468503937</v>
      </c>
      <c r="G2078" s="18">
        <f>E2078* 0.158017179670723</f>
        <v>0.3160343593</v>
      </c>
      <c r="H2078" s="18">
        <f>E2078* 0.107551896921976</f>
        <v>0.2151037938</v>
      </c>
    </row>
    <row r="2079" ht="15.75" hidden="1" customHeight="1">
      <c r="A2079" s="15" t="s">
        <v>224</v>
      </c>
      <c r="B2079" s="11" t="s">
        <v>232</v>
      </c>
      <c r="C2079" s="15"/>
      <c r="D2079" s="16" t="s">
        <v>21</v>
      </c>
      <c r="E2079" s="23">
        <v>220.0</v>
      </c>
      <c r="F2079" s="18">
        <f>E2079* 0.999727092353423</f>
        <v>219.9399603</v>
      </c>
      <c r="G2079" s="18">
        <f>E2079* 0.0000516311763794744</f>
        <v>0.0113588588</v>
      </c>
      <c r="H2079" s="18">
        <f>E2079* 0.000132765882118648</f>
        <v>0.02920849407</v>
      </c>
    </row>
    <row r="2080" ht="15.75" hidden="1" customHeight="1">
      <c r="A2080" s="15" t="s">
        <v>224</v>
      </c>
      <c r="B2080" s="11" t="s">
        <v>232</v>
      </c>
      <c r="C2080" s="15"/>
      <c r="D2080" s="16" t="s">
        <v>36</v>
      </c>
      <c r="E2080" s="23">
        <v>1.0</v>
      </c>
      <c r="F2080" s="18">
        <f>E2080* 0.995894428152493</f>
        <v>0.9958944282</v>
      </c>
      <c r="G2080" s="18">
        <f>E2080* 0.000586510263929619</f>
        <v>0.0005865102639</v>
      </c>
      <c r="H2080" s="18">
        <f>E2080* 0.00351906158357771</f>
        <v>0.003519061584</v>
      </c>
    </row>
    <row r="2081" ht="15.75" hidden="1" customHeight="1">
      <c r="A2081" s="15" t="s">
        <v>224</v>
      </c>
      <c r="B2081" s="11" t="s">
        <v>232</v>
      </c>
      <c r="C2081" s="15"/>
      <c r="D2081" s="16" t="s">
        <v>148</v>
      </c>
      <c r="E2081" s="29"/>
      <c r="F2081" s="18">
        <f>E2081* 0.00302222222222222</f>
        <v>0</v>
      </c>
      <c r="G2081" s="18">
        <f>E2081* 0.996622222222222</f>
        <v>0</v>
      </c>
      <c r="H2081" s="18">
        <f>E2081* 0.000355555555555556</f>
        <v>0</v>
      </c>
    </row>
    <row r="2082" ht="15.75" hidden="1" customHeight="1">
      <c r="A2082" s="15" t="s">
        <v>224</v>
      </c>
      <c r="B2082" s="11" t="s">
        <v>232</v>
      </c>
      <c r="C2082" s="15"/>
      <c r="D2082" s="16" t="s">
        <v>12</v>
      </c>
      <c r="E2082" s="23">
        <v>292.0</v>
      </c>
      <c r="F2082" s="18">
        <f>E2082* 0.802335182557089</f>
        <v>234.2818733</v>
      </c>
      <c r="G2082" s="18">
        <f>E2082* 0.124687137143594</f>
        <v>36.40864405</v>
      </c>
      <c r="H2082" s="18">
        <f>E2082* 0.0729583279576829</f>
        <v>21.30383176</v>
      </c>
    </row>
    <row r="2083" ht="15.75" hidden="1" customHeight="1">
      <c r="A2083" s="15" t="s">
        <v>224</v>
      </c>
      <c r="B2083" s="8"/>
      <c r="C2083" s="8"/>
      <c r="D2083" s="9"/>
      <c r="E2083" s="29"/>
    </row>
    <row r="2084" ht="15.75" hidden="1" customHeight="1">
      <c r="A2084" s="15" t="s">
        <v>224</v>
      </c>
      <c r="B2084" s="11" t="s">
        <v>233</v>
      </c>
      <c r="C2084" s="12" t="str">
        <f>B2084&amp;"_"&amp;A2084</f>
        <v>Concepción_Santa Cruz</v>
      </c>
      <c r="E2084" s="22">
        <v>182.0</v>
      </c>
      <c r="F2084" s="14">
        <f t="shared" ref="F2084:H2084" si="191">SUM(F2085:F2096)</f>
        <v>165.7969905</v>
      </c>
      <c r="G2084" s="14">
        <f t="shared" si="191"/>
        <v>14.25757419</v>
      </c>
      <c r="H2084" s="14">
        <f t="shared" si="191"/>
        <v>1.931471373</v>
      </c>
    </row>
    <row r="2085" ht="15.75" hidden="1" customHeight="1">
      <c r="A2085" s="15" t="s">
        <v>224</v>
      </c>
      <c r="B2085" s="11" t="s">
        <v>233</v>
      </c>
      <c r="C2085" s="15"/>
      <c r="D2085" s="16" t="s">
        <v>14</v>
      </c>
      <c r="E2085" s="23">
        <v>0.0</v>
      </c>
      <c r="F2085" s="20">
        <v>0.0</v>
      </c>
      <c r="G2085" s="24">
        <f>E2085</f>
        <v>0</v>
      </c>
      <c r="H2085" s="20">
        <v>0.0</v>
      </c>
    </row>
    <row r="2086" ht="15.75" hidden="1" customHeight="1">
      <c r="A2086" s="15" t="s">
        <v>224</v>
      </c>
      <c r="B2086" s="11" t="s">
        <v>233</v>
      </c>
      <c r="C2086" s="15"/>
      <c r="D2086" s="16" t="s">
        <v>15</v>
      </c>
      <c r="E2086" s="23">
        <v>0.0</v>
      </c>
      <c r="F2086" s="18">
        <f>E2086* 0.932303048052446</f>
        <v>0</v>
      </c>
      <c r="G2086" s="18">
        <f>E2086* 0.0217058280204555</f>
        <v>0</v>
      </c>
      <c r="H2086" s="18">
        <f>E2086* 0.0459798598751943</f>
        <v>0</v>
      </c>
    </row>
    <row r="2087" ht="15.75" hidden="1" customHeight="1">
      <c r="A2087" s="15" t="s">
        <v>224</v>
      </c>
      <c r="B2087" s="11" t="s">
        <v>233</v>
      </c>
      <c r="C2087" s="15"/>
      <c r="D2087" s="16" t="s">
        <v>16</v>
      </c>
      <c r="E2087" s="23">
        <v>0.0</v>
      </c>
      <c r="F2087" s="18">
        <f>E2087* 0.293894936109797</f>
        <v>0</v>
      </c>
      <c r="G2087" s="18">
        <f>E2087* 0.663038334122101</f>
        <v>0</v>
      </c>
      <c r="H2087" s="18">
        <f>E2087* 0.0430667297681022</f>
        <v>0</v>
      </c>
    </row>
    <row r="2088" ht="15.75" hidden="1" customHeight="1">
      <c r="A2088" s="15" t="s">
        <v>224</v>
      </c>
      <c r="B2088" s="11" t="s">
        <v>233</v>
      </c>
      <c r="C2088" s="15"/>
      <c r="D2088" s="16" t="s">
        <v>11</v>
      </c>
      <c r="E2088" s="23">
        <v>9.0</v>
      </c>
      <c r="F2088" s="18">
        <f>E2088* 0.083479491676667</f>
        <v>0.7513154251</v>
      </c>
      <c r="G2088" s="18">
        <f>E2088* 0.913505030924029</f>
        <v>8.221545278</v>
      </c>
      <c r="H2088" s="18">
        <f>E2088* 0.00292316686667282</f>
        <v>0.0263085018</v>
      </c>
    </row>
    <row r="2089" ht="15.75" hidden="1" customHeight="1">
      <c r="A2089" s="15" t="s">
        <v>224</v>
      </c>
      <c r="B2089" s="11" t="s">
        <v>233</v>
      </c>
      <c r="C2089" s="15"/>
      <c r="D2089" s="16" t="s">
        <v>17</v>
      </c>
      <c r="E2089" s="23">
        <v>19.0</v>
      </c>
      <c r="F2089" s="18">
        <f>E2089* 0.752045572242362</f>
        <v>14.28886587</v>
      </c>
      <c r="G2089" s="18">
        <f>E2089* 0.185827723114103</f>
        <v>3.530726739</v>
      </c>
      <c r="H2089" s="18">
        <f>E2089* 0.0620921802175039</f>
        <v>1.179751424</v>
      </c>
    </row>
    <row r="2090" ht="15.75" hidden="1" customHeight="1">
      <c r="A2090" s="15" t="s">
        <v>224</v>
      </c>
      <c r="B2090" s="11" t="s">
        <v>233</v>
      </c>
      <c r="C2090" s="15"/>
      <c r="D2090" s="16" t="s">
        <v>31</v>
      </c>
      <c r="E2090" s="23">
        <v>0.0</v>
      </c>
      <c r="F2090" s="18">
        <f>E2090* 0.929131175468484</f>
        <v>0</v>
      </c>
      <c r="G2090" s="18">
        <f>E2090* 0.0477001703577513</f>
        <v>0</v>
      </c>
      <c r="H2090" s="18">
        <f>E2090* 0.0231686541737649</f>
        <v>0</v>
      </c>
    </row>
    <row r="2091" ht="15.75" hidden="1" customHeight="1">
      <c r="A2091" s="15" t="s">
        <v>224</v>
      </c>
      <c r="B2091" s="11" t="s">
        <v>233</v>
      </c>
      <c r="C2091" s="15"/>
      <c r="D2091" s="16" t="s">
        <v>18</v>
      </c>
      <c r="E2091" s="23">
        <v>4.0</v>
      </c>
      <c r="F2091" s="18">
        <f>E2091* 0.893702527830246</f>
        <v>3.574810111</v>
      </c>
      <c r="G2091" s="18">
        <f>E2091* 0.0946831169875015</f>
        <v>0.378732468</v>
      </c>
      <c r="H2091" s="18">
        <f>E2091* 0.0116143551822529</f>
        <v>0.04645742073</v>
      </c>
    </row>
    <row r="2092" ht="15.75" hidden="1" customHeight="1">
      <c r="A2092" s="15" t="s">
        <v>224</v>
      </c>
      <c r="B2092" s="11" t="s">
        <v>233</v>
      </c>
      <c r="C2092" s="15"/>
      <c r="D2092" s="16" t="s">
        <v>20</v>
      </c>
      <c r="E2092" s="23">
        <v>0.0</v>
      </c>
      <c r="F2092" s="18">
        <f>E2092* 0.734251968503937</f>
        <v>0</v>
      </c>
      <c r="G2092" s="18">
        <f>E2092* 0.158017179670723</f>
        <v>0</v>
      </c>
      <c r="H2092" s="18">
        <f>E2092* 0.107551896921976</f>
        <v>0</v>
      </c>
    </row>
    <row r="2093" ht="15.75" hidden="1" customHeight="1">
      <c r="A2093" s="15" t="s">
        <v>224</v>
      </c>
      <c r="B2093" s="11" t="s">
        <v>233</v>
      </c>
      <c r="C2093" s="15"/>
      <c r="D2093" s="16" t="s">
        <v>21</v>
      </c>
      <c r="E2093" s="23">
        <v>139.0</v>
      </c>
      <c r="F2093" s="18">
        <f>E2093* 0.999727092353423</f>
        <v>138.9620658</v>
      </c>
      <c r="G2093" s="18">
        <f>E2093* 0.0000516311763794744</f>
        <v>0.007176733517</v>
      </c>
      <c r="H2093" s="18">
        <f>E2093* 0.000132765882118648</f>
        <v>0.01845445761</v>
      </c>
    </row>
    <row r="2094" ht="15.75" hidden="1" customHeight="1">
      <c r="A2094" s="15" t="s">
        <v>224</v>
      </c>
      <c r="B2094" s="11" t="s">
        <v>233</v>
      </c>
      <c r="C2094" s="15"/>
      <c r="D2094" s="16" t="s">
        <v>36</v>
      </c>
      <c r="E2094" s="23">
        <v>1.0</v>
      </c>
      <c r="F2094" s="18">
        <f>E2094* 0.995894428152493</f>
        <v>0.9958944282</v>
      </c>
      <c r="G2094" s="18">
        <f>E2094* 0.000586510263929619</f>
        <v>0.0005865102639</v>
      </c>
      <c r="H2094" s="18">
        <f>E2094* 0.00351906158357771</f>
        <v>0.003519061584</v>
      </c>
    </row>
    <row r="2095" ht="15.75" hidden="1" customHeight="1">
      <c r="A2095" s="15" t="s">
        <v>224</v>
      </c>
      <c r="B2095" s="11" t="s">
        <v>233</v>
      </c>
      <c r="C2095" s="15"/>
      <c r="D2095" s="16" t="s">
        <v>148</v>
      </c>
      <c r="E2095" s="23">
        <v>1.0</v>
      </c>
      <c r="F2095" s="18">
        <f>E2095* 0.00302222222222222</f>
        <v>0.003022222222</v>
      </c>
      <c r="G2095" s="18">
        <f>E2095* 0.996622222222222</f>
        <v>0.9966222222</v>
      </c>
      <c r="H2095" s="18">
        <f>E2095* 0.000355555555555556</f>
        <v>0.0003555555556</v>
      </c>
    </row>
    <row r="2096" ht="15.75" hidden="1" customHeight="1">
      <c r="A2096" s="15" t="s">
        <v>224</v>
      </c>
      <c r="B2096" s="11" t="s">
        <v>233</v>
      </c>
      <c r="C2096" s="15"/>
      <c r="D2096" s="16" t="s">
        <v>12</v>
      </c>
      <c r="E2096" s="23">
        <v>9.0</v>
      </c>
      <c r="F2096" s="18">
        <f>E2096* 0.802335182557089</f>
        <v>7.221016643</v>
      </c>
      <c r="G2096" s="18">
        <f>E2096* 0.124687137143594</f>
        <v>1.122184234</v>
      </c>
      <c r="H2096" s="18">
        <f>E2096* 0.0729583279576829</f>
        <v>0.6566249516</v>
      </c>
    </row>
    <row r="2097" ht="15.75" hidden="1" customHeight="1">
      <c r="A2097" s="15" t="s">
        <v>224</v>
      </c>
      <c r="B2097" s="8"/>
      <c r="C2097" s="8"/>
      <c r="D2097" s="9"/>
      <c r="E2097" s="29"/>
    </row>
    <row r="2098" ht="15.75" hidden="1" customHeight="1">
      <c r="A2098" s="15" t="s">
        <v>224</v>
      </c>
      <c r="B2098" s="11" t="s">
        <v>234</v>
      </c>
      <c r="C2098" s="12" t="str">
        <f>B2098&amp;"_"&amp;A2098</f>
        <v>Cotoca_Santa Cruz</v>
      </c>
      <c r="E2098" s="22">
        <v>9029.0</v>
      </c>
      <c r="F2098" s="14">
        <f t="shared" ref="F2098:H2098" si="192">SUM(F2099:F2111)</f>
        <v>7960.656561</v>
      </c>
      <c r="G2098" s="14">
        <f t="shared" si="192"/>
        <v>850.9386126</v>
      </c>
      <c r="H2098" s="14">
        <f t="shared" si="192"/>
        <v>216.8496782</v>
      </c>
    </row>
    <row r="2099" ht="15.75" hidden="1" customHeight="1">
      <c r="A2099" s="15" t="s">
        <v>224</v>
      </c>
      <c r="B2099" s="11" t="s">
        <v>234</v>
      </c>
      <c r="C2099" s="15"/>
      <c r="D2099" s="16" t="s">
        <v>14</v>
      </c>
      <c r="E2099" s="23">
        <v>0.0</v>
      </c>
      <c r="F2099" s="20">
        <v>0.0</v>
      </c>
      <c r="G2099" s="24">
        <f>E2099</f>
        <v>0</v>
      </c>
      <c r="H2099" s="20">
        <v>0.0</v>
      </c>
    </row>
    <row r="2100" ht="15.75" hidden="1" customHeight="1">
      <c r="A2100" s="15" t="s">
        <v>224</v>
      </c>
      <c r="B2100" s="11" t="s">
        <v>234</v>
      </c>
      <c r="C2100" s="15"/>
      <c r="D2100" s="16" t="s">
        <v>15</v>
      </c>
      <c r="E2100" s="23">
        <v>829.0</v>
      </c>
      <c r="F2100" s="18">
        <f>E2100* 0.932303048052446</f>
        <v>772.8792268</v>
      </c>
      <c r="G2100" s="18">
        <f>E2100* 0.0217058280204555</f>
        <v>17.99413143</v>
      </c>
      <c r="H2100" s="18">
        <f>E2100* 0.0459798598751943</f>
        <v>38.11730384</v>
      </c>
    </row>
    <row r="2101" ht="15.75" hidden="1" customHeight="1">
      <c r="A2101" s="15" t="s">
        <v>224</v>
      </c>
      <c r="B2101" s="11" t="s">
        <v>234</v>
      </c>
      <c r="C2101" s="15"/>
      <c r="D2101" s="16" t="s">
        <v>16</v>
      </c>
      <c r="E2101" s="23">
        <v>13.0</v>
      </c>
      <c r="F2101" s="18">
        <f>E2101* 0.293894936109797</f>
        <v>3.820634169</v>
      </c>
      <c r="G2101" s="18">
        <f>E2101* 0.663038334122101</f>
        <v>8.619498344</v>
      </c>
      <c r="H2101" s="18">
        <f>E2101* 0.0430667297681022</f>
        <v>0.559867487</v>
      </c>
    </row>
    <row r="2102" ht="15.75" hidden="1" customHeight="1">
      <c r="A2102" s="15" t="s">
        <v>224</v>
      </c>
      <c r="B2102" s="11" t="s">
        <v>234</v>
      </c>
      <c r="C2102" s="15"/>
      <c r="D2102" s="16" t="s">
        <v>11</v>
      </c>
      <c r="E2102" s="23">
        <v>424.0</v>
      </c>
      <c r="F2102" s="18">
        <f>E2102* 0.083479491676667</f>
        <v>35.39530447</v>
      </c>
      <c r="G2102" s="18">
        <f>E2102* 0.913505030924029</f>
        <v>387.3261331</v>
      </c>
      <c r="H2102" s="18">
        <f>E2102* 0.00292316686667282</f>
        <v>1.239422751</v>
      </c>
    </row>
    <row r="2103" ht="15.75" hidden="1" customHeight="1">
      <c r="A2103" s="15" t="s">
        <v>224</v>
      </c>
      <c r="B2103" s="11" t="s">
        <v>234</v>
      </c>
      <c r="C2103" s="15"/>
      <c r="D2103" s="16" t="s">
        <v>17</v>
      </c>
      <c r="E2103" s="23">
        <v>374.0</v>
      </c>
      <c r="F2103" s="18">
        <f>E2103* 0.752045572242362</f>
        <v>281.265044</v>
      </c>
      <c r="G2103" s="18">
        <f>E2103* 0.185827723114103</f>
        <v>69.49956844</v>
      </c>
      <c r="H2103" s="18">
        <f>E2103* 0.0620921802175039</f>
        <v>23.2224754</v>
      </c>
    </row>
    <row r="2104" ht="15.75" hidden="1" customHeight="1">
      <c r="A2104" s="15" t="s">
        <v>224</v>
      </c>
      <c r="B2104" s="11" t="s">
        <v>234</v>
      </c>
      <c r="C2104" s="15"/>
      <c r="D2104" s="16" t="s">
        <v>31</v>
      </c>
      <c r="E2104" s="23">
        <v>22.0</v>
      </c>
      <c r="F2104" s="18">
        <f>E2104* 0.929131175468484</f>
        <v>20.44088586</v>
      </c>
      <c r="G2104" s="18">
        <f>E2104* 0.0477001703577513</f>
        <v>1.049403748</v>
      </c>
      <c r="H2104" s="18">
        <f>E2104* 0.0231686541737649</f>
        <v>0.5097103918</v>
      </c>
    </row>
    <row r="2105" ht="15.75" hidden="1" customHeight="1">
      <c r="A2105" s="15" t="s">
        <v>224</v>
      </c>
      <c r="B2105" s="11" t="s">
        <v>234</v>
      </c>
      <c r="C2105" s="15"/>
      <c r="D2105" s="16" t="s">
        <v>18</v>
      </c>
      <c r="E2105" s="23">
        <v>196.0</v>
      </c>
      <c r="F2105" s="18">
        <f>E2105* 0.893702527830246</f>
        <v>175.1656955</v>
      </c>
      <c r="G2105" s="18">
        <f>E2105* 0.0946831169875015</f>
        <v>18.55789093</v>
      </c>
      <c r="H2105" s="18">
        <f>E2105* 0.0116143551822529</f>
        <v>2.276413616</v>
      </c>
    </row>
    <row r="2106" ht="15.75" hidden="1" customHeight="1">
      <c r="A2106" s="15" t="s">
        <v>224</v>
      </c>
      <c r="B2106" s="11" t="s">
        <v>234</v>
      </c>
      <c r="C2106" s="15"/>
      <c r="D2106" s="16" t="s">
        <v>19</v>
      </c>
      <c r="E2106" s="23">
        <v>45.0</v>
      </c>
      <c r="F2106" s="18">
        <f>E2106* 0.0299845873616365</f>
        <v>1.349306431</v>
      </c>
      <c r="G2106" s="18">
        <f>E2106* 0.96385035729298</f>
        <v>43.37326608</v>
      </c>
      <c r="H2106" s="18">
        <f>E2106* 0.00616505534538321</f>
        <v>0.2774274905</v>
      </c>
    </row>
    <row r="2107" ht="15.75" hidden="1" customHeight="1">
      <c r="A2107" s="15" t="s">
        <v>224</v>
      </c>
      <c r="B2107" s="11" t="s">
        <v>234</v>
      </c>
      <c r="C2107" s="15"/>
      <c r="D2107" s="16" t="s">
        <v>20</v>
      </c>
      <c r="E2107" s="23">
        <v>65.0</v>
      </c>
      <c r="F2107" s="18">
        <f>E2107* 0.734251968503937</f>
        <v>47.72637795</v>
      </c>
      <c r="G2107" s="18">
        <f>E2107* 0.158017179670723</f>
        <v>10.27111668</v>
      </c>
      <c r="H2107" s="18">
        <f>E2107* 0.107551896921976</f>
        <v>6.9908733</v>
      </c>
    </row>
    <row r="2108" ht="15.75" hidden="1" customHeight="1">
      <c r="A2108" s="15" t="s">
        <v>224</v>
      </c>
      <c r="B2108" s="11" t="s">
        <v>234</v>
      </c>
      <c r="C2108" s="15"/>
      <c r="D2108" s="16" t="s">
        <v>21</v>
      </c>
      <c r="E2108" s="23">
        <v>5019.0</v>
      </c>
      <c r="F2108" s="18">
        <f>E2108* 0.999727092353423</f>
        <v>5017.630277</v>
      </c>
      <c r="G2108" s="18">
        <f>E2108* 0.0000516311763794744</f>
        <v>0.2591368742</v>
      </c>
      <c r="H2108" s="18">
        <f>E2108* 0.000132765882118648</f>
        <v>0.6663519624</v>
      </c>
    </row>
    <row r="2109" ht="15.75" hidden="1" customHeight="1">
      <c r="A2109" s="15" t="s">
        <v>224</v>
      </c>
      <c r="B2109" s="11" t="s">
        <v>234</v>
      </c>
      <c r="C2109" s="15"/>
      <c r="D2109" s="16" t="s">
        <v>36</v>
      </c>
      <c r="E2109" s="23">
        <v>34.0</v>
      </c>
      <c r="F2109" s="18">
        <f>E2109* 0.995894428152493</f>
        <v>33.86041056</v>
      </c>
      <c r="G2109" s="18">
        <f>E2109* 0.000586510263929619</f>
        <v>0.01994134897</v>
      </c>
      <c r="H2109" s="18">
        <f>E2109* 0.00351906158357771</f>
        <v>0.1196480938</v>
      </c>
    </row>
    <row r="2110" ht="15.75" hidden="1" customHeight="1">
      <c r="A2110" s="15" t="s">
        <v>224</v>
      </c>
      <c r="B2110" s="11" t="s">
        <v>234</v>
      </c>
      <c r="C2110" s="15"/>
      <c r="D2110" s="16" t="s">
        <v>148</v>
      </c>
      <c r="E2110" s="23">
        <v>50.0</v>
      </c>
      <c r="F2110" s="18">
        <f>E2110* 0.00302222222222222</f>
        <v>0.1511111111</v>
      </c>
      <c r="G2110" s="18">
        <f>E2110* 0.996622222222222</f>
        <v>49.83111111</v>
      </c>
      <c r="H2110" s="18">
        <f>E2110* 0.000355555555555556</f>
        <v>0.01777777778</v>
      </c>
    </row>
    <row r="2111" ht="15.75" hidden="1" customHeight="1">
      <c r="A2111" s="15" t="s">
        <v>224</v>
      </c>
      <c r="B2111" s="11" t="s">
        <v>234</v>
      </c>
      <c r="C2111" s="15"/>
      <c r="D2111" s="16" t="s">
        <v>12</v>
      </c>
      <c r="E2111" s="23">
        <v>1958.0</v>
      </c>
      <c r="F2111" s="18">
        <f>E2111* 0.802335182557089</f>
        <v>1570.972287</v>
      </c>
      <c r="G2111" s="18">
        <f>E2111* 0.124687137143594</f>
        <v>244.1374145</v>
      </c>
      <c r="H2111" s="18">
        <f>E2111* 0.0729583279576829</f>
        <v>142.8524061</v>
      </c>
    </row>
    <row r="2112" ht="15.75" hidden="1" customHeight="1">
      <c r="A2112" s="15" t="s">
        <v>224</v>
      </c>
      <c r="B2112" s="21"/>
      <c r="C2112" s="21"/>
      <c r="D2112" s="16"/>
      <c r="E2112" s="29"/>
    </row>
    <row r="2113" ht="15.75" hidden="1" customHeight="1">
      <c r="A2113" s="15" t="s">
        <v>224</v>
      </c>
      <c r="B2113" s="11" t="s">
        <v>235</v>
      </c>
      <c r="C2113" s="12" t="str">
        <f>B2113&amp;"_"&amp;A2113</f>
        <v>Cuatro Cañadas_Santa Cruz</v>
      </c>
      <c r="E2113" s="22">
        <v>962.0</v>
      </c>
      <c r="F2113" s="14">
        <f t="shared" ref="F2113:H2113" si="193">SUM(F2114:F2126)</f>
        <v>798.1233197</v>
      </c>
      <c r="G2113" s="14">
        <f t="shared" si="193"/>
        <v>126.3305003</v>
      </c>
      <c r="H2113" s="14">
        <f t="shared" si="193"/>
        <v>37.49510491</v>
      </c>
    </row>
    <row r="2114" ht="15.75" hidden="1" customHeight="1">
      <c r="A2114" s="15" t="s">
        <v>224</v>
      </c>
      <c r="B2114" s="11" t="s">
        <v>235</v>
      </c>
      <c r="C2114" s="15"/>
      <c r="D2114" s="16" t="s">
        <v>14</v>
      </c>
      <c r="E2114" s="23">
        <v>0.0</v>
      </c>
      <c r="F2114" s="20">
        <v>0.0</v>
      </c>
      <c r="G2114" s="24">
        <f>E2114</f>
        <v>0</v>
      </c>
      <c r="H2114" s="20">
        <v>0.0</v>
      </c>
    </row>
    <row r="2115" ht="15.75" hidden="1" customHeight="1">
      <c r="A2115" s="15" t="s">
        <v>224</v>
      </c>
      <c r="B2115" s="11" t="s">
        <v>235</v>
      </c>
      <c r="C2115" s="15"/>
      <c r="D2115" s="16" t="s">
        <v>15</v>
      </c>
      <c r="E2115" s="23">
        <v>25.0</v>
      </c>
      <c r="F2115" s="18">
        <f>E2115* 0.932303048052446</f>
        <v>23.3075762</v>
      </c>
      <c r="G2115" s="18">
        <f>E2115* 0.0217058280204555</f>
        <v>0.5426457005</v>
      </c>
      <c r="H2115" s="18">
        <f>E2115* 0.0459798598751943</f>
        <v>1.149496497</v>
      </c>
    </row>
    <row r="2116" ht="15.75" hidden="1" customHeight="1">
      <c r="A2116" s="15" t="s">
        <v>224</v>
      </c>
      <c r="B2116" s="11" t="s">
        <v>235</v>
      </c>
      <c r="C2116" s="15"/>
      <c r="D2116" s="16" t="s">
        <v>16</v>
      </c>
      <c r="E2116" s="23">
        <v>0.0</v>
      </c>
      <c r="F2116" s="18">
        <f>E2116* 0.293894936109797</f>
        <v>0</v>
      </c>
      <c r="G2116" s="18">
        <f>E2116* 0.663038334122101</f>
        <v>0</v>
      </c>
      <c r="H2116" s="18">
        <f>E2116* 0.0430667297681022</f>
        <v>0</v>
      </c>
    </row>
    <row r="2117" ht="15.75" hidden="1" customHeight="1">
      <c r="A2117" s="15" t="s">
        <v>224</v>
      </c>
      <c r="B2117" s="11" t="s">
        <v>235</v>
      </c>
      <c r="C2117" s="15"/>
      <c r="D2117" s="16" t="s">
        <v>11</v>
      </c>
      <c r="E2117" s="23">
        <v>61.0</v>
      </c>
      <c r="F2117" s="18">
        <f>E2117* 0.083479491676667</f>
        <v>5.092248992</v>
      </c>
      <c r="G2117" s="18">
        <f>E2117* 0.913505030924029</f>
        <v>55.72380689</v>
      </c>
      <c r="H2117" s="18">
        <f>E2117* 0.00292316686667282</f>
        <v>0.1783131789</v>
      </c>
    </row>
    <row r="2118" ht="15.75" hidden="1" customHeight="1">
      <c r="A2118" s="15" t="s">
        <v>224</v>
      </c>
      <c r="B2118" s="11" t="s">
        <v>235</v>
      </c>
      <c r="C2118" s="15"/>
      <c r="D2118" s="16" t="s">
        <v>17</v>
      </c>
      <c r="E2118" s="23">
        <v>65.0</v>
      </c>
      <c r="F2118" s="18">
        <f>E2118* 0.752045572242362</f>
        <v>48.8829622</v>
      </c>
      <c r="G2118" s="18">
        <f>E2118* 0.185827723114103</f>
        <v>12.078802</v>
      </c>
      <c r="H2118" s="18">
        <f>E2118* 0.0620921802175039</f>
        <v>4.035991714</v>
      </c>
    </row>
    <row r="2119" ht="15.75" hidden="1" customHeight="1">
      <c r="A2119" s="15" t="s">
        <v>224</v>
      </c>
      <c r="B2119" s="11" t="s">
        <v>235</v>
      </c>
      <c r="C2119" s="15"/>
      <c r="D2119" s="16" t="s">
        <v>31</v>
      </c>
      <c r="E2119" s="23">
        <v>1.0</v>
      </c>
      <c r="F2119" s="18">
        <f>E2119* 0.929131175468484</f>
        <v>0.9291311755</v>
      </c>
      <c r="G2119" s="18">
        <f>E2119* 0.0477001703577513</f>
        <v>0.04770017036</v>
      </c>
      <c r="H2119" s="18">
        <f>E2119* 0.0231686541737649</f>
        <v>0.02316865417</v>
      </c>
    </row>
    <row r="2120" ht="15.75" hidden="1" customHeight="1">
      <c r="A2120" s="15" t="s">
        <v>224</v>
      </c>
      <c r="B2120" s="11" t="s">
        <v>235</v>
      </c>
      <c r="C2120" s="15"/>
      <c r="D2120" s="16" t="s">
        <v>18</v>
      </c>
      <c r="E2120" s="23">
        <v>7.0</v>
      </c>
      <c r="F2120" s="18">
        <f>E2120* 0.893702527830246</f>
        <v>6.255917695</v>
      </c>
      <c r="G2120" s="18">
        <f>E2120* 0.0946831169875015</f>
        <v>0.6627818189</v>
      </c>
      <c r="H2120" s="18">
        <f>E2120* 0.0116143551822529</f>
        <v>0.08130048628</v>
      </c>
    </row>
    <row r="2121" ht="15.75" hidden="1" customHeight="1">
      <c r="A2121" s="15" t="s">
        <v>224</v>
      </c>
      <c r="B2121" s="11" t="s">
        <v>235</v>
      </c>
      <c r="C2121" s="15"/>
      <c r="D2121" s="16" t="s">
        <v>19</v>
      </c>
      <c r="E2121" s="23">
        <v>1.0</v>
      </c>
      <c r="F2121" s="18">
        <f>E2121* 0.0299845873616365</f>
        <v>0.02998458736</v>
      </c>
      <c r="G2121" s="18">
        <f>E2121* 0.96385035729298</f>
        <v>0.9638503573</v>
      </c>
      <c r="H2121" s="18">
        <f>E2121* 0.00616505534538321</f>
        <v>0.006165055345</v>
      </c>
    </row>
    <row r="2122" ht="15.75" hidden="1" customHeight="1">
      <c r="A2122" s="15" t="s">
        <v>224</v>
      </c>
      <c r="B2122" s="11" t="s">
        <v>235</v>
      </c>
      <c r="C2122" s="15"/>
      <c r="D2122" s="16" t="s">
        <v>20</v>
      </c>
      <c r="E2122" s="23">
        <v>13.0</v>
      </c>
      <c r="F2122" s="18">
        <f>E2122* 0.734251968503937</f>
        <v>9.545275591</v>
      </c>
      <c r="G2122" s="18">
        <f>E2122* 0.158017179670723</f>
        <v>2.054223336</v>
      </c>
      <c r="H2122" s="18">
        <f>E2122* 0.107551896921976</f>
        <v>1.39817466</v>
      </c>
    </row>
    <row r="2123" ht="15.75" hidden="1" customHeight="1">
      <c r="A2123" s="15" t="s">
        <v>224</v>
      </c>
      <c r="B2123" s="11" t="s">
        <v>235</v>
      </c>
      <c r="C2123" s="15"/>
      <c r="D2123" s="16" t="s">
        <v>21</v>
      </c>
      <c r="E2123" s="23">
        <v>367.0</v>
      </c>
      <c r="F2123" s="18">
        <f>E2123* 0.999727092353423</f>
        <v>366.8998429</v>
      </c>
      <c r="G2123" s="18">
        <f>E2123* 0.0000516311763794744</f>
        <v>0.01894864173</v>
      </c>
      <c r="H2123" s="18">
        <f>E2123* 0.000132765882118648</f>
        <v>0.04872507874</v>
      </c>
    </row>
    <row r="2124" ht="15.75" hidden="1" customHeight="1">
      <c r="A2124" s="15" t="s">
        <v>224</v>
      </c>
      <c r="B2124" s="11" t="s">
        <v>235</v>
      </c>
      <c r="C2124" s="15"/>
      <c r="D2124" s="16" t="s">
        <v>36</v>
      </c>
      <c r="E2124" s="23">
        <v>1.0</v>
      </c>
      <c r="F2124" s="18">
        <f>E2124* 0.995894428152493</f>
        <v>0.9958944282</v>
      </c>
      <c r="G2124" s="18">
        <f>E2124* 0.000586510263929619</f>
        <v>0.0005865102639</v>
      </c>
      <c r="H2124" s="18">
        <f>E2124* 0.00351906158357771</f>
        <v>0.003519061584</v>
      </c>
    </row>
    <row r="2125" ht="15.75" hidden="1" customHeight="1">
      <c r="A2125" s="15" t="s">
        <v>224</v>
      </c>
      <c r="B2125" s="11" t="s">
        <v>235</v>
      </c>
      <c r="C2125" s="15"/>
      <c r="D2125" s="16" t="s">
        <v>148</v>
      </c>
      <c r="E2125" s="23">
        <v>2.0</v>
      </c>
      <c r="F2125" s="18">
        <f>E2125* 0.00302222222222222</f>
        <v>0.006044444444</v>
      </c>
      <c r="G2125" s="18">
        <f>E2125* 0.996622222222222</f>
        <v>1.993244444</v>
      </c>
      <c r="H2125" s="18">
        <f>E2125* 0.000355555555555556</f>
        <v>0.0007111111111</v>
      </c>
    </row>
    <row r="2126" ht="15.75" hidden="1" customHeight="1">
      <c r="A2126" s="15" t="s">
        <v>224</v>
      </c>
      <c r="B2126" s="11" t="s">
        <v>235</v>
      </c>
      <c r="C2126" s="15"/>
      <c r="D2126" s="16" t="s">
        <v>12</v>
      </c>
      <c r="E2126" s="23">
        <v>419.0</v>
      </c>
      <c r="F2126" s="18">
        <f>E2126* 0.802335182557089</f>
        <v>336.1784415</v>
      </c>
      <c r="G2126" s="18">
        <f>E2126* 0.124687137143594</f>
        <v>52.24391046</v>
      </c>
      <c r="H2126" s="18">
        <f>E2126* 0.0729583279576829</f>
        <v>30.56953941</v>
      </c>
    </row>
    <row r="2127" ht="15.75" hidden="1" customHeight="1">
      <c r="A2127" s="15" t="s">
        <v>224</v>
      </c>
      <c r="B2127" s="8"/>
      <c r="C2127" s="8"/>
      <c r="D2127" s="9"/>
      <c r="E2127" s="29"/>
    </row>
    <row r="2128" ht="15.75" hidden="1" customHeight="1">
      <c r="A2128" s="15" t="s">
        <v>224</v>
      </c>
      <c r="B2128" s="11" t="s">
        <v>236</v>
      </c>
      <c r="C2128" s="12" t="str">
        <f>B2128&amp;"_"&amp;A2128</f>
        <v>Cuevo_Santa Cruz</v>
      </c>
      <c r="E2128" s="22">
        <v>1.0</v>
      </c>
      <c r="F2128" s="14">
        <f t="shared" ref="F2128:H2128" si="194">SUM(F2129:F2136)</f>
        <v>0.8023351826</v>
      </c>
      <c r="G2128" s="14">
        <f t="shared" si="194"/>
        <v>0.1246871371</v>
      </c>
      <c r="H2128" s="14">
        <f t="shared" si="194"/>
        <v>0.07295832796</v>
      </c>
    </row>
    <row r="2129" ht="15.75" hidden="1" customHeight="1">
      <c r="A2129" s="15" t="s">
        <v>224</v>
      </c>
      <c r="B2129" s="11" t="s">
        <v>236</v>
      </c>
      <c r="C2129" s="15"/>
      <c r="D2129" s="16" t="s">
        <v>15</v>
      </c>
      <c r="E2129" s="23">
        <v>0.0</v>
      </c>
      <c r="F2129" s="18">
        <f>E2129* 0.932303048052446</f>
        <v>0</v>
      </c>
      <c r="G2129" s="18">
        <f>E2129* 0.0217058280204555</f>
        <v>0</v>
      </c>
      <c r="H2129" s="18">
        <f>E2129* 0.0459798598751943</f>
        <v>0</v>
      </c>
    </row>
    <row r="2130" ht="15.75" hidden="1" customHeight="1">
      <c r="A2130" s="15" t="s">
        <v>224</v>
      </c>
      <c r="B2130" s="11" t="s">
        <v>236</v>
      </c>
      <c r="C2130" s="15"/>
      <c r="D2130" s="16" t="s">
        <v>11</v>
      </c>
      <c r="E2130" s="23">
        <v>0.0</v>
      </c>
      <c r="F2130" s="18">
        <f>E2130* 0.083479491676667</f>
        <v>0</v>
      </c>
      <c r="G2130" s="18">
        <f>E2130* 0.913505030924029</f>
        <v>0</v>
      </c>
      <c r="H2130" s="18">
        <f>E2130* 0.00292316686667282</f>
        <v>0</v>
      </c>
    </row>
    <row r="2131" ht="15.75" hidden="1" customHeight="1">
      <c r="A2131" s="15" t="s">
        <v>224</v>
      </c>
      <c r="B2131" s="11" t="s">
        <v>236</v>
      </c>
      <c r="C2131" s="15"/>
      <c r="D2131" s="16" t="s">
        <v>17</v>
      </c>
      <c r="E2131" s="23">
        <v>0.0</v>
      </c>
      <c r="F2131" s="18">
        <f>E2131* 0.752045572242362</f>
        <v>0</v>
      </c>
      <c r="G2131" s="18">
        <f>E2131* 0.185827723114103</f>
        <v>0</v>
      </c>
      <c r="H2131" s="18">
        <f>E2131* 0.0620921802175039</f>
        <v>0</v>
      </c>
    </row>
    <row r="2132" ht="15.75" hidden="1" customHeight="1">
      <c r="A2132" s="15" t="s">
        <v>224</v>
      </c>
      <c r="B2132" s="11" t="s">
        <v>236</v>
      </c>
      <c r="C2132" s="15"/>
      <c r="D2132" s="16" t="s">
        <v>31</v>
      </c>
      <c r="E2132" s="23">
        <v>0.0</v>
      </c>
      <c r="F2132" s="18">
        <f>E2132* 0.929131175468484</f>
        <v>0</v>
      </c>
      <c r="G2132" s="18">
        <f>E2132* 0.0477001703577513</f>
        <v>0</v>
      </c>
      <c r="H2132" s="18">
        <f>E2132* 0.0231686541737649</f>
        <v>0</v>
      </c>
    </row>
    <row r="2133" ht="15.75" hidden="1" customHeight="1">
      <c r="A2133" s="15" t="s">
        <v>224</v>
      </c>
      <c r="B2133" s="11" t="s">
        <v>236</v>
      </c>
      <c r="C2133" s="15"/>
      <c r="D2133" s="16" t="s">
        <v>18</v>
      </c>
      <c r="E2133" s="23">
        <v>0.0</v>
      </c>
      <c r="F2133" s="18">
        <f>E2133* 0.893702527830246</f>
        <v>0</v>
      </c>
      <c r="G2133" s="18">
        <f>E2133* 0.0946831169875015</f>
        <v>0</v>
      </c>
      <c r="H2133" s="18">
        <f>E2133* 0.0116143551822529</f>
        <v>0</v>
      </c>
    </row>
    <row r="2134" ht="15.75" hidden="1" customHeight="1">
      <c r="A2134" s="15" t="s">
        <v>224</v>
      </c>
      <c r="B2134" s="11" t="s">
        <v>236</v>
      </c>
      <c r="C2134" s="15"/>
      <c r="D2134" s="16" t="s">
        <v>20</v>
      </c>
      <c r="E2134" s="23">
        <v>0.0</v>
      </c>
      <c r="F2134" s="18">
        <f>E2134* 0.734251968503937</f>
        <v>0</v>
      </c>
      <c r="G2134" s="18">
        <f>E2134* 0.158017179670723</f>
        <v>0</v>
      </c>
      <c r="H2134" s="18">
        <f>E2134* 0.107551896921976</f>
        <v>0</v>
      </c>
    </row>
    <row r="2135" ht="15.75" hidden="1" customHeight="1">
      <c r="A2135" s="15" t="s">
        <v>224</v>
      </c>
      <c r="B2135" s="11" t="s">
        <v>236</v>
      </c>
      <c r="C2135" s="15"/>
      <c r="D2135" s="16" t="s">
        <v>21</v>
      </c>
      <c r="E2135" s="23">
        <v>0.0</v>
      </c>
      <c r="F2135" s="18">
        <f>E2135* 0.999727092353423</f>
        <v>0</v>
      </c>
      <c r="G2135" s="18">
        <f>E2135* 0.0000516311763794744</f>
        <v>0</v>
      </c>
      <c r="H2135" s="18">
        <f>E2135* 0.000132765882118648</f>
        <v>0</v>
      </c>
    </row>
    <row r="2136" ht="15.75" hidden="1" customHeight="1">
      <c r="A2136" s="15" t="s">
        <v>224</v>
      </c>
      <c r="B2136" s="11" t="s">
        <v>236</v>
      </c>
      <c r="C2136" s="15"/>
      <c r="D2136" s="16" t="s">
        <v>12</v>
      </c>
      <c r="E2136" s="23">
        <v>1.0</v>
      </c>
      <c r="F2136" s="18">
        <f>E2136* 0.802335182557089</f>
        <v>0.8023351826</v>
      </c>
      <c r="G2136" s="18">
        <f>E2136* 0.124687137143594</f>
        <v>0.1246871371</v>
      </c>
      <c r="H2136" s="18">
        <f>E2136* 0.0729583279576829</f>
        <v>0.07295832796</v>
      </c>
    </row>
    <row r="2137" ht="15.75" hidden="1" customHeight="1">
      <c r="A2137" s="15" t="s">
        <v>224</v>
      </c>
      <c r="B2137" s="8"/>
      <c r="C2137" s="8"/>
      <c r="D2137" s="9"/>
      <c r="E2137" s="29"/>
    </row>
    <row r="2138" ht="15.75" hidden="1" customHeight="1">
      <c r="A2138" s="15" t="s">
        <v>224</v>
      </c>
      <c r="B2138" s="11" t="s">
        <v>237</v>
      </c>
      <c r="C2138" s="12" t="str">
        <f>B2138&amp;"_"&amp;A2138</f>
        <v>El Torno_Santa Cruz</v>
      </c>
      <c r="E2138" s="22">
        <v>6068.0</v>
      </c>
      <c r="F2138" s="14">
        <f t="shared" ref="F2138:H2138" si="195">SUM(F2139:F2151)</f>
        <v>5228.910618</v>
      </c>
      <c r="G2138" s="14">
        <f t="shared" si="195"/>
        <v>720.4707976</v>
      </c>
      <c r="H2138" s="14">
        <f t="shared" si="195"/>
        <v>118.2072079</v>
      </c>
    </row>
    <row r="2139" ht="15.75" hidden="1" customHeight="1">
      <c r="A2139" s="15" t="s">
        <v>224</v>
      </c>
      <c r="B2139" s="11" t="s">
        <v>237</v>
      </c>
      <c r="C2139" s="15"/>
      <c r="D2139" s="16" t="s">
        <v>14</v>
      </c>
      <c r="E2139" s="23">
        <v>0.0</v>
      </c>
      <c r="F2139" s="20">
        <v>0.0</v>
      </c>
      <c r="G2139" s="24">
        <f>E2139</f>
        <v>0</v>
      </c>
      <c r="H2139" s="20">
        <v>0.0</v>
      </c>
    </row>
    <row r="2140" ht="15.75" hidden="1" customHeight="1">
      <c r="A2140" s="15" t="s">
        <v>224</v>
      </c>
      <c r="B2140" s="11" t="s">
        <v>237</v>
      </c>
      <c r="C2140" s="15"/>
      <c r="D2140" s="16" t="s">
        <v>15</v>
      </c>
      <c r="E2140" s="23">
        <v>212.0</v>
      </c>
      <c r="F2140" s="18">
        <f>E2140* 0.932303048052446</f>
        <v>197.6482462</v>
      </c>
      <c r="G2140" s="18">
        <f>E2140* 0.0217058280204555</f>
        <v>4.60163554</v>
      </c>
      <c r="H2140" s="18">
        <f>E2140* 0.0459798598751943</f>
        <v>9.747730294</v>
      </c>
    </row>
    <row r="2141" ht="15.75" hidden="1" customHeight="1">
      <c r="A2141" s="15" t="s">
        <v>224</v>
      </c>
      <c r="B2141" s="11" t="s">
        <v>237</v>
      </c>
      <c r="C2141" s="15"/>
      <c r="D2141" s="16" t="s">
        <v>16</v>
      </c>
      <c r="E2141" s="23">
        <v>14.0</v>
      </c>
      <c r="F2141" s="18">
        <f>E2141* 0.293894936109797</f>
        <v>4.114529106</v>
      </c>
      <c r="G2141" s="18">
        <f>E2141* 0.663038334122101</f>
        <v>9.282536678</v>
      </c>
      <c r="H2141" s="18">
        <f>E2141* 0.0430667297681022</f>
        <v>0.6029342168</v>
      </c>
    </row>
    <row r="2142" ht="15.75" hidden="1" customHeight="1">
      <c r="A2142" s="15" t="s">
        <v>224</v>
      </c>
      <c r="B2142" s="11" t="s">
        <v>237</v>
      </c>
      <c r="C2142" s="15"/>
      <c r="D2142" s="16" t="s">
        <v>11</v>
      </c>
      <c r="E2142" s="23">
        <v>475.0</v>
      </c>
      <c r="F2142" s="18">
        <f>E2142* 0.083479491676667</f>
        <v>39.65275855</v>
      </c>
      <c r="G2142" s="18">
        <f>E2142* 0.913505030924029</f>
        <v>433.9148897</v>
      </c>
      <c r="H2142" s="18">
        <f>E2142* 0.00292316686667282</f>
        <v>1.388504262</v>
      </c>
    </row>
    <row r="2143" ht="15.75" hidden="1" customHeight="1">
      <c r="A2143" s="15" t="s">
        <v>224</v>
      </c>
      <c r="B2143" s="11" t="s">
        <v>237</v>
      </c>
      <c r="C2143" s="15"/>
      <c r="D2143" s="16" t="s">
        <v>17</v>
      </c>
      <c r="E2143" s="23">
        <v>211.0</v>
      </c>
      <c r="F2143" s="18">
        <f>E2143* 0.752045572242362</f>
        <v>158.6816157</v>
      </c>
      <c r="G2143" s="18">
        <f>E2143* 0.185827723114103</f>
        <v>39.20964958</v>
      </c>
      <c r="H2143" s="18">
        <f>E2143* 0.0620921802175039</f>
        <v>13.10145003</v>
      </c>
    </row>
    <row r="2144" ht="15.75" hidden="1" customHeight="1">
      <c r="A2144" s="15" t="s">
        <v>224</v>
      </c>
      <c r="B2144" s="11" t="s">
        <v>237</v>
      </c>
      <c r="C2144" s="15"/>
      <c r="D2144" s="16" t="s">
        <v>31</v>
      </c>
      <c r="E2144" s="23">
        <v>1.0</v>
      </c>
      <c r="F2144" s="18">
        <f>E2144* 0.929131175468484</f>
        <v>0.9291311755</v>
      </c>
      <c r="G2144" s="18">
        <f>E2144* 0.0477001703577513</f>
        <v>0.04770017036</v>
      </c>
      <c r="H2144" s="18">
        <f>E2144* 0.0231686541737649</f>
        <v>0.02316865417</v>
      </c>
    </row>
    <row r="2145" ht="15.75" hidden="1" customHeight="1">
      <c r="A2145" s="15" t="s">
        <v>224</v>
      </c>
      <c r="B2145" s="11" t="s">
        <v>237</v>
      </c>
      <c r="C2145" s="15"/>
      <c r="D2145" s="16" t="s">
        <v>18</v>
      </c>
      <c r="E2145" s="23">
        <v>93.0</v>
      </c>
      <c r="F2145" s="18">
        <f>E2145* 0.893702527830246</f>
        <v>83.11433509</v>
      </c>
      <c r="G2145" s="18">
        <f>E2145* 0.0946831169875015</f>
        <v>8.80552988</v>
      </c>
      <c r="H2145" s="18">
        <f>E2145* 0.0116143551822529</f>
        <v>1.080135032</v>
      </c>
    </row>
    <row r="2146" ht="15.75" hidden="1" customHeight="1">
      <c r="A2146" s="15" t="s">
        <v>224</v>
      </c>
      <c r="B2146" s="11" t="s">
        <v>237</v>
      </c>
      <c r="C2146" s="15"/>
      <c r="D2146" s="16" t="s">
        <v>19</v>
      </c>
      <c r="E2146" s="23">
        <v>39.0</v>
      </c>
      <c r="F2146" s="18">
        <f>E2146* 0.0299845873616365</f>
        <v>1.169398907</v>
      </c>
      <c r="G2146" s="18">
        <f>E2146* 0.96385035729298</f>
        <v>37.59016393</v>
      </c>
      <c r="H2146" s="18">
        <f>E2146* 0.00616505534538321</f>
        <v>0.2404371585</v>
      </c>
    </row>
    <row r="2147" ht="15.75" hidden="1" customHeight="1">
      <c r="A2147" s="15" t="s">
        <v>224</v>
      </c>
      <c r="B2147" s="11" t="s">
        <v>237</v>
      </c>
      <c r="C2147" s="15"/>
      <c r="D2147" s="16" t="s">
        <v>20</v>
      </c>
      <c r="E2147" s="23">
        <v>17.0</v>
      </c>
      <c r="F2147" s="18">
        <f>E2147* 0.734251968503937</f>
        <v>12.48228346</v>
      </c>
      <c r="G2147" s="18">
        <f>E2147* 0.158017179670723</f>
        <v>2.686292054</v>
      </c>
      <c r="H2147" s="18">
        <f>E2147* 0.107551896921976</f>
        <v>1.828382248</v>
      </c>
    </row>
    <row r="2148" ht="15.75" hidden="1" customHeight="1">
      <c r="A2148" s="15" t="s">
        <v>224</v>
      </c>
      <c r="B2148" s="11" t="s">
        <v>237</v>
      </c>
      <c r="C2148" s="15"/>
      <c r="D2148" s="16" t="s">
        <v>21</v>
      </c>
      <c r="E2148" s="23">
        <v>3740.0</v>
      </c>
      <c r="F2148" s="18">
        <f>E2148* 0.999727092353423</f>
        <v>3738.979325</v>
      </c>
      <c r="G2148" s="18">
        <f>E2148* 0.0000516311763794744</f>
        <v>0.1931005997</v>
      </c>
      <c r="H2148" s="18">
        <f>E2148* 0.000132765882118648</f>
        <v>0.4965443991</v>
      </c>
    </row>
    <row r="2149" ht="15.75" hidden="1" customHeight="1">
      <c r="A2149" s="15" t="s">
        <v>224</v>
      </c>
      <c r="B2149" s="11" t="s">
        <v>237</v>
      </c>
      <c r="C2149" s="15"/>
      <c r="D2149" s="16" t="s">
        <v>36</v>
      </c>
      <c r="E2149" s="23">
        <v>6.0</v>
      </c>
      <c r="F2149" s="18">
        <f>E2149* 0.995894428152493</f>
        <v>5.975366569</v>
      </c>
      <c r="G2149" s="18">
        <f>E2149* 0.000586510263929619</f>
        <v>0.003519061584</v>
      </c>
      <c r="H2149" s="18">
        <f>E2149* 0.00351906158357771</f>
        <v>0.0211143695</v>
      </c>
    </row>
    <row r="2150" ht="15.75" hidden="1" customHeight="1">
      <c r="A2150" s="15" t="s">
        <v>224</v>
      </c>
      <c r="B2150" s="11" t="s">
        <v>237</v>
      </c>
      <c r="C2150" s="15"/>
      <c r="D2150" s="16" t="s">
        <v>28</v>
      </c>
      <c r="E2150" s="23">
        <v>31.0</v>
      </c>
      <c r="F2150" s="18">
        <f>E2150* 0.00302222222222222</f>
        <v>0.09368888889</v>
      </c>
      <c r="G2150" s="18">
        <f>E2150* 0.996622222222222</f>
        <v>30.89528889</v>
      </c>
      <c r="H2150" s="18">
        <f>E2150* 0.000355555555555556</f>
        <v>0.01102222222</v>
      </c>
    </row>
    <row r="2151" ht="15.75" hidden="1" customHeight="1">
      <c r="A2151" s="15" t="s">
        <v>224</v>
      </c>
      <c r="B2151" s="11" t="s">
        <v>237</v>
      </c>
      <c r="C2151" s="15"/>
      <c r="D2151" s="16" t="s">
        <v>12</v>
      </c>
      <c r="E2151" s="23">
        <v>1229.0</v>
      </c>
      <c r="F2151" s="18">
        <f>E2151* 0.802335182557089</f>
        <v>986.0699394</v>
      </c>
      <c r="G2151" s="18">
        <f>E2151* 0.124687137143594</f>
        <v>153.2404915</v>
      </c>
      <c r="H2151" s="18">
        <f>E2151* 0.0729583279576829</f>
        <v>89.66578506</v>
      </c>
    </row>
    <row r="2152" ht="15.75" hidden="1" customHeight="1">
      <c r="A2152" s="15" t="s">
        <v>224</v>
      </c>
      <c r="B2152" s="8"/>
      <c r="C2152" s="8"/>
      <c r="D2152" s="9"/>
      <c r="E2152" s="29"/>
    </row>
    <row r="2153" ht="15.75" hidden="1" customHeight="1">
      <c r="A2153" s="15" t="s">
        <v>224</v>
      </c>
      <c r="B2153" s="11" t="s">
        <v>238</v>
      </c>
      <c r="C2153" s="12" t="str">
        <f>B2153&amp;"_"&amp;A2153</f>
        <v>Fernández Alonso_Santa Cruz</v>
      </c>
      <c r="E2153" s="22">
        <v>940.0</v>
      </c>
      <c r="F2153" s="14">
        <f t="shared" ref="F2153:H2153" si="196">SUM(F2154:F2164)</f>
        <v>784.0871478</v>
      </c>
      <c r="G2153" s="14">
        <f t="shared" si="196"/>
        <v>138.574611</v>
      </c>
      <c r="H2153" s="14">
        <f t="shared" si="196"/>
        <v>17.27293009</v>
      </c>
    </row>
    <row r="2154" ht="15.75" hidden="1" customHeight="1">
      <c r="A2154" s="15" t="s">
        <v>224</v>
      </c>
      <c r="B2154" s="11" t="s">
        <v>238</v>
      </c>
      <c r="C2154" s="15"/>
      <c r="D2154" s="16" t="s">
        <v>14</v>
      </c>
      <c r="E2154" s="23">
        <v>0.0</v>
      </c>
      <c r="F2154" s="20">
        <v>0.0</v>
      </c>
      <c r="G2154" s="24">
        <f>E2154</f>
        <v>0</v>
      </c>
      <c r="H2154" s="20">
        <v>0.0</v>
      </c>
    </row>
    <row r="2155" ht="15.75" hidden="1" customHeight="1">
      <c r="A2155" s="15" t="s">
        <v>224</v>
      </c>
      <c r="B2155" s="11" t="s">
        <v>238</v>
      </c>
      <c r="C2155" s="15"/>
      <c r="D2155" s="16" t="s">
        <v>15</v>
      </c>
      <c r="E2155" s="23">
        <v>21.0</v>
      </c>
      <c r="F2155" s="18">
        <f>E2155* 0.932303048052446</f>
        <v>19.57836401</v>
      </c>
      <c r="G2155" s="18">
        <f>E2155* 0.0217058280204555</f>
        <v>0.4558223884</v>
      </c>
      <c r="H2155" s="18">
        <f>E2155* 0.0459798598751943</f>
        <v>0.9655770574</v>
      </c>
    </row>
    <row r="2156" ht="15.75" hidden="1" customHeight="1">
      <c r="A2156" s="15" t="s">
        <v>224</v>
      </c>
      <c r="B2156" s="11" t="s">
        <v>238</v>
      </c>
      <c r="C2156" s="15"/>
      <c r="D2156" s="16" t="s">
        <v>11</v>
      </c>
      <c r="E2156" s="23">
        <v>101.0</v>
      </c>
      <c r="F2156" s="18">
        <f>E2156* 0.083479491676667</f>
        <v>8.431428659</v>
      </c>
      <c r="G2156" s="18">
        <f>E2156* 0.913505030924029</f>
        <v>92.26400812</v>
      </c>
      <c r="H2156" s="18">
        <f>E2156* 0.00292316686667282</f>
        <v>0.2952398535</v>
      </c>
    </row>
    <row r="2157" ht="15.75" hidden="1" customHeight="1">
      <c r="A2157" s="15" t="s">
        <v>224</v>
      </c>
      <c r="B2157" s="11" t="s">
        <v>238</v>
      </c>
      <c r="C2157" s="15"/>
      <c r="D2157" s="16" t="s">
        <v>17</v>
      </c>
      <c r="E2157" s="23">
        <v>83.0</v>
      </c>
      <c r="F2157" s="18">
        <f>E2157* 0.752045572242362</f>
        <v>62.4197825</v>
      </c>
      <c r="G2157" s="18">
        <f>E2157* 0.185827723114103</f>
        <v>15.42370102</v>
      </c>
      <c r="H2157" s="18">
        <f>E2157* 0.0620921802175039</f>
        <v>5.153650958</v>
      </c>
    </row>
    <row r="2158" ht="15.75" hidden="1" customHeight="1">
      <c r="A2158" s="15" t="s">
        <v>224</v>
      </c>
      <c r="B2158" s="11" t="s">
        <v>238</v>
      </c>
      <c r="C2158" s="15"/>
      <c r="D2158" s="16" t="s">
        <v>31</v>
      </c>
      <c r="E2158" s="23">
        <v>0.0</v>
      </c>
      <c r="F2158" s="18">
        <f>E2158* 0.929131175468484</f>
        <v>0</v>
      </c>
      <c r="G2158" s="18">
        <f>E2158* 0.0477001703577513</f>
        <v>0</v>
      </c>
      <c r="H2158" s="18">
        <f>E2158* 0.0231686541737649</f>
        <v>0</v>
      </c>
    </row>
    <row r="2159" ht="15.75" hidden="1" customHeight="1">
      <c r="A2159" s="15" t="s">
        <v>224</v>
      </c>
      <c r="B2159" s="11" t="s">
        <v>238</v>
      </c>
      <c r="C2159" s="15"/>
      <c r="D2159" s="16" t="s">
        <v>18</v>
      </c>
      <c r="E2159" s="23">
        <v>14.0</v>
      </c>
      <c r="F2159" s="18">
        <f>E2159* 0.893702527830246</f>
        <v>12.51183539</v>
      </c>
      <c r="G2159" s="18">
        <f>E2159* 0.0946831169875015</f>
        <v>1.325563638</v>
      </c>
      <c r="H2159" s="18">
        <f>E2159* 0.0116143551822529</f>
        <v>0.1626009726</v>
      </c>
    </row>
    <row r="2160" ht="15.75" hidden="1" customHeight="1">
      <c r="A2160" s="15" t="s">
        <v>224</v>
      </c>
      <c r="B2160" s="11" t="s">
        <v>238</v>
      </c>
      <c r="C2160" s="15"/>
      <c r="D2160" s="16" t="s">
        <v>20</v>
      </c>
      <c r="E2160" s="23">
        <v>1.0</v>
      </c>
      <c r="F2160" s="18">
        <f>E2160* 0.734251968503937</f>
        <v>0.7342519685</v>
      </c>
      <c r="G2160" s="18">
        <f>E2160* 0.158017179670723</f>
        <v>0.1580171797</v>
      </c>
      <c r="H2160" s="18">
        <f>E2160* 0.107551896921976</f>
        <v>0.1075518969</v>
      </c>
    </row>
    <row r="2161" ht="15.75" hidden="1" customHeight="1">
      <c r="A2161" s="15" t="s">
        <v>224</v>
      </c>
      <c r="B2161" s="11" t="s">
        <v>238</v>
      </c>
      <c r="C2161" s="15"/>
      <c r="D2161" s="16" t="s">
        <v>21</v>
      </c>
      <c r="E2161" s="23">
        <v>564.0</v>
      </c>
      <c r="F2161" s="18">
        <f>E2161* 0.999727092353423</f>
        <v>563.8460801</v>
      </c>
      <c r="G2161" s="18">
        <f>E2161* 0.0000516311763794744</f>
        <v>0.02911998348</v>
      </c>
      <c r="H2161" s="18">
        <f>E2161* 0.000132765882118648</f>
        <v>0.07487995751</v>
      </c>
    </row>
    <row r="2162" ht="15.75" hidden="1" customHeight="1">
      <c r="A2162" s="15" t="s">
        <v>224</v>
      </c>
      <c r="B2162" s="11" t="s">
        <v>238</v>
      </c>
      <c r="C2162" s="15"/>
      <c r="D2162" s="16" t="s">
        <v>36</v>
      </c>
      <c r="E2162" s="23">
        <v>1.0</v>
      </c>
      <c r="F2162" s="18">
        <f>E2162* 0.995894428152493</f>
        <v>0.9958944282</v>
      </c>
      <c r="G2162" s="18">
        <f>E2162* 0.000586510263929619</f>
        <v>0.0005865102639</v>
      </c>
      <c r="H2162" s="18">
        <f>E2162* 0.00351906158357771</f>
        <v>0.003519061584</v>
      </c>
    </row>
    <row r="2163" ht="15.75" hidden="1" customHeight="1">
      <c r="A2163" s="15" t="s">
        <v>224</v>
      </c>
      <c r="B2163" s="11" t="s">
        <v>238</v>
      </c>
      <c r="C2163" s="15"/>
      <c r="D2163" s="16" t="s">
        <v>148</v>
      </c>
      <c r="E2163" s="23">
        <v>11.0</v>
      </c>
      <c r="F2163" s="18">
        <f>E2163* 0.00302222222222222</f>
        <v>0.03324444444</v>
      </c>
      <c r="G2163" s="18">
        <f>E2163* 0.996622222222222</f>
        <v>10.96284444</v>
      </c>
      <c r="H2163" s="18">
        <f>E2163* 0.000355555555555556</f>
        <v>0.003911111111</v>
      </c>
    </row>
    <row r="2164" ht="15.75" hidden="1" customHeight="1">
      <c r="A2164" s="15" t="s">
        <v>224</v>
      </c>
      <c r="B2164" s="11" t="s">
        <v>238</v>
      </c>
      <c r="C2164" s="15"/>
      <c r="D2164" s="16" t="s">
        <v>12</v>
      </c>
      <c r="E2164" s="23">
        <v>144.0</v>
      </c>
      <c r="F2164" s="18">
        <f>E2164* 0.802335182557089</f>
        <v>115.5362663</v>
      </c>
      <c r="G2164" s="18">
        <f>E2164* 0.124687137143594</f>
        <v>17.95494775</v>
      </c>
      <c r="H2164" s="18">
        <f>E2164* 0.0729583279576829</f>
        <v>10.50599923</v>
      </c>
    </row>
    <row r="2165" ht="15.75" hidden="1" customHeight="1">
      <c r="A2165" s="15" t="s">
        <v>224</v>
      </c>
      <c r="B2165" s="8"/>
      <c r="C2165" s="8"/>
      <c r="D2165" s="9"/>
      <c r="E2165" s="29"/>
    </row>
    <row r="2166" ht="15.75" hidden="1" customHeight="1">
      <c r="A2166" s="15" t="s">
        <v>224</v>
      </c>
      <c r="B2166" s="11" t="s">
        <v>239</v>
      </c>
      <c r="C2166" s="12" t="str">
        <f>B2166&amp;"_"&amp;A2166</f>
        <v>Gral. Saavedra_Santa Cruz</v>
      </c>
      <c r="E2166" s="22">
        <v>1402.0</v>
      </c>
      <c r="F2166" s="14">
        <f t="shared" ref="F2166:H2166" si="197">SUM(F2167:F2180)</f>
        <v>1048.366916</v>
      </c>
      <c r="G2166" s="14">
        <f t="shared" si="197"/>
        <v>328.5028476</v>
      </c>
      <c r="H2166" s="14">
        <f t="shared" si="197"/>
        <v>25.03293378</v>
      </c>
    </row>
    <row r="2167" ht="15.75" hidden="1" customHeight="1">
      <c r="A2167" s="15" t="s">
        <v>224</v>
      </c>
      <c r="B2167" s="11" t="s">
        <v>239</v>
      </c>
      <c r="C2167" s="15"/>
      <c r="D2167" s="16" t="s">
        <v>14</v>
      </c>
      <c r="E2167" s="23">
        <v>0.0</v>
      </c>
      <c r="F2167" s="20">
        <v>0.0</v>
      </c>
      <c r="G2167" s="24">
        <f>E2167</f>
        <v>0</v>
      </c>
      <c r="H2167" s="20">
        <v>0.0</v>
      </c>
    </row>
    <row r="2168" ht="15.75" hidden="1" customHeight="1">
      <c r="A2168" s="15" t="s">
        <v>224</v>
      </c>
      <c r="B2168" s="11" t="s">
        <v>239</v>
      </c>
      <c r="C2168" s="15"/>
      <c r="D2168" s="16" t="s">
        <v>15</v>
      </c>
      <c r="E2168" s="23">
        <v>76.0</v>
      </c>
      <c r="F2168" s="18">
        <f>E2168* 0.932303048052446</f>
        <v>70.85503165</v>
      </c>
      <c r="G2168" s="18">
        <f>E2168* 0.0217058280204555</f>
        <v>1.64964293</v>
      </c>
      <c r="H2168" s="18">
        <f>E2168* 0.0459798598751943</f>
        <v>3.494469351</v>
      </c>
    </row>
    <row r="2169" ht="15.75" hidden="1" customHeight="1">
      <c r="A2169" s="15" t="s">
        <v>224</v>
      </c>
      <c r="B2169" s="11" t="s">
        <v>239</v>
      </c>
      <c r="C2169" s="15"/>
      <c r="D2169" s="16" t="s">
        <v>16</v>
      </c>
      <c r="E2169" s="23">
        <v>0.0</v>
      </c>
      <c r="F2169" s="18">
        <f>E2169* 0.293894936109797</f>
        <v>0</v>
      </c>
      <c r="G2169" s="18">
        <f>E2169* 0.663038334122101</f>
        <v>0</v>
      </c>
      <c r="H2169" s="18">
        <f>E2169* 0.0430667297681022</f>
        <v>0</v>
      </c>
    </row>
    <row r="2170" ht="15.75" hidden="1" customHeight="1">
      <c r="A2170" s="15" t="s">
        <v>224</v>
      </c>
      <c r="B2170" s="11" t="s">
        <v>239</v>
      </c>
      <c r="C2170" s="15"/>
      <c r="D2170" s="16" t="s">
        <v>11</v>
      </c>
      <c r="E2170" s="23">
        <v>294.0</v>
      </c>
      <c r="F2170" s="18">
        <f>E2170* 0.083479491676667</f>
        <v>24.54297055</v>
      </c>
      <c r="G2170" s="18">
        <f>E2170* 0.913505030924029</f>
        <v>268.5704791</v>
      </c>
      <c r="H2170" s="18">
        <f>E2170* 0.00292316686667282</f>
        <v>0.8594110588</v>
      </c>
    </row>
    <row r="2171" ht="15.75" hidden="1" customHeight="1">
      <c r="A2171" s="15" t="s">
        <v>224</v>
      </c>
      <c r="B2171" s="11" t="s">
        <v>239</v>
      </c>
      <c r="C2171" s="15"/>
      <c r="D2171" s="16" t="s">
        <v>17</v>
      </c>
      <c r="E2171" s="23">
        <v>120.0</v>
      </c>
      <c r="F2171" s="18">
        <f>E2171* 0.752045572242362</f>
        <v>90.24546867</v>
      </c>
      <c r="G2171" s="18">
        <f>E2171* 0.185827723114103</f>
        <v>22.29932677</v>
      </c>
      <c r="H2171" s="18">
        <f>E2171* 0.0620921802175039</f>
        <v>7.451061626</v>
      </c>
    </row>
    <row r="2172" ht="15.75" hidden="1" customHeight="1">
      <c r="A2172" s="15" t="s">
        <v>224</v>
      </c>
      <c r="B2172" s="11" t="s">
        <v>239</v>
      </c>
      <c r="C2172" s="15"/>
      <c r="D2172" s="16" t="s">
        <v>31</v>
      </c>
      <c r="E2172" s="23">
        <v>0.0</v>
      </c>
      <c r="F2172" s="18">
        <f>E2172* 0.929131175468484</f>
        <v>0</v>
      </c>
      <c r="G2172" s="18">
        <f>E2172* 0.0477001703577513</f>
        <v>0</v>
      </c>
      <c r="H2172" s="18">
        <f>E2172* 0.0231686541737649</f>
        <v>0</v>
      </c>
    </row>
    <row r="2173" ht="15.75" hidden="1" customHeight="1">
      <c r="A2173" s="15" t="s">
        <v>224</v>
      </c>
      <c r="B2173" s="11" t="s">
        <v>239</v>
      </c>
      <c r="C2173" s="15"/>
      <c r="D2173" s="16" t="s">
        <v>18</v>
      </c>
      <c r="E2173" s="23">
        <v>35.0</v>
      </c>
      <c r="F2173" s="18">
        <f>E2173* 0.893702527830246</f>
        <v>31.27958847</v>
      </c>
      <c r="G2173" s="18">
        <f>E2173* 0.0946831169875015</f>
        <v>3.313909095</v>
      </c>
      <c r="H2173" s="18">
        <f>E2173* 0.0116143551822529</f>
        <v>0.4065024314</v>
      </c>
    </row>
    <row r="2174" ht="15.75" hidden="1" customHeight="1">
      <c r="A2174" s="15" t="s">
        <v>224</v>
      </c>
      <c r="B2174" s="11" t="s">
        <v>239</v>
      </c>
      <c r="C2174" s="15"/>
      <c r="D2174" s="16" t="s">
        <v>35</v>
      </c>
      <c r="E2174" s="23">
        <v>0.0</v>
      </c>
      <c r="F2174" s="20">
        <v>0.0</v>
      </c>
      <c r="G2174" s="24">
        <f>E2174</f>
        <v>0</v>
      </c>
      <c r="H2174" s="20">
        <v>0.0</v>
      </c>
    </row>
    <row r="2175" ht="15.75" hidden="1" customHeight="1">
      <c r="A2175" s="15" t="s">
        <v>224</v>
      </c>
      <c r="B2175" s="11" t="s">
        <v>239</v>
      </c>
      <c r="C2175" s="15"/>
      <c r="D2175" s="16" t="s">
        <v>19</v>
      </c>
      <c r="E2175" s="23">
        <v>0.0</v>
      </c>
      <c r="F2175" s="18">
        <f>E2175* 0.0299845873616365</f>
        <v>0</v>
      </c>
      <c r="G2175" s="18">
        <f>E2175* 0.96385035729298</f>
        <v>0</v>
      </c>
      <c r="H2175" s="18">
        <f>E2175* 0.00616505534538321</f>
        <v>0</v>
      </c>
    </row>
    <row r="2176" ht="15.75" hidden="1" customHeight="1">
      <c r="A2176" s="15" t="s">
        <v>224</v>
      </c>
      <c r="B2176" s="11" t="s">
        <v>239</v>
      </c>
      <c r="C2176" s="15"/>
      <c r="D2176" s="16" t="s">
        <v>20</v>
      </c>
      <c r="E2176" s="23">
        <v>3.0</v>
      </c>
      <c r="F2176" s="18">
        <f>E2176* 0.734251968503937</f>
        <v>2.202755906</v>
      </c>
      <c r="G2176" s="18">
        <f>E2176* 0.158017179670723</f>
        <v>0.474051539</v>
      </c>
      <c r="H2176" s="18">
        <f>E2176* 0.107551896921976</f>
        <v>0.3226556908</v>
      </c>
    </row>
    <row r="2177" ht="15.75" hidden="1" customHeight="1">
      <c r="A2177" s="15" t="s">
        <v>224</v>
      </c>
      <c r="B2177" s="11" t="s">
        <v>239</v>
      </c>
      <c r="C2177" s="15"/>
      <c r="D2177" s="16" t="s">
        <v>21</v>
      </c>
      <c r="E2177" s="23">
        <v>693.0</v>
      </c>
      <c r="F2177" s="18">
        <f>E2177* 0.999727092353423</f>
        <v>692.810875</v>
      </c>
      <c r="G2177" s="18">
        <f>E2177* 0.0000516311763794744</f>
        <v>0.03578040523</v>
      </c>
      <c r="H2177" s="18">
        <f>E2177* 0.000132765882118648</f>
        <v>0.09200675631</v>
      </c>
    </row>
    <row r="2178" ht="15.75" hidden="1" customHeight="1">
      <c r="A2178" s="15" t="s">
        <v>224</v>
      </c>
      <c r="B2178" s="11" t="s">
        <v>239</v>
      </c>
      <c r="C2178" s="15"/>
      <c r="D2178" s="16" t="s">
        <v>36</v>
      </c>
      <c r="E2178" s="23">
        <v>0.0</v>
      </c>
      <c r="F2178" s="18">
        <f>E2178* 0.995894428152493</f>
        <v>0</v>
      </c>
      <c r="G2178" s="18">
        <f>E2178* 0.000586510263929619</f>
        <v>0</v>
      </c>
      <c r="H2178" s="18">
        <f>E2178* 0.00351906158357771</f>
        <v>0</v>
      </c>
    </row>
    <row r="2179" ht="15.75" hidden="1" customHeight="1">
      <c r="A2179" s="15" t="s">
        <v>224</v>
      </c>
      <c r="B2179" s="11" t="s">
        <v>239</v>
      </c>
      <c r="C2179" s="15"/>
      <c r="D2179" s="16" t="s">
        <v>28</v>
      </c>
      <c r="E2179" s="23">
        <v>11.0</v>
      </c>
      <c r="F2179" s="18">
        <f>E2179* 0.00302222222222222</f>
        <v>0.03324444444</v>
      </c>
      <c r="G2179" s="18">
        <f>E2179* 0.996622222222222</f>
        <v>10.96284444</v>
      </c>
      <c r="H2179" s="18">
        <f>E2179* 0.000355555555555556</f>
        <v>0.003911111111</v>
      </c>
    </row>
    <row r="2180" ht="15.75" hidden="1" customHeight="1">
      <c r="A2180" s="15" t="s">
        <v>224</v>
      </c>
      <c r="B2180" s="11" t="s">
        <v>239</v>
      </c>
      <c r="C2180" s="15"/>
      <c r="D2180" s="16" t="s">
        <v>12</v>
      </c>
      <c r="E2180" s="23">
        <v>170.0</v>
      </c>
      <c r="F2180" s="18">
        <f>E2180* 0.802335182557089</f>
        <v>136.396981</v>
      </c>
      <c r="G2180" s="18">
        <f>E2180* 0.124687137143594</f>
        <v>21.19681331</v>
      </c>
      <c r="H2180" s="18">
        <f>E2180* 0.0729583279576829</f>
        <v>12.40291575</v>
      </c>
    </row>
    <row r="2181" ht="15.75" hidden="1" customHeight="1">
      <c r="A2181" s="15" t="s">
        <v>224</v>
      </c>
      <c r="B2181" s="8"/>
      <c r="C2181" s="8"/>
      <c r="D2181" s="9"/>
      <c r="E2181" s="29"/>
    </row>
    <row r="2182" ht="15.75" hidden="1" customHeight="1">
      <c r="A2182" s="15" t="s">
        <v>224</v>
      </c>
      <c r="B2182" s="11" t="s">
        <v>240</v>
      </c>
      <c r="C2182" s="12" t="str">
        <f>B2182&amp;"_"&amp;A2182</f>
        <v>Gutiérrez_Santa Cruz</v>
      </c>
      <c r="E2182" s="22">
        <v>1.0</v>
      </c>
      <c r="F2182" s="14">
        <f t="shared" ref="F2182:H2182" si="198">F2183</f>
        <v>0.7520455722</v>
      </c>
      <c r="G2182" s="14">
        <f t="shared" si="198"/>
        <v>0.1858277231</v>
      </c>
      <c r="H2182" s="14">
        <f t="shared" si="198"/>
        <v>0.06209218022</v>
      </c>
    </row>
    <row r="2183" ht="15.75" hidden="1" customHeight="1">
      <c r="A2183" s="15" t="s">
        <v>224</v>
      </c>
      <c r="B2183" s="11" t="s">
        <v>240</v>
      </c>
      <c r="C2183" s="15"/>
      <c r="D2183" s="16" t="s">
        <v>17</v>
      </c>
      <c r="E2183" s="23">
        <v>1.0</v>
      </c>
      <c r="F2183" s="18">
        <f>E2183* 0.752045572242362</f>
        <v>0.7520455722</v>
      </c>
      <c r="G2183" s="18">
        <f>E2183* 0.185827723114103</f>
        <v>0.1858277231</v>
      </c>
      <c r="H2183" s="18">
        <f>E2183* 0.0620921802175039</f>
        <v>0.06209218022</v>
      </c>
    </row>
    <row r="2184" ht="15.75" hidden="1" customHeight="1">
      <c r="A2184" s="15" t="s">
        <v>224</v>
      </c>
      <c r="B2184" s="8"/>
      <c r="C2184" s="8"/>
      <c r="D2184" s="9"/>
      <c r="E2184" s="29"/>
    </row>
    <row r="2185" ht="15.75" hidden="1" customHeight="1">
      <c r="A2185" s="15" t="s">
        <v>224</v>
      </c>
      <c r="B2185" s="11" t="s">
        <v>241</v>
      </c>
      <c r="C2185" s="12" t="str">
        <f>B2185&amp;"_"&amp;A2185</f>
        <v>La Guardia_Santa Cruz</v>
      </c>
      <c r="E2185" s="22">
        <v>11450.0</v>
      </c>
      <c r="F2185" s="14">
        <f t="shared" ref="F2185:H2185" si="199">SUM(F2186:F2198)</f>
        <v>9623.548466</v>
      </c>
      <c r="G2185" s="14">
        <f t="shared" si="199"/>
        <v>1486.222246</v>
      </c>
      <c r="H2185" s="14">
        <f t="shared" si="199"/>
        <v>339.5357753</v>
      </c>
    </row>
    <row r="2186" ht="15.75" hidden="1" customHeight="1">
      <c r="A2186" s="15" t="s">
        <v>224</v>
      </c>
      <c r="B2186" s="11" t="s">
        <v>241</v>
      </c>
      <c r="C2186" s="15"/>
      <c r="D2186" s="16" t="s">
        <v>14</v>
      </c>
      <c r="E2186" s="23">
        <v>0.0</v>
      </c>
      <c r="F2186" s="20">
        <v>0.0</v>
      </c>
      <c r="G2186" s="24">
        <f>E2186</f>
        <v>0</v>
      </c>
      <c r="H2186" s="20">
        <v>0.0</v>
      </c>
    </row>
    <row r="2187" ht="15.75" hidden="1" customHeight="1">
      <c r="A2187" s="15" t="s">
        <v>224</v>
      </c>
      <c r="B2187" s="11" t="s">
        <v>241</v>
      </c>
      <c r="C2187" s="15"/>
      <c r="D2187" s="16" t="s">
        <v>15</v>
      </c>
      <c r="E2187" s="23">
        <v>897.0</v>
      </c>
      <c r="F2187" s="18">
        <f>E2187* 0.932303048052446</f>
        <v>836.2758341</v>
      </c>
      <c r="G2187" s="18">
        <f>E2187* 0.0217058280204555</f>
        <v>19.47012773</v>
      </c>
      <c r="H2187" s="18">
        <f>E2187* 0.0459798598751943</f>
        <v>41.24393431</v>
      </c>
    </row>
    <row r="2188" ht="15.75" hidden="1" customHeight="1">
      <c r="A2188" s="15" t="s">
        <v>224</v>
      </c>
      <c r="B2188" s="11" t="s">
        <v>241</v>
      </c>
      <c r="C2188" s="15"/>
      <c r="D2188" s="16" t="s">
        <v>16</v>
      </c>
      <c r="E2188" s="23">
        <v>37.0</v>
      </c>
      <c r="F2188" s="18">
        <f>E2188* 0.293894936109797</f>
        <v>10.87411264</v>
      </c>
      <c r="G2188" s="18">
        <f>E2188* 0.663038334122101</f>
        <v>24.53241836</v>
      </c>
      <c r="H2188" s="18">
        <f>E2188* 0.0430667297681022</f>
        <v>1.593469001</v>
      </c>
    </row>
    <row r="2189" ht="15.75" hidden="1" customHeight="1">
      <c r="A2189" s="15" t="s">
        <v>224</v>
      </c>
      <c r="B2189" s="11" t="s">
        <v>241</v>
      </c>
      <c r="C2189" s="15"/>
      <c r="D2189" s="16" t="s">
        <v>11</v>
      </c>
      <c r="E2189" s="23">
        <v>702.0</v>
      </c>
      <c r="F2189" s="18">
        <f>E2189* 0.083479491676667</f>
        <v>58.60260316</v>
      </c>
      <c r="G2189" s="18">
        <f>E2189* 0.913505030924029</f>
        <v>641.2805317</v>
      </c>
      <c r="H2189" s="18">
        <f>E2189* 0.00292316686667282</f>
        <v>2.05206314</v>
      </c>
    </row>
    <row r="2190" ht="15.75" hidden="1" customHeight="1">
      <c r="A2190" s="15" t="s">
        <v>224</v>
      </c>
      <c r="B2190" s="11" t="s">
        <v>241</v>
      </c>
      <c r="C2190" s="15"/>
      <c r="D2190" s="16" t="s">
        <v>17</v>
      </c>
      <c r="E2190" s="23">
        <v>543.0</v>
      </c>
      <c r="F2190" s="18">
        <f>E2190* 0.752045572242362</f>
        <v>408.3607457</v>
      </c>
      <c r="G2190" s="18">
        <f>E2190* 0.185827723114103</f>
        <v>100.9044537</v>
      </c>
      <c r="H2190" s="18">
        <f>E2190* 0.0620921802175039</f>
        <v>33.71605386</v>
      </c>
    </row>
    <row r="2191" ht="15.75" hidden="1" customHeight="1">
      <c r="A2191" s="15" t="s">
        <v>224</v>
      </c>
      <c r="B2191" s="11" t="s">
        <v>241</v>
      </c>
      <c r="C2191" s="15"/>
      <c r="D2191" s="16" t="s">
        <v>31</v>
      </c>
      <c r="E2191" s="23">
        <v>130.0</v>
      </c>
      <c r="F2191" s="18">
        <f>E2191* 0.929131175468484</f>
        <v>120.7870528</v>
      </c>
      <c r="G2191" s="18">
        <f>E2191* 0.0477001703577513</f>
        <v>6.201022147</v>
      </c>
      <c r="H2191" s="18">
        <f>E2191* 0.0231686541737649</f>
        <v>3.011925043</v>
      </c>
    </row>
    <row r="2192" ht="15.75" hidden="1" customHeight="1">
      <c r="A2192" s="15" t="s">
        <v>224</v>
      </c>
      <c r="B2192" s="11" t="s">
        <v>241</v>
      </c>
      <c r="C2192" s="15"/>
      <c r="D2192" s="16" t="s">
        <v>18</v>
      </c>
      <c r="E2192" s="23">
        <v>262.0</v>
      </c>
      <c r="F2192" s="18">
        <f>E2192* 0.893702527830246</f>
        <v>234.1500623</v>
      </c>
      <c r="G2192" s="18">
        <f>E2192* 0.0946831169875015</f>
        <v>24.80697665</v>
      </c>
      <c r="H2192" s="18">
        <f>E2192* 0.0116143551822529</f>
        <v>3.042961058</v>
      </c>
    </row>
    <row r="2193" ht="15.75" hidden="1" customHeight="1">
      <c r="A2193" s="15" t="s">
        <v>224</v>
      </c>
      <c r="B2193" s="11" t="s">
        <v>241</v>
      </c>
      <c r="C2193" s="15"/>
      <c r="D2193" s="16" t="s">
        <v>19</v>
      </c>
      <c r="E2193" s="23">
        <v>94.0</v>
      </c>
      <c r="F2193" s="18">
        <f>E2193* 0.0299845873616365</f>
        <v>2.818551212</v>
      </c>
      <c r="G2193" s="18">
        <f>E2193* 0.96385035729298</f>
        <v>90.60193359</v>
      </c>
      <c r="H2193" s="18">
        <f>E2193* 0.00616505534538321</f>
        <v>0.5795152025</v>
      </c>
    </row>
    <row r="2194" ht="15.75" hidden="1" customHeight="1">
      <c r="A2194" s="15" t="s">
        <v>224</v>
      </c>
      <c r="B2194" s="11" t="s">
        <v>241</v>
      </c>
      <c r="C2194" s="15"/>
      <c r="D2194" s="16" t="s">
        <v>20</v>
      </c>
      <c r="E2194" s="23">
        <v>407.0</v>
      </c>
      <c r="F2194" s="18">
        <f>E2194* 0.734251968503937</f>
        <v>298.8405512</v>
      </c>
      <c r="G2194" s="18">
        <f>E2194* 0.158017179670723</f>
        <v>64.31299213</v>
      </c>
      <c r="H2194" s="18">
        <f>E2194* 0.107551896921976</f>
        <v>43.77362205</v>
      </c>
    </row>
    <row r="2195" ht="15.75" hidden="1" customHeight="1">
      <c r="A2195" s="15" t="s">
        <v>224</v>
      </c>
      <c r="B2195" s="11" t="s">
        <v>241</v>
      </c>
      <c r="C2195" s="15"/>
      <c r="D2195" s="16" t="s">
        <v>21</v>
      </c>
      <c r="E2195" s="23">
        <v>5326.0</v>
      </c>
      <c r="F2195" s="18">
        <f>E2195* 0.999727092353423</f>
        <v>5324.546494</v>
      </c>
      <c r="G2195" s="18">
        <f>E2195* 0.0000516311763794744</f>
        <v>0.2749876454</v>
      </c>
      <c r="H2195" s="18">
        <f>E2195* 0.000132765882118648</f>
        <v>0.7071110882</v>
      </c>
    </row>
    <row r="2196" ht="15.75" hidden="1" customHeight="1">
      <c r="A2196" s="15" t="s">
        <v>224</v>
      </c>
      <c r="B2196" s="11" t="s">
        <v>241</v>
      </c>
      <c r="C2196" s="15"/>
      <c r="D2196" s="16" t="s">
        <v>36</v>
      </c>
      <c r="E2196" s="23">
        <v>22.0</v>
      </c>
      <c r="F2196" s="18">
        <f>E2196* 0.995894428152493</f>
        <v>21.90967742</v>
      </c>
      <c r="G2196" s="18">
        <f>E2196* 0.000586510263929619</f>
        <v>0.01290322581</v>
      </c>
      <c r="H2196" s="18">
        <f>E2196* 0.00351906158357771</f>
        <v>0.07741935484</v>
      </c>
    </row>
    <row r="2197" ht="15.75" hidden="1" customHeight="1">
      <c r="A2197" s="15" t="s">
        <v>224</v>
      </c>
      <c r="B2197" s="11" t="s">
        <v>241</v>
      </c>
      <c r="C2197" s="15"/>
      <c r="D2197" s="16" t="s">
        <v>28</v>
      </c>
      <c r="E2197" s="23">
        <v>156.0</v>
      </c>
      <c r="F2197" s="18">
        <f>E2197* 0.00302222222222222</f>
        <v>0.4714666667</v>
      </c>
      <c r="G2197" s="18">
        <f>E2197* 0.996622222222222</f>
        <v>155.4730667</v>
      </c>
      <c r="H2197" s="18">
        <f>E2197* 0.000355555555555556</f>
        <v>0.05546666667</v>
      </c>
    </row>
    <row r="2198" ht="15.75" hidden="1" customHeight="1">
      <c r="A2198" s="15" t="s">
        <v>224</v>
      </c>
      <c r="B2198" s="11" t="s">
        <v>241</v>
      </c>
      <c r="C2198" s="15"/>
      <c r="D2198" s="16" t="s">
        <v>12</v>
      </c>
      <c r="E2198" s="23">
        <v>2874.0</v>
      </c>
      <c r="F2198" s="18">
        <f>E2198* 0.802335182557089</f>
        <v>2305.911315</v>
      </c>
      <c r="G2198" s="18">
        <f>E2198* 0.124687137143594</f>
        <v>358.3508322</v>
      </c>
      <c r="H2198" s="18">
        <f>E2198* 0.0729583279576829</f>
        <v>209.6822346</v>
      </c>
    </row>
    <row r="2199" ht="15.75" hidden="1" customHeight="1">
      <c r="A2199" s="15" t="s">
        <v>224</v>
      </c>
      <c r="B2199" s="8"/>
      <c r="C2199" s="8"/>
      <c r="D2199" s="9"/>
      <c r="E2199" s="29"/>
    </row>
    <row r="2200" ht="15.75" hidden="1" customHeight="1">
      <c r="A2200" s="15" t="s">
        <v>224</v>
      </c>
      <c r="B2200" s="11" t="s">
        <v>242</v>
      </c>
      <c r="C2200" s="12" t="str">
        <f>B2200&amp;"_"&amp;A2200</f>
        <v>Lagunillas_Santa Cruz</v>
      </c>
      <c r="E2200" s="22">
        <v>1.0</v>
      </c>
      <c r="F2200" s="14">
        <f t="shared" ref="F2200:H2200" si="200">F2201</f>
        <v>0.7520455722</v>
      </c>
      <c r="G2200" s="14">
        <f t="shared" si="200"/>
        <v>0.1858277231</v>
      </c>
      <c r="H2200" s="14">
        <f t="shared" si="200"/>
        <v>0.06209218022</v>
      </c>
    </row>
    <row r="2201" ht="15.75" hidden="1" customHeight="1">
      <c r="A2201" s="15" t="s">
        <v>224</v>
      </c>
      <c r="B2201" s="11" t="s">
        <v>242</v>
      </c>
      <c r="C2201" s="15"/>
      <c r="D2201" s="16" t="s">
        <v>17</v>
      </c>
      <c r="E2201" s="23">
        <v>1.0</v>
      </c>
      <c r="F2201" s="18">
        <f>E2201* 0.752045572242362</f>
        <v>0.7520455722</v>
      </c>
      <c r="G2201" s="18">
        <f>E2201* 0.185827723114103</f>
        <v>0.1858277231</v>
      </c>
      <c r="H2201" s="18">
        <f>E2201* 0.0620921802175039</f>
        <v>0.06209218022</v>
      </c>
    </row>
    <row r="2202" ht="15.75" hidden="1" customHeight="1">
      <c r="A2202" s="15" t="s">
        <v>224</v>
      </c>
      <c r="B2202" s="8"/>
      <c r="C2202" s="8"/>
      <c r="D2202" s="9"/>
      <c r="E2202" s="29"/>
    </row>
    <row r="2203" ht="15.75" hidden="1" customHeight="1">
      <c r="A2203" s="15" t="s">
        <v>224</v>
      </c>
      <c r="B2203" s="11" t="s">
        <v>243</v>
      </c>
      <c r="C2203" s="12" t="str">
        <f>B2203&amp;"_"&amp;A2203</f>
        <v>Mairana_Santa Cruz</v>
      </c>
      <c r="E2203" s="22">
        <v>85.0</v>
      </c>
      <c r="F2203" s="14">
        <f t="shared" ref="F2203:H2203" si="201">SUM(F2204:F2212)</f>
        <v>57.37847321</v>
      </c>
      <c r="G2203" s="14">
        <f t="shared" si="201"/>
        <v>24.49087583</v>
      </c>
      <c r="H2203" s="14">
        <f t="shared" si="201"/>
        <v>3.125875964</v>
      </c>
    </row>
    <row r="2204" ht="15.75" hidden="1" customHeight="1">
      <c r="A2204" s="15" t="s">
        <v>224</v>
      </c>
      <c r="B2204" s="11" t="s">
        <v>243</v>
      </c>
      <c r="C2204" s="15"/>
      <c r="D2204" s="16" t="s">
        <v>15</v>
      </c>
      <c r="E2204" s="23">
        <v>4.0</v>
      </c>
      <c r="F2204" s="18">
        <f>E2204* 0.932303048052446</f>
        <v>3.729212192</v>
      </c>
      <c r="G2204" s="18">
        <f>E2204* 0.0217058280204555</f>
        <v>0.08682331208</v>
      </c>
      <c r="H2204" s="18">
        <f>E2204* 0.0459798598751943</f>
        <v>0.1839194395</v>
      </c>
    </row>
    <row r="2205" ht="15.75" hidden="1" customHeight="1">
      <c r="A2205" s="15" t="s">
        <v>224</v>
      </c>
      <c r="B2205" s="11" t="s">
        <v>243</v>
      </c>
      <c r="C2205" s="15"/>
      <c r="D2205" s="16" t="s">
        <v>16</v>
      </c>
      <c r="E2205" s="23">
        <v>0.0</v>
      </c>
      <c r="F2205" s="18">
        <f>E2205* 0.293894936109797</f>
        <v>0</v>
      </c>
      <c r="G2205" s="18">
        <f>E2205* 0.663038334122101</f>
        <v>0</v>
      </c>
      <c r="H2205" s="18">
        <f>E2205* 0.0430667297681022</f>
        <v>0</v>
      </c>
    </row>
    <row r="2206" ht="15.75" hidden="1" customHeight="1">
      <c r="A2206" s="15" t="s">
        <v>224</v>
      </c>
      <c r="B2206" s="11" t="s">
        <v>243</v>
      </c>
      <c r="C2206" s="15"/>
      <c r="D2206" s="16" t="s">
        <v>11</v>
      </c>
      <c r="E2206" s="23">
        <v>20.0</v>
      </c>
      <c r="F2206" s="18">
        <f>E2206* 0.083479491676667</f>
        <v>1.669589834</v>
      </c>
      <c r="G2206" s="18">
        <f>E2206* 0.913505030924029</f>
        <v>18.27010062</v>
      </c>
      <c r="H2206" s="18">
        <f>E2206* 0.00292316686667282</f>
        <v>0.05846333733</v>
      </c>
    </row>
    <row r="2207" ht="15.75" hidden="1" customHeight="1">
      <c r="A2207" s="15" t="s">
        <v>224</v>
      </c>
      <c r="B2207" s="11" t="s">
        <v>243</v>
      </c>
      <c r="C2207" s="15"/>
      <c r="D2207" s="16" t="s">
        <v>17</v>
      </c>
      <c r="E2207" s="23">
        <v>13.0</v>
      </c>
      <c r="F2207" s="18">
        <f>E2207* 0.752045572242362</f>
        <v>9.776592439</v>
      </c>
      <c r="G2207" s="18">
        <f>E2207* 0.185827723114103</f>
        <v>2.4157604</v>
      </c>
      <c r="H2207" s="18">
        <f>E2207* 0.0620921802175039</f>
        <v>0.8071983428</v>
      </c>
    </row>
    <row r="2208" ht="15.75" hidden="1" customHeight="1">
      <c r="A2208" s="15" t="s">
        <v>224</v>
      </c>
      <c r="B2208" s="11" t="s">
        <v>243</v>
      </c>
      <c r="C2208" s="15"/>
      <c r="D2208" s="16" t="s">
        <v>18</v>
      </c>
      <c r="E2208" s="23">
        <v>3.0</v>
      </c>
      <c r="F2208" s="18">
        <f>E2208* 0.893702527830246</f>
        <v>2.681107583</v>
      </c>
      <c r="G2208" s="18">
        <f>E2208* 0.0946831169875015</f>
        <v>0.284049351</v>
      </c>
      <c r="H2208" s="18">
        <f>E2208* 0.0116143551822529</f>
        <v>0.03484306555</v>
      </c>
    </row>
    <row r="2209" ht="15.75" hidden="1" customHeight="1">
      <c r="A2209" s="15" t="s">
        <v>224</v>
      </c>
      <c r="B2209" s="11" t="s">
        <v>243</v>
      </c>
      <c r="C2209" s="15"/>
      <c r="D2209" s="16" t="s">
        <v>19</v>
      </c>
      <c r="E2209" s="23">
        <v>0.0</v>
      </c>
      <c r="F2209" s="18">
        <f>E2209* 0.0299845873616365</f>
        <v>0</v>
      </c>
      <c r="G2209" s="18">
        <f>E2209* 0.96385035729298</f>
        <v>0</v>
      </c>
      <c r="H2209" s="18">
        <f>E2209* 0.00616505534538321</f>
        <v>0</v>
      </c>
    </row>
    <row r="2210" ht="15.75" hidden="1" customHeight="1">
      <c r="A2210" s="15" t="s">
        <v>224</v>
      </c>
      <c r="B2210" s="11" t="s">
        <v>243</v>
      </c>
      <c r="C2210" s="15"/>
      <c r="D2210" s="16" t="s">
        <v>20</v>
      </c>
      <c r="E2210" s="23">
        <v>2.0</v>
      </c>
      <c r="F2210" s="18">
        <f>E2210* 0.734251968503937</f>
        <v>1.468503937</v>
      </c>
      <c r="G2210" s="18">
        <f>E2210* 0.158017179670723</f>
        <v>0.3160343593</v>
      </c>
      <c r="H2210" s="18">
        <f>E2210* 0.107551896921976</f>
        <v>0.2151037938</v>
      </c>
    </row>
    <row r="2211" ht="15.75" hidden="1" customHeight="1">
      <c r="A2211" s="15" t="s">
        <v>224</v>
      </c>
      <c r="B2211" s="11" t="s">
        <v>243</v>
      </c>
      <c r="C2211" s="15"/>
      <c r="D2211" s="16" t="s">
        <v>21</v>
      </c>
      <c r="E2211" s="23">
        <v>18.0</v>
      </c>
      <c r="F2211" s="18">
        <f>E2211* 0.999727092353423</f>
        <v>17.99508766</v>
      </c>
      <c r="G2211" s="18">
        <f>E2211* 0.0000516311763794744</f>
        <v>0.0009293611748</v>
      </c>
      <c r="H2211" s="18">
        <f>E2211* 0.000132765882118648</f>
        <v>0.002389785878</v>
      </c>
    </row>
    <row r="2212" ht="15.75" hidden="1" customHeight="1">
      <c r="A2212" s="15" t="s">
        <v>224</v>
      </c>
      <c r="B2212" s="11" t="s">
        <v>243</v>
      </c>
      <c r="C2212" s="15"/>
      <c r="D2212" s="16" t="s">
        <v>12</v>
      </c>
      <c r="E2212" s="23">
        <v>25.0</v>
      </c>
      <c r="F2212" s="18">
        <f>E2212* 0.802335182557089</f>
        <v>20.05837956</v>
      </c>
      <c r="G2212" s="18">
        <f>E2212* 0.124687137143594</f>
        <v>3.117178429</v>
      </c>
      <c r="H2212" s="18">
        <f>E2212* 0.0729583279576829</f>
        <v>1.823958199</v>
      </c>
    </row>
    <row r="2213" ht="15.75" hidden="1" customHeight="1">
      <c r="A2213" s="15" t="s">
        <v>224</v>
      </c>
      <c r="B2213" s="21"/>
      <c r="C2213" s="21"/>
      <c r="D2213" s="16"/>
      <c r="E2213" s="29"/>
    </row>
    <row r="2214" ht="15.75" hidden="1" customHeight="1">
      <c r="A2214" s="15" t="s">
        <v>224</v>
      </c>
      <c r="B2214" s="11" t="s">
        <v>244</v>
      </c>
      <c r="C2214" s="12" t="str">
        <f>B2214&amp;"_"&amp;A2214</f>
        <v>Mineros_Santa Cruz</v>
      </c>
      <c r="E2214" s="22">
        <v>2581.0</v>
      </c>
      <c r="F2214" s="14">
        <f t="shared" ref="F2214:H2214" si="202">SUM(F2215:F2228)</f>
        <v>2146.301295</v>
      </c>
      <c r="G2214" s="14">
        <f t="shared" si="202"/>
        <v>387.6322466</v>
      </c>
      <c r="H2214" s="14">
        <f t="shared" si="202"/>
        <v>46.88969783</v>
      </c>
    </row>
    <row r="2215" ht="15.75" hidden="1" customHeight="1">
      <c r="A2215" s="15" t="s">
        <v>224</v>
      </c>
      <c r="B2215" s="11" t="s">
        <v>244</v>
      </c>
      <c r="C2215" s="15"/>
      <c r="D2215" s="16" t="s">
        <v>14</v>
      </c>
      <c r="E2215" s="23">
        <v>0.0</v>
      </c>
      <c r="F2215" s="20">
        <v>0.0</v>
      </c>
      <c r="G2215" s="24">
        <f>E2215</f>
        <v>0</v>
      </c>
      <c r="H2215" s="20">
        <v>0.0</v>
      </c>
    </row>
    <row r="2216" ht="15.75" hidden="1" customHeight="1">
      <c r="A2216" s="15" t="s">
        <v>224</v>
      </c>
      <c r="B2216" s="11" t="s">
        <v>244</v>
      </c>
      <c r="C2216" s="15"/>
      <c r="D2216" s="16" t="s">
        <v>15</v>
      </c>
      <c r="E2216" s="23">
        <v>145.0</v>
      </c>
      <c r="F2216" s="18">
        <f>E2216* 0.932303048052446</f>
        <v>135.183942</v>
      </c>
      <c r="G2216" s="18">
        <f>E2216* 0.0217058280204555</f>
        <v>3.147345063</v>
      </c>
      <c r="H2216" s="18">
        <f>E2216* 0.0459798598751943</f>
        <v>6.667079682</v>
      </c>
    </row>
    <row r="2217" ht="15.75" hidden="1" customHeight="1">
      <c r="A2217" s="15" t="s">
        <v>224</v>
      </c>
      <c r="B2217" s="11" t="s">
        <v>244</v>
      </c>
      <c r="C2217" s="15"/>
      <c r="D2217" s="16" t="s">
        <v>16</v>
      </c>
      <c r="E2217" s="23">
        <v>1.0</v>
      </c>
      <c r="F2217" s="18">
        <f>E2217* 0.293894936109797</f>
        <v>0.2938949361</v>
      </c>
      <c r="G2217" s="18">
        <f>E2217* 0.663038334122101</f>
        <v>0.6630383341</v>
      </c>
      <c r="H2217" s="18">
        <f>E2217* 0.0430667297681022</f>
        <v>0.04306672977</v>
      </c>
    </row>
    <row r="2218" ht="15.75" hidden="1" customHeight="1">
      <c r="A2218" s="15" t="s">
        <v>224</v>
      </c>
      <c r="B2218" s="11" t="s">
        <v>244</v>
      </c>
      <c r="C2218" s="15"/>
      <c r="D2218" s="16" t="s">
        <v>11</v>
      </c>
      <c r="E2218" s="23">
        <v>309.0</v>
      </c>
      <c r="F2218" s="18">
        <f>E2218* 0.083479491676667</f>
        <v>25.79516293</v>
      </c>
      <c r="G2218" s="18">
        <f>E2218* 0.913505030924029</f>
        <v>282.2730546</v>
      </c>
      <c r="H2218" s="18">
        <f>E2218* 0.00292316686667282</f>
        <v>0.9032585618</v>
      </c>
    </row>
    <row r="2219" ht="15.75" hidden="1" customHeight="1">
      <c r="A2219" s="15" t="s">
        <v>224</v>
      </c>
      <c r="B2219" s="11" t="s">
        <v>244</v>
      </c>
      <c r="C2219" s="15"/>
      <c r="D2219" s="16" t="s">
        <v>17</v>
      </c>
      <c r="E2219" s="23">
        <v>164.0</v>
      </c>
      <c r="F2219" s="18">
        <f>E2219* 0.752045572242362</f>
        <v>123.3354738</v>
      </c>
      <c r="G2219" s="18">
        <f>E2219* 0.185827723114103</f>
        <v>30.47574659</v>
      </c>
      <c r="H2219" s="18">
        <f>E2219* 0.0620921802175039</f>
        <v>10.18311756</v>
      </c>
    </row>
    <row r="2220" ht="15.75" hidden="1" customHeight="1">
      <c r="A2220" s="15" t="s">
        <v>224</v>
      </c>
      <c r="B2220" s="11" t="s">
        <v>244</v>
      </c>
      <c r="C2220" s="15"/>
      <c r="D2220" s="16" t="s">
        <v>31</v>
      </c>
      <c r="E2220" s="23">
        <v>1.0</v>
      </c>
      <c r="F2220" s="18">
        <f>E2220* 0.929131175468484</f>
        <v>0.9291311755</v>
      </c>
      <c r="G2220" s="18">
        <f>E2220* 0.0477001703577513</f>
        <v>0.04770017036</v>
      </c>
      <c r="H2220" s="18">
        <f>E2220* 0.0231686541737649</f>
        <v>0.02316865417</v>
      </c>
    </row>
    <row r="2221" ht="15.75" hidden="1" customHeight="1">
      <c r="A2221" s="15" t="s">
        <v>224</v>
      </c>
      <c r="B2221" s="11" t="s">
        <v>244</v>
      </c>
      <c r="C2221" s="15"/>
      <c r="D2221" s="16" t="s">
        <v>18</v>
      </c>
      <c r="E2221" s="23">
        <v>54.0</v>
      </c>
      <c r="F2221" s="18">
        <f>E2221* 0.893702527830246</f>
        <v>48.2599365</v>
      </c>
      <c r="G2221" s="18">
        <f>E2221* 0.0946831169875015</f>
        <v>5.112888317</v>
      </c>
      <c r="H2221" s="18">
        <f>E2221* 0.0116143551822529</f>
        <v>0.6271751798</v>
      </c>
    </row>
    <row r="2222" ht="15.75" hidden="1" customHeight="1">
      <c r="A2222" s="15" t="s">
        <v>224</v>
      </c>
      <c r="B2222" s="11" t="s">
        <v>244</v>
      </c>
      <c r="C2222" s="15"/>
      <c r="D2222" s="16" t="s">
        <v>35</v>
      </c>
      <c r="E2222" s="23">
        <v>0.0</v>
      </c>
      <c r="F2222" s="20">
        <v>0.0</v>
      </c>
      <c r="G2222" s="24">
        <f>E2222</f>
        <v>0</v>
      </c>
      <c r="H2222" s="20">
        <v>0.0</v>
      </c>
    </row>
    <row r="2223" ht="15.75" hidden="1" customHeight="1">
      <c r="A2223" s="15" t="s">
        <v>224</v>
      </c>
      <c r="B2223" s="11" t="s">
        <v>244</v>
      </c>
      <c r="C2223" s="15"/>
      <c r="D2223" s="16" t="s">
        <v>19</v>
      </c>
      <c r="E2223" s="23">
        <v>3.0</v>
      </c>
      <c r="F2223" s="18">
        <f>E2223* 0.0299845873616365</f>
        <v>0.08995376208</v>
      </c>
      <c r="G2223" s="18">
        <f>E2223* 0.96385035729298</f>
        <v>2.891551072</v>
      </c>
      <c r="H2223" s="18">
        <f>E2223* 0.00616505534538321</f>
        <v>0.01849516604</v>
      </c>
    </row>
    <row r="2224" ht="15.75" hidden="1" customHeight="1">
      <c r="A2224" s="15" t="s">
        <v>224</v>
      </c>
      <c r="B2224" s="11" t="s">
        <v>244</v>
      </c>
      <c r="C2224" s="15"/>
      <c r="D2224" s="16" t="s">
        <v>20</v>
      </c>
      <c r="E2224" s="23">
        <v>7.0</v>
      </c>
      <c r="F2224" s="18">
        <f>E2224* 0.734251968503937</f>
        <v>5.13976378</v>
      </c>
      <c r="G2224" s="18">
        <f>E2224* 0.158017179670723</f>
        <v>1.106120258</v>
      </c>
      <c r="H2224" s="18">
        <f>E2224* 0.107551896921976</f>
        <v>0.7528632785</v>
      </c>
    </row>
    <row r="2225" ht="15.75" hidden="1" customHeight="1">
      <c r="A2225" s="15" t="s">
        <v>224</v>
      </c>
      <c r="B2225" s="11" t="s">
        <v>244</v>
      </c>
      <c r="C2225" s="15"/>
      <c r="D2225" s="16" t="s">
        <v>21</v>
      </c>
      <c r="E2225" s="23">
        <v>1496.0</v>
      </c>
      <c r="F2225" s="18">
        <f>E2225* 0.999727092353423</f>
        <v>1495.59173</v>
      </c>
      <c r="G2225" s="18">
        <f>E2225* 0.0000516311763794744</f>
        <v>0.07724023986</v>
      </c>
      <c r="H2225" s="18">
        <f>E2225* 0.000132765882118648</f>
        <v>0.1986177596</v>
      </c>
    </row>
    <row r="2226" ht="15.75" hidden="1" customHeight="1">
      <c r="A2226" s="15" t="s">
        <v>224</v>
      </c>
      <c r="B2226" s="11" t="s">
        <v>244</v>
      </c>
      <c r="C2226" s="15"/>
      <c r="D2226" s="16" t="s">
        <v>36</v>
      </c>
      <c r="E2226" s="23">
        <v>10.0</v>
      </c>
      <c r="F2226" s="18">
        <f>E2226* 0.995894428152493</f>
        <v>9.958944282</v>
      </c>
      <c r="G2226" s="18">
        <f>E2226* 0.000586510263929619</f>
        <v>0.005865102639</v>
      </c>
      <c r="H2226" s="18">
        <f>E2226* 0.00351906158357771</f>
        <v>0.03519061584</v>
      </c>
    </row>
    <row r="2227" ht="15.75" hidden="1" customHeight="1">
      <c r="A2227" s="15" t="s">
        <v>224</v>
      </c>
      <c r="B2227" s="11" t="s">
        <v>244</v>
      </c>
      <c r="C2227" s="15"/>
      <c r="D2227" s="16" t="s">
        <v>28</v>
      </c>
      <c r="E2227" s="23">
        <v>15.0</v>
      </c>
      <c r="F2227" s="18">
        <f>E2227* 0.00302222222222222</f>
        <v>0.04533333333</v>
      </c>
      <c r="G2227" s="18">
        <f>E2227* 0.996622222222222</f>
        <v>14.94933333</v>
      </c>
      <c r="H2227" s="18">
        <f>E2227* 0.000355555555555556</f>
        <v>0.005333333333</v>
      </c>
    </row>
    <row r="2228" ht="15.75" hidden="1" customHeight="1">
      <c r="A2228" s="15" t="s">
        <v>224</v>
      </c>
      <c r="B2228" s="11" t="s">
        <v>244</v>
      </c>
      <c r="C2228" s="15"/>
      <c r="D2228" s="16" t="s">
        <v>12</v>
      </c>
      <c r="E2228" s="23">
        <v>376.0</v>
      </c>
      <c r="F2228" s="18">
        <f>E2228* 0.802335182557089</f>
        <v>301.6780286</v>
      </c>
      <c r="G2228" s="18">
        <f>E2228* 0.124687137143594</f>
        <v>46.88236357</v>
      </c>
      <c r="H2228" s="18">
        <f>E2228* 0.0729583279576829</f>
        <v>27.43233131</v>
      </c>
    </row>
    <row r="2229" ht="15.75" hidden="1" customHeight="1">
      <c r="A2229" s="15" t="s">
        <v>224</v>
      </c>
      <c r="B2229" s="8"/>
      <c r="C2229" s="8"/>
      <c r="D2229" s="9"/>
      <c r="E2229" s="29"/>
    </row>
    <row r="2230" ht="15.75" hidden="1" customHeight="1">
      <c r="A2230" s="15" t="s">
        <v>224</v>
      </c>
      <c r="B2230" s="11" t="s">
        <v>245</v>
      </c>
      <c r="C2230" s="12" t="str">
        <f>B2230&amp;"_"&amp;A2230</f>
        <v>Montero_Santa Cruz</v>
      </c>
      <c r="E2230" s="22">
        <v>80442.0</v>
      </c>
      <c r="F2230" s="14">
        <f t="shared" ref="F2230:H2230" si="203">SUM(F2231:F2245)</f>
        <v>72642.32352</v>
      </c>
      <c r="G2230" s="14">
        <f t="shared" si="203"/>
        <v>6483.56001</v>
      </c>
      <c r="H2230" s="14">
        <f t="shared" si="203"/>
        <v>1310.442313</v>
      </c>
    </row>
    <row r="2231" ht="15.75" hidden="1" customHeight="1">
      <c r="A2231" s="15" t="s">
        <v>224</v>
      </c>
      <c r="B2231" s="11" t="s">
        <v>245</v>
      </c>
      <c r="C2231" s="15"/>
      <c r="D2231" s="16" t="s">
        <v>14</v>
      </c>
      <c r="E2231" s="23">
        <v>0.0</v>
      </c>
      <c r="F2231" s="20">
        <v>0.0</v>
      </c>
      <c r="G2231" s="24">
        <f>E2231</f>
        <v>0</v>
      </c>
      <c r="H2231" s="20">
        <v>0.0</v>
      </c>
    </row>
    <row r="2232" ht="15.75" hidden="1" customHeight="1">
      <c r="A2232" s="15" t="s">
        <v>224</v>
      </c>
      <c r="B2232" s="11" t="s">
        <v>245</v>
      </c>
      <c r="C2232" s="15"/>
      <c r="D2232" s="16" t="s">
        <v>15</v>
      </c>
      <c r="E2232" s="23">
        <v>4823.0</v>
      </c>
      <c r="F2232" s="18">
        <f>E2232* 0.932303048052446</f>
        <v>4496.497601</v>
      </c>
      <c r="G2232" s="18">
        <f>E2232* 0.0217058280204555</f>
        <v>104.6872085</v>
      </c>
      <c r="H2232" s="18">
        <f>E2232* 0.0459798598751943</f>
        <v>221.7608642</v>
      </c>
    </row>
    <row r="2233" ht="15.75" hidden="1" customHeight="1">
      <c r="A2233" s="15" t="s">
        <v>224</v>
      </c>
      <c r="B2233" s="11" t="s">
        <v>245</v>
      </c>
      <c r="C2233" s="15"/>
      <c r="D2233" s="16" t="s">
        <v>16</v>
      </c>
      <c r="E2233" s="23">
        <v>144.0</v>
      </c>
      <c r="F2233" s="18">
        <f>E2233* 0.293894936109797</f>
        <v>42.3208708</v>
      </c>
      <c r="G2233" s="18">
        <f>E2233* 0.663038334122101</f>
        <v>95.47752011</v>
      </c>
      <c r="H2233" s="18">
        <f>E2233* 0.0430667297681022</f>
        <v>6.201609087</v>
      </c>
    </row>
    <row r="2234" ht="15.75" hidden="1" customHeight="1">
      <c r="A2234" s="15" t="s">
        <v>224</v>
      </c>
      <c r="B2234" s="11" t="s">
        <v>245</v>
      </c>
      <c r="C2234" s="15"/>
      <c r="D2234" s="16" t="s">
        <v>11</v>
      </c>
      <c r="E2234" s="23">
        <v>3445.0</v>
      </c>
      <c r="F2234" s="18">
        <f>E2234* 0.083479491676667</f>
        <v>287.5868488</v>
      </c>
      <c r="G2234" s="18">
        <f>E2234* 0.913505030924029</f>
        <v>3147.024832</v>
      </c>
      <c r="H2234" s="18">
        <f>E2234* 0.00292316686667282</f>
        <v>10.07030986</v>
      </c>
    </row>
    <row r="2235" ht="15.75" hidden="1" customHeight="1">
      <c r="A2235" s="15" t="s">
        <v>224</v>
      </c>
      <c r="B2235" s="11" t="s">
        <v>245</v>
      </c>
      <c r="C2235" s="15"/>
      <c r="D2235" s="16" t="s">
        <v>17</v>
      </c>
      <c r="E2235" s="23">
        <v>4276.0</v>
      </c>
      <c r="F2235" s="18">
        <f>E2235* 0.752045572242362</f>
        <v>3215.746867</v>
      </c>
      <c r="G2235" s="18">
        <f>E2235* 0.185827723114103</f>
        <v>794.599344</v>
      </c>
      <c r="H2235" s="18">
        <f>E2235* 0.0620921802175039</f>
        <v>265.5061626</v>
      </c>
    </row>
    <row r="2236" ht="15.75" hidden="1" customHeight="1">
      <c r="A2236" s="15" t="s">
        <v>224</v>
      </c>
      <c r="B2236" s="11" t="s">
        <v>245</v>
      </c>
      <c r="C2236" s="15"/>
      <c r="D2236" s="16" t="s">
        <v>31</v>
      </c>
      <c r="E2236" s="23">
        <v>46.0</v>
      </c>
      <c r="F2236" s="18">
        <f>E2236* 0.929131175468484</f>
        <v>42.74003407</v>
      </c>
      <c r="G2236" s="18">
        <f>E2236* 0.0477001703577513</f>
        <v>2.194207836</v>
      </c>
      <c r="H2236" s="18">
        <f>E2236* 0.0231686541737649</f>
        <v>1.065758092</v>
      </c>
    </row>
    <row r="2237" ht="15.75" hidden="1" customHeight="1">
      <c r="A2237" s="15" t="s">
        <v>224</v>
      </c>
      <c r="B2237" s="11" t="s">
        <v>245</v>
      </c>
      <c r="C2237" s="15"/>
      <c r="D2237" s="16" t="s">
        <v>18</v>
      </c>
      <c r="E2237" s="23">
        <v>1158.0</v>
      </c>
      <c r="F2237" s="18">
        <f>E2237* 0.893702527830246</f>
        <v>1034.907527</v>
      </c>
      <c r="G2237" s="18">
        <f>E2237* 0.0946831169875015</f>
        <v>109.6430495</v>
      </c>
      <c r="H2237" s="18">
        <f>E2237* 0.0116143551822529</f>
        <v>13.4494233</v>
      </c>
    </row>
    <row r="2238" ht="15.75" hidden="1" customHeight="1">
      <c r="A2238" s="15" t="s">
        <v>224</v>
      </c>
      <c r="B2238" s="11" t="s">
        <v>245</v>
      </c>
      <c r="C2238" s="15"/>
      <c r="D2238" s="16" t="s">
        <v>19</v>
      </c>
      <c r="E2238" s="23">
        <v>256.0</v>
      </c>
      <c r="F2238" s="18">
        <f>E2238* 0.0299845873616365</f>
        <v>7.676054365</v>
      </c>
      <c r="G2238" s="18">
        <f>E2238* 0.96385035729298</f>
        <v>246.7456915</v>
      </c>
      <c r="H2238" s="18">
        <f>E2238* 0.00616505534538321</f>
        <v>1.578254168</v>
      </c>
    </row>
    <row r="2239" ht="15.75" hidden="1" customHeight="1">
      <c r="A2239" s="15" t="s">
        <v>224</v>
      </c>
      <c r="B2239" s="11" t="s">
        <v>245</v>
      </c>
      <c r="C2239" s="15"/>
      <c r="D2239" s="16" t="s">
        <v>20</v>
      </c>
      <c r="E2239" s="23">
        <v>489.0</v>
      </c>
      <c r="F2239" s="18">
        <f>E2239* 0.734251968503937</f>
        <v>359.0492126</v>
      </c>
      <c r="G2239" s="18">
        <f>E2239* 0.158017179670723</f>
        <v>77.27040086</v>
      </c>
      <c r="H2239" s="18">
        <f>E2239* 0.107551896921976</f>
        <v>52.59287759</v>
      </c>
    </row>
    <row r="2240" ht="15.75" hidden="1" customHeight="1">
      <c r="A2240" s="15" t="s">
        <v>224</v>
      </c>
      <c r="B2240" s="11" t="s">
        <v>245</v>
      </c>
      <c r="C2240" s="15"/>
      <c r="D2240" s="16" t="s">
        <v>21</v>
      </c>
      <c r="E2240" s="23">
        <v>55055.0</v>
      </c>
      <c r="F2240" s="18">
        <f>E2240* 0.999727092353423</f>
        <v>55039.97507</v>
      </c>
      <c r="G2240" s="18">
        <f>E2240* 0.0000516311763794744</f>
        <v>2.842554416</v>
      </c>
      <c r="H2240" s="18">
        <f>E2240* 0.000132765882118648</f>
        <v>7.30942564</v>
      </c>
    </row>
    <row r="2241" ht="15.75" hidden="1" customHeight="1">
      <c r="A2241" s="15" t="s">
        <v>224</v>
      </c>
      <c r="B2241" s="11" t="s">
        <v>245</v>
      </c>
      <c r="C2241" s="15"/>
      <c r="D2241" s="16" t="s">
        <v>36</v>
      </c>
      <c r="E2241" s="23">
        <v>82.0</v>
      </c>
      <c r="F2241" s="18">
        <f>E2241* 0.995894428152493</f>
        <v>81.66334311</v>
      </c>
      <c r="G2241" s="18">
        <f>E2241* 0.000586510263929619</f>
        <v>0.04809384164</v>
      </c>
      <c r="H2241" s="18">
        <f>E2241* 0.00351906158357771</f>
        <v>0.2885630499</v>
      </c>
    </row>
    <row r="2242" ht="15.75" hidden="1" customHeight="1">
      <c r="A2242" s="15" t="s">
        <v>224</v>
      </c>
      <c r="B2242" s="11" t="s">
        <v>245</v>
      </c>
      <c r="C2242" s="15"/>
      <c r="D2242" s="16" t="s">
        <v>37</v>
      </c>
      <c r="E2242" s="23">
        <v>1.0</v>
      </c>
      <c r="F2242" s="20">
        <v>0.0</v>
      </c>
      <c r="G2242" s="24">
        <f>E2242</f>
        <v>1</v>
      </c>
      <c r="H2242" s="20">
        <v>0.0</v>
      </c>
    </row>
    <row r="2243" ht="15.75" hidden="1" customHeight="1">
      <c r="A2243" s="15" t="s">
        <v>224</v>
      </c>
      <c r="B2243" s="11" t="s">
        <v>245</v>
      </c>
      <c r="C2243" s="15"/>
      <c r="D2243" s="16" t="s">
        <v>28</v>
      </c>
      <c r="E2243" s="23">
        <v>656.0</v>
      </c>
      <c r="F2243" s="18">
        <f>E2243* 0.00302222222222222</f>
        <v>1.982577778</v>
      </c>
      <c r="G2243" s="18">
        <f>E2243* 0.996622222222222</f>
        <v>653.7841778</v>
      </c>
      <c r="H2243" s="18">
        <f>E2243* 0.000355555555555556</f>
        <v>0.2332444444</v>
      </c>
    </row>
    <row r="2244" ht="15.75" hidden="1" customHeight="1">
      <c r="A2244" s="15" t="s">
        <v>224</v>
      </c>
      <c r="B2244" s="11" t="s">
        <v>245</v>
      </c>
      <c r="C2244" s="15"/>
      <c r="D2244" s="16" t="s">
        <v>84</v>
      </c>
      <c r="E2244" s="23">
        <v>0.0</v>
      </c>
      <c r="F2244" s="24">
        <f>E2244</f>
        <v>0</v>
      </c>
      <c r="G2244" s="20">
        <v>0.0</v>
      </c>
      <c r="H2244" s="20">
        <v>0.0</v>
      </c>
    </row>
    <row r="2245" ht="15.75" hidden="1" customHeight="1">
      <c r="A2245" s="15" t="s">
        <v>224</v>
      </c>
      <c r="B2245" s="11" t="s">
        <v>245</v>
      </c>
      <c r="C2245" s="15"/>
      <c r="D2245" s="16" t="s">
        <v>12</v>
      </c>
      <c r="E2245" s="23">
        <v>10011.0</v>
      </c>
      <c r="F2245" s="18">
        <f>E2245* 0.802335182557089</f>
        <v>8032.177513</v>
      </c>
      <c r="G2245" s="18">
        <f>E2245* 0.124687137143594</f>
        <v>1248.24293</v>
      </c>
      <c r="H2245" s="18">
        <f>E2245* 0.0729583279576829</f>
        <v>730.3858212</v>
      </c>
    </row>
    <row r="2246" ht="15.75" hidden="1" customHeight="1">
      <c r="A2246" s="15" t="s">
        <v>224</v>
      </c>
      <c r="B2246" s="8"/>
      <c r="C2246" s="8"/>
      <c r="D2246" s="9"/>
      <c r="E2246" s="29"/>
    </row>
    <row r="2247" ht="15.75" hidden="1" customHeight="1">
      <c r="A2247" s="15" t="s">
        <v>224</v>
      </c>
      <c r="B2247" s="11" t="s">
        <v>246</v>
      </c>
      <c r="C2247" s="12" t="str">
        <f>B2247&amp;"_"&amp;A2247</f>
        <v>Moromoro_Santa Cruz</v>
      </c>
      <c r="E2247" s="22">
        <v>25.0</v>
      </c>
      <c r="F2247" s="14">
        <f t="shared" ref="F2247:H2247" si="204">SUM(F2248:F2252)</f>
        <v>17.02640957</v>
      </c>
      <c r="G2247" s="14">
        <f t="shared" si="204"/>
        <v>7.099918421</v>
      </c>
      <c r="H2247" s="14">
        <f t="shared" si="204"/>
        <v>0.8722360024</v>
      </c>
    </row>
    <row r="2248" ht="15.75" hidden="1" customHeight="1">
      <c r="A2248" s="15" t="s">
        <v>224</v>
      </c>
      <c r="B2248" s="11" t="s">
        <v>246</v>
      </c>
      <c r="C2248" s="15"/>
      <c r="D2248" s="16" t="s">
        <v>14</v>
      </c>
      <c r="E2248" s="23">
        <v>0.0</v>
      </c>
      <c r="F2248" s="20">
        <v>0.0</v>
      </c>
      <c r="G2248" s="24">
        <f>E2248</f>
        <v>0</v>
      </c>
      <c r="H2248" s="20">
        <v>0.0</v>
      </c>
    </row>
    <row r="2249" ht="15.75" hidden="1" customHeight="1">
      <c r="A2249" s="15" t="s">
        <v>224</v>
      </c>
      <c r="B2249" s="11" t="s">
        <v>246</v>
      </c>
      <c r="C2249" s="15"/>
      <c r="D2249" s="16" t="s">
        <v>11</v>
      </c>
      <c r="E2249" s="23">
        <v>6.0</v>
      </c>
      <c r="F2249" s="18">
        <f>E2249* 0.083479491676667</f>
        <v>0.5008769501</v>
      </c>
      <c r="G2249" s="18">
        <f>E2249* 0.913505030924029</f>
        <v>5.481030186</v>
      </c>
      <c r="H2249" s="18">
        <f>E2249* 0.00292316686667282</f>
        <v>0.0175390012</v>
      </c>
    </row>
    <row r="2250" ht="15.75" hidden="1" customHeight="1">
      <c r="A2250" s="15" t="s">
        <v>224</v>
      </c>
      <c r="B2250" s="11" t="s">
        <v>246</v>
      </c>
      <c r="C2250" s="15"/>
      <c r="D2250" s="16" t="s">
        <v>17</v>
      </c>
      <c r="E2250" s="23">
        <v>2.0</v>
      </c>
      <c r="F2250" s="18">
        <f>E2250* 0.752045572242362</f>
        <v>1.504091144</v>
      </c>
      <c r="G2250" s="18">
        <f>E2250* 0.185827723114103</f>
        <v>0.3716554462</v>
      </c>
      <c r="H2250" s="18">
        <f>E2250* 0.0620921802175039</f>
        <v>0.1241843604</v>
      </c>
    </row>
    <row r="2251" ht="15.75" hidden="1" customHeight="1">
      <c r="A2251" s="15" t="s">
        <v>224</v>
      </c>
      <c r="B2251" s="11" t="s">
        <v>246</v>
      </c>
      <c r="C2251" s="15"/>
      <c r="D2251" s="16" t="s">
        <v>21</v>
      </c>
      <c r="E2251" s="23">
        <v>7.0</v>
      </c>
      <c r="F2251" s="18">
        <f>E2251* 0.999727092353423</f>
        <v>6.998089646</v>
      </c>
      <c r="G2251" s="18">
        <f>E2251* 0.0000516311763794744</f>
        <v>0.0003614182347</v>
      </c>
      <c r="H2251" s="18">
        <f>E2251* 0.000132765882118648</f>
        <v>0.0009293611748</v>
      </c>
    </row>
    <row r="2252" ht="15.75" hidden="1" customHeight="1">
      <c r="A2252" s="15" t="s">
        <v>224</v>
      </c>
      <c r="B2252" s="11" t="s">
        <v>246</v>
      </c>
      <c r="C2252" s="15"/>
      <c r="D2252" s="16" t="s">
        <v>12</v>
      </c>
      <c r="E2252" s="23">
        <v>10.0</v>
      </c>
      <c r="F2252" s="18">
        <f>E2252* 0.802335182557089</f>
        <v>8.023351826</v>
      </c>
      <c r="G2252" s="18">
        <f>E2252* 0.124687137143594</f>
        <v>1.246871371</v>
      </c>
      <c r="H2252" s="18">
        <f>E2252* 0.0729583279576829</f>
        <v>0.7295832796</v>
      </c>
    </row>
    <row r="2253" ht="15.75" hidden="1" customHeight="1">
      <c r="A2253" s="15" t="s">
        <v>224</v>
      </c>
      <c r="B2253" s="8"/>
      <c r="C2253" s="8"/>
      <c r="D2253" s="9"/>
      <c r="E2253" s="29"/>
    </row>
    <row r="2254" ht="15.75" hidden="1" customHeight="1">
      <c r="A2254" s="15" t="s">
        <v>224</v>
      </c>
      <c r="B2254" s="11" t="s">
        <v>247</v>
      </c>
      <c r="C2254" s="12" t="str">
        <f>B2254&amp;"_"&amp;A2254</f>
        <v>Okinawa_Santa Cruz</v>
      </c>
      <c r="E2254" s="22">
        <v>1106.0</v>
      </c>
      <c r="F2254" s="14">
        <f t="shared" ref="F2254:H2254" si="205">SUM(F2255:F2267)</f>
        <v>915.2305651</v>
      </c>
      <c r="G2254" s="14">
        <f t="shared" si="205"/>
        <v>164.7477154</v>
      </c>
      <c r="H2254" s="14">
        <f t="shared" si="205"/>
        <v>25.95033275</v>
      </c>
    </row>
    <row r="2255" ht="15.75" hidden="1" customHeight="1">
      <c r="A2255" s="15" t="s">
        <v>224</v>
      </c>
      <c r="B2255" s="11" t="s">
        <v>247</v>
      </c>
      <c r="C2255" s="15"/>
      <c r="D2255" s="16" t="s">
        <v>14</v>
      </c>
      <c r="E2255" s="23">
        <v>0.0</v>
      </c>
      <c r="F2255" s="20">
        <v>0.0</v>
      </c>
      <c r="G2255" s="24">
        <f>E2255</f>
        <v>0</v>
      </c>
      <c r="H2255" s="20">
        <v>0.0</v>
      </c>
    </row>
    <row r="2256" ht="15.75" hidden="1" customHeight="1">
      <c r="A2256" s="15" t="s">
        <v>224</v>
      </c>
      <c r="B2256" s="11" t="s">
        <v>247</v>
      </c>
      <c r="C2256" s="15"/>
      <c r="D2256" s="16" t="s">
        <v>15</v>
      </c>
      <c r="E2256" s="23">
        <v>23.0</v>
      </c>
      <c r="F2256" s="18">
        <f>E2256* 0.932303048052446</f>
        <v>21.44297011</v>
      </c>
      <c r="G2256" s="18">
        <f>E2256* 0.0217058280204555</f>
        <v>0.4992340445</v>
      </c>
      <c r="H2256" s="18">
        <f>E2256* 0.0459798598751943</f>
        <v>1.057536777</v>
      </c>
    </row>
    <row r="2257" ht="15.75" hidden="1" customHeight="1">
      <c r="A2257" s="15" t="s">
        <v>224</v>
      </c>
      <c r="B2257" s="11" t="s">
        <v>247</v>
      </c>
      <c r="C2257" s="15"/>
      <c r="D2257" s="16" t="s">
        <v>16</v>
      </c>
      <c r="E2257" s="23">
        <v>1.0</v>
      </c>
      <c r="F2257" s="18">
        <f>E2257* 0.293894936109797</f>
        <v>0.2938949361</v>
      </c>
      <c r="G2257" s="18">
        <f>E2257* 0.663038334122101</f>
        <v>0.6630383341</v>
      </c>
      <c r="H2257" s="18">
        <f>E2257* 0.0430667297681022</f>
        <v>0.04306672977</v>
      </c>
    </row>
    <row r="2258" ht="15.75" hidden="1" customHeight="1">
      <c r="A2258" s="15" t="s">
        <v>224</v>
      </c>
      <c r="B2258" s="11" t="s">
        <v>247</v>
      </c>
      <c r="C2258" s="15"/>
      <c r="D2258" s="16" t="s">
        <v>11</v>
      </c>
      <c r="E2258" s="23">
        <v>110.0</v>
      </c>
      <c r="F2258" s="18">
        <f>E2258* 0.083479491676667</f>
        <v>9.182744084</v>
      </c>
      <c r="G2258" s="18">
        <f>E2258* 0.913505030924029</f>
        <v>100.4855534</v>
      </c>
      <c r="H2258" s="18">
        <f>E2258* 0.00292316686667282</f>
        <v>0.3215483553</v>
      </c>
    </row>
    <row r="2259" ht="15.75" hidden="1" customHeight="1">
      <c r="A2259" s="15" t="s">
        <v>224</v>
      </c>
      <c r="B2259" s="11" t="s">
        <v>247</v>
      </c>
      <c r="C2259" s="15"/>
      <c r="D2259" s="16" t="s">
        <v>17</v>
      </c>
      <c r="E2259" s="23">
        <v>180.0</v>
      </c>
      <c r="F2259" s="18">
        <f>E2259* 0.752045572242362</f>
        <v>135.368203</v>
      </c>
      <c r="G2259" s="18">
        <f>E2259* 0.185827723114103</f>
        <v>33.44899016</v>
      </c>
      <c r="H2259" s="18">
        <f>E2259* 0.0620921802175039</f>
        <v>11.17659244</v>
      </c>
    </row>
    <row r="2260" ht="15.75" hidden="1" customHeight="1">
      <c r="A2260" s="15" t="s">
        <v>224</v>
      </c>
      <c r="B2260" s="11" t="s">
        <v>247</v>
      </c>
      <c r="C2260" s="15"/>
      <c r="D2260" s="16" t="s">
        <v>31</v>
      </c>
      <c r="E2260" s="23">
        <v>2.0</v>
      </c>
      <c r="F2260" s="18">
        <f>E2260* 0.929131175468484</f>
        <v>1.858262351</v>
      </c>
      <c r="G2260" s="18">
        <f>E2260* 0.0477001703577513</f>
        <v>0.09540034072</v>
      </c>
      <c r="H2260" s="18">
        <f>E2260* 0.0231686541737649</f>
        <v>0.04633730835</v>
      </c>
    </row>
    <row r="2261" ht="15.75" hidden="1" customHeight="1">
      <c r="A2261" s="15" t="s">
        <v>224</v>
      </c>
      <c r="B2261" s="11" t="s">
        <v>247</v>
      </c>
      <c r="C2261" s="15"/>
      <c r="D2261" s="16" t="s">
        <v>18</v>
      </c>
      <c r="E2261" s="23">
        <v>28.0</v>
      </c>
      <c r="F2261" s="18">
        <f>E2261* 0.893702527830246</f>
        <v>25.02367078</v>
      </c>
      <c r="G2261" s="18">
        <f>E2261* 0.0946831169875015</f>
        <v>2.651127276</v>
      </c>
      <c r="H2261" s="18">
        <f>E2261* 0.0116143551822529</f>
        <v>0.3252019451</v>
      </c>
    </row>
    <row r="2262" ht="15.75" hidden="1" customHeight="1">
      <c r="A2262" s="15" t="s">
        <v>224</v>
      </c>
      <c r="B2262" s="11" t="s">
        <v>247</v>
      </c>
      <c r="C2262" s="15"/>
      <c r="D2262" s="16" t="s">
        <v>19</v>
      </c>
      <c r="E2262" s="23">
        <v>1.0</v>
      </c>
      <c r="F2262" s="18">
        <f>E2262* 0.0299845873616365</f>
        <v>0.02998458736</v>
      </c>
      <c r="G2262" s="18">
        <f>E2262* 0.96385035729298</f>
        <v>0.9638503573</v>
      </c>
      <c r="H2262" s="18">
        <f>E2262* 0.00616505534538321</f>
        <v>0.006165055345</v>
      </c>
    </row>
    <row r="2263" ht="15.75" hidden="1" customHeight="1">
      <c r="A2263" s="15" t="s">
        <v>224</v>
      </c>
      <c r="B2263" s="11" t="s">
        <v>247</v>
      </c>
      <c r="C2263" s="15"/>
      <c r="D2263" s="16" t="s">
        <v>20</v>
      </c>
      <c r="E2263" s="23">
        <v>3.0</v>
      </c>
      <c r="F2263" s="18">
        <f>E2263* 0.734251968503937</f>
        <v>2.202755906</v>
      </c>
      <c r="G2263" s="18">
        <f>E2263* 0.158017179670723</f>
        <v>0.474051539</v>
      </c>
      <c r="H2263" s="18">
        <f>E2263* 0.107551896921976</f>
        <v>0.3226556908</v>
      </c>
    </row>
    <row r="2264" ht="15.75" hidden="1" customHeight="1">
      <c r="A2264" s="15" t="s">
        <v>224</v>
      </c>
      <c r="B2264" s="11" t="s">
        <v>247</v>
      </c>
      <c r="C2264" s="15"/>
      <c r="D2264" s="16" t="s">
        <v>21</v>
      </c>
      <c r="E2264" s="23">
        <v>575.0</v>
      </c>
      <c r="F2264" s="18">
        <f>E2264* 0.999727092353423</f>
        <v>574.8430781</v>
      </c>
      <c r="G2264" s="18">
        <f>E2264* 0.0000516311763794744</f>
        <v>0.02968792642</v>
      </c>
      <c r="H2264" s="18">
        <f>E2264* 0.000132765882118648</f>
        <v>0.07634038222</v>
      </c>
    </row>
    <row r="2265" ht="15.75" hidden="1" customHeight="1">
      <c r="A2265" s="15" t="s">
        <v>224</v>
      </c>
      <c r="B2265" s="11" t="s">
        <v>247</v>
      </c>
      <c r="C2265" s="15"/>
      <c r="D2265" s="16" t="s">
        <v>36</v>
      </c>
      <c r="E2265" s="23">
        <v>7.0</v>
      </c>
      <c r="F2265" s="18">
        <f>E2265* 0.995894428152493</f>
        <v>6.971260997</v>
      </c>
      <c r="G2265" s="18">
        <f>E2265* 0.000586510263929619</f>
        <v>0.004105571848</v>
      </c>
      <c r="H2265" s="18">
        <f>E2265* 0.00351906158357771</f>
        <v>0.02463343109</v>
      </c>
    </row>
    <row r="2266" ht="15.75" hidden="1" customHeight="1">
      <c r="A2266" s="15" t="s">
        <v>224</v>
      </c>
      <c r="B2266" s="11" t="s">
        <v>247</v>
      </c>
      <c r="C2266" s="15"/>
      <c r="D2266" s="16" t="s">
        <v>28</v>
      </c>
      <c r="E2266" s="23">
        <v>4.0</v>
      </c>
      <c r="F2266" s="18">
        <f>E2266* 0.00302222222222222</f>
        <v>0.01208888889</v>
      </c>
      <c r="G2266" s="18">
        <f>E2266* 0.996622222222222</f>
        <v>3.986488889</v>
      </c>
      <c r="H2266" s="18">
        <f>E2266* 0.000355555555555556</f>
        <v>0.001422222222</v>
      </c>
    </row>
    <row r="2267" ht="15.75" hidden="1" customHeight="1">
      <c r="A2267" s="15" t="s">
        <v>224</v>
      </c>
      <c r="B2267" s="11" t="s">
        <v>247</v>
      </c>
      <c r="C2267" s="15"/>
      <c r="D2267" s="16" t="s">
        <v>12</v>
      </c>
      <c r="E2267" s="23">
        <v>172.0</v>
      </c>
      <c r="F2267" s="18">
        <f>E2267* 0.802335182557089</f>
        <v>138.0016514</v>
      </c>
      <c r="G2267" s="18">
        <f>E2267* 0.124687137143594</f>
        <v>21.44618759</v>
      </c>
      <c r="H2267" s="18">
        <f>E2267* 0.0729583279576829</f>
        <v>12.54883241</v>
      </c>
    </row>
    <row r="2268" ht="15.75" hidden="1" customHeight="1">
      <c r="A2268" s="15" t="s">
        <v>224</v>
      </c>
      <c r="B2268" s="8"/>
      <c r="C2268" s="8"/>
      <c r="D2268" s="9"/>
      <c r="E2268" s="29"/>
    </row>
    <row r="2269" ht="15.75" hidden="1" customHeight="1">
      <c r="A2269" s="15" t="s">
        <v>224</v>
      </c>
      <c r="B2269" s="11" t="s">
        <v>248</v>
      </c>
      <c r="C2269" s="12" t="str">
        <f>B2269&amp;"_"&amp;A2269</f>
        <v>Pailón_Santa Cruz</v>
      </c>
      <c r="E2269" s="22">
        <v>1008.0</v>
      </c>
      <c r="F2269" s="14">
        <f t="shared" ref="F2269:H2269" si="206">SUM(F2270:F2281)</f>
        <v>869.6960101</v>
      </c>
      <c r="G2269" s="14">
        <f t="shared" si="206"/>
        <v>112.4330779</v>
      </c>
      <c r="H2269" s="14">
        <f t="shared" si="206"/>
        <v>25.80742674</v>
      </c>
    </row>
    <row r="2270" ht="15.75" hidden="1" customHeight="1">
      <c r="A2270" s="15" t="s">
        <v>224</v>
      </c>
      <c r="B2270" s="11" t="s">
        <v>248</v>
      </c>
      <c r="C2270" s="15"/>
      <c r="D2270" s="16" t="s">
        <v>14</v>
      </c>
      <c r="E2270" s="23">
        <v>0.0</v>
      </c>
      <c r="F2270" s="20">
        <v>0.0</v>
      </c>
      <c r="G2270" s="24">
        <f>E2270</f>
        <v>0</v>
      </c>
      <c r="H2270" s="20">
        <v>0.0</v>
      </c>
    </row>
    <row r="2271" ht="15.75" hidden="1" customHeight="1">
      <c r="A2271" s="15" t="s">
        <v>224</v>
      </c>
      <c r="B2271" s="11" t="s">
        <v>248</v>
      </c>
      <c r="C2271" s="15"/>
      <c r="D2271" s="16" t="s">
        <v>15</v>
      </c>
      <c r="E2271" s="23">
        <v>61.0</v>
      </c>
      <c r="F2271" s="18">
        <f>E2271* 0.932303048052446</f>
        <v>56.87048593</v>
      </c>
      <c r="G2271" s="18">
        <f>E2271* 0.0217058280204555</f>
        <v>1.324055509</v>
      </c>
      <c r="H2271" s="18">
        <f>E2271* 0.0459798598751943</f>
        <v>2.804771452</v>
      </c>
    </row>
    <row r="2272" ht="15.75" hidden="1" customHeight="1">
      <c r="A2272" s="15" t="s">
        <v>224</v>
      </c>
      <c r="B2272" s="11" t="s">
        <v>248</v>
      </c>
      <c r="C2272" s="15"/>
      <c r="D2272" s="16" t="s">
        <v>16</v>
      </c>
      <c r="E2272" s="23">
        <v>0.0</v>
      </c>
      <c r="F2272" s="18">
        <f>E2272* 0.293894936109797</f>
        <v>0</v>
      </c>
      <c r="G2272" s="18">
        <f>E2272* 0.663038334122101</f>
        <v>0</v>
      </c>
      <c r="H2272" s="18">
        <f>E2272* 0.0430667297681022</f>
        <v>0</v>
      </c>
    </row>
    <row r="2273" ht="15.75" hidden="1" customHeight="1">
      <c r="A2273" s="15" t="s">
        <v>224</v>
      </c>
      <c r="B2273" s="11" t="s">
        <v>248</v>
      </c>
      <c r="C2273" s="15"/>
      <c r="D2273" s="16" t="s">
        <v>11</v>
      </c>
      <c r="E2273" s="23">
        <v>49.0</v>
      </c>
      <c r="F2273" s="18">
        <f>E2273* 0.083479491676667</f>
        <v>4.090495092</v>
      </c>
      <c r="G2273" s="18">
        <f>E2273* 0.913505030924029</f>
        <v>44.76174652</v>
      </c>
      <c r="H2273" s="18">
        <f>E2273* 0.00292316686667282</f>
        <v>0.1432351765</v>
      </c>
    </row>
    <row r="2274" ht="15.75" hidden="1" customHeight="1">
      <c r="A2274" s="15" t="s">
        <v>224</v>
      </c>
      <c r="B2274" s="11" t="s">
        <v>248</v>
      </c>
      <c r="C2274" s="15"/>
      <c r="D2274" s="16" t="s">
        <v>17</v>
      </c>
      <c r="E2274" s="23">
        <v>89.0</v>
      </c>
      <c r="F2274" s="18">
        <f>E2274* 0.752045572242362</f>
        <v>66.93205593</v>
      </c>
      <c r="G2274" s="18">
        <f>E2274* 0.185827723114103</f>
        <v>16.53866736</v>
      </c>
      <c r="H2274" s="18">
        <f>E2274* 0.0620921802175039</f>
        <v>5.526204039</v>
      </c>
    </row>
    <row r="2275" ht="15.75" hidden="1" customHeight="1">
      <c r="A2275" s="15" t="s">
        <v>224</v>
      </c>
      <c r="B2275" s="11" t="s">
        <v>248</v>
      </c>
      <c r="C2275" s="15"/>
      <c r="D2275" s="16" t="s">
        <v>31</v>
      </c>
      <c r="E2275" s="23">
        <v>2.0</v>
      </c>
      <c r="F2275" s="18">
        <f>E2275* 0.929131175468484</f>
        <v>1.858262351</v>
      </c>
      <c r="G2275" s="18">
        <f>E2275* 0.0477001703577513</f>
        <v>0.09540034072</v>
      </c>
      <c r="H2275" s="18">
        <f>E2275* 0.0231686541737649</f>
        <v>0.04633730835</v>
      </c>
    </row>
    <row r="2276" ht="15.75" hidden="1" customHeight="1">
      <c r="A2276" s="15" t="s">
        <v>224</v>
      </c>
      <c r="B2276" s="11" t="s">
        <v>248</v>
      </c>
      <c r="C2276" s="15"/>
      <c r="D2276" s="16" t="s">
        <v>18</v>
      </c>
      <c r="E2276" s="23">
        <v>10.0</v>
      </c>
      <c r="F2276" s="18">
        <f>E2276* 0.893702527830246</f>
        <v>8.937025278</v>
      </c>
      <c r="G2276" s="18">
        <f>E2276* 0.0946831169875015</f>
        <v>0.9468311699</v>
      </c>
      <c r="H2276" s="18">
        <f>E2276* 0.0116143551822529</f>
        <v>0.1161435518</v>
      </c>
    </row>
    <row r="2277" ht="15.75" hidden="1" customHeight="1">
      <c r="A2277" s="15" t="s">
        <v>224</v>
      </c>
      <c r="B2277" s="11" t="s">
        <v>248</v>
      </c>
      <c r="C2277" s="15"/>
      <c r="D2277" s="16" t="s">
        <v>20</v>
      </c>
      <c r="E2277" s="23">
        <v>15.0</v>
      </c>
      <c r="F2277" s="18">
        <f>E2277* 0.734251968503937</f>
        <v>11.01377953</v>
      </c>
      <c r="G2277" s="18">
        <f>E2277* 0.158017179670723</f>
        <v>2.370257695</v>
      </c>
      <c r="H2277" s="18">
        <f>E2277* 0.107551896921976</f>
        <v>1.613278454</v>
      </c>
    </row>
    <row r="2278" ht="15.75" hidden="1" customHeight="1">
      <c r="A2278" s="15" t="s">
        <v>224</v>
      </c>
      <c r="B2278" s="11" t="s">
        <v>248</v>
      </c>
      <c r="C2278" s="15"/>
      <c r="D2278" s="16" t="s">
        <v>21</v>
      </c>
      <c r="E2278" s="23">
        <v>547.0</v>
      </c>
      <c r="F2278" s="18">
        <f>E2278* 0.999727092353423</f>
        <v>546.8507195</v>
      </c>
      <c r="G2278" s="18">
        <f>E2278* 0.0000516311763794744</f>
        <v>0.02824225348</v>
      </c>
      <c r="H2278" s="18">
        <f>E2278* 0.000132765882118648</f>
        <v>0.07262293752</v>
      </c>
    </row>
    <row r="2279" ht="15.75" hidden="1" customHeight="1">
      <c r="A2279" s="15" t="s">
        <v>224</v>
      </c>
      <c r="B2279" s="11" t="s">
        <v>248</v>
      </c>
      <c r="C2279" s="15"/>
      <c r="D2279" s="16" t="s">
        <v>36</v>
      </c>
      <c r="E2279" s="23">
        <v>3.0</v>
      </c>
      <c r="F2279" s="18">
        <f>E2279* 0.995894428152493</f>
        <v>2.987683284</v>
      </c>
      <c r="G2279" s="18">
        <f>E2279* 0.000586510263929619</f>
        <v>0.001759530792</v>
      </c>
      <c r="H2279" s="18">
        <f>E2279* 0.00351906158357771</f>
        <v>0.01055718475</v>
      </c>
    </row>
    <row r="2280" ht="15.75" hidden="1" customHeight="1">
      <c r="A2280" s="15" t="s">
        <v>224</v>
      </c>
      <c r="B2280" s="11" t="s">
        <v>248</v>
      </c>
      <c r="C2280" s="15"/>
      <c r="D2280" s="16" t="s">
        <v>28</v>
      </c>
      <c r="E2280" s="23">
        <v>20.0</v>
      </c>
      <c r="F2280" s="18">
        <f>E2280* 0.00302222222222222</f>
        <v>0.06044444444</v>
      </c>
      <c r="G2280" s="18">
        <f>E2280* 0.996622222222222</f>
        <v>19.93244444</v>
      </c>
      <c r="H2280" s="18">
        <f>E2280* 0.000355555555555556</f>
        <v>0.007111111111</v>
      </c>
    </row>
    <row r="2281" ht="15.75" hidden="1" customHeight="1">
      <c r="A2281" s="15" t="s">
        <v>224</v>
      </c>
      <c r="B2281" s="11" t="s">
        <v>248</v>
      </c>
      <c r="C2281" s="15"/>
      <c r="D2281" s="16" t="s">
        <v>12</v>
      </c>
      <c r="E2281" s="23">
        <v>212.0</v>
      </c>
      <c r="F2281" s="18">
        <f>E2281* 0.802335182557089</f>
        <v>170.0950587</v>
      </c>
      <c r="G2281" s="18">
        <f>E2281* 0.124687137143594</f>
        <v>26.43367307</v>
      </c>
      <c r="H2281" s="18">
        <f>E2281* 0.0729583279576829</f>
        <v>15.46716553</v>
      </c>
    </row>
    <row r="2282" ht="15.75" hidden="1" customHeight="1">
      <c r="A2282" s="15" t="s">
        <v>224</v>
      </c>
      <c r="B2282" s="8"/>
      <c r="C2282" s="8"/>
      <c r="D2282" s="9"/>
      <c r="E2282" s="29"/>
    </row>
    <row r="2283" ht="15.75" hidden="1" customHeight="1">
      <c r="A2283" s="15" t="s">
        <v>224</v>
      </c>
      <c r="B2283" s="11" t="s">
        <v>249</v>
      </c>
      <c r="C2283" s="12" t="str">
        <f>B2283&amp;"_"&amp;A2283</f>
        <v>Pampa Grande_Santa Cruz</v>
      </c>
      <c r="E2283" s="22">
        <v>6.0</v>
      </c>
      <c r="F2283" s="18">
        <f t="shared" ref="F2283:H2283" si="207">SUM(F2284:F2292)</f>
        <v>3.467667059</v>
      </c>
      <c r="G2283" s="18">
        <f t="shared" si="207"/>
        <v>2.29575459</v>
      </c>
      <c r="H2283" s="18">
        <f t="shared" si="207"/>
        <v>0.2363356728</v>
      </c>
    </row>
    <row r="2284" ht="15.75" hidden="1" customHeight="1">
      <c r="A2284" s="15" t="s">
        <v>224</v>
      </c>
      <c r="B2284" s="11" t="s">
        <v>249</v>
      </c>
      <c r="C2284" s="15"/>
      <c r="D2284" s="16" t="s">
        <v>14</v>
      </c>
      <c r="E2284" s="40"/>
      <c r="F2284" s="20">
        <v>0.0</v>
      </c>
      <c r="G2284" s="24" t="str">
        <f>E2284</f>
        <v/>
      </c>
      <c r="H2284" s="20">
        <v>0.0</v>
      </c>
    </row>
    <row r="2285" ht="15.75" hidden="1" customHeight="1">
      <c r="A2285" s="15" t="s">
        <v>224</v>
      </c>
      <c r="B2285" s="11" t="s">
        <v>249</v>
      </c>
      <c r="C2285" s="15"/>
      <c r="D2285" s="16" t="s">
        <v>15</v>
      </c>
      <c r="E2285" s="23">
        <v>0.0</v>
      </c>
      <c r="F2285" s="18">
        <f>E2285* 0.932303048052446</f>
        <v>0</v>
      </c>
      <c r="G2285" s="18">
        <f>E2285* 0.0217058280204555</f>
        <v>0</v>
      </c>
      <c r="H2285" s="18">
        <f>E2285* 0.0459798598751943</f>
        <v>0</v>
      </c>
    </row>
    <row r="2286" ht="15.75" hidden="1" customHeight="1">
      <c r="A2286" s="15" t="s">
        <v>224</v>
      </c>
      <c r="B2286" s="11" t="s">
        <v>249</v>
      </c>
      <c r="C2286" s="15"/>
      <c r="D2286" s="16" t="s">
        <v>11</v>
      </c>
      <c r="E2286" s="23">
        <v>2.0</v>
      </c>
      <c r="F2286" s="18">
        <f>E2286* 0.083479491676667</f>
        <v>0.1669589834</v>
      </c>
      <c r="G2286" s="18">
        <f>E2286* 0.913505030924029</f>
        <v>1.827010062</v>
      </c>
      <c r="H2286" s="18">
        <f>E2286* 0.00292316686667282</f>
        <v>0.005846333733</v>
      </c>
    </row>
    <row r="2287" ht="15.75" hidden="1" customHeight="1">
      <c r="A2287" s="15" t="s">
        <v>224</v>
      </c>
      <c r="B2287" s="11" t="s">
        <v>249</v>
      </c>
      <c r="C2287" s="15"/>
      <c r="D2287" s="16" t="s">
        <v>17</v>
      </c>
      <c r="E2287" s="23">
        <v>0.0</v>
      </c>
      <c r="F2287" s="18">
        <f>E2287* 0.752045572242362</f>
        <v>0</v>
      </c>
      <c r="G2287" s="18">
        <f>E2287* 0.185827723114103</f>
        <v>0</v>
      </c>
      <c r="H2287" s="18">
        <f>E2287* 0.0620921802175039</f>
        <v>0</v>
      </c>
    </row>
    <row r="2288" ht="15.75" hidden="1" customHeight="1">
      <c r="A2288" s="15" t="s">
        <v>224</v>
      </c>
      <c r="B2288" s="11" t="s">
        <v>249</v>
      </c>
      <c r="C2288" s="15"/>
      <c r="D2288" s="16" t="s">
        <v>18</v>
      </c>
      <c r="E2288" s="23">
        <v>1.0</v>
      </c>
      <c r="F2288" s="18">
        <f>E2288* 0.893702527830246</f>
        <v>0.8937025278</v>
      </c>
      <c r="G2288" s="18">
        <f>E2288* 0.0946831169875015</f>
        <v>0.09468311699</v>
      </c>
      <c r="H2288" s="18">
        <f>E2288* 0.0116143551822529</f>
        <v>0.01161435518</v>
      </c>
    </row>
    <row r="2289" ht="15.75" hidden="1" customHeight="1">
      <c r="A2289" s="15" t="s">
        <v>224</v>
      </c>
      <c r="B2289" s="11" t="s">
        <v>249</v>
      </c>
      <c r="C2289" s="15"/>
      <c r="D2289" s="16" t="s">
        <v>35</v>
      </c>
      <c r="E2289" s="23">
        <v>0.0</v>
      </c>
      <c r="F2289" s="20">
        <v>0.0</v>
      </c>
      <c r="G2289" s="24">
        <f>E2289</f>
        <v>0</v>
      </c>
      <c r="H2289" s="20">
        <v>0.0</v>
      </c>
    </row>
    <row r="2290" ht="15.75" hidden="1" customHeight="1">
      <c r="A2290" s="15" t="s">
        <v>224</v>
      </c>
      <c r="B2290" s="11" t="s">
        <v>249</v>
      </c>
      <c r="C2290" s="15"/>
      <c r="D2290" s="16" t="s">
        <v>20</v>
      </c>
      <c r="E2290" s="23">
        <v>0.0</v>
      </c>
      <c r="F2290" s="18">
        <f>E2290* 0.734251968503937</f>
        <v>0</v>
      </c>
      <c r="G2290" s="18">
        <f>E2290* 0.158017179670723</f>
        <v>0</v>
      </c>
      <c r="H2290" s="18">
        <f>E2290* 0.107551896921976</f>
        <v>0</v>
      </c>
    </row>
    <row r="2291" ht="15.75" hidden="1" customHeight="1">
      <c r="A2291" s="15" t="s">
        <v>224</v>
      </c>
      <c r="B2291" s="11" t="s">
        <v>249</v>
      </c>
      <c r="C2291" s="15"/>
      <c r="D2291" s="16" t="s">
        <v>21</v>
      </c>
      <c r="E2291" s="23">
        <v>0.0</v>
      </c>
      <c r="F2291" s="18">
        <f>E2291* 0.999727092353423</f>
        <v>0</v>
      </c>
      <c r="G2291" s="18">
        <f>E2291* 0.0000516311763794744</f>
        <v>0</v>
      </c>
      <c r="H2291" s="18">
        <f>E2291* 0.000132765882118648</f>
        <v>0</v>
      </c>
    </row>
    <row r="2292" ht="15.75" hidden="1" customHeight="1">
      <c r="A2292" s="15" t="s">
        <v>224</v>
      </c>
      <c r="B2292" s="11" t="s">
        <v>249</v>
      </c>
      <c r="C2292" s="15"/>
      <c r="D2292" s="16" t="s">
        <v>12</v>
      </c>
      <c r="E2292" s="23">
        <v>3.0</v>
      </c>
      <c r="F2292" s="18">
        <f>E2292* 0.802335182557089</f>
        <v>2.407005548</v>
      </c>
      <c r="G2292" s="18">
        <f>E2292* 0.124687137143594</f>
        <v>0.3740614114</v>
      </c>
      <c r="H2292" s="18">
        <f>E2292* 0.0729583279576829</f>
        <v>0.2188749839</v>
      </c>
    </row>
    <row r="2293" ht="15.75" hidden="1" customHeight="1">
      <c r="A2293" s="15" t="s">
        <v>224</v>
      </c>
      <c r="B2293" s="8"/>
      <c r="C2293" s="8"/>
      <c r="D2293" s="9"/>
      <c r="E2293" s="29"/>
    </row>
    <row r="2294" ht="15.75" hidden="1" customHeight="1">
      <c r="A2294" s="15" t="s">
        <v>224</v>
      </c>
      <c r="B2294" s="11" t="s">
        <v>250</v>
      </c>
      <c r="C2294" s="12" t="str">
        <f>B2294&amp;"_"&amp;A2294</f>
        <v>Porongo (Ayacucho)_Santa Cruz</v>
      </c>
      <c r="E2294" s="22">
        <v>215.0</v>
      </c>
      <c r="F2294" s="14">
        <f t="shared" ref="F2294:H2294" si="208">SUM(F2295:F2308)</f>
        <v>168.2830754</v>
      </c>
      <c r="G2294" s="14">
        <f t="shared" si="208"/>
        <v>38.20341141</v>
      </c>
      <c r="H2294" s="14">
        <f t="shared" si="208"/>
        <v>8.504740752</v>
      </c>
    </row>
    <row r="2295" ht="15.75" hidden="1" customHeight="1">
      <c r="A2295" s="15" t="s">
        <v>224</v>
      </c>
      <c r="B2295" s="11" t="s">
        <v>250</v>
      </c>
      <c r="C2295" s="15"/>
      <c r="D2295" s="16" t="s">
        <v>14</v>
      </c>
      <c r="E2295" s="23">
        <v>0.0</v>
      </c>
      <c r="F2295" s="20">
        <v>0.0</v>
      </c>
      <c r="G2295" s="24">
        <f>E2295</f>
        <v>0</v>
      </c>
      <c r="H2295" s="20">
        <v>0.0</v>
      </c>
    </row>
    <row r="2296" ht="15.75" hidden="1" customHeight="1">
      <c r="A2296" s="15" t="s">
        <v>224</v>
      </c>
      <c r="B2296" s="11" t="s">
        <v>250</v>
      </c>
      <c r="C2296" s="15"/>
      <c r="D2296" s="16" t="s">
        <v>15</v>
      </c>
      <c r="E2296" s="23">
        <v>35.0</v>
      </c>
      <c r="F2296" s="18">
        <f>E2296* 0.932303048052446</f>
        <v>32.63060668</v>
      </c>
      <c r="G2296" s="18">
        <f>E2296* 0.0217058280204555</f>
        <v>0.7597039807</v>
      </c>
      <c r="H2296" s="18">
        <f>E2296* 0.0459798598751943</f>
        <v>1.609295096</v>
      </c>
    </row>
    <row r="2297" ht="15.75" hidden="1" customHeight="1">
      <c r="A2297" s="15" t="s">
        <v>224</v>
      </c>
      <c r="B2297" s="11" t="s">
        <v>250</v>
      </c>
      <c r="C2297" s="15"/>
      <c r="D2297" s="16" t="s">
        <v>16</v>
      </c>
      <c r="E2297" s="23">
        <v>2.0</v>
      </c>
      <c r="F2297" s="18">
        <f>E2297* 0.293894936109797</f>
        <v>0.5877898722</v>
      </c>
      <c r="G2297" s="18">
        <f>E2297* 0.663038334122101</f>
        <v>1.326076668</v>
      </c>
      <c r="H2297" s="18">
        <f>E2297* 0.0430667297681022</f>
        <v>0.08613345954</v>
      </c>
    </row>
    <row r="2298" ht="15.75" hidden="1" customHeight="1">
      <c r="A2298" s="15" t="s">
        <v>224</v>
      </c>
      <c r="B2298" s="11" t="s">
        <v>250</v>
      </c>
      <c r="C2298" s="15"/>
      <c r="D2298" s="16" t="s">
        <v>11</v>
      </c>
      <c r="E2298" s="23">
        <v>16.0</v>
      </c>
      <c r="F2298" s="18">
        <f>E2298* 0.083479491676667</f>
        <v>1.335671867</v>
      </c>
      <c r="G2298" s="18">
        <f>E2298* 0.913505030924029</f>
        <v>14.61608049</v>
      </c>
      <c r="H2298" s="18">
        <f>E2298* 0.00292316686667282</f>
        <v>0.04677066987</v>
      </c>
    </row>
    <row r="2299" ht="15.75" hidden="1" customHeight="1">
      <c r="A2299" s="15" t="s">
        <v>224</v>
      </c>
      <c r="B2299" s="11" t="s">
        <v>250</v>
      </c>
      <c r="C2299" s="15"/>
      <c r="D2299" s="16" t="s">
        <v>17</v>
      </c>
      <c r="E2299" s="23">
        <v>50.0</v>
      </c>
      <c r="F2299" s="18">
        <f>E2299* 0.752045572242362</f>
        <v>37.60227861</v>
      </c>
      <c r="G2299" s="18">
        <f>E2299* 0.185827723114103</f>
        <v>9.291386156</v>
      </c>
      <c r="H2299" s="18">
        <f>E2299* 0.0620921802175039</f>
        <v>3.104609011</v>
      </c>
    </row>
    <row r="2300" ht="15.75" hidden="1" customHeight="1">
      <c r="A2300" s="15" t="s">
        <v>224</v>
      </c>
      <c r="B2300" s="11" t="s">
        <v>250</v>
      </c>
      <c r="C2300" s="15"/>
      <c r="D2300" s="16" t="s">
        <v>31</v>
      </c>
      <c r="E2300" s="23">
        <v>0.0</v>
      </c>
      <c r="F2300" s="18">
        <f>E2300* 0.929131175468484</f>
        <v>0</v>
      </c>
      <c r="G2300" s="18">
        <f>E2300* 0.0477001703577513</f>
        <v>0</v>
      </c>
      <c r="H2300" s="18">
        <f>E2300* 0.0231686541737649</f>
        <v>0</v>
      </c>
    </row>
    <row r="2301" ht="15.75" hidden="1" customHeight="1">
      <c r="A2301" s="15" t="s">
        <v>224</v>
      </c>
      <c r="B2301" s="11" t="s">
        <v>250</v>
      </c>
      <c r="C2301" s="15"/>
      <c r="D2301" s="16" t="s">
        <v>18</v>
      </c>
      <c r="E2301" s="23">
        <v>15.0</v>
      </c>
      <c r="F2301" s="18">
        <f>E2301* 0.893702527830246</f>
        <v>13.40553792</v>
      </c>
      <c r="G2301" s="18">
        <f>E2301* 0.0946831169875015</f>
        <v>1.420246755</v>
      </c>
      <c r="H2301" s="18">
        <f>E2301* 0.0116143551822529</f>
        <v>0.1742153277</v>
      </c>
    </row>
    <row r="2302" ht="15.75" hidden="1" customHeight="1">
      <c r="A2302" s="15" t="s">
        <v>224</v>
      </c>
      <c r="B2302" s="11" t="s">
        <v>250</v>
      </c>
      <c r="C2302" s="15"/>
      <c r="D2302" s="16" t="s">
        <v>19</v>
      </c>
      <c r="E2302" s="23">
        <v>1.0</v>
      </c>
      <c r="F2302" s="18">
        <f>E2302* 0.0299845873616365</f>
        <v>0.02998458736</v>
      </c>
      <c r="G2302" s="18">
        <f>E2302* 0.96385035729298</f>
        <v>0.9638503573</v>
      </c>
      <c r="H2302" s="18">
        <f>E2302* 0.00616505534538321</f>
        <v>0.006165055345</v>
      </c>
    </row>
    <row r="2303" ht="15.75" hidden="1" customHeight="1">
      <c r="A2303" s="15" t="s">
        <v>224</v>
      </c>
      <c r="B2303" s="11" t="s">
        <v>250</v>
      </c>
      <c r="C2303" s="15"/>
      <c r="D2303" s="16" t="s">
        <v>20</v>
      </c>
      <c r="E2303" s="23">
        <v>3.0</v>
      </c>
      <c r="F2303" s="18">
        <f>E2303* 0.734251968503937</f>
        <v>2.202755906</v>
      </c>
      <c r="G2303" s="18">
        <f>E2303* 0.158017179670723</f>
        <v>0.474051539</v>
      </c>
      <c r="H2303" s="18">
        <f>E2303* 0.107551896921976</f>
        <v>0.3226556908</v>
      </c>
    </row>
    <row r="2304" ht="15.75" hidden="1" customHeight="1">
      <c r="A2304" s="15" t="s">
        <v>224</v>
      </c>
      <c r="B2304" s="11" t="s">
        <v>250</v>
      </c>
      <c r="C2304" s="15"/>
      <c r="D2304" s="16" t="s">
        <v>21</v>
      </c>
      <c r="E2304" s="23">
        <v>43.0</v>
      </c>
      <c r="F2304" s="18">
        <f>E2304* 0.999727092353423</f>
        <v>42.98826497</v>
      </c>
      <c r="G2304" s="18">
        <f>E2304* 0.0000516311763794744</f>
        <v>0.002220140584</v>
      </c>
      <c r="H2304" s="18">
        <f>E2304* 0.000132765882118648</f>
        <v>0.005708932931</v>
      </c>
    </row>
    <row r="2305" ht="15.75" hidden="1" customHeight="1">
      <c r="A2305" s="15" t="s">
        <v>224</v>
      </c>
      <c r="B2305" s="11" t="s">
        <v>250</v>
      </c>
      <c r="C2305" s="15"/>
      <c r="D2305" s="16" t="s">
        <v>36</v>
      </c>
      <c r="E2305" s="23">
        <v>3.0</v>
      </c>
      <c r="F2305" s="18">
        <f>E2305* 0.995894428152493</f>
        <v>2.987683284</v>
      </c>
      <c r="G2305" s="18">
        <f>E2305* 0.000586510263929619</f>
        <v>0.001759530792</v>
      </c>
      <c r="H2305" s="18">
        <f>E2305* 0.00351906158357771</f>
        <v>0.01055718475</v>
      </c>
    </row>
    <row r="2306" ht="15.75" hidden="1" customHeight="1">
      <c r="A2306" s="15" t="s">
        <v>224</v>
      </c>
      <c r="B2306" s="11" t="s">
        <v>250</v>
      </c>
      <c r="C2306" s="15"/>
      <c r="D2306" s="16" t="s">
        <v>28</v>
      </c>
      <c r="E2306" s="23">
        <v>4.0</v>
      </c>
      <c r="F2306" s="18">
        <f>E2306* 0.00302222222222222</f>
        <v>0.01208888889</v>
      </c>
      <c r="G2306" s="18">
        <f>E2306* 0.996622222222222</f>
        <v>3.986488889</v>
      </c>
      <c r="H2306" s="18">
        <f>E2306* 0.000355555555555556</f>
        <v>0.001422222222</v>
      </c>
    </row>
    <row r="2307" ht="15.75" hidden="1" customHeight="1">
      <c r="A2307" s="15" t="s">
        <v>224</v>
      </c>
      <c r="B2307" s="11" t="s">
        <v>250</v>
      </c>
      <c r="C2307" s="15"/>
      <c r="D2307" s="16" t="s">
        <v>84</v>
      </c>
      <c r="E2307" s="23">
        <v>0.0</v>
      </c>
      <c r="F2307" s="24">
        <f>E2307</f>
        <v>0</v>
      </c>
      <c r="G2307" s="20">
        <v>0.0</v>
      </c>
      <c r="H2307" s="20">
        <v>0.0</v>
      </c>
    </row>
    <row r="2308" ht="15.75" hidden="1" customHeight="1">
      <c r="A2308" s="15" t="s">
        <v>224</v>
      </c>
      <c r="B2308" s="11" t="s">
        <v>250</v>
      </c>
      <c r="C2308" s="15"/>
      <c r="D2308" s="16" t="s">
        <v>12</v>
      </c>
      <c r="E2308" s="23">
        <v>43.0</v>
      </c>
      <c r="F2308" s="18">
        <f>E2308* 0.802335182557089</f>
        <v>34.50041285</v>
      </c>
      <c r="G2308" s="18">
        <f>E2308* 0.124687137143594</f>
        <v>5.361546897</v>
      </c>
      <c r="H2308" s="18">
        <f>E2308* 0.0729583279576829</f>
        <v>3.137208102</v>
      </c>
    </row>
    <row r="2309" ht="15.75" hidden="1" customHeight="1">
      <c r="A2309" s="15" t="s">
        <v>224</v>
      </c>
      <c r="B2309" s="8"/>
      <c r="C2309" s="8"/>
      <c r="D2309" s="9"/>
      <c r="E2309" s="29"/>
    </row>
    <row r="2310" ht="15.75" hidden="1" customHeight="1">
      <c r="A2310" s="15" t="s">
        <v>224</v>
      </c>
      <c r="B2310" s="11" t="s">
        <v>251</v>
      </c>
      <c r="C2310" s="12" t="str">
        <f>B2310&amp;"_"&amp;A2310</f>
        <v>Portachuelo_Santa Cruz</v>
      </c>
      <c r="E2310" s="22">
        <v>5478.0</v>
      </c>
      <c r="F2310" s="14">
        <f t="shared" ref="F2310:H2310" si="209">SUM(F2311:F2324)</f>
        <v>4597.620761</v>
      </c>
      <c r="G2310" s="14">
        <f t="shared" si="209"/>
        <v>710.0578201</v>
      </c>
      <c r="H2310" s="14">
        <f t="shared" si="209"/>
        <v>170.0330716</v>
      </c>
    </row>
    <row r="2311" ht="15.75" hidden="1" customHeight="1">
      <c r="A2311" s="15" t="s">
        <v>224</v>
      </c>
      <c r="B2311" s="11" t="s">
        <v>251</v>
      </c>
      <c r="C2311" s="15"/>
      <c r="D2311" s="16" t="s">
        <v>14</v>
      </c>
      <c r="E2311" s="23">
        <v>0.0</v>
      </c>
      <c r="F2311" s="20">
        <v>0.0</v>
      </c>
      <c r="G2311" s="24">
        <f>E2311</f>
        <v>0</v>
      </c>
      <c r="H2311" s="20">
        <v>0.0</v>
      </c>
    </row>
    <row r="2312" ht="15.75" hidden="1" customHeight="1">
      <c r="A2312" s="15" t="s">
        <v>224</v>
      </c>
      <c r="B2312" s="11" t="s">
        <v>251</v>
      </c>
      <c r="C2312" s="15"/>
      <c r="D2312" s="16" t="s">
        <v>15</v>
      </c>
      <c r="E2312" s="23">
        <v>646.0</v>
      </c>
      <c r="F2312" s="18">
        <f>E2312* 0.932303048052446</f>
        <v>602.267769</v>
      </c>
      <c r="G2312" s="18">
        <f>E2312* 0.0217058280204555</f>
        <v>14.0219649</v>
      </c>
      <c r="H2312" s="18">
        <f>E2312* 0.0459798598751943</f>
        <v>29.70298948</v>
      </c>
    </row>
    <row r="2313" ht="15.75" hidden="1" customHeight="1">
      <c r="A2313" s="15" t="s">
        <v>224</v>
      </c>
      <c r="B2313" s="11" t="s">
        <v>251</v>
      </c>
      <c r="C2313" s="15"/>
      <c r="D2313" s="16" t="s">
        <v>16</v>
      </c>
      <c r="E2313" s="23">
        <v>13.0</v>
      </c>
      <c r="F2313" s="18">
        <f>E2313* 0.293894936109797</f>
        <v>3.820634169</v>
      </c>
      <c r="G2313" s="18">
        <f>E2313* 0.663038334122101</f>
        <v>8.619498344</v>
      </c>
      <c r="H2313" s="18">
        <f>E2313* 0.0430667297681022</f>
        <v>0.559867487</v>
      </c>
    </row>
    <row r="2314" ht="15.75" hidden="1" customHeight="1">
      <c r="A2314" s="15" t="s">
        <v>224</v>
      </c>
      <c r="B2314" s="11" t="s">
        <v>251</v>
      </c>
      <c r="C2314" s="15"/>
      <c r="D2314" s="16" t="s">
        <v>11</v>
      </c>
      <c r="E2314" s="23">
        <v>306.0</v>
      </c>
      <c r="F2314" s="18">
        <f>E2314* 0.083479491676667</f>
        <v>25.54472445</v>
      </c>
      <c r="G2314" s="18">
        <f>E2314* 0.913505030924029</f>
        <v>279.5325395</v>
      </c>
      <c r="H2314" s="18">
        <f>E2314* 0.00292316686667282</f>
        <v>0.8944890612</v>
      </c>
    </row>
    <row r="2315" ht="15.75" hidden="1" customHeight="1">
      <c r="A2315" s="15" t="s">
        <v>224</v>
      </c>
      <c r="B2315" s="11" t="s">
        <v>251</v>
      </c>
      <c r="C2315" s="15"/>
      <c r="D2315" s="16" t="s">
        <v>17</v>
      </c>
      <c r="E2315" s="23">
        <v>573.0</v>
      </c>
      <c r="F2315" s="18">
        <f>E2315* 0.752045572242362</f>
        <v>430.9221129</v>
      </c>
      <c r="G2315" s="18">
        <f>E2315* 0.185827723114103</f>
        <v>106.4792853</v>
      </c>
      <c r="H2315" s="18">
        <f>E2315* 0.0620921802175039</f>
        <v>35.57881926</v>
      </c>
    </row>
    <row r="2316" ht="15.75" hidden="1" customHeight="1">
      <c r="A2316" s="15" t="s">
        <v>224</v>
      </c>
      <c r="B2316" s="11" t="s">
        <v>251</v>
      </c>
      <c r="C2316" s="15"/>
      <c r="D2316" s="16" t="s">
        <v>31</v>
      </c>
      <c r="E2316" s="23">
        <v>44.0</v>
      </c>
      <c r="F2316" s="18">
        <f>E2316* 0.929131175468484</f>
        <v>40.88177172</v>
      </c>
      <c r="G2316" s="18">
        <f>E2316* 0.0477001703577513</f>
        <v>2.098807496</v>
      </c>
      <c r="H2316" s="18">
        <f>E2316* 0.0231686541737649</f>
        <v>1.019420784</v>
      </c>
    </row>
    <row r="2317" ht="15.75" hidden="1" customHeight="1">
      <c r="A2317" s="15" t="s">
        <v>224</v>
      </c>
      <c r="B2317" s="11" t="s">
        <v>251</v>
      </c>
      <c r="C2317" s="15"/>
      <c r="D2317" s="16" t="s">
        <v>18</v>
      </c>
      <c r="E2317" s="23">
        <v>187.0</v>
      </c>
      <c r="F2317" s="18">
        <f>E2317* 0.893702527830246</f>
        <v>167.1223727</v>
      </c>
      <c r="G2317" s="18">
        <f>E2317* 0.0946831169875015</f>
        <v>17.70574288</v>
      </c>
      <c r="H2317" s="18">
        <f>E2317* 0.0116143551822529</f>
        <v>2.171884419</v>
      </c>
    </row>
    <row r="2318" ht="15.75" hidden="1" customHeight="1">
      <c r="A2318" s="15" t="s">
        <v>224</v>
      </c>
      <c r="B2318" s="11" t="s">
        <v>251</v>
      </c>
      <c r="C2318" s="15"/>
      <c r="D2318" s="16" t="s">
        <v>19</v>
      </c>
      <c r="E2318" s="23">
        <v>24.0</v>
      </c>
      <c r="F2318" s="18">
        <f>E2318* 0.0299845873616365</f>
        <v>0.7196300967</v>
      </c>
      <c r="G2318" s="18">
        <f>E2318* 0.96385035729298</f>
        <v>23.13240858</v>
      </c>
      <c r="H2318" s="18">
        <f>E2318* 0.00616505534538321</f>
        <v>0.1479613283</v>
      </c>
    </row>
    <row r="2319" ht="15.75" hidden="1" customHeight="1">
      <c r="A2319" s="15" t="s">
        <v>224</v>
      </c>
      <c r="B2319" s="11" t="s">
        <v>251</v>
      </c>
      <c r="C2319" s="15"/>
      <c r="D2319" s="16" t="s">
        <v>20</v>
      </c>
      <c r="E2319" s="23">
        <v>58.0</v>
      </c>
      <c r="F2319" s="18">
        <f>E2319* 0.734251968503937</f>
        <v>42.58661417</v>
      </c>
      <c r="G2319" s="18">
        <f>E2319* 0.158017179670723</f>
        <v>9.164996421</v>
      </c>
      <c r="H2319" s="18">
        <f>E2319* 0.107551896921976</f>
        <v>6.238010021</v>
      </c>
    </row>
    <row r="2320" ht="15.75" hidden="1" customHeight="1">
      <c r="A2320" s="15" t="s">
        <v>224</v>
      </c>
      <c r="B2320" s="11" t="s">
        <v>251</v>
      </c>
      <c r="C2320" s="15"/>
      <c r="D2320" s="16" t="s">
        <v>21</v>
      </c>
      <c r="E2320" s="23">
        <v>2236.0</v>
      </c>
      <c r="F2320" s="18">
        <f>E2320* 0.999727092353423</f>
        <v>2235.389779</v>
      </c>
      <c r="G2320" s="18">
        <f>E2320* 0.0000516311763794744</f>
        <v>0.1154473104</v>
      </c>
      <c r="H2320" s="18">
        <f>E2320* 0.000132765882118648</f>
        <v>0.2968645124</v>
      </c>
    </row>
    <row r="2321" ht="15.75" hidden="1" customHeight="1">
      <c r="A2321" s="15" t="s">
        <v>224</v>
      </c>
      <c r="B2321" s="11" t="s">
        <v>251</v>
      </c>
      <c r="C2321" s="15"/>
      <c r="D2321" s="16" t="s">
        <v>36</v>
      </c>
      <c r="E2321" s="23">
        <v>22.0</v>
      </c>
      <c r="F2321" s="18">
        <f>E2321* 0.995894428152493</f>
        <v>21.90967742</v>
      </c>
      <c r="G2321" s="18">
        <f>E2321* 0.000586510263929619</f>
        <v>0.01290322581</v>
      </c>
      <c r="H2321" s="18">
        <f>E2321* 0.00351906158357771</f>
        <v>0.07741935484</v>
      </c>
    </row>
    <row r="2322" ht="15.75" hidden="1" customHeight="1">
      <c r="A2322" s="15" t="s">
        <v>224</v>
      </c>
      <c r="B2322" s="11" t="s">
        <v>251</v>
      </c>
      <c r="C2322" s="15"/>
      <c r="D2322" s="16" t="s">
        <v>37</v>
      </c>
      <c r="E2322" s="23">
        <v>1.0</v>
      </c>
      <c r="F2322" s="20">
        <v>0.0</v>
      </c>
      <c r="G2322" s="24">
        <f>E2322</f>
        <v>1</v>
      </c>
      <c r="H2322" s="20">
        <v>0.0</v>
      </c>
    </row>
    <row r="2323" ht="15.75" hidden="1" customHeight="1">
      <c r="A2323" s="15" t="s">
        <v>224</v>
      </c>
      <c r="B2323" s="11" t="s">
        <v>251</v>
      </c>
      <c r="C2323" s="15"/>
      <c r="D2323" s="16" t="s">
        <v>28</v>
      </c>
      <c r="E2323" s="23">
        <v>89.0</v>
      </c>
      <c r="F2323" s="18">
        <f>E2323* 0.00302222222222222</f>
        <v>0.2689777778</v>
      </c>
      <c r="G2323" s="18">
        <f>E2323* 0.996622222222222</f>
        <v>88.69937778</v>
      </c>
      <c r="H2323" s="18">
        <f>E2323* 0.000355555555555556</f>
        <v>0.03164444444</v>
      </c>
    </row>
    <row r="2324" ht="15.75" hidden="1" customHeight="1">
      <c r="A2324" s="15" t="s">
        <v>224</v>
      </c>
      <c r="B2324" s="11" t="s">
        <v>251</v>
      </c>
      <c r="C2324" s="15"/>
      <c r="D2324" s="16" t="s">
        <v>12</v>
      </c>
      <c r="E2324" s="23">
        <v>1279.0</v>
      </c>
      <c r="F2324" s="18">
        <f>E2324* 0.802335182557089</f>
        <v>1026.186698</v>
      </c>
      <c r="G2324" s="18">
        <f>E2324* 0.124687137143594</f>
        <v>159.4748484</v>
      </c>
      <c r="H2324" s="18">
        <f>E2324* 0.0729583279576829</f>
        <v>93.31370146</v>
      </c>
    </row>
    <row r="2325" ht="15.75" hidden="1" customHeight="1">
      <c r="A2325" s="15" t="s">
        <v>224</v>
      </c>
      <c r="B2325" s="8"/>
      <c r="C2325" s="8"/>
      <c r="D2325" s="9"/>
      <c r="E2325" s="29"/>
    </row>
    <row r="2326" ht="15.75" hidden="1" customHeight="1">
      <c r="A2326" s="15" t="s">
        <v>224</v>
      </c>
      <c r="B2326" s="11" t="s">
        <v>252</v>
      </c>
      <c r="C2326" s="12" t="str">
        <f>B2326&amp;"_"&amp;A2326</f>
        <v>Puerto Quijarro_Santa Cruz</v>
      </c>
      <c r="E2326" s="22">
        <v>1295.0</v>
      </c>
      <c r="F2326" s="14">
        <f t="shared" ref="F2326:H2326" si="210">SUM(F2327:F2337)</f>
        <v>1118.364239</v>
      </c>
      <c r="G2326" s="14">
        <f t="shared" si="210"/>
        <v>124.9914867</v>
      </c>
      <c r="H2326" s="14">
        <f t="shared" si="210"/>
        <v>51.58702389</v>
      </c>
    </row>
    <row r="2327" ht="15.75" hidden="1" customHeight="1">
      <c r="A2327" s="15" t="s">
        <v>224</v>
      </c>
      <c r="B2327" s="11" t="s">
        <v>252</v>
      </c>
      <c r="C2327" s="15"/>
      <c r="D2327" s="16" t="s">
        <v>14</v>
      </c>
      <c r="E2327" s="23">
        <v>0.0</v>
      </c>
      <c r="F2327" s="20">
        <v>0.0</v>
      </c>
      <c r="G2327" s="24">
        <f>E2327</f>
        <v>0</v>
      </c>
      <c r="H2327" s="20">
        <v>0.0</v>
      </c>
    </row>
    <row r="2328" ht="15.75" hidden="1" customHeight="1">
      <c r="A2328" s="15" t="s">
        <v>224</v>
      </c>
      <c r="B2328" s="11" t="s">
        <v>252</v>
      </c>
      <c r="C2328" s="15"/>
      <c r="D2328" s="16" t="s">
        <v>15</v>
      </c>
      <c r="E2328" s="23">
        <v>184.0</v>
      </c>
      <c r="F2328" s="18">
        <f>E2328* 0.932303048052446</f>
        <v>171.5437608</v>
      </c>
      <c r="G2328" s="18">
        <f>E2328* 0.0217058280204555</f>
        <v>3.993872356</v>
      </c>
      <c r="H2328" s="18">
        <f>E2328* 0.0459798598751943</f>
        <v>8.460294217</v>
      </c>
    </row>
    <row r="2329" ht="15.75" hidden="1" customHeight="1">
      <c r="A2329" s="15" t="s">
        <v>224</v>
      </c>
      <c r="B2329" s="11" t="s">
        <v>252</v>
      </c>
      <c r="C2329" s="15"/>
      <c r="D2329" s="16" t="s">
        <v>16</v>
      </c>
      <c r="E2329" s="23">
        <v>0.0</v>
      </c>
      <c r="F2329" s="18">
        <f>E2329* 0.293894936109797</f>
        <v>0</v>
      </c>
      <c r="G2329" s="18">
        <f>E2329* 0.663038334122101</f>
        <v>0</v>
      </c>
      <c r="H2329" s="18">
        <f>E2329* 0.0430667297681022</f>
        <v>0</v>
      </c>
    </row>
    <row r="2330" ht="15.75" hidden="1" customHeight="1">
      <c r="A2330" s="15" t="s">
        <v>224</v>
      </c>
      <c r="B2330" s="11" t="s">
        <v>252</v>
      </c>
      <c r="C2330" s="15"/>
      <c r="D2330" s="16" t="s">
        <v>11</v>
      </c>
      <c r="E2330" s="23">
        <v>37.0</v>
      </c>
      <c r="F2330" s="18">
        <f>E2330* 0.083479491676667</f>
        <v>3.088741192</v>
      </c>
      <c r="G2330" s="18">
        <f>E2330* 0.913505030924029</f>
        <v>33.79968614</v>
      </c>
      <c r="H2330" s="18">
        <f>E2330* 0.00292316686667282</f>
        <v>0.1081571741</v>
      </c>
    </row>
    <row r="2331" ht="15.75" hidden="1" customHeight="1">
      <c r="A2331" s="15" t="s">
        <v>224</v>
      </c>
      <c r="B2331" s="11" t="s">
        <v>252</v>
      </c>
      <c r="C2331" s="15"/>
      <c r="D2331" s="16" t="s">
        <v>17</v>
      </c>
      <c r="E2331" s="23">
        <v>59.0</v>
      </c>
      <c r="F2331" s="18">
        <f>E2331* 0.752045572242362</f>
        <v>44.37068876</v>
      </c>
      <c r="G2331" s="18">
        <f>E2331* 0.185827723114103</f>
        <v>10.96383566</v>
      </c>
      <c r="H2331" s="18">
        <f>E2331* 0.0620921802175039</f>
        <v>3.663438633</v>
      </c>
    </row>
    <row r="2332" ht="15.75" hidden="1" customHeight="1">
      <c r="A2332" s="15" t="s">
        <v>224</v>
      </c>
      <c r="B2332" s="11" t="s">
        <v>252</v>
      </c>
      <c r="C2332" s="15"/>
      <c r="D2332" s="16" t="s">
        <v>31</v>
      </c>
      <c r="E2332" s="23">
        <v>11.0</v>
      </c>
      <c r="F2332" s="18">
        <f>E2332* 0.929131175468484</f>
        <v>10.22044293</v>
      </c>
      <c r="G2332" s="18">
        <f>E2332* 0.0477001703577513</f>
        <v>0.5247018739</v>
      </c>
      <c r="H2332" s="18">
        <f>E2332* 0.0231686541737649</f>
        <v>0.2548551959</v>
      </c>
    </row>
    <row r="2333" ht="15.75" hidden="1" customHeight="1">
      <c r="A2333" s="15" t="s">
        <v>224</v>
      </c>
      <c r="B2333" s="11" t="s">
        <v>252</v>
      </c>
      <c r="C2333" s="15"/>
      <c r="D2333" s="16" t="s">
        <v>18</v>
      </c>
      <c r="E2333" s="23">
        <v>43.0</v>
      </c>
      <c r="F2333" s="18">
        <f>E2333* 0.893702527830246</f>
        <v>38.4292087</v>
      </c>
      <c r="G2333" s="18">
        <f>E2333* 0.0946831169875015</f>
        <v>4.07137403</v>
      </c>
      <c r="H2333" s="18">
        <f>E2333* 0.0116143551822529</f>
        <v>0.4994172728</v>
      </c>
    </row>
    <row r="2334" ht="15.75" hidden="1" customHeight="1">
      <c r="A2334" s="15" t="s">
        <v>224</v>
      </c>
      <c r="B2334" s="11" t="s">
        <v>252</v>
      </c>
      <c r="C2334" s="15"/>
      <c r="D2334" s="16" t="s">
        <v>20</v>
      </c>
      <c r="E2334" s="23">
        <v>9.0</v>
      </c>
      <c r="F2334" s="18">
        <f>E2334* 0.734251968503937</f>
        <v>6.608267717</v>
      </c>
      <c r="G2334" s="18">
        <f>E2334* 0.158017179670723</f>
        <v>1.422154617</v>
      </c>
      <c r="H2334" s="18">
        <f>E2334* 0.107551896921976</f>
        <v>0.9679670723</v>
      </c>
    </row>
    <row r="2335" ht="15.75" hidden="1" customHeight="1">
      <c r="A2335" s="15" t="s">
        <v>224</v>
      </c>
      <c r="B2335" s="11" t="s">
        <v>252</v>
      </c>
      <c r="C2335" s="15"/>
      <c r="D2335" s="16" t="s">
        <v>21</v>
      </c>
      <c r="E2335" s="23">
        <v>431.0</v>
      </c>
      <c r="F2335" s="18">
        <f>E2335* 0.999727092353423</f>
        <v>430.8823768</v>
      </c>
      <c r="G2335" s="18">
        <f>E2335* 0.0000516311763794744</f>
        <v>0.02225303702</v>
      </c>
      <c r="H2335" s="18">
        <f>E2335* 0.000132765882118648</f>
        <v>0.05722209519</v>
      </c>
    </row>
    <row r="2336" ht="15.75" hidden="1" customHeight="1">
      <c r="A2336" s="15" t="s">
        <v>224</v>
      </c>
      <c r="B2336" s="11" t="s">
        <v>252</v>
      </c>
      <c r="C2336" s="15"/>
      <c r="D2336" s="16" t="s">
        <v>28</v>
      </c>
      <c r="E2336" s="23">
        <v>6.0</v>
      </c>
      <c r="F2336" s="18">
        <f>E2336* 0.00302222222222222</f>
        <v>0.01813333333</v>
      </c>
      <c r="G2336" s="18">
        <f>E2336* 0.996622222222222</f>
        <v>5.979733333</v>
      </c>
      <c r="H2336" s="18">
        <f>E2336* 0.000355555555555556</f>
        <v>0.002133333333</v>
      </c>
    </row>
    <row r="2337" ht="15.75" hidden="1" customHeight="1">
      <c r="A2337" s="15" t="s">
        <v>224</v>
      </c>
      <c r="B2337" s="11" t="s">
        <v>252</v>
      </c>
      <c r="C2337" s="15"/>
      <c r="D2337" s="16" t="s">
        <v>12</v>
      </c>
      <c r="E2337" s="23">
        <v>515.0</v>
      </c>
      <c r="F2337" s="18">
        <f>E2337* 0.802335182557089</f>
        <v>413.202619</v>
      </c>
      <c r="G2337" s="18">
        <f>E2337* 0.124687137143594</f>
        <v>64.21387563</v>
      </c>
      <c r="H2337" s="18">
        <f>E2337* 0.0729583279576829</f>
        <v>37.5735389</v>
      </c>
    </row>
    <row r="2338" ht="15.75" hidden="1" customHeight="1">
      <c r="A2338" s="15" t="s">
        <v>224</v>
      </c>
      <c r="B2338" s="8"/>
      <c r="C2338" s="8"/>
      <c r="D2338" s="9"/>
      <c r="E2338" s="29"/>
    </row>
    <row r="2339" ht="15.75" hidden="1" customHeight="1">
      <c r="A2339" s="15" t="s">
        <v>224</v>
      </c>
      <c r="B2339" s="11" t="s">
        <v>253</v>
      </c>
      <c r="C2339" s="12" t="str">
        <f>B2339&amp;"_"&amp;A2339</f>
        <v>Puerto Suárez_Santa Cruz</v>
      </c>
      <c r="E2339" s="22">
        <v>334.0</v>
      </c>
      <c r="F2339" s="14">
        <f t="shared" ref="F2339:H2339" si="211">SUM(F2340:F2351)</f>
        <v>285.5175488</v>
      </c>
      <c r="G2339" s="14">
        <f t="shared" si="211"/>
        <v>33.31363967</v>
      </c>
      <c r="H2339" s="14">
        <f t="shared" si="211"/>
        <v>15.15840189</v>
      </c>
    </row>
    <row r="2340" ht="15.75" hidden="1" customHeight="1">
      <c r="A2340" s="15" t="s">
        <v>224</v>
      </c>
      <c r="B2340" s="11" t="s">
        <v>253</v>
      </c>
      <c r="C2340" s="15"/>
      <c r="D2340" s="16" t="s">
        <v>14</v>
      </c>
      <c r="E2340" s="23">
        <v>0.0</v>
      </c>
      <c r="F2340" s="20">
        <v>0.0</v>
      </c>
      <c r="G2340" s="24">
        <f>E2340</f>
        <v>0</v>
      </c>
      <c r="H2340" s="20">
        <v>0.0</v>
      </c>
    </row>
    <row r="2341" ht="15.75" hidden="1" customHeight="1">
      <c r="A2341" s="15" t="s">
        <v>224</v>
      </c>
      <c r="B2341" s="11" t="s">
        <v>253</v>
      </c>
      <c r="C2341" s="15"/>
      <c r="D2341" s="16" t="s">
        <v>15</v>
      </c>
      <c r="E2341" s="23">
        <v>88.0</v>
      </c>
      <c r="F2341" s="18">
        <f>E2341* 0.932303048052446</f>
        <v>82.04266823</v>
      </c>
      <c r="G2341" s="18">
        <f>E2341* 0.0217058280204555</f>
        <v>1.910112866</v>
      </c>
      <c r="H2341" s="18">
        <f>E2341* 0.0459798598751943</f>
        <v>4.046227669</v>
      </c>
    </row>
    <row r="2342" ht="15.75" hidden="1" customHeight="1">
      <c r="A2342" s="15" t="s">
        <v>224</v>
      </c>
      <c r="B2342" s="11" t="s">
        <v>253</v>
      </c>
      <c r="C2342" s="15"/>
      <c r="D2342" s="16" t="s">
        <v>16</v>
      </c>
      <c r="E2342" s="23">
        <v>0.0</v>
      </c>
      <c r="F2342" s="18">
        <f>E2342* 0.293894936109797</f>
        <v>0</v>
      </c>
      <c r="G2342" s="18">
        <f>E2342* 0.663038334122101</f>
        <v>0</v>
      </c>
      <c r="H2342" s="18">
        <f>E2342* 0.0430667297681022</f>
        <v>0</v>
      </c>
    </row>
    <row r="2343" ht="15.75" hidden="1" customHeight="1">
      <c r="A2343" s="15" t="s">
        <v>224</v>
      </c>
      <c r="B2343" s="11" t="s">
        <v>253</v>
      </c>
      <c r="C2343" s="15"/>
      <c r="D2343" s="16" t="s">
        <v>11</v>
      </c>
      <c r="E2343" s="23">
        <v>10.0</v>
      </c>
      <c r="F2343" s="18">
        <f>E2343* 0.083479491676667</f>
        <v>0.8347949168</v>
      </c>
      <c r="G2343" s="18">
        <f>E2343* 0.913505030924029</f>
        <v>9.135050309</v>
      </c>
      <c r="H2343" s="18">
        <f>E2343* 0.00292316686667282</f>
        <v>0.02923166867</v>
      </c>
    </row>
    <row r="2344" ht="15.75" hidden="1" customHeight="1">
      <c r="A2344" s="15" t="s">
        <v>224</v>
      </c>
      <c r="B2344" s="11" t="s">
        <v>253</v>
      </c>
      <c r="C2344" s="15"/>
      <c r="D2344" s="16" t="s">
        <v>17</v>
      </c>
      <c r="E2344" s="23">
        <v>21.0</v>
      </c>
      <c r="F2344" s="18">
        <f>E2344* 0.752045572242362</f>
        <v>15.79295702</v>
      </c>
      <c r="G2344" s="18">
        <f>E2344* 0.185827723114103</f>
        <v>3.902382185</v>
      </c>
      <c r="H2344" s="18">
        <f>E2344* 0.0620921802175039</f>
        <v>1.303935785</v>
      </c>
    </row>
    <row r="2345" ht="15.75" hidden="1" customHeight="1">
      <c r="A2345" s="15" t="s">
        <v>224</v>
      </c>
      <c r="B2345" s="11" t="s">
        <v>253</v>
      </c>
      <c r="C2345" s="15"/>
      <c r="D2345" s="16" t="s">
        <v>31</v>
      </c>
      <c r="E2345" s="23">
        <v>6.0</v>
      </c>
      <c r="F2345" s="18">
        <f>E2345* 0.929131175468484</f>
        <v>5.574787053</v>
      </c>
      <c r="G2345" s="18">
        <f>E2345* 0.0477001703577513</f>
        <v>0.2862010221</v>
      </c>
      <c r="H2345" s="18">
        <f>E2345* 0.0231686541737649</f>
        <v>0.139011925</v>
      </c>
    </row>
    <row r="2346" ht="15.75" hidden="1" customHeight="1">
      <c r="A2346" s="15" t="s">
        <v>224</v>
      </c>
      <c r="B2346" s="11" t="s">
        <v>253</v>
      </c>
      <c r="C2346" s="15"/>
      <c r="D2346" s="16" t="s">
        <v>18</v>
      </c>
      <c r="E2346" s="23">
        <v>22.0</v>
      </c>
      <c r="F2346" s="18">
        <f>E2346* 0.893702527830246</f>
        <v>19.66145561</v>
      </c>
      <c r="G2346" s="18">
        <f>E2346* 0.0946831169875015</f>
        <v>2.083028574</v>
      </c>
      <c r="H2346" s="18">
        <f>E2346* 0.0116143551822529</f>
        <v>0.255515814</v>
      </c>
    </row>
    <row r="2347" ht="15.75" hidden="1" customHeight="1">
      <c r="A2347" s="15" t="s">
        <v>224</v>
      </c>
      <c r="B2347" s="11" t="s">
        <v>253</v>
      </c>
      <c r="C2347" s="15"/>
      <c r="D2347" s="16" t="s">
        <v>20</v>
      </c>
      <c r="E2347" s="23">
        <v>1.0</v>
      </c>
      <c r="F2347" s="18">
        <f>E2347* 0.734251968503937</f>
        <v>0.7342519685</v>
      </c>
      <c r="G2347" s="18">
        <f>E2347* 0.158017179670723</f>
        <v>0.1580171797</v>
      </c>
      <c r="H2347" s="18">
        <f>E2347* 0.107551896921976</f>
        <v>0.1075518969</v>
      </c>
    </row>
    <row r="2348" ht="15.75" hidden="1" customHeight="1">
      <c r="A2348" s="15" t="s">
        <v>224</v>
      </c>
      <c r="B2348" s="11" t="s">
        <v>253</v>
      </c>
      <c r="C2348" s="15"/>
      <c r="D2348" s="16" t="s">
        <v>21</v>
      </c>
      <c r="E2348" s="23">
        <v>58.0</v>
      </c>
      <c r="F2348" s="18">
        <f>E2348* 0.999727092353423</f>
        <v>57.98417136</v>
      </c>
      <c r="G2348" s="18">
        <f>E2348* 0.0000516311763794744</f>
        <v>0.00299460823</v>
      </c>
      <c r="H2348" s="18">
        <f>E2348* 0.000132765882118648</f>
        <v>0.007700421163</v>
      </c>
    </row>
    <row r="2349" ht="15.75" hidden="1" customHeight="1">
      <c r="A2349" s="15" t="s">
        <v>224</v>
      </c>
      <c r="B2349" s="11" t="s">
        <v>253</v>
      </c>
      <c r="C2349" s="15"/>
      <c r="D2349" s="16" t="s">
        <v>36</v>
      </c>
      <c r="E2349" s="23">
        <v>1.0</v>
      </c>
      <c r="F2349" s="18">
        <f>E2349* 0.995894428152493</f>
        <v>0.9958944282</v>
      </c>
      <c r="G2349" s="18">
        <f>E2349* 0.000586510263929619</f>
        <v>0.0005865102639</v>
      </c>
      <c r="H2349" s="18">
        <f>E2349* 0.00351906158357771</f>
        <v>0.003519061584</v>
      </c>
    </row>
    <row r="2350" ht="15.75" hidden="1" customHeight="1">
      <c r="A2350" s="15" t="s">
        <v>224</v>
      </c>
      <c r="B2350" s="11" t="s">
        <v>253</v>
      </c>
      <c r="C2350" s="15"/>
      <c r="D2350" s="16" t="s">
        <v>148</v>
      </c>
      <c r="E2350" s="23">
        <v>0.0</v>
      </c>
      <c r="F2350" s="18">
        <f>E2350* 0.00302222222222222</f>
        <v>0</v>
      </c>
      <c r="G2350" s="18">
        <f>E2350* 0.996622222222222</f>
        <v>0</v>
      </c>
      <c r="H2350" s="18">
        <f>E2350* 0.000355555555555556</f>
        <v>0</v>
      </c>
    </row>
    <row r="2351" ht="15.75" hidden="1" customHeight="1">
      <c r="A2351" s="15" t="s">
        <v>224</v>
      </c>
      <c r="B2351" s="11" t="s">
        <v>253</v>
      </c>
      <c r="C2351" s="15"/>
      <c r="D2351" s="16" t="s">
        <v>12</v>
      </c>
      <c r="E2351" s="23">
        <v>127.0</v>
      </c>
      <c r="F2351" s="18">
        <f>E2351* 0.802335182557089</f>
        <v>101.8965682</v>
      </c>
      <c r="G2351" s="18">
        <f>E2351* 0.124687137143594</f>
        <v>15.83526642</v>
      </c>
      <c r="H2351" s="18">
        <f>E2351* 0.0729583279576829</f>
        <v>9.265707651</v>
      </c>
    </row>
    <row r="2352" ht="15.75" hidden="1" customHeight="1">
      <c r="A2352" s="15" t="s">
        <v>224</v>
      </c>
      <c r="B2352" s="8"/>
      <c r="C2352" s="8"/>
      <c r="D2352" s="9"/>
      <c r="E2352" s="29"/>
    </row>
    <row r="2353" ht="15.75" hidden="1" customHeight="1">
      <c r="A2353" s="15" t="s">
        <v>224</v>
      </c>
      <c r="B2353" s="11" t="s">
        <v>254</v>
      </c>
      <c r="C2353" s="12" t="str">
        <f>B2353&amp;"_"&amp;A2353</f>
        <v>Roboré_Santa Cruz</v>
      </c>
      <c r="E2353" s="22">
        <v>2.0</v>
      </c>
      <c r="F2353" s="14">
        <f t="shared" ref="F2353:H2353" si="212">SUM(F2354:F2356)</f>
        <v>0.9771820195</v>
      </c>
      <c r="G2353" s="14">
        <f t="shared" si="212"/>
        <v>1.008188148</v>
      </c>
      <c r="H2353" s="14">
        <f t="shared" si="212"/>
        <v>0.01453752205</v>
      </c>
    </row>
    <row r="2354" ht="15.75" hidden="1" customHeight="1">
      <c r="A2354" s="15" t="s">
        <v>224</v>
      </c>
      <c r="B2354" s="11" t="s">
        <v>254</v>
      </c>
      <c r="C2354" s="15"/>
      <c r="D2354" s="16" t="s">
        <v>11</v>
      </c>
      <c r="E2354" s="23">
        <v>1.0</v>
      </c>
      <c r="F2354" s="18">
        <f>E2354* 0.083479491676667</f>
        <v>0.08347949168</v>
      </c>
      <c r="G2354" s="18">
        <f>E2354* 0.913505030924029</f>
        <v>0.9135050309</v>
      </c>
      <c r="H2354" s="18">
        <f>E2354* 0.00292316686667282</f>
        <v>0.002923166867</v>
      </c>
    </row>
    <row r="2355" ht="15.75" hidden="1" customHeight="1">
      <c r="A2355" s="15" t="s">
        <v>224</v>
      </c>
      <c r="B2355" s="11" t="s">
        <v>254</v>
      </c>
      <c r="C2355" s="15"/>
      <c r="D2355" s="16" t="s">
        <v>17</v>
      </c>
      <c r="E2355" s="23">
        <v>0.0</v>
      </c>
      <c r="F2355" s="18">
        <f>E2355* 0.752045572242362</f>
        <v>0</v>
      </c>
      <c r="G2355" s="18">
        <f>E2355* 0.185827723114103</f>
        <v>0</v>
      </c>
      <c r="H2355" s="18">
        <f>E2355* 0.0620921802175039</f>
        <v>0</v>
      </c>
    </row>
    <row r="2356" ht="15.75" hidden="1" customHeight="1">
      <c r="A2356" s="15" t="s">
        <v>224</v>
      </c>
      <c r="B2356" s="11" t="s">
        <v>254</v>
      </c>
      <c r="C2356" s="15"/>
      <c r="D2356" s="16" t="s">
        <v>18</v>
      </c>
      <c r="E2356" s="23">
        <v>1.0</v>
      </c>
      <c r="F2356" s="18">
        <f>E2356* 0.893702527830246</f>
        <v>0.8937025278</v>
      </c>
      <c r="G2356" s="18">
        <f>E2356* 0.0946831169875015</f>
        <v>0.09468311699</v>
      </c>
      <c r="H2356" s="18">
        <f>E2356* 0.0116143551822529</f>
        <v>0.01161435518</v>
      </c>
    </row>
    <row r="2357" ht="15.75" hidden="1" customHeight="1">
      <c r="A2357" s="15" t="s">
        <v>224</v>
      </c>
      <c r="B2357" s="8"/>
      <c r="C2357" s="8"/>
      <c r="D2357" s="9"/>
      <c r="E2357" s="29"/>
    </row>
    <row r="2358" ht="15.75" hidden="1" customHeight="1">
      <c r="A2358" s="15" t="s">
        <v>224</v>
      </c>
      <c r="B2358" s="11" t="s">
        <v>255</v>
      </c>
      <c r="C2358" s="12" t="str">
        <f>B2358&amp;"_"&amp;A2358</f>
        <v>Saipina_Santa Cruz</v>
      </c>
      <c r="E2358" s="22">
        <v>126.0</v>
      </c>
      <c r="F2358" s="14">
        <f t="shared" ref="F2358:H2358" si="213">SUM(F2359:F2366)</f>
        <v>88.37820581</v>
      </c>
      <c r="G2358" s="14">
        <f t="shared" si="213"/>
        <v>31.56592521</v>
      </c>
      <c r="H2358" s="14">
        <f t="shared" si="213"/>
        <v>6.050600788</v>
      </c>
    </row>
    <row r="2359" ht="15.75" hidden="1" customHeight="1">
      <c r="A2359" s="15" t="s">
        <v>224</v>
      </c>
      <c r="B2359" s="11" t="s">
        <v>255</v>
      </c>
      <c r="C2359" s="15"/>
      <c r="D2359" s="16" t="s">
        <v>15</v>
      </c>
      <c r="E2359" s="23">
        <v>1.0</v>
      </c>
      <c r="F2359" s="18">
        <f>E2359* 0.932303048052446</f>
        <v>0.9323030481</v>
      </c>
      <c r="G2359" s="18">
        <f>E2359* 0.0217058280204555</f>
        <v>0.02170582802</v>
      </c>
      <c r="H2359" s="18">
        <f>E2359* 0.0459798598751943</f>
        <v>0.04597985988</v>
      </c>
    </row>
    <row r="2360" ht="15.75" hidden="1" customHeight="1">
      <c r="A2360" s="15" t="s">
        <v>224</v>
      </c>
      <c r="B2360" s="11" t="s">
        <v>255</v>
      </c>
      <c r="C2360" s="15"/>
      <c r="D2360" s="16" t="s">
        <v>16</v>
      </c>
      <c r="E2360" s="23">
        <v>2.0</v>
      </c>
      <c r="F2360" s="18">
        <f>E2360* 0.293894936109797</f>
        <v>0.5877898722</v>
      </c>
      <c r="G2360" s="18">
        <f>E2360* 0.663038334122101</f>
        <v>1.326076668</v>
      </c>
      <c r="H2360" s="18">
        <f>E2360* 0.0430667297681022</f>
        <v>0.08613345954</v>
      </c>
    </row>
    <row r="2361" ht="15.75" hidden="1" customHeight="1">
      <c r="A2361" s="15" t="s">
        <v>224</v>
      </c>
      <c r="B2361" s="11" t="s">
        <v>255</v>
      </c>
      <c r="C2361" s="15"/>
      <c r="D2361" s="16" t="s">
        <v>11</v>
      </c>
      <c r="E2361" s="23">
        <v>21.0</v>
      </c>
      <c r="F2361" s="18">
        <f>E2361* 0.083479491676667</f>
        <v>1.753069325</v>
      </c>
      <c r="G2361" s="18">
        <f>E2361* 0.913505030924029</f>
        <v>19.18360565</v>
      </c>
      <c r="H2361" s="18">
        <f>E2361* 0.00292316686667282</f>
        <v>0.0613865042</v>
      </c>
    </row>
    <row r="2362" ht="15.75" hidden="1" customHeight="1">
      <c r="A2362" s="15" t="s">
        <v>224</v>
      </c>
      <c r="B2362" s="11" t="s">
        <v>255</v>
      </c>
      <c r="C2362" s="15"/>
      <c r="D2362" s="16" t="s">
        <v>17</v>
      </c>
      <c r="E2362" s="23">
        <v>0.0</v>
      </c>
      <c r="F2362" s="18">
        <f>E2362* 0.752045572242362</f>
        <v>0</v>
      </c>
      <c r="G2362" s="18">
        <f>E2362* 0.185827723114103</f>
        <v>0</v>
      </c>
      <c r="H2362" s="18">
        <f>E2362* 0.0620921802175039</f>
        <v>0</v>
      </c>
    </row>
    <row r="2363" ht="15.75" hidden="1" customHeight="1">
      <c r="A2363" s="15" t="s">
        <v>224</v>
      </c>
      <c r="B2363" s="11" t="s">
        <v>255</v>
      </c>
      <c r="C2363" s="15"/>
      <c r="D2363" s="16" t="s">
        <v>18</v>
      </c>
      <c r="E2363" s="23">
        <v>1.0</v>
      </c>
      <c r="F2363" s="18">
        <f>E2363* 0.893702527830246</f>
        <v>0.8937025278</v>
      </c>
      <c r="G2363" s="18">
        <f>E2363* 0.0946831169875015</f>
        <v>0.09468311699</v>
      </c>
      <c r="H2363" s="18">
        <f>E2363* 0.0116143551822529</f>
        <v>0.01161435518</v>
      </c>
    </row>
    <row r="2364" ht="15.75" hidden="1" customHeight="1">
      <c r="A2364" s="15" t="s">
        <v>224</v>
      </c>
      <c r="B2364" s="11" t="s">
        <v>255</v>
      </c>
      <c r="C2364" s="15"/>
      <c r="D2364" s="16" t="s">
        <v>19</v>
      </c>
      <c r="E2364" s="23">
        <v>1.0</v>
      </c>
      <c r="F2364" s="18">
        <f>E2364* 0.0299845873616365</f>
        <v>0.02998458736</v>
      </c>
      <c r="G2364" s="18">
        <f>E2364* 0.96385035729298</f>
        <v>0.9638503573</v>
      </c>
      <c r="H2364" s="18">
        <f>E2364* 0.00616505534538321</f>
        <v>0.006165055345</v>
      </c>
    </row>
    <row r="2365" ht="15.75" hidden="1" customHeight="1">
      <c r="A2365" s="15" t="s">
        <v>224</v>
      </c>
      <c r="B2365" s="11" t="s">
        <v>255</v>
      </c>
      <c r="C2365" s="15"/>
      <c r="D2365" s="16" t="s">
        <v>21</v>
      </c>
      <c r="E2365" s="23">
        <v>20.0</v>
      </c>
      <c r="F2365" s="18">
        <f>E2365* 0.999727092353423</f>
        <v>19.99454185</v>
      </c>
      <c r="G2365" s="18">
        <f>E2365* 0.0000516311763794744</f>
        <v>0.001032623528</v>
      </c>
      <c r="H2365" s="18">
        <f>E2365* 0.000132765882118648</f>
        <v>0.002655317642</v>
      </c>
    </row>
    <row r="2366" ht="15.75" hidden="1" customHeight="1">
      <c r="A2366" s="15" t="s">
        <v>224</v>
      </c>
      <c r="B2366" s="11" t="s">
        <v>255</v>
      </c>
      <c r="C2366" s="15"/>
      <c r="D2366" s="16" t="s">
        <v>12</v>
      </c>
      <c r="E2366" s="23">
        <v>80.0</v>
      </c>
      <c r="F2366" s="18">
        <f>E2366* 0.802335182557089</f>
        <v>64.1868146</v>
      </c>
      <c r="G2366" s="18">
        <f>E2366* 0.124687137143594</f>
        <v>9.974970971</v>
      </c>
      <c r="H2366" s="18">
        <f>E2366* 0.0729583279576829</f>
        <v>5.836666237</v>
      </c>
    </row>
    <row r="2367" ht="15.75" hidden="1" customHeight="1">
      <c r="A2367" s="15" t="s">
        <v>224</v>
      </c>
      <c r="B2367" s="8"/>
      <c r="C2367" s="8"/>
      <c r="D2367" s="9"/>
      <c r="E2367" s="29"/>
    </row>
    <row r="2368" ht="15.75" hidden="1" customHeight="1">
      <c r="A2368" s="15" t="s">
        <v>224</v>
      </c>
      <c r="B2368" s="11" t="s">
        <v>256</v>
      </c>
      <c r="C2368" s="12" t="str">
        <f>B2368&amp;"_"&amp;A2368</f>
        <v>Samaipata_Santa Cruz</v>
      </c>
      <c r="E2368" s="22">
        <v>49.0</v>
      </c>
      <c r="F2368" s="14">
        <f t="shared" ref="F2368:H2368" si="214">SUM(F2369:F2375)</f>
        <v>28.67179715</v>
      </c>
      <c r="G2368" s="14">
        <f t="shared" si="214"/>
        <v>18.23482845</v>
      </c>
      <c r="H2368" s="14">
        <f t="shared" si="214"/>
        <v>2.091224942</v>
      </c>
    </row>
    <row r="2369" ht="15.75" hidden="1" customHeight="1">
      <c r="A2369" s="15" t="s">
        <v>224</v>
      </c>
      <c r="B2369" s="11" t="s">
        <v>256</v>
      </c>
      <c r="C2369" s="15"/>
      <c r="D2369" s="16" t="s">
        <v>15</v>
      </c>
      <c r="E2369" s="23">
        <v>4.0</v>
      </c>
      <c r="F2369" s="18">
        <f>E2369* 0.932303048052446</f>
        <v>3.729212192</v>
      </c>
      <c r="G2369" s="18">
        <f>E2369* 0.0217058280204555</f>
        <v>0.08682331208</v>
      </c>
      <c r="H2369" s="18">
        <f>E2369* 0.0459798598751943</f>
        <v>0.1839194395</v>
      </c>
    </row>
    <row r="2370" ht="15.75" hidden="1" customHeight="1">
      <c r="A2370" s="15" t="s">
        <v>224</v>
      </c>
      <c r="B2370" s="11" t="s">
        <v>256</v>
      </c>
      <c r="C2370" s="15"/>
      <c r="D2370" s="16" t="s">
        <v>11</v>
      </c>
      <c r="E2370" s="23">
        <v>15.0</v>
      </c>
      <c r="F2370" s="18">
        <f>E2370* 0.083479491676667</f>
        <v>1.252192375</v>
      </c>
      <c r="G2370" s="18">
        <f>E2370* 0.913505030924029</f>
        <v>13.70257546</v>
      </c>
      <c r="H2370" s="18">
        <f>E2370* 0.00292316686667282</f>
        <v>0.043847503</v>
      </c>
    </row>
    <row r="2371" ht="15.75" hidden="1" customHeight="1">
      <c r="A2371" s="15" t="s">
        <v>224</v>
      </c>
      <c r="B2371" s="11" t="s">
        <v>256</v>
      </c>
      <c r="C2371" s="15"/>
      <c r="D2371" s="16" t="s">
        <v>17</v>
      </c>
      <c r="E2371" s="23">
        <v>13.0</v>
      </c>
      <c r="F2371" s="18">
        <f>E2371* 0.752045572242362</f>
        <v>9.776592439</v>
      </c>
      <c r="G2371" s="18">
        <f>E2371* 0.185827723114103</f>
        <v>2.4157604</v>
      </c>
      <c r="H2371" s="18">
        <f>E2371* 0.0620921802175039</f>
        <v>0.8071983428</v>
      </c>
    </row>
    <row r="2372" ht="15.75" hidden="1" customHeight="1">
      <c r="A2372" s="15" t="s">
        <v>224</v>
      </c>
      <c r="B2372" s="11" t="s">
        <v>256</v>
      </c>
      <c r="C2372" s="15"/>
      <c r="D2372" s="16" t="s">
        <v>18</v>
      </c>
      <c r="E2372" s="23">
        <v>3.0</v>
      </c>
      <c r="F2372" s="18">
        <f>E2372* 0.893702527830246</f>
        <v>2.681107583</v>
      </c>
      <c r="G2372" s="18">
        <f>E2372* 0.0946831169875015</f>
        <v>0.284049351</v>
      </c>
      <c r="H2372" s="18">
        <f>E2372* 0.0116143551822529</f>
        <v>0.03484306555</v>
      </c>
    </row>
    <row r="2373" ht="15.75" hidden="1" customHeight="1">
      <c r="A2373" s="15" t="s">
        <v>224</v>
      </c>
      <c r="B2373" s="11" t="s">
        <v>256</v>
      </c>
      <c r="C2373" s="15"/>
      <c r="D2373" s="16" t="s">
        <v>19</v>
      </c>
      <c r="E2373" s="23">
        <v>0.0</v>
      </c>
      <c r="F2373" s="18">
        <f>E2373* 0.0299845873616365</f>
        <v>0</v>
      </c>
      <c r="G2373" s="18">
        <f>E2373* 0.96385035729298</f>
        <v>0</v>
      </c>
      <c r="H2373" s="18">
        <f>E2373* 0.00616505534538321</f>
        <v>0</v>
      </c>
    </row>
    <row r="2374" ht="15.75" hidden="1" customHeight="1">
      <c r="A2374" s="15" t="s">
        <v>224</v>
      </c>
      <c r="B2374" s="11" t="s">
        <v>256</v>
      </c>
      <c r="C2374" s="15"/>
      <c r="D2374" s="16" t="s">
        <v>20</v>
      </c>
      <c r="E2374" s="23">
        <v>0.0</v>
      </c>
      <c r="F2374" s="18">
        <f>E2374* 0.734251968503937</f>
        <v>0</v>
      </c>
      <c r="G2374" s="18">
        <f>E2374* 0.158017179670723</f>
        <v>0</v>
      </c>
      <c r="H2374" s="18">
        <f>E2374* 0.107551896921976</f>
        <v>0</v>
      </c>
    </row>
    <row r="2375" ht="15.75" hidden="1" customHeight="1">
      <c r="A2375" s="15" t="s">
        <v>224</v>
      </c>
      <c r="B2375" s="11" t="s">
        <v>256</v>
      </c>
      <c r="C2375" s="15"/>
      <c r="D2375" s="16" t="s">
        <v>12</v>
      </c>
      <c r="E2375" s="23">
        <v>14.0</v>
      </c>
      <c r="F2375" s="18">
        <f>E2375* 0.802335182557089</f>
        <v>11.23269256</v>
      </c>
      <c r="G2375" s="18">
        <f>E2375* 0.124687137143594</f>
        <v>1.74561992</v>
      </c>
      <c r="H2375" s="18">
        <f>E2375* 0.0729583279576829</f>
        <v>1.021416591</v>
      </c>
    </row>
    <row r="2376" ht="15.75" hidden="1" customHeight="1">
      <c r="A2376" s="15" t="s">
        <v>224</v>
      </c>
      <c r="B2376" s="8"/>
      <c r="C2376" s="8"/>
      <c r="D2376" s="9"/>
      <c r="E2376" s="29"/>
    </row>
    <row r="2377" ht="15.75" hidden="1" customHeight="1">
      <c r="A2377" s="15" t="s">
        <v>224</v>
      </c>
      <c r="B2377" s="11" t="s">
        <v>257</v>
      </c>
      <c r="C2377" s="12" t="str">
        <f>B2377&amp;"_"&amp;A2377</f>
        <v>San Carlos_Santa Cruz</v>
      </c>
      <c r="E2377" s="22">
        <v>294.0</v>
      </c>
      <c r="F2377" s="14">
        <f t="shared" ref="F2377:H2377" si="215">SUM(F2378:F2391)</f>
        <v>238.3006327</v>
      </c>
      <c r="G2377" s="14">
        <f t="shared" si="215"/>
        <v>47.63817982</v>
      </c>
      <c r="H2377" s="14">
        <f t="shared" si="215"/>
        <v>8.043630106</v>
      </c>
    </row>
    <row r="2378" ht="15.75" hidden="1" customHeight="1">
      <c r="A2378" s="15" t="s">
        <v>224</v>
      </c>
      <c r="B2378" s="11" t="s">
        <v>257</v>
      </c>
      <c r="C2378" s="15"/>
      <c r="D2378" s="16" t="s">
        <v>14</v>
      </c>
      <c r="E2378" s="23">
        <v>0.0</v>
      </c>
      <c r="F2378" s="20">
        <v>0.0</v>
      </c>
      <c r="G2378" s="24">
        <f>E2378</f>
        <v>0</v>
      </c>
      <c r="H2378" s="20">
        <v>0.0</v>
      </c>
    </row>
    <row r="2379" ht="15.75" hidden="1" customHeight="1">
      <c r="A2379" s="15" t="s">
        <v>224</v>
      </c>
      <c r="B2379" s="11" t="s">
        <v>257</v>
      </c>
      <c r="C2379" s="15"/>
      <c r="D2379" s="16" t="s">
        <v>15</v>
      </c>
      <c r="E2379" s="23">
        <v>19.0</v>
      </c>
      <c r="F2379" s="18">
        <f>E2379* 0.932303048052446</f>
        <v>17.71375791</v>
      </c>
      <c r="G2379" s="18">
        <f>E2379* 0.0217058280204555</f>
        <v>0.4124107324</v>
      </c>
      <c r="H2379" s="18">
        <f>E2379* 0.0459798598751943</f>
        <v>0.8736173376</v>
      </c>
    </row>
    <row r="2380" ht="15.75" hidden="1" customHeight="1">
      <c r="A2380" s="15" t="s">
        <v>224</v>
      </c>
      <c r="B2380" s="11" t="s">
        <v>257</v>
      </c>
      <c r="C2380" s="15"/>
      <c r="D2380" s="16" t="s">
        <v>16</v>
      </c>
      <c r="E2380" s="23">
        <v>1.0</v>
      </c>
      <c r="F2380" s="18">
        <f>E2380* 0.293894936109797</f>
        <v>0.2938949361</v>
      </c>
      <c r="G2380" s="18">
        <f>E2380* 0.663038334122101</f>
        <v>0.6630383341</v>
      </c>
      <c r="H2380" s="18">
        <f>E2380* 0.0430667297681022</f>
        <v>0.04306672977</v>
      </c>
    </row>
    <row r="2381" ht="15.75" hidden="1" customHeight="1">
      <c r="A2381" s="15" t="s">
        <v>224</v>
      </c>
      <c r="B2381" s="11" t="s">
        <v>257</v>
      </c>
      <c r="C2381" s="15"/>
      <c r="D2381" s="16" t="s">
        <v>11</v>
      </c>
      <c r="E2381" s="23">
        <v>33.0</v>
      </c>
      <c r="F2381" s="18">
        <f>E2381* 0.083479491676667</f>
        <v>2.754823225</v>
      </c>
      <c r="G2381" s="18">
        <f>E2381* 0.913505030924029</f>
        <v>30.14566602</v>
      </c>
      <c r="H2381" s="18">
        <f>E2381* 0.00292316686667282</f>
        <v>0.0964645066</v>
      </c>
    </row>
    <row r="2382" ht="15.75" hidden="1" customHeight="1">
      <c r="A2382" s="15" t="s">
        <v>224</v>
      </c>
      <c r="B2382" s="11" t="s">
        <v>257</v>
      </c>
      <c r="C2382" s="15"/>
      <c r="D2382" s="16" t="s">
        <v>17</v>
      </c>
      <c r="E2382" s="23">
        <v>48.0</v>
      </c>
      <c r="F2382" s="18">
        <f>E2382* 0.752045572242362</f>
        <v>36.09818747</v>
      </c>
      <c r="G2382" s="18">
        <f>E2382* 0.185827723114103</f>
        <v>8.919730709</v>
      </c>
      <c r="H2382" s="18">
        <f>E2382* 0.0620921802175039</f>
        <v>2.98042465</v>
      </c>
    </row>
    <row r="2383" ht="15.75" hidden="1" customHeight="1">
      <c r="A2383" s="15" t="s">
        <v>224</v>
      </c>
      <c r="B2383" s="11" t="s">
        <v>257</v>
      </c>
      <c r="C2383" s="15"/>
      <c r="D2383" s="16" t="s">
        <v>31</v>
      </c>
      <c r="E2383" s="23">
        <v>0.0</v>
      </c>
      <c r="F2383" s="18">
        <f>E2383* 0.929131175468484</f>
        <v>0</v>
      </c>
      <c r="G2383" s="18">
        <f>E2383* 0.0477001703577513</f>
        <v>0</v>
      </c>
      <c r="H2383" s="18">
        <f>E2383* 0.0231686541737649</f>
        <v>0</v>
      </c>
    </row>
    <row r="2384" ht="15.75" hidden="1" customHeight="1">
      <c r="A2384" s="15" t="s">
        <v>224</v>
      </c>
      <c r="B2384" s="11" t="s">
        <v>257</v>
      </c>
      <c r="C2384" s="15"/>
      <c r="D2384" s="16" t="s">
        <v>18</v>
      </c>
      <c r="E2384" s="23">
        <v>8.0</v>
      </c>
      <c r="F2384" s="18">
        <f>E2384* 0.893702527830246</f>
        <v>7.149620223</v>
      </c>
      <c r="G2384" s="18">
        <f>E2384* 0.0946831169875015</f>
        <v>0.7574649359</v>
      </c>
      <c r="H2384" s="18">
        <f>E2384* 0.0116143551822529</f>
        <v>0.09291484146</v>
      </c>
    </row>
    <row r="2385" ht="15.75" hidden="1" customHeight="1">
      <c r="A2385" s="15" t="s">
        <v>224</v>
      </c>
      <c r="B2385" s="11" t="s">
        <v>257</v>
      </c>
      <c r="C2385" s="15"/>
      <c r="D2385" s="16" t="s">
        <v>35</v>
      </c>
      <c r="E2385" s="23">
        <v>0.0</v>
      </c>
      <c r="F2385" s="20">
        <v>0.0</v>
      </c>
      <c r="G2385" s="24">
        <f>E2385</f>
        <v>0</v>
      </c>
      <c r="H2385" s="20">
        <v>0.0</v>
      </c>
    </row>
    <row r="2386" ht="15.75" hidden="1" customHeight="1">
      <c r="A2386" s="15" t="s">
        <v>224</v>
      </c>
      <c r="B2386" s="11" t="s">
        <v>257</v>
      </c>
      <c r="C2386" s="15"/>
      <c r="D2386" s="16" t="s">
        <v>19</v>
      </c>
      <c r="E2386" s="23">
        <v>0.0</v>
      </c>
      <c r="F2386" s="18">
        <f>E2386* 0.0299845873616365</f>
        <v>0</v>
      </c>
      <c r="G2386" s="18">
        <f>E2386* 0.96385035729298</f>
        <v>0</v>
      </c>
      <c r="H2386" s="18">
        <f>E2386* 0.00616505534538321</f>
        <v>0</v>
      </c>
    </row>
    <row r="2387" ht="15.75" hidden="1" customHeight="1">
      <c r="A2387" s="15" t="s">
        <v>224</v>
      </c>
      <c r="B2387" s="11" t="s">
        <v>257</v>
      </c>
      <c r="C2387" s="15"/>
      <c r="D2387" s="16" t="s">
        <v>20</v>
      </c>
      <c r="E2387" s="23">
        <v>0.0</v>
      </c>
      <c r="F2387" s="18">
        <f>E2387* 0.734251968503937</f>
        <v>0</v>
      </c>
      <c r="G2387" s="18">
        <f>E2387* 0.158017179670723</f>
        <v>0</v>
      </c>
      <c r="H2387" s="18">
        <f>E2387* 0.107551896921976</f>
        <v>0</v>
      </c>
    </row>
    <row r="2388" ht="15.75" hidden="1" customHeight="1">
      <c r="A2388" s="15" t="s">
        <v>224</v>
      </c>
      <c r="B2388" s="11" t="s">
        <v>257</v>
      </c>
      <c r="C2388" s="15"/>
      <c r="D2388" s="16" t="s">
        <v>21</v>
      </c>
      <c r="E2388" s="23">
        <v>131.0</v>
      </c>
      <c r="F2388" s="18">
        <f>E2388* 0.999727092353423</f>
        <v>130.9642491</v>
      </c>
      <c r="G2388" s="18">
        <f>E2388* 0.0000516311763794744</f>
        <v>0.006763684106</v>
      </c>
      <c r="H2388" s="18">
        <f>E2388* 0.000132765882118648</f>
        <v>0.01739233056</v>
      </c>
    </row>
    <row r="2389" ht="15.75" hidden="1" customHeight="1">
      <c r="A2389" s="15" t="s">
        <v>224</v>
      </c>
      <c r="B2389" s="11" t="s">
        <v>257</v>
      </c>
      <c r="C2389" s="15"/>
      <c r="D2389" s="16" t="s">
        <v>36</v>
      </c>
      <c r="E2389" s="23">
        <v>0.0</v>
      </c>
      <c r="F2389" s="18">
        <f>E2389* 0.995894428152493</f>
        <v>0</v>
      </c>
      <c r="G2389" s="18">
        <f>E2389* 0.000586510263929619</f>
        <v>0</v>
      </c>
      <c r="H2389" s="18">
        <f>E2389* 0.00351906158357771</f>
        <v>0</v>
      </c>
    </row>
    <row r="2390" ht="15.75" hidden="1" customHeight="1">
      <c r="A2390" s="15" t="s">
        <v>224</v>
      </c>
      <c r="B2390" s="11" t="s">
        <v>257</v>
      </c>
      <c r="C2390" s="15"/>
      <c r="D2390" s="16" t="s">
        <v>28</v>
      </c>
      <c r="E2390" s="23">
        <v>0.0</v>
      </c>
      <c r="F2390" s="18">
        <f>E2390* 0.00302222222222222</f>
        <v>0</v>
      </c>
      <c r="G2390" s="18">
        <f>E2390* 0.996622222222222</f>
        <v>0</v>
      </c>
      <c r="H2390" s="18">
        <f>E2390* 0.000355555555555556</f>
        <v>0</v>
      </c>
    </row>
    <row r="2391" ht="15.75" hidden="1" customHeight="1">
      <c r="A2391" s="15" t="s">
        <v>224</v>
      </c>
      <c r="B2391" s="11" t="s">
        <v>257</v>
      </c>
      <c r="C2391" s="15"/>
      <c r="D2391" s="16" t="s">
        <v>12</v>
      </c>
      <c r="E2391" s="23">
        <v>54.0</v>
      </c>
      <c r="F2391" s="18">
        <f>E2391* 0.802335182557089</f>
        <v>43.32609986</v>
      </c>
      <c r="G2391" s="18">
        <f>E2391* 0.124687137143594</f>
        <v>6.733105406</v>
      </c>
      <c r="H2391" s="18">
        <f>E2391* 0.0729583279576829</f>
        <v>3.93974971</v>
      </c>
    </row>
    <row r="2392" ht="15.75" hidden="1" customHeight="1">
      <c r="A2392" s="15" t="s">
        <v>224</v>
      </c>
      <c r="B2392" s="8"/>
      <c r="C2392" s="8"/>
      <c r="D2392" s="9"/>
      <c r="E2392" s="29"/>
    </row>
    <row r="2393" ht="15.75" hidden="1" customHeight="1">
      <c r="A2393" s="15" t="s">
        <v>224</v>
      </c>
      <c r="B2393" s="11" t="s">
        <v>258</v>
      </c>
      <c r="C2393" s="12" t="str">
        <f>B2393&amp;"_"&amp;A2393</f>
        <v>San Ignacio (Santa Cruz)_Santa Cruz</v>
      </c>
      <c r="E2393" s="22">
        <v>1266.0</v>
      </c>
      <c r="F2393" s="14">
        <f t="shared" ref="F2393:H2393" si="216">SUM(F2394:F2406)</f>
        <v>1230.851537</v>
      </c>
      <c r="G2393" s="14">
        <f t="shared" si="216"/>
        <v>27.13842137</v>
      </c>
      <c r="H2393" s="14">
        <f t="shared" si="216"/>
        <v>7.906719368</v>
      </c>
    </row>
    <row r="2394" ht="15.75" hidden="1" customHeight="1">
      <c r="A2394" s="15" t="s">
        <v>224</v>
      </c>
      <c r="B2394" s="11" t="s">
        <v>258</v>
      </c>
      <c r="C2394" s="15"/>
      <c r="D2394" s="16" t="s">
        <v>14</v>
      </c>
      <c r="E2394" s="23">
        <v>0.0</v>
      </c>
      <c r="F2394" s="20">
        <v>0.0</v>
      </c>
      <c r="G2394" s="24">
        <f>E2394</f>
        <v>0</v>
      </c>
      <c r="H2394" s="20">
        <v>0.0</v>
      </c>
    </row>
    <row r="2395" ht="15.75" hidden="1" customHeight="1">
      <c r="A2395" s="15" t="s">
        <v>224</v>
      </c>
      <c r="B2395" s="11" t="s">
        <v>258</v>
      </c>
      <c r="C2395" s="15"/>
      <c r="D2395" s="16" t="s">
        <v>15</v>
      </c>
      <c r="E2395" s="23">
        <v>7.0</v>
      </c>
      <c r="F2395" s="18">
        <f>E2395* 0.932303048052446</f>
        <v>6.526121336</v>
      </c>
      <c r="G2395" s="18">
        <f>E2395* 0.0217058280204555</f>
        <v>0.1519407961</v>
      </c>
      <c r="H2395" s="18">
        <f>E2395* 0.0459798598751943</f>
        <v>0.3218590191</v>
      </c>
    </row>
    <row r="2396" ht="15.75" hidden="1" customHeight="1">
      <c r="A2396" s="15" t="s">
        <v>224</v>
      </c>
      <c r="B2396" s="11" t="s">
        <v>258</v>
      </c>
      <c r="C2396" s="15"/>
      <c r="D2396" s="16" t="s">
        <v>16</v>
      </c>
      <c r="E2396" s="23">
        <v>0.0</v>
      </c>
      <c r="F2396" s="18">
        <f>E2396* 0.293894936109797</f>
        <v>0</v>
      </c>
      <c r="G2396" s="18">
        <f>E2396* 0.663038334122101</f>
        <v>0</v>
      </c>
      <c r="H2396" s="18">
        <f>E2396* 0.0430667297681022</f>
        <v>0</v>
      </c>
    </row>
    <row r="2397" ht="15.75" hidden="1" customHeight="1">
      <c r="A2397" s="15" t="s">
        <v>224</v>
      </c>
      <c r="B2397" s="11" t="s">
        <v>258</v>
      </c>
      <c r="C2397" s="15"/>
      <c r="D2397" s="16" t="s">
        <v>11</v>
      </c>
      <c r="E2397" s="23">
        <v>11.0</v>
      </c>
      <c r="F2397" s="18">
        <f>E2397* 0.083479491676667</f>
        <v>0.9182744084</v>
      </c>
      <c r="G2397" s="18">
        <f>E2397* 0.913505030924029</f>
        <v>10.04855534</v>
      </c>
      <c r="H2397" s="18">
        <f>E2397* 0.00292316686667282</f>
        <v>0.03215483553</v>
      </c>
    </row>
    <row r="2398" ht="15.75" hidden="1" customHeight="1">
      <c r="A2398" s="15" t="s">
        <v>224</v>
      </c>
      <c r="B2398" s="11" t="s">
        <v>258</v>
      </c>
      <c r="C2398" s="15"/>
      <c r="D2398" s="16" t="s">
        <v>17</v>
      </c>
      <c r="E2398" s="23">
        <v>41.0</v>
      </c>
      <c r="F2398" s="18">
        <f>E2398* 0.752045572242362</f>
        <v>30.83386846</v>
      </c>
      <c r="G2398" s="18">
        <f>E2398* 0.185827723114103</f>
        <v>7.618936648</v>
      </c>
      <c r="H2398" s="18">
        <f>E2398* 0.0620921802175039</f>
        <v>2.545779389</v>
      </c>
    </row>
    <row r="2399" ht="15.75" hidden="1" customHeight="1">
      <c r="A2399" s="15" t="s">
        <v>224</v>
      </c>
      <c r="B2399" s="11" t="s">
        <v>258</v>
      </c>
      <c r="C2399" s="15"/>
      <c r="D2399" s="16" t="s">
        <v>31</v>
      </c>
      <c r="E2399" s="23">
        <v>1.0</v>
      </c>
      <c r="F2399" s="18">
        <f>E2399* 0.929131175468484</f>
        <v>0.9291311755</v>
      </c>
      <c r="G2399" s="18">
        <f>E2399* 0.0477001703577513</f>
        <v>0.04770017036</v>
      </c>
      <c r="H2399" s="18">
        <f>E2399* 0.0231686541737649</f>
        <v>0.02316865417</v>
      </c>
    </row>
    <row r="2400" ht="15.75" hidden="1" customHeight="1">
      <c r="A2400" s="15" t="s">
        <v>224</v>
      </c>
      <c r="B2400" s="11" t="s">
        <v>258</v>
      </c>
      <c r="C2400" s="15"/>
      <c r="D2400" s="16" t="s">
        <v>18</v>
      </c>
      <c r="E2400" s="23">
        <v>13.0</v>
      </c>
      <c r="F2400" s="18">
        <f>E2400* 0.893702527830246</f>
        <v>11.61813286</v>
      </c>
      <c r="G2400" s="18">
        <f>E2400* 0.0946831169875015</f>
        <v>1.230880521</v>
      </c>
      <c r="H2400" s="18">
        <f>E2400* 0.0116143551822529</f>
        <v>0.1509866174</v>
      </c>
    </row>
    <row r="2401" ht="15.75" hidden="1" customHeight="1">
      <c r="A2401" s="15" t="s">
        <v>224</v>
      </c>
      <c r="B2401" s="11" t="s">
        <v>258</v>
      </c>
      <c r="C2401" s="15"/>
      <c r="D2401" s="16" t="s">
        <v>35</v>
      </c>
      <c r="E2401" s="23">
        <v>0.0</v>
      </c>
      <c r="F2401" s="20">
        <v>0.0</v>
      </c>
      <c r="G2401" s="24">
        <f>E2401</f>
        <v>0</v>
      </c>
      <c r="H2401" s="20">
        <v>0.0</v>
      </c>
    </row>
    <row r="2402" ht="15.75" hidden="1" customHeight="1">
      <c r="A2402" s="15" t="s">
        <v>224</v>
      </c>
      <c r="B2402" s="11" t="s">
        <v>258</v>
      </c>
      <c r="C2402" s="15"/>
      <c r="D2402" s="16" t="s">
        <v>20</v>
      </c>
      <c r="E2402" s="23">
        <v>0.0</v>
      </c>
      <c r="F2402" s="18">
        <f>E2402* 0.734251968503937</f>
        <v>0</v>
      </c>
      <c r="G2402" s="18">
        <f>E2402* 0.158017179670723</f>
        <v>0</v>
      </c>
      <c r="H2402" s="18">
        <f>E2402* 0.107551896921976</f>
        <v>0</v>
      </c>
    </row>
    <row r="2403" ht="15.75" hidden="1" customHeight="1">
      <c r="A2403" s="15" t="s">
        <v>224</v>
      </c>
      <c r="B2403" s="11" t="s">
        <v>258</v>
      </c>
      <c r="C2403" s="15"/>
      <c r="D2403" s="16" t="s">
        <v>21</v>
      </c>
      <c r="E2403" s="23">
        <v>1125.0</v>
      </c>
      <c r="F2403" s="18">
        <f>E2403* 0.999727092353423</f>
        <v>1124.692979</v>
      </c>
      <c r="G2403" s="18">
        <f>E2403* 0.0000516311763794744</f>
        <v>0.05808507343</v>
      </c>
      <c r="H2403" s="18">
        <f>E2403* 0.000132765882118648</f>
        <v>0.1493616174</v>
      </c>
    </row>
    <row r="2404" ht="15.75" hidden="1" customHeight="1">
      <c r="A2404" s="15" t="s">
        <v>224</v>
      </c>
      <c r="B2404" s="11" t="s">
        <v>258</v>
      </c>
      <c r="C2404" s="15"/>
      <c r="D2404" s="16" t="s">
        <v>36</v>
      </c>
      <c r="E2404" s="23">
        <v>4.0</v>
      </c>
      <c r="F2404" s="18">
        <f>E2404* 0.995894428152493</f>
        <v>3.983577713</v>
      </c>
      <c r="G2404" s="18">
        <f>E2404* 0.000586510263929619</f>
        <v>0.002346041056</v>
      </c>
      <c r="H2404" s="18">
        <f>E2404* 0.00351906158357771</f>
        <v>0.01407624633</v>
      </c>
    </row>
    <row r="2405" ht="15.75" hidden="1" customHeight="1">
      <c r="A2405" s="15" t="s">
        <v>224</v>
      </c>
      <c r="B2405" s="11" t="s">
        <v>258</v>
      </c>
      <c r="C2405" s="15"/>
      <c r="D2405" s="16" t="s">
        <v>28</v>
      </c>
      <c r="E2405" s="23">
        <v>0.0</v>
      </c>
      <c r="F2405" s="18">
        <f>E2405* 0.00302222222222222</f>
        <v>0</v>
      </c>
      <c r="G2405" s="18">
        <f>E2405* 0.996622222222222</f>
        <v>0</v>
      </c>
      <c r="H2405" s="18">
        <f>E2405* 0.000355555555555556</f>
        <v>0</v>
      </c>
    </row>
    <row r="2406" ht="15.75" hidden="1" customHeight="1">
      <c r="A2406" s="15" t="s">
        <v>224</v>
      </c>
      <c r="B2406" s="11" t="s">
        <v>258</v>
      </c>
      <c r="C2406" s="15"/>
      <c r="D2406" s="16" t="s">
        <v>12</v>
      </c>
      <c r="E2406" s="23">
        <v>64.0</v>
      </c>
      <c r="F2406" s="18">
        <f>E2406* 0.802335182557089</f>
        <v>51.34945168</v>
      </c>
      <c r="G2406" s="18">
        <f>E2406* 0.124687137143594</f>
        <v>7.979976777</v>
      </c>
      <c r="H2406" s="18">
        <f>E2406* 0.0729583279576829</f>
        <v>4.669332989</v>
      </c>
    </row>
    <row r="2407" ht="15.75" hidden="1" customHeight="1">
      <c r="A2407" s="15" t="s">
        <v>224</v>
      </c>
      <c r="B2407" s="8"/>
      <c r="C2407" s="8"/>
      <c r="D2407" s="9"/>
      <c r="E2407" s="29"/>
    </row>
    <row r="2408" ht="15.75" hidden="1" customHeight="1">
      <c r="A2408" s="15" t="s">
        <v>224</v>
      </c>
      <c r="B2408" s="11" t="s">
        <v>259</v>
      </c>
      <c r="C2408" s="12" t="str">
        <f>B2408&amp;"_"&amp;A2408</f>
        <v>San Javier (SCZ)_Santa Cruz</v>
      </c>
      <c r="E2408" s="22">
        <v>101.0</v>
      </c>
      <c r="F2408" s="14">
        <f t="shared" ref="F2408:H2408" si="217">SUM(F2409:F2416)</f>
        <v>74.41321455</v>
      </c>
      <c r="G2408" s="14">
        <f t="shared" si="217"/>
        <v>17.54286115</v>
      </c>
      <c r="H2408" s="14">
        <f t="shared" si="217"/>
        <v>9.030843905</v>
      </c>
    </row>
    <row r="2409" ht="15.75" hidden="1" customHeight="1">
      <c r="A2409" s="15" t="s">
        <v>224</v>
      </c>
      <c r="B2409" s="11" t="s">
        <v>259</v>
      </c>
      <c r="C2409" s="15"/>
      <c r="D2409" s="16" t="s">
        <v>14</v>
      </c>
      <c r="E2409" s="23">
        <v>0.0</v>
      </c>
      <c r="F2409" s="20">
        <v>0.0</v>
      </c>
      <c r="G2409" s="24">
        <f>E2409</f>
        <v>0</v>
      </c>
      <c r="H2409" s="20">
        <v>0.0</v>
      </c>
    </row>
    <row r="2410" ht="15.75" hidden="1" customHeight="1">
      <c r="A2410" s="15" t="s">
        <v>224</v>
      </c>
      <c r="B2410" s="11" t="s">
        <v>259</v>
      </c>
      <c r="C2410" s="15"/>
      <c r="D2410" s="16" t="s">
        <v>15</v>
      </c>
      <c r="E2410" s="23">
        <v>2.0</v>
      </c>
      <c r="F2410" s="18">
        <f>E2410* 0.932303048052446</f>
        <v>1.864606096</v>
      </c>
      <c r="G2410" s="18">
        <f>E2410* 0.0217058280204555</f>
        <v>0.04341165604</v>
      </c>
      <c r="H2410" s="18">
        <f>E2410* 0.0459798598751943</f>
        <v>0.09195971975</v>
      </c>
    </row>
    <row r="2411" ht="15.75" hidden="1" customHeight="1">
      <c r="A2411" s="15" t="s">
        <v>224</v>
      </c>
      <c r="B2411" s="11" t="s">
        <v>259</v>
      </c>
      <c r="C2411" s="15"/>
      <c r="D2411" s="16" t="s">
        <v>11</v>
      </c>
      <c r="E2411" s="23">
        <v>3.0</v>
      </c>
      <c r="F2411" s="18">
        <f>E2411* 0.083479491676667</f>
        <v>0.250438475</v>
      </c>
      <c r="G2411" s="18">
        <f>E2411* 0.913505030924029</f>
        <v>2.740515093</v>
      </c>
      <c r="H2411" s="18">
        <f>E2411* 0.00292316686667282</f>
        <v>0.0087695006</v>
      </c>
    </row>
    <row r="2412" ht="15.75" hidden="1" customHeight="1">
      <c r="A2412" s="15" t="s">
        <v>224</v>
      </c>
      <c r="B2412" s="11" t="s">
        <v>259</v>
      </c>
      <c r="C2412" s="15"/>
      <c r="D2412" s="16" t="s">
        <v>17</v>
      </c>
      <c r="E2412" s="23">
        <v>11.0</v>
      </c>
      <c r="F2412" s="18">
        <f>E2412* 0.752045572242362</f>
        <v>8.272501295</v>
      </c>
      <c r="G2412" s="18">
        <f>E2412* 0.185827723114103</f>
        <v>2.044104954</v>
      </c>
      <c r="H2412" s="18">
        <f>E2412* 0.0620921802175039</f>
        <v>0.6830139824</v>
      </c>
    </row>
    <row r="2413" ht="15.75" hidden="1" customHeight="1">
      <c r="A2413" s="15" t="s">
        <v>224</v>
      </c>
      <c r="B2413" s="11" t="s">
        <v>259</v>
      </c>
      <c r="C2413" s="15"/>
      <c r="D2413" s="16" t="s">
        <v>18</v>
      </c>
      <c r="E2413" s="23">
        <v>5.0</v>
      </c>
      <c r="F2413" s="18">
        <f>E2413* 0.893702527830246</f>
        <v>4.468512639</v>
      </c>
      <c r="G2413" s="18">
        <f>E2413* 0.0946831169875015</f>
        <v>0.4734155849</v>
      </c>
      <c r="H2413" s="18">
        <f>E2413* 0.0116143551822529</f>
        <v>0.05807177591</v>
      </c>
    </row>
    <row r="2414" ht="15.75" hidden="1" customHeight="1">
      <c r="A2414" s="15" t="s">
        <v>224</v>
      </c>
      <c r="B2414" s="11" t="s">
        <v>259</v>
      </c>
      <c r="C2414" s="15"/>
      <c r="D2414" s="16" t="s">
        <v>20</v>
      </c>
      <c r="E2414" s="23">
        <v>68.0</v>
      </c>
      <c r="F2414" s="18">
        <f>E2414* 0.734251968503937</f>
        <v>49.92913386</v>
      </c>
      <c r="G2414" s="18">
        <f>E2414* 0.158017179670723</f>
        <v>10.74516822</v>
      </c>
      <c r="H2414" s="18">
        <f>E2414* 0.107551896921976</f>
        <v>7.313528991</v>
      </c>
    </row>
    <row r="2415" ht="15.75" hidden="1" customHeight="1">
      <c r="A2415" s="15" t="s">
        <v>224</v>
      </c>
      <c r="B2415" s="11" t="s">
        <v>259</v>
      </c>
      <c r="C2415" s="15"/>
      <c r="D2415" s="16" t="s">
        <v>21</v>
      </c>
      <c r="E2415" s="23">
        <v>0.0</v>
      </c>
      <c r="F2415" s="18">
        <f>E2415* 0.999727092353423</f>
        <v>0</v>
      </c>
      <c r="G2415" s="18">
        <f>E2415* 0.0000516311763794744</f>
        <v>0</v>
      </c>
      <c r="H2415" s="18">
        <f>E2415* 0.000132765882118648</f>
        <v>0</v>
      </c>
    </row>
    <row r="2416" ht="15.75" hidden="1" customHeight="1">
      <c r="A2416" s="15" t="s">
        <v>224</v>
      </c>
      <c r="B2416" s="11" t="s">
        <v>259</v>
      </c>
      <c r="C2416" s="15"/>
      <c r="D2416" s="16" t="s">
        <v>12</v>
      </c>
      <c r="E2416" s="23">
        <v>12.0</v>
      </c>
      <c r="F2416" s="18">
        <f>E2416* 0.802335182557089</f>
        <v>9.628022191</v>
      </c>
      <c r="G2416" s="18">
        <f>E2416* 0.124687137143594</f>
        <v>1.496245646</v>
      </c>
      <c r="H2416" s="18">
        <f>E2416* 0.0729583279576829</f>
        <v>0.8754999355</v>
      </c>
    </row>
    <row r="2417" ht="15.75" hidden="1" customHeight="1">
      <c r="A2417" s="15" t="s">
        <v>224</v>
      </c>
      <c r="B2417" s="8"/>
      <c r="C2417" s="8"/>
      <c r="D2417" s="9"/>
      <c r="E2417" s="29"/>
    </row>
    <row r="2418" ht="15.75" hidden="1" customHeight="1">
      <c r="A2418" s="15" t="s">
        <v>224</v>
      </c>
      <c r="B2418" s="11" t="s">
        <v>260</v>
      </c>
      <c r="C2418" s="12" t="str">
        <f>B2418&amp;"_"&amp;A2418</f>
        <v>San José_Santa Cruz</v>
      </c>
      <c r="E2418" s="22">
        <v>604.0</v>
      </c>
      <c r="F2418" s="14">
        <f t="shared" ref="F2418:H2418" si="218">SUM(F2419:F2430)</f>
        <v>571.5898443</v>
      </c>
      <c r="G2418" s="14">
        <f t="shared" si="218"/>
        <v>22.74282844</v>
      </c>
      <c r="H2418" s="14">
        <f t="shared" si="218"/>
        <v>9.620413524</v>
      </c>
    </row>
    <row r="2419" ht="15.75" hidden="1" customHeight="1">
      <c r="A2419" s="15" t="s">
        <v>224</v>
      </c>
      <c r="B2419" s="11" t="s">
        <v>260</v>
      </c>
      <c r="C2419" s="15"/>
      <c r="D2419" s="16" t="s">
        <v>14</v>
      </c>
      <c r="E2419" s="23">
        <v>0.0</v>
      </c>
      <c r="F2419" s="20">
        <v>0.0</v>
      </c>
      <c r="G2419" s="24">
        <f>E2419</f>
        <v>0</v>
      </c>
      <c r="H2419" s="20">
        <v>0.0</v>
      </c>
    </row>
    <row r="2420" ht="15.75" hidden="1" customHeight="1">
      <c r="A2420" s="15" t="s">
        <v>224</v>
      </c>
      <c r="B2420" s="11" t="s">
        <v>260</v>
      </c>
      <c r="C2420" s="15"/>
      <c r="D2420" s="16" t="s">
        <v>15</v>
      </c>
      <c r="E2420" s="23">
        <v>4.0</v>
      </c>
      <c r="F2420" s="18">
        <f>E2420* 0.932303048052446</f>
        <v>3.729212192</v>
      </c>
      <c r="G2420" s="18">
        <f>E2420* 0.0217058280204555</f>
        <v>0.08682331208</v>
      </c>
      <c r="H2420" s="18">
        <f>E2420* 0.0459798598751943</f>
        <v>0.1839194395</v>
      </c>
    </row>
    <row r="2421" ht="15.75" hidden="1" customHeight="1">
      <c r="A2421" s="15" t="s">
        <v>224</v>
      </c>
      <c r="B2421" s="11" t="s">
        <v>260</v>
      </c>
      <c r="C2421" s="15"/>
      <c r="D2421" s="16" t="s">
        <v>16</v>
      </c>
      <c r="E2421" s="23">
        <v>0.0</v>
      </c>
      <c r="F2421" s="18">
        <f>E2421* 0.293894936109797</f>
        <v>0</v>
      </c>
      <c r="G2421" s="18">
        <f>E2421* 0.663038334122101</f>
        <v>0</v>
      </c>
      <c r="H2421" s="18">
        <f>E2421* 0.0430667297681022</f>
        <v>0</v>
      </c>
    </row>
    <row r="2422" ht="15.75" hidden="1" customHeight="1">
      <c r="A2422" s="15" t="s">
        <v>224</v>
      </c>
      <c r="B2422" s="11" t="s">
        <v>260</v>
      </c>
      <c r="C2422" s="15"/>
      <c r="D2422" s="16" t="s">
        <v>11</v>
      </c>
      <c r="E2422" s="23">
        <v>6.0</v>
      </c>
      <c r="F2422" s="18">
        <f>E2422* 0.083479491676667</f>
        <v>0.5008769501</v>
      </c>
      <c r="G2422" s="18">
        <f>E2422* 0.913505030924029</f>
        <v>5.481030186</v>
      </c>
      <c r="H2422" s="18">
        <f>E2422* 0.00292316686667282</f>
        <v>0.0175390012</v>
      </c>
    </row>
    <row r="2423" ht="15.75" hidden="1" customHeight="1">
      <c r="A2423" s="15" t="s">
        <v>224</v>
      </c>
      <c r="B2423" s="11" t="s">
        <v>260</v>
      </c>
      <c r="C2423" s="15"/>
      <c r="D2423" s="16" t="s">
        <v>17</v>
      </c>
      <c r="E2423" s="23">
        <v>16.0</v>
      </c>
      <c r="F2423" s="18">
        <f>E2423* 0.752045572242362</f>
        <v>12.03272916</v>
      </c>
      <c r="G2423" s="18">
        <f>E2423* 0.185827723114103</f>
        <v>2.97324357</v>
      </c>
      <c r="H2423" s="18">
        <f>E2423* 0.0620921802175039</f>
        <v>0.9934748835</v>
      </c>
    </row>
    <row r="2424" ht="15.75" hidden="1" customHeight="1">
      <c r="A2424" s="15" t="s">
        <v>224</v>
      </c>
      <c r="B2424" s="11" t="s">
        <v>260</v>
      </c>
      <c r="C2424" s="15"/>
      <c r="D2424" s="16" t="s">
        <v>31</v>
      </c>
      <c r="E2424" s="23">
        <v>1.0</v>
      </c>
      <c r="F2424" s="18">
        <f>E2424* 0.929131175468484</f>
        <v>0.9291311755</v>
      </c>
      <c r="G2424" s="18">
        <f>E2424* 0.0477001703577513</f>
        <v>0.04770017036</v>
      </c>
      <c r="H2424" s="18">
        <f>E2424* 0.0231686541737649</f>
        <v>0.02316865417</v>
      </c>
    </row>
    <row r="2425" ht="15.75" hidden="1" customHeight="1">
      <c r="A2425" s="15" t="s">
        <v>224</v>
      </c>
      <c r="B2425" s="11" t="s">
        <v>260</v>
      </c>
      <c r="C2425" s="15"/>
      <c r="D2425" s="16" t="s">
        <v>18</v>
      </c>
      <c r="E2425" s="23">
        <v>4.0</v>
      </c>
      <c r="F2425" s="18">
        <f>E2425* 0.893702527830246</f>
        <v>3.574810111</v>
      </c>
      <c r="G2425" s="18">
        <f>E2425* 0.0946831169875015</f>
        <v>0.378732468</v>
      </c>
      <c r="H2425" s="18">
        <f>E2425* 0.0116143551822529</f>
        <v>0.04645742073</v>
      </c>
    </row>
    <row r="2426" ht="15.75" hidden="1" customHeight="1">
      <c r="A2426" s="15" t="s">
        <v>224</v>
      </c>
      <c r="B2426" s="11" t="s">
        <v>260</v>
      </c>
      <c r="C2426" s="15"/>
      <c r="D2426" s="16" t="s">
        <v>19</v>
      </c>
      <c r="E2426" s="23">
        <v>0.0</v>
      </c>
      <c r="F2426" s="18">
        <f>E2426* 0.0299845873616365</f>
        <v>0</v>
      </c>
      <c r="G2426" s="18">
        <f>E2426* 0.96385035729298</f>
        <v>0</v>
      </c>
      <c r="H2426" s="18">
        <f>E2426* 0.00616505534538321</f>
        <v>0</v>
      </c>
    </row>
    <row r="2427" ht="15.75" hidden="1" customHeight="1">
      <c r="A2427" s="15" t="s">
        <v>224</v>
      </c>
      <c r="B2427" s="11" t="s">
        <v>260</v>
      </c>
      <c r="C2427" s="15"/>
      <c r="D2427" s="16" t="s">
        <v>20</v>
      </c>
      <c r="E2427" s="23">
        <v>16.0</v>
      </c>
      <c r="F2427" s="18">
        <f>E2427* 0.734251968503937</f>
        <v>11.7480315</v>
      </c>
      <c r="G2427" s="18">
        <f>E2427* 0.158017179670723</f>
        <v>2.528274875</v>
      </c>
      <c r="H2427" s="18">
        <f>E2427* 0.107551896921976</f>
        <v>1.720830351</v>
      </c>
    </row>
    <row r="2428" ht="15.75" hidden="1" customHeight="1">
      <c r="A2428" s="15" t="s">
        <v>224</v>
      </c>
      <c r="B2428" s="11" t="s">
        <v>260</v>
      </c>
      <c r="C2428" s="15"/>
      <c r="D2428" s="16" t="s">
        <v>21</v>
      </c>
      <c r="E2428" s="23">
        <v>465.0</v>
      </c>
      <c r="F2428" s="18">
        <f>E2428* 0.999727092353423</f>
        <v>464.8730979</v>
      </c>
      <c r="G2428" s="18">
        <f>E2428* 0.0000516311763794744</f>
        <v>0.02400849702</v>
      </c>
      <c r="H2428" s="18">
        <f>E2428* 0.000132765882118648</f>
        <v>0.06173613519</v>
      </c>
    </row>
    <row r="2429" ht="15.75" hidden="1" customHeight="1">
      <c r="A2429" s="15" t="s">
        <v>224</v>
      </c>
      <c r="B2429" s="11" t="s">
        <v>260</v>
      </c>
      <c r="C2429" s="15"/>
      <c r="D2429" s="16" t="s">
        <v>36</v>
      </c>
      <c r="E2429" s="23">
        <v>2.0</v>
      </c>
      <c r="F2429" s="18">
        <f>E2429* 0.995894428152493</f>
        <v>1.991788856</v>
      </c>
      <c r="G2429" s="18">
        <f>E2429* 0.000586510263929619</f>
        <v>0.001173020528</v>
      </c>
      <c r="H2429" s="18">
        <f>E2429* 0.00351906158357771</f>
        <v>0.007038123167</v>
      </c>
    </row>
    <row r="2430" ht="15.75" hidden="1" customHeight="1">
      <c r="A2430" s="15" t="s">
        <v>224</v>
      </c>
      <c r="B2430" s="11" t="s">
        <v>260</v>
      </c>
      <c r="C2430" s="15"/>
      <c r="D2430" s="16" t="s">
        <v>12</v>
      </c>
      <c r="E2430" s="23">
        <v>90.0</v>
      </c>
      <c r="F2430" s="18">
        <f>E2430* 0.802335182557089</f>
        <v>72.21016643</v>
      </c>
      <c r="G2430" s="18">
        <f>E2430* 0.124687137143594</f>
        <v>11.22184234</v>
      </c>
      <c r="H2430" s="18">
        <f>E2430* 0.0729583279576829</f>
        <v>6.566249516</v>
      </c>
    </row>
    <row r="2431" ht="15.75" hidden="1" customHeight="1">
      <c r="A2431" s="15" t="s">
        <v>224</v>
      </c>
      <c r="B2431" s="8"/>
      <c r="C2431" s="8"/>
      <c r="D2431" s="9"/>
      <c r="E2431" s="29"/>
    </row>
    <row r="2432" ht="15.75" hidden="1" customHeight="1">
      <c r="A2432" s="15" t="s">
        <v>224</v>
      </c>
      <c r="B2432" s="11" t="s">
        <v>261</v>
      </c>
      <c r="C2432" s="12" t="str">
        <f>B2432&amp;"_"&amp;A2432</f>
        <v>San Juan_Santa Cruz</v>
      </c>
      <c r="E2432" s="22">
        <v>906.0</v>
      </c>
      <c r="F2432" s="14">
        <f t="shared" ref="F2432:H2432" si="219">SUM(F2433:F2446)</f>
        <v>726.7244829</v>
      </c>
      <c r="G2432" s="14">
        <f t="shared" si="219"/>
        <v>148.6542994</v>
      </c>
      <c r="H2432" s="14">
        <f t="shared" si="219"/>
        <v>30.57384281</v>
      </c>
    </row>
    <row r="2433" ht="15.75" hidden="1" customHeight="1">
      <c r="A2433" s="15" t="s">
        <v>224</v>
      </c>
      <c r="B2433" s="11" t="s">
        <v>261</v>
      </c>
      <c r="C2433" s="15"/>
      <c r="D2433" s="16" t="s">
        <v>14</v>
      </c>
      <c r="E2433" s="23">
        <v>0.0</v>
      </c>
      <c r="F2433" s="20">
        <v>0.0</v>
      </c>
      <c r="G2433" s="24">
        <f>E2433</f>
        <v>0</v>
      </c>
      <c r="H2433" s="20">
        <v>0.0</v>
      </c>
    </row>
    <row r="2434" ht="15.75" hidden="1" customHeight="1">
      <c r="A2434" s="15" t="s">
        <v>224</v>
      </c>
      <c r="B2434" s="11" t="s">
        <v>261</v>
      </c>
      <c r="C2434" s="15"/>
      <c r="D2434" s="16" t="s">
        <v>15</v>
      </c>
      <c r="E2434" s="23">
        <v>48.0</v>
      </c>
      <c r="F2434" s="18">
        <f>E2434* 0.932303048052446</f>
        <v>44.75054631</v>
      </c>
      <c r="G2434" s="18">
        <f>E2434* 0.0217058280204555</f>
        <v>1.041879745</v>
      </c>
      <c r="H2434" s="18">
        <f>E2434* 0.0459798598751943</f>
        <v>2.207033274</v>
      </c>
    </row>
    <row r="2435" ht="15.75" hidden="1" customHeight="1">
      <c r="A2435" s="15" t="s">
        <v>224</v>
      </c>
      <c r="B2435" s="11" t="s">
        <v>261</v>
      </c>
      <c r="C2435" s="15"/>
      <c r="D2435" s="16" t="s">
        <v>16</v>
      </c>
      <c r="E2435" s="23">
        <v>3.0</v>
      </c>
      <c r="F2435" s="18">
        <f>E2435* 0.293894936109797</f>
        <v>0.8816848083</v>
      </c>
      <c r="G2435" s="18">
        <f>E2435* 0.663038334122101</f>
        <v>1.989115002</v>
      </c>
      <c r="H2435" s="18">
        <f>E2435* 0.0430667297681022</f>
        <v>0.1292001893</v>
      </c>
    </row>
    <row r="2436" ht="15.75" hidden="1" customHeight="1">
      <c r="A2436" s="15" t="s">
        <v>224</v>
      </c>
      <c r="B2436" s="11" t="s">
        <v>261</v>
      </c>
      <c r="C2436" s="15"/>
      <c r="D2436" s="16" t="s">
        <v>11</v>
      </c>
      <c r="E2436" s="23">
        <v>70.0</v>
      </c>
      <c r="F2436" s="18">
        <f>E2436* 0.083479491676667</f>
        <v>5.843564417</v>
      </c>
      <c r="G2436" s="18">
        <f>E2436* 0.913505030924029</f>
        <v>63.94535216</v>
      </c>
      <c r="H2436" s="18">
        <f>E2436* 0.00292316686667282</f>
        <v>0.2046216807</v>
      </c>
    </row>
    <row r="2437" ht="15.75" hidden="1" customHeight="1">
      <c r="A2437" s="15" t="s">
        <v>224</v>
      </c>
      <c r="B2437" s="11" t="s">
        <v>261</v>
      </c>
      <c r="C2437" s="15"/>
      <c r="D2437" s="16" t="s">
        <v>17</v>
      </c>
      <c r="E2437" s="23">
        <v>220.0</v>
      </c>
      <c r="F2437" s="18">
        <f>E2437* 0.752045572242362</f>
        <v>165.4500259</v>
      </c>
      <c r="G2437" s="18">
        <f>E2437* 0.185827723114103</f>
        <v>40.88209909</v>
      </c>
      <c r="H2437" s="18">
        <f>E2437* 0.0620921802175039</f>
        <v>13.66027965</v>
      </c>
    </row>
    <row r="2438" ht="15.75" hidden="1" customHeight="1">
      <c r="A2438" s="15" t="s">
        <v>224</v>
      </c>
      <c r="B2438" s="11" t="s">
        <v>261</v>
      </c>
      <c r="C2438" s="15"/>
      <c r="D2438" s="16" t="s">
        <v>31</v>
      </c>
      <c r="E2438" s="23">
        <v>2.0</v>
      </c>
      <c r="F2438" s="18">
        <f>E2438* 0.929131175468484</f>
        <v>1.858262351</v>
      </c>
      <c r="G2438" s="18">
        <f>E2438* 0.0477001703577513</f>
        <v>0.09540034072</v>
      </c>
      <c r="H2438" s="18">
        <f>E2438* 0.0231686541737649</f>
        <v>0.04633730835</v>
      </c>
    </row>
    <row r="2439" ht="15.75" hidden="1" customHeight="1">
      <c r="A2439" s="15" t="s">
        <v>224</v>
      </c>
      <c r="B2439" s="11" t="s">
        <v>261</v>
      </c>
      <c r="C2439" s="15"/>
      <c r="D2439" s="16" t="s">
        <v>18</v>
      </c>
      <c r="E2439" s="23">
        <v>34.0</v>
      </c>
      <c r="F2439" s="18">
        <f>E2439* 0.893702527830246</f>
        <v>30.38588595</v>
      </c>
      <c r="G2439" s="18">
        <f>E2439* 0.0946831169875015</f>
        <v>3.219225978</v>
      </c>
      <c r="H2439" s="18">
        <f>E2439* 0.0116143551822529</f>
        <v>0.3948880762</v>
      </c>
    </row>
    <row r="2440" ht="15.75" hidden="1" customHeight="1">
      <c r="A2440" s="15" t="s">
        <v>224</v>
      </c>
      <c r="B2440" s="11" t="s">
        <v>261</v>
      </c>
      <c r="C2440" s="15"/>
      <c r="D2440" s="16" t="s">
        <v>35</v>
      </c>
      <c r="E2440" s="23">
        <v>0.0</v>
      </c>
      <c r="F2440" s="20">
        <v>0.0</v>
      </c>
      <c r="G2440" s="24">
        <f>E2440</f>
        <v>0</v>
      </c>
      <c r="H2440" s="20">
        <v>0.0</v>
      </c>
    </row>
    <row r="2441" ht="15.75" hidden="1" customHeight="1">
      <c r="A2441" s="15" t="s">
        <v>224</v>
      </c>
      <c r="B2441" s="11" t="s">
        <v>261</v>
      </c>
      <c r="C2441" s="15"/>
      <c r="D2441" s="16" t="s">
        <v>19</v>
      </c>
      <c r="E2441" s="23">
        <v>2.0</v>
      </c>
      <c r="F2441" s="18">
        <f>E2441* 0.0299845873616365</f>
        <v>0.05996917472</v>
      </c>
      <c r="G2441" s="18">
        <f>E2441* 0.96385035729298</f>
        <v>1.927700715</v>
      </c>
      <c r="H2441" s="18">
        <f>E2441* 0.00616505534538321</f>
        <v>0.01233011069</v>
      </c>
    </row>
    <row r="2442" ht="15.75" hidden="1" customHeight="1">
      <c r="A2442" s="15" t="s">
        <v>224</v>
      </c>
      <c r="B2442" s="11" t="s">
        <v>261</v>
      </c>
      <c r="C2442" s="15"/>
      <c r="D2442" s="16" t="s">
        <v>20</v>
      </c>
      <c r="E2442" s="23">
        <v>4.0</v>
      </c>
      <c r="F2442" s="18">
        <f>E2442* 0.734251968503937</f>
        <v>2.937007874</v>
      </c>
      <c r="G2442" s="18">
        <f>E2442* 0.158017179670723</f>
        <v>0.6320687187</v>
      </c>
      <c r="H2442" s="18">
        <f>E2442* 0.107551896921976</f>
        <v>0.4302075877</v>
      </c>
    </row>
    <row r="2443" ht="15.75" hidden="1" customHeight="1">
      <c r="A2443" s="15" t="s">
        <v>224</v>
      </c>
      <c r="B2443" s="11" t="s">
        <v>261</v>
      </c>
      <c r="C2443" s="15"/>
      <c r="D2443" s="16" t="s">
        <v>21</v>
      </c>
      <c r="E2443" s="23">
        <v>322.0</v>
      </c>
      <c r="F2443" s="18">
        <f>E2443* 0.999727092353423</f>
        <v>321.9121237</v>
      </c>
      <c r="G2443" s="18">
        <f>E2443* 0.0000516311763794744</f>
        <v>0.01662523879</v>
      </c>
      <c r="H2443" s="18">
        <f>E2443* 0.000132765882118648</f>
        <v>0.04275061404</v>
      </c>
    </row>
    <row r="2444" ht="15.75" hidden="1" customHeight="1">
      <c r="A2444" s="15" t="s">
        <v>224</v>
      </c>
      <c r="B2444" s="11" t="s">
        <v>261</v>
      </c>
      <c r="C2444" s="15"/>
      <c r="D2444" s="16" t="s">
        <v>36</v>
      </c>
      <c r="E2444" s="23">
        <v>5.0</v>
      </c>
      <c r="F2444" s="18">
        <f>E2444* 0.995894428152493</f>
        <v>4.979472141</v>
      </c>
      <c r="G2444" s="18">
        <f>E2444* 0.000586510263929619</f>
        <v>0.00293255132</v>
      </c>
      <c r="H2444" s="18">
        <f>E2444* 0.00351906158357771</f>
        <v>0.01759530792</v>
      </c>
    </row>
    <row r="2445" ht="15.75" hidden="1" customHeight="1">
      <c r="A2445" s="15" t="s">
        <v>224</v>
      </c>
      <c r="B2445" s="11" t="s">
        <v>261</v>
      </c>
      <c r="C2445" s="15"/>
      <c r="D2445" s="16" t="s">
        <v>28</v>
      </c>
      <c r="E2445" s="23">
        <v>12.0</v>
      </c>
      <c r="F2445" s="18">
        <f>E2445* 0.00302222222222222</f>
        <v>0.03626666667</v>
      </c>
      <c r="G2445" s="18">
        <f>E2445* 0.996622222222222</f>
        <v>11.95946667</v>
      </c>
      <c r="H2445" s="18">
        <f>E2445* 0.000355555555555556</f>
        <v>0.004266666667</v>
      </c>
    </row>
    <row r="2446" ht="15.75" hidden="1" customHeight="1">
      <c r="A2446" s="15" t="s">
        <v>224</v>
      </c>
      <c r="B2446" s="11" t="s">
        <v>261</v>
      </c>
      <c r="C2446" s="15"/>
      <c r="D2446" s="16" t="s">
        <v>12</v>
      </c>
      <c r="E2446" s="23">
        <v>184.0</v>
      </c>
      <c r="F2446" s="18">
        <f>E2446* 0.802335182557089</f>
        <v>147.6296736</v>
      </c>
      <c r="G2446" s="18">
        <f>E2446* 0.124687137143594</f>
        <v>22.94243323</v>
      </c>
      <c r="H2446" s="18">
        <f>E2446* 0.0729583279576829</f>
        <v>13.42433234</v>
      </c>
    </row>
    <row r="2447" ht="15.75" hidden="1" customHeight="1">
      <c r="A2447" s="15" t="s">
        <v>224</v>
      </c>
      <c r="B2447" s="8"/>
      <c r="C2447" s="8"/>
      <c r="D2447" s="9"/>
      <c r="E2447" s="29"/>
    </row>
    <row r="2448" ht="15.75" hidden="1" customHeight="1">
      <c r="A2448" s="15" t="s">
        <v>224</v>
      </c>
      <c r="B2448" s="11" t="s">
        <v>262</v>
      </c>
      <c r="C2448" s="12" t="str">
        <f>B2448&amp;"_"&amp;A2448</f>
        <v>San Julián_Santa Cruz</v>
      </c>
      <c r="E2448" s="22">
        <v>3785.0</v>
      </c>
      <c r="F2448" s="14">
        <f t="shared" ref="F2448:H2448" si="220">SUM(F2449:F2460)</f>
        <v>3311.765761</v>
      </c>
      <c r="G2448" s="14">
        <f t="shared" si="220"/>
        <v>383.933916</v>
      </c>
      <c r="H2448" s="14">
        <f t="shared" si="220"/>
        <v>89.04937818</v>
      </c>
    </row>
    <row r="2449" ht="15.75" hidden="1" customHeight="1">
      <c r="A2449" s="15" t="s">
        <v>224</v>
      </c>
      <c r="B2449" s="11" t="s">
        <v>262</v>
      </c>
      <c r="C2449" s="15"/>
      <c r="D2449" s="16" t="s">
        <v>15</v>
      </c>
      <c r="E2449" s="23">
        <v>63.0</v>
      </c>
      <c r="F2449" s="18">
        <f>E2449* 0.932303048052446</f>
        <v>58.73509203</v>
      </c>
      <c r="G2449" s="18">
        <f>E2449* 0.0217058280204555</f>
        <v>1.367467165</v>
      </c>
      <c r="H2449" s="18">
        <f>E2449* 0.0459798598751943</f>
        <v>2.896731172</v>
      </c>
    </row>
    <row r="2450" ht="15.75" hidden="1" customHeight="1">
      <c r="A2450" s="15" t="s">
        <v>224</v>
      </c>
      <c r="B2450" s="11" t="s">
        <v>262</v>
      </c>
      <c r="C2450" s="15"/>
      <c r="D2450" s="16" t="s">
        <v>16</v>
      </c>
      <c r="E2450" s="23">
        <v>2.0</v>
      </c>
      <c r="F2450" s="18">
        <f>E2450* 0.293894936109797</f>
        <v>0.5877898722</v>
      </c>
      <c r="G2450" s="18">
        <f>E2450* 0.663038334122101</f>
        <v>1.326076668</v>
      </c>
      <c r="H2450" s="18">
        <f>E2450* 0.0430667297681022</f>
        <v>0.08613345954</v>
      </c>
    </row>
    <row r="2451" ht="15.75" hidden="1" customHeight="1">
      <c r="A2451" s="15" t="s">
        <v>224</v>
      </c>
      <c r="B2451" s="11" t="s">
        <v>262</v>
      </c>
      <c r="C2451" s="15"/>
      <c r="D2451" s="16" t="s">
        <v>11</v>
      </c>
      <c r="E2451" s="23">
        <v>210.0</v>
      </c>
      <c r="F2451" s="18">
        <f>E2451* 0.083479491676667</f>
        <v>17.53069325</v>
      </c>
      <c r="G2451" s="18">
        <f>E2451* 0.913505030924029</f>
        <v>191.8360565</v>
      </c>
      <c r="H2451" s="18">
        <f>E2451* 0.00292316686667282</f>
        <v>0.613865042</v>
      </c>
    </row>
    <row r="2452" ht="15.75" hidden="1" customHeight="1">
      <c r="A2452" s="15" t="s">
        <v>224</v>
      </c>
      <c r="B2452" s="11" t="s">
        <v>262</v>
      </c>
      <c r="C2452" s="15"/>
      <c r="D2452" s="16" t="s">
        <v>17</v>
      </c>
      <c r="E2452" s="23">
        <v>229.0</v>
      </c>
      <c r="F2452" s="18">
        <f>E2452* 0.752045572242362</f>
        <v>172.218436</v>
      </c>
      <c r="G2452" s="18">
        <f>E2452* 0.185827723114103</f>
        <v>42.55454859</v>
      </c>
      <c r="H2452" s="18">
        <f>E2452* 0.0620921802175039</f>
        <v>14.21910927</v>
      </c>
    </row>
    <row r="2453" ht="15.75" hidden="1" customHeight="1">
      <c r="A2453" s="15" t="s">
        <v>224</v>
      </c>
      <c r="B2453" s="11" t="s">
        <v>262</v>
      </c>
      <c r="C2453" s="15"/>
      <c r="D2453" s="16" t="s">
        <v>31</v>
      </c>
      <c r="E2453" s="23">
        <v>2.0</v>
      </c>
      <c r="F2453" s="18">
        <f>E2453* 0.929131175468484</f>
        <v>1.858262351</v>
      </c>
      <c r="G2453" s="18">
        <f>E2453* 0.0477001703577513</f>
        <v>0.09540034072</v>
      </c>
      <c r="H2453" s="18">
        <f>E2453* 0.0231686541737649</f>
        <v>0.04633730835</v>
      </c>
    </row>
    <row r="2454" ht="15.75" hidden="1" customHeight="1">
      <c r="A2454" s="15" t="s">
        <v>224</v>
      </c>
      <c r="B2454" s="11" t="s">
        <v>262</v>
      </c>
      <c r="C2454" s="15"/>
      <c r="D2454" s="16" t="s">
        <v>18</v>
      </c>
      <c r="E2454" s="23">
        <v>36.0</v>
      </c>
      <c r="F2454" s="18">
        <f>E2454* 0.893702527830246</f>
        <v>32.173291</v>
      </c>
      <c r="G2454" s="18">
        <f>E2454* 0.0946831169875015</f>
        <v>3.408592212</v>
      </c>
      <c r="H2454" s="18">
        <f>E2454* 0.0116143551822529</f>
        <v>0.4181167866</v>
      </c>
    </row>
    <row r="2455" ht="15.75" hidden="1" customHeight="1">
      <c r="A2455" s="15" t="s">
        <v>224</v>
      </c>
      <c r="B2455" s="11" t="s">
        <v>262</v>
      </c>
      <c r="C2455" s="15"/>
      <c r="D2455" s="16" t="s">
        <v>19</v>
      </c>
      <c r="E2455" s="23">
        <v>9.0</v>
      </c>
      <c r="F2455" s="18">
        <f>E2455* 0.0299845873616365</f>
        <v>0.2698612863</v>
      </c>
      <c r="G2455" s="18">
        <f>E2455* 0.96385035729298</f>
        <v>8.674653216</v>
      </c>
      <c r="H2455" s="18">
        <f>E2455* 0.00616505534538321</f>
        <v>0.05548549811</v>
      </c>
    </row>
    <row r="2456" ht="15.75" hidden="1" customHeight="1">
      <c r="A2456" s="15" t="s">
        <v>224</v>
      </c>
      <c r="B2456" s="11" t="s">
        <v>262</v>
      </c>
      <c r="C2456" s="15"/>
      <c r="D2456" s="16" t="s">
        <v>20</v>
      </c>
      <c r="E2456" s="23">
        <v>27.0</v>
      </c>
      <c r="F2456" s="18">
        <f>E2456* 0.734251968503937</f>
        <v>19.82480315</v>
      </c>
      <c r="G2456" s="18">
        <f>E2456* 0.158017179670723</f>
        <v>4.266463851</v>
      </c>
      <c r="H2456" s="18">
        <f>E2456* 0.107551896921976</f>
        <v>2.903901217</v>
      </c>
    </row>
    <row r="2457" ht="15.75" hidden="1" customHeight="1">
      <c r="A2457" s="15" t="s">
        <v>224</v>
      </c>
      <c r="B2457" s="11" t="s">
        <v>262</v>
      </c>
      <c r="C2457" s="15"/>
      <c r="D2457" s="16" t="s">
        <v>21</v>
      </c>
      <c r="E2457" s="23">
        <v>2262.0</v>
      </c>
      <c r="F2457" s="18">
        <f>E2457* 0.999727092353423</f>
        <v>2261.382683</v>
      </c>
      <c r="G2457" s="18">
        <f>E2457* 0.0000516311763794744</f>
        <v>0.116789721</v>
      </c>
      <c r="H2457" s="18">
        <f>E2457* 0.000132765882118648</f>
        <v>0.3003164254</v>
      </c>
    </row>
    <row r="2458" ht="15.75" hidden="1" customHeight="1">
      <c r="A2458" s="15" t="s">
        <v>224</v>
      </c>
      <c r="B2458" s="11" t="s">
        <v>262</v>
      </c>
      <c r="C2458" s="15"/>
      <c r="D2458" s="16" t="s">
        <v>36</v>
      </c>
      <c r="E2458" s="23">
        <v>5.0</v>
      </c>
      <c r="F2458" s="18">
        <f>E2458* 0.995894428152493</f>
        <v>4.979472141</v>
      </c>
      <c r="G2458" s="18">
        <f>E2458* 0.000586510263929619</f>
        <v>0.00293255132</v>
      </c>
      <c r="H2458" s="18">
        <f>E2458* 0.00351906158357771</f>
        <v>0.01759530792</v>
      </c>
    </row>
    <row r="2459" ht="15.75" hidden="1" customHeight="1">
      <c r="A2459" s="15" t="s">
        <v>224</v>
      </c>
      <c r="B2459" s="11" t="s">
        <v>262</v>
      </c>
      <c r="C2459" s="15"/>
      <c r="D2459" s="16" t="s">
        <v>148</v>
      </c>
      <c r="E2459" s="23">
        <v>15.0</v>
      </c>
      <c r="F2459" s="18">
        <f>E2459* 0.00302222222222222</f>
        <v>0.04533333333</v>
      </c>
      <c r="G2459" s="18">
        <f>E2459* 0.996622222222222</f>
        <v>14.94933333</v>
      </c>
      <c r="H2459" s="18">
        <f>E2459* 0.000355555555555556</f>
        <v>0.005333333333</v>
      </c>
    </row>
    <row r="2460" ht="15.75" hidden="1" customHeight="1">
      <c r="A2460" s="15" t="s">
        <v>224</v>
      </c>
      <c r="B2460" s="11" t="s">
        <v>262</v>
      </c>
      <c r="C2460" s="15"/>
      <c r="D2460" s="16" t="s">
        <v>12</v>
      </c>
      <c r="E2460" s="23">
        <v>925.0</v>
      </c>
      <c r="F2460" s="18">
        <f>E2460* 0.802335182557089</f>
        <v>742.1600439</v>
      </c>
      <c r="G2460" s="18">
        <f>E2460* 0.124687137143594</f>
        <v>115.3356019</v>
      </c>
      <c r="H2460" s="18">
        <f>E2460* 0.0729583279576829</f>
        <v>67.48645336</v>
      </c>
    </row>
    <row r="2461" ht="15.75" hidden="1" customHeight="1">
      <c r="A2461" s="15" t="s">
        <v>224</v>
      </c>
      <c r="B2461" s="8"/>
      <c r="C2461" s="8"/>
      <c r="D2461" s="9"/>
      <c r="E2461" s="29"/>
    </row>
    <row r="2462" ht="15.75" hidden="1" customHeight="1">
      <c r="A2462" s="15" t="s">
        <v>224</v>
      </c>
      <c r="B2462" s="11" t="s">
        <v>263</v>
      </c>
      <c r="C2462" s="12" t="str">
        <f>B2462&amp;"_"&amp;A2462</f>
        <v>San Matías_Santa Cruz</v>
      </c>
      <c r="E2462" s="22">
        <v>1.0</v>
      </c>
      <c r="F2462" s="14">
        <f t="shared" ref="F2462:H2462" si="221">F2463</f>
        <v>0.7520455722</v>
      </c>
      <c r="G2462" s="14">
        <f t="shared" si="221"/>
        <v>0.1858277231</v>
      </c>
      <c r="H2462" s="14">
        <f t="shared" si="221"/>
        <v>0.06209218022</v>
      </c>
    </row>
    <row r="2463" ht="15.75" hidden="1" customHeight="1">
      <c r="A2463" s="15" t="s">
        <v>224</v>
      </c>
      <c r="B2463" s="11" t="s">
        <v>263</v>
      </c>
      <c r="C2463" s="15"/>
      <c r="D2463" s="16" t="s">
        <v>17</v>
      </c>
      <c r="E2463" s="23">
        <v>1.0</v>
      </c>
      <c r="F2463" s="18">
        <f>E2463* 0.752045572242362</f>
        <v>0.7520455722</v>
      </c>
      <c r="G2463" s="18">
        <f>E2463* 0.185827723114103</f>
        <v>0.1858277231</v>
      </c>
      <c r="H2463" s="18">
        <f>E2463* 0.0620921802175039</f>
        <v>0.06209218022</v>
      </c>
    </row>
    <row r="2464" ht="15.75" hidden="1" customHeight="1">
      <c r="A2464" s="15" t="s">
        <v>224</v>
      </c>
      <c r="B2464" s="8"/>
      <c r="C2464" s="8"/>
      <c r="D2464" s="9"/>
      <c r="E2464" s="29"/>
    </row>
    <row r="2465" ht="15.75" hidden="1" customHeight="1">
      <c r="A2465" s="15" t="s">
        <v>224</v>
      </c>
      <c r="B2465" s="11" t="s">
        <v>264</v>
      </c>
      <c r="C2465" s="12" t="str">
        <f>B2465&amp;"_"&amp;A2465</f>
        <v>San Miguel_Santa Cruz</v>
      </c>
      <c r="E2465" s="22">
        <v>1.0</v>
      </c>
      <c r="F2465" s="14">
        <f t="shared" ref="F2465:H2465" si="222">SUM(F2466:F2471)</f>
        <v>0.7520455722</v>
      </c>
      <c r="G2465" s="14">
        <f t="shared" si="222"/>
        <v>0.1858277231</v>
      </c>
      <c r="H2465" s="14">
        <f t="shared" si="222"/>
        <v>0.06209218022</v>
      </c>
    </row>
    <row r="2466" ht="15.75" hidden="1" customHeight="1">
      <c r="A2466" s="15" t="s">
        <v>224</v>
      </c>
      <c r="B2466" s="11" t="s">
        <v>264</v>
      </c>
      <c r="C2466" s="15"/>
      <c r="D2466" s="16" t="s">
        <v>14</v>
      </c>
      <c r="E2466" s="23">
        <v>0.0</v>
      </c>
      <c r="F2466" s="20">
        <v>0.0</v>
      </c>
      <c r="G2466" s="24">
        <f>E2466</f>
        <v>0</v>
      </c>
      <c r="H2466" s="20">
        <v>0.0</v>
      </c>
    </row>
    <row r="2467" ht="15.75" hidden="1" customHeight="1">
      <c r="A2467" s="15" t="s">
        <v>224</v>
      </c>
      <c r="B2467" s="11" t="s">
        <v>264</v>
      </c>
      <c r="C2467" s="15"/>
      <c r="D2467" s="16" t="s">
        <v>11</v>
      </c>
      <c r="E2467" s="23">
        <v>0.0</v>
      </c>
      <c r="F2467" s="18">
        <f>E2467* 0.083479491676667</f>
        <v>0</v>
      </c>
      <c r="G2467" s="18">
        <f>E2467* 0.913505030924029</f>
        <v>0</v>
      </c>
      <c r="H2467" s="18">
        <f>E2467* 0.00292316686667282</f>
        <v>0</v>
      </c>
    </row>
    <row r="2468" ht="15.75" hidden="1" customHeight="1">
      <c r="A2468" s="15" t="s">
        <v>224</v>
      </c>
      <c r="B2468" s="11" t="s">
        <v>264</v>
      </c>
      <c r="C2468" s="15"/>
      <c r="D2468" s="16" t="s">
        <v>17</v>
      </c>
      <c r="E2468" s="23">
        <v>1.0</v>
      </c>
      <c r="F2468" s="18">
        <f>E2468* 0.752045572242362</f>
        <v>0.7520455722</v>
      </c>
      <c r="G2468" s="18">
        <f>E2468* 0.185827723114103</f>
        <v>0.1858277231</v>
      </c>
      <c r="H2468" s="18">
        <f>E2468* 0.0620921802175039</f>
        <v>0.06209218022</v>
      </c>
    </row>
    <row r="2469" ht="15.75" hidden="1" customHeight="1">
      <c r="A2469" s="15" t="s">
        <v>224</v>
      </c>
      <c r="B2469" s="11" t="s">
        <v>264</v>
      </c>
      <c r="C2469" s="15"/>
      <c r="D2469" s="16" t="s">
        <v>18</v>
      </c>
      <c r="E2469" s="23">
        <v>0.0</v>
      </c>
      <c r="F2469" s="18">
        <f>E2469* 0.893702527830246</f>
        <v>0</v>
      </c>
      <c r="G2469" s="18">
        <f>E2469* 0.0946831169875015</f>
        <v>0</v>
      </c>
      <c r="H2469" s="18">
        <f>E2469* 0.0116143551822529</f>
        <v>0</v>
      </c>
    </row>
    <row r="2470" ht="15.75" hidden="1" customHeight="1">
      <c r="A2470" s="15" t="s">
        <v>224</v>
      </c>
      <c r="B2470" s="11" t="s">
        <v>264</v>
      </c>
      <c r="C2470" s="15"/>
      <c r="D2470" s="16" t="s">
        <v>21</v>
      </c>
      <c r="E2470" s="23">
        <v>0.0</v>
      </c>
      <c r="F2470" s="18">
        <f>E2470* 0.999727092353423</f>
        <v>0</v>
      </c>
      <c r="G2470" s="18">
        <f>E2470* 0.0000516311763794744</f>
        <v>0</v>
      </c>
      <c r="H2470" s="18">
        <f>E2470* 0.000132765882118648</f>
        <v>0</v>
      </c>
    </row>
    <row r="2471" ht="15.75" hidden="1" customHeight="1">
      <c r="A2471" s="15" t="s">
        <v>224</v>
      </c>
      <c r="B2471" s="11" t="s">
        <v>264</v>
      </c>
      <c r="C2471" s="15"/>
      <c r="D2471" s="16" t="s">
        <v>12</v>
      </c>
      <c r="E2471" s="23">
        <v>0.0</v>
      </c>
      <c r="F2471" s="18">
        <f>E2471* 0.802335182557089</f>
        <v>0</v>
      </c>
      <c r="G2471" s="18">
        <f>E2471* 0.124687137143594</f>
        <v>0</v>
      </c>
      <c r="H2471" s="18">
        <f>E2471* 0.0729583279576829</f>
        <v>0</v>
      </c>
    </row>
    <row r="2472" ht="15.75" hidden="1" customHeight="1">
      <c r="A2472" s="15" t="s">
        <v>224</v>
      </c>
      <c r="B2472" s="8"/>
      <c r="C2472" s="8"/>
      <c r="D2472" s="9"/>
      <c r="E2472" s="29"/>
    </row>
    <row r="2473" ht="15.75" hidden="1" customHeight="1">
      <c r="A2473" s="15" t="s">
        <v>224</v>
      </c>
      <c r="B2473" s="11" t="s">
        <v>265</v>
      </c>
      <c r="C2473" s="12" t="str">
        <f>B2473&amp;"_"&amp;A2473</f>
        <v>San Pedro_Santa Cruz</v>
      </c>
      <c r="E2473" s="22">
        <v>666.0</v>
      </c>
      <c r="F2473" s="14">
        <f t="shared" ref="F2473:H2473" si="223">SUM(F2474:F2483)</f>
        <v>594.8187866</v>
      </c>
      <c r="G2473" s="14">
        <f t="shared" si="223"/>
        <v>60.07602004</v>
      </c>
      <c r="H2473" s="14">
        <f t="shared" si="223"/>
        <v>11.05673177</v>
      </c>
    </row>
    <row r="2474" ht="15.75" hidden="1" customHeight="1">
      <c r="A2474" s="15" t="s">
        <v>224</v>
      </c>
      <c r="B2474" s="11" t="s">
        <v>265</v>
      </c>
      <c r="C2474" s="15"/>
      <c r="D2474" s="16" t="s">
        <v>14</v>
      </c>
      <c r="E2474" s="23">
        <v>0.0</v>
      </c>
      <c r="F2474" s="20">
        <v>0.0</v>
      </c>
      <c r="G2474" s="24">
        <f>E2474</f>
        <v>0</v>
      </c>
      <c r="H2474" s="20">
        <v>0.0</v>
      </c>
    </row>
    <row r="2475" ht="15.75" hidden="1" customHeight="1">
      <c r="A2475" s="15" t="s">
        <v>224</v>
      </c>
      <c r="B2475" s="11" t="s">
        <v>265</v>
      </c>
      <c r="C2475" s="15"/>
      <c r="D2475" s="16" t="s">
        <v>15</v>
      </c>
      <c r="E2475" s="23">
        <v>6.0</v>
      </c>
      <c r="F2475" s="18">
        <f>E2475* 0.932303048052446</f>
        <v>5.593818288</v>
      </c>
      <c r="G2475" s="18">
        <f>E2475* 0.0217058280204555</f>
        <v>0.1302349681</v>
      </c>
      <c r="H2475" s="18">
        <f>E2475* 0.0459798598751943</f>
        <v>0.2758791593</v>
      </c>
    </row>
    <row r="2476" ht="15.75" hidden="1" customHeight="1">
      <c r="A2476" s="15" t="s">
        <v>224</v>
      </c>
      <c r="B2476" s="11" t="s">
        <v>265</v>
      </c>
      <c r="C2476" s="15"/>
      <c r="D2476" s="16" t="s">
        <v>11</v>
      </c>
      <c r="E2476" s="23">
        <v>38.0</v>
      </c>
      <c r="F2476" s="18">
        <f>E2476* 0.083479491676667</f>
        <v>3.172220684</v>
      </c>
      <c r="G2476" s="18">
        <f>E2476* 0.913505030924029</f>
        <v>34.71319118</v>
      </c>
      <c r="H2476" s="18">
        <f>E2476* 0.00292316686667282</f>
        <v>0.1110803409</v>
      </c>
    </row>
    <row r="2477" ht="15.75" hidden="1" customHeight="1">
      <c r="A2477" s="15" t="s">
        <v>224</v>
      </c>
      <c r="B2477" s="11" t="s">
        <v>265</v>
      </c>
      <c r="C2477" s="15"/>
      <c r="D2477" s="16" t="s">
        <v>17</v>
      </c>
      <c r="E2477" s="23">
        <v>61.0</v>
      </c>
      <c r="F2477" s="18">
        <f>E2477* 0.752045572242362</f>
        <v>45.87477991</v>
      </c>
      <c r="G2477" s="18">
        <f>E2477* 0.185827723114103</f>
        <v>11.33549111</v>
      </c>
      <c r="H2477" s="18">
        <f>E2477* 0.0620921802175039</f>
        <v>3.787622993</v>
      </c>
    </row>
    <row r="2478" ht="15.75" hidden="1" customHeight="1">
      <c r="A2478" s="15" t="s">
        <v>224</v>
      </c>
      <c r="B2478" s="11" t="s">
        <v>265</v>
      </c>
      <c r="C2478" s="15"/>
      <c r="D2478" s="16" t="s">
        <v>31</v>
      </c>
      <c r="E2478" s="23">
        <v>0.0</v>
      </c>
      <c r="F2478" s="18">
        <f>E2478* 0.929131175468484</f>
        <v>0</v>
      </c>
      <c r="G2478" s="18">
        <f>E2478* 0.0477001703577513</f>
        <v>0</v>
      </c>
      <c r="H2478" s="18">
        <f>E2478* 0.0231686541737649</f>
        <v>0</v>
      </c>
    </row>
    <row r="2479" ht="15.75" hidden="1" customHeight="1">
      <c r="A2479" s="15" t="s">
        <v>224</v>
      </c>
      <c r="B2479" s="11" t="s">
        <v>265</v>
      </c>
      <c r="C2479" s="15"/>
      <c r="D2479" s="16" t="s">
        <v>18</v>
      </c>
      <c r="E2479" s="23">
        <v>3.0</v>
      </c>
      <c r="F2479" s="18">
        <f>E2479* 0.893702527830246</f>
        <v>2.681107583</v>
      </c>
      <c r="G2479" s="18">
        <f>E2479* 0.0946831169875015</f>
        <v>0.284049351</v>
      </c>
      <c r="H2479" s="18">
        <f>E2479* 0.0116143551822529</f>
        <v>0.03484306555</v>
      </c>
    </row>
    <row r="2480" ht="15.75" hidden="1" customHeight="1">
      <c r="A2480" s="15" t="s">
        <v>224</v>
      </c>
      <c r="B2480" s="11" t="s">
        <v>265</v>
      </c>
      <c r="C2480" s="15"/>
      <c r="D2480" s="16" t="s">
        <v>20</v>
      </c>
      <c r="E2480" s="23">
        <v>0.0</v>
      </c>
      <c r="F2480" s="18">
        <f>E2480* 0.734251968503937</f>
        <v>0</v>
      </c>
      <c r="G2480" s="18">
        <f>E2480* 0.158017179670723</f>
        <v>0</v>
      </c>
      <c r="H2480" s="18">
        <f>E2480* 0.107551896921976</f>
        <v>0</v>
      </c>
    </row>
    <row r="2481" ht="15.75" hidden="1" customHeight="1">
      <c r="A2481" s="15" t="s">
        <v>224</v>
      </c>
      <c r="B2481" s="11" t="s">
        <v>265</v>
      </c>
      <c r="C2481" s="15"/>
      <c r="D2481" s="16" t="s">
        <v>21</v>
      </c>
      <c r="E2481" s="23">
        <v>463.0</v>
      </c>
      <c r="F2481" s="18">
        <f>E2481* 0.999727092353423</f>
        <v>462.8736438</v>
      </c>
      <c r="G2481" s="18">
        <f>E2481* 0.0000516311763794744</f>
        <v>0.02390523466</v>
      </c>
      <c r="H2481" s="18">
        <f>E2481* 0.000132765882118648</f>
        <v>0.06147060342</v>
      </c>
    </row>
    <row r="2482" ht="15.75" hidden="1" customHeight="1">
      <c r="A2482" s="15" t="s">
        <v>224</v>
      </c>
      <c r="B2482" s="11" t="s">
        <v>265</v>
      </c>
      <c r="C2482" s="15"/>
      <c r="D2482" s="16" t="s">
        <v>28</v>
      </c>
      <c r="E2482" s="23">
        <v>2.0</v>
      </c>
      <c r="F2482" s="18">
        <f>E2482* 0.00302222222222222</f>
        <v>0.006044444444</v>
      </c>
      <c r="G2482" s="18">
        <f>E2482* 0.996622222222222</f>
        <v>1.993244444</v>
      </c>
      <c r="H2482" s="18">
        <f>E2482* 0.000355555555555556</f>
        <v>0.0007111111111</v>
      </c>
    </row>
    <row r="2483" ht="15.75" hidden="1" customHeight="1">
      <c r="A2483" s="15" t="s">
        <v>224</v>
      </c>
      <c r="B2483" s="11" t="s">
        <v>265</v>
      </c>
      <c r="C2483" s="15"/>
      <c r="D2483" s="16" t="s">
        <v>12</v>
      </c>
      <c r="E2483" s="23">
        <v>93.0</v>
      </c>
      <c r="F2483" s="18">
        <f>E2483* 0.802335182557089</f>
        <v>74.61717198</v>
      </c>
      <c r="G2483" s="18">
        <f>E2483* 0.124687137143594</f>
        <v>11.59590375</v>
      </c>
      <c r="H2483" s="18">
        <f>E2483* 0.0729583279576829</f>
        <v>6.7851245</v>
      </c>
    </row>
    <row r="2484" ht="15.75" hidden="1" customHeight="1">
      <c r="A2484" s="15" t="s">
        <v>224</v>
      </c>
      <c r="B2484" s="8"/>
      <c r="C2484" s="8"/>
      <c r="D2484" s="9"/>
      <c r="E2484" s="29"/>
    </row>
    <row r="2485" ht="15.75" hidden="1" customHeight="1">
      <c r="A2485" s="15" t="s">
        <v>224</v>
      </c>
      <c r="B2485" s="11" t="s">
        <v>266</v>
      </c>
      <c r="C2485" s="12" t="str">
        <f>B2485&amp;"_"&amp;A2485</f>
        <v>San Ramón_Santa Cruz</v>
      </c>
      <c r="E2485" s="22">
        <v>63.0</v>
      </c>
      <c r="F2485" s="14">
        <f t="shared" ref="F2485:H2485" si="224">SUM(F2486:F2493)</f>
        <v>57.92365588</v>
      </c>
      <c r="G2485" s="14">
        <f t="shared" si="224"/>
        <v>4.610996797</v>
      </c>
      <c r="H2485" s="14">
        <f t="shared" si="224"/>
        <v>0.460336557</v>
      </c>
    </row>
    <row r="2486" ht="15.75" hidden="1" customHeight="1">
      <c r="A2486" s="15" t="s">
        <v>224</v>
      </c>
      <c r="B2486" s="11" t="s">
        <v>266</v>
      </c>
      <c r="C2486" s="15"/>
      <c r="D2486" s="16" t="s">
        <v>15</v>
      </c>
      <c r="E2486" s="23">
        <v>0.0</v>
      </c>
      <c r="F2486" s="18">
        <f>E2486* 0.932303048052446</f>
        <v>0</v>
      </c>
      <c r="G2486" s="18">
        <f>E2486* 0.0217058280204555</f>
        <v>0</v>
      </c>
      <c r="H2486" s="18">
        <f>E2486* 0.0459798598751943</f>
        <v>0</v>
      </c>
    </row>
    <row r="2487" ht="15.75" hidden="1" customHeight="1">
      <c r="A2487" s="15" t="s">
        <v>224</v>
      </c>
      <c r="B2487" s="11" t="s">
        <v>266</v>
      </c>
      <c r="C2487" s="15"/>
      <c r="D2487" s="16" t="s">
        <v>11</v>
      </c>
      <c r="E2487" s="23">
        <v>3.0</v>
      </c>
      <c r="F2487" s="18">
        <f>E2487* 0.083479491676667</f>
        <v>0.250438475</v>
      </c>
      <c r="G2487" s="18">
        <f>E2487* 0.913505030924029</f>
        <v>2.740515093</v>
      </c>
      <c r="H2487" s="18">
        <f>E2487* 0.00292316686667282</f>
        <v>0.0087695006</v>
      </c>
    </row>
    <row r="2488" ht="15.75" hidden="1" customHeight="1">
      <c r="A2488" s="15" t="s">
        <v>224</v>
      </c>
      <c r="B2488" s="11" t="s">
        <v>266</v>
      </c>
      <c r="C2488" s="15"/>
      <c r="D2488" s="16" t="s">
        <v>17</v>
      </c>
      <c r="E2488" s="23">
        <v>1.0</v>
      </c>
      <c r="F2488" s="18">
        <f>E2488* 0.752045572242362</f>
        <v>0.7520455722</v>
      </c>
      <c r="G2488" s="18">
        <f>E2488* 0.185827723114103</f>
        <v>0.1858277231</v>
      </c>
      <c r="H2488" s="18">
        <f>E2488* 0.0620921802175039</f>
        <v>0.06209218022</v>
      </c>
    </row>
    <row r="2489" ht="15.75" hidden="1" customHeight="1">
      <c r="A2489" s="15" t="s">
        <v>224</v>
      </c>
      <c r="B2489" s="11" t="s">
        <v>266</v>
      </c>
      <c r="C2489" s="15"/>
      <c r="D2489" s="16" t="s">
        <v>18</v>
      </c>
      <c r="E2489" s="23">
        <v>1.0</v>
      </c>
      <c r="F2489" s="18">
        <f>E2489* 0.893702527830246</f>
        <v>0.8937025278</v>
      </c>
      <c r="G2489" s="18">
        <f>E2489* 0.0946831169875015</f>
        <v>0.09468311699</v>
      </c>
      <c r="H2489" s="18">
        <f>E2489* 0.0116143551822529</f>
        <v>0.01161435518</v>
      </c>
    </row>
    <row r="2490" ht="15.75" hidden="1" customHeight="1">
      <c r="A2490" s="15" t="s">
        <v>224</v>
      </c>
      <c r="B2490" s="11" t="s">
        <v>266</v>
      </c>
      <c r="C2490" s="15"/>
      <c r="D2490" s="16" t="s">
        <v>19</v>
      </c>
      <c r="E2490" s="23">
        <v>1.0</v>
      </c>
      <c r="F2490" s="18">
        <f>E2490* 0.0299845873616365</f>
        <v>0.02998458736</v>
      </c>
      <c r="G2490" s="18">
        <f>E2490* 0.96385035729298</f>
        <v>0.9638503573</v>
      </c>
      <c r="H2490" s="18">
        <f>E2490* 0.00616505534538321</f>
        <v>0.006165055345</v>
      </c>
    </row>
    <row r="2491" ht="15.75" hidden="1" customHeight="1">
      <c r="A2491" s="15" t="s">
        <v>224</v>
      </c>
      <c r="B2491" s="11" t="s">
        <v>266</v>
      </c>
      <c r="C2491" s="15"/>
      <c r="D2491" s="16" t="s">
        <v>20</v>
      </c>
      <c r="E2491" s="23">
        <v>0.0</v>
      </c>
      <c r="F2491" s="18">
        <f>E2491* 0.734251968503937</f>
        <v>0</v>
      </c>
      <c r="G2491" s="18">
        <f>E2491* 0.158017179670723</f>
        <v>0</v>
      </c>
      <c r="H2491" s="18">
        <f>E2491* 0.107551896921976</f>
        <v>0</v>
      </c>
    </row>
    <row r="2492" ht="15.75" hidden="1" customHeight="1">
      <c r="A2492" s="15" t="s">
        <v>224</v>
      </c>
      <c r="B2492" s="11" t="s">
        <v>266</v>
      </c>
      <c r="C2492" s="15"/>
      <c r="D2492" s="16" t="s">
        <v>21</v>
      </c>
      <c r="E2492" s="23">
        <v>52.0</v>
      </c>
      <c r="F2492" s="18">
        <f>E2492* 0.999727092353423</f>
        <v>51.9858088</v>
      </c>
      <c r="G2492" s="18">
        <f>E2492* 0.0000516311763794744</f>
        <v>0.002684821172</v>
      </c>
      <c r="H2492" s="18">
        <f>E2492* 0.000132765882118648</f>
        <v>0.00690382587</v>
      </c>
    </row>
    <row r="2493" ht="15.75" hidden="1" customHeight="1">
      <c r="A2493" s="15" t="s">
        <v>224</v>
      </c>
      <c r="B2493" s="11" t="s">
        <v>266</v>
      </c>
      <c r="C2493" s="15"/>
      <c r="D2493" s="16" t="s">
        <v>12</v>
      </c>
      <c r="E2493" s="23">
        <v>5.0</v>
      </c>
      <c r="F2493" s="18">
        <f>E2493* 0.802335182557089</f>
        <v>4.011675913</v>
      </c>
      <c r="G2493" s="18">
        <f>E2493* 0.124687137143594</f>
        <v>0.6234356857</v>
      </c>
      <c r="H2493" s="18">
        <f>E2493* 0.0729583279576829</f>
        <v>0.3647916398</v>
      </c>
    </row>
    <row r="2494" ht="15.75" hidden="1" customHeight="1">
      <c r="A2494" s="15" t="s">
        <v>224</v>
      </c>
      <c r="B2494" s="8"/>
      <c r="C2494" s="8"/>
      <c r="D2494" s="9"/>
      <c r="E2494" s="29"/>
    </row>
    <row r="2495" ht="15.75" hidden="1" customHeight="1">
      <c r="A2495" s="15" t="s">
        <v>224</v>
      </c>
      <c r="B2495" s="11" t="s">
        <v>267</v>
      </c>
      <c r="C2495" s="12" t="str">
        <f>B2495&amp;"_"&amp;A2495</f>
        <v>Santa Cruz de la Sierra_Santa Cruz</v>
      </c>
      <c r="E2495" s="22">
        <v>315393.0</v>
      </c>
      <c r="F2495" s="14">
        <f t="shared" ref="F2495:H2495" si="225">SUM(F2496:F2511)</f>
        <v>246737.6533</v>
      </c>
      <c r="G2495" s="14">
        <f t="shared" si="225"/>
        <v>53954.82412</v>
      </c>
      <c r="H2495" s="14">
        <f t="shared" si="225"/>
        <v>14690.48867</v>
      </c>
    </row>
    <row r="2496" ht="15.75" hidden="1" customHeight="1">
      <c r="A2496" s="15" t="s">
        <v>224</v>
      </c>
      <c r="B2496" s="11" t="s">
        <v>267</v>
      </c>
      <c r="C2496" s="15"/>
      <c r="D2496" s="16" t="s">
        <v>14</v>
      </c>
      <c r="E2496" s="23">
        <v>0.0</v>
      </c>
      <c r="F2496" s="20">
        <v>0.0</v>
      </c>
      <c r="G2496" s="24">
        <f>E2496</f>
        <v>0</v>
      </c>
      <c r="H2496" s="20">
        <v>0.0</v>
      </c>
    </row>
    <row r="2497" ht="15.75" hidden="1" customHeight="1">
      <c r="A2497" s="15" t="s">
        <v>224</v>
      </c>
      <c r="B2497" s="11" t="s">
        <v>267</v>
      </c>
      <c r="C2497" s="15"/>
      <c r="D2497" s="16" t="s">
        <v>15</v>
      </c>
      <c r="E2497" s="23">
        <v>69233.0</v>
      </c>
      <c r="F2497" s="18">
        <f>E2497* 0.932303048052446</f>
        <v>64546.13693</v>
      </c>
      <c r="G2497" s="18">
        <f>E2497* 0.0217058280204555</f>
        <v>1502.759591</v>
      </c>
      <c r="H2497" s="18">
        <f>E2497* 0.0459798598751943</f>
        <v>3183.323639</v>
      </c>
    </row>
    <row r="2498" ht="15.75" hidden="1" customHeight="1">
      <c r="A2498" s="15" t="s">
        <v>224</v>
      </c>
      <c r="B2498" s="11" t="s">
        <v>267</v>
      </c>
      <c r="C2498" s="15"/>
      <c r="D2498" s="16" t="s">
        <v>16</v>
      </c>
      <c r="E2498" s="23">
        <v>1560.0</v>
      </c>
      <c r="F2498" s="18">
        <f>E2498* 0.293894936109797</f>
        <v>458.4761003</v>
      </c>
      <c r="G2498" s="18">
        <f>E2498* 0.663038334122101</f>
        <v>1034.339801</v>
      </c>
      <c r="H2498" s="18">
        <f>E2498* 0.0430667297681022</f>
        <v>67.18409844</v>
      </c>
    </row>
    <row r="2499" ht="15.75" hidden="1" customHeight="1">
      <c r="A2499" s="15" t="s">
        <v>224</v>
      </c>
      <c r="B2499" s="11" t="s">
        <v>267</v>
      </c>
      <c r="C2499" s="15"/>
      <c r="D2499" s="16" t="s">
        <v>11</v>
      </c>
      <c r="E2499" s="23">
        <v>20287.0</v>
      </c>
      <c r="F2499" s="18">
        <f>E2499* 0.083479491676667</f>
        <v>1693.548448</v>
      </c>
      <c r="G2499" s="18">
        <f>E2499* 0.913505030924029</f>
        <v>18532.27656</v>
      </c>
      <c r="H2499" s="18">
        <f>E2499* 0.00292316686667282</f>
        <v>59.30228622</v>
      </c>
    </row>
    <row r="2500" ht="15.75" hidden="1" customHeight="1">
      <c r="A2500" s="15" t="s">
        <v>224</v>
      </c>
      <c r="B2500" s="11" t="s">
        <v>267</v>
      </c>
      <c r="C2500" s="15"/>
      <c r="D2500" s="16" t="s">
        <v>17</v>
      </c>
      <c r="E2500" s="23">
        <v>42032.0</v>
      </c>
      <c r="F2500" s="18">
        <f>E2500* 0.752045572242362</f>
        <v>31609.97949</v>
      </c>
      <c r="G2500" s="18">
        <f>E2500* 0.185827723114103</f>
        <v>7810.710858</v>
      </c>
      <c r="H2500" s="18">
        <f>E2500* 0.0620921802175039</f>
        <v>2609.858519</v>
      </c>
    </row>
    <row r="2501" ht="15.75" hidden="1" customHeight="1">
      <c r="A2501" s="15" t="s">
        <v>224</v>
      </c>
      <c r="B2501" s="11" t="s">
        <v>267</v>
      </c>
      <c r="C2501" s="15"/>
      <c r="D2501" s="16" t="s">
        <v>31</v>
      </c>
      <c r="E2501" s="23">
        <v>2397.0</v>
      </c>
      <c r="F2501" s="18">
        <f>E2501* 0.929131175468484</f>
        <v>2227.127428</v>
      </c>
      <c r="G2501" s="18">
        <f>E2501* 0.0477001703577513</f>
        <v>114.3373083</v>
      </c>
      <c r="H2501" s="18">
        <f>E2501* 0.0231686541737649</f>
        <v>55.53526405</v>
      </c>
    </row>
    <row r="2502" ht="15.75" hidden="1" customHeight="1">
      <c r="A2502" s="15" t="s">
        <v>224</v>
      </c>
      <c r="B2502" s="11" t="s">
        <v>267</v>
      </c>
      <c r="C2502" s="15"/>
      <c r="D2502" s="16" t="s">
        <v>18</v>
      </c>
      <c r="E2502" s="23">
        <v>20082.0</v>
      </c>
      <c r="F2502" s="18">
        <f>E2502* 0.893702527830246</f>
        <v>17947.33416</v>
      </c>
      <c r="G2502" s="18">
        <f>E2502* 0.0946831169875015</f>
        <v>1901.426355</v>
      </c>
      <c r="H2502" s="18">
        <f>E2502* 0.0116143551822529</f>
        <v>233.2394808</v>
      </c>
    </row>
    <row r="2503" ht="15.75" hidden="1" customHeight="1">
      <c r="A2503" s="15" t="s">
        <v>224</v>
      </c>
      <c r="B2503" s="11" t="s">
        <v>267</v>
      </c>
      <c r="C2503" s="15"/>
      <c r="D2503" s="16" t="s">
        <v>35</v>
      </c>
      <c r="E2503" s="23">
        <v>0.0</v>
      </c>
      <c r="F2503" s="20">
        <v>0.0</v>
      </c>
      <c r="G2503" s="24">
        <f>E2503</f>
        <v>0</v>
      </c>
      <c r="H2503" s="20">
        <v>0.0</v>
      </c>
    </row>
    <row r="2504" ht="15.75" hidden="1" customHeight="1">
      <c r="A2504" s="15" t="s">
        <v>224</v>
      </c>
      <c r="B2504" s="11" t="s">
        <v>267</v>
      </c>
      <c r="C2504" s="15"/>
      <c r="D2504" s="16" t="s">
        <v>19</v>
      </c>
      <c r="E2504" s="23">
        <v>6081.0</v>
      </c>
      <c r="F2504" s="18">
        <f>E2504* 0.0299845873616365</f>
        <v>182.3362757</v>
      </c>
      <c r="G2504" s="18">
        <f>E2504* 0.96385035729298</f>
        <v>5861.174023</v>
      </c>
      <c r="H2504" s="18">
        <f>E2504* 0.00616505534538321</f>
        <v>37.48970156</v>
      </c>
    </row>
    <row r="2505" ht="15.75" hidden="1" customHeight="1">
      <c r="A2505" s="15" t="s">
        <v>224</v>
      </c>
      <c r="B2505" s="11" t="s">
        <v>267</v>
      </c>
      <c r="C2505" s="15"/>
      <c r="D2505" s="16" t="s">
        <v>20</v>
      </c>
      <c r="E2505" s="23">
        <v>3449.0</v>
      </c>
      <c r="F2505" s="18">
        <f>E2505* 0.734251968503937</f>
        <v>2532.435039</v>
      </c>
      <c r="G2505" s="18">
        <f>E2505* 0.158017179670723</f>
        <v>545.0012527</v>
      </c>
      <c r="H2505" s="18">
        <f>E2505* 0.107551896921976</f>
        <v>370.9464925</v>
      </c>
    </row>
    <row r="2506" ht="15.75" hidden="1" customHeight="1">
      <c r="A2506" s="15" t="s">
        <v>224</v>
      </c>
      <c r="B2506" s="11" t="s">
        <v>267</v>
      </c>
      <c r="C2506" s="15"/>
      <c r="D2506" s="16" t="s">
        <v>21</v>
      </c>
      <c r="E2506" s="23">
        <v>35859.0</v>
      </c>
      <c r="F2506" s="18">
        <f>E2506* 0.999727092353423</f>
        <v>35849.2138</v>
      </c>
      <c r="G2506" s="18">
        <f>E2506* 0.0000516311763794744</f>
        <v>1.851442354</v>
      </c>
      <c r="H2506" s="18">
        <f>E2506* 0.000132765882118648</f>
        <v>4.760851767</v>
      </c>
    </row>
    <row r="2507" ht="15.75" hidden="1" customHeight="1">
      <c r="A2507" s="15" t="s">
        <v>224</v>
      </c>
      <c r="B2507" s="11" t="s">
        <v>267</v>
      </c>
      <c r="C2507" s="15"/>
      <c r="D2507" s="16" t="s">
        <v>36</v>
      </c>
      <c r="E2507" s="23">
        <v>1002.0</v>
      </c>
      <c r="F2507" s="18">
        <f>E2507* 0.995894428152493</f>
        <v>997.886217</v>
      </c>
      <c r="G2507" s="18">
        <f>E2507* 0.000586510263929619</f>
        <v>0.5876832845</v>
      </c>
      <c r="H2507" s="18">
        <f>E2507* 0.00351906158357771</f>
        <v>3.526099707</v>
      </c>
    </row>
    <row r="2508" ht="15.75" hidden="1" customHeight="1">
      <c r="A2508" s="15" t="s">
        <v>224</v>
      </c>
      <c r="B2508" s="11" t="s">
        <v>267</v>
      </c>
      <c r="C2508" s="15"/>
      <c r="D2508" s="16" t="s">
        <v>37</v>
      </c>
      <c r="E2508" s="23">
        <v>11.0</v>
      </c>
      <c r="F2508" s="20">
        <v>0.0</v>
      </c>
      <c r="G2508" s="24">
        <f>E2508</f>
        <v>11</v>
      </c>
      <c r="H2508" s="20">
        <v>0.0</v>
      </c>
    </row>
    <row r="2509" ht="15.75" hidden="1" customHeight="1">
      <c r="A2509" s="15" t="s">
        <v>224</v>
      </c>
      <c r="B2509" s="11" t="s">
        <v>267</v>
      </c>
      <c r="C2509" s="15"/>
      <c r="D2509" s="16" t="s">
        <v>84</v>
      </c>
      <c r="E2509" s="23">
        <v>0.0</v>
      </c>
      <c r="F2509" s="24">
        <f>E2509</f>
        <v>0</v>
      </c>
      <c r="G2509" s="20">
        <v>0.0</v>
      </c>
      <c r="H2509" s="20">
        <v>0.0</v>
      </c>
    </row>
    <row r="2510" ht="15.75" hidden="1" customHeight="1">
      <c r="A2510" s="15" t="s">
        <v>224</v>
      </c>
      <c r="B2510" s="11" t="s">
        <v>267</v>
      </c>
      <c r="C2510" s="15"/>
      <c r="D2510" s="16" t="s">
        <v>28</v>
      </c>
      <c r="E2510" s="23">
        <v>2867.0</v>
      </c>
      <c r="F2510" s="18">
        <f>E2510* 0.00302222222222222</f>
        <v>8.664711111</v>
      </c>
      <c r="G2510" s="18">
        <f>E2510* 0.996622222222222</f>
        <v>2857.315911</v>
      </c>
      <c r="H2510" s="18">
        <f>E2510* 0.000355555555555556</f>
        <v>1.019377778</v>
      </c>
    </row>
    <row r="2511" ht="15.75" hidden="1" customHeight="1">
      <c r="A2511" s="15" t="s">
        <v>224</v>
      </c>
      <c r="B2511" s="11" t="s">
        <v>267</v>
      </c>
      <c r="C2511" s="15"/>
      <c r="D2511" s="16" t="s">
        <v>12</v>
      </c>
      <c r="E2511" s="23">
        <v>110533.0</v>
      </c>
      <c r="F2511" s="18">
        <f>E2511* 0.802335182557089</f>
        <v>88684.51473</v>
      </c>
      <c r="G2511" s="18">
        <f>E2511* 0.124687137143594</f>
        <v>13782.04333</v>
      </c>
      <c r="H2511" s="18">
        <f>E2511* 0.0729583279576829</f>
        <v>8064.302864</v>
      </c>
    </row>
    <row r="2512" ht="15.75" hidden="1" customHeight="1">
      <c r="A2512" s="15" t="s">
        <v>224</v>
      </c>
      <c r="B2512" s="8"/>
      <c r="C2512" s="8"/>
      <c r="D2512" s="9"/>
      <c r="E2512" s="29"/>
    </row>
    <row r="2513" ht="15.75" hidden="1" customHeight="1">
      <c r="A2513" s="15" t="s">
        <v>224</v>
      </c>
      <c r="B2513" s="11" t="s">
        <v>268</v>
      </c>
      <c r="C2513" s="12" t="str">
        <f>B2513&amp;"_"&amp;A2513</f>
        <v>Santa Rosa del Sara_Santa Cruz</v>
      </c>
      <c r="E2513" s="22">
        <v>14.0</v>
      </c>
      <c r="F2513" s="14">
        <f t="shared" ref="F2513:H2513" si="226">SUM(F2514:F2523)</f>
        <v>9.214015907</v>
      </c>
      <c r="G2513" s="14">
        <f t="shared" si="226"/>
        <v>4.140855833</v>
      </c>
      <c r="H2513" s="14">
        <f t="shared" si="226"/>
        <v>0.6445431301</v>
      </c>
    </row>
    <row r="2514" ht="15.75" hidden="1" customHeight="1">
      <c r="A2514" s="15" t="s">
        <v>224</v>
      </c>
      <c r="B2514" s="11" t="s">
        <v>268</v>
      </c>
      <c r="C2514" s="15"/>
      <c r="D2514" s="16" t="s">
        <v>14</v>
      </c>
      <c r="E2514" s="23">
        <v>0.0</v>
      </c>
      <c r="F2514" s="20">
        <v>0.0</v>
      </c>
      <c r="G2514" s="24">
        <f>E2514</f>
        <v>0</v>
      </c>
      <c r="H2514" s="20">
        <v>0.0</v>
      </c>
    </row>
    <row r="2515" ht="15.75" hidden="1" customHeight="1">
      <c r="A2515" s="15" t="s">
        <v>224</v>
      </c>
      <c r="B2515" s="11" t="s">
        <v>268</v>
      </c>
      <c r="C2515" s="15"/>
      <c r="D2515" s="16" t="s">
        <v>15</v>
      </c>
      <c r="E2515" s="23">
        <v>0.0</v>
      </c>
      <c r="F2515" s="18">
        <f>E2515* 0.932303048052446</f>
        <v>0</v>
      </c>
      <c r="G2515" s="18">
        <f>E2515* 0.0217058280204555</f>
        <v>0</v>
      </c>
      <c r="H2515" s="18">
        <f>E2515* 0.0459798598751943</f>
        <v>0</v>
      </c>
    </row>
    <row r="2516" ht="15.75" hidden="1" customHeight="1">
      <c r="A2516" s="15" t="s">
        <v>224</v>
      </c>
      <c r="B2516" s="11" t="s">
        <v>268</v>
      </c>
      <c r="C2516" s="15"/>
      <c r="D2516" s="16" t="s">
        <v>11</v>
      </c>
      <c r="E2516" s="23">
        <v>3.0</v>
      </c>
      <c r="F2516" s="18">
        <f>E2516* 0.083479491676667</f>
        <v>0.250438475</v>
      </c>
      <c r="G2516" s="18">
        <f>E2516* 0.913505030924029</f>
        <v>2.740515093</v>
      </c>
      <c r="H2516" s="18">
        <f>E2516* 0.00292316686667282</f>
        <v>0.0087695006</v>
      </c>
    </row>
    <row r="2517" ht="15.75" hidden="1" customHeight="1">
      <c r="A2517" s="15" t="s">
        <v>224</v>
      </c>
      <c r="B2517" s="11" t="s">
        <v>268</v>
      </c>
      <c r="C2517" s="15"/>
      <c r="D2517" s="16" t="s">
        <v>17</v>
      </c>
      <c r="E2517" s="23">
        <v>3.0</v>
      </c>
      <c r="F2517" s="18">
        <f>E2517* 0.752045572242362</f>
        <v>2.256136717</v>
      </c>
      <c r="G2517" s="18">
        <f>E2517* 0.185827723114103</f>
        <v>0.5574831693</v>
      </c>
      <c r="H2517" s="18">
        <f>E2517* 0.0620921802175039</f>
        <v>0.1862765407</v>
      </c>
    </row>
    <row r="2518" ht="15.75" hidden="1" customHeight="1">
      <c r="A2518" s="15" t="s">
        <v>224</v>
      </c>
      <c r="B2518" s="11" t="s">
        <v>268</v>
      </c>
      <c r="C2518" s="15"/>
      <c r="D2518" s="16" t="s">
        <v>31</v>
      </c>
      <c r="E2518" s="23">
        <v>0.0</v>
      </c>
      <c r="F2518" s="18">
        <f>E2518* 0.929131175468484</f>
        <v>0</v>
      </c>
      <c r="G2518" s="18">
        <f>E2518* 0.0477001703577513</f>
        <v>0</v>
      </c>
      <c r="H2518" s="18">
        <f>E2518* 0.0231686541737649</f>
        <v>0</v>
      </c>
    </row>
    <row r="2519" ht="15.75" hidden="1" customHeight="1">
      <c r="A2519" s="15" t="s">
        <v>224</v>
      </c>
      <c r="B2519" s="11" t="s">
        <v>268</v>
      </c>
      <c r="C2519" s="15"/>
      <c r="D2519" s="16" t="s">
        <v>18</v>
      </c>
      <c r="E2519" s="23">
        <v>1.0</v>
      </c>
      <c r="F2519" s="18">
        <f>E2519* 0.893702527830246</f>
        <v>0.8937025278</v>
      </c>
      <c r="G2519" s="18">
        <f>E2519* 0.0946831169875015</f>
        <v>0.09468311699</v>
      </c>
      <c r="H2519" s="18">
        <f>E2519* 0.0116143551822529</f>
        <v>0.01161435518</v>
      </c>
    </row>
    <row r="2520" ht="15.75" hidden="1" customHeight="1">
      <c r="A2520" s="15" t="s">
        <v>224</v>
      </c>
      <c r="B2520" s="11" t="s">
        <v>268</v>
      </c>
      <c r="C2520" s="15"/>
      <c r="D2520" s="16" t="s">
        <v>20</v>
      </c>
      <c r="E2520" s="23">
        <v>0.0</v>
      </c>
      <c r="F2520" s="18">
        <f>E2520* 0.734251968503937</f>
        <v>0</v>
      </c>
      <c r="G2520" s="18">
        <f>E2520* 0.158017179670723</f>
        <v>0</v>
      </c>
      <c r="H2520" s="18">
        <f>E2520* 0.107551896921976</f>
        <v>0</v>
      </c>
    </row>
    <row r="2521" ht="15.75" hidden="1" customHeight="1">
      <c r="A2521" s="15" t="s">
        <v>224</v>
      </c>
      <c r="B2521" s="11" t="s">
        <v>268</v>
      </c>
      <c r="C2521" s="15"/>
      <c r="D2521" s="16" t="s">
        <v>21</v>
      </c>
      <c r="E2521" s="23">
        <v>1.0</v>
      </c>
      <c r="F2521" s="18">
        <f>E2521* 0.999727092353423</f>
        <v>0.9997270924</v>
      </c>
      <c r="G2521" s="18">
        <f>E2521* 0.0000516311763794744</f>
        <v>0.00005163117638</v>
      </c>
      <c r="H2521" s="18">
        <f>E2521* 0.000132765882118648</f>
        <v>0.0001327658821</v>
      </c>
    </row>
    <row r="2522" ht="15.75" hidden="1" customHeight="1">
      <c r="A2522" s="15" t="s">
        <v>224</v>
      </c>
      <c r="B2522" s="11" t="s">
        <v>268</v>
      </c>
      <c r="C2522" s="15"/>
      <c r="D2522" s="16" t="s">
        <v>36</v>
      </c>
      <c r="E2522" s="23">
        <v>0.0</v>
      </c>
      <c r="F2522" s="18">
        <f>E2522* 0.995894428152493</f>
        <v>0</v>
      </c>
      <c r="G2522" s="18">
        <f>E2522* 0.000586510263929619</f>
        <v>0</v>
      </c>
      <c r="H2522" s="18">
        <f>E2522* 0.00351906158357771</f>
        <v>0</v>
      </c>
    </row>
    <row r="2523" ht="15.75" hidden="1" customHeight="1">
      <c r="A2523" s="15" t="s">
        <v>224</v>
      </c>
      <c r="B2523" s="11" t="s">
        <v>268</v>
      </c>
      <c r="C2523" s="15"/>
      <c r="D2523" s="16" t="s">
        <v>12</v>
      </c>
      <c r="E2523" s="23">
        <v>6.0</v>
      </c>
      <c r="F2523" s="18">
        <f>E2523* 0.802335182557089</f>
        <v>4.814011095</v>
      </c>
      <c r="G2523" s="18">
        <f>E2523* 0.124687137143594</f>
        <v>0.7481228229</v>
      </c>
      <c r="H2523" s="18">
        <f>E2523* 0.0729583279576829</f>
        <v>0.4377499677</v>
      </c>
    </row>
    <row r="2524" ht="15.75" hidden="1" customHeight="1">
      <c r="A2524" s="15" t="s">
        <v>224</v>
      </c>
      <c r="B2524" s="8"/>
      <c r="C2524" s="8"/>
      <c r="D2524" s="9"/>
      <c r="E2524" s="29"/>
    </row>
    <row r="2525" ht="15.75" hidden="1" customHeight="1">
      <c r="A2525" s="15" t="s">
        <v>224</v>
      </c>
      <c r="B2525" s="11" t="s">
        <v>269</v>
      </c>
      <c r="C2525" s="12" t="str">
        <f>B2525&amp;"_"&amp;A2525</f>
        <v>Trigal_Santa Cruz</v>
      </c>
      <c r="E2525" s="22">
        <v>1.0</v>
      </c>
      <c r="F2525" s="14">
        <f t="shared" ref="F2525:H2525" si="227">F2526</f>
        <v>0.9997270924</v>
      </c>
      <c r="G2525" s="14">
        <f t="shared" si="227"/>
        <v>0.00005163117638</v>
      </c>
      <c r="H2525" s="14">
        <f t="shared" si="227"/>
        <v>0.0001327658821</v>
      </c>
    </row>
    <row r="2526" ht="15.75" hidden="1" customHeight="1">
      <c r="A2526" s="15" t="s">
        <v>224</v>
      </c>
      <c r="B2526" s="11" t="s">
        <v>269</v>
      </c>
      <c r="C2526" s="15"/>
      <c r="D2526" s="16" t="s">
        <v>21</v>
      </c>
      <c r="E2526" s="23">
        <v>1.0</v>
      </c>
      <c r="F2526" s="18">
        <f>E2526* 0.999727092353423</f>
        <v>0.9997270924</v>
      </c>
      <c r="G2526" s="18">
        <f>E2526* 0.0000516311763794744</f>
        <v>0.00005163117638</v>
      </c>
      <c r="H2526" s="18">
        <f>E2526* 0.000132765882118648</f>
        <v>0.0001327658821</v>
      </c>
    </row>
    <row r="2527" ht="15.75" hidden="1" customHeight="1">
      <c r="A2527" s="15" t="s">
        <v>224</v>
      </c>
      <c r="B2527" s="8"/>
      <c r="C2527" s="8"/>
      <c r="D2527" s="9"/>
      <c r="E2527" s="29"/>
    </row>
    <row r="2528" ht="15.75" hidden="1" customHeight="1">
      <c r="A2528" s="15" t="s">
        <v>224</v>
      </c>
      <c r="B2528" s="11" t="s">
        <v>270</v>
      </c>
      <c r="C2528" s="12" t="str">
        <f>B2528&amp;"_"&amp;A2528</f>
        <v>Urubichá_Santa Cruz</v>
      </c>
      <c r="E2528" s="22">
        <v>1.0</v>
      </c>
      <c r="F2528" s="14">
        <f t="shared" ref="F2528:H2528" si="228">F2529</f>
        <v>0.9997270924</v>
      </c>
      <c r="G2528" s="14">
        <f t="shared" si="228"/>
        <v>0.00005163117638</v>
      </c>
      <c r="H2528" s="14">
        <f t="shared" si="228"/>
        <v>0.0001327658821</v>
      </c>
    </row>
    <row r="2529" ht="15.75" hidden="1" customHeight="1">
      <c r="A2529" s="15" t="s">
        <v>224</v>
      </c>
      <c r="B2529" s="11" t="s">
        <v>270</v>
      </c>
      <c r="C2529" s="15"/>
      <c r="D2529" s="16" t="s">
        <v>21</v>
      </c>
      <c r="E2529" s="23">
        <v>1.0</v>
      </c>
      <c r="F2529" s="18">
        <f>E2529* 0.999727092353423</f>
        <v>0.9997270924</v>
      </c>
      <c r="G2529" s="18">
        <f>E2529* 0.0000516311763794744</f>
        <v>0.00005163117638</v>
      </c>
      <c r="H2529" s="18">
        <f>E2529* 0.000132765882118648</f>
        <v>0.0001327658821</v>
      </c>
    </row>
    <row r="2530" ht="15.75" hidden="1" customHeight="1">
      <c r="A2530" s="15" t="s">
        <v>224</v>
      </c>
      <c r="B2530" s="8"/>
      <c r="C2530" s="8"/>
      <c r="D2530" s="9"/>
      <c r="E2530" s="29"/>
    </row>
    <row r="2531" ht="15.75" hidden="1" customHeight="1">
      <c r="A2531" s="15" t="s">
        <v>224</v>
      </c>
      <c r="B2531" s="11" t="s">
        <v>271</v>
      </c>
      <c r="C2531" s="12" t="str">
        <f>B2531&amp;"_"&amp;A2531</f>
        <v>Vallegrande_Santa Cruz</v>
      </c>
      <c r="E2531" s="22">
        <v>2751.0</v>
      </c>
      <c r="F2531" s="14">
        <f t="shared" ref="F2531:H2531" si="229">SUM(F2532:F2546)</f>
        <v>2175.708821</v>
      </c>
      <c r="G2531" s="14">
        <f t="shared" si="229"/>
        <v>474.7081938</v>
      </c>
      <c r="H2531" s="14">
        <f t="shared" si="229"/>
        <v>100.4405334</v>
      </c>
    </row>
    <row r="2532" ht="15.75" hidden="1" customHeight="1">
      <c r="A2532" s="15" t="s">
        <v>224</v>
      </c>
      <c r="B2532" s="11" t="s">
        <v>271</v>
      </c>
      <c r="C2532" s="15"/>
      <c r="D2532" s="16" t="s">
        <v>14</v>
      </c>
      <c r="E2532" s="23">
        <v>0.0</v>
      </c>
      <c r="F2532" s="20">
        <v>0.0</v>
      </c>
      <c r="G2532" s="24">
        <f>E2532</f>
        <v>0</v>
      </c>
      <c r="H2532" s="20">
        <v>0.0</v>
      </c>
    </row>
    <row r="2533" ht="15.75" hidden="1" customHeight="1">
      <c r="A2533" s="15" t="s">
        <v>224</v>
      </c>
      <c r="B2533" s="11" t="s">
        <v>271</v>
      </c>
      <c r="C2533" s="15"/>
      <c r="D2533" s="16" t="s">
        <v>15</v>
      </c>
      <c r="E2533" s="23">
        <v>65.0</v>
      </c>
      <c r="F2533" s="18">
        <f>E2533* 0.932303048052446</f>
        <v>60.59969812</v>
      </c>
      <c r="G2533" s="18">
        <f>E2533* 0.0217058280204555</f>
        <v>1.410878821</v>
      </c>
      <c r="H2533" s="18">
        <f>E2533* 0.0459798598751943</f>
        <v>2.988690892</v>
      </c>
    </row>
    <row r="2534" ht="15.75" hidden="1" customHeight="1">
      <c r="A2534" s="15" t="s">
        <v>224</v>
      </c>
      <c r="B2534" s="11" t="s">
        <v>271</v>
      </c>
      <c r="C2534" s="15"/>
      <c r="D2534" s="16" t="s">
        <v>16</v>
      </c>
      <c r="E2534" s="23">
        <v>4.0</v>
      </c>
      <c r="F2534" s="18">
        <f>E2534* 0.293894936109797</f>
        <v>1.175579744</v>
      </c>
      <c r="G2534" s="18">
        <f>E2534* 0.663038334122101</f>
        <v>2.652153336</v>
      </c>
      <c r="H2534" s="18">
        <f>E2534* 0.0430667297681022</f>
        <v>0.1722669191</v>
      </c>
    </row>
    <row r="2535" ht="15.75" hidden="1" customHeight="1">
      <c r="A2535" s="15" t="s">
        <v>224</v>
      </c>
      <c r="B2535" s="11" t="s">
        <v>271</v>
      </c>
      <c r="C2535" s="15"/>
      <c r="D2535" s="16" t="s">
        <v>11</v>
      </c>
      <c r="E2535" s="23">
        <v>308.0</v>
      </c>
      <c r="F2535" s="18">
        <f>E2535* 0.083479491676667</f>
        <v>25.71168344</v>
      </c>
      <c r="G2535" s="18">
        <f>E2535* 0.913505030924029</f>
        <v>281.3595495</v>
      </c>
      <c r="H2535" s="18">
        <f>E2535* 0.00292316686667282</f>
        <v>0.9003353949</v>
      </c>
    </row>
    <row r="2536" ht="15.75" hidden="1" customHeight="1">
      <c r="A2536" s="15" t="s">
        <v>224</v>
      </c>
      <c r="B2536" s="11" t="s">
        <v>271</v>
      </c>
      <c r="C2536" s="15"/>
      <c r="D2536" s="16" t="s">
        <v>17</v>
      </c>
      <c r="E2536" s="23">
        <v>185.0</v>
      </c>
      <c r="F2536" s="18">
        <f>E2536* 0.752045572242362</f>
        <v>139.1284309</v>
      </c>
      <c r="G2536" s="18">
        <f>E2536* 0.185827723114103</f>
        <v>34.37812878</v>
      </c>
      <c r="H2536" s="18">
        <f>E2536* 0.0620921802175039</f>
        <v>11.48705334</v>
      </c>
    </row>
    <row r="2537" ht="15.75" hidden="1" customHeight="1">
      <c r="A2537" s="15" t="s">
        <v>224</v>
      </c>
      <c r="B2537" s="11" t="s">
        <v>271</v>
      </c>
      <c r="C2537" s="15"/>
      <c r="D2537" s="16" t="s">
        <v>31</v>
      </c>
      <c r="E2537" s="23">
        <v>1.0</v>
      </c>
      <c r="F2537" s="18">
        <f>E2537* 0.929131175468484</f>
        <v>0.9291311755</v>
      </c>
      <c r="G2537" s="18">
        <f>E2537* 0.0477001703577513</f>
        <v>0.04770017036</v>
      </c>
      <c r="H2537" s="18">
        <f>E2537* 0.0231686541737649</f>
        <v>0.02316865417</v>
      </c>
    </row>
    <row r="2538" ht="15.75" hidden="1" customHeight="1">
      <c r="A2538" s="15" t="s">
        <v>224</v>
      </c>
      <c r="B2538" s="11" t="s">
        <v>271</v>
      </c>
      <c r="C2538" s="15"/>
      <c r="D2538" s="16" t="s">
        <v>18</v>
      </c>
      <c r="E2538" s="23">
        <v>83.0</v>
      </c>
      <c r="F2538" s="18">
        <f>E2538* 0.893702527830246</f>
        <v>74.17730981</v>
      </c>
      <c r="G2538" s="18">
        <f>E2538* 0.0946831169875015</f>
        <v>7.85869871</v>
      </c>
      <c r="H2538" s="18">
        <f>E2538* 0.0116143551822529</f>
        <v>0.9639914801</v>
      </c>
    </row>
    <row r="2539" ht="15.75" hidden="1" customHeight="1">
      <c r="A2539" s="15" t="s">
        <v>224</v>
      </c>
      <c r="B2539" s="11" t="s">
        <v>271</v>
      </c>
      <c r="C2539" s="15"/>
      <c r="D2539" s="16" t="s">
        <v>35</v>
      </c>
      <c r="E2539" s="23">
        <v>0.0</v>
      </c>
      <c r="F2539" s="20">
        <v>0.0</v>
      </c>
      <c r="G2539" s="24">
        <f>E2539</f>
        <v>0</v>
      </c>
      <c r="H2539" s="20">
        <v>0.0</v>
      </c>
    </row>
    <row r="2540" ht="15.75" hidden="1" customHeight="1">
      <c r="A2540" s="15" t="s">
        <v>224</v>
      </c>
      <c r="B2540" s="11" t="s">
        <v>271</v>
      </c>
      <c r="C2540" s="15"/>
      <c r="D2540" s="16" t="s">
        <v>19</v>
      </c>
      <c r="E2540" s="23">
        <v>2.0</v>
      </c>
      <c r="F2540" s="18">
        <f>E2540* 0.0299845873616365</f>
        <v>0.05996917472</v>
      </c>
      <c r="G2540" s="18">
        <f>E2540* 0.96385035729298</f>
        <v>1.927700715</v>
      </c>
      <c r="H2540" s="18">
        <f>E2540* 0.00616505534538321</f>
        <v>0.01233011069</v>
      </c>
    </row>
    <row r="2541" ht="15.75" hidden="1" customHeight="1">
      <c r="A2541" s="15" t="s">
        <v>224</v>
      </c>
      <c r="B2541" s="11" t="s">
        <v>271</v>
      </c>
      <c r="C2541" s="15"/>
      <c r="D2541" s="16" t="s">
        <v>20</v>
      </c>
      <c r="E2541" s="23">
        <v>4.0</v>
      </c>
      <c r="F2541" s="18">
        <f>E2541* 0.734251968503937</f>
        <v>2.937007874</v>
      </c>
      <c r="G2541" s="18">
        <f>E2541* 0.158017179670723</f>
        <v>0.6320687187</v>
      </c>
      <c r="H2541" s="18">
        <f>E2541* 0.107551896921976</f>
        <v>0.4302075877</v>
      </c>
    </row>
    <row r="2542" ht="15.75" hidden="1" customHeight="1">
      <c r="A2542" s="15" t="s">
        <v>224</v>
      </c>
      <c r="B2542" s="11" t="s">
        <v>271</v>
      </c>
      <c r="C2542" s="15"/>
      <c r="D2542" s="16" t="s">
        <v>21</v>
      </c>
      <c r="E2542" s="23">
        <v>950.0</v>
      </c>
      <c r="F2542" s="18">
        <f>E2542* 0.999727092353423</f>
        <v>949.7407377</v>
      </c>
      <c r="G2542" s="18">
        <f>E2542* 0.0000516311763794744</f>
        <v>0.04904961756</v>
      </c>
      <c r="H2542" s="18">
        <f>E2542* 0.000132765882118648</f>
        <v>0.126127588</v>
      </c>
    </row>
    <row r="2543" ht="15.75" hidden="1" customHeight="1">
      <c r="A2543" s="15" t="s">
        <v>224</v>
      </c>
      <c r="B2543" s="11" t="s">
        <v>271</v>
      </c>
      <c r="C2543" s="15"/>
      <c r="D2543" s="16" t="s">
        <v>36</v>
      </c>
      <c r="E2543" s="23">
        <v>5.0</v>
      </c>
      <c r="F2543" s="18">
        <f>E2543* 0.995894428152493</f>
        <v>4.979472141</v>
      </c>
      <c r="G2543" s="18">
        <f>E2543* 0.000586510263929619</f>
        <v>0.00293255132</v>
      </c>
      <c r="H2543" s="18">
        <f>E2543* 0.00351906158357771</f>
        <v>0.01759530792</v>
      </c>
    </row>
    <row r="2544" ht="15.75" hidden="1" customHeight="1">
      <c r="A2544" s="15" t="s">
        <v>224</v>
      </c>
      <c r="B2544" s="11" t="s">
        <v>271</v>
      </c>
      <c r="C2544" s="15"/>
      <c r="D2544" s="16" t="s">
        <v>37</v>
      </c>
      <c r="E2544" s="23">
        <v>1.0</v>
      </c>
      <c r="F2544" s="20">
        <v>0.0</v>
      </c>
      <c r="G2544" s="24">
        <f>E2544</f>
        <v>1</v>
      </c>
      <c r="H2544" s="20">
        <v>0.0</v>
      </c>
    </row>
    <row r="2545" ht="15.75" hidden="1" customHeight="1">
      <c r="A2545" s="15" t="s">
        <v>224</v>
      </c>
      <c r="B2545" s="11" t="s">
        <v>271</v>
      </c>
      <c r="C2545" s="15"/>
      <c r="D2545" s="16" t="s">
        <v>28</v>
      </c>
      <c r="E2545" s="23">
        <v>1.0</v>
      </c>
      <c r="F2545" s="18">
        <f>E2545* 0.00302222222222222</f>
        <v>0.003022222222</v>
      </c>
      <c r="G2545" s="18">
        <f>E2545* 0.996622222222222</f>
        <v>0.9966222222</v>
      </c>
      <c r="H2545" s="18">
        <f>E2545* 0.000355555555555556</f>
        <v>0.0003555555556</v>
      </c>
    </row>
    <row r="2546" ht="15.75" hidden="1" customHeight="1">
      <c r="A2546" s="15" t="s">
        <v>224</v>
      </c>
      <c r="B2546" s="11" t="s">
        <v>271</v>
      </c>
      <c r="C2546" s="15"/>
      <c r="D2546" s="16" t="s">
        <v>12</v>
      </c>
      <c r="E2546" s="23">
        <v>1142.0</v>
      </c>
      <c r="F2546" s="18">
        <f>E2546* 0.802335182557089</f>
        <v>916.2667785</v>
      </c>
      <c r="G2546" s="18">
        <f>E2546* 0.124687137143594</f>
        <v>142.3927106</v>
      </c>
      <c r="H2546" s="18">
        <f>E2546* 0.0729583279576829</f>
        <v>83.31841053</v>
      </c>
    </row>
    <row r="2547" ht="15.75" hidden="1" customHeight="1">
      <c r="A2547" s="15" t="s">
        <v>224</v>
      </c>
      <c r="B2547" s="8"/>
      <c r="C2547" s="8"/>
      <c r="D2547" s="9"/>
      <c r="E2547" s="29"/>
    </row>
    <row r="2548" ht="15.75" hidden="1" customHeight="1">
      <c r="A2548" s="15" t="s">
        <v>224</v>
      </c>
      <c r="B2548" s="11" t="s">
        <v>272</v>
      </c>
      <c r="C2548" s="12" t="str">
        <f>B2548&amp;"_"&amp;A2548</f>
        <v>Warnes_Santa Cruz</v>
      </c>
      <c r="E2548" s="22">
        <v>60416.0</v>
      </c>
      <c r="F2548" s="14">
        <f t="shared" ref="F2548:H2548" si="230">SUM(F2549:F2563)</f>
        <v>47149.8038</v>
      </c>
      <c r="G2548" s="14">
        <f t="shared" si="230"/>
        <v>10791.47216</v>
      </c>
      <c r="H2548" s="14">
        <f t="shared" si="230"/>
        <v>2472.264147</v>
      </c>
    </row>
    <row r="2549" ht="15.75" hidden="1" customHeight="1">
      <c r="A2549" s="15" t="s">
        <v>224</v>
      </c>
      <c r="B2549" s="11" t="s">
        <v>272</v>
      </c>
      <c r="C2549" s="15"/>
      <c r="D2549" s="16" t="s">
        <v>14</v>
      </c>
      <c r="E2549" s="23">
        <v>0.0</v>
      </c>
      <c r="F2549" s="20">
        <v>0.0</v>
      </c>
      <c r="G2549" s="24">
        <f>E2549</f>
        <v>0</v>
      </c>
      <c r="H2549" s="20">
        <v>0.0</v>
      </c>
    </row>
    <row r="2550" ht="15.75" hidden="1" customHeight="1">
      <c r="A2550" s="15" t="s">
        <v>224</v>
      </c>
      <c r="B2550" s="11" t="s">
        <v>272</v>
      </c>
      <c r="C2550" s="15"/>
      <c r="D2550" s="16" t="s">
        <v>15</v>
      </c>
      <c r="E2550" s="23">
        <v>10589.0</v>
      </c>
      <c r="F2550" s="18">
        <f>E2550* 0.932303048052446</f>
        <v>9872.156976</v>
      </c>
      <c r="G2550" s="18">
        <f>E2550* 0.0217058280204555</f>
        <v>229.8430129</v>
      </c>
      <c r="H2550" s="18">
        <f>E2550* 0.0459798598751943</f>
        <v>486.8807362</v>
      </c>
    </row>
    <row r="2551" ht="15.75" hidden="1" customHeight="1">
      <c r="A2551" s="15" t="s">
        <v>224</v>
      </c>
      <c r="B2551" s="11" t="s">
        <v>272</v>
      </c>
      <c r="C2551" s="15"/>
      <c r="D2551" s="16" t="s">
        <v>16</v>
      </c>
      <c r="E2551" s="23">
        <v>292.0</v>
      </c>
      <c r="F2551" s="18">
        <f>E2551* 0.293894936109797</f>
        <v>85.81732134</v>
      </c>
      <c r="G2551" s="18">
        <f>E2551* 0.663038334122101</f>
        <v>193.6071936</v>
      </c>
      <c r="H2551" s="18">
        <f>E2551* 0.0430667297681022</f>
        <v>12.57548509</v>
      </c>
    </row>
    <row r="2552" ht="15.75" hidden="1" customHeight="1">
      <c r="A2552" s="15" t="s">
        <v>224</v>
      </c>
      <c r="B2552" s="11" t="s">
        <v>272</v>
      </c>
      <c r="C2552" s="15"/>
      <c r="D2552" s="16" t="s">
        <v>11</v>
      </c>
      <c r="E2552" s="23">
        <v>4543.0</v>
      </c>
      <c r="F2552" s="18">
        <f>E2552* 0.083479491676667</f>
        <v>379.2473307</v>
      </c>
      <c r="G2552" s="18">
        <f>E2552* 0.913505030924029</f>
        <v>4150.053355</v>
      </c>
      <c r="H2552" s="18">
        <f>E2552* 0.00292316686667282</f>
        <v>13.27994708</v>
      </c>
    </row>
    <row r="2553" ht="15.75" hidden="1" customHeight="1">
      <c r="A2553" s="15" t="s">
        <v>224</v>
      </c>
      <c r="B2553" s="11" t="s">
        <v>272</v>
      </c>
      <c r="C2553" s="15"/>
      <c r="D2553" s="16" t="s">
        <v>17</v>
      </c>
      <c r="E2553" s="23">
        <v>7433.0</v>
      </c>
      <c r="F2553" s="18">
        <f>E2553* 0.752045572242362</f>
        <v>5589.954738</v>
      </c>
      <c r="G2553" s="18">
        <f>E2553* 0.185827723114103</f>
        <v>1381.257466</v>
      </c>
      <c r="H2553" s="18">
        <f>E2553* 0.0620921802175039</f>
        <v>461.5311756</v>
      </c>
    </row>
    <row r="2554" ht="15.75" hidden="1" customHeight="1">
      <c r="A2554" s="15" t="s">
        <v>224</v>
      </c>
      <c r="B2554" s="11" t="s">
        <v>272</v>
      </c>
      <c r="C2554" s="15"/>
      <c r="D2554" s="16" t="s">
        <v>31</v>
      </c>
      <c r="E2554" s="23">
        <v>248.0</v>
      </c>
      <c r="F2554" s="18">
        <f>E2554* 0.929131175468484</f>
        <v>230.4245315</v>
      </c>
      <c r="G2554" s="18">
        <f>E2554* 0.0477001703577513</f>
        <v>11.82964225</v>
      </c>
      <c r="H2554" s="18">
        <f>E2554* 0.0231686541737649</f>
        <v>5.745826235</v>
      </c>
    </row>
    <row r="2555" ht="15.75" hidden="1" customHeight="1">
      <c r="A2555" s="15" t="s">
        <v>224</v>
      </c>
      <c r="B2555" s="11" t="s">
        <v>272</v>
      </c>
      <c r="C2555" s="15"/>
      <c r="D2555" s="16" t="s">
        <v>18</v>
      </c>
      <c r="E2555" s="23">
        <v>2155.0</v>
      </c>
      <c r="F2555" s="18">
        <f>E2555* 0.893702527830246</f>
        <v>1925.928947</v>
      </c>
      <c r="G2555" s="18">
        <f>E2555* 0.0946831169875015</f>
        <v>204.0421171</v>
      </c>
      <c r="H2555" s="18">
        <f>E2555* 0.0116143551822529</f>
        <v>25.02893542</v>
      </c>
    </row>
    <row r="2556" ht="15.75" hidden="1" customHeight="1">
      <c r="A2556" s="15" t="s">
        <v>224</v>
      </c>
      <c r="B2556" s="11" t="s">
        <v>272</v>
      </c>
      <c r="C2556" s="15"/>
      <c r="D2556" s="16" t="s">
        <v>19</v>
      </c>
      <c r="E2556" s="23">
        <v>521.0</v>
      </c>
      <c r="F2556" s="18">
        <f>E2556* 0.0299845873616365</f>
        <v>15.62197002</v>
      </c>
      <c r="G2556" s="18">
        <f>E2556* 0.96385035729298</f>
        <v>502.1660361</v>
      </c>
      <c r="H2556" s="18">
        <f>E2556* 0.00616505534538321</f>
        <v>3.211993835</v>
      </c>
    </row>
    <row r="2557" ht="15.75" hidden="1" customHeight="1">
      <c r="A2557" s="15" t="s">
        <v>224</v>
      </c>
      <c r="B2557" s="11" t="s">
        <v>272</v>
      </c>
      <c r="C2557" s="15"/>
      <c r="D2557" s="16" t="s">
        <v>20</v>
      </c>
      <c r="E2557" s="23">
        <v>890.0</v>
      </c>
      <c r="F2557" s="18">
        <f>E2557* 0.734251968503937</f>
        <v>653.484252</v>
      </c>
      <c r="G2557" s="18">
        <f>E2557* 0.158017179670723</f>
        <v>140.6352899</v>
      </c>
      <c r="H2557" s="18">
        <f>E2557* 0.107551896921976</f>
        <v>95.72118826</v>
      </c>
    </row>
    <row r="2558" ht="15.75" hidden="1" customHeight="1">
      <c r="A2558" s="15" t="s">
        <v>224</v>
      </c>
      <c r="B2558" s="11" t="s">
        <v>272</v>
      </c>
      <c r="C2558" s="15"/>
      <c r="D2558" s="16" t="s">
        <v>21</v>
      </c>
      <c r="E2558" s="23">
        <v>12919.0</v>
      </c>
      <c r="F2558" s="18">
        <f>E2558* 0.999727092353423</f>
        <v>12915.47431</v>
      </c>
      <c r="G2558" s="18">
        <f>E2558* 0.0000516311763794744</f>
        <v>0.6670231676</v>
      </c>
      <c r="H2558" s="18">
        <f>E2558* 0.000132765882118648</f>
        <v>1.715202431</v>
      </c>
    </row>
    <row r="2559" ht="15.75" hidden="1" customHeight="1">
      <c r="A2559" s="15" t="s">
        <v>224</v>
      </c>
      <c r="B2559" s="11" t="s">
        <v>272</v>
      </c>
      <c r="C2559" s="15"/>
      <c r="D2559" s="16" t="s">
        <v>36</v>
      </c>
      <c r="E2559" s="23">
        <v>474.0</v>
      </c>
      <c r="F2559" s="18">
        <f>E2559* 0.995894428152493</f>
        <v>472.0539589</v>
      </c>
      <c r="G2559" s="18">
        <f>E2559* 0.000586510263929619</f>
        <v>0.2780058651</v>
      </c>
      <c r="H2559" s="18">
        <f>E2559* 0.00351906158357771</f>
        <v>1.668035191</v>
      </c>
    </row>
    <row r="2560" ht="15.75" hidden="1" customHeight="1">
      <c r="A2560" s="15" t="s">
        <v>224</v>
      </c>
      <c r="B2560" s="11" t="s">
        <v>272</v>
      </c>
      <c r="C2560" s="15"/>
      <c r="D2560" s="16" t="s">
        <v>37</v>
      </c>
      <c r="E2560" s="23">
        <v>6.0</v>
      </c>
      <c r="F2560" s="20">
        <v>0.0</v>
      </c>
      <c r="G2560" s="24">
        <f>E2560</f>
        <v>6</v>
      </c>
      <c r="H2560" s="20">
        <v>0.0</v>
      </c>
    </row>
    <row r="2561" ht="15.75" hidden="1" customHeight="1">
      <c r="A2561" s="15" t="s">
        <v>224</v>
      </c>
      <c r="B2561" s="11" t="s">
        <v>272</v>
      </c>
      <c r="C2561" s="15"/>
      <c r="D2561" s="16" t="s">
        <v>28</v>
      </c>
      <c r="E2561" s="23">
        <v>1645.0</v>
      </c>
      <c r="F2561" s="18">
        <f>E2561* 0.00302222222222222</f>
        <v>4.971555556</v>
      </c>
      <c r="G2561" s="18">
        <f>E2561* 0.996622222222222</f>
        <v>1639.443556</v>
      </c>
      <c r="H2561" s="18">
        <f>E2561* 0.000355555555555556</f>
        <v>0.5848888889</v>
      </c>
    </row>
    <row r="2562" ht="15.75" hidden="1" customHeight="1">
      <c r="A2562" s="15" t="s">
        <v>224</v>
      </c>
      <c r="B2562" s="11" t="s">
        <v>272</v>
      </c>
      <c r="C2562" s="15"/>
      <c r="D2562" s="16" t="s">
        <v>84</v>
      </c>
      <c r="E2562" s="23">
        <v>1.0</v>
      </c>
      <c r="F2562" s="24">
        <f>E2562</f>
        <v>1</v>
      </c>
      <c r="G2562" s="20">
        <v>0.0</v>
      </c>
      <c r="H2562" s="20">
        <v>0.0</v>
      </c>
    </row>
    <row r="2563" ht="15.75" hidden="1" customHeight="1">
      <c r="A2563" s="15" t="s">
        <v>224</v>
      </c>
      <c r="B2563" s="11" t="s">
        <v>272</v>
      </c>
      <c r="C2563" s="15"/>
      <c r="D2563" s="16" t="s">
        <v>12</v>
      </c>
      <c r="E2563" s="23">
        <v>18700.0</v>
      </c>
      <c r="F2563" s="18">
        <f>E2563* 0.802335182557089</f>
        <v>15003.66791</v>
      </c>
      <c r="G2563" s="18">
        <f>E2563* 0.124687137143594</f>
        <v>2331.649465</v>
      </c>
      <c r="H2563" s="18">
        <f>E2563* 0.0729583279576829</f>
        <v>1364.320733</v>
      </c>
    </row>
    <row r="2564" ht="15.75" hidden="1" customHeight="1">
      <c r="A2564" s="15" t="s">
        <v>224</v>
      </c>
      <c r="B2564" s="8"/>
      <c r="C2564" s="8"/>
      <c r="D2564" s="9"/>
      <c r="E2564" s="29"/>
    </row>
    <row r="2565" ht="15.75" hidden="1" customHeight="1">
      <c r="A2565" s="15" t="s">
        <v>224</v>
      </c>
      <c r="B2565" s="11" t="s">
        <v>273</v>
      </c>
      <c r="C2565" s="12" t="str">
        <f>B2565&amp;"_"&amp;A2565</f>
        <v>Yapacaní_Santa Cruz</v>
      </c>
      <c r="E2565" s="22">
        <v>4123.0</v>
      </c>
      <c r="F2565" s="14">
        <f t="shared" ref="F2565:H2565" si="231">SUM(F2566:F2579)</f>
        <v>3640.868172</v>
      </c>
      <c r="G2565" s="14">
        <f t="shared" si="231"/>
        <v>379.4081619</v>
      </c>
      <c r="H2565" s="14">
        <f t="shared" si="231"/>
        <v>102.4576547</v>
      </c>
    </row>
    <row r="2566" ht="15.75" hidden="1" customHeight="1">
      <c r="A2566" s="15" t="s">
        <v>224</v>
      </c>
      <c r="B2566" s="11" t="s">
        <v>273</v>
      </c>
      <c r="C2566" s="15"/>
      <c r="D2566" s="16" t="s">
        <v>14</v>
      </c>
      <c r="E2566" s="23">
        <v>0.0</v>
      </c>
      <c r="F2566" s="20">
        <v>0.0</v>
      </c>
      <c r="G2566" s="24">
        <f>E2566</f>
        <v>0</v>
      </c>
      <c r="H2566" s="20">
        <v>0.0</v>
      </c>
    </row>
    <row r="2567" ht="15.75" hidden="1" customHeight="1">
      <c r="A2567" s="15" t="s">
        <v>224</v>
      </c>
      <c r="B2567" s="11" t="s">
        <v>273</v>
      </c>
      <c r="C2567" s="15"/>
      <c r="D2567" s="16" t="s">
        <v>15</v>
      </c>
      <c r="E2567" s="23">
        <v>100.0</v>
      </c>
      <c r="F2567" s="18">
        <f>E2567* 0.932303048052446</f>
        <v>93.23030481</v>
      </c>
      <c r="G2567" s="18">
        <f>E2567* 0.0217058280204555</f>
        <v>2.170582802</v>
      </c>
      <c r="H2567" s="18">
        <f>E2567* 0.0459798598751943</f>
        <v>4.597985988</v>
      </c>
    </row>
    <row r="2568" ht="15.75" hidden="1" customHeight="1">
      <c r="A2568" s="15" t="s">
        <v>224</v>
      </c>
      <c r="B2568" s="11" t="s">
        <v>273</v>
      </c>
      <c r="C2568" s="15"/>
      <c r="D2568" s="16" t="s">
        <v>16</v>
      </c>
      <c r="E2568" s="23">
        <v>3.0</v>
      </c>
      <c r="F2568" s="18">
        <f>E2568* 0.293894936109797</f>
        <v>0.8816848083</v>
      </c>
      <c r="G2568" s="18">
        <f>E2568* 0.663038334122101</f>
        <v>1.989115002</v>
      </c>
      <c r="H2568" s="18">
        <f>E2568* 0.0430667297681022</f>
        <v>0.1292001893</v>
      </c>
    </row>
    <row r="2569" ht="15.75" hidden="1" customHeight="1">
      <c r="A2569" s="15" t="s">
        <v>224</v>
      </c>
      <c r="B2569" s="11" t="s">
        <v>273</v>
      </c>
      <c r="C2569" s="15"/>
      <c r="D2569" s="16" t="s">
        <v>11</v>
      </c>
      <c r="E2569" s="23">
        <v>187.0</v>
      </c>
      <c r="F2569" s="18">
        <f>E2569* 0.083479491676667</f>
        <v>15.61066494</v>
      </c>
      <c r="G2569" s="18">
        <f>E2569* 0.913505030924029</f>
        <v>170.8254408</v>
      </c>
      <c r="H2569" s="18">
        <f>E2569* 0.00292316686667282</f>
        <v>0.5466322041</v>
      </c>
    </row>
    <row r="2570" ht="15.75" hidden="1" customHeight="1">
      <c r="A2570" s="15" t="s">
        <v>224</v>
      </c>
      <c r="B2570" s="11" t="s">
        <v>273</v>
      </c>
      <c r="C2570" s="15"/>
      <c r="D2570" s="16" t="s">
        <v>17</v>
      </c>
      <c r="E2570" s="23">
        <v>193.0</v>
      </c>
      <c r="F2570" s="18">
        <f>E2570* 0.752045572242362</f>
        <v>145.1447954</v>
      </c>
      <c r="G2570" s="18">
        <f>E2570* 0.185827723114103</f>
        <v>35.86475056</v>
      </c>
      <c r="H2570" s="18">
        <f>E2570* 0.0620921802175039</f>
        <v>11.98379078</v>
      </c>
    </row>
    <row r="2571" ht="15.75" hidden="1" customHeight="1">
      <c r="A2571" s="15" t="s">
        <v>224</v>
      </c>
      <c r="B2571" s="11" t="s">
        <v>273</v>
      </c>
      <c r="C2571" s="15"/>
      <c r="D2571" s="16" t="s">
        <v>31</v>
      </c>
      <c r="E2571" s="23">
        <v>9.0</v>
      </c>
      <c r="F2571" s="18">
        <f>E2571* 0.929131175468484</f>
        <v>8.362180579</v>
      </c>
      <c r="G2571" s="18">
        <f>E2571* 0.0477001703577513</f>
        <v>0.4293015332</v>
      </c>
      <c r="H2571" s="18">
        <f>E2571* 0.0231686541737649</f>
        <v>0.2085178876</v>
      </c>
    </row>
    <row r="2572" ht="15.75" hidden="1" customHeight="1">
      <c r="A2572" s="15" t="s">
        <v>224</v>
      </c>
      <c r="B2572" s="11" t="s">
        <v>273</v>
      </c>
      <c r="C2572" s="15"/>
      <c r="D2572" s="16" t="s">
        <v>18</v>
      </c>
      <c r="E2572" s="23">
        <v>34.0</v>
      </c>
      <c r="F2572" s="18">
        <f>E2572* 0.893702527830246</f>
        <v>30.38588595</v>
      </c>
      <c r="G2572" s="18">
        <f>E2572* 0.0946831169875015</f>
        <v>3.219225978</v>
      </c>
      <c r="H2572" s="18">
        <f>E2572* 0.0116143551822529</f>
        <v>0.3948880762</v>
      </c>
    </row>
    <row r="2573" ht="15.75" hidden="1" customHeight="1">
      <c r="A2573" s="15" t="s">
        <v>224</v>
      </c>
      <c r="B2573" s="11" t="s">
        <v>273</v>
      </c>
      <c r="C2573" s="15"/>
      <c r="D2573" s="16" t="s">
        <v>35</v>
      </c>
      <c r="E2573" s="23">
        <v>0.0</v>
      </c>
      <c r="F2573" s="20">
        <v>0.0</v>
      </c>
      <c r="G2573" s="24">
        <f>E2573</f>
        <v>0</v>
      </c>
      <c r="H2573" s="20">
        <v>0.0</v>
      </c>
    </row>
    <row r="2574" ht="15.75" hidden="1" customHeight="1">
      <c r="A2574" s="15" t="s">
        <v>224</v>
      </c>
      <c r="B2574" s="11" t="s">
        <v>273</v>
      </c>
      <c r="C2574" s="15"/>
      <c r="D2574" s="16" t="s">
        <v>19</v>
      </c>
      <c r="E2574" s="23">
        <v>13.0</v>
      </c>
      <c r="F2574" s="18">
        <f>E2574* 0.0299845873616365</f>
        <v>0.3897996357</v>
      </c>
      <c r="G2574" s="18">
        <f>E2574* 0.96385035729298</f>
        <v>12.53005464</v>
      </c>
      <c r="H2574" s="18">
        <f>E2574* 0.00616505534538321</f>
        <v>0.08014571949</v>
      </c>
    </row>
    <row r="2575" ht="15.75" hidden="1" customHeight="1">
      <c r="A2575" s="15" t="s">
        <v>224</v>
      </c>
      <c r="B2575" s="11" t="s">
        <v>273</v>
      </c>
      <c r="C2575" s="15"/>
      <c r="D2575" s="16" t="s">
        <v>20</v>
      </c>
      <c r="E2575" s="23">
        <v>23.0</v>
      </c>
      <c r="F2575" s="18">
        <f>E2575* 0.734251968503937</f>
        <v>16.88779528</v>
      </c>
      <c r="G2575" s="18">
        <f>E2575* 0.158017179670723</f>
        <v>3.634395132</v>
      </c>
      <c r="H2575" s="18">
        <f>E2575* 0.107551896921976</f>
        <v>2.473693629</v>
      </c>
    </row>
    <row r="2576" ht="15.75" hidden="1" customHeight="1">
      <c r="A2576" s="15" t="s">
        <v>224</v>
      </c>
      <c r="B2576" s="11" t="s">
        <v>273</v>
      </c>
      <c r="C2576" s="15"/>
      <c r="D2576" s="16" t="s">
        <v>21</v>
      </c>
      <c r="E2576" s="23">
        <v>2431.0</v>
      </c>
      <c r="F2576" s="18">
        <f>E2576* 0.999727092353423</f>
        <v>2430.336562</v>
      </c>
      <c r="G2576" s="18">
        <f>E2576* 0.0000516311763794744</f>
        <v>0.1255153898</v>
      </c>
      <c r="H2576" s="18">
        <f>E2576* 0.000132765882118648</f>
        <v>0.3227538594</v>
      </c>
    </row>
    <row r="2577" ht="15.75" hidden="1" customHeight="1">
      <c r="A2577" s="15" t="s">
        <v>224</v>
      </c>
      <c r="B2577" s="11" t="s">
        <v>273</v>
      </c>
      <c r="C2577" s="15"/>
      <c r="D2577" s="16" t="s">
        <v>36</v>
      </c>
      <c r="E2577" s="23">
        <v>1.0</v>
      </c>
      <c r="F2577" s="18">
        <f>E2577* 0.995894428152493</f>
        <v>0.9958944282</v>
      </c>
      <c r="G2577" s="18">
        <f>E2577* 0.000586510263929619</f>
        <v>0.0005865102639</v>
      </c>
      <c r="H2577" s="18">
        <f>E2577* 0.00351906158357771</f>
        <v>0.003519061584</v>
      </c>
    </row>
    <row r="2578" ht="15.75" hidden="1" customHeight="1">
      <c r="A2578" s="15" t="s">
        <v>224</v>
      </c>
      <c r="B2578" s="11" t="s">
        <v>273</v>
      </c>
      <c r="C2578" s="15"/>
      <c r="D2578" s="16" t="s">
        <v>28</v>
      </c>
      <c r="E2578" s="23">
        <v>9.0</v>
      </c>
      <c r="F2578" s="18">
        <f>E2578* 0.00302222222222222</f>
        <v>0.0272</v>
      </c>
      <c r="G2578" s="18">
        <f>E2578* 0.996622222222222</f>
        <v>8.9696</v>
      </c>
      <c r="H2578" s="18">
        <f>E2578* 0.000355555555555556</f>
        <v>0.0032</v>
      </c>
    </row>
    <row r="2579" ht="15.75" hidden="1" customHeight="1">
      <c r="A2579" s="15" t="s">
        <v>224</v>
      </c>
      <c r="B2579" s="11" t="s">
        <v>273</v>
      </c>
      <c r="C2579" s="15"/>
      <c r="D2579" s="25" t="s">
        <v>12</v>
      </c>
      <c r="E2579" s="27">
        <v>1120.0</v>
      </c>
      <c r="F2579" s="18">
        <f>E2579* 0.802335182557089</f>
        <v>898.6154045</v>
      </c>
      <c r="G2579" s="18">
        <f>E2579* 0.124687137143594</f>
        <v>139.6495936</v>
      </c>
      <c r="H2579" s="18">
        <f>E2579* 0.0729583279576829</f>
        <v>81.71332731</v>
      </c>
    </row>
    <row r="2580" ht="15.75" hidden="1" customHeight="1">
      <c r="A2580" s="15" t="s">
        <v>274</v>
      </c>
      <c r="B2580" s="11" t="s">
        <v>275</v>
      </c>
      <c r="C2580" s="12" t="str">
        <f>B2580&amp;"_"&amp;A2580</f>
        <v>Puerto Guayaramerín_Beni</v>
      </c>
      <c r="E2580" s="22">
        <v>7.0</v>
      </c>
      <c r="F2580" s="14">
        <f t="shared" ref="F2580:H2580" si="232">SUM(F2581:F2584)</f>
        <v>2.719106019</v>
      </c>
      <c r="G2580" s="14">
        <f t="shared" si="232"/>
        <v>4.208238149</v>
      </c>
      <c r="H2580" s="14">
        <f t="shared" si="232"/>
        <v>0.07265583161</v>
      </c>
    </row>
    <row r="2581" ht="15.75" hidden="1" customHeight="1">
      <c r="A2581" s="15" t="s">
        <v>274</v>
      </c>
      <c r="B2581" s="11" t="s">
        <v>275</v>
      </c>
      <c r="C2581" s="15"/>
      <c r="D2581" s="31" t="s">
        <v>11</v>
      </c>
      <c r="E2581" s="32">
        <v>4.0</v>
      </c>
      <c r="F2581" s="18">
        <f>E2581* 0.0786924939467312</f>
        <v>0.3147699758</v>
      </c>
      <c r="G2581" s="18">
        <f>E2581* 0.920096852300242</f>
        <v>3.680387409</v>
      </c>
      <c r="H2581" s="18">
        <f>E2581* 0.00121065375302663</f>
        <v>0.004842615012</v>
      </c>
    </row>
    <row r="2582" ht="15.75" hidden="1" customHeight="1">
      <c r="A2582" s="15" t="s">
        <v>274</v>
      </c>
      <c r="B2582" s="11" t="s">
        <v>275</v>
      </c>
      <c r="C2582" s="15"/>
      <c r="D2582" s="31" t="s">
        <v>17</v>
      </c>
      <c r="E2582" s="32">
        <v>2.0</v>
      </c>
      <c r="F2582" s="18">
        <f>E2582* 0.746612466124661</f>
        <v>1.493224932</v>
      </c>
      <c r="G2582" s="18">
        <f>E2582* 0.22289972899729</f>
        <v>0.445799458</v>
      </c>
      <c r="H2582" s="18">
        <f>E2582* 0.0304878048780488</f>
        <v>0.06097560976</v>
      </c>
    </row>
    <row r="2583" ht="15.75" hidden="1" customHeight="1">
      <c r="A2583" s="15" t="s">
        <v>274</v>
      </c>
      <c r="B2583" s="11" t="s">
        <v>275</v>
      </c>
      <c r="C2583" s="15"/>
      <c r="D2583" s="31" t="s">
        <v>18</v>
      </c>
      <c r="E2583" s="32">
        <v>1.0</v>
      </c>
      <c r="F2583" s="18">
        <f>E2583* 0.911111111111111</f>
        <v>0.9111111111</v>
      </c>
      <c r="G2583" s="18">
        <f>E2583* 0.0820512820512821</f>
        <v>0.08205128205</v>
      </c>
      <c r="H2583" s="18">
        <f>E2583* 0.00683760683760684</f>
        <v>0.006837606838</v>
      </c>
    </row>
    <row r="2584" ht="15.75" hidden="1" customHeight="1">
      <c r="A2584" s="15" t="s">
        <v>274</v>
      </c>
      <c r="B2584" s="11" t="s">
        <v>275</v>
      </c>
      <c r="C2584" s="15"/>
      <c r="D2584" s="31" t="s">
        <v>12</v>
      </c>
      <c r="E2584" s="32">
        <v>0.0</v>
      </c>
      <c r="F2584" s="18">
        <f>E2584* 0.8188894654904</f>
        <v>0</v>
      </c>
      <c r="G2584" s="18">
        <f>E2584* 0.155682407887909</f>
        <v>0</v>
      </c>
      <c r="H2584" s="18">
        <f>E2584* 0.0254281266216918</f>
        <v>0</v>
      </c>
    </row>
    <row r="2585" ht="15.75" hidden="1" customHeight="1">
      <c r="A2585" s="15" t="s">
        <v>274</v>
      </c>
      <c r="B2585" s="33"/>
      <c r="C2585" s="33"/>
      <c r="D2585" s="34"/>
      <c r="E2585" s="35"/>
    </row>
    <row r="2586" ht="15.75" hidden="1" customHeight="1">
      <c r="A2586" s="15" t="s">
        <v>274</v>
      </c>
      <c r="B2586" s="11" t="s">
        <v>276</v>
      </c>
      <c r="C2586" s="12" t="str">
        <f>B2586&amp;"_"&amp;A2586</f>
        <v>Puerto Rurrenabaque_Beni</v>
      </c>
      <c r="E2586" s="22">
        <v>435.0</v>
      </c>
      <c r="F2586" s="14">
        <f t="shared" ref="F2586:H2586" si="233">SUM(F2587:F2596)</f>
        <v>427.6809025</v>
      </c>
      <c r="G2586" s="14">
        <f t="shared" si="233"/>
        <v>6.574025042</v>
      </c>
      <c r="H2586" s="14">
        <f t="shared" si="233"/>
        <v>0.5441422918</v>
      </c>
    </row>
    <row r="2587" ht="15.75" hidden="1" customHeight="1">
      <c r="A2587" s="15" t="s">
        <v>274</v>
      </c>
      <c r="B2587" s="11" t="s">
        <v>276</v>
      </c>
      <c r="C2587" s="15"/>
      <c r="D2587" s="31" t="s">
        <v>14</v>
      </c>
      <c r="E2587" s="32">
        <v>0.0</v>
      </c>
      <c r="F2587" s="20">
        <v>0.0</v>
      </c>
      <c r="G2587" s="24">
        <f>E2587</f>
        <v>0</v>
      </c>
      <c r="H2587" s="20">
        <v>0.0</v>
      </c>
    </row>
    <row r="2588" ht="15.75" hidden="1" customHeight="1">
      <c r="A2588" s="15" t="s">
        <v>274</v>
      </c>
      <c r="B2588" s="11" t="s">
        <v>276</v>
      </c>
      <c r="C2588" s="15"/>
      <c r="D2588" s="31" t="s">
        <v>15</v>
      </c>
      <c r="E2588" s="32">
        <v>1.0</v>
      </c>
      <c r="F2588" s="18">
        <f>E2588* 0.978622327790974</f>
        <v>0.9786223278</v>
      </c>
      <c r="G2588" s="18">
        <f>E2588* 0.0130641330166271</f>
        <v>0.01306413302</v>
      </c>
      <c r="H2588" s="18">
        <f>E2588* 0.00831353919239905</f>
        <v>0.008313539192</v>
      </c>
    </row>
    <row r="2589" ht="15.75" hidden="1" customHeight="1">
      <c r="A2589" s="15" t="s">
        <v>274</v>
      </c>
      <c r="B2589" s="11" t="s">
        <v>276</v>
      </c>
      <c r="C2589" s="15"/>
      <c r="D2589" s="31" t="s">
        <v>11</v>
      </c>
      <c r="E2589" s="32">
        <v>3.0</v>
      </c>
      <c r="F2589" s="18">
        <f>E2589* 0.0786924939467312</f>
        <v>0.2360774818</v>
      </c>
      <c r="G2589" s="18">
        <f>E2589* 0.920096852300242</f>
        <v>2.760290557</v>
      </c>
      <c r="H2589" s="18">
        <f>E2589* 0.00121065375302663</f>
        <v>0.003631961259</v>
      </c>
    </row>
    <row r="2590" ht="15.75" hidden="1" customHeight="1">
      <c r="A2590" s="15" t="s">
        <v>274</v>
      </c>
      <c r="B2590" s="11" t="s">
        <v>276</v>
      </c>
      <c r="C2590" s="15"/>
      <c r="D2590" s="31" t="s">
        <v>17</v>
      </c>
      <c r="E2590" s="32">
        <v>3.0</v>
      </c>
      <c r="F2590" s="18">
        <f>E2590* 0.746612466124661</f>
        <v>2.239837398</v>
      </c>
      <c r="G2590" s="18">
        <f>E2590* 0.22289972899729</f>
        <v>0.668699187</v>
      </c>
      <c r="H2590" s="18">
        <f>E2590* 0.0304878048780488</f>
        <v>0.09146341463</v>
      </c>
    </row>
    <row r="2591" ht="15.75" hidden="1" customHeight="1">
      <c r="A2591" s="15" t="s">
        <v>274</v>
      </c>
      <c r="B2591" s="11" t="s">
        <v>276</v>
      </c>
      <c r="C2591" s="15"/>
      <c r="D2591" s="31" t="s">
        <v>31</v>
      </c>
      <c r="E2591" s="32">
        <v>1.0</v>
      </c>
      <c r="F2591" s="18">
        <f>E2591* 0.771428571428572</f>
        <v>0.7714285714</v>
      </c>
      <c r="G2591" s="18">
        <f>E2591* 0.228571428571429</f>
        <v>0.2285714286</v>
      </c>
      <c r="H2591" s="20">
        <v>0.0</v>
      </c>
    </row>
    <row r="2592" ht="15.75" hidden="1" customHeight="1">
      <c r="A2592" s="15" t="s">
        <v>274</v>
      </c>
      <c r="B2592" s="11" t="s">
        <v>276</v>
      </c>
      <c r="C2592" s="15"/>
      <c r="D2592" s="31" t="s">
        <v>18</v>
      </c>
      <c r="E2592" s="32">
        <v>2.0</v>
      </c>
      <c r="F2592" s="18">
        <f>E2592* 0.911111111111111</f>
        <v>1.822222222</v>
      </c>
      <c r="G2592" s="18">
        <f>E2592* 0.0820512820512821</f>
        <v>0.1641025641</v>
      </c>
      <c r="H2592" s="18">
        <f>E2592* 0.00683760683760684</f>
        <v>0.01367521368</v>
      </c>
    </row>
    <row r="2593" ht="15.75" hidden="1" customHeight="1">
      <c r="A2593" s="15" t="s">
        <v>274</v>
      </c>
      <c r="B2593" s="11" t="s">
        <v>276</v>
      </c>
      <c r="C2593" s="15"/>
      <c r="D2593" s="31" t="s">
        <v>21</v>
      </c>
      <c r="E2593" s="32">
        <v>409.0</v>
      </c>
      <c r="F2593" s="18">
        <f>E2593* 0.999082959420954</f>
        <v>408.6249304</v>
      </c>
      <c r="G2593" s="18">
        <f>E2593* 0.0000655028985032588</f>
        <v>0.02679068549</v>
      </c>
      <c r="H2593" s="18">
        <f>E2593* 0.000360265941767923</f>
        <v>0.1473487702</v>
      </c>
    </row>
    <row r="2594" ht="15.75" hidden="1" customHeight="1">
      <c r="A2594" s="15" t="s">
        <v>274</v>
      </c>
      <c r="B2594" s="11" t="s">
        <v>276</v>
      </c>
      <c r="C2594" s="15"/>
      <c r="D2594" s="31" t="s">
        <v>36</v>
      </c>
      <c r="E2594" s="32">
        <v>4.0</v>
      </c>
      <c r="F2594" s="24">
        <f>E2594</f>
        <v>4</v>
      </c>
      <c r="G2594" s="20">
        <v>0.0</v>
      </c>
      <c r="H2594" s="20">
        <v>0.0</v>
      </c>
    </row>
    <row r="2595" ht="15.75" hidden="1" customHeight="1">
      <c r="A2595" s="15" t="s">
        <v>274</v>
      </c>
      <c r="B2595" s="11" t="s">
        <v>276</v>
      </c>
      <c r="C2595" s="15"/>
      <c r="D2595" s="31" t="s">
        <v>84</v>
      </c>
      <c r="E2595" s="32">
        <v>1.0</v>
      </c>
      <c r="F2595" s="20">
        <v>0.0</v>
      </c>
      <c r="G2595" s="24">
        <f>E2595</f>
        <v>1</v>
      </c>
      <c r="H2595" s="20">
        <v>0.0</v>
      </c>
    </row>
    <row r="2596" ht="15.75" hidden="1" customHeight="1">
      <c r="A2596" s="15" t="s">
        <v>274</v>
      </c>
      <c r="B2596" s="11" t="s">
        <v>276</v>
      </c>
      <c r="C2596" s="15"/>
      <c r="D2596" s="31" t="s">
        <v>12</v>
      </c>
      <c r="E2596" s="32">
        <v>11.0</v>
      </c>
      <c r="F2596" s="18">
        <f>E2596* 0.8188894654904</f>
        <v>9.00778412</v>
      </c>
      <c r="G2596" s="18">
        <f>E2596* 0.155682407887909</f>
        <v>1.712506487</v>
      </c>
      <c r="H2596" s="18">
        <f>E2596* 0.0254281266216918</f>
        <v>0.2797093928</v>
      </c>
    </row>
    <row r="2597" ht="15.75" hidden="1" customHeight="1">
      <c r="A2597" s="15" t="s">
        <v>274</v>
      </c>
      <c r="B2597" s="36"/>
      <c r="C2597" s="36"/>
      <c r="D2597" s="31"/>
      <c r="E2597" s="35"/>
    </row>
    <row r="2598" ht="15.75" hidden="1" customHeight="1">
      <c r="A2598" s="15" t="s">
        <v>274</v>
      </c>
      <c r="B2598" s="11" t="s">
        <v>277</v>
      </c>
      <c r="C2598" s="12" t="str">
        <f>B2598&amp;"_"&amp;A2598</f>
        <v>Riberalta_Beni</v>
      </c>
      <c r="E2598" s="22">
        <v>3627.0</v>
      </c>
      <c r="F2598" s="14">
        <f t="shared" ref="F2598:H2598" si="234">SUM(F2599:F2610)</f>
        <v>3551.123395</v>
      </c>
      <c r="G2598" s="14">
        <f t="shared" si="234"/>
        <v>69.34659158</v>
      </c>
      <c r="H2598" s="14">
        <f t="shared" si="234"/>
        <v>4.851337816</v>
      </c>
    </row>
    <row r="2599" ht="15.75" hidden="1" customHeight="1">
      <c r="A2599" s="15" t="s">
        <v>274</v>
      </c>
      <c r="B2599" s="11" t="s">
        <v>277</v>
      </c>
      <c r="C2599" s="15"/>
      <c r="D2599" s="31" t="s">
        <v>15</v>
      </c>
      <c r="E2599" s="32">
        <v>19.0</v>
      </c>
      <c r="F2599" s="18">
        <f>E2599* 0.978622327790974</f>
        <v>18.59382423</v>
      </c>
      <c r="G2599" s="18">
        <f>E2599* 0.0130641330166271</f>
        <v>0.2482185273</v>
      </c>
      <c r="H2599" s="18">
        <f>E2599* 0.00831353919239905</f>
        <v>0.1579572447</v>
      </c>
    </row>
    <row r="2600" ht="15.75" hidden="1" customHeight="1">
      <c r="A2600" s="15" t="s">
        <v>274</v>
      </c>
      <c r="B2600" s="11" t="s">
        <v>277</v>
      </c>
      <c r="C2600" s="15"/>
      <c r="D2600" s="31" t="s">
        <v>16</v>
      </c>
      <c r="E2600" s="32">
        <v>2.0</v>
      </c>
      <c r="F2600" s="18">
        <f>E2600* 0.416666666666667</f>
        <v>0.8333333333</v>
      </c>
      <c r="G2600" s="18">
        <f>E2600* 0.583333333333333</f>
        <v>1.166666667</v>
      </c>
      <c r="H2600" s="20">
        <v>0.0</v>
      </c>
    </row>
    <row r="2601" ht="15.75" hidden="1" customHeight="1">
      <c r="A2601" s="15" t="s">
        <v>274</v>
      </c>
      <c r="B2601" s="11" t="s">
        <v>277</v>
      </c>
      <c r="C2601" s="15"/>
      <c r="D2601" s="31" t="s">
        <v>11</v>
      </c>
      <c r="E2601" s="32">
        <v>47.0</v>
      </c>
      <c r="F2601" s="18">
        <f>E2601* 0.0786924939467312</f>
        <v>3.698547215</v>
      </c>
      <c r="G2601" s="18">
        <f>E2601* 0.920096852300242</f>
        <v>43.24455206</v>
      </c>
      <c r="H2601" s="18">
        <f>E2601* 0.00121065375302663</f>
        <v>0.05690072639</v>
      </c>
    </row>
    <row r="2602" ht="15.75" hidden="1" customHeight="1">
      <c r="A2602" s="15" t="s">
        <v>274</v>
      </c>
      <c r="B2602" s="11" t="s">
        <v>277</v>
      </c>
      <c r="C2602" s="15"/>
      <c r="D2602" s="31" t="s">
        <v>17</v>
      </c>
      <c r="E2602" s="32">
        <v>53.0</v>
      </c>
      <c r="F2602" s="18">
        <f>E2602* 0.746612466124661</f>
        <v>39.5704607</v>
      </c>
      <c r="G2602" s="18">
        <f>E2602* 0.22289972899729</f>
        <v>11.81368564</v>
      </c>
      <c r="H2602" s="18">
        <f>E2602* 0.0304878048780488</f>
        <v>1.615853659</v>
      </c>
    </row>
    <row r="2603" ht="15.75" hidden="1" customHeight="1">
      <c r="A2603" s="15" t="s">
        <v>274</v>
      </c>
      <c r="B2603" s="11" t="s">
        <v>277</v>
      </c>
      <c r="C2603" s="15"/>
      <c r="D2603" s="31" t="s">
        <v>31</v>
      </c>
      <c r="E2603" s="32">
        <v>1.0</v>
      </c>
      <c r="F2603" s="18">
        <f>E2603* 0.771428571428572</f>
        <v>0.7714285714</v>
      </c>
      <c r="G2603" s="18">
        <f>E2603* 0.228571428571429</f>
        <v>0.2285714286</v>
      </c>
      <c r="H2603" s="20">
        <v>0.0</v>
      </c>
    </row>
    <row r="2604" ht="15.75" hidden="1" customHeight="1">
      <c r="A2604" s="15" t="s">
        <v>274</v>
      </c>
      <c r="B2604" s="11" t="s">
        <v>277</v>
      </c>
      <c r="C2604" s="15"/>
      <c r="D2604" s="31" t="s">
        <v>18</v>
      </c>
      <c r="E2604" s="32">
        <v>9.0</v>
      </c>
      <c r="F2604" s="18">
        <f>E2604* 0.911111111111111</f>
        <v>8.2</v>
      </c>
      <c r="G2604" s="18">
        <f>E2604* 0.0820512820512821</f>
        <v>0.7384615385</v>
      </c>
      <c r="H2604" s="18">
        <f>E2604* 0.00683760683760684</f>
        <v>0.06153846154</v>
      </c>
    </row>
    <row r="2605" ht="15.75" hidden="1" customHeight="1">
      <c r="A2605" s="15" t="s">
        <v>274</v>
      </c>
      <c r="B2605" s="11" t="s">
        <v>277</v>
      </c>
      <c r="C2605" s="15"/>
      <c r="D2605" s="31" t="s">
        <v>35</v>
      </c>
      <c r="E2605" s="32">
        <v>0.0</v>
      </c>
      <c r="F2605" s="20">
        <v>0.0</v>
      </c>
      <c r="G2605" s="24">
        <f>E2605</f>
        <v>0</v>
      </c>
      <c r="H2605" s="20">
        <v>0.0</v>
      </c>
    </row>
    <row r="2606" ht="15.75" hidden="1" customHeight="1">
      <c r="A2606" s="15" t="s">
        <v>274</v>
      </c>
      <c r="B2606" s="11" t="s">
        <v>277</v>
      </c>
      <c r="C2606" s="15"/>
      <c r="D2606" s="31" t="s">
        <v>20</v>
      </c>
      <c r="E2606" s="32">
        <v>4.0</v>
      </c>
      <c r="F2606" s="18">
        <f>E2606* 0.454545454545455</f>
        <v>1.818181818</v>
      </c>
      <c r="G2606" s="18">
        <f>E2606* 0.507575757575758</f>
        <v>2.03030303</v>
      </c>
      <c r="H2606" s="18">
        <f>E2606* 0.0378787878787879</f>
        <v>0.1515151515</v>
      </c>
    </row>
    <row r="2607" ht="15.75" hidden="1" customHeight="1">
      <c r="A2607" s="15" t="s">
        <v>274</v>
      </c>
      <c r="B2607" s="11" t="s">
        <v>277</v>
      </c>
      <c r="C2607" s="15"/>
      <c r="D2607" s="31" t="s">
        <v>21</v>
      </c>
      <c r="E2607" s="32">
        <v>3417.0</v>
      </c>
      <c r="F2607" s="18">
        <f>E2607* 0.999082959420954</f>
        <v>3413.866472</v>
      </c>
      <c r="G2607" s="18">
        <f>E2607* 0.0000655028985032588</f>
        <v>0.2238234042</v>
      </c>
      <c r="H2607" s="18">
        <f>E2607* 0.000360265941767923</f>
        <v>1.231028723</v>
      </c>
    </row>
    <row r="2608" ht="15.75" hidden="1" customHeight="1">
      <c r="A2608" s="15" t="s">
        <v>274</v>
      </c>
      <c r="B2608" s="11" t="s">
        <v>277</v>
      </c>
      <c r="C2608" s="15"/>
      <c r="D2608" s="31" t="s">
        <v>36</v>
      </c>
      <c r="E2608" s="32">
        <v>13.0</v>
      </c>
      <c r="F2608" s="24">
        <f>E2608</f>
        <v>13</v>
      </c>
      <c r="G2608" s="20">
        <v>0.0</v>
      </c>
      <c r="H2608" s="20">
        <v>0.0</v>
      </c>
    </row>
    <row r="2609" ht="15.75" hidden="1" customHeight="1">
      <c r="A2609" s="15" t="s">
        <v>274</v>
      </c>
      <c r="B2609" s="11" t="s">
        <v>277</v>
      </c>
      <c r="C2609" s="15"/>
      <c r="D2609" s="31" t="s">
        <v>28</v>
      </c>
      <c r="E2609" s="32">
        <v>0.0</v>
      </c>
      <c r="F2609" s="20">
        <v>0.0</v>
      </c>
      <c r="G2609" s="24">
        <f>E2609</f>
        <v>0</v>
      </c>
      <c r="H2609" s="20">
        <v>0.0</v>
      </c>
    </row>
    <row r="2610" ht="15.75" hidden="1" customHeight="1">
      <c r="A2610" s="15" t="s">
        <v>274</v>
      </c>
      <c r="B2610" s="11" t="s">
        <v>277</v>
      </c>
      <c r="C2610" s="15"/>
      <c r="D2610" s="31" t="s">
        <v>12</v>
      </c>
      <c r="E2610" s="32">
        <v>62.0</v>
      </c>
      <c r="F2610" s="18">
        <f>E2610* 0.8188894654904</f>
        <v>50.77114686</v>
      </c>
      <c r="G2610" s="18">
        <f>E2610* 0.155682407887909</f>
        <v>9.652309289</v>
      </c>
      <c r="H2610" s="18">
        <f>E2610* 0.0254281266216918</f>
        <v>1.576543851</v>
      </c>
    </row>
    <row r="2611" ht="15.75" hidden="1" customHeight="1">
      <c r="A2611" s="15" t="s">
        <v>274</v>
      </c>
      <c r="B2611" s="33"/>
      <c r="C2611" s="33"/>
      <c r="D2611" s="34"/>
      <c r="E2611" s="35"/>
    </row>
    <row r="2612" ht="15.75" hidden="1" customHeight="1">
      <c r="A2612" s="15" t="s">
        <v>274</v>
      </c>
      <c r="B2612" s="11" t="s">
        <v>278</v>
      </c>
      <c r="C2612" s="12" t="str">
        <f>B2612&amp;"_"&amp;A2612</f>
        <v>San Borja_Beni</v>
      </c>
      <c r="E2612" s="22">
        <v>230.0</v>
      </c>
      <c r="F2612" s="14">
        <f t="shared" ref="F2612:H2612" si="235">SUM(F2613:F2621)</f>
        <v>217.4326279</v>
      </c>
      <c r="G2612" s="14">
        <f t="shared" si="235"/>
        <v>12.00810265</v>
      </c>
      <c r="H2612" s="14">
        <f t="shared" si="235"/>
        <v>0.4600325632</v>
      </c>
    </row>
    <row r="2613" ht="15.75" hidden="1" customHeight="1">
      <c r="A2613" s="15" t="s">
        <v>274</v>
      </c>
      <c r="B2613" s="11" t="s">
        <v>278</v>
      </c>
      <c r="C2613" s="15"/>
      <c r="D2613" s="31" t="s">
        <v>14</v>
      </c>
      <c r="E2613" s="32">
        <v>0.0</v>
      </c>
      <c r="F2613" s="20">
        <v>0.0</v>
      </c>
      <c r="G2613" s="24">
        <f>E2613</f>
        <v>0</v>
      </c>
      <c r="H2613" s="20">
        <v>0.0</v>
      </c>
    </row>
    <row r="2614" ht="15.75" hidden="1" customHeight="1">
      <c r="A2614" s="15" t="s">
        <v>274</v>
      </c>
      <c r="B2614" s="11" t="s">
        <v>278</v>
      </c>
      <c r="C2614" s="15"/>
      <c r="D2614" s="31" t="s">
        <v>16</v>
      </c>
      <c r="E2614" s="32">
        <v>0.0</v>
      </c>
      <c r="F2614" s="18">
        <f>E2614* 0.416666666666667</f>
        <v>0</v>
      </c>
      <c r="G2614" s="18">
        <f>E2614* 0.583333333333333</f>
        <v>0</v>
      </c>
      <c r="H2614" s="20">
        <v>0.0</v>
      </c>
    </row>
    <row r="2615" ht="15.75" hidden="1" customHeight="1">
      <c r="A2615" s="15" t="s">
        <v>274</v>
      </c>
      <c r="B2615" s="11" t="s">
        <v>278</v>
      </c>
      <c r="C2615" s="15"/>
      <c r="D2615" s="31" t="s">
        <v>11</v>
      </c>
      <c r="E2615" s="32">
        <v>10.0</v>
      </c>
      <c r="F2615" s="18">
        <f>E2615* 0.0786924939467312</f>
        <v>0.7869249395</v>
      </c>
      <c r="G2615" s="18">
        <f>E2615* 0.920096852300242</f>
        <v>9.200968523</v>
      </c>
      <c r="H2615" s="18">
        <f>E2615* 0.00121065375302663</f>
        <v>0.01210653753</v>
      </c>
    </row>
    <row r="2616" ht="15.75" hidden="1" customHeight="1">
      <c r="A2616" s="15" t="s">
        <v>274</v>
      </c>
      <c r="B2616" s="11" t="s">
        <v>278</v>
      </c>
      <c r="C2616" s="15"/>
      <c r="D2616" s="31" t="s">
        <v>17</v>
      </c>
      <c r="E2616" s="32">
        <v>5.0</v>
      </c>
      <c r="F2616" s="18">
        <f>E2616* 0.746612466124661</f>
        <v>3.733062331</v>
      </c>
      <c r="G2616" s="18">
        <f>E2616* 0.22289972899729</f>
        <v>1.114498645</v>
      </c>
      <c r="H2616" s="18">
        <f>E2616* 0.0304878048780488</f>
        <v>0.1524390244</v>
      </c>
    </row>
    <row r="2617" ht="15.75" hidden="1" customHeight="1">
      <c r="A2617" s="15" t="s">
        <v>274</v>
      </c>
      <c r="B2617" s="11" t="s">
        <v>278</v>
      </c>
      <c r="C2617" s="15"/>
      <c r="D2617" s="31" t="s">
        <v>18</v>
      </c>
      <c r="E2617" s="32">
        <v>1.0</v>
      </c>
      <c r="F2617" s="18">
        <f>E2617* 0.911111111111111</f>
        <v>0.9111111111</v>
      </c>
      <c r="G2617" s="18">
        <f>E2617* 0.0820512820512821</f>
        <v>0.08205128205</v>
      </c>
      <c r="H2617" s="18">
        <f>E2617* 0.00683760683760684</f>
        <v>0.006837606838</v>
      </c>
    </row>
    <row r="2618" ht="15.75" hidden="1" customHeight="1">
      <c r="A2618" s="15" t="s">
        <v>274</v>
      </c>
      <c r="B2618" s="11" t="s">
        <v>278</v>
      </c>
      <c r="C2618" s="15"/>
      <c r="D2618" s="31" t="s">
        <v>20</v>
      </c>
      <c r="E2618" s="32">
        <v>1.0</v>
      </c>
      <c r="F2618" s="18">
        <f>E2618* 0.454545454545455</f>
        <v>0.4545454545</v>
      </c>
      <c r="G2618" s="18">
        <f>E2618* 0.507575757575758</f>
        <v>0.5075757576</v>
      </c>
      <c r="H2618" s="18">
        <f>E2618* 0.0378787878787879</f>
        <v>0.03787878788</v>
      </c>
    </row>
    <row r="2619" ht="15.75" hidden="1" customHeight="1">
      <c r="A2619" s="15" t="s">
        <v>274</v>
      </c>
      <c r="B2619" s="11" t="s">
        <v>278</v>
      </c>
      <c r="C2619" s="15"/>
      <c r="D2619" s="31" t="s">
        <v>21</v>
      </c>
      <c r="E2619" s="32">
        <v>202.0</v>
      </c>
      <c r="F2619" s="18">
        <f>E2619* 0.999082959420954</f>
        <v>201.8147578</v>
      </c>
      <c r="G2619" s="18">
        <f>E2619* 0.0000655028985032588</f>
        <v>0.0132315855</v>
      </c>
      <c r="H2619" s="18">
        <f>E2619* 0.000360265941767923</f>
        <v>0.07277372024</v>
      </c>
    </row>
    <row r="2620" ht="15.75" hidden="1" customHeight="1">
      <c r="A2620" s="15" t="s">
        <v>274</v>
      </c>
      <c r="B2620" s="11" t="s">
        <v>278</v>
      </c>
      <c r="C2620" s="15"/>
      <c r="D2620" s="31" t="s">
        <v>36</v>
      </c>
      <c r="E2620" s="32">
        <v>4.0</v>
      </c>
      <c r="F2620" s="24">
        <f>E2620</f>
        <v>4</v>
      </c>
      <c r="G2620" s="20">
        <v>0.0</v>
      </c>
      <c r="H2620" s="20">
        <v>0.0</v>
      </c>
    </row>
    <row r="2621" ht="15.75" hidden="1" customHeight="1">
      <c r="A2621" s="15" t="s">
        <v>274</v>
      </c>
      <c r="B2621" s="11" t="s">
        <v>278</v>
      </c>
      <c r="C2621" s="15"/>
      <c r="D2621" s="31" t="s">
        <v>12</v>
      </c>
      <c r="E2621" s="32">
        <v>7.0</v>
      </c>
      <c r="F2621" s="18">
        <f>E2621* 0.8188894654904</f>
        <v>5.732226258</v>
      </c>
      <c r="G2621" s="18">
        <f>E2621* 0.155682407887909</f>
        <v>1.089776855</v>
      </c>
      <c r="H2621" s="18">
        <f>E2621* 0.0254281266216918</f>
        <v>0.1779968864</v>
      </c>
    </row>
    <row r="2622" ht="15.75" hidden="1" customHeight="1">
      <c r="A2622" s="15" t="s">
        <v>274</v>
      </c>
      <c r="B2622" s="33"/>
      <c r="C2622" s="33"/>
      <c r="D2622" s="34"/>
      <c r="E2622" s="35"/>
    </row>
    <row r="2623" ht="15.75" hidden="1" customHeight="1">
      <c r="A2623" s="15" t="s">
        <v>274</v>
      </c>
      <c r="B2623" s="11" t="s">
        <v>279</v>
      </c>
      <c r="C2623" s="12" t="str">
        <f>B2623&amp;"_"&amp;A2623</f>
        <v>San Ignacio (Beni)_Beni</v>
      </c>
      <c r="E2623" s="22">
        <v>1.0</v>
      </c>
      <c r="F2623" s="14">
        <f t="shared" ref="F2623:H2623" si="236">SUM(F2624:F2625)</f>
        <v>0.9990829594</v>
      </c>
      <c r="G2623" s="14">
        <f t="shared" si="236"/>
        <v>0.0000655028985</v>
      </c>
      <c r="H2623" s="14">
        <f t="shared" si="236"/>
        <v>0.0003602659418</v>
      </c>
    </row>
    <row r="2624" ht="15.75" hidden="1" customHeight="1">
      <c r="A2624" s="15" t="s">
        <v>274</v>
      </c>
      <c r="B2624" s="11" t="s">
        <v>279</v>
      </c>
      <c r="C2624" s="15"/>
      <c r="D2624" s="31" t="s">
        <v>17</v>
      </c>
      <c r="E2624" s="32">
        <v>0.0</v>
      </c>
      <c r="F2624" s="18">
        <f>E2624* 0.746612466124661</f>
        <v>0</v>
      </c>
      <c r="G2624" s="18">
        <f>E2624* 0.22289972899729</f>
        <v>0</v>
      </c>
      <c r="H2624" s="18">
        <f>E2624* 0.0304878048780488</f>
        <v>0</v>
      </c>
    </row>
    <row r="2625" ht="15.75" hidden="1" customHeight="1">
      <c r="A2625" s="15" t="s">
        <v>274</v>
      </c>
      <c r="B2625" s="11" t="s">
        <v>279</v>
      </c>
      <c r="C2625" s="15"/>
      <c r="D2625" s="31" t="s">
        <v>21</v>
      </c>
      <c r="E2625" s="32">
        <v>1.0</v>
      </c>
      <c r="F2625" s="18">
        <f>E2625* 0.999082959420954</f>
        <v>0.9990829594</v>
      </c>
      <c r="G2625" s="18">
        <f>E2625* 0.0000655028985032588</f>
        <v>0.0000655028985</v>
      </c>
      <c r="H2625" s="18">
        <f>E2625* 0.000360265941767923</f>
        <v>0.0003602659418</v>
      </c>
    </row>
    <row r="2626" ht="15.75" hidden="1" customHeight="1">
      <c r="A2626" s="15" t="s">
        <v>274</v>
      </c>
      <c r="B2626" s="33"/>
      <c r="C2626" s="33"/>
      <c r="D2626" s="34"/>
      <c r="E2626" s="35"/>
    </row>
    <row r="2627" ht="15.75" hidden="1" customHeight="1">
      <c r="A2627" s="15" t="s">
        <v>274</v>
      </c>
      <c r="B2627" s="11" t="s">
        <v>280</v>
      </c>
      <c r="C2627" s="12" t="str">
        <f>B2627&amp;"_"&amp;A2627</f>
        <v>San Javier (Trinidad)_Beni</v>
      </c>
      <c r="E2627" s="22">
        <v>1.0</v>
      </c>
      <c r="F2627" s="14">
        <f t="shared" ref="F2627:H2627" si="237">F2628</f>
        <v>0.7466124661</v>
      </c>
      <c r="G2627" s="14">
        <f t="shared" si="237"/>
        <v>0.222899729</v>
      </c>
      <c r="H2627" s="14">
        <f t="shared" si="237"/>
        <v>0.03048780488</v>
      </c>
    </row>
    <row r="2628" ht="15.75" hidden="1" customHeight="1">
      <c r="A2628" s="15" t="s">
        <v>274</v>
      </c>
      <c r="B2628" s="11" t="s">
        <v>280</v>
      </c>
      <c r="C2628" s="15"/>
      <c r="D2628" s="31" t="s">
        <v>17</v>
      </c>
      <c r="E2628" s="32">
        <v>1.0</v>
      </c>
      <c r="F2628" s="18">
        <f>E2628* 0.746612466124661</f>
        <v>0.7466124661</v>
      </c>
      <c r="G2628" s="18">
        <f>E2628* 0.22289972899729</f>
        <v>0.222899729</v>
      </c>
      <c r="H2628" s="18">
        <f>E2628* 0.0304878048780488</f>
        <v>0.03048780488</v>
      </c>
    </row>
    <row r="2629" ht="15.75" hidden="1" customHeight="1">
      <c r="A2629" s="15" t="s">
        <v>274</v>
      </c>
      <c r="B2629" s="33"/>
      <c r="C2629" s="33"/>
      <c r="D2629" s="34"/>
      <c r="E2629" s="35"/>
    </row>
    <row r="2630" ht="15.75" hidden="1" customHeight="1">
      <c r="A2630" s="15" t="s">
        <v>274</v>
      </c>
      <c r="B2630" s="11" t="s">
        <v>281</v>
      </c>
      <c r="C2630" s="12" t="str">
        <f>B2630&amp;"_"&amp;A2630</f>
        <v>San Joaquín_Beni</v>
      </c>
      <c r="E2630" s="22">
        <v>1.0</v>
      </c>
      <c r="F2630" s="14">
        <f t="shared" ref="F2630:H2630" si="238">F2631</f>
        <v>0.07869249395</v>
      </c>
      <c r="G2630" s="14">
        <f t="shared" si="238"/>
        <v>0.9200968523</v>
      </c>
      <c r="H2630" s="14">
        <f t="shared" si="238"/>
        <v>0.001210653753</v>
      </c>
    </row>
    <row r="2631" ht="15.75" hidden="1" customHeight="1">
      <c r="A2631" s="15" t="s">
        <v>274</v>
      </c>
      <c r="B2631" s="11" t="s">
        <v>281</v>
      </c>
      <c r="C2631" s="15"/>
      <c r="D2631" s="31" t="s">
        <v>11</v>
      </c>
      <c r="E2631" s="32">
        <v>1.0</v>
      </c>
      <c r="F2631" s="18">
        <f>E2631* 0.0786924939467312</f>
        <v>0.07869249395</v>
      </c>
      <c r="G2631" s="18">
        <f>E2631* 0.920096852300242</f>
        <v>0.9200968523</v>
      </c>
      <c r="H2631" s="18">
        <f>E2631* 0.00121065375302663</f>
        <v>0.001210653753</v>
      </c>
    </row>
    <row r="2632" ht="15.75" hidden="1" customHeight="1">
      <c r="A2632" s="15" t="s">
        <v>274</v>
      </c>
      <c r="B2632" s="33"/>
      <c r="C2632" s="33"/>
      <c r="D2632" s="34"/>
      <c r="E2632" s="35"/>
    </row>
    <row r="2633" ht="15.75" hidden="1" customHeight="1">
      <c r="A2633" s="15" t="s">
        <v>274</v>
      </c>
      <c r="B2633" s="11" t="s">
        <v>266</v>
      </c>
      <c r="C2633" s="12" t="str">
        <f>B2633&amp;"_"&amp;A2633</f>
        <v>San Ramón_Beni</v>
      </c>
      <c r="E2633" s="22">
        <v>1.0</v>
      </c>
      <c r="F2633" s="14">
        <f t="shared" ref="F2633:H2633" si="239">F2634</f>
        <v>0.7466124661</v>
      </c>
      <c r="G2633" s="14">
        <f t="shared" si="239"/>
        <v>0.222899729</v>
      </c>
      <c r="H2633" s="14">
        <f t="shared" si="239"/>
        <v>0.03048780488</v>
      </c>
    </row>
    <row r="2634" ht="15.75" hidden="1" customHeight="1">
      <c r="A2634" s="15" t="s">
        <v>274</v>
      </c>
      <c r="B2634" s="11" t="s">
        <v>266</v>
      </c>
      <c r="C2634" s="15"/>
      <c r="D2634" s="31" t="s">
        <v>17</v>
      </c>
      <c r="E2634" s="32">
        <v>1.0</v>
      </c>
      <c r="F2634" s="18">
        <f>E2634* 0.746612466124661</f>
        <v>0.7466124661</v>
      </c>
      <c r="G2634" s="18">
        <f>E2634* 0.22289972899729</f>
        <v>0.222899729</v>
      </c>
      <c r="H2634" s="18">
        <f>E2634* 0.0304878048780488</f>
        <v>0.03048780488</v>
      </c>
    </row>
    <row r="2635" ht="15.75" hidden="1" customHeight="1">
      <c r="A2635" s="15" t="s">
        <v>274</v>
      </c>
      <c r="B2635" s="33"/>
      <c r="C2635" s="33"/>
      <c r="D2635" s="34"/>
      <c r="E2635" s="35"/>
    </row>
    <row r="2636" ht="15.75" hidden="1" customHeight="1">
      <c r="A2636" s="15" t="s">
        <v>274</v>
      </c>
      <c r="B2636" s="11" t="s">
        <v>282</v>
      </c>
      <c r="C2636" s="12" t="str">
        <f>B2636&amp;"_"&amp;A2636</f>
        <v>Santa Ana del Yacuma_Beni</v>
      </c>
      <c r="E2636" s="22">
        <v>38.0</v>
      </c>
      <c r="F2636" s="14">
        <f t="shared" ref="F2636:H2636" si="240">SUM(F2637:F2645)</f>
        <v>35.53550126</v>
      </c>
      <c r="G2636" s="14">
        <f t="shared" si="240"/>
        <v>2.132216444</v>
      </c>
      <c r="H2636" s="14">
        <f t="shared" si="240"/>
        <v>0.3204917736</v>
      </c>
    </row>
    <row r="2637" ht="15.75" hidden="1" customHeight="1">
      <c r="A2637" s="15" t="s">
        <v>274</v>
      </c>
      <c r="B2637" s="11" t="s">
        <v>282</v>
      </c>
      <c r="C2637" s="15"/>
      <c r="D2637" s="31" t="s">
        <v>14</v>
      </c>
      <c r="E2637" s="32">
        <v>0.0</v>
      </c>
      <c r="F2637" s="20">
        <v>0.0</v>
      </c>
      <c r="G2637" s="24">
        <f>E2637</f>
        <v>0</v>
      </c>
      <c r="H2637" s="20">
        <v>0.0</v>
      </c>
    </row>
    <row r="2638" ht="15.75" hidden="1" customHeight="1">
      <c r="A2638" s="15" t="s">
        <v>274</v>
      </c>
      <c r="B2638" s="11" t="s">
        <v>282</v>
      </c>
      <c r="C2638" s="15"/>
      <c r="D2638" s="31" t="s">
        <v>15</v>
      </c>
      <c r="E2638" s="32">
        <v>0.0</v>
      </c>
      <c r="F2638" s="18">
        <f>E2638* 0.978622327790974</f>
        <v>0</v>
      </c>
      <c r="G2638" s="18">
        <f>E2638* 0.0130641330166271</f>
        <v>0</v>
      </c>
      <c r="H2638" s="18">
        <f>E2638* 0.00831353919239905</f>
        <v>0</v>
      </c>
    </row>
    <row r="2639" ht="15.75" hidden="1" customHeight="1">
      <c r="A2639" s="15" t="s">
        <v>274</v>
      </c>
      <c r="B2639" s="11" t="s">
        <v>282</v>
      </c>
      <c r="C2639" s="15"/>
      <c r="D2639" s="31" t="s">
        <v>11</v>
      </c>
      <c r="E2639" s="32">
        <v>0.0</v>
      </c>
      <c r="F2639" s="18">
        <f>E2639* 0.0786924939467312</f>
        <v>0</v>
      </c>
      <c r="G2639" s="18">
        <f>E2639* 0.920096852300242</f>
        <v>0</v>
      </c>
      <c r="H2639" s="18">
        <f>E2639* 0.00121065375302663</f>
        <v>0</v>
      </c>
    </row>
    <row r="2640" ht="15.75" hidden="1" customHeight="1">
      <c r="A2640" s="15" t="s">
        <v>274</v>
      </c>
      <c r="B2640" s="11" t="s">
        <v>282</v>
      </c>
      <c r="C2640" s="15"/>
      <c r="D2640" s="31" t="s">
        <v>17</v>
      </c>
      <c r="E2640" s="32">
        <v>5.0</v>
      </c>
      <c r="F2640" s="18">
        <f>E2640* 0.746612466124661</f>
        <v>3.733062331</v>
      </c>
      <c r="G2640" s="18">
        <f>E2640* 0.22289972899729</f>
        <v>1.114498645</v>
      </c>
      <c r="H2640" s="18">
        <f>E2640* 0.0304878048780488</f>
        <v>0.1524390244</v>
      </c>
    </row>
    <row r="2641" ht="15.75" hidden="1" customHeight="1">
      <c r="A2641" s="15" t="s">
        <v>274</v>
      </c>
      <c r="B2641" s="11" t="s">
        <v>282</v>
      </c>
      <c r="C2641" s="15"/>
      <c r="D2641" s="31" t="s">
        <v>18</v>
      </c>
      <c r="E2641" s="32">
        <v>1.0</v>
      </c>
      <c r="F2641" s="18">
        <f>E2641* 0.911111111111111</f>
        <v>0.9111111111</v>
      </c>
      <c r="G2641" s="18">
        <f>E2641* 0.0820512820512821</f>
        <v>0.08205128205</v>
      </c>
      <c r="H2641" s="18">
        <f>E2641* 0.00683760683760684</f>
        <v>0.006837606838</v>
      </c>
    </row>
    <row r="2642" ht="15.75" hidden="1" customHeight="1">
      <c r="A2642" s="15" t="s">
        <v>274</v>
      </c>
      <c r="B2642" s="11" t="s">
        <v>282</v>
      </c>
      <c r="C2642" s="15"/>
      <c r="D2642" s="31" t="s">
        <v>20</v>
      </c>
      <c r="E2642" s="32">
        <v>0.0</v>
      </c>
      <c r="F2642" s="18">
        <f>E2642* 0.454545454545455</f>
        <v>0</v>
      </c>
      <c r="G2642" s="18">
        <f>E2642* 0.507575757575758</f>
        <v>0</v>
      </c>
      <c r="H2642" s="18">
        <f>E2642* 0.0378787878787879</f>
        <v>0</v>
      </c>
    </row>
    <row r="2643" ht="15.75" hidden="1" customHeight="1">
      <c r="A2643" s="15" t="s">
        <v>274</v>
      </c>
      <c r="B2643" s="11" t="s">
        <v>282</v>
      </c>
      <c r="C2643" s="15"/>
      <c r="D2643" s="31" t="s">
        <v>21</v>
      </c>
      <c r="E2643" s="32">
        <v>24.0</v>
      </c>
      <c r="F2643" s="18">
        <f>E2643* 0.999082959420954</f>
        <v>23.97799103</v>
      </c>
      <c r="G2643" s="18">
        <f>E2643* 0.0000655028985032588</f>
        <v>0.001572069564</v>
      </c>
      <c r="H2643" s="18">
        <f>E2643* 0.000360265941767923</f>
        <v>0.008646382602</v>
      </c>
    </row>
    <row r="2644" ht="15.75" hidden="1" customHeight="1">
      <c r="A2644" s="15" t="s">
        <v>274</v>
      </c>
      <c r="B2644" s="11" t="s">
        <v>282</v>
      </c>
      <c r="C2644" s="15"/>
      <c r="D2644" s="31" t="s">
        <v>36</v>
      </c>
      <c r="E2644" s="32">
        <v>2.0</v>
      </c>
      <c r="F2644" s="24">
        <f>E2644</f>
        <v>2</v>
      </c>
      <c r="G2644" s="20">
        <v>0.0</v>
      </c>
      <c r="H2644" s="20">
        <v>0.0</v>
      </c>
    </row>
    <row r="2645" ht="15.75" hidden="1" customHeight="1">
      <c r="A2645" s="15" t="s">
        <v>274</v>
      </c>
      <c r="B2645" s="11" t="s">
        <v>282</v>
      </c>
      <c r="C2645" s="15"/>
      <c r="D2645" s="31" t="s">
        <v>12</v>
      </c>
      <c r="E2645" s="32">
        <v>6.0</v>
      </c>
      <c r="F2645" s="18">
        <f>E2645* 0.8188894654904</f>
        <v>4.913336793</v>
      </c>
      <c r="G2645" s="18">
        <f>E2645* 0.155682407887909</f>
        <v>0.9340944473</v>
      </c>
      <c r="H2645" s="18">
        <f>E2645* 0.0254281266216918</f>
        <v>0.1525687597</v>
      </c>
    </row>
    <row r="2646" ht="15.75" hidden="1" customHeight="1">
      <c r="A2646" s="15" t="s">
        <v>274</v>
      </c>
      <c r="B2646" s="33"/>
      <c r="C2646" s="33"/>
      <c r="D2646" s="34"/>
      <c r="E2646" s="35"/>
    </row>
    <row r="2647" ht="15.75" hidden="1" customHeight="1">
      <c r="A2647" s="15" t="s">
        <v>274</v>
      </c>
      <c r="B2647" s="11" t="s">
        <v>283</v>
      </c>
      <c r="C2647" s="12" t="str">
        <f>B2647&amp;"_"&amp;A2647</f>
        <v>Trinidad_Beni</v>
      </c>
      <c r="E2647" s="22">
        <v>32418.0</v>
      </c>
      <c r="F2647" s="14">
        <f t="shared" ref="F2647:H2647" si="241">SUM(F2648:F2660)</f>
        <v>30766.97535</v>
      </c>
      <c r="G2647" s="14">
        <f t="shared" si="241"/>
        <v>1522.289107</v>
      </c>
      <c r="H2647" s="14">
        <f t="shared" si="241"/>
        <v>115.726672</v>
      </c>
    </row>
    <row r="2648" ht="15.75" hidden="1" customHeight="1">
      <c r="A2648" s="15" t="s">
        <v>274</v>
      </c>
      <c r="B2648" s="11" t="s">
        <v>283</v>
      </c>
      <c r="C2648" s="15"/>
      <c r="D2648" s="31" t="s">
        <v>14</v>
      </c>
      <c r="E2648" s="32">
        <v>0.0</v>
      </c>
      <c r="F2648" s="20">
        <v>0.0</v>
      </c>
      <c r="G2648" s="24">
        <f>E2648</f>
        <v>0</v>
      </c>
      <c r="H2648" s="20">
        <v>0.0</v>
      </c>
    </row>
    <row r="2649" ht="15.75" hidden="1" customHeight="1">
      <c r="A2649" s="15" t="s">
        <v>274</v>
      </c>
      <c r="B2649" s="11" t="s">
        <v>283</v>
      </c>
      <c r="C2649" s="15"/>
      <c r="D2649" s="31" t="s">
        <v>15</v>
      </c>
      <c r="E2649" s="32">
        <v>822.0</v>
      </c>
      <c r="F2649" s="18">
        <f>E2649* 0.978622327790974</f>
        <v>804.4275534</v>
      </c>
      <c r="G2649" s="18">
        <f>E2649* 0.0130641330166271</f>
        <v>10.73871734</v>
      </c>
      <c r="H2649" s="18">
        <f>E2649* 0.00831353919239905</f>
        <v>6.833729216</v>
      </c>
    </row>
    <row r="2650" ht="15.75" hidden="1" customHeight="1">
      <c r="A2650" s="15" t="s">
        <v>274</v>
      </c>
      <c r="B2650" s="11" t="s">
        <v>283</v>
      </c>
      <c r="C2650" s="15"/>
      <c r="D2650" s="31" t="s">
        <v>16</v>
      </c>
      <c r="E2650" s="32">
        <v>33.0</v>
      </c>
      <c r="F2650" s="18">
        <f>E2650* 0.416666666666667</f>
        <v>13.75</v>
      </c>
      <c r="G2650" s="18">
        <f>E2650* 0.583333333333333</f>
        <v>19.25</v>
      </c>
      <c r="H2650" s="20">
        <v>0.0</v>
      </c>
    </row>
    <row r="2651" ht="15.75" hidden="1" customHeight="1">
      <c r="A2651" s="15" t="s">
        <v>274</v>
      </c>
      <c r="B2651" s="11" t="s">
        <v>283</v>
      </c>
      <c r="C2651" s="15"/>
      <c r="D2651" s="31" t="s">
        <v>11</v>
      </c>
      <c r="E2651" s="32">
        <v>761.0</v>
      </c>
      <c r="F2651" s="18">
        <f>E2651* 0.0786924939467312</f>
        <v>59.88498789</v>
      </c>
      <c r="G2651" s="18">
        <f>E2651* 0.920096852300242</f>
        <v>700.1937046</v>
      </c>
      <c r="H2651" s="18">
        <f>E2651* 0.00121065375302663</f>
        <v>0.9213075061</v>
      </c>
    </row>
    <row r="2652" ht="15.75" hidden="1" customHeight="1">
      <c r="A2652" s="15" t="s">
        <v>274</v>
      </c>
      <c r="B2652" s="11" t="s">
        <v>283</v>
      </c>
      <c r="C2652" s="15"/>
      <c r="D2652" s="31" t="s">
        <v>17</v>
      </c>
      <c r="E2652" s="32">
        <v>1406.0</v>
      </c>
      <c r="F2652" s="18">
        <f>E2652* 0.746612466124661</f>
        <v>1049.737127</v>
      </c>
      <c r="G2652" s="18">
        <f>E2652* 0.22289972899729</f>
        <v>313.397019</v>
      </c>
      <c r="H2652" s="18">
        <f>E2652* 0.0304878048780488</f>
        <v>42.86585366</v>
      </c>
    </row>
    <row r="2653" ht="15.75" hidden="1" customHeight="1">
      <c r="A2653" s="15" t="s">
        <v>274</v>
      </c>
      <c r="B2653" s="11" t="s">
        <v>283</v>
      </c>
      <c r="C2653" s="15"/>
      <c r="D2653" s="31" t="s">
        <v>31</v>
      </c>
      <c r="E2653" s="32">
        <v>33.0</v>
      </c>
      <c r="F2653" s="18">
        <f>E2653* 0.771428571428572</f>
        <v>25.45714286</v>
      </c>
      <c r="G2653" s="18">
        <f>E2653* 0.228571428571429</f>
        <v>7.542857143</v>
      </c>
      <c r="H2653" s="20">
        <v>0.0</v>
      </c>
    </row>
    <row r="2654" ht="15.75" hidden="1" customHeight="1">
      <c r="A2654" s="15" t="s">
        <v>274</v>
      </c>
      <c r="B2654" s="11" t="s">
        <v>283</v>
      </c>
      <c r="C2654" s="15"/>
      <c r="D2654" s="31" t="s">
        <v>18</v>
      </c>
      <c r="E2654" s="32">
        <v>571.0</v>
      </c>
      <c r="F2654" s="18">
        <f>E2654* 0.911111111111111</f>
        <v>520.2444444</v>
      </c>
      <c r="G2654" s="18">
        <f>E2654* 0.0820512820512821</f>
        <v>46.85128205</v>
      </c>
      <c r="H2654" s="18">
        <f>E2654* 0.00683760683760684</f>
        <v>3.904273504</v>
      </c>
    </row>
    <row r="2655" ht="15.75" hidden="1" customHeight="1">
      <c r="A2655" s="15" t="s">
        <v>274</v>
      </c>
      <c r="B2655" s="11" t="s">
        <v>283</v>
      </c>
      <c r="C2655" s="15"/>
      <c r="D2655" s="31" t="s">
        <v>19</v>
      </c>
      <c r="E2655" s="32">
        <v>38.0</v>
      </c>
      <c r="F2655" s="18">
        <f>E2655* 0.0526315789473684</f>
        <v>2</v>
      </c>
      <c r="G2655" s="18">
        <f>E2655* 0.947368421052632</f>
        <v>36</v>
      </c>
      <c r="H2655" s="20">
        <v>0.0</v>
      </c>
    </row>
    <row r="2656" ht="15.75" hidden="1" customHeight="1">
      <c r="A2656" s="15" t="s">
        <v>274</v>
      </c>
      <c r="B2656" s="11" t="s">
        <v>283</v>
      </c>
      <c r="C2656" s="15"/>
      <c r="D2656" s="31" t="s">
        <v>20</v>
      </c>
      <c r="E2656" s="32">
        <v>128.0</v>
      </c>
      <c r="F2656" s="18">
        <f>E2656* 0.454545454545455</f>
        <v>58.18181818</v>
      </c>
      <c r="G2656" s="18">
        <f>E2656* 0.507575757575758</f>
        <v>64.96969697</v>
      </c>
      <c r="H2656" s="18">
        <f>E2656* 0.0378787878787879</f>
        <v>4.848484848</v>
      </c>
    </row>
    <row r="2657" ht="15.75" hidden="1" customHeight="1">
      <c r="A2657" s="15" t="s">
        <v>274</v>
      </c>
      <c r="B2657" s="11" t="s">
        <v>283</v>
      </c>
      <c r="C2657" s="15"/>
      <c r="D2657" s="31" t="s">
        <v>21</v>
      </c>
      <c r="E2657" s="32">
        <v>26480.0</v>
      </c>
      <c r="F2657" s="18">
        <f>E2657* 0.999082959420954</f>
        <v>26455.71677</v>
      </c>
      <c r="G2657" s="18">
        <f>E2657* 0.0000655028985032588</f>
        <v>1.734516752</v>
      </c>
      <c r="H2657" s="18">
        <f>E2657* 0.000360265941767923</f>
        <v>9.539842138</v>
      </c>
    </row>
    <row r="2658" ht="15.75" hidden="1" customHeight="1">
      <c r="A2658" s="15" t="s">
        <v>274</v>
      </c>
      <c r="B2658" s="11" t="s">
        <v>283</v>
      </c>
      <c r="C2658" s="15"/>
      <c r="D2658" s="31" t="s">
        <v>36</v>
      </c>
      <c r="E2658" s="32">
        <v>270.0</v>
      </c>
      <c r="F2658" s="24">
        <f>E2658</f>
        <v>270</v>
      </c>
      <c r="G2658" s="20">
        <v>0.0</v>
      </c>
      <c r="H2658" s="20">
        <v>0.0</v>
      </c>
    </row>
    <row r="2659" ht="15.75" hidden="1" customHeight="1">
      <c r="A2659" s="15" t="s">
        <v>274</v>
      </c>
      <c r="B2659" s="11" t="s">
        <v>283</v>
      </c>
      <c r="C2659" s="15"/>
      <c r="D2659" s="31" t="s">
        <v>28</v>
      </c>
      <c r="E2659" s="32">
        <v>35.0</v>
      </c>
      <c r="F2659" s="20">
        <v>0.0</v>
      </c>
      <c r="G2659" s="24">
        <f>E2659</f>
        <v>35</v>
      </c>
      <c r="H2659" s="20">
        <v>0.0</v>
      </c>
    </row>
    <row r="2660" ht="15.75" hidden="1" customHeight="1">
      <c r="A2660" s="15" t="s">
        <v>274</v>
      </c>
      <c r="B2660" s="11" t="s">
        <v>283</v>
      </c>
      <c r="C2660" s="15"/>
      <c r="D2660" s="38" t="s">
        <v>12</v>
      </c>
      <c r="E2660" s="39">
        <v>1841.0</v>
      </c>
      <c r="F2660" s="18">
        <f>E2660* 0.8188894654904</f>
        <v>1507.575506</v>
      </c>
      <c r="G2660" s="18">
        <f>E2660* 0.155682407887909</f>
        <v>286.6113129</v>
      </c>
      <c r="H2660" s="18">
        <f>E2660* 0.0254281266216918</f>
        <v>46.81318111</v>
      </c>
    </row>
    <row r="2661" ht="15.75" hidden="1" customHeight="1">
      <c r="A2661" s="15" t="s">
        <v>284</v>
      </c>
      <c r="B2661" s="11" t="s">
        <v>285</v>
      </c>
      <c r="C2661" s="12" t="str">
        <f>B2661&amp;"_"&amp;A2661</f>
        <v>Cobija_Pando</v>
      </c>
      <c r="E2661" s="22">
        <v>3243.0</v>
      </c>
      <c r="F2661" s="14">
        <f t="shared" ref="F2661:H2661" si="242">SUM(F2662:F2674)</f>
        <v>2813</v>
      </c>
      <c r="G2661" s="14">
        <f t="shared" si="242"/>
        <v>377</v>
      </c>
      <c r="H2661" s="14">
        <f t="shared" si="242"/>
        <v>53</v>
      </c>
    </row>
    <row r="2662" ht="15.75" hidden="1" customHeight="1">
      <c r="A2662" s="15" t="s">
        <v>284</v>
      </c>
      <c r="B2662" s="11" t="s">
        <v>285</v>
      </c>
      <c r="C2662" s="15"/>
      <c r="D2662" s="16" t="s">
        <v>14</v>
      </c>
      <c r="E2662" s="23">
        <v>0.0</v>
      </c>
      <c r="F2662" s="20">
        <v>0.0</v>
      </c>
      <c r="G2662" s="24">
        <f>E2662</f>
        <v>0</v>
      </c>
      <c r="H2662" s="20">
        <v>0.0</v>
      </c>
    </row>
    <row r="2663" ht="15.75" hidden="1" customHeight="1">
      <c r="A2663" s="15" t="s">
        <v>284</v>
      </c>
      <c r="B2663" s="11" t="s">
        <v>285</v>
      </c>
      <c r="C2663" s="15"/>
      <c r="D2663" s="16" t="s">
        <v>15</v>
      </c>
      <c r="E2663" s="23">
        <v>72.0</v>
      </c>
      <c r="F2663" s="18">
        <f>E2663* 0.888888888888889</f>
        <v>64</v>
      </c>
      <c r="G2663" s="18">
        <f>E2663* 0.0277777777777778</f>
        <v>2</v>
      </c>
      <c r="H2663" s="18">
        <f t="shared" ref="H2663:H2664" si="243">E2663* 0.0833333333333333</f>
        <v>6</v>
      </c>
    </row>
    <row r="2664" ht="15.75" hidden="1" customHeight="1">
      <c r="A2664" s="15" t="s">
        <v>284</v>
      </c>
      <c r="B2664" s="11" t="s">
        <v>285</v>
      </c>
      <c r="C2664" s="15"/>
      <c r="D2664" s="16" t="s">
        <v>286</v>
      </c>
      <c r="E2664" s="23">
        <v>24.0</v>
      </c>
      <c r="F2664" s="18">
        <f>E2664* 0.166666666666667</f>
        <v>4</v>
      </c>
      <c r="G2664" s="18">
        <f>E2664* 0.75</f>
        <v>18</v>
      </c>
      <c r="H2664" s="18">
        <f t="shared" si="243"/>
        <v>2</v>
      </c>
    </row>
    <row r="2665" ht="15.75" hidden="1" customHeight="1">
      <c r="A2665" s="15" t="s">
        <v>284</v>
      </c>
      <c r="B2665" s="11" t="s">
        <v>285</v>
      </c>
      <c r="C2665" s="15"/>
      <c r="D2665" s="16" t="s">
        <v>11</v>
      </c>
      <c r="E2665" s="23">
        <v>160.0</v>
      </c>
      <c r="F2665" s="18">
        <f>E2665* 0.0125</f>
        <v>2</v>
      </c>
      <c r="G2665" s="18">
        <f>E2665* 0.98125</f>
        <v>157</v>
      </c>
      <c r="H2665" s="18">
        <f>E2665* 0.00625</f>
        <v>1</v>
      </c>
    </row>
    <row r="2666" ht="15.75" hidden="1" customHeight="1">
      <c r="A2666" s="15" t="s">
        <v>284</v>
      </c>
      <c r="B2666" s="11" t="s">
        <v>285</v>
      </c>
      <c r="C2666" s="15"/>
      <c r="D2666" s="16" t="s">
        <v>17</v>
      </c>
      <c r="E2666" s="23">
        <v>234.0</v>
      </c>
      <c r="F2666" s="18">
        <f>E2666* 0.769230769230769</f>
        <v>180</v>
      </c>
      <c r="G2666" s="18">
        <f>E2666* 0.128205128205128</f>
        <v>30</v>
      </c>
      <c r="H2666" s="18">
        <f>E2666* 0.102564102564103</f>
        <v>24</v>
      </c>
    </row>
    <row r="2667" ht="15.75" hidden="1" customHeight="1">
      <c r="A2667" s="15" t="s">
        <v>284</v>
      </c>
      <c r="B2667" s="11" t="s">
        <v>285</v>
      </c>
      <c r="C2667" s="15"/>
      <c r="D2667" s="16" t="s">
        <v>31</v>
      </c>
      <c r="E2667" s="23">
        <v>10.0</v>
      </c>
      <c r="F2667" s="24">
        <f>E2667</f>
        <v>10</v>
      </c>
      <c r="G2667" s="20">
        <v>0.0</v>
      </c>
      <c r="H2667" s="20">
        <v>0.0</v>
      </c>
    </row>
    <row r="2668" ht="15.75" hidden="1" customHeight="1">
      <c r="A2668" s="15" t="s">
        <v>284</v>
      </c>
      <c r="B2668" s="11" t="s">
        <v>285</v>
      </c>
      <c r="C2668" s="15"/>
      <c r="D2668" s="16" t="s">
        <v>18</v>
      </c>
      <c r="E2668" s="23">
        <v>33.0</v>
      </c>
      <c r="F2668" s="18">
        <f>E2668* 0.96969696969697</f>
        <v>32</v>
      </c>
      <c r="G2668" s="18">
        <f>E2668* 0.0303030303030303</f>
        <v>1</v>
      </c>
      <c r="H2668" s="20">
        <v>0.0</v>
      </c>
    </row>
    <row r="2669" ht="15.75" hidden="1" customHeight="1">
      <c r="A2669" s="15" t="s">
        <v>284</v>
      </c>
      <c r="B2669" s="11" t="s">
        <v>285</v>
      </c>
      <c r="C2669" s="15"/>
      <c r="D2669" s="16" t="s">
        <v>19</v>
      </c>
      <c r="E2669" s="23">
        <v>14.0</v>
      </c>
      <c r="F2669" s="18">
        <f>E2669* 0.0714285714285714</f>
        <v>1</v>
      </c>
      <c r="G2669" s="18">
        <f>E2669* 0.928571428571429</f>
        <v>13</v>
      </c>
      <c r="H2669" s="20">
        <v>0.0</v>
      </c>
    </row>
    <row r="2670" ht="15.75" hidden="1" customHeight="1">
      <c r="A2670" s="15" t="s">
        <v>284</v>
      </c>
      <c r="B2670" s="11" t="s">
        <v>285</v>
      </c>
      <c r="C2670" s="15"/>
      <c r="D2670" s="16" t="s">
        <v>287</v>
      </c>
      <c r="E2670" s="23">
        <v>58.0</v>
      </c>
      <c r="F2670" s="18">
        <f>E2670* 0.431034482758621</f>
        <v>25</v>
      </c>
      <c r="G2670" s="18">
        <f>E2670* 0.5</f>
        <v>29</v>
      </c>
      <c r="H2670" s="18">
        <f>E2670* 0.0689655172413793</f>
        <v>4</v>
      </c>
    </row>
    <row r="2671" ht="15.75" hidden="1" customHeight="1">
      <c r="A2671" s="15" t="s">
        <v>284</v>
      </c>
      <c r="B2671" s="11" t="s">
        <v>285</v>
      </c>
      <c r="C2671" s="15"/>
      <c r="D2671" s="16" t="s">
        <v>21</v>
      </c>
      <c r="E2671" s="23">
        <v>2148.0</v>
      </c>
      <c r="F2671" s="24">
        <f t="shared" ref="F2671:F2672" si="244">E2671</f>
        <v>2148</v>
      </c>
      <c r="G2671" s="20">
        <v>0.0</v>
      </c>
      <c r="H2671" s="20">
        <v>0.0</v>
      </c>
    </row>
    <row r="2672" ht="15.75" hidden="1" customHeight="1">
      <c r="A2672" s="15" t="s">
        <v>284</v>
      </c>
      <c r="B2672" s="11" t="s">
        <v>285</v>
      </c>
      <c r="C2672" s="15"/>
      <c r="D2672" s="16" t="s">
        <v>36</v>
      </c>
      <c r="E2672" s="23">
        <v>2.0</v>
      </c>
      <c r="F2672" s="24">
        <f t="shared" si="244"/>
        <v>2</v>
      </c>
      <c r="G2672" s="20">
        <v>0.0</v>
      </c>
      <c r="H2672" s="20">
        <v>0.0</v>
      </c>
    </row>
    <row r="2673" ht="15.75" hidden="1" customHeight="1">
      <c r="A2673" s="15" t="s">
        <v>284</v>
      </c>
      <c r="B2673" s="11" t="s">
        <v>285</v>
      </c>
      <c r="C2673" s="15"/>
      <c r="D2673" s="16" t="s">
        <v>28</v>
      </c>
      <c r="E2673" s="23">
        <v>27.0</v>
      </c>
      <c r="F2673" s="20">
        <v>0.0</v>
      </c>
      <c r="G2673" s="24">
        <f>E2673</f>
        <v>27</v>
      </c>
      <c r="H2673" s="20">
        <v>0.0</v>
      </c>
    </row>
    <row r="2674" ht="15.75" hidden="1" customHeight="1">
      <c r="A2674" s="15" t="s">
        <v>284</v>
      </c>
      <c r="B2674" s="11" t="s">
        <v>285</v>
      </c>
      <c r="C2674" s="15"/>
      <c r="D2674" s="25" t="s">
        <v>12</v>
      </c>
      <c r="E2674" s="27">
        <v>461.0</v>
      </c>
      <c r="F2674" s="18">
        <f>E2674* 0.748373101952278</f>
        <v>345</v>
      </c>
      <c r="G2674" s="18">
        <f>E2674* 0.216919739696312</f>
        <v>100</v>
      </c>
      <c r="H2674" s="18">
        <f>E2674* 0.03470715835141</f>
        <v>16</v>
      </c>
    </row>
    <row r="2675" ht="15.75" customHeight="1">
      <c r="A2675" s="15"/>
      <c r="B2675" s="21"/>
      <c r="C2675" s="21"/>
      <c r="D2675" s="21"/>
      <c r="E2675" s="41"/>
    </row>
    <row r="2676" ht="15.75" customHeight="1">
      <c r="A2676" s="15"/>
      <c r="B2676" s="21"/>
      <c r="C2676" s="21"/>
      <c r="D2676" s="21"/>
      <c r="E2676" s="41"/>
    </row>
    <row r="2677" ht="15.75" customHeight="1">
      <c r="A2677" s="15"/>
      <c r="B2677" s="21"/>
      <c r="C2677" s="21"/>
      <c r="D2677" s="21"/>
      <c r="E2677" s="41"/>
    </row>
    <row r="2678" ht="15.75" customHeight="1">
      <c r="A2678" s="15"/>
      <c r="B2678" s="21"/>
      <c r="C2678" s="21"/>
      <c r="D2678" s="21"/>
      <c r="E2678" s="41"/>
    </row>
    <row r="2679" ht="15.75" customHeight="1">
      <c r="A2679" s="15"/>
      <c r="B2679" s="21"/>
      <c r="C2679" s="21"/>
      <c r="D2679" s="21"/>
      <c r="E2679" s="41"/>
    </row>
    <row r="2680" ht="15.75" customHeight="1">
      <c r="A2680" s="15"/>
      <c r="B2680" s="21"/>
      <c r="C2680" s="21"/>
      <c r="D2680" s="21"/>
      <c r="E2680" s="41"/>
    </row>
    <row r="2681" ht="15.75" customHeight="1">
      <c r="A2681" s="15"/>
      <c r="B2681" s="21"/>
      <c r="C2681" s="21"/>
      <c r="D2681" s="21"/>
      <c r="E2681" s="41"/>
    </row>
    <row r="2682" ht="15.75" customHeight="1">
      <c r="A2682" s="15"/>
      <c r="B2682" s="21"/>
      <c r="C2682" s="21"/>
      <c r="D2682" s="21"/>
      <c r="E2682" s="41"/>
    </row>
    <row r="2683" ht="15.75" customHeight="1">
      <c r="A2683" s="15"/>
      <c r="B2683" s="21"/>
      <c r="C2683" s="21"/>
      <c r="D2683" s="21"/>
      <c r="E2683" s="41"/>
    </row>
    <row r="2684" ht="15.75" customHeight="1">
      <c r="A2684" s="15"/>
      <c r="B2684" s="21"/>
      <c r="C2684" s="21"/>
      <c r="D2684" s="21"/>
      <c r="E2684" s="41"/>
    </row>
    <row r="2685" ht="15.75" customHeight="1">
      <c r="A2685" s="15"/>
      <c r="B2685" s="21"/>
      <c r="C2685" s="21"/>
      <c r="D2685" s="21"/>
      <c r="E2685" s="41"/>
    </row>
    <row r="2686" ht="15.75" customHeight="1">
      <c r="A2686" s="15"/>
      <c r="B2686" s="21"/>
      <c r="C2686" s="21"/>
      <c r="D2686" s="21"/>
      <c r="E2686" s="41"/>
    </row>
    <row r="2687" ht="15.75" customHeight="1">
      <c r="A2687" s="15"/>
      <c r="B2687" s="21"/>
      <c r="C2687" s="21"/>
      <c r="D2687" s="21"/>
      <c r="E2687" s="41"/>
    </row>
    <row r="2688" ht="15.75" customHeight="1">
      <c r="A2688" s="15"/>
      <c r="B2688" s="21"/>
      <c r="C2688" s="21"/>
      <c r="D2688" s="21"/>
      <c r="E2688" s="41"/>
    </row>
    <row r="2689" ht="15.75" customHeight="1">
      <c r="A2689" s="15"/>
      <c r="B2689" s="21"/>
      <c r="C2689" s="21"/>
      <c r="D2689" s="21"/>
      <c r="E2689" s="41"/>
    </row>
    <row r="2690" ht="15.75" customHeight="1">
      <c r="A2690" s="15"/>
      <c r="B2690" s="21"/>
      <c r="C2690" s="21"/>
      <c r="D2690" s="21"/>
      <c r="E2690" s="41"/>
    </row>
    <row r="2691" ht="15.75" customHeight="1">
      <c r="A2691" s="15"/>
      <c r="B2691" s="21"/>
      <c r="C2691" s="21"/>
      <c r="D2691" s="21"/>
      <c r="E2691" s="41"/>
    </row>
    <row r="2692" ht="15.75" customHeight="1">
      <c r="A2692" s="15"/>
      <c r="B2692" s="21"/>
      <c r="C2692" s="21"/>
      <c r="D2692" s="21"/>
      <c r="E2692" s="41"/>
    </row>
    <row r="2693" ht="15.75" customHeight="1">
      <c r="A2693" s="15"/>
      <c r="B2693" s="21"/>
      <c r="C2693" s="21"/>
      <c r="D2693" s="21"/>
      <c r="E2693" s="41"/>
    </row>
    <row r="2694" ht="15.75" customHeight="1">
      <c r="A2694" s="15"/>
      <c r="B2694" s="21"/>
      <c r="C2694" s="21"/>
      <c r="D2694" s="21"/>
      <c r="E2694" s="41"/>
    </row>
    <row r="2695" ht="15.75" customHeight="1">
      <c r="A2695" s="15"/>
      <c r="B2695" s="21"/>
      <c r="C2695" s="21"/>
      <c r="D2695" s="21"/>
      <c r="E2695" s="41"/>
    </row>
    <row r="2696" ht="15.75" customHeight="1">
      <c r="A2696" s="15"/>
      <c r="B2696" s="21"/>
      <c r="C2696" s="21"/>
      <c r="D2696" s="21"/>
      <c r="E2696" s="41"/>
    </row>
    <row r="2697" ht="15.75" customHeight="1">
      <c r="A2697" s="15"/>
      <c r="B2697" s="21"/>
      <c r="C2697" s="21"/>
      <c r="D2697" s="21"/>
      <c r="E2697" s="41"/>
    </row>
    <row r="2698" ht="15.75" customHeight="1">
      <c r="A2698" s="15"/>
      <c r="B2698" s="21"/>
      <c r="C2698" s="21"/>
      <c r="D2698" s="21"/>
      <c r="E2698" s="41"/>
    </row>
    <row r="2699" ht="15.75" customHeight="1">
      <c r="A2699" s="15"/>
      <c r="B2699" s="21"/>
      <c r="C2699" s="21"/>
      <c r="D2699" s="21"/>
      <c r="E2699" s="41"/>
    </row>
    <row r="2700" ht="15.75" customHeight="1">
      <c r="A2700" s="15"/>
      <c r="B2700" s="21"/>
      <c r="C2700" s="21"/>
      <c r="D2700" s="21"/>
      <c r="E2700" s="41"/>
    </row>
    <row r="2701" ht="15.75" customHeight="1">
      <c r="A2701" s="15"/>
      <c r="B2701" s="21"/>
      <c r="C2701" s="21"/>
      <c r="D2701" s="21"/>
      <c r="E2701" s="41"/>
    </row>
    <row r="2702" ht="15.75" customHeight="1">
      <c r="A2702" s="15"/>
      <c r="B2702" s="21"/>
      <c r="C2702" s="21"/>
      <c r="D2702" s="21"/>
      <c r="E2702" s="41"/>
    </row>
    <row r="2703" ht="15.75" customHeight="1">
      <c r="A2703" s="15"/>
      <c r="B2703" s="21"/>
      <c r="C2703" s="21"/>
      <c r="D2703" s="21"/>
      <c r="E2703" s="41"/>
    </row>
    <row r="2704" ht="15.75" customHeight="1">
      <c r="A2704" s="15"/>
      <c r="B2704" s="21"/>
      <c r="C2704" s="21"/>
      <c r="D2704" s="21"/>
      <c r="E2704" s="41"/>
    </row>
    <row r="2705" ht="15.75" customHeight="1">
      <c r="A2705" s="15"/>
      <c r="B2705" s="21"/>
      <c r="C2705" s="21"/>
      <c r="D2705" s="21"/>
      <c r="E2705" s="41"/>
    </row>
    <row r="2706" ht="15.75" customHeight="1">
      <c r="A2706" s="15"/>
      <c r="B2706" s="21"/>
      <c r="C2706" s="21"/>
      <c r="D2706" s="21"/>
      <c r="E2706" s="41"/>
    </row>
    <row r="2707" ht="15.75" customHeight="1">
      <c r="A2707" s="15"/>
      <c r="B2707" s="21"/>
      <c r="C2707" s="21"/>
      <c r="D2707" s="21"/>
      <c r="E2707" s="41"/>
    </row>
    <row r="2708" ht="15.75" customHeight="1">
      <c r="A2708" s="15"/>
      <c r="B2708" s="21"/>
      <c r="C2708" s="21"/>
      <c r="D2708" s="21"/>
      <c r="E2708" s="41"/>
    </row>
    <row r="2709" ht="15.75" customHeight="1">
      <c r="A2709" s="15"/>
      <c r="B2709" s="21"/>
      <c r="C2709" s="21"/>
      <c r="D2709" s="21"/>
      <c r="E2709" s="41"/>
    </row>
    <row r="2710" ht="15.75" customHeight="1">
      <c r="A2710" s="15"/>
      <c r="B2710" s="21"/>
      <c r="C2710" s="21"/>
      <c r="D2710" s="21"/>
      <c r="E2710" s="41"/>
    </row>
    <row r="2711" ht="15.75" customHeight="1">
      <c r="A2711" s="15"/>
      <c r="B2711" s="21"/>
      <c r="C2711" s="21"/>
      <c r="D2711" s="21"/>
      <c r="E2711" s="41"/>
    </row>
    <row r="2712" ht="15.75" customHeight="1">
      <c r="A2712" s="15"/>
      <c r="B2712" s="21"/>
      <c r="C2712" s="21"/>
      <c r="D2712" s="21"/>
      <c r="E2712" s="41"/>
    </row>
    <row r="2713" ht="15.75" customHeight="1">
      <c r="A2713" s="15"/>
      <c r="B2713" s="21"/>
      <c r="C2713" s="21"/>
      <c r="D2713" s="21"/>
      <c r="E2713" s="41"/>
    </row>
    <row r="2714" ht="15.75" customHeight="1">
      <c r="A2714" s="15"/>
      <c r="B2714" s="21"/>
      <c r="C2714" s="21"/>
      <c r="D2714" s="21"/>
      <c r="E2714" s="41"/>
    </row>
    <row r="2715" ht="15.75" customHeight="1">
      <c r="A2715" s="15"/>
      <c r="B2715" s="21"/>
      <c r="C2715" s="21"/>
      <c r="D2715" s="21"/>
      <c r="E2715" s="41"/>
    </row>
    <row r="2716" ht="15.75" customHeight="1">
      <c r="A2716" s="15"/>
      <c r="B2716" s="21"/>
      <c r="C2716" s="21"/>
      <c r="D2716" s="21"/>
      <c r="E2716" s="41"/>
    </row>
    <row r="2717" ht="15.75" customHeight="1">
      <c r="A2717" s="15"/>
      <c r="B2717" s="21"/>
      <c r="C2717" s="21"/>
      <c r="D2717" s="21"/>
      <c r="E2717" s="41"/>
    </row>
    <row r="2718" ht="15.75" customHeight="1">
      <c r="A2718" s="15"/>
      <c r="B2718" s="21"/>
      <c r="C2718" s="21"/>
      <c r="D2718" s="21"/>
      <c r="E2718" s="41"/>
    </row>
    <row r="2719" ht="15.75" customHeight="1">
      <c r="A2719" s="15"/>
      <c r="B2719" s="21"/>
      <c r="C2719" s="21"/>
      <c r="D2719" s="21"/>
      <c r="E2719" s="41"/>
    </row>
    <row r="2720" ht="15.75" customHeight="1">
      <c r="A2720" s="15"/>
      <c r="B2720" s="21"/>
      <c r="C2720" s="21"/>
      <c r="D2720" s="21"/>
      <c r="E2720" s="41"/>
    </row>
    <row r="2721" ht="15.75" customHeight="1">
      <c r="A2721" s="15"/>
      <c r="B2721" s="21"/>
      <c r="C2721" s="21"/>
      <c r="D2721" s="21"/>
      <c r="E2721" s="41"/>
    </row>
    <row r="2722" ht="15.75" customHeight="1">
      <c r="A2722" s="15"/>
      <c r="B2722" s="21"/>
      <c r="C2722" s="21"/>
      <c r="D2722" s="21"/>
      <c r="E2722" s="41"/>
    </row>
    <row r="2723" ht="15.75" customHeight="1">
      <c r="A2723" s="15"/>
      <c r="B2723" s="21"/>
      <c r="C2723" s="21"/>
      <c r="D2723" s="21"/>
      <c r="E2723" s="41"/>
    </row>
    <row r="2724" ht="15.75" customHeight="1">
      <c r="A2724" s="15"/>
      <c r="B2724" s="21"/>
      <c r="C2724" s="21"/>
      <c r="D2724" s="21"/>
      <c r="E2724" s="41"/>
    </row>
    <row r="2725" ht="15.75" customHeight="1">
      <c r="A2725" s="15"/>
      <c r="B2725" s="21"/>
      <c r="C2725" s="21"/>
      <c r="D2725" s="21"/>
      <c r="E2725" s="41"/>
    </row>
    <row r="2726" ht="15.75" customHeight="1">
      <c r="A2726" s="15"/>
      <c r="B2726" s="21"/>
      <c r="C2726" s="21"/>
      <c r="D2726" s="21"/>
      <c r="E2726" s="41"/>
    </row>
    <row r="2727" ht="15.75" customHeight="1">
      <c r="A2727" s="15"/>
      <c r="B2727" s="21"/>
      <c r="C2727" s="21"/>
      <c r="D2727" s="21"/>
      <c r="E2727" s="41"/>
    </row>
    <row r="2728" ht="15.75" customHeight="1">
      <c r="A2728" s="15"/>
      <c r="B2728" s="21"/>
      <c r="C2728" s="21"/>
      <c r="D2728" s="21"/>
      <c r="E2728" s="41"/>
    </row>
    <row r="2729" ht="15.75" customHeight="1">
      <c r="A2729" s="15"/>
      <c r="B2729" s="21"/>
      <c r="C2729" s="21"/>
      <c r="D2729" s="21"/>
      <c r="E2729" s="41"/>
    </row>
    <row r="2730" ht="15.75" customHeight="1">
      <c r="A2730" s="15"/>
      <c r="B2730" s="21"/>
      <c r="C2730" s="21"/>
      <c r="D2730" s="21"/>
      <c r="E2730" s="41"/>
    </row>
    <row r="2731" ht="15.75" customHeight="1">
      <c r="A2731" s="15"/>
      <c r="B2731" s="21"/>
      <c r="C2731" s="21"/>
      <c r="D2731" s="21"/>
      <c r="E2731" s="41"/>
    </row>
    <row r="2732" ht="15.75" customHeight="1">
      <c r="A2732" s="15"/>
      <c r="B2732" s="21"/>
      <c r="C2732" s="21"/>
      <c r="D2732" s="21"/>
      <c r="E2732" s="41"/>
    </row>
    <row r="2733" ht="15.75" customHeight="1">
      <c r="A2733" s="15"/>
      <c r="B2733" s="21"/>
      <c r="C2733" s="21"/>
      <c r="D2733" s="21"/>
      <c r="E2733" s="41"/>
    </row>
    <row r="2734" ht="15.75" customHeight="1">
      <c r="A2734" s="15"/>
      <c r="B2734" s="21"/>
      <c r="C2734" s="21"/>
      <c r="D2734" s="21"/>
      <c r="E2734" s="41"/>
    </row>
    <row r="2735" ht="15.75" customHeight="1">
      <c r="A2735" s="15"/>
      <c r="B2735" s="21"/>
      <c r="C2735" s="21"/>
      <c r="D2735" s="21"/>
      <c r="E2735" s="41"/>
    </row>
    <row r="2736" ht="15.75" customHeight="1">
      <c r="A2736" s="15"/>
      <c r="B2736" s="21"/>
      <c r="C2736" s="21"/>
      <c r="D2736" s="21"/>
      <c r="E2736" s="41"/>
    </row>
    <row r="2737" ht="15.75" customHeight="1">
      <c r="A2737" s="15"/>
      <c r="B2737" s="21"/>
      <c r="C2737" s="21"/>
      <c r="D2737" s="21"/>
      <c r="E2737" s="41"/>
    </row>
    <row r="2738" ht="15.75" customHeight="1">
      <c r="A2738" s="15"/>
      <c r="B2738" s="21"/>
      <c r="C2738" s="21"/>
      <c r="D2738" s="21"/>
      <c r="E2738" s="41"/>
    </row>
    <row r="2739" ht="15.75" customHeight="1">
      <c r="A2739" s="15"/>
      <c r="B2739" s="21"/>
      <c r="C2739" s="21"/>
      <c r="D2739" s="21"/>
      <c r="E2739" s="41"/>
    </row>
    <row r="2740" ht="15.75" customHeight="1">
      <c r="A2740" s="15"/>
      <c r="B2740" s="21"/>
      <c r="C2740" s="21"/>
      <c r="D2740" s="21"/>
      <c r="E2740" s="41"/>
    </row>
    <row r="2741" ht="15.75" customHeight="1">
      <c r="A2741" s="15"/>
      <c r="B2741" s="21"/>
      <c r="C2741" s="21"/>
      <c r="D2741" s="21"/>
      <c r="E2741" s="41"/>
    </row>
    <row r="2742" ht="15.75" customHeight="1">
      <c r="A2742" s="15"/>
      <c r="B2742" s="21"/>
      <c r="C2742" s="21"/>
      <c r="D2742" s="21"/>
      <c r="E2742" s="41"/>
    </row>
    <row r="2743" ht="15.75" customHeight="1">
      <c r="A2743" s="15"/>
      <c r="B2743" s="21"/>
      <c r="C2743" s="21"/>
      <c r="D2743" s="21"/>
      <c r="E2743" s="41"/>
    </row>
    <row r="2744" ht="15.75" customHeight="1">
      <c r="A2744" s="15"/>
      <c r="B2744" s="21"/>
      <c r="C2744" s="21"/>
      <c r="D2744" s="21"/>
      <c r="E2744" s="41"/>
    </row>
    <row r="2745" ht="15.75" customHeight="1">
      <c r="A2745" s="15"/>
      <c r="B2745" s="21"/>
      <c r="C2745" s="21"/>
      <c r="D2745" s="21"/>
      <c r="E2745" s="41"/>
    </row>
    <row r="2746" ht="15.75" customHeight="1">
      <c r="A2746" s="15"/>
      <c r="B2746" s="21"/>
      <c r="C2746" s="21"/>
      <c r="D2746" s="21"/>
      <c r="E2746" s="41"/>
    </row>
    <row r="2747" ht="15.75" customHeight="1">
      <c r="A2747" s="15"/>
      <c r="B2747" s="21"/>
      <c r="C2747" s="21"/>
      <c r="D2747" s="21"/>
      <c r="E2747" s="41"/>
    </row>
    <row r="2748" ht="15.75" customHeight="1">
      <c r="A2748" s="15"/>
      <c r="B2748" s="21"/>
      <c r="C2748" s="21"/>
      <c r="D2748" s="21"/>
      <c r="E2748" s="41"/>
    </row>
    <row r="2749" ht="15.75" customHeight="1">
      <c r="A2749" s="15"/>
      <c r="B2749" s="21"/>
      <c r="C2749" s="21"/>
      <c r="D2749" s="21"/>
      <c r="E2749" s="41"/>
    </row>
    <row r="2750" ht="15.75" customHeight="1">
      <c r="A2750" s="15"/>
      <c r="B2750" s="21"/>
      <c r="C2750" s="21"/>
      <c r="D2750" s="21"/>
      <c r="E2750" s="41"/>
    </row>
    <row r="2751" ht="15.75" customHeight="1">
      <c r="A2751" s="15"/>
      <c r="B2751" s="21"/>
      <c r="C2751" s="21"/>
      <c r="D2751" s="21"/>
      <c r="E2751" s="41"/>
    </row>
    <row r="2752" ht="15.75" customHeight="1">
      <c r="A2752" s="15"/>
      <c r="B2752" s="21"/>
      <c r="C2752" s="21"/>
      <c r="D2752" s="21"/>
      <c r="E2752" s="41"/>
    </row>
    <row r="2753" ht="15.75" customHeight="1">
      <c r="A2753" s="15"/>
      <c r="B2753" s="21"/>
      <c r="C2753" s="21"/>
      <c r="D2753" s="21"/>
      <c r="E2753" s="41"/>
    </row>
    <row r="2754" ht="15.75" customHeight="1">
      <c r="A2754" s="15"/>
      <c r="B2754" s="21"/>
      <c r="C2754" s="21"/>
      <c r="D2754" s="21"/>
      <c r="E2754" s="41"/>
    </row>
    <row r="2755" ht="15.75" customHeight="1">
      <c r="A2755" s="15"/>
      <c r="B2755" s="21"/>
      <c r="C2755" s="21"/>
      <c r="D2755" s="21"/>
      <c r="E2755" s="41"/>
    </row>
    <row r="2756" ht="15.75" customHeight="1">
      <c r="A2756" s="15"/>
      <c r="B2756" s="21"/>
      <c r="C2756" s="21"/>
      <c r="D2756" s="21"/>
      <c r="E2756" s="41"/>
    </row>
    <row r="2757" ht="15.75" customHeight="1">
      <c r="A2757" s="15"/>
      <c r="B2757" s="21"/>
      <c r="C2757" s="21"/>
      <c r="D2757" s="21"/>
      <c r="E2757" s="41"/>
    </row>
    <row r="2758" ht="15.75" customHeight="1">
      <c r="A2758" s="15"/>
      <c r="B2758" s="21"/>
      <c r="C2758" s="21"/>
      <c r="D2758" s="21"/>
      <c r="E2758" s="41"/>
    </row>
    <row r="2759" ht="15.75" customHeight="1">
      <c r="A2759" s="15"/>
      <c r="B2759" s="21"/>
      <c r="C2759" s="21"/>
      <c r="D2759" s="21"/>
      <c r="E2759" s="41"/>
    </row>
    <row r="2760" ht="15.75" customHeight="1">
      <c r="A2760" s="15"/>
      <c r="B2760" s="21"/>
      <c r="C2760" s="21"/>
      <c r="D2760" s="21"/>
      <c r="E2760" s="41"/>
    </row>
    <row r="2761" ht="15.75" customHeight="1">
      <c r="A2761" s="15"/>
      <c r="B2761" s="21"/>
      <c r="C2761" s="21"/>
      <c r="D2761" s="21"/>
      <c r="E2761" s="41"/>
    </row>
    <row r="2762" ht="15.75" customHeight="1">
      <c r="A2762" s="15"/>
      <c r="B2762" s="21"/>
      <c r="C2762" s="21"/>
      <c r="D2762" s="21"/>
      <c r="E2762" s="41"/>
    </row>
    <row r="2763" ht="15.75" customHeight="1">
      <c r="A2763" s="15"/>
      <c r="B2763" s="21"/>
      <c r="C2763" s="21"/>
      <c r="D2763" s="21"/>
      <c r="E2763" s="41"/>
    </row>
    <row r="2764" ht="15.75" customHeight="1">
      <c r="A2764" s="15"/>
      <c r="B2764" s="21"/>
      <c r="C2764" s="21"/>
      <c r="D2764" s="21"/>
      <c r="E2764" s="41"/>
    </row>
    <row r="2765" ht="15.75" customHeight="1">
      <c r="A2765" s="15"/>
      <c r="B2765" s="21"/>
      <c r="C2765" s="21"/>
      <c r="D2765" s="21"/>
      <c r="E2765" s="41"/>
    </row>
    <row r="2766" ht="15.75" customHeight="1">
      <c r="A2766" s="15"/>
      <c r="B2766" s="21"/>
      <c r="C2766" s="21"/>
      <c r="D2766" s="21"/>
      <c r="E2766" s="41"/>
    </row>
    <row r="2767" ht="15.75" customHeight="1">
      <c r="A2767" s="15"/>
      <c r="B2767" s="21"/>
      <c r="C2767" s="21"/>
      <c r="D2767" s="21"/>
      <c r="E2767" s="41"/>
    </row>
    <row r="2768" ht="15.75" customHeight="1">
      <c r="A2768" s="15"/>
      <c r="B2768" s="21"/>
      <c r="C2768" s="21"/>
      <c r="D2768" s="21"/>
      <c r="E2768" s="41"/>
    </row>
    <row r="2769" ht="15.75" customHeight="1">
      <c r="A2769" s="15"/>
      <c r="B2769" s="21"/>
      <c r="C2769" s="21"/>
      <c r="D2769" s="21"/>
      <c r="E2769" s="41"/>
    </row>
    <row r="2770" ht="15.75" customHeight="1">
      <c r="A2770" s="15"/>
      <c r="B2770" s="21"/>
      <c r="C2770" s="21"/>
      <c r="D2770" s="21"/>
      <c r="E2770" s="41"/>
    </row>
    <row r="2771" ht="15.75" customHeight="1">
      <c r="A2771" s="15"/>
      <c r="B2771" s="21"/>
      <c r="C2771" s="21"/>
      <c r="D2771" s="21"/>
      <c r="E2771" s="41"/>
    </row>
    <row r="2772" ht="15.75" customHeight="1">
      <c r="A2772" s="15"/>
      <c r="B2772" s="21"/>
      <c r="C2772" s="21"/>
      <c r="D2772" s="21"/>
      <c r="E2772" s="41"/>
    </row>
    <row r="2773" ht="15.75" customHeight="1">
      <c r="A2773" s="15"/>
      <c r="B2773" s="21"/>
      <c r="C2773" s="21"/>
      <c r="D2773" s="21"/>
      <c r="E2773" s="41"/>
    </row>
    <row r="2774" ht="15.75" customHeight="1">
      <c r="A2774" s="15"/>
      <c r="B2774" s="21"/>
      <c r="C2774" s="21"/>
      <c r="D2774" s="21"/>
      <c r="E2774" s="41"/>
    </row>
    <row r="2775" ht="15.75" customHeight="1">
      <c r="A2775" s="15"/>
      <c r="B2775" s="21"/>
      <c r="C2775" s="21"/>
      <c r="D2775" s="21"/>
      <c r="E2775" s="41"/>
    </row>
    <row r="2776" ht="15.75" customHeight="1">
      <c r="A2776" s="15"/>
      <c r="B2776" s="21"/>
      <c r="C2776" s="21"/>
      <c r="D2776" s="21"/>
      <c r="E2776" s="41"/>
    </row>
    <row r="2777" ht="15.75" customHeight="1">
      <c r="A2777" s="15"/>
      <c r="B2777" s="21"/>
      <c r="C2777" s="21"/>
      <c r="D2777" s="21"/>
      <c r="E2777" s="41"/>
    </row>
    <row r="2778" ht="15.75" customHeight="1">
      <c r="A2778" s="15"/>
      <c r="B2778" s="21"/>
      <c r="C2778" s="21"/>
      <c r="D2778" s="21"/>
      <c r="E2778" s="41"/>
    </row>
    <row r="2779" ht="15.75" customHeight="1">
      <c r="A2779" s="15"/>
      <c r="B2779" s="21"/>
      <c r="C2779" s="21"/>
      <c r="D2779" s="21"/>
      <c r="E2779" s="41"/>
    </row>
    <row r="2780" ht="15.75" customHeight="1">
      <c r="A2780" s="15"/>
      <c r="B2780" s="21"/>
      <c r="C2780" s="21"/>
      <c r="D2780" s="21"/>
      <c r="E2780" s="41"/>
    </row>
    <row r="2781" ht="15.75" customHeight="1">
      <c r="A2781" s="15"/>
      <c r="B2781" s="21"/>
      <c r="C2781" s="21"/>
      <c r="D2781" s="21"/>
      <c r="E2781" s="41"/>
    </row>
    <row r="2782" ht="15.75" customHeight="1">
      <c r="A2782" s="15"/>
      <c r="B2782" s="21"/>
      <c r="C2782" s="21"/>
      <c r="D2782" s="21"/>
      <c r="E2782" s="41"/>
    </row>
    <row r="2783" ht="15.75" customHeight="1">
      <c r="A2783" s="15"/>
      <c r="B2783" s="21"/>
      <c r="C2783" s="21"/>
      <c r="D2783" s="21"/>
      <c r="E2783" s="41"/>
    </row>
    <row r="2784" ht="15.75" customHeight="1">
      <c r="A2784" s="15"/>
      <c r="B2784" s="21"/>
      <c r="C2784" s="21"/>
      <c r="D2784" s="21"/>
      <c r="E2784" s="41"/>
    </row>
    <row r="2785" ht="15.75" customHeight="1">
      <c r="A2785" s="15"/>
      <c r="B2785" s="21"/>
      <c r="C2785" s="21"/>
      <c r="D2785" s="21"/>
      <c r="E2785" s="41"/>
    </row>
    <row r="2786" ht="15.75" customHeight="1">
      <c r="A2786" s="15"/>
      <c r="B2786" s="21"/>
      <c r="C2786" s="21"/>
      <c r="D2786" s="21"/>
      <c r="E2786" s="41"/>
    </row>
    <row r="2787" ht="15.75" customHeight="1">
      <c r="A2787" s="15"/>
      <c r="B2787" s="21"/>
      <c r="C2787" s="21"/>
      <c r="D2787" s="21"/>
      <c r="E2787" s="41"/>
    </row>
    <row r="2788" ht="15.75" customHeight="1">
      <c r="A2788" s="15"/>
      <c r="B2788" s="21"/>
      <c r="C2788" s="21"/>
      <c r="D2788" s="21"/>
      <c r="E2788" s="41"/>
    </row>
    <row r="2789" ht="15.75" customHeight="1">
      <c r="A2789" s="15"/>
      <c r="B2789" s="21"/>
      <c r="C2789" s="21"/>
      <c r="D2789" s="21"/>
      <c r="E2789" s="41"/>
    </row>
    <row r="2790" ht="15.75" customHeight="1">
      <c r="A2790" s="15"/>
      <c r="B2790" s="21"/>
      <c r="C2790" s="21"/>
      <c r="D2790" s="21"/>
      <c r="E2790" s="41"/>
    </row>
    <row r="2791" ht="15.75" customHeight="1">
      <c r="A2791" s="15"/>
      <c r="B2791" s="21"/>
      <c r="C2791" s="21"/>
      <c r="D2791" s="21"/>
      <c r="E2791" s="41"/>
    </row>
    <row r="2792" ht="15.75" customHeight="1">
      <c r="A2792" s="15"/>
      <c r="B2792" s="21"/>
      <c r="C2792" s="21"/>
      <c r="D2792" s="21"/>
      <c r="E2792" s="41"/>
    </row>
    <row r="2793" ht="15.75" customHeight="1">
      <c r="A2793" s="15"/>
      <c r="B2793" s="21"/>
      <c r="C2793" s="21"/>
      <c r="D2793" s="21"/>
      <c r="E2793" s="41"/>
    </row>
    <row r="2794" ht="15.75" customHeight="1">
      <c r="A2794" s="15"/>
      <c r="B2794" s="21"/>
      <c r="C2794" s="21"/>
      <c r="D2794" s="21"/>
      <c r="E2794" s="41"/>
    </row>
    <row r="2795" ht="15.75" customHeight="1">
      <c r="A2795" s="15"/>
      <c r="B2795" s="21"/>
      <c r="C2795" s="21"/>
      <c r="D2795" s="21"/>
      <c r="E2795" s="41"/>
    </row>
    <row r="2796" ht="15.75" customHeight="1">
      <c r="A2796" s="15"/>
      <c r="B2796" s="21"/>
      <c r="C2796" s="21"/>
      <c r="D2796" s="21"/>
      <c r="E2796" s="41"/>
    </row>
    <row r="2797" ht="15.75" customHeight="1">
      <c r="A2797" s="15"/>
      <c r="B2797" s="21"/>
      <c r="C2797" s="21"/>
      <c r="D2797" s="21"/>
      <c r="E2797" s="41"/>
    </row>
    <row r="2798" ht="15.75" customHeight="1">
      <c r="A2798" s="15"/>
      <c r="B2798" s="21"/>
      <c r="C2798" s="21"/>
      <c r="D2798" s="21"/>
      <c r="E2798" s="41"/>
    </row>
    <row r="2799" ht="15.75" customHeight="1">
      <c r="A2799" s="15"/>
      <c r="B2799" s="21"/>
      <c r="C2799" s="21"/>
      <c r="D2799" s="21"/>
      <c r="E2799" s="41"/>
    </row>
    <row r="2800" ht="15.75" customHeight="1">
      <c r="A2800" s="15"/>
      <c r="B2800" s="21"/>
      <c r="C2800" s="21"/>
      <c r="D2800" s="21"/>
      <c r="E2800" s="41"/>
    </row>
    <row r="2801" ht="15.75" customHeight="1">
      <c r="A2801" s="15"/>
      <c r="B2801" s="21"/>
      <c r="C2801" s="21"/>
      <c r="D2801" s="21"/>
      <c r="E2801" s="41"/>
    </row>
    <row r="2802" ht="15.75" customHeight="1">
      <c r="A2802" s="15"/>
      <c r="B2802" s="21"/>
      <c r="C2802" s="21"/>
      <c r="D2802" s="21"/>
      <c r="E2802" s="41"/>
    </row>
    <row r="2803" ht="15.75" customHeight="1">
      <c r="A2803" s="15"/>
      <c r="B2803" s="21"/>
      <c r="C2803" s="21"/>
      <c r="D2803" s="21"/>
      <c r="E2803" s="41"/>
    </row>
    <row r="2804" ht="15.75" customHeight="1">
      <c r="A2804" s="15"/>
      <c r="B2804" s="21"/>
      <c r="C2804" s="21"/>
      <c r="D2804" s="21"/>
      <c r="E2804" s="41"/>
    </row>
    <row r="2805" ht="15.75" customHeight="1">
      <c r="A2805" s="15"/>
      <c r="B2805" s="21"/>
      <c r="C2805" s="21"/>
      <c r="D2805" s="21"/>
      <c r="E2805" s="41"/>
    </row>
    <row r="2806" ht="15.75" customHeight="1">
      <c r="A2806" s="15"/>
      <c r="B2806" s="21"/>
      <c r="C2806" s="21"/>
      <c r="D2806" s="21"/>
      <c r="E2806" s="41"/>
    </row>
    <row r="2807" ht="15.75" customHeight="1">
      <c r="A2807" s="15"/>
      <c r="B2807" s="21"/>
      <c r="C2807" s="21"/>
      <c r="D2807" s="21"/>
      <c r="E2807" s="41"/>
    </row>
    <row r="2808" ht="15.75" customHeight="1">
      <c r="A2808" s="15"/>
      <c r="B2808" s="21"/>
      <c r="C2808" s="21"/>
      <c r="D2808" s="21"/>
      <c r="E2808" s="41"/>
    </row>
    <row r="2809" ht="15.75" customHeight="1">
      <c r="A2809" s="15"/>
      <c r="B2809" s="21"/>
      <c r="C2809" s="21"/>
      <c r="D2809" s="21"/>
      <c r="E2809" s="41"/>
    </row>
    <row r="2810" ht="15.75" customHeight="1">
      <c r="A2810" s="15"/>
      <c r="B2810" s="21"/>
      <c r="C2810" s="21"/>
      <c r="D2810" s="21"/>
      <c r="E2810" s="41"/>
    </row>
    <row r="2811" ht="15.75" customHeight="1">
      <c r="A2811" s="15"/>
      <c r="B2811" s="21"/>
      <c r="C2811" s="21"/>
      <c r="D2811" s="21"/>
      <c r="E2811" s="41"/>
    </row>
    <row r="2812" ht="15.75" customHeight="1">
      <c r="A2812" s="15"/>
      <c r="B2812" s="21"/>
      <c r="C2812" s="21"/>
      <c r="D2812" s="21"/>
      <c r="E2812" s="41"/>
    </row>
    <row r="2813" ht="15.75" customHeight="1">
      <c r="A2813" s="15"/>
      <c r="B2813" s="21"/>
      <c r="C2813" s="21"/>
      <c r="D2813" s="21"/>
      <c r="E2813" s="41"/>
    </row>
    <row r="2814" ht="15.75" customHeight="1">
      <c r="A2814" s="15"/>
      <c r="B2814" s="21"/>
      <c r="C2814" s="21"/>
      <c r="D2814" s="21"/>
      <c r="E2814" s="41"/>
    </row>
    <row r="2815" ht="15.75" customHeight="1">
      <c r="A2815" s="15"/>
      <c r="B2815" s="21"/>
      <c r="C2815" s="21"/>
      <c r="D2815" s="21"/>
      <c r="E2815" s="41"/>
    </row>
    <row r="2816" ht="15.75" customHeight="1">
      <c r="A2816" s="15"/>
      <c r="B2816" s="21"/>
      <c r="C2816" s="21"/>
      <c r="D2816" s="21"/>
      <c r="E2816" s="41"/>
    </row>
    <row r="2817" ht="15.75" customHeight="1">
      <c r="A2817" s="15"/>
      <c r="B2817" s="21"/>
      <c r="C2817" s="21"/>
      <c r="D2817" s="21"/>
      <c r="E2817" s="41"/>
    </row>
    <row r="2818" ht="15.75" customHeight="1">
      <c r="A2818" s="15"/>
      <c r="B2818" s="21"/>
      <c r="C2818" s="21"/>
      <c r="D2818" s="21"/>
      <c r="E2818" s="41"/>
    </row>
    <row r="2819" ht="15.75" customHeight="1">
      <c r="A2819" s="15"/>
      <c r="B2819" s="21"/>
      <c r="C2819" s="21"/>
      <c r="D2819" s="21"/>
      <c r="E2819" s="41"/>
    </row>
    <row r="2820" ht="15.75" customHeight="1">
      <c r="A2820" s="15"/>
      <c r="B2820" s="21"/>
      <c r="C2820" s="21"/>
      <c r="D2820" s="21"/>
      <c r="E2820" s="41"/>
    </row>
    <row r="2821" ht="15.75" customHeight="1">
      <c r="A2821" s="15"/>
      <c r="B2821" s="21"/>
      <c r="C2821" s="21"/>
      <c r="D2821" s="21"/>
      <c r="E2821" s="41"/>
    </row>
    <row r="2822" ht="15.75" customHeight="1">
      <c r="A2822" s="15"/>
      <c r="B2822" s="21"/>
      <c r="C2822" s="21"/>
      <c r="D2822" s="21"/>
      <c r="E2822" s="41"/>
    </row>
    <row r="2823" ht="15.75" customHeight="1">
      <c r="A2823" s="15"/>
      <c r="B2823" s="21"/>
      <c r="C2823" s="21"/>
      <c r="D2823" s="21"/>
      <c r="E2823" s="41"/>
    </row>
    <row r="2824" ht="15.75" customHeight="1">
      <c r="A2824" s="15"/>
      <c r="B2824" s="21"/>
      <c r="C2824" s="21"/>
      <c r="D2824" s="21"/>
      <c r="E2824" s="41"/>
    </row>
    <row r="2825" ht="15.75" customHeight="1">
      <c r="A2825" s="15"/>
      <c r="B2825" s="21"/>
      <c r="C2825" s="21"/>
      <c r="D2825" s="21"/>
      <c r="E2825" s="41"/>
    </row>
    <row r="2826" ht="15.75" customHeight="1">
      <c r="A2826" s="15"/>
      <c r="B2826" s="21"/>
      <c r="C2826" s="21"/>
      <c r="D2826" s="21"/>
      <c r="E2826" s="41"/>
    </row>
    <row r="2827" ht="15.75" customHeight="1">
      <c r="A2827" s="15"/>
      <c r="B2827" s="21"/>
      <c r="C2827" s="21"/>
      <c r="D2827" s="21"/>
      <c r="E2827" s="41"/>
    </row>
    <row r="2828" ht="15.75" customHeight="1">
      <c r="A2828" s="15"/>
      <c r="B2828" s="21"/>
      <c r="C2828" s="21"/>
      <c r="D2828" s="21"/>
      <c r="E2828" s="41"/>
    </row>
    <row r="2829" ht="15.75" customHeight="1">
      <c r="A2829" s="15"/>
      <c r="B2829" s="21"/>
      <c r="C2829" s="21"/>
      <c r="D2829" s="21"/>
      <c r="E2829" s="41"/>
    </row>
    <row r="2830" ht="15.75" customHeight="1">
      <c r="A2830" s="15"/>
      <c r="B2830" s="21"/>
      <c r="C2830" s="21"/>
      <c r="D2830" s="21"/>
      <c r="E2830" s="41"/>
    </row>
    <row r="2831" ht="15.75" customHeight="1">
      <c r="A2831" s="15"/>
      <c r="B2831" s="21"/>
      <c r="C2831" s="21"/>
      <c r="D2831" s="21"/>
      <c r="E2831" s="41"/>
    </row>
    <row r="2832" ht="15.75" customHeight="1">
      <c r="A2832" s="15"/>
      <c r="B2832" s="21"/>
      <c r="C2832" s="21"/>
      <c r="D2832" s="21"/>
      <c r="E2832" s="41"/>
    </row>
    <row r="2833" ht="15.75" customHeight="1">
      <c r="A2833" s="15"/>
      <c r="B2833" s="21"/>
      <c r="C2833" s="21"/>
      <c r="D2833" s="21"/>
      <c r="E2833" s="41"/>
    </row>
    <row r="2834" ht="15.75" customHeight="1">
      <c r="A2834" s="15"/>
      <c r="B2834" s="21"/>
      <c r="C2834" s="21"/>
      <c r="D2834" s="21"/>
      <c r="E2834" s="41"/>
    </row>
    <row r="2835" ht="15.75" customHeight="1">
      <c r="A2835" s="15"/>
      <c r="B2835" s="21"/>
      <c r="C2835" s="21"/>
      <c r="D2835" s="21"/>
      <c r="E2835" s="41"/>
    </row>
    <row r="2836" ht="15.75" customHeight="1">
      <c r="A2836" s="15"/>
      <c r="B2836" s="21"/>
      <c r="C2836" s="21"/>
      <c r="D2836" s="21"/>
      <c r="E2836" s="41"/>
    </row>
    <row r="2837" ht="15.75" customHeight="1">
      <c r="A2837" s="15"/>
      <c r="B2837" s="21"/>
      <c r="C2837" s="21"/>
      <c r="D2837" s="21"/>
      <c r="E2837" s="41"/>
    </row>
    <row r="2838" ht="15.75" customHeight="1">
      <c r="A2838" s="15"/>
      <c r="B2838" s="21"/>
      <c r="C2838" s="21"/>
      <c r="D2838" s="21"/>
      <c r="E2838" s="41"/>
    </row>
    <row r="2839" ht="15.75" customHeight="1">
      <c r="A2839" s="15"/>
      <c r="B2839" s="21"/>
      <c r="C2839" s="21"/>
      <c r="D2839" s="21"/>
      <c r="E2839" s="41"/>
    </row>
    <row r="2840" ht="15.75" customHeight="1">
      <c r="A2840" s="15"/>
      <c r="B2840" s="21"/>
      <c r="C2840" s="21"/>
      <c r="D2840" s="21"/>
      <c r="E2840" s="41"/>
    </row>
    <row r="2841" ht="15.75" customHeight="1">
      <c r="A2841" s="15"/>
      <c r="B2841" s="21"/>
      <c r="C2841" s="21"/>
      <c r="D2841" s="21"/>
      <c r="E2841" s="41"/>
    </row>
    <row r="2842" ht="15.75" customHeight="1">
      <c r="A2842" s="15"/>
      <c r="B2842" s="21"/>
      <c r="C2842" s="21"/>
      <c r="D2842" s="21"/>
      <c r="E2842" s="41"/>
    </row>
    <row r="2843" ht="15.75" customHeight="1">
      <c r="A2843" s="15"/>
      <c r="B2843" s="21"/>
      <c r="C2843" s="21"/>
      <c r="D2843" s="21"/>
      <c r="E2843" s="41"/>
    </row>
    <row r="2844" ht="15.75" customHeight="1">
      <c r="A2844" s="15"/>
      <c r="B2844" s="21"/>
      <c r="C2844" s="21"/>
      <c r="D2844" s="21"/>
      <c r="E2844" s="41"/>
    </row>
    <row r="2845" ht="15.75" customHeight="1">
      <c r="A2845" s="15"/>
      <c r="B2845" s="21"/>
      <c r="C2845" s="21"/>
      <c r="D2845" s="21"/>
      <c r="E2845" s="41"/>
    </row>
    <row r="2846" ht="15.75" customHeight="1">
      <c r="A2846" s="15"/>
      <c r="B2846" s="21"/>
      <c r="C2846" s="21"/>
      <c r="D2846" s="21"/>
      <c r="E2846" s="41"/>
    </row>
    <row r="2847" ht="15.75" customHeight="1">
      <c r="A2847" s="15"/>
      <c r="B2847" s="21"/>
      <c r="C2847" s="21"/>
      <c r="D2847" s="21"/>
      <c r="E2847" s="41"/>
    </row>
    <row r="2848" ht="15.75" customHeight="1">
      <c r="A2848" s="15"/>
      <c r="B2848" s="21"/>
      <c r="C2848" s="21"/>
      <c r="D2848" s="21"/>
      <c r="E2848" s="41"/>
    </row>
    <row r="2849" ht="15.75" customHeight="1">
      <c r="A2849" s="15"/>
      <c r="B2849" s="21"/>
      <c r="C2849" s="21"/>
      <c r="D2849" s="21"/>
      <c r="E2849" s="41"/>
    </row>
    <row r="2850" ht="15.75" customHeight="1">
      <c r="A2850" s="15"/>
      <c r="B2850" s="21"/>
      <c r="C2850" s="21"/>
      <c r="D2850" s="21"/>
      <c r="E2850" s="41"/>
    </row>
    <row r="2851" ht="15.75" customHeight="1">
      <c r="A2851" s="15"/>
      <c r="B2851" s="21"/>
      <c r="C2851" s="21"/>
      <c r="D2851" s="21"/>
      <c r="E2851" s="41"/>
    </row>
    <row r="2852" ht="15.75" customHeight="1">
      <c r="A2852" s="15"/>
      <c r="B2852" s="21"/>
      <c r="C2852" s="21"/>
      <c r="D2852" s="21"/>
      <c r="E2852" s="41"/>
    </row>
    <row r="2853" ht="15.75" customHeight="1">
      <c r="A2853" s="15"/>
      <c r="B2853" s="21"/>
      <c r="C2853" s="21"/>
      <c r="D2853" s="21"/>
      <c r="E2853" s="41"/>
    </row>
    <row r="2854" ht="15.75" customHeight="1">
      <c r="A2854" s="15"/>
      <c r="B2854" s="21"/>
      <c r="C2854" s="21"/>
      <c r="D2854" s="21"/>
      <c r="E2854" s="41"/>
    </row>
    <row r="2855" ht="15.75" customHeight="1">
      <c r="A2855" s="15"/>
      <c r="B2855" s="21"/>
      <c r="C2855" s="21"/>
      <c r="D2855" s="21"/>
      <c r="E2855" s="41"/>
    </row>
    <row r="2856" ht="15.75" customHeight="1">
      <c r="A2856" s="15"/>
      <c r="B2856" s="21"/>
      <c r="C2856" s="21"/>
      <c r="D2856" s="21"/>
      <c r="E2856" s="41"/>
    </row>
    <row r="2857" ht="15.75" customHeight="1">
      <c r="A2857" s="15"/>
      <c r="B2857" s="21"/>
      <c r="C2857" s="21"/>
      <c r="D2857" s="21"/>
      <c r="E2857" s="41"/>
    </row>
    <row r="2858" ht="15.75" customHeight="1">
      <c r="A2858" s="15"/>
      <c r="B2858" s="21"/>
      <c r="C2858" s="21"/>
      <c r="D2858" s="21"/>
      <c r="E2858" s="41"/>
    </row>
    <row r="2859" ht="15.75" customHeight="1">
      <c r="A2859" s="15"/>
      <c r="B2859" s="21"/>
      <c r="C2859" s="21"/>
      <c r="D2859" s="21"/>
      <c r="E2859" s="41"/>
    </row>
    <row r="2860" ht="15.75" customHeight="1">
      <c r="A2860" s="15"/>
      <c r="B2860" s="21"/>
      <c r="C2860" s="21"/>
      <c r="D2860" s="21"/>
      <c r="E2860" s="41"/>
    </row>
    <row r="2861" ht="15.75" customHeight="1">
      <c r="A2861" s="15"/>
      <c r="B2861" s="21"/>
      <c r="C2861" s="21"/>
      <c r="D2861" s="21"/>
      <c r="E2861" s="41"/>
    </row>
    <row r="2862" ht="15.75" customHeight="1">
      <c r="A2862" s="15"/>
      <c r="B2862" s="21"/>
      <c r="C2862" s="21"/>
      <c r="D2862" s="21"/>
      <c r="E2862" s="41"/>
    </row>
    <row r="2863" ht="15.75" customHeight="1">
      <c r="A2863" s="15"/>
      <c r="B2863" s="21"/>
      <c r="C2863" s="21"/>
      <c r="D2863" s="21"/>
      <c r="E2863" s="41"/>
    </row>
    <row r="2864" ht="15.75" customHeight="1">
      <c r="A2864" s="15"/>
      <c r="B2864" s="21"/>
      <c r="C2864" s="21"/>
      <c r="D2864" s="21"/>
      <c r="E2864" s="41"/>
    </row>
    <row r="2865" ht="15.75" customHeight="1">
      <c r="A2865" s="15"/>
      <c r="B2865" s="21"/>
      <c r="C2865" s="21"/>
      <c r="D2865" s="21"/>
      <c r="E2865" s="41"/>
    </row>
    <row r="2866" ht="15.75" customHeight="1">
      <c r="A2866" s="15"/>
      <c r="B2866" s="21"/>
      <c r="C2866" s="21"/>
      <c r="D2866" s="21"/>
      <c r="E2866" s="41"/>
    </row>
    <row r="2867" ht="15.75" customHeight="1">
      <c r="A2867" s="15"/>
      <c r="B2867" s="21"/>
      <c r="C2867" s="21"/>
      <c r="D2867" s="21"/>
      <c r="E2867" s="41"/>
    </row>
    <row r="2868" ht="15.75" customHeight="1">
      <c r="A2868" s="15"/>
      <c r="B2868" s="21"/>
      <c r="C2868" s="21"/>
      <c r="D2868" s="21"/>
      <c r="E2868" s="41"/>
    </row>
    <row r="2869" ht="15.75" customHeight="1">
      <c r="A2869" s="15"/>
      <c r="B2869" s="21"/>
      <c r="C2869" s="21"/>
      <c r="D2869" s="21"/>
      <c r="E2869" s="41"/>
    </row>
    <row r="2870" ht="15.75" customHeight="1">
      <c r="A2870" s="15"/>
      <c r="B2870" s="21"/>
      <c r="C2870" s="21"/>
      <c r="D2870" s="21"/>
      <c r="E2870" s="41"/>
    </row>
    <row r="2871" ht="15.75" customHeight="1">
      <c r="A2871" s="15"/>
      <c r="B2871" s="21"/>
      <c r="C2871" s="21"/>
      <c r="D2871" s="21"/>
      <c r="E2871" s="41"/>
    </row>
    <row r="2872" ht="15.75" customHeight="1">
      <c r="A2872" s="15"/>
      <c r="B2872" s="21"/>
      <c r="C2872" s="21"/>
      <c r="D2872" s="21"/>
      <c r="E2872" s="41"/>
    </row>
    <row r="2873" ht="15.75" customHeight="1">
      <c r="A2873" s="15"/>
      <c r="B2873" s="21"/>
      <c r="C2873" s="21"/>
      <c r="D2873" s="21"/>
      <c r="E2873" s="41"/>
    </row>
    <row r="2874" ht="15.75" customHeight="1">
      <c r="A2874" s="15"/>
      <c r="B2874" s="21"/>
      <c r="C2874" s="21"/>
      <c r="D2874" s="21"/>
      <c r="E2874" s="41"/>
    </row>
  </sheetData>
  <autoFilter ref="$A$3:$H$2674">
    <filterColumn colId="0">
      <filters>
        <filter val="Oruro"/>
      </filters>
    </filterColumn>
    <filterColumn colId="4">
      <colorFilter dxfId="1"/>
    </filterColumn>
    <sortState ref="A3:H2674">
      <sortCondition ref="B3:B2674"/>
    </sortState>
  </autoFilter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3">
        <v>2024.0</v>
      </c>
      <c r="F1" s="4" t="s">
        <v>4</v>
      </c>
      <c r="G1" s="4" t="s">
        <v>5</v>
      </c>
      <c r="H1" s="4" t="s">
        <v>6</v>
      </c>
    </row>
    <row r="2" ht="15.75" customHeight="1">
      <c r="A2" s="5"/>
      <c r="B2" s="5" t="s">
        <v>7</v>
      </c>
      <c r="C2" s="5"/>
      <c r="D2" s="6" t="s">
        <v>8</v>
      </c>
      <c r="E2" s="7">
        <f t="shared" ref="E2:H2" si="1">SUM(E4:E3392)</f>
        <v>5166356</v>
      </c>
      <c r="F2" s="7">
        <f t="shared" si="1"/>
        <v>4400649.795</v>
      </c>
      <c r="G2" s="7">
        <f t="shared" si="1"/>
        <v>591169.5125</v>
      </c>
      <c r="H2" s="7">
        <f t="shared" si="1"/>
        <v>174185.6144</v>
      </c>
    </row>
    <row r="3" ht="15.75" customHeight="1">
      <c r="A3" s="15"/>
    </row>
    <row r="4" ht="15.75" hidden="1" customHeight="1">
      <c r="A4" s="20" t="s">
        <v>9</v>
      </c>
      <c r="B4" s="42" t="s">
        <v>10</v>
      </c>
      <c r="C4" s="12" t="str">
        <f>B4&amp;"_"&amp;A4</f>
        <v>Alcalá_Chuquisaca</v>
      </c>
      <c r="E4" s="43">
        <v>0.0</v>
      </c>
      <c r="F4" s="14">
        <f t="shared" ref="F4:H4" si="2">SUM(F5:F6)</f>
        <v>0</v>
      </c>
      <c r="G4" s="14">
        <f t="shared" si="2"/>
        <v>0</v>
      </c>
      <c r="H4" s="14">
        <f t="shared" si="2"/>
        <v>0</v>
      </c>
    </row>
    <row r="5" ht="15.75" hidden="1" customHeight="1">
      <c r="A5" s="20" t="s">
        <v>9</v>
      </c>
      <c r="B5" s="11" t="s">
        <v>10</v>
      </c>
      <c r="C5" s="15"/>
      <c r="D5" s="16" t="s">
        <v>11</v>
      </c>
      <c r="E5" s="17">
        <v>0.0</v>
      </c>
      <c r="F5" s="18">
        <f>E5* 0.0664298401420959</f>
        <v>0</v>
      </c>
      <c r="G5" s="18">
        <f>E5* 0.932326820603908</f>
        <v>0</v>
      </c>
      <c r="H5" s="18">
        <f>E5* 0.00106571936056838</f>
        <v>0</v>
      </c>
    </row>
    <row r="6" ht="15.75" hidden="1" customHeight="1">
      <c r="A6" s="20" t="s">
        <v>9</v>
      </c>
      <c r="B6" s="11" t="s">
        <v>10</v>
      </c>
      <c r="C6" s="15"/>
      <c r="D6" s="16" t="s">
        <v>12</v>
      </c>
      <c r="E6" s="17">
        <v>0.0</v>
      </c>
      <c r="F6" s="18">
        <f>E6* 0.889957698325317</f>
        <v>0</v>
      </c>
      <c r="G6" s="18">
        <f>E6* 0.0573100770701744</f>
        <v>0</v>
      </c>
      <c r="H6" s="18">
        <f>E6* 0.0526742771049429</f>
        <v>0</v>
      </c>
    </row>
    <row r="7" ht="15.75" hidden="1" customHeight="1">
      <c r="A7" s="20" t="s">
        <v>9</v>
      </c>
      <c r="B7" s="11" t="s">
        <v>10</v>
      </c>
      <c r="C7" s="15"/>
      <c r="E7" s="19"/>
    </row>
    <row r="8" ht="15.75" hidden="1" customHeight="1">
      <c r="A8" s="20" t="s">
        <v>9</v>
      </c>
      <c r="B8" s="42" t="s">
        <v>13</v>
      </c>
      <c r="C8" s="12" t="str">
        <f>B8&amp;"_"&amp;A8</f>
        <v>Camargo_Chuquisaca</v>
      </c>
      <c r="E8" s="43">
        <v>350.0</v>
      </c>
      <c r="F8" s="14">
        <f t="shared" ref="F8:H8" si="3">SUM(F9:F19)</f>
        <v>312.8614024</v>
      </c>
      <c r="G8" s="14">
        <f t="shared" si="3"/>
        <v>31.39803151</v>
      </c>
      <c r="H8" s="14">
        <f t="shared" si="3"/>
        <v>5.734981723</v>
      </c>
    </row>
    <row r="9" ht="15.75" hidden="1" customHeight="1">
      <c r="A9" s="20" t="s">
        <v>9</v>
      </c>
      <c r="B9" s="11" t="s">
        <v>13</v>
      </c>
      <c r="C9" s="15"/>
      <c r="D9" s="16" t="s">
        <v>288</v>
      </c>
      <c r="E9" s="17">
        <v>0.0</v>
      </c>
      <c r="F9" s="20">
        <v>0.0</v>
      </c>
      <c r="G9" s="20">
        <f>E9</f>
        <v>0</v>
      </c>
      <c r="H9" s="20">
        <v>0.0</v>
      </c>
    </row>
    <row r="10" ht="15.75" hidden="1" customHeight="1">
      <c r="A10" s="20" t="s">
        <v>9</v>
      </c>
      <c r="B10" s="11" t="s">
        <v>13</v>
      </c>
      <c r="C10" s="15"/>
      <c r="D10" s="16" t="s">
        <v>15</v>
      </c>
      <c r="E10" s="17">
        <v>35.0</v>
      </c>
      <c r="F10" s="18">
        <f>E10* 0.962408869987849</f>
        <v>33.68431045</v>
      </c>
      <c r="G10" s="18">
        <f>E10* 0.00425273390036452</f>
        <v>0.1488456865</v>
      </c>
      <c r="H10" s="18">
        <f>E10* 0.0333383961117862</f>
        <v>1.166843864</v>
      </c>
    </row>
    <row r="11" ht="15.75" hidden="1" customHeight="1">
      <c r="A11" s="20" t="s">
        <v>9</v>
      </c>
      <c r="B11" s="11" t="s">
        <v>13</v>
      </c>
      <c r="C11" s="15"/>
      <c r="D11" s="16" t="s">
        <v>286</v>
      </c>
      <c r="E11" s="17">
        <v>1.0</v>
      </c>
      <c r="F11" s="18">
        <f>E11* 0.03</f>
        <v>0.03</v>
      </c>
      <c r="G11" s="18">
        <f>E11* 0.97</f>
        <v>0.97</v>
      </c>
      <c r="H11" s="20">
        <v>0.0</v>
      </c>
    </row>
    <row r="12" ht="15.75" hidden="1" customHeight="1">
      <c r="A12" s="20" t="s">
        <v>9</v>
      </c>
      <c r="B12" s="11" t="s">
        <v>13</v>
      </c>
      <c r="C12" s="15"/>
      <c r="D12" s="16" t="s">
        <v>11</v>
      </c>
      <c r="E12" s="17">
        <v>21.0</v>
      </c>
      <c r="F12" s="18">
        <f>E12* 0.0664298401420959</f>
        <v>1.395026643</v>
      </c>
      <c r="G12" s="18">
        <f>E12* 0.932326820603908</f>
        <v>19.57886323</v>
      </c>
      <c r="H12" s="18">
        <f>E12* 0.00106571936056838</f>
        <v>0.02238010657</v>
      </c>
    </row>
    <row r="13" ht="15.75" hidden="1" customHeight="1">
      <c r="A13" s="20" t="s">
        <v>9</v>
      </c>
      <c r="B13" s="11" t="s">
        <v>13</v>
      </c>
      <c r="C13" s="15"/>
      <c r="D13" s="16" t="s">
        <v>17</v>
      </c>
      <c r="E13" s="17">
        <v>40.0</v>
      </c>
      <c r="F13" s="18">
        <f>E13* 0.860929374266063</f>
        <v>34.43717497</v>
      </c>
      <c r="G13" s="18">
        <f>E13* 0.0811944304646871</f>
        <v>3.247777219</v>
      </c>
      <c r="H13" s="18">
        <f>E13* 0.0578761952692501</f>
        <v>2.315047811</v>
      </c>
    </row>
    <row r="14" ht="15.75" hidden="1" customHeight="1">
      <c r="A14" s="20" t="s">
        <v>9</v>
      </c>
      <c r="B14" s="11" t="s">
        <v>13</v>
      </c>
      <c r="C14" s="15"/>
      <c r="D14" s="16" t="s">
        <v>18</v>
      </c>
      <c r="E14" s="17">
        <v>2.0</v>
      </c>
      <c r="F14" s="18">
        <f>E14* 0.949854952341484</f>
        <v>1.899709905</v>
      </c>
      <c r="G14" s="18">
        <f>E14* 0.0439287194363862</f>
        <v>0.08785743887</v>
      </c>
      <c r="H14" s="18">
        <f>E14* 0.00621632822213013</f>
        <v>0.01243265644</v>
      </c>
    </row>
    <row r="15" ht="15.75" hidden="1" customHeight="1">
      <c r="A15" s="20" t="s">
        <v>9</v>
      </c>
      <c r="B15" s="11" t="s">
        <v>13</v>
      </c>
      <c r="C15" s="15"/>
      <c r="D15" s="16" t="s">
        <v>19</v>
      </c>
      <c r="E15" s="17">
        <v>0.0</v>
      </c>
      <c r="F15" s="18">
        <f>E15* 0.0187085093542547</f>
        <v>0</v>
      </c>
      <c r="G15" s="18">
        <f>E15* 0.978877489438745</f>
        <v>0</v>
      </c>
      <c r="H15" s="18">
        <f>E15* 0.0024140012070006</f>
        <v>0</v>
      </c>
    </row>
    <row r="16" ht="15.75" hidden="1" customHeight="1">
      <c r="A16" s="20" t="s">
        <v>9</v>
      </c>
      <c r="B16" s="11" t="s">
        <v>13</v>
      </c>
      <c r="C16" s="15"/>
      <c r="D16" s="16" t="s">
        <v>20</v>
      </c>
      <c r="E16" s="17">
        <v>9.0</v>
      </c>
      <c r="F16" s="18">
        <f>E16* 0.557228915662651</f>
        <v>5.015060241</v>
      </c>
      <c r="G16" s="18">
        <f>E16* 0.390562248995984</f>
        <v>3.515060241</v>
      </c>
      <c r="H16" s="18">
        <f>E16* 0.0522088353413655</f>
        <v>0.4698795181</v>
      </c>
    </row>
    <row r="17" ht="15.75" hidden="1" customHeight="1">
      <c r="A17" s="20" t="s">
        <v>9</v>
      </c>
      <c r="B17" s="11" t="s">
        <v>13</v>
      </c>
      <c r="C17" s="15"/>
      <c r="D17" s="16" t="s">
        <v>21</v>
      </c>
      <c r="E17" s="17">
        <v>208.0</v>
      </c>
      <c r="F17" s="18">
        <f>E17* 0.999622470552703</f>
        <v>207.9214739</v>
      </c>
      <c r="G17" s="18">
        <f>E17* 0.0000755058894593778</f>
        <v>0.01570522501</v>
      </c>
      <c r="H17" s="18">
        <f>E17* 0.000302023557837511</f>
        <v>0.06282090003</v>
      </c>
    </row>
    <row r="18" ht="15.75" hidden="1" customHeight="1">
      <c r="A18" s="20" t="s">
        <v>9</v>
      </c>
      <c r="B18" s="11" t="s">
        <v>13</v>
      </c>
      <c r="C18" s="15"/>
      <c r="D18" s="16" t="s">
        <v>289</v>
      </c>
      <c r="E18" s="17">
        <v>2.0</v>
      </c>
      <c r="F18" s="20">
        <v>0.0</v>
      </c>
      <c r="G18" s="20">
        <f>E18</f>
        <v>2</v>
      </c>
      <c r="H18" s="20">
        <v>0.0</v>
      </c>
    </row>
    <row r="19" ht="15.75" hidden="1" customHeight="1">
      <c r="A19" s="20" t="s">
        <v>9</v>
      </c>
      <c r="B19" s="11" t="s">
        <v>13</v>
      </c>
      <c r="C19" s="15"/>
      <c r="D19" s="16" t="s">
        <v>12</v>
      </c>
      <c r="E19" s="17">
        <v>32.0</v>
      </c>
      <c r="F19" s="18">
        <f>E19* 0.889957698325317</f>
        <v>28.47864635</v>
      </c>
      <c r="G19" s="18">
        <f>E19* 0.0573100770701744</f>
        <v>1.833922466</v>
      </c>
      <c r="H19" s="18">
        <f>E19* 0.0526742771049429</f>
        <v>1.685576867</v>
      </c>
    </row>
    <row r="20" ht="15.75" hidden="1" customHeight="1">
      <c r="A20" s="20" t="s">
        <v>9</v>
      </c>
      <c r="B20" s="11" t="s">
        <v>13</v>
      </c>
      <c r="C20" s="15"/>
      <c r="E20" s="19"/>
    </row>
    <row r="21" ht="15.75" hidden="1" customHeight="1">
      <c r="A21" s="20" t="s">
        <v>9</v>
      </c>
      <c r="B21" s="42" t="s">
        <v>22</v>
      </c>
      <c r="C21" s="12" t="str">
        <f>B21&amp;"_"&amp;A21</f>
        <v>Culpina_Chuquisaca</v>
      </c>
      <c r="E21" s="43">
        <v>103.0</v>
      </c>
      <c r="F21" s="14">
        <f t="shared" ref="F21:H21" si="4">SUM(F22:F30)</f>
        <v>77.2362242</v>
      </c>
      <c r="G21" s="14">
        <f t="shared" si="4"/>
        <v>23.37150432</v>
      </c>
      <c r="H21" s="14">
        <f t="shared" si="4"/>
        <v>2.386803036</v>
      </c>
    </row>
    <row r="22" ht="15.75" hidden="1" customHeight="1">
      <c r="A22" s="20" t="s">
        <v>9</v>
      </c>
      <c r="B22" s="11" t="s">
        <v>22</v>
      </c>
      <c r="C22" s="15"/>
      <c r="D22" s="16" t="s">
        <v>15</v>
      </c>
      <c r="E22" s="17">
        <v>2.0</v>
      </c>
      <c r="F22" s="18">
        <f>E22* 0.962408869987849</f>
        <v>1.92481774</v>
      </c>
      <c r="G22" s="18">
        <f>E22* 0.00425273390036452</f>
        <v>0.008505467801</v>
      </c>
      <c r="H22" s="18">
        <f>E22* 0.0333383961117862</f>
        <v>0.06667679222</v>
      </c>
    </row>
    <row r="23" ht="15.75" hidden="1" customHeight="1">
      <c r="A23" s="20" t="s">
        <v>9</v>
      </c>
      <c r="B23" s="11" t="s">
        <v>22</v>
      </c>
      <c r="C23" s="15"/>
      <c r="D23" s="16" t="s">
        <v>11</v>
      </c>
      <c r="E23" s="17">
        <v>21.0</v>
      </c>
      <c r="F23" s="18">
        <f>E23* 0.0664298401420959</f>
        <v>1.395026643</v>
      </c>
      <c r="G23" s="18">
        <f>E23* 0.932326820603908</f>
        <v>19.57886323</v>
      </c>
      <c r="H23" s="18">
        <f>E23* 0.00106571936056838</f>
        <v>0.02238010657</v>
      </c>
    </row>
    <row r="24" ht="15.75" hidden="1" customHeight="1">
      <c r="A24" s="20" t="s">
        <v>9</v>
      </c>
      <c r="B24" s="11" t="s">
        <v>22</v>
      </c>
      <c r="C24" s="15"/>
      <c r="D24" s="16" t="s">
        <v>17</v>
      </c>
      <c r="E24" s="17">
        <v>12.0</v>
      </c>
      <c r="F24" s="18">
        <f>E24* 0.860929374266063</f>
        <v>10.33115249</v>
      </c>
      <c r="G24" s="18">
        <f>E24* 0.0811944304646871</f>
        <v>0.9743331656</v>
      </c>
      <c r="H24" s="18">
        <f>E24* 0.0578761952692501</f>
        <v>0.6945143432</v>
      </c>
    </row>
    <row r="25" ht="15.75" hidden="1" customHeight="1">
      <c r="A25" s="20" t="s">
        <v>9</v>
      </c>
      <c r="B25" s="11" t="s">
        <v>22</v>
      </c>
      <c r="C25" s="15"/>
      <c r="D25" s="16" t="s">
        <v>18</v>
      </c>
      <c r="E25" s="17">
        <v>2.0</v>
      </c>
      <c r="F25" s="18">
        <f>E25* 0.949854952341484</f>
        <v>1.899709905</v>
      </c>
      <c r="G25" s="18">
        <f>E25* 0.0439287194363862</f>
        <v>0.08785743887</v>
      </c>
      <c r="H25" s="18">
        <f>E25* 0.00621632822213013</f>
        <v>0.01243265644</v>
      </c>
    </row>
    <row r="26" ht="15.75" hidden="1" customHeight="1">
      <c r="A26" s="20" t="s">
        <v>9</v>
      </c>
      <c r="B26" s="11" t="s">
        <v>22</v>
      </c>
      <c r="C26" s="15"/>
      <c r="D26" s="16" t="s">
        <v>19</v>
      </c>
      <c r="E26" s="19"/>
      <c r="F26" s="18">
        <f>E26* 0.0187085093542547</f>
        <v>0</v>
      </c>
      <c r="G26" s="18">
        <f>E26* 0.978877489438745</f>
        <v>0</v>
      </c>
      <c r="H26" s="18">
        <f>E26* 0.0024140012070006</f>
        <v>0</v>
      </c>
    </row>
    <row r="27" ht="15.75" hidden="1" customHeight="1">
      <c r="A27" s="20" t="s">
        <v>9</v>
      </c>
      <c r="B27" s="11" t="s">
        <v>22</v>
      </c>
      <c r="C27" s="15"/>
      <c r="D27" s="16" t="s">
        <v>20</v>
      </c>
      <c r="E27" s="19"/>
      <c r="F27" s="18">
        <f>E27* 0.557228915662651</f>
        <v>0</v>
      </c>
      <c r="G27" s="18">
        <f>E27* 0.390562248995984</f>
        <v>0</v>
      </c>
      <c r="H27" s="18">
        <f>E27* 0.0522088353413655</f>
        <v>0</v>
      </c>
    </row>
    <row r="28" ht="15.75" hidden="1" customHeight="1">
      <c r="A28" s="20" t="s">
        <v>9</v>
      </c>
      <c r="B28" s="11" t="s">
        <v>22</v>
      </c>
      <c r="C28" s="15"/>
      <c r="D28" s="16" t="s">
        <v>21</v>
      </c>
      <c r="E28" s="17">
        <v>35.0</v>
      </c>
      <c r="F28" s="18">
        <f>E28* 0.999622470552703</f>
        <v>34.98678647</v>
      </c>
      <c r="G28" s="18">
        <f>E28* 0.0000755058894593778</f>
        <v>0.002642706131</v>
      </c>
      <c r="H28" s="18">
        <f>E28* 0.000302023557837511</f>
        <v>0.01057082452</v>
      </c>
    </row>
    <row r="29" ht="15.75" hidden="1" customHeight="1">
      <c r="A29" s="20" t="s">
        <v>9</v>
      </c>
      <c r="B29" s="11" t="s">
        <v>22</v>
      </c>
      <c r="C29" s="15"/>
      <c r="D29" s="16" t="s">
        <v>28</v>
      </c>
      <c r="E29" s="17">
        <v>1.0</v>
      </c>
      <c r="F29" s="20">
        <v>0.0</v>
      </c>
      <c r="G29" s="20">
        <f>E29</f>
        <v>1</v>
      </c>
      <c r="H29" s="20">
        <v>0.0</v>
      </c>
    </row>
    <row r="30" ht="15.75" hidden="1" customHeight="1">
      <c r="A30" s="20" t="s">
        <v>9</v>
      </c>
      <c r="B30" s="11" t="s">
        <v>22</v>
      </c>
      <c r="C30" s="15"/>
      <c r="D30" s="16" t="s">
        <v>12</v>
      </c>
      <c r="E30" s="17">
        <v>30.0</v>
      </c>
      <c r="F30" s="18">
        <f>E30* 0.889957698325317</f>
        <v>26.69873095</v>
      </c>
      <c r="G30" s="18">
        <f>E30* 0.0573100770701744</f>
        <v>1.719302312</v>
      </c>
      <c r="H30" s="18">
        <f>E30* 0.0526742771049429</f>
        <v>1.580228313</v>
      </c>
    </row>
    <row r="31" ht="15.75" hidden="1" customHeight="1">
      <c r="A31" s="20" t="s">
        <v>9</v>
      </c>
      <c r="B31" s="11" t="s">
        <v>22</v>
      </c>
      <c r="C31" s="15"/>
      <c r="E31" s="19"/>
    </row>
    <row r="32" ht="15.75" hidden="1" customHeight="1">
      <c r="A32" s="20" t="s">
        <v>9</v>
      </c>
      <c r="B32" s="42" t="s">
        <v>23</v>
      </c>
      <c r="C32" s="12" t="str">
        <f>B32&amp;"_"&amp;A32</f>
        <v>El Villar_Chuquisaca</v>
      </c>
      <c r="E32" s="43">
        <v>1.0</v>
      </c>
      <c r="F32" s="14">
        <f t="shared" ref="F32:H32" si="5">F33</f>
        <v>0.8609293743</v>
      </c>
      <c r="G32" s="14">
        <f t="shared" si="5"/>
        <v>0.08119443046</v>
      </c>
      <c r="H32" s="14">
        <f t="shared" si="5"/>
        <v>0.05787619527</v>
      </c>
    </row>
    <row r="33" ht="15.75" hidden="1" customHeight="1">
      <c r="A33" s="20" t="s">
        <v>9</v>
      </c>
      <c r="B33" s="11" t="s">
        <v>23</v>
      </c>
      <c r="C33" s="15"/>
      <c r="D33" s="16" t="s">
        <v>17</v>
      </c>
      <c r="E33" s="17">
        <v>1.0</v>
      </c>
      <c r="F33" s="18">
        <f>E33* 0.860929374266063</f>
        <v>0.8609293743</v>
      </c>
      <c r="G33" s="18">
        <f>E33* 0.0811944304646871</f>
        <v>0.08119443046</v>
      </c>
      <c r="H33" s="18">
        <f>E33* 0.0578761952692501</f>
        <v>0.05787619527</v>
      </c>
    </row>
    <row r="34" ht="15.75" hidden="1" customHeight="1">
      <c r="A34" s="20" t="s">
        <v>9</v>
      </c>
      <c r="B34" s="16"/>
      <c r="C34" s="21"/>
      <c r="E34" s="19"/>
    </row>
    <row r="35" ht="15.75" hidden="1" customHeight="1">
      <c r="A35" s="20" t="s">
        <v>9</v>
      </c>
      <c r="B35" s="42" t="s">
        <v>24</v>
      </c>
      <c r="C35" s="12" t="str">
        <f>B35&amp;"_"&amp;A35</f>
        <v>Incahuasi_Chuquisaca</v>
      </c>
      <c r="E35" s="43">
        <v>15.0</v>
      </c>
      <c r="F35" s="14">
        <f t="shared" ref="F35:H35" si="6">SUM(F36:F38)</f>
        <v>3.379946205</v>
      </c>
      <c r="G35" s="14">
        <f t="shared" si="6"/>
        <v>11.43150514</v>
      </c>
      <c r="H35" s="14">
        <f t="shared" si="6"/>
        <v>0.1864172181</v>
      </c>
    </row>
    <row r="36" ht="15.75" hidden="1" customHeight="1">
      <c r="A36" s="20" t="s">
        <v>9</v>
      </c>
      <c r="B36" s="11" t="s">
        <v>24</v>
      </c>
      <c r="C36" s="15"/>
      <c r="D36" s="16" t="s">
        <v>11</v>
      </c>
      <c r="E36" s="17">
        <v>12.0</v>
      </c>
      <c r="F36" s="18">
        <f>E36* 0.0664298401420959</f>
        <v>0.7971580817</v>
      </c>
      <c r="G36" s="18">
        <f>E36* 0.932326820603908</f>
        <v>11.18792185</v>
      </c>
      <c r="H36" s="18">
        <f>E36* 0.00106571936056838</f>
        <v>0.01278863233</v>
      </c>
    </row>
    <row r="37" ht="15.75" hidden="1" customHeight="1">
      <c r="A37" s="20" t="s">
        <v>9</v>
      </c>
      <c r="B37" s="11" t="s">
        <v>24</v>
      </c>
      <c r="C37" s="15"/>
      <c r="D37" s="16" t="s">
        <v>17</v>
      </c>
      <c r="E37" s="17">
        <v>3.0</v>
      </c>
      <c r="F37" s="18">
        <f>E37* 0.860929374266063</f>
        <v>2.582788123</v>
      </c>
      <c r="G37" s="18">
        <f>E37* 0.0811944304646871</f>
        <v>0.2435832914</v>
      </c>
      <c r="H37" s="18">
        <f>E37* 0.0578761952692501</f>
        <v>0.1736285858</v>
      </c>
    </row>
    <row r="38" ht="15.75" hidden="1" customHeight="1">
      <c r="A38" s="20" t="s">
        <v>9</v>
      </c>
      <c r="B38" s="11" t="s">
        <v>24</v>
      </c>
      <c r="C38" s="15"/>
      <c r="D38" s="16" t="s">
        <v>12</v>
      </c>
      <c r="E38" s="19"/>
      <c r="F38" s="18">
        <f>E38* 0.889957698325317</f>
        <v>0</v>
      </c>
      <c r="G38" s="18">
        <f>E38* 0.0573100770701744</f>
        <v>0</v>
      </c>
      <c r="H38" s="18">
        <f>E38* 0.0526742771049429</f>
        <v>0</v>
      </c>
    </row>
    <row r="39" ht="15.75" hidden="1" customHeight="1">
      <c r="A39" s="20" t="s">
        <v>9</v>
      </c>
      <c r="B39" s="9"/>
      <c r="C39" s="8"/>
      <c r="E39" s="19"/>
    </row>
    <row r="40" ht="15.75" hidden="1" customHeight="1">
      <c r="A40" s="20" t="s">
        <v>9</v>
      </c>
      <c r="B40" s="42" t="s">
        <v>25</v>
      </c>
      <c r="C40" s="12" t="str">
        <f>B40&amp;"_"&amp;A40</f>
        <v>Las Carreras_Chuquisaca</v>
      </c>
      <c r="E40" s="43">
        <v>7.0</v>
      </c>
      <c r="F40" s="14">
        <f t="shared" ref="F40:H40" si="7">SUM(F41:F43)</f>
        <v>2.054007949</v>
      </c>
      <c r="G40" s="14">
        <f t="shared" si="7"/>
        <v>4.824022964</v>
      </c>
      <c r="H40" s="14">
        <f t="shared" si="7"/>
        <v>0.1210809873</v>
      </c>
    </row>
    <row r="41" ht="15.75" hidden="1" customHeight="1">
      <c r="A41" s="20" t="s">
        <v>9</v>
      </c>
      <c r="B41" s="11" t="s">
        <v>25</v>
      </c>
      <c r="C41" s="15"/>
      <c r="D41" s="16" t="s">
        <v>15</v>
      </c>
      <c r="E41" s="19"/>
      <c r="F41" s="18">
        <f>E41* 0.962408869987849</f>
        <v>0</v>
      </c>
      <c r="G41" s="18">
        <f>E41* 0.00425273390036452</f>
        <v>0</v>
      </c>
      <c r="H41" s="18">
        <f>E41* 0.0333383961117862</f>
        <v>0</v>
      </c>
    </row>
    <row r="42" ht="15.75" hidden="1" customHeight="1">
      <c r="A42" s="20" t="s">
        <v>9</v>
      </c>
      <c r="B42" s="11" t="s">
        <v>25</v>
      </c>
      <c r="C42" s="15"/>
      <c r="D42" s="16" t="s">
        <v>11</v>
      </c>
      <c r="E42" s="17">
        <v>5.0</v>
      </c>
      <c r="F42" s="18">
        <f>E42* 0.0664298401420959</f>
        <v>0.3321492007</v>
      </c>
      <c r="G42" s="18">
        <f>E42* 0.932326820603908</f>
        <v>4.661634103</v>
      </c>
      <c r="H42" s="18">
        <f>E42* 0.00106571936056838</f>
        <v>0.005328596803</v>
      </c>
    </row>
    <row r="43" ht="15.75" hidden="1" customHeight="1">
      <c r="A43" s="20" t="s">
        <v>9</v>
      </c>
      <c r="B43" s="11" t="s">
        <v>25</v>
      </c>
      <c r="C43" s="15"/>
      <c r="D43" s="16" t="s">
        <v>17</v>
      </c>
      <c r="E43" s="17">
        <v>2.0</v>
      </c>
      <c r="F43" s="18">
        <f>E43* 0.860929374266063</f>
        <v>1.721858749</v>
      </c>
      <c r="G43" s="18">
        <f>E43* 0.0811944304646871</f>
        <v>0.1623888609</v>
      </c>
      <c r="H43" s="18">
        <f>E43* 0.0578761952692501</f>
        <v>0.1157523905</v>
      </c>
    </row>
    <row r="44" ht="15.75" hidden="1" customHeight="1">
      <c r="A44" s="20" t="s">
        <v>9</v>
      </c>
      <c r="B44" s="9"/>
      <c r="C44" s="8"/>
      <c r="E44" s="19"/>
    </row>
    <row r="45" ht="15.75" hidden="1" customHeight="1">
      <c r="A45" s="20" t="s">
        <v>9</v>
      </c>
      <c r="B45" s="42" t="s">
        <v>26</v>
      </c>
      <c r="C45" s="12" t="str">
        <f>B45&amp;"_"&amp;A45</f>
        <v>Macharetí_Chuquisaca</v>
      </c>
      <c r="E45" s="43">
        <v>7.0</v>
      </c>
      <c r="F45" s="14">
        <f t="shared" ref="F45:H45" si="8">SUM(F46:F49)</f>
        <v>4.644386032</v>
      </c>
      <c r="G45" s="14">
        <f t="shared" si="8"/>
        <v>2.172210018</v>
      </c>
      <c r="H45" s="14">
        <f t="shared" si="8"/>
        <v>0.1829907628</v>
      </c>
    </row>
    <row r="46" ht="15.75" hidden="1" customHeight="1">
      <c r="A46" s="20" t="s">
        <v>9</v>
      </c>
      <c r="B46" s="11" t="s">
        <v>26</v>
      </c>
      <c r="C46" s="15"/>
      <c r="D46" s="16" t="s">
        <v>11</v>
      </c>
      <c r="E46" s="17">
        <v>2.0</v>
      </c>
      <c r="F46" s="18">
        <f>E46* 0.0664298401420959</f>
        <v>0.1328596803</v>
      </c>
      <c r="G46" s="18">
        <f>E46* 0.932326820603908</f>
        <v>1.864653641</v>
      </c>
      <c r="H46" s="18">
        <f>E46* 0.00106571936056838</f>
        <v>0.002131438721</v>
      </c>
    </row>
    <row r="47" ht="15.75" hidden="1" customHeight="1">
      <c r="A47" s="20" t="s">
        <v>9</v>
      </c>
      <c r="B47" s="11" t="s">
        <v>26</v>
      </c>
      <c r="C47" s="15"/>
      <c r="D47" s="16" t="s">
        <v>17</v>
      </c>
      <c r="E47" s="17">
        <v>2.0</v>
      </c>
      <c r="F47" s="18">
        <f>E47* 0.860929374266063</f>
        <v>1.721858749</v>
      </c>
      <c r="G47" s="18">
        <f>E47* 0.0811944304646871</f>
        <v>0.1623888609</v>
      </c>
      <c r="H47" s="18">
        <f>E47* 0.0578761952692501</f>
        <v>0.1157523905</v>
      </c>
    </row>
    <row r="48" ht="15.75" hidden="1" customHeight="1">
      <c r="A48" s="20" t="s">
        <v>9</v>
      </c>
      <c r="B48" s="11" t="s">
        <v>26</v>
      </c>
      <c r="C48" s="15"/>
      <c r="D48" s="16" t="s">
        <v>18</v>
      </c>
      <c r="E48" s="17">
        <v>2.0</v>
      </c>
      <c r="F48" s="18">
        <f>E48* 0.949854952341484</f>
        <v>1.899709905</v>
      </c>
      <c r="G48" s="18">
        <f>E48* 0.0439287194363862</f>
        <v>0.08785743887</v>
      </c>
      <c r="H48" s="18">
        <f>E48* 0.00621632822213013</f>
        <v>0.01243265644</v>
      </c>
    </row>
    <row r="49" ht="15.75" hidden="1" customHeight="1">
      <c r="A49" s="20" t="s">
        <v>9</v>
      </c>
      <c r="B49" s="11" t="s">
        <v>26</v>
      </c>
      <c r="C49" s="15"/>
      <c r="D49" s="16" t="s">
        <v>12</v>
      </c>
      <c r="E49" s="17">
        <v>1.0</v>
      </c>
      <c r="F49" s="18">
        <f>E49* 0.889957698325317</f>
        <v>0.8899576983</v>
      </c>
      <c r="G49" s="18">
        <f>E49* 0.0573100770701744</f>
        <v>0.05731007707</v>
      </c>
      <c r="H49" s="18">
        <f>E49* 0.0526742771049429</f>
        <v>0.0526742771</v>
      </c>
    </row>
    <row r="50" ht="15.75" hidden="1" customHeight="1">
      <c r="A50" s="20" t="s">
        <v>9</v>
      </c>
      <c r="B50" s="9"/>
      <c r="C50" s="8"/>
      <c r="E50" s="19"/>
    </row>
    <row r="51" ht="15.75" hidden="1" customHeight="1">
      <c r="A51" s="20" t="s">
        <v>9</v>
      </c>
      <c r="B51" s="42" t="s">
        <v>27</v>
      </c>
      <c r="C51" s="12" t="str">
        <f>B51&amp;"_"&amp;A51</f>
        <v>Padilla_Chuquisaca</v>
      </c>
      <c r="E51" s="43">
        <v>246.0</v>
      </c>
      <c r="F51" s="14">
        <f t="shared" ref="F51:H51" si="9">SUM(F52:F60)</f>
        <v>184.564409</v>
      </c>
      <c r="G51" s="14">
        <f t="shared" si="9"/>
        <v>55.65869664</v>
      </c>
      <c r="H51" s="14">
        <f t="shared" si="9"/>
        <v>5.767413688</v>
      </c>
    </row>
    <row r="52" ht="15.75" hidden="1" customHeight="1">
      <c r="A52" s="20" t="s">
        <v>9</v>
      </c>
      <c r="B52" s="11" t="s">
        <v>27</v>
      </c>
      <c r="C52" s="15"/>
      <c r="D52" s="16" t="s">
        <v>15</v>
      </c>
      <c r="E52" s="17">
        <v>4.0</v>
      </c>
      <c r="F52" s="18">
        <f>E52* 0.962408869987849</f>
        <v>3.84963548</v>
      </c>
      <c r="G52" s="18">
        <f>E52* 0.00425273390036452</f>
        <v>0.0170109356</v>
      </c>
      <c r="H52" s="18">
        <f>E52* 0.0333383961117862</f>
        <v>0.1333535844</v>
      </c>
    </row>
    <row r="53" ht="15.75" hidden="1" customHeight="1">
      <c r="A53" s="20" t="s">
        <v>9</v>
      </c>
      <c r="B53" s="11" t="s">
        <v>27</v>
      </c>
      <c r="C53" s="15"/>
      <c r="D53" s="16" t="s">
        <v>11</v>
      </c>
      <c r="E53" s="17">
        <v>40.0</v>
      </c>
      <c r="F53" s="18">
        <f>E53* 0.0664298401420959</f>
        <v>2.657193606</v>
      </c>
      <c r="G53" s="18">
        <f>E53* 0.932326820603908</f>
        <v>37.29307282</v>
      </c>
      <c r="H53" s="18">
        <f>E53* 0.00106571936056838</f>
        <v>0.04262877442</v>
      </c>
    </row>
    <row r="54" ht="15.75" hidden="1" customHeight="1">
      <c r="A54" s="20" t="s">
        <v>9</v>
      </c>
      <c r="B54" s="11" t="s">
        <v>27</v>
      </c>
      <c r="C54" s="15"/>
      <c r="D54" s="16" t="s">
        <v>17</v>
      </c>
      <c r="E54" s="17">
        <v>41.0</v>
      </c>
      <c r="F54" s="18">
        <f>E54* 0.860929374266063</f>
        <v>35.29810434</v>
      </c>
      <c r="G54" s="18">
        <f>E54* 0.0811944304646871</f>
        <v>3.328971649</v>
      </c>
      <c r="H54" s="18">
        <f>E54* 0.0578761952692501</f>
        <v>2.372924006</v>
      </c>
    </row>
    <row r="55" ht="15.75" hidden="1" customHeight="1">
      <c r="A55" s="20" t="s">
        <v>9</v>
      </c>
      <c r="B55" s="11" t="s">
        <v>27</v>
      </c>
      <c r="C55" s="15"/>
      <c r="D55" s="16" t="s">
        <v>18</v>
      </c>
      <c r="E55" s="17">
        <v>6.0</v>
      </c>
      <c r="F55" s="18">
        <f>E55* 0.949854952341484</f>
        <v>5.699129714</v>
      </c>
      <c r="G55" s="18">
        <f>E55* 0.0439287194363862</f>
        <v>0.2635723166</v>
      </c>
      <c r="H55" s="18">
        <f>E55* 0.00621632822213013</f>
        <v>0.03729796933</v>
      </c>
    </row>
    <row r="56" ht="15.75" hidden="1" customHeight="1">
      <c r="A56" s="20" t="s">
        <v>9</v>
      </c>
      <c r="B56" s="11" t="s">
        <v>27</v>
      </c>
      <c r="C56" s="15"/>
      <c r="D56" s="16" t="s">
        <v>19</v>
      </c>
      <c r="E56" s="17">
        <v>1.0</v>
      </c>
      <c r="F56" s="18">
        <f>E56* 0.0187085093542547</f>
        <v>0.01870850935</v>
      </c>
      <c r="G56" s="18">
        <f>E56* 0.978877489438745</f>
        <v>0.9788774894</v>
      </c>
      <c r="H56" s="18">
        <f>E56* 0.0024140012070006</f>
        <v>0.002414001207</v>
      </c>
    </row>
    <row r="57" ht="15.75" hidden="1" customHeight="1">
      <c r="A57" s="20" t="s">
        <v>9</v>
      </c>
      <c r="B57" s="11" t="s">
        <v>27</v>
      </c>
      <c r="C57" s="15"/>
      <c r="D57" s="16" t="s">
        <v>20</v>
      </c>
      <c r="E57" s="17">
        <v>19.0</v>
      </c>
      <c r="F57" s="18">
        <f>E57* 0.557228915662651</f>
        <v>10.5873494</v>
      </c>
      <c r="G57" s="18">
        <f>E57* 0.390562248995984</f>
        <v>7.420682731</v>
      </c>
      <c r="H57" s="18">
        <f>E57* 0.0522088353413655</f>
        <v>0.9919678715</v>
      </c>
    </row>
    <row r="58" ht="15.75" hidden="1" customHeight="1">
      <c r="A58" s="20" t="s">
        <v>9</v>
      </c>
      <c r="B58" s="11" t="s">
        <v>27</v>
      </c>
      <c r="C58" s="15"/>
      <c r="D58" s="16" t="s">
        <v>21</v>
      </c>
      <c r="E58" s="17">
        <v>90.0</v>
      </c>
      <c r="F58" s="18">
        <f>E58* 0.999622470552703</f>
        <v>89.96602235</v>
      </c>
      <c r="G58" s="18">
        <f>E58* 0.0000755058894593778</f>
        <v>0.006795530051</v>
      </c>
      <c r="H58" s="18">
        <f>E58* 0.000302023557837511</f>
        <v>0.02718212021</v>
      </c>
    </row>
    <row r="59" ht="15.75" hidden="1" customHeight="1">
      <c r="A59" s="20" t="s">
        <v>9</v>
      </c>
      <c r="B59" s="11" t="s">
        <v>27</v>
      </c>
      <c r="C59" s="15"/>
      <c r="D59" s="16" t="s">
        <v>28</v>
      </c>
      <c r="E59" s="17">
        <v>4.0</v>
      </c>
      <c r="F59" s="20">
        <v>0.0</v>
      </c>
      <c r="G59" s="20">
        <f>E59</f>
        <v>4</v>
      </c>
      <c r="H59" s="20">
        <v>0.0</v>
      </c>
    </row>
    <row r="60" ht="15.75" hidden="1" customHeight="1">
      <c r="A60" s="20" t="s">
        <v>9</v>
      </c>
      <c r="B60" s="11" t="s">
        <v>27</v>
      </c>
      <c r="C60" s="15"/>
      <c r="D60" s="16" t="s">
        <v>12</v>
      </c>
      <c r="E60" s="17">
        <v>41.0</v>
      </c>
      <c r="F60" s="18">
        <f>E60* 0.889957698325317</f>
        <v>36.48826563</v>
      </c>
      <c r="G60" s="18">
        <f>E60* 0.0573100770701744</f>
        <v>2.34971316</v>
      </c>
      <c r="H60" s="18">
        <f>E60* 0.0526742771049429</f>
        <v>2.159645361</v>
      </c>
    </row>
    <row r="61" ht="15.75" hidden="1" customHeight="1">
      <c r="A61" s="20" t="s">
        <v>9</v>
      </c>
      <c r="B61" s="9"/>
      <c r="C61" s="8"/>
      <c r="E61" s="19"/>
    </row>
    <row r="62" ht="15.75" hidden="1" customHeight="1">
      <c r="A62" s="20" t="s">
        <v>9</v>
      </c>
      <c r="B62" s="42" t="s">
        <v>29</v>
      </c>
      <c r="C62" s="12" t="str">
        <f>B62&amp;"_"&amp;A62</f>
        <v>Poroma_Chuquisaca</v>
      </c>
      <c r="E62" s="43">
        <v>2.0</v>
      </c>
      <c r="F62" s="14">
        <f t="shared" ref="F62:H62" si="10">SUM(F63:F64)</f>
        <v>0.9563875385</v>
      </c>
      <c r="G62" s="14">
        <f t="shared" si="10"/>
        <v>0.9896368977</v>
      </c>
      <c r="H62" s="14">
        <f t="shared" si="10"/>
        <v>0.05373999647</v>
      </c>
    </row>
    <row r="63" ht="15.75" hidden="1" customHeight="1">
      <c r="A63" s="20" t="s">
        <v>9</v>
      </c>
      <c r="B63" s="11" t="s">
        <v>29</v>
      </c>
      <c r="C63" s="15"/>
      <c r="D63" s="16" t="s">
        <v>11</v>
      </c>
      <c r="E63" s="17">
        <v>1.0</v>
      </c>
      <c r="F63" s="18">
        <f>E63* 0.0664298401420959</f>
        <v>0.06642984014</v>
      </c>
      <c r="G63" s="18">
        <f>E63* 0.932326820603908</f>
        <v>0.9323268206</v>
      </c>
      <c r="H63" s="18">
        <f>E63* 0.00106571936056838</f>
        <v>0.001065719361</v>
      </c>
    </row>
    <row r="64" ht="15.75" hidden="1" customHeight="1">
      <c r="A64" s="20" t="s">
        <v>9</v>
      </c>
      <c r="B64" s="11" t="s">
        <v>29</v>
      </c>
      <c r="C64" s="15"/>
      <c r="D64" s="16" t="s">
        <v>12</v>
      </c>
      <c r="E64" s="17">
        <v>1.0</v>
      </c>
      <c r="F64" s="18">
        <f>E64* 0.889957698325317</f>
        <v>0.8899576983</v>
      </c>
      <c r="G64" s="18">
        <f>E64* 0.0573100770701744</f>
        <v>0.05731007707</v>
      </c>
      <c r="H64" s="18">
        <f>E64* 0.0526742771049429</f>
        <v>0.0526742771</v>
      </c>
    </row>
    <row r="65" ht="15.75" hidden="1" customHeight="1">
      <c r="A65" s="20" t="s">
        <v>9</v>
      </c>
      <c r="B65" s="9"/>
      <c r="C65" s="8"/>
      <c r="E65" s="19"/>
    </row>
    <row r="66" ht="15.75" hidden="1" customHeight="1">
      <c r="A66" s="20" t="s">
        <v>9</v>
      </c>
      <c r="B66" s="42" t="s">
        <v>30</v>
      </c>
      <c r="C66" s="12" t="str">
        <f>B66&amp;"_"&amp;A66</f>
        <v>San Lucas_Chuquisaca</v>
      </c>
      <c r="E66" s="43">
        <v>121.0</v>
      </c>
      <c r="F66" s="14">
        <f t="shared" ref="F66:H66" si="11">SUM(F67:F77)</f>
        <v>90.78648033</v>
      </c>
      <c r="G66" s="14">
        <f t="shared" si="11"/>
        <v>24.77249349</v>
      </c>
      <c r="H66" s="14">
        <f t="shared" si="11"/>
        <v>5.436827522</v>
      </c>
    </row>
    <row r="67" ht="15.75" hidden="1" customHeight="1">
      <c r="A67" s="20" t="s">
        <v>9</v>
      </c>
      <c r="B67" s="11" t="s">
        <v>30</v>
      </c>
      <c r="C67" s="15"/>
      <c r="D67" s="16" t="s">
        <v>288</v>
      </c>
      <c r="E67" s="17">
        <v>0.0</v>
      </c>
      <c r="F67" s="20">
        <v>0.0</v>
      </c>
      <c r="G67" s="20">
        <f>E67</f>
        <v>0</v>
      </c>
      <c r="H67" s="20">
        <v>0.0</v>
      </c>
    </row>
    <row r="68" ht="15.75" hidden="1" customHeight="1">
      <c r="A68" s="20" t="s">
        <v>9</v>
      </c>
      <c r="B68" s="11" t="s">
        <v>30</v>
      </c>
      <c r="C68" s="15"/>
      <c r="D68" s="16" t="s">
        <v>15</v>
      </c>
      <c r="E68" s="44">
        <v>1.0</v>
      </c>
      <c r="F68" s="18">
        <f>E68* 0.962408869987849</f>
        <v>0.96240887</v>
      </c>
      <c r="G68" s="18">
        <f>E68* 0.00425273390036452</f>
        <v>0.0042527339</v>
      </c>
      <c r="H68" s="18">
        <f>E68* 0.0333383961117862</f>
        <v>0.03333839611</v>
      </c>
    </row>
    <row r="69" ht="15.75" hidden="1" customHeight="1">
      <c r="A69" s="20" t="s">
        <v>9</v>
      </c>
      <c r="B69" s="11" t="s">
        <v>30</v>
      </c>
      <c r="C69" s="15"/>
      <c r="D69" s="16" t="s">
        <v>11</v>
      </c>
      <c r="E69" s="17">
        <v>7.0</v>
      </c>
      <c r="F69" s="18">
        <f>E69* 0.0664298401420959</f>
        <v>0.465008881</v>
      </c>
      <c r="G69" s="18">
        <f>E69* 0.932326820603908</f>
        <v>6.526287744</v>
      </c>
      <c r="H69" s="18">
        <f>E69* 0.00106571936056838</f>
        <v>0.007460035524</v>
      </c>
    </row>
    <row r="70" ht="15.75" hidden="1" customHeight="1">
      <c r="A70" s="20" t="s">
        <v>9</v>
      </c>
      <c r="B70" s="11" t="s">
        <v>30</v>
      </c>
      <c r="C70" s="15"/>
      <c r="D70" s="16" t="s">
        <v>17</v>
      </c>
      <c r="E70" s="17">
        <v>18.0</v>
      </c>
      <c r="F70" s="18">
        <f>E70* 0.860929374266063</f>
        <v>15.49672874</v>
      </c>
      <c r="G70" s="18">
        <f>E70* 0.0811944304646871</f>
        <v>1.461499748</v>
      </c>
      <c r="H70" s="18">
        <f>E70* 0.0578761952692501</f>
        <v>1.041771515</v>
      </c>
    </row>
    <row r="71" ht="15.75" hidden="1" customHeight="1">
      <c r="A71" s="20" t="s">
        <v>9</v>
      </c>
      <c r="B71" s="11" t="s">
        <v>30</v>
      </c>
      <c r="C71" s="15"/>
      <c r="D71" s="16" t="s">
        <v>31</v>
      </c>
      <c r="E71" s="17">
        <v>4.0</v>
      </c>
      <c r="F71" s="18">
        <f>E71* 0.935483870967742</f>
        <v>3.741935484</v>
      </c>
      <c r="G71" s="18">
        <f>E71* 0.0403225806451613</f>
        <v>0.1612903226</v>
      </c>
      <c r="H71" s="18">
        <f>E71* 0.0241935483870968</f>
        <v>0.09677419355</v>
      </c>
    </row>
    <row r="72" ht="15.75" hidden="1" customHeight="1">
      <c r="A72" s="20" t="s">
        <v>9</v>
      </c>
      <c r="B72" s="11" t="s">
        <v>30</v>
      </c>
      <c r="C72" s="15"/>
      <c r="D72" s="16" t="s">
        <v>18</v>
      </c>
      <c r="E72" s="30"/>
      <c r="F72" s="18">
        <f>E72* 0.949854952341484</f>
        <v>0</v>
      </c>
      <c r="G72" s="18">
        <f>E72* 0.0439287194363862</f>
        <v>0</v>
      </c>
      <c r="H72" s="18">
        <f>E72* 0.00621632822213013</f>
        <v>0</v>
      </c>
    </row>
    <row r="73" ht="15.75" hidden="1" customHeight="1">
      <c r="A73" s="20" t="s">
        <v>9</v>
      </c>
      <c r="B73" s="11" t="s">
        <v>30</v>
      </c>
      <c r="C73" s="15"/>
      <c r="D73" s="16" t="s">
        <v>19</v>
      </c>
      <c r="E73" s="17">
        <v>1.0</v>
      </c>
      <c r="F73" s="18">
        <f>E73* 0.0187085093542547</f>
        <v>0.01870850935</v>
      </c>
      <c r="G73" s="18">
        <f>E73* 0.978877489438745</f>
        <v>0.9788774894</v>
      </c>
      <c r="H73" s="18">
        <f>E73* 0.0024140012070006</f>
        <v>0.002414001207</v>
      </c>
    </row>
    <row r="74" ht="15.75" hidden="1" customHeight="1">
      <c r="A74" s="20" t="s">
        <v>9</v>
      </c>
      <c r="B74" s="11" t="s">
        <v>30</v>
      </c>
      <c r="C74" s="15"/>
      <c r="D74" s="16" t="s">
        <v>20</v>
      </c>
      <c r="E74" s="17">
        <v>30.0</v>
      </c>
      <c r="F74" s="18">
        <f>E74* 0.557228915662651</f>
        <v>16.71686747</v>
      </c>
      <c r="G74" s="18">
        <f>E74* 0.390562248995984</f>
        <v>11.71686747</v>
      </c>
      <c r="H74" s="18">
        <f>E74* 0.0522088353413655</f>
        <v>1.56626506</v>
      </c>
    </row>
    <row r="75" ht="15.75" hidden="1" customHeight="1">
      <c r="A75" s="20" t="s">
        <v>9</v>
      </c>
      <c r="B75" s="11" t="s">
        <v>30</v>
      </c>
      <c r="C75" s="15"/>
      <c r="D75" s="16" t="s">
        <v>21</v>
      </c>
      <c r="E75" s="17">
        <v>8.0</v>
      </c>
      <c r="F75" s="18">
        <f>E75* 0.999622470552703</f>
        <v>7.996979764</v>
      </c>
      <c r="G75" s="18">
        <f>E75* 0.0000755058894593778</f>
        <v>0.0006040471157</v>
      </c>
      <c r="H75" s="18">
        <f>E75* 0.000302023557837511</f>
        <v>0.002416188463</v>
      </c>
    </row>
    <row r="76" ht="15.75" hidden="1" customHeight="1">
      <c r="A76" s="20" t="s">
        <v>9</v>
      </c>
      <c r="B76" s="11" t="s">
        <v>30</v>
      </c>
      <c r="C76" s="15"/>
      <c r="D76" s="16" t="s">
        <v>28</v>
      </c>
      <c r="E76" s="17">
        <v>1.0</v>
      </c>
      <c r="F76" s="20">
        <v>0.0</v>
      </c>
      <c r="G76" s="20">
        <f>E76</f>
        <v>1</v>
      </c>
      <c r="H76" s="20">
        <v>0.0</v>
      </c>
    </row>
    <row r="77" ht="15.75" hidden="1" customHeight="1">
      <c r="A77" s="20" t="s">
        <v>9</v>
      </c>
      <c r="B77" s="11" t="s">
        <v>30</v>
      </c>
      <c r="C77" s="15"/>
      <c r="D77" s="16" t="s">
        <v>12</v>
      </c>
      <c r="E77" s="17">
        <v>51.0</v>
      </c>
      <c r="F77" s="18">
        <f>E77* 0.889957698325317</f>
        <v>45.38784261</v>
      </c>
      <c r="G77" s="18">
        <f>E77* 0.0573100770701744</f>
        <v>2.922813931</v>
      </c>
      <c r="H77" s="18">
        <f>E77* 0.0526742771049429</f>
        <v>2.686388132</v>
      </c>
    </row>
    <row r="78" ht="15.75" hidden="1" customHeight="1">
      <c r="A78" s="20" t="s">
        <v>9</v>
      </c>
      <c r="B78" s="9"/>
      <c r="C78" s="8"/>
      <c r="E78" s="19"/>
    </row>
    <row r="79" ht="15.75" hidden="1" customHeight="1">
      <c r="A79" s="20" t="s">
        <v>9</v>
      </c>
      <c r="B79" s="42" t="s">
        <v>32</v>
      </c>
      <c r="C79" s="12" t="str">
        <f>B79&amp;"_"&amp;A79</f>
        <v>San Pablo de Huacareta_Chuquisaca</v>
      </c>
      <c r="E79" s="43">
        <v>4.0</v>
      </c>
      <c r="F79" s="14">
        <f t="shared" ref="F79:H79" si="12">SUM(F80:F83)</f>
        <v>3.621568653</v>
      </c>
      <c r="G79" s="14">
        <f t="shared" si="12"/>
        <v>0.2502462998</v>
      </c>
      <c r="H79" s="14">
        <f t="shared" si="12"/>
        <v>0.128185047</v>
      </c>
    </row>
    <row r="80" ht="15.75" hidden="1" customHeight="1">
      <c r="A80" s="20" t="s">
        <v>9</v>
      </c>
      <c r="B80" s="11" t="s">
        <v>32</v>
      </c>
      <c r="C80" s="15"/>
      <c r="D80" s="16" t="s">
        <v>11</v>
      </c>
      <c r="E80" s="19"/>
      <c r="F80" s="18">
        <f>E80* 0.0664298401420959</f>
        <v>0</v>
      </c>
      <c r="G80" s="18">
        <f>E80* 0.932326820603908</f>
        <v>0</v>
      </c>
      <c r="H80" s="18">
        <f>E80* 0.00106571936056838</f>
        <v>0</v>
      </c>
    </row>
    <row r="81" ht="15.75" hidden="1" customHeight="1">
      <c r="A81" s="20" t="s">
        <v>9</v>
      </c>
      <c r="B81" s="11" t="s">
        <v>32</v>
      </c>
      <c r="C81" s="15"/>
      <c r="D81" s="16" t="s">
        <v>17</v>
      </c>
      <c r="E81" s="17">
        <v>2.0</v>
      </c>
      <c r="F81" s="18">
        <f>E81* 0.860929374266063</f>
        <v>1.721858749</v>
      </c>
      <c r="G81" s="18">
        <f>E81* 0.0811944304646871</f>
        <v>0.1623888609</v>
      </c>
      <c r="H81" s="18">
        <f>E81* 0.0578761952692501</f>
        <v>0.1157523905</v>
      </c>
    </row>
    <row r="82" ht="15.75" hidden="1" customHeight="1">
      <c r="A82" s="20" t="s">
        <v>9</v>
      </c>
      <c r="B82" s="11" t="s">
        <v>32</v>
      </c>
      <c r="C82" s="15"/>
      <c r="D82" s="16" t="s">
        <v>18</v>
      </c>
      <c r="E82" s="17">
        <v>2.0</v>
      </c>
      <c r="F82" s="18">
        <f>E82* 0.949854952341484</f>
        <v>1.899709905</v>
      </c>
      <c r="G82" s="18">
        <f>E82* 0.0439287194363862</f>
        <v>0.08785743887</v>
      </c>
      <c r="H82" s="18">
        <f>E82* 0.00621632822213013</f>
        <v>0.01243265644</v>
      </c>
    </row>
    <row r="83" ht="15.75" hidden="1" customHeight="1">
      <c r="A83" s="20" t="s">
        <v>9</v>
      </c>
      <c r="B83" s="11" t="s">
        <v>32</v>
      </c>
      <c r="C83" s="15"/>
      <c r="D83" s="16" t="s">
        <v>12</v>
      </c>
      <c r="E83" s="19"/>
      <c r="F83" s="18">
        <f>E83* 0.889957698325317</f>
        <v>0</v>
      </c>
      <c r="G83" s="18">
        <f>E83* 0.0573100770701744</f>
        <v>0</v>
      </c>
      <c r="H83" s="18">
        <f>E83* 0.0526742771049429</f>
        <v>0</v>
      </c>
    </row>
    <row r="84" ht="15.75" hidden="1" customHeight="1">
      <c r="A84" s="20" t="s">
        <v>9</v>
      </c>
      <c r="B84" s="9"/>
      <c r="C84" s="8"/>
      <c r="E84" s="19"/>
    </row>
    <row r="85" ht="15.75" hidden="1" customHeight="1">
      <c r="A85" s="20" t="s">
        <v>9</v>
      </c>
      <c r="B85" s="42" t="s">
        <v>33</v>
      </c>
      <c r="C85" s="12" t="str">
        <f>B85&amp;"_"&amp;A85</f>
        <v>Sopachuy_Chuquisaca</v>
      </c>
      <c r="E85" s="43">
        <v>117.0</v>
      </c>
      <c r="F85" s="14">
        <f t="shared" ref="F85:H85" si="13">SUM(F86:F94)</f>
        <v>103.2816218</v>
      </c>
      <c r="G85" s="14">
        <f t="shared" si="13"/>
        <v>11.09499127</v>
      </c>
      <c r="H85" s="14">
        <f t="shared" si="13"/>
        <v>2.621513674</v>
      </c>
    </row>
    <row r="86" ht="15.75" hidden="1" customHeight="1">
      <c r="A86" s="20" t="s">
        <v>9</v>
      </c>
      <c r="B86" s="11" t="s">
        <v>33</v>
      </c>
      <c r="C86" s="15"/>
      <c r="D86" s="16" t="s">
        <v>15</v>
      </c>
      <c r="E86" s="17">
        <v>6.0</v>
      </c>
      <c r="F86" s="18">
        <f>E86* 0.962408869987849</f>
        <v>5.77445322</v>
      </c>
      <c r="G86" s="18">
        <f>E86* 0.00425273390036452</f>
        <v>0.0255164034</v>
      </c>
      <c r="H86" s="18">
        <f>E86* 0.0333383961117862</f>
        <v>0.2000303767</v>
      </c>
    </row>
    <row r="87" ht="15.75" hidden="1" customHeight="1">
      <c r="A87" s="20" t="s">
        <v>9</v>
      </c>
      <c r="B87" s="11" t="s">
        <v>33</v>
      </c>
      <c r="C87" s="15"/>
      <c r="D87" s="16" t="s">
        <v>286</v>
      </c>
      <c r="E87" s="17">
        <v>1.0</v>
      </c>
      <c r="F87" s="18">
        <f>E87* 0.03</f>
        <v>0.03</v>
      </c>
      <c r="G87" s="18">
        <f>E87* 0.97</f>
        <v>0.97</v>
      </c>
      <c r="H87" s="20">
        <v>0.0</v>
      </c>
    </row>
    <row r="88" ht="15.75" hidden="1" customHeight="1">
      <c r="A88" s="20" t="s">
        <v>9</v>
      </c>
      <c r="B88" s="11" t="s">
        <v>33</v>
      </c>
      <c r="C88" s="15"/>
      <c r="D88" s="16" t="s">
        <v>11</v>
      </c>
      <c r="E88" s="17">
        <v>5.0</v>
      </c>
      <c r="F88" s="18">
        <f>E88* 0.0664298401420959</f>
        <v>0.3321492007</v>
      </c>
      <c r="G88" s="18">
        <f>E88* 0.932326820603908</f>
        <v>4.661634103</v>
      </c>
      <c r="H88" s="18">
        <f>E88* 0.00106571936056838</f>
        <v>0.005328596803</v>
      </c>
    </row>
    <row r="89" ht="15.75" hidden="1" customHeight="1">
      <c r="A89" s="20" t="s">
        <v>9</v>
      </c>
      <c r="B89" s="11" t="s">
        <v>33</v>
      </c>
      <c r="C89" s="15"/>
      <c r="D89" s="16" t="s">
        <v>17</v>
      </c>
      <c r="E89" s="17">
        <v>22.0</v>
      </c>
      <c r="F89" s="18">
        <f>E89* 0.860929374266063</f>
        <v>18.94044623</v>
      </c>
      <c r="G89" s="18">
        <f>E89* 0.0811944304646871</f>
        <v>1.78627747</v>
      </c>
      <c r="H89" s="18">
        <f>E89* 0.0578761952692501</f>
        <v>1.273276296</v>
      </c>
    </row>
    <row r="90" ht="15.75" hidden="1" customHeight="1">
      <c r="A90" s="20" t="s">
        <v>9</v>
      </c>
      <c r="B90" s="11" t="s">
        <v>33</v>
      </c>
      <c r="C90" s="15"/>
      <c r="D90" s="16" t="s">
        <v>18</v>
      </c>
      <c r="E90" s="17">
        <v>3.0</v>
      </c>
      <c r="F90" s="18">
        <f>E90* 0.949854952341484</f>
        <v>2.849564857</v>
      </c>
      <c r="G90" s="18">
        <f>E90* 0.0439287194363862</f>
        <v>0.1317861583</v>
      </c>
      <c r="H90" s="18">
        <f>E90* 0.00621632822213013</f>
        <v>0.01864898467</v>
      </c>
    </row>
    <row r="91" ht="15.75" hidden="1" customHeight="1">
      <c r="A91" s="20" t="s">
        <v>9</v>
      </c>
      <c r="B91" s="11" t="s">
        <v>33</v>
      </c>
      <c r="C91" s="15"/>
      <c r="D91" s="16" t="s">
        <v>19</v>
      </c>
      <c r="E91" s="17">
        <v>1.0</v>
      </c>
      <c r="F91" s="18">
        <f>E91* 0.0187085093542547</f>
        <v>0.01870850935</v>
      </c>
      <c r="G91" s="18">
        <f>E91* 0.978877489438745</f>
        <v>0.9788774894</v>
      </c>
      <c r="H91" s="18">
        <f>E91* 0.0024140012070006</f>
        <v>0.002414001207</v>
      </c>
    </row>
    <row r="92" ht="15.75" hidden="1" customHeight="1">
      <c r="A92" s="20" t="s">
        <v>9</v>
      </c>
      <c r="B92" s="11" t="s">
        <v>33</v>
      </c>
      <c r="C92" s="15"/>
      <c r="D92" s="16" t="s">
        <v>20</v>
      </c>
      <c r="E92" s="17">
        <v>4.0</v>
      </c>
      <c r="F92" s="18">
        <f>E92* 0.557228915662651</f>
        <v>2.228915663</v>
      </c>
      <c r="G92" s="18">
        <f>E92* 0.390562248995984</f>
        <v>1.562248996</v>
      </c>
      <c r="H92" s="18">
        <f>E92* 0.0522088353413655</f>
        <v>0.2088353414</v>
      </c>
    </row>
    <row r="93" ht="15.75" hidden="1" customHeight="1">
      <c r="A93" s="20" t="s">
        <v>9</v>
      </c>
      <c r="B93" s="11" t="s">
        <v>33</v>
      </c>
      <c r="C93" s="15"/>
      <c r="D93" s="16" t="s">
        <v>21</v>
      </c>
      <c r="E93" s="17">
        <v>58.0</v>
      </c>
      <c r="F93" s="18">
        <f>E93* 0.999622470552703</f>
        <v>57.97810329</v>
      </c>
      <c r="G93" s="18">
        <f>E93* 0.0000755058894593778</f>
        <v>0.004379341589</v>
      </c>
      <c r="H93" s="18">
        <f>E93* 0.000302023557837511</f>
        <v>0.01751736635</v>
      </c>
    </row>
    <row r="94" ht="15.75" hidden="1" customHeight="1">
      <c r="A94" s="20" t="s">
        <v>9</v>
      </c>
      <c r="B94" s="11" t="s">
        <v>33</v>
      </c>
      <c r="C94" s="15"/>
      <c r="D94" s="16" t="s">
        <v>12</v>
      </c>
      <c r="E94" s="17">
        <v>17.0</v>
      </c>
      <c r="F94" s="18">
        <f>E94* 0.889957698325317</f>
        <v>15.12928087</v>
      </c>
      <c r="G94" s="18">
        <f>E94* 0.0573100770701744</f>
        <v>0.9742713102</v>
      </c>
      <c r="H94" s="18">
        <f>E94* 0.0526742771049429</f>
        <v>0.8954627108</v>
      </c>
    </row>
    <row r="95" ht="15.75" hidden="1" customHeight="1">
      <c r="A95" s="20" t="s">
        <v>9</v>
      </c>
      <c r="B95" s="9"/>
      <c r="C95" s="8"/>
      <c r="E95" s="19"/>
    </row>
    <row r="96" ht="15.75" hidden="1" customHeight="1">
      <c r="A96" s="20" t="s">
        <v>9</v>
      </c>
      <c r="B96" s="42" t="s">
        <v>34</v>
      </c>
      <c r="C96" s="12" t="str">
        <f>B96&amp;"_"&amp;A96</f>
        <v>Sucre_Chuquisaca</v>
      </c>
      <c r="E96" s="45">
        <v>90312.0</v>
      </c>
      <c r="F96" s="14">
        <f t="shared" ref="F96:H96" si="14">SUM(F97:F111)</f>
        <v>75895.70439</v>
      </c>
      <c r="G96" s="14">
        <f t="shared" si="14"/>
        <v>11955.81092</v>
      </c>
      <c r="H96" s="14">
        <f t="shared" si="14"/>
        <v>2458.088264</v>
      </c>
    </row>
    <row r="97" ht="15.75" hidden="1" customHeight="1">
      <c r="A97" s="20" t="s">
        <v>9</v>
      </c>
      <c r="B97" s="11" t="s">
        <v>34</v>
      </c>
      <c r="C97" s="15"/>
      <c r="D97" s="16" t="s">
        <v>288</v>
      </c>
      <c r="E97" s="17">
        <v>84.0</v>
      </c>
      <c r="F97" s="20">
        <v>0.0</v>
      </c>
      <c r="G97" s="20">
        <f>E97</f>
        <v>84</v>
      </c>
      <c r="H97" s="20">
        <v>0.0</v>
      </c>
    </row>
    <row r="98" ht="15.75" hidden="1" customHeight="1">
      <c r="A98" s="20" t="s">
        <v>9</v>
      </c>
      <c r="B98" s="11" t="s">
        <v>34</v>
      </c>
      <c r="C98" s="15"/>
      <c r="D98" s="16" t="s">
        <v>15</v>
      </c>
      <c r="E98" s="23">
        <v>18348.0</v>
      </c>
      <c r="F98" s="18">
        <f>E98* 0.962408869987849</f>
        <v>17658.27795</v>
      </c>
      <c r="G98" s="18">
        <f>E98* 0.00425273390036452</f>
        <v>78.0291616</v>
      </c>
      <c r="H98" s="18">
        <f>E98* 0.0333383961117862</f>
        <v>611.6928919</v>
      </c>
    </row>
    <row r="99" ht="15.75" hidden="1" customHeight="1">
      <c r="A99" s="20" t="s">
        <v>9</v>
      </c>
      <c r="B99" s="11" t="s">
        <v>34</v>
      </c>
      <c r="C99" s="15"/>
      <c r="D99" s="16" t="s">
        <v>286</v>
      </c>
      <c r="E99" s="17">
        <v>390.0</v>
      </c>
      <c r="F99" s="18">
        <f>E99* 0.03</f>
        <v>11.7</v>
      </c>
      <c r="G99" s="18">
        <f>E99* 0.97</f>
        <v>378.3</v>
      </c>
      <c r="H99" s="20">
        <v>0.0</v>
      </c>
    </row>
    <row r="100" ht="15.75" hidden="1" customHeight="1">
      <c r="A100" s="20" t="s">
        <v>9</v>
      </c>
      <c r="B100" s="11" t="s">
        <v>34</v>
      </c>
      <c r="C100" s="15"/>
      <c r="D100" s="16" t="s">
        <v>11</v>
      </c>
      <c r="E100" s="23">
        <v>5832.0</v>
      </c>
      <c r="F100" s="18">
        <f>E100* 0.0664298401420959</f>
        <v>387.4188277</v>
      </c>
      <c r="G100" s="18">
        <f>E100* 0.932326820603908</f>
        <v>5437.330018</v>
      </c>
      <c r="H100" s="18">
        <f>E100* 0.00106571936056838</f>
        <v>6.215275311</v>
      </c>
    </row>
    <row r="101" ht="15.75" hidden="1" customHeight="1">
      <c r="A101" s="20" t="s">
        <v>9</v>
      </c>
      <c r="B101" s="11" t="s">
        <v>34</v>
      </c>
      <c r="C101" s="15"/>
      <c r="D101" s="16" t="s">
        <v>17</v>
      </c>
      <c r="E101" s="23">
        <v>8467.0</v>
      </c>
      <c r="F101" s="18">
        <f>E101* 0.860929374266063</f>
        <v>7289.489012</v>
      </c>
      <c r="G101" s="18">
        <f>E101* 0.0811944304646871</f>
        <v>687.4732427</v>
      </c>
      <c r="H101" s="18">
        <f>E101* 0.0578761952692501</f>
        <v>490.0377453</v>
      </c>
    </row>
    <row r="102" ht="15.75" hidden="1" customHeight="1">
      <c r="A102" s="20" t="s">
        <v>9</v>
      </c>
      <c r="B102" s="11" t="s">
        <v>34</v>
      </c>
      <c r="C102" s="15"/>
      <c r="D102" s="16" t="s">
        <v>31</v>
      </c>
      <c r="E102" s="17">
        <v>260.0</v>
      </c>
      <c r="F102" s="18">
        <f>E102* 0.935483870967742</f>
        <v>243.2258065</v>
      </c>
      <c r="G102" s="18">
        <f>E102* 0.0403225806451613</f>
        <v>10.48387097</v>
      </c>
      <c r="H102" s="18">
        <f>E102* 0.0241935483870968</f>
        <v>6.290322581</v>
      </c>
    </row>
    <row r="103" ht="15.75" hidden="1" customHeight="1">
      <c r="A103" s="20" t="s">
        <v>9</v>
      </c>
      <c r="B103" s="11" t="s">
        <v>34</v>
      </c>
      <c r="C103" s="15"/>
      <c r="D103" s="16" t="s">
        <v>18</v>
      </c>
      <c r="E103" s="23">
        <v>2776.0</v>
      </c>
      <c r="F103" s="18">
        <f>E103* 0.949854952341484</f>
        <v>2636.797348</v>
      </c>
      <c r="G103" s="18">
        <f>E103* 0.0439287194363862</f>
        <v>121.9461252</v>
      </c>
      <c r="H103" s="18">
        <f>E103* 0.00621632822213013</f>
        <v>17.25652714</v>
      </c>
    </row>
    <row r="104" ht="15.75" hidden="1" customHeight="1">
      <c r="A104" s="20" t="s">
        <v>9</v>
      </c>
      <c r="B104" s="11" t="s">
        <v>34</v>
      </c>
      <c r="C104" s="15"/>
      <c r="D104" s="16" t="s">
        <v>55</v>
      </c>
      <c r="E104" s="17">
        <v>106.0</v>
      </c>
      <c r="F104" s="20">
        <v>0.0</v>
      </c>
      <c r="G104" s="20">
        <f>E104</f>
        <v>106</v>
      </c>
      <c r="H104" s="20">
        <v>0.0</v>
      </c>
    </row>
    <row r="105" ht="15.75" hidden="1" customHeight="1">
      <c r="A105" s="20" t="s">
        <v>9</v>
      </c>
      <c r="B105" s="11" t="s">
        <v>34</v>
      </c>
      <c r="C105" s="15"/>
      <c r="D105" s="16" t="s">
        <v>19</v>
      </c>
      <c r="E105" s="23">
        <v>1791.0</v>
      </c>
      <c r="F105" s="18">
        <f>E105* 0.0187085093542547</f>
        <v>33.50694025</v>
      </c>
      <c r="G105" s="18">
        <f>E105* 0.978877489438745</f>
        <v>1753.169584</v>
      </c>
      <c r="H105" s="18">
        <f>E105* 0.0024140012070006</f>
        <v>4.323476162</v>
      </c>
    </row>
    <row r="106" ht="15.75" hidden="1" customHeight="1">
      <c r="A106" s="20" t="s">
        <v>9</v>
      </c>
      <c r="B106" s="11" t="s">
        <v>34</v>
      </c>
      <c r="C106" s="15"/>
      <c r="D106" s="16" t="s">
        <v>20</v>
      </c>
      <c r="E106" s="23">
        <v>1489.0</v>
      </c>
      <c r="F106" s="18">
        <f>E106* 0.557228915662651</f>
        <v>829.7138554</v>
      </c>
      <c r="G106" s="18">
        <f>E106* 0.390562248995984</f>
        <v>581.5471888</v>
      </c>
      <c r="H106" s="18">
        <f>E106* 0.0522088353413655</f>
        <v>77.73895582</v>
      </c>
    </row>
    <row r="107" ht="15.75" hidden="1" customHeight="1">
      <c r="A107" s="20" t="s">
        <v>9</v>
      </c>
      <c r="B107" s="11" t="s">
        <v>34</v>
      </c>
      <c r="C107" s="15"/>
      <c r="D107" s="16" t="s">
        <v>21</v>
      </c>
      <c r="E107" s="23">
        <v>25805.0</v>
      </c>
      <c r="F107" s="18">
        <f>E107* 0.999622470552703</f>
        <v>25795.25785</v>
      </c>
      <c r="G107" s="18">
        <f>E107* 0.0000755058894593778</f>
        <v>1.948429477</v>
      </c>
      <c r="H107" s="18">
        <f>E107* 0.000302023557837511</f>
        <v>7.79371791</v>
      </c>
    </row>
    <row r="108" ht="15.75" hidden="1" customHeight="1">
      <c r="A108" s="20" t="s">
        <v>9</v>
      </c>
      <c r="B108" s="11" t="s">
        <v>34</v>
      </c>
      <c r="C108" s="15"/>
      <c r="D108" s="16" t="s">
        <v>36</v>
      </c>
      <c r="E108" s="17">
        <v>115.0</v>
      </c>
      <c r="F108" s="20">
        <f>E108</f>
        <v>115</v>
      </c>
      <c r="G108" s="20">
        <v>0.0</v>
      </c>
      <c r="H108" s="20">
        <v>0.0</v>
      </c>
    </row>
    <row r="109" ht="15.75" hidden="1" customHeight="1">
      <c r="A109" s="20" t="s">
        <v>9</v>
      </c>
      <c r="B109" s="11" t="s">
        <v>34</v>
      </c>
      <c r="C109" s="15"/>
      <c r="D109" s="16" t="s">
        <v>37</v>
      </c>
      <c r="E109" s="17">
        <v>2.0</v>
      </c>
      <c r="F109" s="20">
        <v>0.0</v>
      </c>
      <c r="G109" s="20">
        <f t="shared" ref="G109:G110" si="15">E109</f>
        <v>2</v>
      </c>
      <c r="H109" s="20">
        <v>0.0</v>
      </c>
    </row>
    <row r="110" ht="15.75" hidden="1" customHeight="1">
      <c r="A110" s="20" t="s">
        <v>9</v>
      </c>
      <c r="B110" s="11" t="s">
        <v>34</v>
      </c>
      <c r="C110" s="15"/>
      <c r="D110" s="16" t="s">
        <v>28</v>
      </c>
      <c r="E110" s="23">
        <v>1368.0</v>
      </c>
      <c r="F110" s="20">
        <v>0.0</v>
      </c>
      <c r="G110" s="24">
        <f t="shared" si="15"/>
        <v>1368</v>
      </c>
      <c r="H110" s="20">
        <v>0.0</v>
      </c>
    </row>
    <row r="111" ht="15.75" hidden="1" customHeight="1">
      <c r="A111" s="20" t="s">
        <v>9</v>
      </c>
      <c r="B111" s="11" t="s">
        <v>34</v>
      </c>
      <c r="C111" s="15"/>
      <c r="D111" s="16" t="s">
        <v>12</v>
      </c>
      <c r="E111" s="23">
        <v>23479.0</v>
      </c>
      <c r="F111" s="18">
        <f>E111* 0.889957698325317</f>
        <v>20895.3168</v>
      </c>
      <c r="G111" s="18">
        <f>E111* 0.0573100770701744</f>
        <v>1345.5833</v>
      </c>
      <c r="H111" s="18">
        <f>E111* 0.0526742771049429</f>
        <v>1236.739352</v>
      </c>
    </row>
    <row r="112" ht="15.75" hidden="1" customHeight="1">
      <c r="A112" s="20" t="s">
        <v>9</v>
      </c>
      <c r="B112" s="9"/>
      <c r="C112" s="8"/>
      <c r="E112" s="19"/>
    </row>
    <row r="113" ht="15.75" hidden="1" customHeight="1">
      <c r="A113" s="20" t="s">
        <v>9</v>
      </c>
      <c r="B113" s="42" t="s">
        <v>38</v>
      </c>
      <c r="C113" s="12" t="str">
        <f>B113&amp;"_"&amp;A113</f>
        <v>Tarabuco_Chuquisaca</v>
      </c>
      <c r="E113" s="43">
        <v>17.0</v>
      </c>
      <c r="F113" s="14">
        <f t="shared" ref="F113:H113" si="16">SUM(F114:F119)</f>
        <v>10.39669626</v>
      </c>
      <c r="G113" s="14">
        <f t="shared" si="16"/>
        <v>6.16558315</v>
      </c>
      <c r="H113" s="14">
        <f t="shared" si="16"/>
        <v>0.4367165954</v>
      </c>
    </row>
    <row r="114" ht="15.75" hidden="1" customHeight="1">
      <c r="A114" s="20" t="s">
        <v>9</v>
      </c>
      <c r="B114" s="11" t="s">
        <v>38</v>
      </c>
      <c r="C114" s="15"/>
      <c r="D114" s="16" t="s">
        <v>15</v>
      </c>
      <c r="E114" s="17">
        <v>1.0</v>
      </c>
      <c r="F114" s="18">
        <f>E114* 0.962408869987849</f>
        <v>0.96240887</v>
      </c>
      <c r="G114" s="18">
        <f>E114* 0.00425273390036452</f>
        <v>0.0042527339</v>
      </c>
      <c r="H114" s="18">
        <f>E114* 0.0333383961117862</f>
        <v>0.03333839611</v>
      </c>
    </row>
    <row r="115" ht="15.75" hidden="1" customHeight="1">
      <c r="A115" s="20" t="s">
        <v>9</v>
      </c>
      <c r="B115" s="11" t="s">
        <v>38</v>
      </c>
      <c r="C115" s="15"/>
      <c r="D115" s="16" t="s">
        <v>11</v>
      </c>
      <c r="E115" s="17">
        <v>5.0</v>
      </c>
      <c r="F115" s="18">
        <f>E115* 0.0664298401420959</f>
        <v>0.3321492007</v>
      </c>
      <c r="G115" s="18">
        <f>E115* 0.932326820603908</f>
        <v>4.661634103</v>
      </c>
      <c r="H115" s="18">
        <f>E115* 0.00106571936056838</f>
        <v>0.005328596803</v>
      </c>
    </row>
    <row r="116" ht="15.75" hidden="1" customHeight="1">
      <c r="A116" s="20" t="s">
        <v>9</v>
      </c>
      <c r="B116" s="11" t="s">
        <v>38</v>
      </c>
      <c r="C116" s="15"/>
      <c r="D116" s="16" t="s">
        <v>17</v>
      </c>
      <c r="E116" s="17">
        <v>5.0</v>
      </c>
      <c r="F116" s="18">
        <f>E116* 0.860929374266063</f>
        <v>4.304646871</v>
      </c>
      <c r="G116" s="18">
        <f>E116* 0.0811944304646871</f>
        <v>0.4059721523</v>
      </c>
      <c r="H116" s="18">
        <f>E116* 0.0578761952692501</f>
        <v>0.2893809763</v>
      </c>
    </row>
    <row r="117" ht="15.75" hidden="1" customHeight="1">
      <c r="A117" s="20" t="s">
        <v>9</v>
      </c>
      <c r="B117" s="11" t="s">
        <v>38</v>
      </c>
      <c r="C117" s="15"/>
      <c r="D117" s="16" t="s">
        <v>19</v>
      </c>
      <c r="E117" s="17">
        <v>1.0</v>
      </c>
      <c r="F117" s="18">
        <f>E117* 0.0187085093542547</f>
        <v>0.01870850935</v>
      </c>
      <c r="G117" s="18">
        <f>E117* 0.978877489438745</f>
        <v>0.9788774894</v>
      </c>
      <c r="H117" s="18">
        <f>E117* 0.0024140012070006</f>
        <v>0.002414001207</v>
      </c>
    </row>
    <row r="118" ht="15.75" hidden="1" customHeight="1">
      <c r="A118" s="20" t="s">
        <v>9</v>
      </c>
      <c r="B118" s="11" t="s">
        <v>38</v>
      </c>
      <c r="C118" s="15"/>
      <c r="D118" s="16" t="s">
        <v>21</v>
      </c>
      <c r="E118" s="17">
        <v>3.0</v>
      </c>
      <c r="F118" s="18">
        <f>E118* 0.999622470552703</f>
        <v>2.998867412</v>
      </c>
      <c r="G118" s="18">
        <f>E118* 0.0000755058894593778</f>
        <v>0.0002265176684</v>
      </c>
      <c r="H118" s="18">
        <f>E118* 0.000302023557837511</f>
        <v>0.0009060706735</v>
      </c>
    </row>
    <row r="119" ht="15.75" hidden="1" customHeight="1">
      <c r="A119" s="20" t="s">
        <v>9</v>
      </c>
      <c r="B119" s="11" t="s">
        <v>38</v>
      </c>
      <c r="C119" s="15"/>
      <c r="D119" s="16" t="s">
        <v>12</v>
      </c>
      <c r="E119" s="17">
        <v>2.0</v>
      </c>
      <c r="F119" s="18">
        <f>E119* 0.889957698325317</f>
        <v>1.779915397</v>
      </c>
      <c r="G119" s="18">
        <f>E119* 0.0573100770701744</f>
        <v>0.1146201541</v>
      </c>
      <c r="H119" s="18">
        <f>E119* 0.0526742771049429</f>
        <v>0.1053485542</v>
      </c>
    </row>
    <row r="120" ht="15.75" hidden="1" customHeight="1">
      <c r="A120" s="20" t="s">
        <v>9</v>
      </c>
      <c r="B120" s="9"/>
      <c r="C120" s="8"/>
      <c r="E120" s="19"/>
    </row>
    <row r="121" ht="15.75" hidden="1" customHeight="1">
      <c r="A121" s="20" t="s">
        <v>9</v>
      </c>
      <c r="B121" s="42" t="s">
        <v>39</v>
      </c>
      <c r="C121" s="12" t="str">
        <f>B121&amp;"_"&amp;A121</f>
        <v>Villa Abecia (Camataqui)_Chuquisaca</v>
      </c>
      <c r="E121" s="43">
        <v>2.0</v>
      </c>
      <c r="F121" s="14">
        <f t="shared" ref="F121:H121" si="17">SUM(F122:F125)</f>
        <v>1.016284792</v>
      </c>
      <c r="G121" s="14">
        <f t="shared" si="17"/>
        <v>0.97625554</v>
      </c>
      <c r="H121" s="14">
        <f t="shared" si="17"/>
        <v>0.007282047583</v>
      </c>
    </row>
    <row r="122" ht="15.75" hidden="1" customHeight="1">
      <c r="A122" s="20" t="s">
        <v>9</v>
      </c>
      <c r="B122" s="11" t="s">
        <v>39</v>
      </c>
      <c r="C122" s="15"/>
      <c r="D122" s="16" t="s">
        <v>15</v>
      </c>
      <c r="E122" s="19"/>
      <c r="F122" s="18">
        <f>E122* 0.962408869987849</f>
        <v>0</v>
      </c>
      <c r="G122" s="18">
        <f>E122* 0.00425273390036452</f>
        <v>0</v>
      </c>
      <c r="H122" s="18">
        <f>E122* 0.0333383961117862</f>
        <v>0</v>
      </c>
    </row>
    <row r="123" ht="15.75" hidden="1" customHeight="1">
      <c r="A123" s="20" t="s">
        <v>9</v>
      </c>
      <c r="B123" s="11" t="s">
        <v>39</v>
      </c>
      <c r="C123" s="15"/>
      <c r="D123" s="16" t="s">
        <v>11</v>
      </c>
      <c r="E123" s="17">
        <v>1.0</v>
      </c>
      <c r="F123" s="18">
        <f>E123* 0.0664298401420959</f>
        <v>0.06642984014</v>
      </c>
      <c r="G123" s="18">
        <f>E123* 0.932326820603908</f>
        <v>0.9323268206</v>
      </c>
      <c r="H123" s="18">
        <f>E123* 0.00106571936056838</f>
        <v>0.001065719361</v>
      </c>
    </row>
    <row r="124" ht="15.75" hidden="1" customHeight="1">
      <c r="A124" s="20" t="s">
        <v>9</v>
      </c>
      <c r="B124" s="11" t="s">
        <v>39</v>
      </c>
      <c r="C124" s="15"/>
      <c r="D124" s="16" t="s">
        <v>17</v>
      </c>
      <c r="E124" s="19"/>
      <c r="F124" s="18">
        <f>E124* 0.860929374266063</f>
        <v>0</v>
      </c>
      <c r="G124" s="18">
        <f>E124* 0.0811944304646871</f>
        <v>0</v>
      </c>
      <c r="H124" s="18">
        <f>E124* 0.0578761952692501</f>
        <v>0</v>
      </c>
    </row>
    <row r="125" ht="15.75" hidden="1" customHeight="1">
      <c r="A125" s="20" t="s">
        <v>9</v>
      </c>
      <c r="B125" s="11" t="s">
        <v>39</v>
      </c>
      <c r="C125" s="15"/>
      <c r="D125" s="16" t="s">
        <v>18</v>
      </c>
      <c r="E125" s="17">
        <v>1.0</v>
      </c>
      <c r="F125" s="18">
        <f>E125* 0.949854952341484</f>
        <v>0.9498549523</v>
      </c>
      <c r="G125" s="18">
        <f>E125* 0.0439287194363862</f>
        <v>0.04392871944</v>
      </c>
      <c r="H125" s="18">
        <f>E125* 0.00621632822213013</f>
        <v>0.006216328222</v>
      </c>
    </row>
    <row r="126" ht="15.75" hidden="1" customHeight="1">
      <c r="A126" s="20" t="s">
        <v>9</v>
      </c>
      <c r="B126" s="9"/>
      <c r="C126" s="8"/>
      <c r="E126" s="19"/>
    </row>
    <row r="127" ht="15.75" hidden="1" customHeight="1">
      <c r="A127" s="20" t="s">
        <v>9</v>
      </c>
      <c r="B127" s="42" t="s">
        <v>40</v>
      </c>
      <c r="C127" s="12" t="str">
        <f>B127&amp;"_"&amp;A127</f>
        <v>Villa Arias (Tarvita)_Chuquisaca</v>
      </c>
      <c r="E127" s="43">
        <v>2.0</v>
      </c>
      <c r="F127" s="14">
        <f t="shared" ref="F127:H127" si="18">SUM(F128:F130)</f>
        <v>1.962031341</v>
      </c>
      <c r="G127" s="14">
        <f t="shared" si="18"/>
        <v>0.00432823979</v>
      </c>
      <c r="H127" s="14">
        <f t="shared" si="18"/>
        <v>0.03364041967</v>
      </c>
    </row>
    <row r="128" ht="15.75" hidden="1" customHeight="1">
      <c r="A128" s="20" t="s">
        <v>9</v>
      </c>
      <c r="B128" s="11" t="s">
        <v>40</v>
      </c>
      <c r="C128" s="15"/>
      <c r="D128" s="16" t="s">
        <v>15</v>
      </c>
      <c r="E128" s="17">
        <v>1.0</v>
      </c>
      <c r="F128" s="18">
        <f>E128* 0.962408869987849</f>
        <v>0.96240887</v>
      </c>
      <c r="G128" s="18">
        <f>E128* 0.00425273390036452</f>
        <v>0.0042527339</v>
      </c>
      <c r="H128" s="18">
        <f>E128* 0.0333383961117862</f>
        <v>0.03333839611</v>
      </c>
    </row>
    <row r="129" ht="15.75" hidden="1" customHeight="1">
      <c r="A129" s="20" t="s">
        <v>9</v>
      </c>
      <c r="B129" s="11" t="s">
        <v>40</v>
      </c>
      <c r="C129" s="15"/>
      <c r="D129" s="16" t="s">
        <v>11</v>
      </c>
      <c r="E129" s="46"/>
      <c r="F129" s="18">
        <f>E129* 0.0664298401420959</f>
        <v>0</v>
      </c>
      <c r="G129" s="18">
        <f>E129* 0.932326820603908</f>
        <v>0</v>
      </c>
      <c r="H129" s="18">
        <f>E129* 0.00106571936056838</f>
        <v>0</v>
      </c>
    </row>
    <row r="130" ht="15.75" hidden="1" customHeight="1">
      <c r="A130" s="20" t="s">
        <v>9</v>
      </c>
      <c r="B130" s="11" t="s">
        <v>40</v>
      </c>
      <c r="C130" s="15"/>
      <c r="D130" s="16" t="s">
        <v>21</v>
      </c>
      <c r="E130" s="17">
        <v>1.0</v>
      </c>
      <c r="F130" s="18">
        <f>E130* 0.999622470552703</f>
        <v>0.9996224706</v>
      </c>
      <c r="G130" s="18">
        <f>E130* 0.0000755058894593778</f>
        <v>0.00007550588946</v>
      </c>
      <c r="H130" s="18">
        <f>E130* 0.000302023557837511</f>
        <v>0.0003020235578</v>
      </c>
    </row>
    <row r="131" ht="15.75" hidden="1" customHeight="1">
      <c r="A131" s="20" t="s">
        <v>9</v>
      </c>
      <c r="B131" s="9"/>
      <c r="C131" s="8"/>
      <c r="E131" s="19"/>
    </row>
    <row r="132" ht="15.75" hidden="1" customHeight="1">
      <c r="A132" s="20" t="s">
        <v>9</v>
      </c>
      <c r="B132" s="42" t="s">
        <v>41</v>
      </c>
      <c r="C132" s="12" t="str">
        <f>B132&amp;"_"&amp;A132</f>
        <v>Villa Azurduy_Chuquisaca</v>
      </c>
      <c r="E132" s="43">
        <v>5.0</v>
      </c>
      <c r="F132" s="14">
        <f t="shared" ref="F132:H132" si="19">SUM(F133:F138)</f>
        <v>2.059841365</v>
      </c>
      <c r="G132" s="14">
        <f t="shared" si="19"/>
        <v>2.878250398</v>
      </c>
      <c r="H132" s="14">
        <f t="shared" si="19"/>
        <v>0.06137537691</v>
      </c>
    </row>
    <row r="133" ht="15.75" hidden="1" customHeight="1">
      <c r="A133" s="20" t="s">
        <v>9</v>
      </c>
      <c r="B133" s="11" t="s">
        <v>41</v>
      </c>
      <c r="C133" s="15"/>
      <c r="D133" s="16" t="s">
        <v>286</v>
      </c>
      <c r="E133" s="19"/>
      <c r="F133" s="18">
        <f>E133* 0.03</f>
        <v>0</v>
      </c>
      <c r="G133" s="18">
        <f>E133* 0.97</f>
        <v>0</v>
      </c>
      <c r="H133" s="20">
        <v>0.0</v>
      </c>
    </row>
    <row r="134" ht="15.75" hidden="1" customHeight="1">
      <c r="A134" s="20" t="s">
        <v>9</v>
      </c>
      <c r="B134" s="11" t="s">
        <v>41</v>
      </c>
      <c r="C134" s="15"/>
      <c r="D134" s="16" t="s">
        <v>11</v>
      </c>
      <c r="E134" s="17">
        <v>3.0</v>
      </c>
      <c r="F134" s="18">
        <f>E134* 0.0664298401420959</f>
        <v>0.1992895204</v>
      </c>
      <c r="G134" s="18">
        <f>E134* 0.932326820603908</f>
        <v>2.796980462</v>
      </c>
      <c r="H134" s="18">
        <f>E134* 0.00106571936056838</f>
        <v>0.003197158082</v>
      </c>
    </row>
    <row r="135" ht="15.75" hidden="1" customHeight="1">
      <c r="A135" s="20" t="s">
        <v>9</v>
      </c>
      <c r="B135" s="11" t="s">
        <v>41</v>
      </c>
      <c r="C135" s="15"/>
      <c r="D135" s="16" t="s">
        <v>17</v>
      </c>
      <c r="E135" s="17">
        <v>1.0</v>
      </c>
      <c r="F135" s="18">
        <f>E135* 0.860929374266063</f>
        <v>0.8609293743</v>
      </c>
      <c r="G135" s="18">
        <f>E135* 0.0811944304646871</f>
        <v>0.08119443046</v>
      </c>
      <c r="H135" s="18">
        <f>E135* 0.0578761952692501</f>
        <v>0.05787619527</v>
      </c>
    </row>
    <row r="136" ht="15.75" hidden="1" customHeight="1">
      <c r="A136" s="20" t="s">
        <v>9</v>
      </c>
      <c r="B136" s="11" t="s">
        <v>41</v>
      </c>
      <c r="C136" s="15"/>
      <c r="D136" s="16" t="s">
        <v>19</v>
      </c>
      <c r="E136" s="19"/>
      <c r="F136" s="18">
        <f>E136* 0.0187085093542547</f>
        <v>0</v>
      </c>
      <c r="G136" s="18">
        <f>E136* 0.978877489438745</f>
        <v>0</v>
      </c>
      <c r="H136" s="18">
        <f>E136* 0.0024140012070006</f>
        <v>0</v>
      </c>
    </row>
    <row r="137" ht="15.75" hidden="1" customHeight="1">
      <c r="A137" s="20" t="s">
        <v>9</v>
      </c>
      <c r="B137" s="11" t="s">
        <v>41</v>
      </c>
      <c r="C137" s="15"/>
      <c r="D137" s="16" t="s">
        <v>21</v>
      </c>
      <c r="E137" s="17">
        <v>1.0</v>
      </c>
      <c r="F137" s="18">
        <f>E137* 0.999622470552703</f>
        <v>0.9996224706</v>
      </c>
      <c r="G137" s="18">
        <f>E137* 0.0000755058894593778</f>
        <v>0.00007550588946</v>
      </c>
      <c r="H137" s="18">
        <f>E137* 0.000302023557837511</f>
        <v>0.0003020235578</v>
      </c>
    </row>
    <row r="138" ht="15.75" hidden="1" customHeight="1">
      <c r="A138" s="20" t="s">
        <v>9</v>
      </c>
      <c r="B138" s="11" t="s">
        <v>41</v>
      </c>
      <c r="C138" s="15"/>
      <c r="D138" s="16" t="s">
        <v>12</v>
      </c>
      <c r="E138" s="19"/>
      <c r="F138" s="18">
        <f>E138* 0.889957698325317</f>
        <v>0</v>
      </c>
      <c r="G138" s="18">
        <f>E138* 0.0573100770701744</f>
        <v>0</v>
      </c>
      <c r="H138" s="18">
        <f>E138* 0.0526742771049429</f>
        <v>0</v>
      </c>
    </row>
    <row r="139" ht="15.75" hidden="1" customHeight="1">
      <c r="A139" s="20" t="s">
        <v>9</v>
      </c>
      <c r="B139" s="9"/>
      <c r="C139" s="8"/>
      <c r="E139" s="19"/>
    </row>
    <row r="140" ht="15.75" hidden="1" customHeight="1">
      <c r="A140" s="20" t="s">
        <v>9</v>
      </c>
      <c r="B140" s="42" t="s">
        <v>42</v>
      </c>
      <c r="C140" s="12" t="str">
        <f>B140&amp;"_"&amp;A140</f>
        <v>Villa Mojocoya_Chuquisaca</v>
      </c>
      <c r="E140" s="43">
        <v>52.0</v>
      </c>
      <c r="F140" s="14">
        <f t="shared" ref="F140:H140" si="20">SUM(F141:F148)</f>
        <v>39.0803976</v>
      </c>
      <c r="G140" s="14">
        <f t="shared" si="20"/>
        <v>11.55061862</v>
      </c>
      <c r="H140" s="14">
        <f t="shared" si="20"/>
        <v>1.366631875</v>
      </c>
    </row>
    <row r="141" ht="15.75" hidden="1" customHeight="1">
      <c r="A141" s="20" t="s">
        <v>9</v>
      </c>
      <c r="B141" s="11" t="s">
        <v>42</v>
      </c>
      <c r="C141" s="15"/>
      <c r="D141" s="16" t="s">
        <v>288</v>
      </c>
      <c r="E141" s="17">
        <v>0.0</v>
      </c>
      <c r="F141" s="20">
        <v>0.0</v>
      </c>
      <c r="G141" s="20">
        <f>E141</f>
        <v>0</v>
      </c>
      <c r="H141" s="20">
        <v>0.0</v>
      </c>
    </row>
    <row r="142" ht="15.75" hidden="1" customHeight="1">
      <c r="A142" s="20" t="s">
        <v>9</v>
      </c>
      <c r="B142" s="11" t="s">
        <v>42</v>
      </c>
      <c r="C142" s="15"/>
      <c r="D142" s="16" t="s">
        <v>15</v>
      </c>
      <c r="E142" s="17">
        <v>3.0</v>
      </c>
      <c r="F142" s="18">
        <f>E142* 0.962408869987849</f>
        <v>2.88722661</v>
      </c>
      <c r="G142" s="18">
        <f>E142* 0.00425273390036452</f>
        <v>0.0127582017</v>
      </c>
      <c r="H142" s="18">
        <f>E142* 0.0333383961117862</f>
        <v>0.1000151883</v>
      </c>
    </row>
    <row r="143" ht="15.75" hidden="1" customHeight="1">
      <c r="A143" s="20" t="s">
        <v>9</v>
      </c>
      <c r="B143" s="11" t="s">
        <v>42</v>
      </c>
      <c r="C143" s="15"/>
      <c r="D143" s="16" t="s">
        <v>286</v>
      </c>
      <c r="E143" s="17">
        <v>1.0</v>
      </c>
      <c r="F143" s="18">
        <f>E143* 0.03</f>
        <v>0.03</v>
      </c>
      <c r="G143" s="18">
        <f>E143* 0.97</f>
        <v>0.97</v>
      </c>
      <c r="H143" s="20">
        <v>0.0</v>
      </c>
    </row>
    <row r="144" ht="15.75" hidden="1" customHeight="1">
      <c r="A144" s="20" t="s">
        <v>9</v>
      </c>
      <c r="B144" s="11" t="s">
        <v>42</v>
      </c>
      <c r="C144" s="15"/>
      <c r="D144" s="16" t="s">
        <v>11</v>
      </c>
      <c r="E144" s="17">
        <v>9.0</v>
      </c>
      <c r="F144" s="18">
        <f>E144* 0.0664298401420959</f>
        <v>0.5978685613</v>
      </c>
      <c r="G144" s="18">
        <f>E144* 0.932326820603908</f>
        <v>8.390941385</v>
      </c>
      <c r="H144" s="18">
        <f>E144* 0.00106571936056838</f>
        <v>0.009591474245</v>
      </c>
    </row>
    <row r="145" ht="15.75" hidden="1" customHeight="1">
      <c r="A145" s="20" t="s">
        <v>9</v>
      </c>
      <c r="B145" s="11" t="s">
        <v>42</v>
      </c>
      <c r="C145" s="15"/>
      <c r="D145" s="16" t="s">
        <v>17</v>
      </c>
      <c r="E145" s="17">
        <v>8.0</v>
      </c>
      <c r="F145" s="18">
        <f>E145* 0.860929374266063</f>
        <v>6.887434994</v>
      </c>
      <c r="G145" s="18">
        <f>E145* 0.0811944304646871</f>
        <v>0.6495554437</v>
      </c>
      <c r="H145" s="18">
        <f>E145* 0.0578761952692501</f>
        <v>0.4630095622</v>
      </c>
    </row>
    <row r="146" ht="15.75" hidden="1" customHeight="1">
      <c r="A146" s="20" t="s">
        <v>9</v>
      </c>
      <c r="B146" s="11" t="s">
        <v>42</v>
      </c>
      <c r="C146" s="15"/>
      <c r="D146" s="16" t="s">
        <v>20</v>
      </c>
      <c r="E146" s="17">
        <v>2.0</v>
      </c>
      <c r="F146" s="18">
        <f>E146* 0.557228915662651</f>
        <v>1.114457831</v>
      </c>
      <c r="G146" s="18">
        <f>E146* 0.390562248995984</f>
        <v>0.781124498</v>
      </c>
      <c r="H146" s="18">
        <f>E146* 0.0522088353413655</f>
        <v>0.1044176707</v>
      </c>
    </row>
    <row r="147" ht="15.75" hidden="1" customHeight="1">
      <c r="A147" s="20" t="s">
        <v>9</v>
      </c>
      <c r="B147" s="11" t="s">
        <v>42</v>
      </c>
      <c r="C147" s="15"/>
      <c r="D147" s="16" t="s">
        <v>21</v>
      </c>
      <c r="E147" s="17">
        <v>16.0</v>
      </c>
      <c r="F147" s="18">
        <f>E147* 0.999622470552703</f>
        <v>15.99395953</v>
      </c>
      <c r="G147" s="18">
        <f>E147* 0.0000755058894593778</f>
        <v>0.001208094231</v>
      </c>
      <c r="H147" s="18">
        <f>E147* 0.000302023557837511</f>
        <v>0.004832376925</v>
      </c>
    </row>
    <row r="148" ht="15.75" hidden="1" customHeight="1">
      <c r="A148" s="20" t="s">
        <v>9</v>
      </c>
      <c r="B148" s="11" t="s">
        <v>42</v>
      </c>
      <c r="C148" s="15"/>
      <c r="D148" s="16" t="s">
        <v>12</v>
      </c>
      <c r="E148" s="17">
        <v>13.0</v>
      </c>
      <c r="F148" s="18">
        <f>E148* 0.889957698325317</f>
        <v>11.56945008</v>
      </c>
      <c r="G148" s="18">
        <f>E148* 0.0573100770701744</f>
        <v>0.7450310019</v>
      </c>
      <c r="H148" s="18">
        <f>E148* 0.0526742771049429</f>
        <v>0.6847656024</v>
      </c>
    </row>
    <row r="149" ht="15.75" hidden="1" customHeight="1">
      <c r="A149" s="20" t="s">
        <v>9</v>
      </c>
      <c r="B149" s="9"/>
      <c r="C149" s="8"/>
      <c r="E149" s="19"/>
    </row>
    <row r="150" ht="15.75" hidden="1" customHeight="1">
      <c r="A150" s="20" t="s">
        <v>9</v>
      </c>
      <c r="B150" s="42" t="s">
        <v>43</v>
      </c>
      <c r="C150" s="12" t="str">
        <f>B150&amp;"_"&amp;A150</f>
        <v>Villa Monteagudo_Chuquisaca</v>
      </c>
      <c r="E150" s="45">
        <v>2309.0</v>
      </c>
      <c r="F150" s="14">
        <f t="shared" ref="F150:H150" si="21">SUM(F151:F162)</f>
        <v>1863.982686</v>
      </c>
      <c r="G150" s="14">
        <f t="shared" si="21"/>
        <v>394.8442883</v>
      </c>
      <c r="H150" s="14">
        <f t="shared" si="21"/>
        <v>50.09838999</v>
      </c>
    </row>
    <row r="151" ht="15.75" hidden="1" customHeight="1">
      <c r="A151" s="20" t="s">
        <v>9</v>
      </c>
      <c r="B151" s="11" t="s">
        <v>43</v>
      </c>
      <c r="C151" s="15"/>
      <c r="D151" s="16" t="s">
        <v>288</v>
      </c>
      <c r="E151" s="17">
        <v>3.0</v>
      </c>
      <c r="F151" s="20">
        <v>0.0</v>
      </c>
      <c r="G151" s="20">
        <f>E151</f>
        <v>3</v>
      </c>
      <c r="H151" s="20">
        <v>0.0</v>
      </c>
    </row>
    <row r="152" ht="15.75" hidden="1" customHeight="1">
      <c r="A152" s="20" t="s">
        <v>9</v>
      </c>
      <c r="B152" s="11" t="s">
        <v>43</v>
      </c>
      <c r="C152" s="15"/>
      <c r="D152" s="16" t="s">
        <v>15</v>
      </c>
      <c r="E152" s="17">
        <v>122.0</v>
      </c>
      <c r="F152" s="18">
        <f>E152* 0.962408869987849</f>
        <v>117.4138821</v>
      </c>
      <c r="G152" s="18">
        <f>E152* 0.00425273390036452</f>
        <v>0.5188335358</v>
      </c>
      <c r="H152" s="18">
        <f>E152* 0.0333383961117862</f>
        <v>4.067284326</v>
      </c>
    </row>
    <row r="153" ht="15.75" hidden="1" customHeight="1">
      <c r="A153" s="20" t="s">
        <v>9</v>
      </c>
      <c r="B153" s="11" t="s">
        <v>43</v>
      </c>
      <c r="C153" s="15"/>
      <c r="D153" s="16" t="s">
        <v>286</v>
      </c>
      <c r="E153" s="17">
        <v>37.0</v>
      </c>
      <c r="F153" s="18">
        <f>E153* 0.03</f>
        <v>1.11</v>
      </c>
      <c r="G153" s="18">
        <f>E153* 0.97</f>
        <v>35.89</v>
      </c>
      <c r="H153" s="20">
        <v>0.0</v>
      </c>
    </row>
    <row r="154" ht="15.75" hidden="1" customHeight="1">
      <c r="A154" s="20" t="s">
        <v>9</v>
      </c>
      <c r="B154" s="11" t="s">
        <v>43</v>
      </c>
      <c r="C154" s="15"/>
      <c r="D154" s="16" t="s">
        <v>11</v>
      </c>
      <c r="E154" s="17">
        <v>230.0</v>
      </c>
      <c r="F154" s="18">
        <f>E154* 0.0664298401420959</f>
        <v>15.27886323</v>
      </c>
      <c r="G154" s="18">
        <f>E154* 0.932326820603908</f>
        <v>214.4351687</v>
      </c>
      <c r="H154" s="18">
        <f>E154* 0.00106571936056838</f>
        <v>0.2451154529</v>
      </c>
    </row>
    <row r="155" ht="15.75" hidden="1" customHeight="1">
      <c r="A155" s="20" t="s">
        <v>9</v>
      </c>
      <c r="B155" s="11" t="s">
        <v>43</v>
      </c>
      <c r="C155" s="15"/>
      <c r="D155" s="16" t="s">
        <v>17</v>
      </c>
      <c r="E155" s="17">
        <v>235.0</v>
      </c>
      <c r="F155" s="18">
        <f>E155* 0.860929374266063</f>
        <v>202.318403</v>
      </c>
      <c r="G155" s="18">
        <f>E155* 0.0811944304646871</f>
        <v>19.08069116</v>
      </c>
      <c r="H155" s="18">
        <f>E155* 0.0578761952692501</f>
        <v>13.60090589</v>
      </c>
    </row>
    <row r="156" ht="15.75" hidden="1" customHeight="1">
      <c r="A156" s="20" t="s">
        <v>9</v>
      </c>
      <c r="B156" s="11" t="s">
        <v>43</v>
      </c>
      <c r="C156" s="15"/>
      <c r="D156" s="16" t="s">
        <v>18</v>
      </c>
      <c r="E156" s="17">
        <v>42.0</v>
      </c>
      <c r="F156" s="18">
        <f>E156* 0.949854952341484</f>
        <v>39.893908</v>
      </c>
      <c r="G156" s="18">
        <f>E156* 0.0439287194363862</f>
        <v>1.845006216</v>
      </c>
      <c r="H156" s="18">
        <f>E156* 0.00621632822213013</f>
        <v>0.2610857853</v>
      </c>
    </row>
    <row r="157" ht="15.75" hidden="1" customHeight="1">
      <c r="A157" s="20" t="s">
        <v>9</v>
      </c>
      <c r="B157" s="11" t="s">
        <v>43</v>
      </c>
      <c r="C157" s="15"/>
      <c r="D157" s="16" t="s">
        <v>19</v>
      </c>
      <c r="E157" s="17">
        <v>60.0</v>
      </c>
      <c r="F157" s="18">
        <f>E157* 0.0187085093542547</f>
        <v>1.122510561</v>
      </c>
      <c r="G157" s="18">
        <f>E157* 0.978877489438745</f>
        <v>58.73264937</v>
      </c>
      <c r="H157" s="18">
        <f>E157* 0.0024140012070006</f>
        <v>0.1448400724</v>
      </c>
    </row>
    <row r="158" ht="15.75" hidden="1" customHeight="1">
      <c r="A158" s="20" t="s">
        <v>9</v>
      </c>
      <c r="B158" s="11" t="s">
        <v>43</v>
      </c>
      <c r="C158" s="15"/>
      <c r="D158" s="16" t="s">
        <v>20</v>
      </c>
      <c r="E158" s="17">
        <v>15.0</v>
      </c>
      <c r="F158" s="18">
        <f>E158* 0.557228915662651</f>
        <v>8.358433735</v>
      </c>
      <c r="G158" s="18">
        <f>E158* 0.390562248995984</f>
        <v>5.858433735</v>
      </c>
      <c r="H158" s="18">
        <f>E158* 0.0522088353413655</f>
        <v>0.7831325301</v>
      </c>
    </row>
    <row r="159" ht="15.75" hidden="1" customHeight="1">
      <c r="A159" s="20" t="s">
        <v>9</v>
      </c>
      <c r="B159" s="11" t="s">
        <v>43</v>
      </c>
      <c r="C159" s="15"/>
      <c r="D159" s="16" t="s">
        <v>21</v>
      </c>
      <c r="E159" s="17">
        <v>950.0</v>
      </c>
      <c r="F159" s="18">
        <f>E159* 0.999622470552703</f>
        <v>949.641347</v>
      </c>
      <c r="G159" s="18">
        <f>E159* 0.0000755058894593778</f>
        <v>0.07173059499</v>
      </c>
      <c r="H159" s="18">
        <f>E159* 0.000302023557837511</f>
        <v>0.2869223799</v>
      </c>
    </row>
    <row r="160" ht="15.75" hidden="1" customHeight="1">
      <c r="A160" s="20" t="s">
        <v>9</v>
      </c>
      <c r="B160" s="11" t="s">
        <v>43</v>
      </c>
      <c r="C160" s="15"/>
      <c r="D160" s="16" t="s">
        <v>36</v>
      </c>
      <c r="E160" s="17">
        <v>10.0</v>
      </c>
      <c r="F160" s="20">
        <f>E160</f>
        <v>10</v>
      </c>
      <c r="G160" s="20">
        <v>0.0</v>
      </c>
      <c r="H160" s="20">
        <v>0.0</v>
      </c>
    </row>
    <row r="161" ht="15.75" hidden="1" customHeight="1">
      <c r="A161" s="20" t="s">
        <v>9</v>
      </c>
      <c r="B161" s="11" t="s">
        <v>43</v>
      </c>
      <c r="C161" s="15"/>
      <c r="D161" s="16" t="s">
        <v>28</v>
      </c>
      <c r="E161" s="17">
        <v>22.0</v>
      </c>
      <c r="F161" s="20">
        <v>0.0</v>
      </c>
      <c r="G161" s="20">
        <f>E161</f>
        <v>22</v>
      </c>
      <c r="H161" s="20">
        <v>0.0</v>
      </c>
    </row>
    <row r="162" ht="15.75" hidden="1" customHeight="1">
      <c r="A162" s="20" t="s">
        <v>9</v>
      </c>
      <c r="B162" s="11" t="s">
        <v>43</v>
      </c>
      <c r="C162" s="15"/>
      <c r="D162" s="16" t="s">
        <v>12</v>
      </c>
      <c r="E162" s="17">
        <v>583.0</v>
      </c>
      <c r="F162" s="18">
        <f>E162* 0.889957698325317</f>
        <v>518.8453381</v>
      </c>
      <c r="G162" s="18">
        <f>E162* 0.0573100770701744</f>
        <v>33.41177493</v>
      </c>
      <c r="H162" s="18">
        <f>E162* 0.0526742771049429</f>
        <v>30.70910355</v>
      </c>
    </row>
    <row r="163" ht="15.75" hidden="1" customHeight="1">
      <c r="A163" s="20" t="s">
        <v>9</v>
      </c>
      <c r="B163" s="9"/>
      <c r="C163" s="8"/>
      <c r="E163" s="19"/>
    </row>
    <row r="164" ht="15.75" hidden="1" customHeight="1">
      <c r="A164" s="20" t="s">
        <v>9</v>
      </c>
      <c r="B164" s="42" t="s">
        <v>44</v>
      </c>
      <c r="C164" s="12" t="str">
        <f>B164&amp;"_"&amp;A164</f>
        <v>Villa R. Mujía (Icla)_Chuquisaca</v>
      </c>
      <c r="E164" s="43">
        <v>2.0</v>
      </c>
      <c r="F164" s="14">
        <f t="shared" ref="F164:H164" si="22">SUM(F165:F166)</f>
        <v>1.779915397</v>
      </c>
      <c r="G164" s="14">
        <f t="shared" si="22"/>
        <v>0.1146201541</v>
      </c>
      <c r="H164" s="14">
        <f t="shared" si="22"/>
        <v>0.1053485542</v>
      </c>
    </row>
    <row r="165" ht="15.75" hidden="1" customHeight="1">
      <c r="A165" s="20" t="s">
        <v>9</v>
      </c>
      <c r="B165" s="11" t="s">
        <v>44</v>
      </c>
      <c r="C165" s="15"/>
      <c r="D165" s="16" t="s">
        <v>11</v>
      </c>
      <c r="E165" s="17">
        <v>0.0</v>
      </c>
      <c r="F165" s="18">
        <f>E165* 0.0664298401420959</f>
        <v>0</v>
      </c>
      <c r="G165" s="18">
        <f>E165* 0.932326820603908</f>
        <v>0</v>
      </c>
      <c r="H165" s="18">
        <f>E165* 0.00106571936056838</f>
        <v>0</v>
      </c>
    </row>
    <row r="166" ht="15.75" hidden="1" customHeight="1">
      <c r="A166" s="20" t="s">
        <v>9</v>
      </c>
      <c r="B166" s="11" t="s">
        <v>44</v>
      </c>
      <c r="C166" s="15"/>
      <c r="D166" s="16" t="s">
        <v>12</v>
      </c>
      <c r="E166" s="17">
        <v>2.0</v>
      </c>
      <c r="F166" s="18">
        <f>E166* 0.889957698325317</f>
        <v>1.779915397</v>
      </c>
      <c r="G166" s="18">
        <f>E166* 0.0573100770701744</f>
        <v>0.1146201541</v>
      </c>
      <c r="H166" s="18">
        <f>E166* 0.0526742771049429</f>
        <v>0.1053485542</v>
      </c>
    </row>
    <row r="167" ht="15.75" hidden="1" customHeight="1">
      <c r="A167" s="20" t="s">
        <v>9</v>
      </c>
      <c r="B167" s="9"/>
      <c r="C167" s="8"/>
      <c r="E167" s="19"/>
    </row>
    <row r="168" ht="15.75" hidden="1" customHeight="1">
      <c r="A168" s="20" t="s">
        <v>9</v>
      </c>
      <c r="B168" s="42" t="s">
        <v>45</v>
      </c>
      <c r="C168" s="12" t="str">
        <f>B168&amp;"_"&amp;A168</f>
        <v>Villa Serrano_Chuquisaca</v>
      </c>
      <c r="E168" s="43">
        <v>208.0</v>
      </c>
      <c r="F168" s="14">
        <f t="shared" ref="F168:H168" si="23">SUM(F169:F177)</f>
        <v>164.5621548</v>
      </c>
      <c r="G168" s="14">
        <f t="shared" si="23"/>
        <v>38.03395469</v>
      </c>
      <c r="H168" s="14">
        <f t="shared" si="23"/>
        <v>5.397341225</v>
      </c>
    </row>
    <row r="169" ht="15.75" hidden="1" customHeight="1">
      <c r="A169" s="20" t="s">
        <v>9</v>
      </c>
      <c r="B169" s="11" t="s">
        <v>45</v>
      </c>
      <c r="C169" s="15"/>
      <c r="D169" s="16" t="s">
        <v>15</v>
      </c>
      <c r="E169" s="17">
        <v>7.0</v>
      </c>
      <c r="F169" s="18">
        <f>E169* 0.962408869987849</f>
        <v>6.73686209</v>
      </c>
      <c r="G169" s="18">
        <f>E169* 0.00425273390036452</f>
        <v>0.0297691373</v>
      </c>
      <c r="H169" s="18">
        <f>E169* 0.0333383961117862</f>
        <v>0.2333687728</v>
      </c>
    </row>
    <row r="170" ht="15.75" hidden="1" customHeight="1">
      <c r="A170" s="20" t="s">
        <v>9</v>
      </c>
      <c r="B170" s="11" t="s">
        <v>45</v>
      </c>
      <c r="C170" s="15"/>
      <c r="D170" s="16" t="s">
        <v>286</v>
      </c>
      <c r="E170" s="17">
        <v>1.0</v>
      </c>
      <c r="F170" s="18">
        <f>E170* 0.03</f>
        <v>0.03</v>
      </c>
      <c r="G170" s="18">
        <f>E170* 0.97</f>
        <v>0.97</v>
      </c>
      <c r="H170" s="20">
        <v>0.0</v>
      </c>
    </row>
    <row r="171" ht="15.75" hidden="1" customHeight="1">
      <c r="A171" s="20" t="s">
        <v>9</v>
      </c>
      <c r="B171" s="11" t="s">
        <v>45</v>
      </c>
      <c r="C171" s="15"/>
      <c r="D171" s="16" t="s">
        <v>11</v>
      </c>
      <c r="E171" s="17">
        <v>31.0</v>
      </c>
      <c r="F171" s="18">
        <f>E171* 0.0664298401420959</f>
        <v>2.059325044</v>
      </c>
      <c r="G171" s="18">
        <f>E171* 0.932326820603908</f>
        <v>28.90213144</v>
      </c>
      <c r="H171" s="18">
        <f>E171* 0.00106571936056838</f>
        <v>0.03303730018</v>
      </c>
    </row>
    <row r="172" ht="15.75" hidden="1" customHeight="1">
      <c r="A172" s="20" t="s">
        <v>9</v>
      </c>
      <c r="B172" s="11" t="s">
        <v>45</v>
      </c>
      <c r="C172" s="15"/>
      <c r="D172" s="16" t="s">
        <v>17</v>
      </c>
      <c r="E172" s="17">
        <v>71.0</v>
      </c>
      <c r="F172" s="18">
        <f>E172* 0.860929374266063</f>
        <v>61.12598557</v>
      </c>
      <c r="G172" s="18">
        <f>E172* 0.0811944304646871</f>
        <v>5.764804563</v>
      </c>
      <c r="H172" s="18">
        <f>E172* 0.0578761952692501</f>
        <v>4.109209864</v>
      </c>
    </row>
    <row r="173" ht="15.75" hidden="1" customHeight="1">
      <c r="A173" s="20" t="s">
        <v>9</v>
      </c>
      <c r="B173" s="11" t="s">
        <v>45</v>
      </c>
      <c r="C173" s="15"/>
      <c r="D173" s="16" t="s">
        <v>18</v>
      </c>
      <c r="E173" s="17">
        <v>8.0</v>
      </c>
      <c r="F173" s="18">
        <f>E173* 0.949854952341484</f>
        <v>7.598839619</v>
      </c>
      <c r="G173" s="18">
        <f>E173* 0.0439287194363862</f>
        <v>0.3514297555</v>
      </c>
      <c r="H173" s="18">
        <f>E173* 0.00621632822213013</f>
        <v>0.04973062578</v>
      </c>
    </row>
    <row r="174" ht="15.75" hidden="1" customHeight="1">
      <c r="A174" s="20" t="s">
        <v>9</v>
      </c>
      <c r="B174" s="11" t="s">
        <v>45</v>
      </c>
      <c r="C174" s="15"/>
      <c r="D174" s="16" t="s">
        <v>19</v>
      </c>
      <c r="E174" s="17">
        <v>1.0</v>
      </c>
      <c r="F174" s="18">
        <f>E174* 0.0187085093542547</f>
        <v>0.01870850935</v>
      </c>
      <c r="G174" s="18">
        <f>E174* 0.978877489438745</f>
        <v>0.9788774894</v>
      </c>
      <c r="H174" s="18">
        <f>E174* 0.0024140012070006</f>
        <v>0.002414001207</v>
      </c>
    </row>
    <row r="175" ht="15.75" hidden="1" customHeight="1">
      <c r="A175" s="20" t="s">
        <v>9</v>
      </c>
      <c r="B175" s="11" t="s">
        <v>45</v>
      </c>
      <c r="C175" s="15"/>
      <c r="D175" s="16" t="s">
        <v>20</v>
      </c>
      <c r="E175" s="19"/>
      <c r="F175" s="18">
        <f>E175* 0.557228915662651</f>
        <v>0</v>
      </c>
      <c r="G175" s="18">
        <f>E175* 0.390562248995984</f>
        <v>0</v>
      </c>
      <c r="H175" s="18">
        <f>E175* 0.0522088353413655</f>
        <v>0</v>
      </c>
    </row>
    <row r="176" ht="15.75" hidden="1" customHeight="1">
      <c r="A176" s="20" t="s">
        <v>9</v>
      </c>
      <c r="B176" s="11" t="s">
        <v>45</v>
      </c>
      <c r="C176" s="15"/>
      <c r="D176" s="16" t="s">
        <v>21</v>
      </c>
      <c r="E176" s="17">
        <v>71.0</v>
      </c>
      <c r="F176" s="18">
        <f>E176* 0.999622470552703</f>
        <v>70.97319541</v>
      </c>
      <c r="G176" s="18">
        <f>E176* 0.0000755058894593778</f>
        <v>0.005360918152</v>
      </c>
      <c r="H176" s="18">
        <f>E176* 0.000302023557837511</f>
        <v>0.02144367261</v>
      </c>
    </row>
    <row r="177" ht="15.75" hidden="1" customHeight="1">
      <c r="A177" s="20" t="s">
        <v>9</v>
      </c>
      <c r="B177" s="11" t="s">
        <v>45</v>
      </c>
      <c r="C177" s="15"/>
      <c r="D177" s="16" t="s">
        <v>12</v>
      </c>
      <c r="E177" s="17">
        <v>18.0</v>
      </c>
      <c r="F177" s="18">
        <f>E177* 0.889957698325317</f>
        <v>16.01923857</v>
      </c>
      <c r="G177" s="18">
        <f>E177* 0.0573100770701744</f>
        <v>1.031581387</v>
      </c>
      <c r="H177" s="18">
        <f>E177* 0.0526742771049429</f>
        <v>0.9481369879</v>
      </c>
    </row>
    <row r="178" ht="15.75" hidden="1" customHeight="1">
      <c r="A178" s="20" t="s">
        <v>9</v>
      </c>
      <c r="B178" s="9"/>
      <c r="C178" s="8"/>
      <c r="E178" s="19"/>
    </row>
    <row r="179" ht="15.75" hidden="1" customHeight="1">
      <c r="A179" s="20" t="s">
        <v>9</v>
      </c>
      <c r="B179" s="42" t="s">
        <v>46</v>
      </c>
      <c r="C179" s="12" t="str">
        <f>B179&amp;"_"&amp;A179</f>
        <v>Villa Tomina_Chuquisaca</v>
      </c>
      <c r="E179" s="43">
        <v>386.0</v>
      </c>
      <c r="F179" s="14">
        <f t="shared" ref="F179:H179" si="24">SUM(F180:F193)</f>
        <v>354.2642595</v>
      </c>
      <c r="G179" s="14">
        <f t="shared" si="24"/>
        <v>28.56592765</v>
      </c>
      <c r="H179" s="14">
        <f t="shared" si="24"/>
        <v>3.165159417</v>
      </c>
    </row>
    <row r="180" ht="15.75" hidden="1" customHeight="1">
      <c r="A180" s="20" t="s">
        <v>9</v>
      </c>
      <c r="B180" s="11" t="s">
        <v>46</v>
      </c>
      <c r="C180" s="15"/>
      <c r="D180" s="16" t="s">
        <v>288</v>
      </c>
      <c r="E180" s="17">
        <v>0.0</v>
      </c>
      <c r="F180" s="20">
        <v>0.0</v>
      </c>
      <c r="G180" s="20">
        <f>E180</f>
        <v>0</v>
      </c>
      <c r="H180" s="20">
        <v>0.0</v>
      </c>
    </row>
    <row r="181" ht="15.75" hidden="1" customHeight="1">
      <c r="A181" s="20" t="s">
        <v>9</v>
      </c>
      <c r="B181" s="11" t="s">
        <v>46</v>
      </c>
      <c r="C181" s="15"/>
      <c r="D181" s="16" t="s">
        <v>15</v>
      </c>
      <c r="E181" s="17">
        <v>3.0</v>
      </c>
      <c r="F181" s="18">
        <f>E181* 0.962408869987849</f>
        <v>2.88722661</v>
      </c>
      <c r="G181" s="18">
        <f>E181* 0.00425273390036452</f>
        <v>0.0127582017</v>
      </c>
      <c r="H181" s="18">
        <f>E181* 0.0333383961117862</f>
        <v>0.1000151883</v>
      </c>
    </row>
    <row r="182" ht="15.75" hidden="1" customHeight="1">
      <c r="A182" s="20" t="s">
        <v>9</v>
      </c>
      <c r="B182" s="11" t="s">
        <v>46</v>
      </c>
      <c r="C182" s="15"/>
      <c r="D182" s="16" t="s">
        <v>286</v>
      </c>
      <c r="E182" s="17">
        <v>1.0</v>
      </c>
      <c r="F182" s="18">
        <f>E182* 0.03</f>
        <v>0.03</v>
      </c>
      <c r="G182" s="18">
        <f>E182* 0.97</f>
        <v>0.97</v>
      </c>
      <c r="H182" s="20">
        <v>0.0</v>
      </c>
    </row>
    <row r="183" ht="15.75" hidden="1" customHeight="1">
      <c r="A183" s="20" t="s">
        <v>9</v>
      </c>
      <c r="B183" s="11" t="s">
        <v>46</v>
      </c>
      <c r="C183" s="15"/>
      <c r="D183" s="16" t="s">
        <v>11</v>
      </c>
      <c r="E183" s="17">
        <v>20.0</v>
      </c>
      <c r="F183" s="18">
        <f>E183* 0.0664298401420959</f>
        <v>1.328596803</v>
      </c>
      <c r="G183" s="18">
        <f>E183* 0.932326820603908</f>
        <v>18.64653641</v>
      </c>
      <c r="H183" s="18">
        <f>E183* 0.00106571936056838</f>
        <v>0.02131438721</v>
      </c>
    </row>
    <row r="184" ht="15.75" hidden="1" customHeight="1">
      <c r="A184" s="20" t="s">
        <v>9</v>
      </c>
      <c r="B184" s="11" t="s">
        <v>46</v>
      </c>
      <c r="C184" s="15"/>
      <c r="D184" s="16" t="s">
        <v>17</v>
      </c>
      <c r="E184" s="17">
        <v>30.0</v>
      </c>
      <c r="F184" s="18">
        <f>E184* 0.860929374266063</f>
        <v>25.82788123</v>
      </c>
      <c r="G184" s="18">
        <f>E184* 0.0811944304646871</f>
        <v>2.435832914</v>
      </c>
      <c r="H184" s="18">
        <f>E184* 0.0578761952692501</f>
        <v>1.736285858</v>
      </c>
    </row>
    <row r="185" ht="15.75" hidden="1" customHeight="1">
      <c r="A185" s="20" t="s">
        <v>9</v>
      </c>
      <c r="B185" s="11" t="s">
        <v>46</v>
      </c>
      <c r="C185" s="15"/>
      <c r="D185" s="16" t="s">
        <v>31</v>
      </c>
      <c r="E185" s="17">
        <v>1.0</v>
      </c>
      <c r="F185" s="18">
        <f>E185* 0.935483870967742</f>
        <v>0.935483871</v>
      </c>
      <c r="G185" s="18">
        <f>E185* 0.0403225806451613</f>
        <v>0.04032258065</v>
      </c>
      <c r="H185" s="18">
        <f>E185* 0.0241935483870968</f>
        <v>0.02419354839</v>
      </c>
    </row>
    <row r="186" ht="15.75" hidden="1" customHeight="1">
      <c r="A186" s="20" t="s">
        <v>9</v>
      </c>
      <c r="B186" s="11" t="s">
        <v>46</v>
      </c>
      <c r="C186" s="15"/>
      <c r="D186" s="16" t="s">
        <v>18</v>
      </c>
      <c r="E186" s="17">
        <v>5.0</v>
      </c>
      <c r="F186" s="18">
        <f>E186* 0.949854952341484</f>
        <v>4.749274762</v>
      </c>
      <c r="G186" s="18">
        <f>E186* 0.0439287194363862</f>
        <v>0.2196435972</v>
      </c>
      <c r="H186" s="18">
        <f>E186* 0.00621632822213013</f>
        <v>0.03108164111</v>
      </c>
    </row>
    <row r="187" ht="15.75" hidden="1" customHeight="1">
      <c r="A187" s="20" t="s">
        <v>9</v>
      </c>
      <c r="B187" s="11" t="s">
        <v>46</v>
      </c>
      <c r="C187" s="15"/>
      <c r="D187" s="16" t="s">
        <v>19</v>
      </c>
      <c r="E187" s="17">
        <v>2.0</v>
      </c>
      <c r="F187" s="18">
        <f>E187* 0.0187085093542547</f>
        <v>0.03741701871</v>
      </c>
      <c r="G187" s="18">
        <f>E187* 0.978877489438745</f>
        <v>1.957754979</v>
      </c>
      <c r="H187" s="18">
        <f>E187* 0.0024140012070006</f>
        <v>0.004828002414</v>
      </c>
    </row>
    <row r="188" ht="15.75" hidden="1" customHeight="1">
      <c r="A188" s="20" t="s">
        <v>9</v>
      </c>
      <c r="B188" s="11" t="s">
        <v>46</v>
      </c>
      <c r="C188" s="15"/>
      <c r="D188" s="16" t="s">
        <v>20</v>
      </c>
      <c r="E188" s="17">
        <v>3.0</v>
      </c>
      <c r="F188" s="18">
        <f>E188* 0.557228915662651</f>
        <v>1.671686747</v>
      </c>
      <c r="G188" s="18">
        <f>E188* 0.390562248995984</f>
        <v>1.171686747</v>
      </c>
      <c r="H188" s="18">
        <f>E188* 0.0522088353413655</f>
        <v>0.156626506</v>
      </c>
    </row>
    <row r="189" ht="15.75" hidden="1" customHeight="1">
      <c r="A189" s="20" t="s">
        <v>9</v>
      </c>
      <c r="B189" s="11" t="s">
        <v>46</v>
      </c>
      <c r="C189" s="15"/>
      <c r="D189" s="16" t="s">
        <v>21</v>
      </c>
      <c r="E189" s="17">
        <v>298.0</v>
      </c>
      <c r="F189" s="18">
        <f>E189* 0.999622470552703</f>
        <v>297.8874962</v>
      </c>
      <c r="G189" s="18">
        <f>E189* 0.0000755058894593778</f>
        <v>0.02250075506</v>
      </c>
      <c r="H189" s="18">
        <f>E189* 0.000302023557837511</f>
        <v>0.09000302024</v>
      </c>
    </row>
    <row r="190" ht="15.75" hidden="1" customHeight="1">
      <c r="A190" s="20" t="s">
        <v>9</v>
      </c>
      <c r="B190" s="11" t="s">
        <v>46</v>
      </c>
      <c r="C190" s="15"/>
      <c r="D190" s="16" t="s">
        <v>36</v>
      </c>
      <c r="E190" s="17">
        <v>2.0</v>
      </c>
      <c r="F190" s="20">
        <f>E190</f>
        <v>2</v>
      </c>
      <c r="G190" s="20">
        <v>0.0</v>
      </c>
      <c r="H190" s="20">
        <v>0.0</v>
      </c>
    </row>
    <row r="191" ht="15.75" hidden="1" customHeight="1">
      <c r="A191" s="20" t="s">
        <v>9</v>
      </c>
      <c r="B191" s="11" t="s">
        <v>46</v>
      </c>
      <c r="C191" s="15"/>
      <c r="D191" s="16" t="s">
        <v>37</v>
      </c>
      <c r="E191" s="17">
        <v>1.0</v>
      </c>
      <c r="F191" s="20">
        <v>0.0</v>
      </c>
      <c r="G191" s="20">
        <f t="shared" ref="G191:G192" si="25">E191</f>
        <v>1</v>
      </c>
      <c r="H191" s="20">
        <v>0.0</v>
      </c>
    </row>
    <row r="192" ht="15.75" hidden="1" customHeight="1">
      <c r="A192" s="20" t="s">
        <v>9</v>
      </c>
      <c r="B192" s="11" t="s">
        <v>46</v>
      </c>
      <c r="C192" s="15"/>
      <c r="D192" s="16" t="s">
        <v>28</v>
      </c>
      <c r="E192" s="17">
        <v>1.0</v>
      </c>
      <c r="F192" s="20">
        <v>0.0</v>
      </c>
      <c r="G192" s="20">
        <f t="shared" si="25"/>
        <v>1</v>
      </c>
      <c r="H192" s="20">
        <v>0.0</v>
      </c>
    </row>
    <row r="193" ht="15.75" hidden="1" customHeight="1">
      <c r="A193" s="20" t="s">
        <v>9</v>
      </c>
      <c r="B193" s="11" t="s">
        <v>46</v>
      </c>
      <c r="C193" s="15"/>
      <c r="D193" s="16" t="s">
        <v>12</v>
      </c>
      <c r="E193" s="17">
        <v>19.0</v>
      </c>
      <c r="F193" s="18">
        <f>E193* 0.889957698325317</f>
        <v>16.90919627</v>
      </c>
      <c r="G193" s="18">
        <f>E193* 0.0573100770701744</f>
        <v>1.088891464</v>
      </c>
      <c r="H193" s="18">
        <f>E193* 0.0526742771049429</f>
        <v>1.000811265</v>
      </c>
    </row>
    <row r="194" ht="15.75" hidden="1" customHeight="1">
      <c r="A194" s="20" t="s">
        <v>9</v>
      </c>
      <c r="B194" s="16"/>
      <c r="C194" s="21"/>
      <c r="E194" s="46"/>
    </row>
    <row r="195" ht="15.75" hidden="1" customHeight="1">
      <c r="A195" s="20" t="s">
        <v>9</v>
      </c>
      <c r="B195" s="42" t="s">
        <v>47</v>
      </c>
      <c r="C195" s="12" t="str">
        <f>B195&amp;"_"&amp;A195</f>
        <v>Villa Vaca Guzmán (Muyupampa)_Chuquisaca</v>
      </c>
      <c r="E195" s="43">
        <v>9.0</v>
      </c>
      <c r="F195" s="14">
        <f t="shared" ref="F195:H195" si="26">SUM(F196:F199)</f>
        <v>6.318901444</v>
      </c>
      <c r="G195" s="14">
        <f t="shared" si="26"/>
        <v>2.308304251</v>
      </c>
      <c r="H195" s="14">
        <f t="shared" si="26"/>
        <v>0.3723231701</v>
      </c>
    </row>
    <row r="196" ht="15.75" hidden="1" customHeight="1">
      <c r="A196" s="20" t="s">
        <v>9</v>
      </c>
      <c r="B196" s="11" t="s">
        <v>47</v>
      </c>
      <c r="C196" s="15"/>
      <c r="D196" s="16" t="s">
        <v>15</v>
      </c>
      <c r="E196" s="17">
        <v>1.0</v>
      </c>
      <c r="F196" s="18">
        <f>E196* 0.962408869987849</f>
        <v>0.96240887</v>
      </c>
      <c r="G196" s="18">
        <f>E196* 0.00425273390036452</f>
        <v>0.0042527339</v>
      </c>
      <c r="H196" s="18">
        <f>E196* 0.0333383961117862</f>
        <v>0.03333839611</v>
      </c>
    </row>
    <row r="197" ht="15.75" hidden="1" customHeight="1">
      <c r="A197" s="20" t="s">
        <v>9</v>
      </c>
      <c r="B197" s="11" t="s">
        <v>47</v>
      </c>
      <c r="C197" s="15"/>
      <c r="D197" s="16" t="s">
        <v>11</v>
      </c>
      <c r="E197" s="17">
        <v>2.0</v>
      </c>
      <c r="F197" s="18">
        <f>E197* 0.0664298401420959</f>
        <v>0.1328596803</v>
      </c>
      <c r="G197" s="18">
        <f>E197* 0.932326820603908</f>
        <v>1.864653641</v>
      </c>
      <c r="H197" s="18">
        <f>E197* 0.00106571936056838</f>
        <v>0.002131438721</v>
      </c>
    </row>
    <row r="198" ht="15.75" hidden="1" customHeight="1">
      <c r="A198" s="20" t="s">
        <v>9</v>
      </c>
      <c r="B198" s="11" t="s">
        <v>47</v>
      </c>
      <c r="C198" s="15"/>
      <c r="D198" s="16" t="s">
        <v>17</v>
      </c>
      <c r="E198" s="17">
        <v>4.0</v>
      </c>
      <c r="F198" s="18">
        <f>E198* 0.860929374266063</f>
        <v>3.443717497</v>
      </c>
      <c r="G198" s="18">
        <f>E198* 0.0811944304646871</f>
        <v>0.3247777219</v>
      </c>
      <c r="H198" s="18">
        <f>E198* 0.0578761952692501</f>
        <v>0.2315047811</v>
      </c>
    </row>
    <row r="199" ht="15.75" hidden="1" customHeight="1">
      <c r="A199" s="20" t="s">
        <v>9</v>
      </c>
      <c r="B199" s="11" t="s">
        <v>47</v>
      </c>
      <c r="C199" s="15"/>
      <c r="D199" s="16" t="s">
        <v>12</v>
      </c>
      <c r="E199" s="17">
        <v>2.0</v>
      </c>
      <c r="F199" s="18">
        <f>E199* 0.889957698325317</f>
        <v>1.779915397</v>
      </c>
      <c r="G199" s="18">
        <f>E199* 0.0573100770701744</f>
        <v>0.1146201541</v>
      </c>
      <c r="H199" s="18">
        <f>E199* 0.0526742771049429</f>
        <v>0.1053485542</v>
      </c>
    </row>
    <row r="200" ht="15.75" hidden="1" customHeight="1">
      <c r="A200" s="20" t="s">
        <v>9</v>
      </c>
      <c r="B200" s="9"/>
      <c r="C200" s="8"/>
      <c r="E200" s="19"/>
    </row>
    <row r="201" ht="15.75" hidden="1" customHeight="1">
      <c r="A201" s="20" t="s">
        <v>9</v>
      </c>
      <c r="B201" s="42" t="s">
        <v>48</v>
      </c>
      <c r="C201" s="12" t="str">
        <f>B201&amp;"_"&amp;A201</f>
        <v>Villa Zudáñez (Tacopaya)_Chuquisaca</v>
      </c>
      <c r="E201" s="45">
        <v>1278.0</v>
      </c>
      <c r="F201" s="14">
        <f t="shared" ref="F201:H201" si="27">SUM(F202:F213)</f>
        <v>1253.856039</v>
      </c>
      <c r="G201" s="14">
        <f t="shared" si="27"/>
        <v>19.95688022</v>
      </c>
      <c r="H201" s="14">
        <f t="shared" si="27"/>
        <v>4.183218174</v>
      </c>
    </row>
    <row r="202" ht="15.75" hidden="1" customHeight="1">
      <c r="A202" s="20" t="s">
        <v>9</v>
      </c>
      <c r="B202" s="11" t="s">
        <v>48</v>
      </c>
      <c r="C202" s="15"/>
      <c r="D202" s="16" t="s">
        <v>288</v>
      </c>
      <c r="E202" s="17">
        <v>0.0</v>
      </c>
      <c r="F202" s="20">
        <v>0.0</v>
      </c>
      <c r="G202" s="20">
        <f>E202</f>
        <v>0</v>
      </c>
      <c r="H202" s="20">
        <v>0.0</v>
      </c>
    </row>
    <row r="203" ht="15.75" hidden="1" customHeight="1">
      <c r="A203" s="20" t="s">
        <v>9</v>
      </c>
      <c r="B203" s="11" t="s">
        <v>48</v>
      </c>
      <c r="C203" s="15"/>
      <c r="D203" s="16" t="s">
        <v>15</v>
      </c>
      <c r="E203" s="17">
        <v>14.0</v>
      </c>
      <c r="F203" s="18">
        <f>E203* 0.962408869987849</f>
        <v>13.47372418</v>
      </c>
      <c r="G203" s="18">
        <f>E203* 0.00425273390036452</f>
        <v>0.05953827461</v>
      </c>
      <c r="H203" s="18">
        <f>E203* 0.0333383961117862</f>
        <v>0.4667375456</v>
      </c>
    </row>
    <row r="204" ht="15.75" hidden="1" customHeight="1">
      <c r="A204" s="20" t="s">
        <v>9</v>
      </c>
      <c r="B204" s="11" t="s">
        <v>48</v>
      </c>
      <c r="C204" s="15"/>
      <c r="D204" s="16" t="s">
        <v>286</v>
      </c>
      <c r="E204" s="17">
        <v>2.0</v>
      </c>
      <c r="F204" s="18">
        <f>E204* 0.03</f>
        <v>0.06</v>
      </c>
      <c r="G204" s="18">
        <f>E204* 0.97</f>
        <v>1.94</v>
      </c>
      <c r="H204" s="20">
        <v>0.0</v>
      </c>
    </row>
    <row r="205" ht="15.75" hidden="1" customHeight="1">
      <c r="A205" s="20" t="s">
        <v>9</v>
      </c>
      <c r="B205" s="11" t="s">
        <v>48</v>
      </c>
      <c r="C205" s="15"/>
      <c r="D205" s="16" t="s">
        <v>11</v>
      </c>
      <c r="E205" s="17">
        <v>10.0</v>
      </c>
      <c r="F205" s="18">
        <f>E205* 0.0664298401420959</f>
        <v>0.6642984014</v>
      </c>
      <c r="G205" s="18">
        <f>E205* 0.932326820603908</f>
        <v>9.323268206</v>
      </c>
      <c r="H205" s="18">
        <f>E205* 0.00106571936056838</f>
        <v>0.01065719361</v>
      </c>
    </row>
    <row r="206" ht="15.75" hidden="1" customHeight="1">
      <c r="A206" s="20" t="s">
        <v>9</v>
      </c>
      <c r="B206" s="11" t="s">
        <v>48</v>
      </c>
      <c r="C206" s="15"/>
      <c r="D206" s="16" t="s">
        <v>17</v>
      </c>
      <c r="E206" s="17">
        <v>18.0</v>
      </c>
      <c r="F206" s="18">
        <f>E206* 0.860929374266063</f>
        <v>15.49672874</v>
      </c>
      <c r="G206" s="18">
        <f>E206* 0.0811944304646871</f>
        <v>1.461499748</v>
      </c>
      <c r="H206" s="18">
        <f>E206* 0.0578761952692501</f>
        <v>1.041771515</v>
      </c>
    </row>
    <row r="207" ht="15.75" hidden="1" customHeight="1">
      <c r="A207" s="20" t="s">
        <v>9</v>
      </c>
      <c r="B207" s="11" t="s">
        <v>48</v>
      </c>
      <c r="C207" s="15"/>
      <c r="D207" s="16" t="s">
        <v>18</v>
      </c>
      <c r="E207" s="17">
        <v>7.0</v>
      </c>
      <c r="F207" s="18">
        <f>E207* 0.949854952341484</f>
        <v>6.648984666</v>
      </c>
      <c r="G207" s="18">
        <f>E207* 0.0439287194363862</f>
        <v>0.3075010361</v>
      </c>
      <c r="H207" s="18">
        <f>E207* 0.00621632822213013</f>
        <v>0.04351429755</v>
      </c>
    </row>
    <row r="208" ht="15.75" hidden="1" customHeight="1">
      <c r="A208" s="20" t="s">
        <v>9</v>
      </c>
      <c r="B208" s="11" t="s">
        <v>48</v>
      </c>
      <c r="C208" s="15"/>
      <c r="D208" s="16" t="s">
        <v>19</v>
      </c>
      <c r="E208" s="17">
        <v>1.0</v>
      </c>
      <c r="F208" s="18">
        <f>E208* 0.0187085093542547</f>
        <v>0.01870850935</v>
      </c>
      <c r="G208" s="18">
        <f>E208* 0.978877489438745</f>
        <v>0.9788774894</v>
      </c>
      <c r="H208" s="18">
        <f>E208* 0.0024140012070006</f>
        <v>0.002414001207</v>
      </c>
    </row>
    <row r="209" ht="15.75" hidden="1" customHeight="1">
      <c r="A209" s="20" t="s">
        <v>9</v>
      </c>
      <c r="B209" s="11" t="s">
        <v>48</v>
      </c>
      <c r="C209" s="15"/>
      <c r="D209" s="16" t="s">
        <v>20</v>
      </c>
      <c r="E209" s="17">
        <v>7.0</v>
      </c>
      <c r="F209" s="18">
        <f>E209* 0.557228915662651</f>
        <v>3.90060241</v>
      </c>
      <c r="G209" s="18">
        <f>E209* 0.390562248995984</f>
        <v>2.733935743</v>
      </c>
      <c r="H209" s="18">
        <f>E209* 0.0522088353413655</f>
        <v>0.3654618474</v>
      </c>
    </row>
    <row r="210" ht="15.75" hidden="1" customHeight="1">
      <c r="A210" s="20" t="s">
        <v>9</v>
      </c>
      <c r="B210" s="11" t="s">
        <v>48</v>
      </c>
      <c r="C210" s="15"/>
      <c r="D210" s="16" t="s">
        <v>21</v>
      </c>
      <c r="E210" s="23">
        <v>1180.0</v>
      </c>
      <c r="F210" s="18">
        <f>E210* 0.999622470552703</f>
        <v>1179.554515</v>
      </c>
      <c r="G210" s="18">
        <f>E210* 0.0000755058894593778</f>
        <v>0.08909694956</v>
      </c>
      <c r="H210" s="18">
        <f>E210* 0.000302023557837511</f>
        <v>0.3563877982</v>
      </c>
    </row>
    <row r="211" ht="15.75" hidden="1" customHeight="1">
      <c r="A211" s="20" t="s">
        <v>9</v>
      </c>
      <c r="B211" s="11" t="s">
        <v>48</v>
      </c>
      <c r="C211" s="15"/>
      <c r="D211" s="16" t="s">
        <v>36</v>
      </c>
      <c r="E211" s="17">
        <v>2.0</v>
      </c>
      <c r="F211" s="20">
        <f>E211</f>
        <v>2</v>
      </c>
      <c r="G211" s="20">
        <v>0.0</v>
      </c>
      <c r="H211" s="20">
        <v>0.0</v>
      </c>
    </row>
    <row r="212" ht="15.75" hidden="1" customHeight="1">
      <c r="A212" s="20" t="s">
        <v>9</v>
      </c>
      <c r="B212" s="11" t="s">
        <v>48</v>
      </c>
      <c r="C212" s="15"/>
      <c r="D212" s="16" t="s">
        <v>28</v>
      </c>
      <c r="E212" s="17">
        <v>1.0</v>
      </c>
      <c r="F212" s="20">
        <v>0.0</v>
      </c>
      <c r="G212" s="20">
        <f>E212</f>
        <v>1</v>
      </c>
      <c r="H212" s="20">
        <v>0.0</v>
      </c>
    </row>
    <row r="213" ht="15.75" hidden="1" customHeight="1">
      <c r="A213" s="20" t="s">
        <v>9</v>
      </c>
      <c r="B213" s="11" t="s">
        <v>48</v>
      </c>
      <c r="C213" s="15"/>
      <c r="D213" s="16" t="s">
        <v>12</v>
      </c>
      <c r="E213" s="17">
        <v>36.0</v>
      </c>
      <c r="F213" s="18">
        <f>E213* 0.889957698325317</f>
        <v>32.03847714</v>
      </c>
      <c r="G213" s="18">
        <f>E213* 0.0573100770701744</f>
        <v>2.063162775</v>
      </c>
      <c r="H213" s="18">
        <f>E213* 0.0526742771049429</f>
        <v>1.896273976</v>
      </c>
    </row>
    <row r="214" ht="15.75" hidden="1" customHeight="1">
      <c r="A214" s="20" t="s">
        <v>9</v>
      </c>
      <c r="B214" s="9"/>
      <c r="C214" s="8"/>
      <c r="E214" s="19"/>
    </row>
    <row r="215" ht="15.75" hidden="1" customHeight="1">
      <c r="A215" s="20" t="s">
        <v>9</v>
      </c>
      <c r="B215" s="42" t="s">
        <v>49</v>
      </c>
      <c r="C215" s="12" t="str">
        <f>B215&amp;"_"&amp;A215</f>
        <v>Yamparáez_Chuquisaca</v>
      </c>
      <c r="E215" s="43">
        <v>238.0</v>
      </c>
      <c r="F215" s="14">
        <f t="shared" ref="F215:H215" si="28">SUM(F216:F228)</f>
        <v>178.0894858</v>
      </c>
      <c r="G215" s="14">
        <f t="shared" si="28"/>
        <v>52.53893236</v>
      </c>
      <c r="H215" s="14">
        <f t="shared" si="28"/>
        <v>7.364490832</v>
      </c>
    </row>
    <row r="216" ht="15.75" hidden="1" customHeight="1">
      <c r="A216" s="20" t="s">
        <v>9</v>
      </c>
      <c r="B216" s="11" t="s">
        <v>49</v>
      </c>
      <c r="C216" s="15"/>
      <c r="D216" s="16" t="s">
        <v>288</v>
      </c>
      <c r="E216" s="17">
        <v>0.0</v>
      </c>
      <c r="F216" s="20">
        <v>0.0</v>
      </c>
      <c r="G216" s="20">
        <f>E216</f>
        <v>0</v>
      </c>
      <c r="H216" s="20">
        <v>0.0</v>
      </c>
    </row>
    <row r="217" ht="15.75" hidden="1" customHeight="1">
      <c r="A217" s="20" t="s">
        <v>9</v>
      </c>
      <c r="B217" s="11" t="s">
        <v>49</v>
      </c>
      <c r="C217" s="15"/>
      <c r="D217" s="16" t="s">
        <v>15</v>
      </c>
      <c r="E217" s="17">
        <v>47.0</v>
      </c>
      <c r="F217" s="18">
        <f>E217* 0.962408869987849</f>
        <v>45.23321689</v>
      </c>
      <c r="G217" s="18">
        <f>E217* 0.00425273390036452</f>
        <v>0.1998784933</v>
      </c>
      <c r="H217" s="18">
        <f>E217* 0.0333383961117862</f>
        <v>1.566904617</v>
      </c>
    </row>
    <row r="218" ht="15.75" hidden="1" customHeight="1">
      <c r="A218" s="20" t="s">
        <v>9</v>
      </c>
      <c r="B218" s="11" t="s">
        <v>49</v>
      </c>
      <c r="C218" s="15"/>
      <c r="D218" s="16" t="s">
        <v>286</v>
      </c>
      <c r="E218" s="17">
        <v>2.0</v>
      </c>
      <c r="F218" s="18">
        <f>E218* 0.03</f>
        <v>0.06</v>
      </c>
      <c r="G218" s="18">
        <f>E218* 0.97</f>
        <v>1.94</v>
      </c>
      <c r="H218" s="20">
        <v>0.0</v>
      </c>
    </row>
    <row r="219" ht="15.75" hidden="1" customHeight="1">
      <c r="A219" s="20" t="s">
        <v>9</v>
      </c>
      <c r="B219" s="11" t="s">
        <v>49</v>
      </c>
      <c r="C219" s="15"/>
      <c r="D219" s="16" t="s">
        <v>11</v>
      </c>
      <c r="E219" s="17">
        <v>21.0</v>
      </c>
      <c r="F219" s="18">
        <f>E219* 0.0664298401420959</f>
        <v>1.395026643</v>
      </c>
      <c r="G219" s="18">
        <f>E219* 0.932326820603908</f>
        <v>19.57886323</v>
      </c>
      <c r="H219" s="18">
        <f>E219* 0.00106571936056838</f>
        <v>0.02238010657</v>
      </c>
    </row>
    <row r="220" ht="15.75" hidden="1" customHeight="1">
      <c r="A220" s="20" t="s">
        <v>9</v>
      </c>
      <c r="B220" s="11" t="s">
        <v>49</v>
      </c>
      <c r="C220" s="15"/>
      <c r="D220" s="16" t="s">
        <v>17</v>
      </c>
      <c r="E220" s="17">
        <v>29.0</v>
      </c>
      <c r="F220" s="18">
        <f>E220* 0.860929374266063</f>
        <v>24.96695185</v>
      </c>
      <c r="G220" s="18">
        <f>E220* 0.0811944304646871</f>
        <v>2.354638483</v>
      </c>
      <c r="H220" s="18">
        <f>E220* 0.0578761952692501</f>
        <v>1.678409663</v>
      </c>
    </row>
    <row r="221" ht="15.75" hidden="1" customHeight="1">
      <c r="A221" s="20" t="s">
        <v>9</v>
      </c>
      <c r="B221" s="11" t="s">
        <v>49</v>
      </c>
      <c r="C221" s="15"/>
      <c r="D221" s="16" t="s">
        <v>31</v>
      </c>
      <c r="E221" s="17">
        <v>2.0</v>
      </c>
      <c r="F221" s="18">
        <f>E221* 0.935483870967742</f>
        <v>1.870967742</v>
      </c>
      <c r="G221" s="18">
        <f>E221* 0.0403225806451613</f>
        <v>0.08064516129</v>
      </c>
      <c r="H221" s="18">
        <f>E221* 0.0241935483870968</f>
        <v>0.04838709677</v>
      </c>
    </row>
    <row r="222" ht="15.75" hidden="1" customHeight="1">
      <c r="A222" s="20" t="s">
        <v>9</v>
      </c>
      <c r="B222" s="11" t="s">
        <v>49</v>
      </c>
      <c r="C222" s="15"/>
      <c r="D222" s="16" t="s">
        <v>18</v>
      </c>
      <c r="E222" s="17">
        <v>4.0</v>
      </c>
      <c r="F222" s="18">
        <f>E222* 0.949854952341484</f>
        <v>3.799419809</v>
      </c>
      <c r="G222" s="18">
        <f>E222* 0.0439287194363862</f>
        <v>0.1757148777</v>
      </c>
      <c r="H222" s="18">
        <f>E222* 0.00621632822213013</f>
        <v>0.02486531289</v>
      </c>
    </row>
    <row r="223" ht="15.75" hidden="1" customHeight="1">
      <c r="A223" s="20" t="s">
        <v>9</v>
      </c>
      <c r="B223" s="11" t="s">
        <v>49</v>
      </c>
      <c r="C223" s="15"/>
      <c r="D223" s="16" t="s">
        <v>55</v>
      </c>
      <c r="E223" s="17">
        <v>7.0</v>
      </c>
      <c r="F223" s="20">
        <v>0.0</v>
      </c>
      <c r="G223" s="20">
        <f>E223</f>
        <v>7</v>
      </c>
      <c r="H223" s="20">
        <v>0.0</v>
      </c>
    </row>
    <row r="224" ht="15.75" hidden="1" customHeight="1">
      <c r="A224" s="20" t="s">
        <v>9</v>
      </c>
      <c r="B224" s="11" t="s">
        <v>49</v>
      </c>
      <c r="C224" s="15"/>
      <c r="D224" s="16" t="s">
        <v>19</v>
      </c>
      <c r="E224" s="17">
        <v>7.0</v>
      </c>
      <c r="F224" s="18">
        <f>E224* 0.0187085093542547</f>
        <v>0.1309595655</v>
      </c>
      <c r="G224" s="18">
        <f>E224* 0.978877489438745</f>
        <v>6.852142426</v>
      </c>
      <c r="H224" s="18">
        <f>E224* 0.0024140012070006</f>
        <v>0.01689800845</v>
      </c>
    </row>
    <row r="225" ht="15.75" hidden="1" customHeight="1">
      <c r="A225" s="20" t="s">
        <v>9</v>
      </c>
      <c r="B225" s="11" t="s">
        <v>49</v>
      </c>
      <c r="C225" s="15"/>
      <c r="D225" s="16" t="s">
        <v>20</v>
      </c>
      <c r="E225" s="17">
        <v>18.0</v>
      </c>
      <c r="F225" s="18">
        <f>E225* 0.557228915662651</f>
        <v>10.03012048</v>
      </c>
      <c r="G225" s="18">
        <f>E225* 0.390562248995984</f>
        <v>7.030120482</v>
      </c>
      <c r="H225" s="18">
        <f>E225* 0.0522088353413655</f>
        <v>0.9397590361</v>
      </c>
    </row>
    <row r="226" ht="15.75" hidden="1" customHeight="1">
      <c r="A226" s="20" t="s">
        <v>9</v>
      </c>
      <c r="B226" s="11" t="s">
        <v>49</v>
      </c>
      <c r="C226" s="15"/>
      <c r="D226" s="16" t="s">
        <v>21</v>
      </c>
      <c r="E226" s="17">
        <v>39.0</v>
      </c>
      <c r="F226" s="18">
        <f>E226* 0.999622470552703</f>
        <v>38.98527635</v>
      </c>
      <c r="G226" s="18">
        <f>E226* 0.0000755058894593778</f>
        <v>0.002944729689</v>
      </c>
      <c r="H226" s="18">
        <f>E226* 0.000302023557837511</f>
        <v>0.01177891876</v>
      </c>
    </row>
    <row r="227" ht="15.75" hidden="1" customHeight="1">
      <c r="A227" s="20" t="s">
        <v>9</v>
      </c>
      <c r="B227" s="11" t="s">
        <v>49</v>
      </c>
      <c r="C227" s="15"/>
      <c r="D227" s="16" t="s">
        <v>28</v>
      </c>
      <c r="E227" s="17">
        <v>4.0</v>
      </c>
      <c r="F227" s="20">
        <v>0.0</v>
      </c>
      <c r="G227" s="20">
        <f>E227</f>
        <v>4</v>
      </c>
      <c r="H227" s="20">
        <v>0.0</v>
      </c>
    </row>
    <row r="228" ht="15.75" hidden="1" customHeight="1">
      <c r="A228" s="20" t="s">
        <v>9</v>
      </c>
      <c r="B228" s="11" t="s">
        <v>49</v>
      </c>
      <c r="C228" s="15"/>
      <c r="D228" s="16" t="s">
        <v>12</v>
      </c>
      <c r="E228" s="17">
        <v>58.0</v>
      </c>
      <c r="F228" s="18">
        <f>E228* 0.889957698325317</f>
        <v>51.6175465</v>
      </c>
      <c r="G228" s="18">
        <f>E228* 0.0573100770701744</f>
        <v>3.32398447</v>
      </c>
      <c r="H228" s="18">
        <f>E228* 0.0526742771049429</f>
        <v>3.055108072</v>
      </c>
    </row>
    <row r="229" ht="15.75" hidden="1" customHeight="1">
      <c r="A229" s="20" t="s">
        <v>9</v>
      </c>
      <c r="B229" s="9"/>
      <c r="C229" s="8"/>
      <c r="E229" s="19"/>
    </row>
    <row r="230" ht="15.75" hidden="1" customHeight="1">
      <c r="A230" s="20" t="s">
        <v>9</v>
      </c>
      <c r="B230" s="42" t="s">
        <v>50</v>
      </c>
      <c r="C230" s="12" t="str">
        <f>B230&amp;"_"&amp;A230</f>
        <v>Yotala_Chuquisaca</v>
      </c>
      <c r="E230" s="43">
        <v>128.0</v>
      </c>
      <c r="F230" s="14">
        <f t="shared" ref="F230:H230" si="29">SUM(F231:F239)</f>
        <v>92.34063338</v>
      </c>
      <c r="G230" s="14">
        <f t="shared" si="29"/>
        <v>31.35294926</v>
      </c>
      <c r="H230" s="14">
        <f t="shared" si="29"/>
        <v>4.30164806</v>
      </c>
    </row>
    <row r="231" ht="15.75" hidden="1" customHeight="1">
      <c r="A231" s="20" t="s">
        <v>9</v>
      </c>
      <c r="B231" s="11" t="s">
        <v>50</v>
      </c>
      <c r="C231" s="15"/>
      <c r="D231" s="16" t="s">
        <v>15</v>
      </c>
      <c r="E231" s="17">
        <v>19.0</v>
      </c>
      <c r="F231" s="18">
        <f>E231* 0.962408869987849</f>
        <v>18.28576853</v>
      </c>
      <c r="G231" s="18">
        <f>E231* 0.00425273390036452</f>
        <v>0.08080194411</v>
      </c>
      <c r="H231" s="18">
        <f>E231* 0.0333383961117862</f>
        <v>0.6334295261</v>
      </c>
    </row>
    <row r="232" ht="15.75" hidden="1" customHeight="1">
      <c r="A232" s="20" t="s">
        <v>9</v>
      </c>
      <c r="B232" s="11" t="s">
        <v>50</v>
      </c>
      <c r="C232" s="15"/>
      <c r="D232" s="16" t="s">
        <v>11</v>
      </c>
      <c r="E232" s="17">
        <v>20.0</v>
      </c>
      <c r="F232" s="18">
        <f>E232* 0.0664298401420959</f>
        <v>1.328596803</v>
      </c>
      <c r="G232" s="18">
        <f>E232* 0.932326820603908</f>
        <v>18.64653641</v>
      </c>
      <c r="H232" s="18">
        <f>E232* 0.00106571936056838</f>
        <v>0.02131438721</v>
      </c>
    </row>
    <row r="233" ht="15.75" hidden="1" customHeight="1">
      <c r="A233" s="20" t="s">
        <v>9</v>
      </c>
      <c r="B233" s="11" t="s">
        <v>50</v>
      </c>
      <c r="C233" s="15"/>
      <c r="D233" s="16" t="s">
        <v>17</v>
      </c>
      <c r="E233" s="17">
        <v>27.0</v>
      </c>
      <c r="F233" s="18">
        <f>E233* 0.860929374266063</f>
        <v>23.24509311</v>
      </c>
      <c r="G233" s="18">
        <f>E233* 0.0811944304646871</f>
        <v>2.192249623</v>
      </c>
      <c r="H233" s="18">
        <f>E233* 0.0578761952692501</f>
        <v>1.562657272</v>
      </c>
    </row>
    <row r="234" ht="15.75" hidden="1" customHeight="1">
      <c r="A234" s="20" t="s">
        <v>9</v>
      </c>
      <c r="B234" s="11" t="s">
        <v>50</v>
      </c>
      <c r="C234" s="15"/>
      <c r="D234" s="16" t="s">
        <v>18</v>
      </c>
      <c r="E234" s="17">
        <v>5.0</v>
      </c>
      <c r="F234" s="18">
        <f>E234* 0.949854952341484</f>
        <v>4.749274762</v>
      </c>
      <c r="G234" s="18">
        <f>E234* 0.0439287194363862</f>
        <v>0.2196435972</v>
      </c>
      <c r="H234" s="18">
        <f>E234* 0.00621632822213013</f>
        <v>0.03108164111</v>
      </c>
    </row>
    <row r="235" ht="15.75" hidden="1" customHeight="1">
      <c r="A235" s="20" t="s">
        <v>9</v>
      </c>
      <c r="B235" s="11" t="s">
        <v>50</v>
      </c>
      <c r="C235" s="15"/>
      <c r="D235" s="16" t="s">
        <v>19</v>
      </c>
      <c r="E235" s="17">
        <v>1.0</v>
      </c>
      <c r="F235" s="18">
        <f>E235* 0.0187085093542547</f>
        <v>0.01870850935</v>
      </c>
      <c r="G235" s="18">
        <f>E235* 0.978877489438745</f>
        <v>0.9788774894</v>
      </c>
      <c r="H235" s="18">
        <f>E235* 0.0024140012070006</f>
        <v>0.002414001207</v>
      </c>
    </row>
    <row r="236" ht="15.75" hidden="1" customHeight="1">
      <c r="A236" s="20" t="s">
        <v>9</v>
      </c>
      <c r="B236" s="11" t="s">
        <v>50</v>
      </c>
      <c r="C236" s="15"/>
      <c r="D236" s="16" t="s">
        <v>20</v>
      </c>
      <c r="E236" s="17">
        <v>18.0</v>
      </c>
      <c r="F236" s="18">
        <f>E236* 0.557228915662651</f>
        <v>10.03012048</v>
      </c>
      <c r="G236" s="18">
        <f>E236* 0.390562248995984</f>
        <v>7.030120482</v>
      </c>
      <c r="H236" s="18">
        <f>E236* 0.0522088353413655</f>
        <v>0.9397590361</v>
      </c>
    </row>
    <row r="237" ht="15.75" hidden="1" customHeight="1">
      <c r="A237" s="20" t="s">
        <v>9</v>
      </c>
      <c r="B237" s="11" t="s">
        <v>50</v>
      </c>
      <c r="C237" s="15"/>
      <c r="D237" s="16" t="s">
        <v>21</v>
      </c>
      <c r="E237" s="17">
        <v>16.0</v>
      </c>
      <c r="F237" s="18">
        <f>E237* 0.999622470552703</f>
        <v>15.99395953</v>
      </c>
      <c r="G237" s="18">
        <f>E237* 0.0000755058894593778</f>
        <v>0.001208094231</v>
      </c>
      <c r="H237" s="18">
        <f>E237* 0.000302023557837511</f>
        <v>0.004832376925</v>
      </c>
    </row>
    <row r="238" ht="15.75" hidden="1" customHeight="1">
      <c r="A238" s="20" t="s">
        <v>9</v>
      </c>
      <c r="B238" s="11" t="s">
        <v>50</v>
      </c>
      <c r="C238" s="15"/>
      <c r="D238" s="16" t="s">
        <v>28</v>
      </c>
      <c r="E238" s="17">
        <v>1.0</v>
      </c>
      <c r="F238" s="20">
        <v>0.0</v>
      </c>
      <c r="G238" s="20">
        <f>E238</f>
        <v>1</v>
      </c>
      <c r="H238" s="20">
        <v>0.0</v>
      </c>
    </row>
    <row r="239" ht="15.75" hidden="1" customHeight="1">
      <c r="A239" s="20" t="s">
        <v>9</v>
      </c>
      <c r="B239" s="11" t="s">
        <v>50</v>
      </c>
      <c r="C239" s="15"/>
      <c r="D239" s="25" t="s">
        <v>12</v>
      </c>
      <c r="E239" s="26">
        <v>21.0</v>
      </c>
      <c r="F239" s="18">
        <f>E239* 0.889957698325317</f>
        <v>18.68911166</v>
      </c>
      <c r="G239" s="18">
        <f>E239* 0.0573100770701744</f>
        <v>1.203511618</v>
      </c>
      <c r="H239" s="18">
        <f>E239* 0.0526742771049429</f>
        <v>1.106159819</v>
      </c>
    </row>
    <row r="240" ht="15.75" hidden="1" customHeight="1">
      <c r="A240" s="20" t="s">
        <v>51</v>
      </c>
      <c r="B240" s="47" t="s">
        <v>52</v>
      </c>
      <c r="C240" s="12" t="str">
        <f>B240&amp;"_"&amp;A240</f>
        <v>Achacachi_La Paz</v>
      </c>
      <c r="D240" s="20"/>
      <c r="E240" s="45">
        <v>2180.0</v>
      </c>
      <c r="F240" s="14">
        <f t="shared" ref="F240:H240" si="30">SUM(F241:F254)</f>
        <v>1724.58251</v>
      </c>
      <c r="G240" s="14">
        <f t="shared" si="30"/>
        <v>374.0324709</v>
      </c>
      <c r="H240" s="14">
        <f t="shared" si="30"/>
        <v>81.28713272</v>
      </c>
    </row>
    <row r="241" ht="15.75" hidden="1" customHeight="1">
      <c r="A241" s="20" t="s">
        <v>51</v>
      </c>
      <c r="B241" s="47" t="s">
        <v>52</v>
      </c>
      <c r="C241" s="47"/>
      <c r="D241" s="29" t="s">
        <v>290</v>
      </c>
      <c r="E241" s="23">
        <v>0.0</v>
      </c>
      <c r="F241" s="20">
        <v>0.0</v>
      </c>
      <c r="G241" s="24">
        <f>E241</f>
        <v>0</v>
      </c>
      <c r="H241" s="20">
        <v>0.0</v>
      </c>
    </row>
    <row r="242" ht="15.75" hidden="1" customHeight="1">
      <c r="A242" s="20" t="s">
        <v>51</v>
      </c>
      <c r="B242" s="47" t="s">
        <v>52</v>
      </c>
      <c r="C242" s="47"/>
      <c r="D242" s="19" t="s">
        <v>15</v>
      </c>
      <c r="E242" s="23">
        <v>193.0</v>
      </c>
      <c r="F242" s="18">
        <f>E242* 0.981163265034061</f>
        <v>189.3645102</v>
      </c>
      <c r="G242" s="18">
        <f>E242* 0.0027595216829083</f>
        <v>0.5325876848</v>
      </c>
      <c r="H242" s="18">
        <f>E242* 0.0160372202151627</f>
        <v>3.095183502</v>
      </c>
    </row>
    <row r="243" ht="15.75" hidden="1" customHeight="1">
      <c r="A243" s="20" t="s">
        <v>51</v>
      </c>
      <c r="B243" s="47" t="s">
        <v>52</v>
      </c>
      <c r="C243" s="47"/>
      <c r="D243" s="29" t="s">
        <v>291</v>
      </c>
      <c r="E243" s="23">
        <v>16.0</v>
      </c>
      <c r="F243" s="18">
        <f>E243* 0.142974979378609</f>
        <v>2.28759967</v>
      </c>
      <c r="G243" s="18">
        <f>E243* 0.852350838603245</f>
        <v>13.63761342</v>
      </c>
      <c r="H243" s="18">
        <f>E243* 0.00467418201814682</f>
        <v>0.07478691229</v>
      </c>
    </row>
    <row r="244" ht="15.75" hidden="1" customHeight="1">
      <c r="A244" s="20" t="s">
        <v>51</v>
      </c>
      <c r="B244" s="47" t="s">
        <v>52</v>
      </c>
      <c r="C244" s="47"/>
      <c r="D244" s="19" t="s">
        <v>11</v>
      </c>
      <c r="E244" s="23">
        <v>318.0</v>
      </c>
      <c r="F244" s="18">
        <f>E244* 0.178797409805735</f>
        <v>56.85757632</v>
      </c>
      <c r="G244" s="18">
        <f>E244* 0.819278445883441</f>
        <v>260.5305458</v>
      </c>
      <c r="H244" s="18">
        <f>E244* 0.00181313598519889</f>
        <v>0.5765772433</v>
      </c>
    </row>
    <row r="245" ht="15.75" hidden="1" customHeight="1">
      <c r="A245" s="20" t="s">
        <v>51</v>
      </c>
      <c r="B245" s="47" t="s">
        <v>52</v>
      </c>
      <c r="C245" s="47"/>
      <c r="D245" s="19" t="s">
        <v>17</v>
      </c>
      <c r="E245" s="23">
        <v>191.0</v>
      </c>
      <c r="F245" s="18">
        <f>E245* 0.916446662218225</f>
        <v>175.0413125</v>
      </c>
      <c r="G245" s="18">
        <f>E245* 0.0292436682236212</f>
        <v>5.585540631</v>
      </c>
      <c r="H245" s="18">
        <f>E245* 0.0543096695581537</f>
        <v>10.37314689</v>
      </c>
    </row>
    <row r="246" ht="15.75" hidden="1" customHeight="1">
      <c r="A246" s="20" t="s">
        <v>51</v>
      </c>
      <c r="B246" s="47" t="s">
        <v>52</v>
      </c>
      <c r="C246" s="47"/>
      <c r="D246" s="19" t="s">
        <v>31</v>
      </c>
      <c r="E246" s="23">
        <v>38.0</v>
      </c>
      <c r="F246" s="18">
        <f>E246* 0.957442434210526</f>
        <v>36.3828125</v>
      </c>
      <c r="G246" s="18">
        <f>E246* 0.0158305921052632</f>
        <v>0.6015625</v>
      </c>
      <c r="H246" s="18">
        <f>E246* 0.0263157894736842</f>
        <v>1</v>
      </c>
    </row>
    <row r="247" ht="15.75" hidden="1" customHeight="1">
      <c r="A247" s="20" t="s">
        <v>51</v>
      </c>
      <c r="B247" s="47" t="s">
        <v>52</v>
      </c>
      <c r="C247" s="47"/>
      <c r="D247" s="19" t="s">
        <v>18</v>
      </c>
      <c r="E247" s="23">
        <v>53.0</v>
      </c>
      <c r="F247" s="18">
        <f>E247* 0.983388008654987</f>
        <v>52.11956446</v>
      </c>
      <c r="G247" s="18">
        <f>E247* 0.0133314720457877</f>
        <v>0.7065680184</v>
      </c>
      <c r="H247" s="18">
        <f>E247* 0.003210721016263</f>
        <v>0.1701682139</v>
      </c>
    </row>
    <row r="248" ht="15.75" hidden="1" customHeight="1">
      <c r="A248" s="20" t="s">
        <v>51</v>
      </c>
      <c r="B248" s="47" t="s">
        <v>52</v>
      </c>
      <c r="C248" s="47"/>
      <c r="D248" s="19" t="s">
        <v>19</v>
      </c>
      <c r="E248" s="23">
        <v>3.0</v>
      </c>
      <c r="F248" s="18">
        <f>E248* 0.511826182618262</f>
        <v>1.535478548</v>
      </c>
      <c r="G248" s="18">
        <f>E248* 0.476622662266227</f>
        <v>1.429867987</v>
      </c>
      <c r="H248" s="18">
        <f>E248* 0.0115511551155116</f>
        <v>0.03465346535</v>
      </c>
    </row>
    <row r="249" ht="15.75" hidden="1" customHeight="1">
      <c r="A249" s="20" t="s">
        <v>51</v>
      </c>
      <c r="B249" s="47" t="s">
        <v>52</v>
      </c>
      <c r="C249" s="47"/>
      <c r="D249" s="19" t="s">
        <v>20</v>
      </c>
      <c r="E249" s="23">
        <v>399.0</v>
      </c>
      <c r="F249" s="18">
        <f>E249* 0.814615536880747</f>
        <v>325.0315992</v>
      </c>
      <c r="G249" s="18">
        <f>E249* 0.0763167839340663</f>
        <v>30.45039679</v>
      </c>
      <c r="H249" s="18">
        <f>E249* 0.109013694193014</f>
        <v>43.49646398</v>
      </c>
    </row>
    <row r="250" ht="15.75" hidden="1" customHeight="1">
      <c r="A250" s="20" t="s">
        <v>51</v>
      </c>
      <c r="B250" s="47" t="s">
        <v>52</v>
      </c>
      <c r="C250" s="47"/>
      <c r="D250" s="19" t="s">
        <v>21</v>
      </c>
      <c r="E250" s="23">
        <v>365.0</v>
      </c>
      <c r="F250" s="18">
        <f>E250* 0.999722052365334</f>
        <v>364.8985491</v>
      </c>
      <c r="G250" s="20">
        <v>0.0</v>
      </c>
      <c r="H250" s="18">
        <f>E250* 0.000277947634665629</f>
        <v>0.1014508867</v>
      </c>
    </row>
    <row r="251" ht="15.75" hidden="1" customHeight="1">
      <c r="A251" s="20" t="s">
        <v>51</v>
      </c>
      <c r="B251" s="47" t="s">
        <v>52</v>
      </c>
      <c r="C251" s="47"/>
      <c r="D251" s="19" t="s">
        <v>292</v>
      </c>
      <c r="E251" s="23">
        <v>3.0</v>
      </c>
      <c r="F251" s="18">
        <f>E251* 0.999132697311362</f>
        <v>2.997398092</v>
      </c>
      <c r="G251" s="20">
        <v>0.0</v>
      </c>
      <c r="H251" s="18">
        <f>E251* 0.000867302688638335</f>
        <v>0.002601908066</v>
      </c>
    </row>
    <row r="252" ht="15.75" hidden="1" customHeight="1">
      <c r="A252" s="20" t="s">
        <v>51</v>
      </c>
      <c r="B252" s="47" t="s">
        <v>52</v>
      </c>
      <c r="C252" s="47"/>
      <c r="D252" s="19" t="s">
        <v>37</v>
      </c>
      <c r="E252" s="23">
        <v>1.0</v>
      </c>
      <c r="F252" s="18">
        <f>E252* 0.0555555555555556</f>
        <v>0.05555555556</v>
      </c>
      <c r="G252" s="18">
        <f>E252* 0.944444444444444</f>
        <v>0.9444444444</v>
      </c>
      <c r="H252" s="20">
        <v>0.0</v>
      </c>
    </row>
    <row r="253" ht="15.75" hidden="1" customHeight="1">
      <c r="A253" s="20" t="s">
        <v>51</v>
      </c>
      <c r="B253" s="47" t="s">
        <v>52</v>
      </c>
      <c r="C253" s="47"/>
      <c r="D253" s="19" t="s">
        <v>28</v>
      </c>
      <c r="E253" s="23">
        <v>40.0</v>
      </c>
      <c r="F253" s="18">
        <f>E253* 0.00115651503469545</f>
        <v>0.04626060139</v>
      </c>
      <c r="G253" s="18">
        <f>E253* 0.998843484965305</f>
        <v>39.9537394</v>
      </c>
      <c r="H253" s="20">
        <v>0.0</v>
      </c>
    </row>
    <row r="254" ht="15.75" hidden="1" customHeight="1">
      <c r="A254" s="20" t="s">
        <v>51</v>
      </c>
      <c r="B254" s="47" t="s">
        <v>52</v>
      </c>
      <c r="C254" s="47"/>
      <c r="D254" s="19" t="s">
        <v>12</v>
      </c>
      <c r="E254" s="23">
        <v>560.0</v>
      </c>
      <c r="F254" s="18">
        <f>E254* 0.924936238310357</f>
        <v>517.9642935</v>
      </c>
      <c r="G254" s="18">
        <f>E254* 0.0351064361799663</f>
        <v>19.65960426</v>
      </c>
      <c r="H254" s="18">
        <f>E254* 0.039932320925503</f>
        <v>22.36209972</v>
      </c>
    </row>
    <row r="255" ht="15.75" hidden="1" customHeight="1">
      <c r="A255" s="20" t="s">
        <v>51</v>
      </c>
      <c r="B255" s="20"/>
      <c r="C255" s="20"/>
      <c r="D255" s="46"/>
      <c r="E255" s="35"/>
    </row>
    <row r="256" ht="15.75" hidden="1" customHeight="1">
      <c r="A256" s="20" t="s">
        <v>51</v>
      </c>
      <c r="B256" s="47" t="s">
        <v>54</v>
      </c>
      <c r="C256" s="12" t="str">
        <f>B256&amp;"_"&amp;A256</f>
        <v>Achocalla_La Paz</v>
      </c>
      <c r="D256" s="20"/>
      <c r="E256" s="45">
        <v>46310.0</v>
      </c>
      <c r="F256" s="14">
        <f t="shared" ref="F256:H256" si="31">SUM(F257:F272)</f>
        <v>39371.36873</v>
      </c>
      <c r="G256" s="14">
        <f t="shared" si="31"/>
        <v>5070.741227</v>
      </c>
      <c r="H256" s="14">
        <f t="shared" si="31"/>
        <v>1866.230372</v>
      </c>
    </row>
    <row r="257" ht="15.75" hidden="1" customHeight="1">
      <c r="A257" s="20" t="s">
        <v>51</v>
      </c>
      <c r="B257" s="47" t="s">
        <v>54</v>
      </c>
      <c r="C257" s="47"/>
      <c r="D257" s="29" t="s">
        <v>293</v>
      </c>
      <c r="E257" s="23">
        <v>12.0</v>
      </c>
      <c r="F257" s="20">
        <v>0.0</v>
      </c>
      <c r="G257" s="24">
        <f>E257</f>
        <v>12</v>
      </c>
      <c r="H257" s="20">
        <v>0.0</v>
      </c>
    </row>
    <row r="258" ht="15.75" hidden="1" customHeight="1">
      <c r="A258" s="20" t="s">
        <v>51</v>
      </c>
      <c r="B258" s="47" t="s">
        <v>54</v>
      </c>
      <c r="C258" s="47"/>
      <c r="D258" s="19" t="s">
        <v>15</v>
      </c>
      <c r="E258" s="23">
        <v>3086.0</v>
      </c>
      <c r="F258" s="18">
        <f>E258* 0.981163265034061</f>
        <v>3027.869836</v>
      </c>
      <c r="G258" s="18">
        <f>E258* 0.0027595216829083</f>
        <v>8.515883913</v>
      </c>
      <c r="H258" s="18">
        <f>E258* 0.0160372202151627</f>
        <v>49.49086158</v>
      </c>
    </row>
    <row r="259" ht="15.75" hidden="1" customHeight="1">
      <c r="A259" s="20" t="s">
        <v>51</v>
      </c>
      <c r="B259" s="47" t="s">
        <v>54</v>
      </c>
      <c r="C259" s="47"/>
      <c r="D259" s="29" t="s">
        <v>294</v>
      </c>
      <c r="E259" s="23">
        <v>84.0</v>
      </c>
      <c r="F259" s="18">
        <f>E259* 0.142974979378609</f>
        <v>12.00989827</v>
      </c>
      <c r="G259" s="18">
        <f>E259* 0.852350838603245</f>
        <v>71.59747044</v>
      </c>
      <c r="H259" s="18">
        <f>E259* 0.00467418201814682</f>
        <v>0.3926312895</v>
      </c>
    </row>
    <row r="260" ht="15.75" hidden="1" customHeight="1">
      <c r="A260" s="20" t="s">
        <v>51</v>
      </c>
      <c r="B260" s="47" t="s">
        <v>54</v>
      </c>
      <c r="C260" s="47"/>
      <c r="D260" s="19" t="s">
        <v>11</v>
      </c>
      <c r="E260" s="23">
        <v>2798.0</v>
      </c>
      <c r="F260" s="18">
        <f>E260* 0.178797409805735</f>
        <v>500.2751526</v>
      </c>
      <c r="G260" s="18">
        <f>E260* 0.819278445883441</f>
        <v>2292.341092</v>
      </c>
      <c r="H260" s="18">
        <f>E260* 0.00181313598519889</f>
        <v>5.073154487</v>
      </c>
    </row>
    <row r="261" ht="15.75" hidden="1" customHeight="1">
      <c r="A261" s="20" t="s">
        <v>51</v>
      </c>
      <c r="B261" s="47" t="s">
        <v>54</v>
      </c>
      <c r="C261" s="47"/>
      <c r="D261" s="19" t="s">
        <v>17</v>
      </c>
      <c r="E261" s="23">
        <v>4679.0</v>
      </c>
      <c r="F261" s="18">
        <f>E261* 0.916446662218225</f>
        <v>4288.053933</v>
      </c>
      <c r="G261" s="18">
        <f>E261* 0.0292436682236212</f>
        <v>136.8311236</v>
      </c>
      <c r="H261" s="18">
        <f>E261* 0.0543096695581537</f>
        <v>254.1149439</v>
      </c>
    </row>
    <row r="262" ht="15.75" hidden="1" customHeight="1">
      <c r="A262" s="20" t="s">
        <v>51</v>
      </c>
      <c r="B262" s="47" t="s">
        <v>54</v>
      </c>
      <c r="C262" s="47"/>
      <c r="D262" s="19" t="s">
        <v>31</v>
      </c>
      <c r="E262" s="23">
        <v>896.0</v>
      </c>
      <c r="F262" s="18">
        <f>E262* 0.957442434210526</f>
        <v>857.8684211</v>
      </c>
      <c r="G262" s="18">
        <f>E262* 0.0158305921052632</f>
        <v>14.18421053</v>
      </c>
      <c r="H262" s="18">
        <f>E262* 0.0263157894736842</f>
        <v>23.57894737</v>
      </c>
    </row>
    <row r="263" ht="15.75" hidden="1" customHeight="1">
      <c r="A263" s="20" t="s">
        <v>51</v>
      </c>
      <c r="B263" s="47" t="s">
        <v>54</v>
      </c>
      <c r="C263" s="47"/>
      <c r="D263" s="19" t="s">
        <v>18</v>
      </c>
      <c r="E263" s="23">
        <v>493.0</v>
      </c>
      <c r="F263" s="18">
        <f>E263* 0.983388008654987</f>
        <v>484.8102883</v>
      </c>
      <c r="G263" s="18">
        <f>E263* 0.0133314720457877</f>
        <v>6.572415719</v>
      </c>
      <c r="H263" s="18">
        <f>E263* 0.003210721016263</f>
        <v>1.582885461</v>
      </c>
    </row>
    <row r="264" ht="15.75" hidden="1" customHeight="1">
      <c r="A264" s="20" t="s">
        <v>51</v>
      </c>
      <c r="B264" s="47" t="s">
        <v>54</v>
      </c>
      <c r="C264" s="47"/>
      <c r="D264" s="19" t="s">
        <v>295</v>
      </c>
      <c r="E264" s="23">
        <v>17.0</v>
      </c>
      <c r="F264" s="20">
        <v>0.0</v>
      </c>
      <c r="G264" s="24">
        <f>E264</f>
        <v>17</v>
      </c>
      <c r="H264" s="20">
        <v>0.0</v>
      </c>
    </row>
    <row r="265" ht="15.75" hidden="1" customHeight="1">
      <c r="A265" s="20" t="s">
        <v>51</v>
      </c>
      <c r="B265" s="47" t="s">
        <v>54</v>
      </c>
      <c r="C265" s="47"/>
      <c r="D265" s="19" t="s">
        <v>19</v>
      </c>
      <c r="E265" s="23">
        <v>34.0</v>
      </c>
      <c r="F265" s="18">
        <f>E265* 0.511826182618262</f>
        <v>17.40209021</v>
      </c>
      <c r="G265" s="18">
        <f>E265* 0.476622662266227</f>
        <v>16.20517052</v>
      </c>
      <c r="H265" s="18">
        <f>E265* 0.0115511551155116</f>
        <v>0.3927392739</v>
      </c>
    </row>
    <row r="266" ht="15.75" hidden="1" customHeight="1">
      <c r="A266" s="20" t="s">
        <v>51</v>
      </c>
      <c r="B266" s="47" t="s">
        <v>54</v>
      </c>
      <c r="C266" s="47"/>
      <c r="D266" s="19" t="s">
        <v>20</v>
      </c>
      <c r="E266" s="23">
        <v>9407.0</v>
      </c>
      <c r="F266" s="18">
        <f>E266* 0.814615536880747</f>
        <v>7663.088355</v>
      </c>
      <c r="G266" s="18">
        <f>E266* 0.0763167839340663</f>
        <v>717.9119865</v>
      </c>
      <c r="H266" s="18">
        <f>E266* 0.109013694193014</f>
        <v>1025.491821</v>
      </c>
    </row>
    <row r="267" ht="15.75" hidden="1" customHeight="1">
      <c r="A267" s="20" t="s">
        <v>51</v>
      </c>
      <c r="B267" s="47" t="s">
        <v>54</v>
      </c>
      <c r="C267" s="47"/>
      <c r="D267" s="19" t="s">
        <v>21</v>
      </c>
      <c r="E267" s="23">
        <v>10762.0</v>
      </c>
      <c r="F267" s="18">
        <f>E267* 0.999722052365334</f>
        <v>10759.00873</v>
      </c>
      <c r="G267" s="20">
        <v>0.0</v>
      </c>
      <c r="H267" s="18">
        <f>E267* 0.000277947634665629</f>
        <v>2.991272444</v>
      </c>
    </row>
    <row r="268" ht="15.75" hidden="1" customHeight="1">
      <c r="A268" s="20" t="s">
        <v>51</v>
      </c>
      <c r="B268" s="47" t="s">
        <v>54</v>
      </c>
      <c r="C268" s="47"/>
      <c r="D268" s="19" t="s">
        <v>36</v>
      </c>
      <c r="E268" s="23">
        <v>108.0</v>
      </c>
      <c r="F268" s="18">
        <f>E268* 0.999132697311362</f>
        <v>107.9063313</v>
      </c>
      <c r="G268" s="20">
        <v>0.0</v>
      </c>
      <c r="H268" s="18">
        <f>E268* 0.000867302688638335</f>
        <v>0.09366869037</v>
      </c>
    </row>
    <row r="269" ht="15.75" hidden="1" customHeight="1">
      <c r="A269" s="20" t="s">
        <v>51</v>
      </c>
      <c r="B269" s="47" t="s">
        <v>54</v>
      </c>
      <c r="C269" s="47"/>
      <c r="D269" s="19" t="s">
        <v>37</v>
      </c>
      <c r="E269" s="23">
        <v>2.0</v>
      </c>
      <c r="F269" s="18">
        <f>E269* 0.0555555555555556</f>
        <v>0.1111111111</v>
      </c>
      <c r="G269" s="18">
        <f>E269* 0.944444444444444</f>
        <v>1.888888889</v>
      </c>
      <c r="H269" s="20">
        <v>0.0</v>
      </c>
    </row>
    <row r="270" ht="15.75" hidden="1" customHeight="1">
      <c r="A270" s="20" t="s">
        <v>51</v>
      </c>
      <c r="B270" s="47" t="s">
        <v>54</v>
      </c>
      <c r="C270" s="47"/>
      <c r="D270" s="19" t="s">
        <v>28</v>
      </c>
      <c r="E270" s="23">
        <v>1334.0</v>
      </c>
      <c r="F270" s="18">
        <f>E270* 0.00115651503469545</f>
        <v>1.542791056</v>
      </c>
      <c r="G270" s="18">
        <f>E270* 0.998843484965305</f>
        <v>1332.457209</v>
      </c>
      <c r="H270" s="20">
        <v>0.0</v>
      </c>
    </row>
    <row r="271" ht="15.75" hidden="1" customHeight="1">
      <c r="A271" s="20" t="s">
        <v>51</v>
      </c>
      <c r="B271" s="47" t="s">
        <v>54</v>
      </c>
      <c r="C271" s="47"/>
      <c r="D271" s="19" t="s">
        <v>75</v>
      </c>
      <c r="E271" s="23">
        <v>1.0</v>
      </c>
      <c r="F271" s="20">
        <v>0.0</v>
      </c>
      <c r="G271" s="24">
        <f>E271</f>
        <v>1</v>
      </c>
      <c r="H271" s="20">
        <v>0.0</v>
      </c>
    </row>
    <row r="272" ht="15.75" hidden="1" customHeight="1">
      <c r="A272" s="20" t="s">
        <v>51</v>
      </c>
      <c r="B272" s="47" t="s">
        <v>54</v>
      </c>
      <c r="C272" s="47"/>
      <c r="D272" s="19" t="s">
        <v>12</v>
      </c>
      <c r="E272" s="23">
        <v>12597.0</v>
      </c>
      <c r="F272" s="18">
        <f>E272* 0.924936238310357</f>
        <v>11651.42179</v>
      </c>
      <c r="G272" s="18">
        <f>E272* 0.0351064361799663</f>
        <v>442.2357766</v>
      </c>
      <c r="H272" s="18">
        <f>E272* 0.039932320925503</f>
        <v>503.0274467</v>
      </c>
    </row>
    <row r="273" ht="15.75" hidden="1" customHeight="1">
      <c r="A273" s="20" t="s">
        <v>51</v>
      </c>
      <c r="B273" s="20"/>
      <c r="C273" s="20"/>
      <c r="D273" s="46"/>
      <c r="E273" s="35"/>
    </row>
    <row r="274" ht="15.75" hidden="1" customHeight="1">
      <c r="A274" s="20" t="s">
        <v>51</v>
      </c>
      <c r="B274" s="47" t="s">
        <v>56</v>
      </c>
      <c r="C274" s="12" t="str">
        <f>B274&amp;"_"&amp;A274</f>
        <v>Alto Beni_La Paz</v>
      </c>
      <c r="D274" s="20"/>
      <c r="E274" s="45">
        <v>365.0</v>
      </c>
      <c r="F274" s="14">
        <f t="shared" ref="F274:H274" si="32">SUM(F275:F282)</f>
        <v>311.483243</v>
      </c>
      <c r="G274" s="14">
        <f t="shared" si="32"/>
        <v>44.31858599</v>
      </c>
      <c r="H274" s="14">
        <f t="shared" si="32"/>
        <v>9.187950763</v>
      </c>
    </row>
    <row r="275" ht="15.75" hidden="1" customHeight="1">
      <c r="A275" s="20" t="s">
        <v>51</v>
      </c>
      <c r="B275" s="47" t="s">
        <v>56</v>
      </c>
      <c r="C275" s="47"/>
      <c r="D275" s="29" t="s">
        <v>296</v>
      </c>
      <c r="E275" s="23">
        <v>0.0</v>
      </c>
      <c r="F275" s="20">
        <v>0.0</v>
      </c>
      <c r="G275" s="24">
        <f>E275</f>
        <v>0</v>
      </c>
      <c r="H275" s="20">
        <v>0.0</v>
      </c>
    </row>
    <row r="276" ht="15.75" hidden="1" customHeight="1">
      <c r="A276" s="20" t="s">
        <v>51</v>
      </c>
      <c r="B276" s="47" t="s">
        <v>56</v>
      </c>
      <c r="C276" s="47"/>
      <c r="D276" s="19" t="s">
        <v>15</v>
      </c>
      <c r="E276" s="23">
        <v>2.0</v>
      </c>
      <c r="F276" s="18">
        <f>E276* 0.981163265034061</f>
        <v>1.96232653</v>
      </c>
      <c r="G276" s="18">
        <f>E276* 0.0027595216829083</f>
        <v>0.005519043366</v>
      </c>
      <c r="H276" s="18">
        <f>E276* 0.0160372202151627</f>
        <v>0.03207444043</v>
      </c>
    </row>
    <row r="277" ht="15.75" hidden="1" customHeight="1">
      <c r="A277" s="20" t="s">
        <v>51</v>
      </c>
      <c r="B277" s="47" t="s">
        <v>56</v>
      </c>
      <c r="C277" s="47"/>
      <c r="D277" s="19" t="s">
        <v>11</v>
      </c>
      <c r="E277" s="23">
        <v>45.0</v>
      </c>
      <c r="F277" s="18">
        <f>E277* 0.178797409805735</f>
        <v>8.045883441</v>
      </c>
      <c r="G277" s="18">
        <f>E277* 0.819278445883441</f>
        <v>36.86753006</v>
      </c>
      <c r="H277" s="18">
        <f>E277* 0.00181313598519889</f>
        <v>0.08159111933</v>
      </c>
    </row>
    <row r="278" ht="15.75" hidden="1" customHeight="1">
      <c r="A278" s="20" t="s">
        <v>51</v>
      </c>
      <c r="B278" s="47" t="s">
        <v>56</v>
      </c>
      <c r="C278" s="47"/>
      <c r="D278" s="19" t="s">
        <v>17</v>
      </c>
      <c r="E278" s="23">
        <v>19.0</v>
      </c>
      <c r="F278" s="18">
        <f>E278* 0.916446662218225</f>
        <v>17.41248658</v>
      </c>
      <c r="G278" s="18">
        <f>E278* 0.0292436682236212</f>
        <v>0.5556296962</v>
      </c>
      <c r="H278" s="18">
        <f>E278* 0.0543096695581537</f>
        <v>1.031883722</v>
      </c>
    </row>
    <row r="279" ht="15.75" hidden="1" customHeight="1">
      <c r="A279" s="20" t="s">
        <v>51</v>
      </c>
      <c r="B279" s="47" t="s">
        <v>56</v>
      </c>
      <c r="C279" s="47"/>
      <c r="D279" s="19" t="s">
        <v>18</v>
      </c>
      <c r="E279" s="23">
        <v>4.0</v>
      </c>
      <c r="F279" s="18">
        <f>E279* 0.983388008654987</f>
        <v>3.933552035</v>
      </c>
      <c r="G279" s="18">
        <f>E279* 0.0133314720457877</f>
        <v>0.05332588818</v>
      </c>
      <c r="H279" s="18">
        <f>E279* 0.003210721016263</f>
        <v>0.01284288407</v>
      </c>
    </row>
    <row r="280" ht="15.75" hidden="1" customHeight="1">
      <c r="A280" s="20" t="s">
        <v>51</v>
      </c>
      <c r="B280" s="47" t="s">
        <v>56</v>
      </c>
      <c r="C280" s="47"/>
      <c r="D280" s="19" t="s">
        <v>20</v>
      </c>
      <c r="E280" s="23">
        <v>10.0</v>
      </c>
      <c r="F280" s="18">
        <f>E280* 0.814615536880747</f>
        <v>8.146155369</v>
      </c>
      <c r="G280" s="18">
        <f>E280* 0.0763167839340663</f>
        <v>0.7631678393</v>
      </c>
      <c r="H280" s="18">
        <f>E280* 0.109013694193014</f>
        <v>1.090136942</v>
      </c>
    </row>
    <row r="281" ht="15.75" hidden="1" customHeight="1">
      <c r="A281" s="20" t="s">
        <v>51</v>
      </c>
      <c r="B281" s="47" t="s">
        <v>56</v>
      </c>
      <c r="C281" s="47"/>
      <c r="D281" s="19" t="s">
        <v>21</v>
      </c>
      <c r="E281" s="23">
        <v>112.0</v>
      </c>
      <c r="F281" s="18">
        <f>E281* 0.999722052365334</f>
        <v>111.9688699</v>
      </c>
      <c r="G281" s="20">
        <v>0.0</v>
      </c>
      <c r="H281" s="18">
        <f>E281* 0.000277947634665629</f>
        <v>0.03113013508</v>
      </c>
    </row>
    <row r="282" ht="15.75" hidden="1" customHeight="1">
      <c r="A282" s="20" t="s">
        <v>51</v>
      </c>
      <c r="B282" s="47" t="s">
        <v>56</v>
      </c>
      <c r="C282" s="47"/>
      <c r="D282" s="19" t="s">
        <v>12</v>
      </c>
      <c r="E282" s="23">
        <v>173.0</v>
      </c>
      <c r="F282" s="18">
        <f>E282* 0.924936238310357</f>
        <v>160.0139692</v>
      </c>
      <c r="G282" s="18">
        <f>E282* 0.0351064361799663</f>
        <v>6.073413459</v>
      </c>
      <c r="H282" s="18">
        <f>E282* 0.039932320925503</f>
        <v>6.90829152</v>
      </c>
    </row>
    <row r="283" ht="15.75" hidden="1" customHeight="1">
      <c r="A283" s="20" t="s">
        <v>51</v>
      </c>
      <c r="B283" s="20"/>
      <c r="C283" s="20"/>
      <c r="D283" s="46"/>
      <c r="E283" s="35"/>
    </row>
    <row r="284" ht="15.75" hidden="1" customHeight="1">
      <c r="A284" s="20" t="s">
        <v>51</v>
      </c>
      <c r="B284" s="47" t="s">
        <v>297</v>
      </c>
      <c r="C284" s="12" t="str">
        <f>B284&amp;"_"&amp;A284</f>
        <v>Ancoraimes_La Paz</v>
      </c>
      <c r="D284" s="20"/>
      <c r="E284" s="45">
        <v>2002.0</v>
      </c>
      <c r="F284" s="14">
        <f t="shared" ref="F284:H284" si="33">SUM(F285:F296)</f>
        <v>1807.073974</v>
      </c>
      <c r="G284" s="14">
        <f t="shared" si="33"/>
        <v>128.8088383</v>
      </c>
      <c r="H284" s="14">
        <f t="shared" si="33"/>
        <v>66.0624891</v>
      </c>
    </row>
    <row r="285" ht="15.75" hidden="1" customHeight="1">
      <c r="A285" s="20" t="s">
        <v>51</v>
      </c>
      <c r="B285" s="47" t="s">
        <v>297</v>
      </c>
      <c r="C285" s="47"/>
      <c r="D285" s="19" t="s">
        <v>15</v>
      </c>
      <c r="E285" s="23">
        <v>98.0</v>
      </c>
      <c r="F285" s="18">
        <f>E285* 0.981163265034061</f>
        <v>96.15399997</v>
      </c>
      <c r="G285" s="18">
        <f>E285* 0.0027595216829083</f>
        <v>0.2704331249</v>
      </c>
      <c r="H285" s="18">
        <f>E285* 0.0160372202151627</f>
        <v>1.571647581</v>
      </c>
    </row>
    <row r="286" ht="15.75" hidden="1" customHeight="1">
      <c r="A286" s="20" t="s">
        <v>51</v>
      </c>
      <c r="B286" s="47" t="s">
        <v>297</v>
      </c>
      <c r="C286" s="47"/>
      <c r="D286" s="29" t="s">
        <v>298</v>
      </c>
      <c r="E286" s="23">
        <v>6.0</v>
      </c>
      <c r="F286" s="18">
        <f>E286* 0.142974979378609</f>
        <v>0.8578498763</v>
      </c>
      <c r="G286" s="18">
        <f>E286* 0.852350838603245</f>
        <v>5.114105032</v>
      </c>
      <c r="H286" s="18">
        <f>E286* 0.00467418201814682</f>
        <v>0.02804509211</v>
      </c>
    </row>
    <row r="287" ht="15.75" hidden="1" customHeight="1">
      <c r="A287" s="20" t="s">
        <v>51</v>
      </c>
      <c r="B287" s="47" t="s">
        <v>297</v>
      </c>
      <c r="C287" s="47"/>
      <c r="D287" s="19" t="s">
        <v>11</v>
      </c>
      <c r="E287" s="23">
        <v>70.0</v>
      </c>
      <c r="F287" s="18">
        <f>E287* 0.178797409805735</f>
        <v>12.51581869</v>
      </c>
      <c r="G287" s="18">
        <f>E287* 0.819278445883441</f>
        <v>57.34949121</v>
      </c>
      <c r="H287" s="18">
        <f>E287* 0.00181313598519889</f>
        <v>0.126919519</v>
      </c>
    </row>
    <row r="288" ht="15.75" hidden="1" customHeight="1">
      <c r="A288" s="20" t="s">
        <v>51</v>
      </c>
      <c r="B288" s="47" t="s">
        <v>297</v>
      </c>
      <c r="C288" s="47"/>
      <c r="D288" s="19" t="s">
        <v>17</v>
      </c>
      <c r="E288" s="23">
        <v>162.0</v>
      </c>
      <c r="F288" s="18">
        <f>E288* 0.916446662218225</f>
        <v>148.4643593</v>
      </c>
      <c r="G288" s="18">
        <f>E288* 0.0292436682236212</f>
        <v>4.737474252</v>
      </c>
      <c r="H288" s="18">
        <f>E288* 0.0543096695581537</f>
        <v>8.798166468</v>
      </c>
    </row>
    <row r="289" ht="15.75" hidden="1" customHeight="1">
      <c r="A289" s="20" t="s">
        <v>51</v>
      </c>
      <c r="B289" s="47" t="s">
        <v>297</v>
      </c>
      <c r="C289" s="47"/>
      <c r="D289" s="19" t="s">
        <v>31</v>
      </c>
      <c r="E289" s="23">
        <v>29.0</v>
      </c>
      <c r="F289" s="18">
        <f>E289* 0.957442434210526</f>
        <v>27.76583059</v>
      </c>
      <c r="G289" s="18">
        <f>E289* 0.0158305921052632</f>
        <v>0.4590871711</v>
      </c>
      <c r="H289" s="18">
        <f>E289* 0.0263157894736842</f>
        <v>0.7631578947</v>
      </c>
    </row>
    <row r="290" ht="15.75" hidden="1" customHeight="1">
      <c r="A290" s="20" t="s">
        <v>51</v>
      </c>
      <c r="B290" s="47" t="s">
        <v>297</v>
      </c>
      <c r="C290" s="47"/>
      <c r="D290" s="19" t="s">
        <v>18</v>
      </c>
      <c r="E290" s="23">
        <v>22.0</v>
      </c>
      <c r="F290" s="18">
        <f>E290* 0.983388008654987</f>
        <v>21.63453619</v>
      </c>
      <c r="G290" s="18">
        <f>E290* 0.0133314720457877</f>
        <v>0.293292385</v>
      </c>
      <c r="H290" s="18">
        <f>E290* 0.003210721016263</f>
        <v>0.07063586236</v>
      </c>
    </row>
    <row r="291" ht="15.75" hidden="1" customHeight="1">
      <c r="A291" s="20" t="s">
        <v>51</v>
      </c>
      <c r="B291" s="47" t="s">
        <v>297</v>
      </c>
      <c r="C291" s="47"/>
      <c r="D291" s="19" t="s">
        <v>19</v>
      </c>
      <c r="E291" s="23">
        <v>2.0</v>
      </c>
      <c r="F291" s="18">
        <f>E291* 0.511826182618262</f>
        <v>1.023652365</v>
      </c>
      <c r="G291" s="18">
        <f>E291* 0.476622662266227</f>
        <v>0.9532453245</v>
      </c>
      <c r="H291" s="18">
        <f>E291* 0.0115511551155116</f>
        <v>0.02310231023</v>
      </c>
    </row>
    <row r="292" ht="15.75" hidden="1" customHeight="1">
      <c r="A292" s="20" t="s">
        <v>51</v>
      </c>
      <c r="B292" s="47" t="s">
        <v>297</v>
      </c>
      <c r="C292" s="47"/>
      <c r="D292" s="19" t="s">
        <v>20</v>
      </c>
      <c r="E292" s="23">
        <v>319.0</v>
      </c>
      <c r="F292" s="18">
        <f>E292* 0.814615536880747</f>
        <v>259.8623563</v>
      </c>
      <c r="G292" s="18">
        <f>E292* 0.0763167839340663</f>
        <v>24.34505407</v>
      </c>
      <c r="H292" s="18">
        <f>E292* 0.109013694193014</f>
        <v>34.77536845</v>
      </c>
    </row>
    <row r="293" ht="15.75" hidden="1" customHeight="1">
      <c r="A293" s="20" t="s">
        <v>51</v>
      </c>
      <c r="B293" s="47" t="s">
        <v>297</v>
      </c>
      <c r="C293" s="47"/>
      <c r="D293" s="19" t="s">
        <v>21</v>
      </c>
      <c r="E293" s="23">
        <v>781.0</v>
      </c>
      <c r="F293" s="18">
        <f>E293* 0.999722052365334</f>
        <v>780.7829229</v>
      </c>
      <c r="G293" s="20">
        <v>0.0</v>
      </c>
      <c r="H293" s="18">
        <f>E293* 0.000277947634665629</f>
        <v>0.2170771027</v>
      </c>
    </row>
    <row r="294" ht="15.75" hidden="1" customHeight="1">
      <c r="A294" s="20" t="s">
        <v>51</v>
      </c>
      <c r="B294" s="47" t="s">
        <v>297</v>
      </c>
      <c r="C294" s="47"/>
      <c r="D294" s="19" t="s">
        <v>36</v>
      </c>
      <c r="E294" s="23">
        <v>2.0</v>
      </c>
      <c r="F294" s="18">
        <f>E294* 0.999132697311362</f>
        <v>1.998265395</v>
      </c>
      <c r="G294" s="20">
        <v>0.0</v>
      </c>
      <c r="H294" s="18">
        <f>E294* 0.000867302688638335</f>
        <v>0.001734605377</v>
      </c>
    </row>
    <row r="295" ht="15.75" hidden="1" customHeight="1">
      <c r="A295" s="20" t="s">
        <v>51</v>
      </c>
      <c r="B295" s="47" t="s">
        <v>297</v>
      </c>
      <c r="C295" s="47"/>
      <c r="D295" s="19" t="s">
        <v>28</v>
      </c>
      <c r="E295" s="23">
        <v>18.0</v>
      </c>
      <c r="F295" s="18">
        <f>E295* 0.00115651503469545</f>
        <v>0.02081727062</v>
      </c>
      <c r="G295" s="18">
        <f>E295* 0.998843484965305</f>
        <v>17.97918273</v>
      </c>
      <c r="H295" s="20">
        <v>0.0</v>
      </c>
    </row>
    <row r="296" ht="15.75" hidden="1" customHeight="1">
      <c r="A296" s="20" t="s">
        <v>51</v>
      </c>
      <c r="B296" s="47" t="s">
        <v>297</v>
      </c>
      <c r="C296" s="47"/>
      <c r="D296" s="19" t="s">
        <v>12</v>
      </c>
      <c r="E296" s="23">
        <v>493.0</v>
      </c>
      <c r="F296" s="18">
        <f>E296* 0.924936238310357</f>
        <v>455.9935655</v>
      </c>
      <c r="G296" s="18">
        <f>E296* 0.0351064361799663</f>
        <v>17.30747304</v>
      </c>
      <c r="H296" s="18">
        <f>E296* 0.039932320925503</f>
        <v>19.68663422</v>
      </c>
    </row>
    <row r="297" ht="15.75" hidden="1" customHeight="1">
      <c r="A297" s="20" t="s">
        <v>51</v>
      </c>
      <c r="B297" s="20"/>
      <c r="C297" s="20"/>
      <c r="D297" s="46"/>
      <c r="E297" s="35"/>
    </row>
    <row r="298" ht="15.75" hidden="1" customHeight="1">
      <c r="A298" s="20" t="s">
        <v>51</v>
      </c>
      <c r="B298" s="47" t="s">
        <v>299</v>
      </c>
      <c r="C298" s="12" t="str">
        <f>B298&amp;"_"&amp;A298</f>
        <v>Apolo_La Paz</v>
      </c>
      <c r="D298" s="20"/>
      <c r="E298" s="45">
        <v>34.0</v>
      </c>
      <c r="F298" s="14">
        <f t="shared" ref="F298:H298" si="34">SUM(F299:F303)</f>
        <v>31.00350071</v>
      </c>
      <c r="G298" s="14">
        <f t="shared" si="34"/>
        <v>2.232371771</v>
      </c>
      <c r="H298" s="14">
        <f t="shared" si="34"/>
        <v>0.7631272938</v>
      </c>
    </row>
    <row r="299" ht="15.75" hidden="1" customHeight="1">
      <c r="A299" s="20" t="s">
        <v>51</v>
      </c>
      <c r="B299" s="47" t="s">
        <v>299</v>
      </c>
      <c r="C299" s="47"/>
      <c r="D299" s="19" t="s">
        <v>11</v>
      </c>
      <c r="E299" s="23">
        <v>2.0</v>
      </c>
      <c r="F299" s="18">
        <f>E299* 0.178797409805735</f>
        <v>0.3575948196</v>
      </c>
      <c r="G299" s="18">
        <f>E299* 0.819278445883441</f>
        <v>1.638556892</v>
      </c>
      <c r="H299" s="18">
        <f>E299* 0.00181313598519889</f>
        <v>0.00362627197</v>
      </c>
    </row>
    <row r="300" ht="15.75" hidden="1" customHeight="1">
      <c r="A300" s="20" t="s">
        <v>51</v>
      </c>
      <c r="B300" s="47" t="s">
        <v>299</v>
      </c>
      <c r="C300" s="47"/>
      <c r="D300" s="19" t="s">
        <v>17</v>
      </c>
      <c r="E300" s="23">
        <v>9.0</v>
      </c>
      <c r="F300" s="18">
        <f>E300* 0.916446662218225</f>
        <v>8.24801996</v>
      </c>
      <c r="G300" s="18">
        <f>E300* 0.0292436682236212</f>
        <v>0.263193014</v>
      </c>
      <c r="H300" s="18">
        <f>E300* 0.0543096695581537</f>
        <v>0.488787026</v>
      </c>
    </row>
    <row r="301" ht="15.75" hidden="1" customHeight="1">
      <c r="A301" s="20" t="s">
        <v>51</v>
      </c>
      <c r="B301" s="47" t="s">
        <v>299</v>
      </c>
      <c r="C301" s="47"/>
      <c r="D301" s="19" t="s">
        <v>18</v>
      </c>
      <c r="E301" s="23">
        <v>9.0</v>
      </c>
      <c r="F301" s="18">
        <f>E301* 0.983388008654987</f>
        <v>8.850492078</v>
      </c>
      <c r="G301" s="18">
        <f>E301* 0.0133314720457877</f>
        <v>0.1199832484</v>
      </c>
      <c r="H301" s="18">
        <f>E301* 0.003210721016263</f>
        <v>0.02889648915</v>
      </c>
    </row>
    <row r="302" ht="15.75" hidden="1" customHeight="1">
      <c r="A302" s="20" t="s">
        <v>51</v>
      </c>
      <c r="B302" s="47" t="s">
        <v>299</v>
      </c>
      <c r="C302" s="47"/>
      <c r="D302" s="19" t="s">
        <v>21</v>
      </c>
      <c r="E302" s="23">
        <v>8.0</v>
      </c>
      <c r="F302" s="18">
        <f>E302* 0.999722052365334</f>
        <v>7.997776419</v>
      </c>
      <c r="G302" s="20">
        <v>0.0</v>
      </c>
      <c r="H302" s="18">
        <f>E302* 0.000277947634665629</f>
        <v>0.002223581077</v>
      </c>
    </row>
    <row r="303" ht="15.75" hidden="1" customHeight="1">
      <c r="A303" s="20" t="s">
        <v>51</v>
      </c>
      <c r="B303" s="47" t="s">
        <v>299</v>
      </c>
      <c r="C303" s="47"/>
      <c r="D303" s="19" t="s">
        <v>12</v>
      </c>
      <c r="E303" s="23">
        <v>6.0</v>
      </c>
      <c r="F303" s="18">
        <f>E303* 0.924936238310357</f>
        <v>5.54961743</v>
      </c>
      <c r="G303" s="18">
        <f>E303* 0.0351064361799663</f>
        <v>0.2106386171</v>
      </c>
      <c r="H303" s="18">
        <f>E303* 0.039932320925503</f>
        <v>0.2395939256</v>
      </c>
    </row>
    <row r="304" ht="15.75" hidden="1" customHeight="1">
      <c r="A304" s="20" t="s">
        <v>51</v>
      </c>
      <c r="B304" s="20"/>
      <c r="C304" s="20"/>
      <c r="D304" s="46"/>
      <c r="E304" s="35"/>
    </row>
    <row r="305" ht="15.75" hidden="1" customHeight="1">
      <c r="A305" s="20" t="s">
        <v>51</v>
      </c>
      <c r="B305" s="47" t="s">
        <v>57</v>
      </c>
      <c r="C305" s="12" t="str">
        <f>B305&amp;"_"&amp;A305</f>
        <v>Ayata_La Paz</v>
      </c>
      <c r="D305" s="20"/>
      <c r="E305" s="48"/>
      <c r="F305" s="14">
        <f t="shared" ref="F305:H305" si="35">F306</f>
        <v>0</v>
      </c>
      <c r="G305" s="14">
        <f t="shared" si="35"/>
        <v>0</v>
      </c>
      <c r="H305" s="14">
        <f t="shared" si="35"/>
        <v>0</v>
      </c>
    </row>
    <row r="306" ht="15.75" hidden="1" customHeight="1">
      <c r="A306" s="20" t="s">
        <v>51</v>
      </c>
      <c r="B306" s="47" t="s">
        <v>57</v>
      </c>
      <c r="C306" s="47"/>
      <c r="D306" s="19" t="s">
        <v>12</v>
      </c>
      <c r="E306" s="35"/>
      <c r="F306" s="18">
        <f>E306* 0.924936238310357</f>
        <v>0</v>
      </c>
      <c r="G306" s="18">
        <f>E306* 0.0351064361799663</f>
        <v>0</v>
      </c>
      <c r="H306" s="18">
        <f>E306* 0.039932320925503</f>
        <v>0</v>
      </c>
    </row>
    <row r="307" ht="15.75" hidden="1" customHeight="1">
      <c r="A307" s="20" t="s">
        <v>51</v>
      </c>
      <c r="B307" s="20"/>
      <c r="C307" s="20"/>
      <c r="D307" s="46"/>
      <c r="E307" s="35"/>
    </row>
    <row r="308" ht="15.75" hidden="1" customHeight="1">
      <c r="A308" s="20" t="s">
        <v>51</v>
      </c>
      <c r="B308" s="47" t="s">
        <v>58</v>
      </c>
      <c r="C308" s="12" t="str">
        <f>B308&amp;"_"&amp;A308</f>
        <v>Ayo Ayo_La Paz</v>
      </c>
      <c r="D308" s="20"/>
      <c r="E308" s="45">
        <v>4359.0</v>
      </c>
      <c r="F308" s="14">
        <f t="shared" ref="F308:H308" si="36">SUM(F309:F320)</f>
        <v>3985.339545</v>
      </c>
      <c r="G308" s="14">
        <f t="shared" si="36"/>
        <v>274.596605</v>
      </c>
      <c r="H308" s="14">
        <f t="shared" si="36"/>
        <v>98.96408383</v>
      </c>
    </row>
    <row r="309" ht="15.75" hidden="1" customHeight="1">
      <c r="A309" s="20" t="s">
        <v>51</v>
      </c>
      <c r="B309" s="47" t="s">
        <v>58</v>
      </c>
      <c r="C309" s="47"/>
      <c r="D309" s="29" t="s">
        <v>300</v>
      </c>
      <c r="E309" s="23">
        <v>0.0</v>
      </c>
      <c r="F309" s="20">
        <v>0.0</v>
      </c>
      <c r="G309" s="24">
        <f>E309</f>
        <v>0</v>
      </c>
      <c r="H309" s="20">
        <v>0.0</v>
      </c>
    </row>
    <row r="310" ht="15.75" hidden="1" customHeight="1">
      <c r="A310" s="20" t="s">
        <v>51</v>
      </c>
      <c r="B310" s="47" t="s">
        <v>58</v>
      </c>
      <c r="C310" s="47"/>
      <c r="D310" s="19" t="s">
        <v>15</v>
      </c>
      <c r="E310" s="23">
        <v>396.0</v>
      </c>
      <c r="F310" s="18">
        <f>E310* 0.981163265034061</f>
        <v>388.540653</v>
      </c>
      <c r="G310" s="18">
        <f>E310* 0.0027595216829083</f>
        <v>1.092770586</v>
      </c>
      <c r="H310" s="18">
        <f>E310* 0.0160372202151627</f>
        <v>6.350739205</v>
      </c>
    </row>
    <row r="311" ht="15.75" hidden="1" customHeight="1">
      <c r="A311" s="20" t="s">
        <v>51</v>
      </c>
      <c r="B311" s="47" t="s">
        <v>58</v>
      </c>
      <c r="C311" s="47"/>
      <c r="D311" s="29" t="s">
        <v>301</v>
      </c>
      <c r="E311" s="23">
        <v>20.0</v>
      </c>
      <c r="F311" s="18">
        <f>E311* 0.142974979378609</f>
        <v>2.859499588</v>
      </c>
      <c r="G311" s="18">
        <f>E311* 0.852350838603245</f>
        <v>17.04701677</v>
      </c>
      <c r="H311" s="18">
        <f>E311* 0.00467418201814682</f>
        <v>0.09348364036</v>
      </c>
    </row>
    <row r="312" ht="15.75" hidden="1" customHeight="1">
      <c r="A312" s="20" t="s">
        <v>51</v>
      </c>
      <c r="B312" s="47" t="s">
        <v>58</v>
      </c>
      <c r="C312" s="47"/>
      <c r="D312" s="19" t="s">
        <v>11</v>
      </c>
      <c r="E312" s="23">
        <v>180.0</v>
      </c>
      <c r="F312" s="18">
        <f>E312* 0.178797409805735</f>
        <v>32.18353377</v>
      </c>
      <c r="G312" s="18">
        <f>E312* 0.819278445883441</f>
        <v>147.4701203</v>
      </c>
      <c r="H312" s="18">
        <f>E312* 0.00181313598519889</f>
        <v>0.3263644773</v>
      </c>
    </row>
    <row r="313" ht="15.75" hidden="1" customHeight="1">
      <c r="A313" s="20" t="s">
        <v>51</v>
      </c>
      <c r="B313" s="47" t="s">
        <v>58</v>
      </c>
      <c r="C313" s="47"/>
      <c r="D313" s="19" t="s">
        <v>17</v>
      </c>
      <c r="E313" s="23">
        <v>272.0</v>
      </c>
      <c r="F313" s="18">
        <f>E313* 0.916446662218225</f>
        <v>249.2734921</v>
      </c>
      <c r="G313" s="18">
        <f>E313* 0.0292436682236212</f>
        <v>7.954277757</v>
      </c>
      <c r="H313" s="18">
        <f>E313* 0.0543096695581537</f>
        <v>14.77223012</v>
      </c>
    </row>
    <row r="314" ht="15.75" hidden="1" customHeight="1">
      <c r="A314" s="20" t="s">
        <v>51</v>
      </c>
      <c r="B314" s="47" t="s">
        <v>58</v>
      </c>
      <c r="C314" s="47"/>
      <c r="D314" s="19" t="s">
        <v>31</v>
      </c>
      <c r="E314" s="23">
        <v>43.0</v>
      </c>
      <c r="F314" s="18">
        <f>E314* 0.957442434210526</f>
        <v>41.17002467</v>
      </c>
      <c r="G314" s="18">
        <f>E314* 0.0158305921052632</f>
        <v>0.6807154605</v>
      </c>
      <c r="H314" s="18">
        <f>E314* 0.0263157894736842</f>
        <v>1.131578947</v>
      </c>
    </row>
    <row r="315" ht="15.75" hidden="1" customHeight="1">
      <c r="A315" s="20" t="s">
        <v>51</v>
      </c>
      <c r="B315" s="47" t="s">
        <v>58</v>
      </c>
      <c r="C315" s="47"/>
      <c r="D315" s="19" t="s">
        <v>18</v>
      </c>
      <c r="E315" s="23">
        <v>56.0</v>
      </c>
      <c r="F315" s="18">
        <f>E315* 0.983388008654987</f>
        <v>55.06972848</v>
      </c>
      <c r="G315" s="18">
        <f>E315* 0.0133314720457877</f>
        <v>0.7465624346</v>
      </c>
      <c r="H315" s="18">
        <f>E315* 0.003210721016263</f>
        <v>0.1798003769</v>
      </c>
    </row>
    <row r="316" ht="15.75" hidden="1" customHeight="1">
      <c r="A316" s="20" t="s">
        <v>51</v>
      </c>
      <c r="B316" s="47" t="s">
        <v>58</v>
      </c>
      <c r="C316" s="47"/>
      <c r="D316" s="19" t="s">
        <v>20</v>
      </c>
      <c r="E316" s="23">
        <v>346.0</v>
      </c>
      <c r="F316" s="18">
        <f>E316* 0.814615536880747</f>
        <v>281.8569758</v>
      </c>
      <c r="G316" s="18">
        <f>E316* 0.0763167839340663</f>
        <v>26.40560724</v>
      </c>
      <c r="H316" s="18">
        <f>E316* 0.109013694193014</f>
        <v>37.71873819</v>
      </c>
    </row>
    <row r="317" ht="15.75" hidden="1" customHeight="1">
      <c r="A317" s="20" t="s">
        <v>51</v>
      </c>
      <c r="B317" s="47" t="s">
        <v>58</v>
      </c>
      <c r="C317" s="47"/>
      <c r="D317" s="19" t="s">
        <v>21</v>
      </c>
      <c r="E317" s="23">
        <v>2054.0</v>
      </c>
      <c r="F317" s="18">
        <f>E317* 0.999722052365334</f>
        <v>2053.429096</v>
      </c>
      <c r="G317" s="20">
        <v>0.0</v>
      </c>
      <c r="H317" s="18">
        <f>E317* 0.000277947634665629</f>
        <v>0.5709044416</v>
      </c>
    </row>
    <row r="318" ht="15.75" hidden="1" customHeight="1">
      <c r="A318" s="20" t="s">
        <v>51</v>
      </c>
      <c r="B318" s="47" t="s">
        <v>58</v>
      </c>
      <c r="C318" s="47"/>
      <c r="D318" s="19" t="s">
        <v>36</v>
      </c>
      <c r="E318" s="23">
        <v>5.0</v>
      </c>
      <c r="F318" s="18">
        <f>E318* 0.999132697311362</f>
        <v>4.995663487</v>
      </c>
      <c r="G318" s="20">
        <v>0.0</v>
      </c>
      <c r="H318" s="18">
        <f>E318* 0.000867302688638335</f>
        <v>0.004336513443</v>
      </c>
    </row>
    <row r="319" ht="15.75" hidden="1" customHeight="1">
      <c r="A319" s="20" t="s">
        <v>51</v>
      </c>
      <c r="B319" s="47" t="s">
        <v>58</v>
      </c>
      <c r="C319" s="47"/>
      <c r="D319" s="19" t="s">
        <v>28</v>
      </c>
      <c r="E319" s="23">
        <v>40.0</v>
      </c>
      <c r="F319" s="18">
        <f>E319* 0.00115651503469545</f>
        <v>0.04626060139</v>
      </c>
      <c r="G319" s="18">
        <f>E319* 0.998843484965305</f>
        <v>39.9537394</v>
      </c>
      <c r="H319" s="20">
        <v>0.0</v>
      </c>
    </row>
    <row r="320" ht="15.75" hidden="1" customHeight="1">
      <c r="A320" s="20" t="s">
        <v>51</v>
      </c>
      <c r="B320" s="47" t="s">
        <v>58</v>
      </c>
      <c r="C320" s="47"/>
      <c r="D320" s="19" t="s">
        <v>12</v>
      </c>
      <c r="E320" s="23">
        <v>947.0</v>
      </c>
      <c r="F320" s="18">
        <f>E320* 0.924936238310357</f>
        <v>875.9146177</v>
      </c>
      <c r="G320" s="18">
        <f>E320* 0.0351064361799663</f>
        <v>33.24579506</v>
      </c>
      <c r="H320" s="18">
        <f>E320* 0.039932320925503</f>
        <v>37.81590792</v>
      </c>
    </row>
    <row r="321" ht="15.75" hidden="1" customHeight="1">
      <c r="A321" s="20" t="s">
        <v>51</v>
      </c>
      <c r="B321" s="20"/>
      <c r="C321" s="20"/>
      <c r="D321" s="46"/>
      <c r="E321" s="35"/>
    </row>
    <row r="322" ht="15.75" hidden="1" customHeight="1">
      <c r="A322" s="20" t="s">
        <v>51</v>
      </c>
      <c r="B322" s="47" t="s">
        <v>59</v>
      </c>
      <c r="C322" s="12" t="str">
        <f>B322&amp;"_"&amp;A322</f>
        <v>Batallas_La Paz</v>
      </c>
      <c r="D322" s="20"/>
      <c r="E322" s="45">
        <v>706.0</v>
      </c>
      <c r="F322" s="14">
        <f t="shared" ref="F322:H322" si="37">SUM(F323:F334)</f>
        <v>535.3639165</v>
      </c>
      <c r="G322" s="14">
        <f t="shared" si="37"/>
        <v>140.2041452</v>
      </c>
      <c r="H322" s="14">
        <f t="shared" si="37"/>
        <v>30.40354703</v>
      </c>
    </row>
    <row r="323" ht="15.75" hidden="1" customHeight="1">
      <c r="A323" s="20" t="s">
        <v>51</v>
      </c>
      <c r="B323" s="47" t="s">
        <v>59</v>
      </c>
      <c r="C323" s="47"/>
      <c r="D323" s="29" t="s">
        <v>302</v>
      </c>
      <c r="E323" s="23">
        <v>0.0</v>
      </c>
      <c r="F323" s="20">
        <v>0.0</v>
      </c>
      <c r="G323" s="24">
        <f>E323</f>
        <v>0</v>
      </c>
      <c r="H323" s="20">
        <v>0.0</v>
      </c>
    </row>
    <row r="324" ht="15.75" hidden="1" customHeight="1">
      <c r="A324" s="20" t="s">
        <v>51</v>
      </c>
      <c r="B324" s="47" t="s">
        <v>59</v>
      </c>
      <c r="C324" s="47"/>
      <c r="D324" s="19" t="s">
        <v>15</v>
      </c>
      <c r="E324" s="23">
        <v>73.0</v>
      </c>
      <c r="F324" s="18">
        <f>E324* 0.981163265034061</f>
        <v>71.62491835</v>
      </c>
      <c r="G324" s="18">
        <f>E324* 0.0027595216829083</f>
        <v>0.2014450829</v>
      </c>
      <c r="H324" s="18">
        <f>E324* 0.0160372202151627</f>
        <v>1.170717076</v>
      </c>
    </row>
    <row r="325" ht="15.75" hidden="1" customHeight="1">
      <c r="A325" s="20" t="s">
        <v>51</v>
      </c>
      <c r="B325" s="47" t="s">
        <v>59</v>
      </c>
      <c r="C325" s="47"/>
      <c r="D325" s="29" t="s">
        <v>303</v>
      </c>
      <c r="E325" s="23">
        <v>3.0</v>
      </c>
      <c r="F325" s="18">
        <f>E325* 0.142974979378609</f>
        <v>0.4289249381</v>
      </c>
      <c r="G325" s="18">
        <f>E325* 0.852350838603245</f>
        <v>2.557052516</v>
      </c>
      <c r="H325" s="18">
        <f>E325* 0.00467418201814682</f>
        <v>0.01402254605</v>
      </c>
    </row>
    <row r="326" ht="15.75" hidden="1" customHeight="1">
      <c r="A326" s="20" t="s">
        <v>51</v>
      </c>
      <c r="B326" s="47" t="s">
        <v>59</v>
      </c>
      <c r="C326" s="47"/>
      <c r="D326" s="19" t="s">
        <v>11</v>
      </c>
      <c r="E326" s="23">
        <v>56.0</v>
      </c>
      <c r="F326" s="18">
        <f>E326* 0.178797409805735</f>
        <v>10.01265495</v>
      </c>
      <c r="G326" s="18">
        <f>E326* 0.819278445883441</f>
        <v>45.87959297</v>
      </c>
      <c r="H326" s="18">
        <f>E326* 0.00181313598519889</f>
        <v>0.1015356152</v>
      </c>
    </row>
    <row r="327" ht="15.75" hidden="1" customHeight="1">
      <c r="A327" s="20" t="s">
        <v>51</v>
      </c>
      <c r="B327" s="47" t="s">
        <v>59</v>
      </c>
      <c r="C327" s="47"/>
      <c r="D327" s="19" t="s">
        <v>17</v>
      </c>
      <c r="E327" s="23">
        <v>87.0</v>
      </c>
      <c r="F327" s="18">
        <f>E327* 0.916446662218225</f>
        <v>79.73085961</v>
      </c>
      <c r="G327" s="18">
        <f>E327* 0.0292436682236212</f>
        <v>2.544199135</v>
      </c>
      <c r="H327" s="18">
        <f>E327* 0.0543096695581537</f>
        <v>4.724941252</v>
      </c>
    </row>
    <row r="328" ht="15.75" hidden="1" customHeight="1">
      <c r="A328" s="20" t="s">
        <v>51</v>
      </c>
      <c r="B328" s="47" t="s">
        <v>59</v>
      </c>
      <c r="C328" s="47"/>
      <c r="D328" s="19" t="s">
        <v>31</v>
      </c>
      <c r="E328" s="23">
        <v>13.0</v>
      </c>
      <c r="F328" s="18">
        <f>E328* 0.957442434210526</f>
        <v>12.44675164</v>
      </c>
      <c r="G328" s="18">
        <f>E328* 0.0158305921052632</f>
        <v>0.2057976974</v>
      </c>
      <c r="H328" s="18">
        <f>E328* 0.0263157894736842</f>
        <v>0.3421052632</v>
      </c>
    </row>
    <row r="329" ht="15.75" hidden="1" customHeight="1">
      <c r="A329" s="20" t="s">
        <v>51</v>
      </c>
      <c r="B329" s="47" t="s">
        <v>59</v>
      </c>
      <c r="C329" s="47"/>
      <c r="D329" s="19" t="s">
        <v>18</v>
      </c>
      <c r="E329" s="23">
        <v>14.0</v>
      </c>
      <c r="F329" s="18">
        <f>E329* 0.983388008654987</f>
        <v>13.76743212</v>
      </c>
      <c r="G329" s="18">
        <f>E329* 0.0133314720457877</f>
        <v>0.1866406086</v>
      </c>
      <c r="H329" s="18">
        <f>E329* 0.003210721016263</f>
        <v>0.04495009423</v>
      </c>
    </row>
    <row r="330" ht="15.75" hidden="1" customHeight="1">
      <c r="A330" s="20" t="s">
        <v>51</v>
      </c>
      <c r="B330" s="47" t="s">
        <v>59</v>
      </c>
      <c r="C330" s="47"/>
      <c r="D330" s="19" t="s">
        <v>19</v>
      </c>
      <c r="E330" s="23">
        <v>1.0</v>
      </c>
      <c r="F330" s="18">
        <f>E330* 0.511826182618262</f>
        <v>0.5118261826</v>
      </c>
      <c r="G330" s="18">
        <f>E330* 0.476622662266227</f>
        <v>0.4766226623</v>
      </c>
      <c r="H330" s="18">
        <f>E330* 0.0115511551155116</f>
        <v>0.01155115512</v>
      </c>
    </row>
    <row r="331" ht="15.75" hidden="1" customHeight="1">
      <c r="A331" s="20" t="s">
        <v>51</v>
      </c>
      <c r="B331" s="47" t="s">
        <v>59</v>
      </c>
      <c r="C331" s="47"/>
      <c r="D331" s="19" t="s">
        <v>20</v>
      </c>
      <c r="E331" s="23">
        <v>146.0</v>
      </c>
      <c r="F331" s="18">
        <f>E331* 0.814615536880747</f>
        <v>118.9338684</v>
      </c>
      <c r="G331" s="18">
        <f>E331* 0.0763167839340663</f>
        <v>11.14225045</v>
      </c>
      <c r="H331" s="18">
        <f>E331* 0.109013694193014</f>
        <v>15.91599935</v>
      </c>
    </row>
    <row r="332" ht="15.75" hidden="1" customHeight="1">
      <c r="A332" s="20" t="s">
        <v>51</v>
      </c>
      <c r="B332" s="47" t="s">
        <v>59</v>
      </c>
      <c r="C332" s="47"/>
      <c r="D332" s="19" t="s">
        <v>21</v>
      </c>
      <c r="E332" s="23">
        <v>41.0</v>
      </c>
      <c r="F332" s="18">
        <f>E332* 0.999722052365334</f>
        <v>40.98860415</v>
      </c>
      <c r="G332" s="20">
        <v>0.0</v>
      </c>
      <c r="H332" s="18">
        <f>E332* 0.000277947634665629</f>
        <v>0.01139585302</v>
      </c>
    </row>
    <row r="333" ht="15.75" hidden="1" customHeight="1">
      <c r="A333" s="20" t="s">
        <v>51</v>
      </c>
      <c r="B333" s="47" t="s">
        <v>59</v>
      </c>
      <c r="C333" s="47"/>
      <c r="D333" s="19" t="s">
        <v>28</v>
      </c>
      <c r="E333" s="23">
        <v>70.0</v>
      </c>
      <c r="F333" s="18">
        <f>E333* 0.00115651503469545</f>
        <v>0.08095605243</v>
      </c>
      <c r="G333" s="18">
        <f>E333* 0.998843484965305</f>
        <v>69.91904395</v>
      </c>
      <c r="H333" s="20">
        <v>0.0</v>
      </c>
    </row>
    <row r="334" ht="15.75" hidden="1" customHeight="1">
      <c r="A334" s="20" t="s">
        <v>51</v>
      </c>
      <c r="B334" s="47" t="s">
        <v>59</v>
      </c>
      <c r="C334" s="47"/>
      <c r="D334" s="19" t="s">
        <v>12</v>
      </c>
      <c r="E334" s="23">
        <v>202.0</v>
      </c>
      <c r="F334" s="18">
        <f>E334* 0.924936238310357</f>
        <v>186.8371201</v>
      </c>
      <c r="G334" s="18">
        <f>E334* 0.0351064361799663</f>
        <v>7.091500108</v>
      </c>
      <c r="H334" s="18">
        <f>E334* 0.039932320925503</f>
        <v>8.066328827</v>
      </c>
    </row>
    <row r="335" ht="15.75" hidden="1" customHeight="1">
      <c r="A335" s="20" t="s">
        <v>51</v>
      </c>
      <c r="B335" s="20"/>
      <c r="C335" s="20"/>
      <c r="D335" s="46"/>
      <c r="E335" s="35"/>
    </row>
    <row r="336" ht="15.75" hidden="1" customHeight="1">
      <c r="A336" s="20" t="s">
        <v>51</v>
      </c>
      <c r="B336" s="47" t="s">
        <v>304</v>
      </c>
      <c r="C336" s="12" t="str">
        <f>B336&amp;"_"&amp;A336</f>
        <v>Cairoma_La Paz</v>
      </c>
      <c r="D336" s="20"/>
      <c r="E336" s="45">
        <v>19.0</v>
      </c>
      <c r="F336" s="14">
        <f t="shared" ref="F336:H336" si="38">SUM(F337:F344)</f>
        <v>11.87330295</v>
      </c>
      <c r="G336" s="14">
        <f t="shared" si="38"/>
        <v>6.240121763</v>
      </c>
      <c r="H336" s="14">
        <f t="shared" si="38"/>
        <v>0.8860083316</v>
      </c>
    </row>
    <row r="337" ht="15.75" hidden="1" customHeight="1">
      <c r="A337" s="20" t="s">
        <v>51</v>
      </c>
      <c r="B337" s="47" t="s">
        <v>304</v>
      </c>
      <c r="C337" s="47"/>
      <c r="D337" s="29" t="s">
        <v>305</v>
      </c>
      <c r="E337" s="23">
        <v>2.0</v>
      </c>
      <c r="F337" s="20">
        <v>0.0</v>
      </c>
      <c r="G337" s="24">
        <f>E337</f>
        <v>2</v>
      </c>
      <c r="H337" s="20">
        <v>0.0</v>
      </c>
    </row>
    <row r="338" ht="15.75" hidden="1" customHeight="1">
      <c r="A338" s="20" t="s">
        <v>51</v>
      </c>
      <c r="B338" s="47" t="s">
        <v>304</v>
      </c>
      <c r="C338" s="47"/>
      <c r="D338" s="29" t="s">
        <v>306</v>
      </c>
      <c r="E338" s="23">
        <v>0.0</v>
      </c>
      <c r="F338" s="18">
        <f>E338* 0.142974979378609</f>
        <v>0</v>
      </c>
      <c r="G338" s="18">
        <f>E338* 0.852350838603245</f>
        <v>0</v>
      </c>
      <c r="H338" s="18">
        <f>E338* 0.00467418201814682</f>
        <v>0</v>
      </c>
    </row>
    <row r="339" ht="15.75" hidden="1" customHeight="1">
      <c r="A339" s="20" t="s">
        <v>51</v>
      </c>
      <c r="B339" s="47" t="s">
        <v>304</v>
      </c>
      <c r="C339" s="47"/>
      <c r="D339" s="19" t="s">
        <v>11</v>
      </c>
      <c r="E339" s="23">
        <v>2.0</v>
      </c>
      <c r="F339" s="18">
        <f>E339* 0.178797409805735</f>
        <v>0.3575948196</v>
      </c>
      <c r="G339" s="18">
        <f>E339* 0.819278445883441</f>
        <v>1.638556892</v>
      </c>
      <c r="H339" s="18">
        <f>E339* 0.00181313598519889</f>
        <v>0.00362627197</v>
      </c>
    </row>
    <row r="340" ht="15.75" hidden="1" customHeight="1">
      <c r="A340" s="20" t="s">
        <v>51</v>
      </c>
      <c r="B340" s="47" t="s">
        <v>304</v>
      </c>
      <c r="C340" s="47"/>
      <c r="D340" s="19" t="s">
        <v>17</v>
      </c>
      <c r="E340" s="23">
        <v>4.0</v>
      </c>
      <c r="F340" s="18">
        <f>E340* 0.916446662218225</f>
        <v>3.665786649</v>
      </c>
      <c r="G340" s="18">
        <f>E340* 0.0292436682236212</f>
        <v>0.1169746729</v>
      </c>
      <c r="H340" s="18">
        <f>E340* 0.0543096695581537</f>
        <v>0.2172386782</v>
      </c>
    </row>
    <row r="341" ht="15.75" hidden="1" customHeight="1">
      <c r="A341" s="20" t="s">
        <v>51</v>
      </c>
      <c r="B341" s="47" t="s">
        <v>304</v>
      </c>
      <c r="C341" s="47"/>
      <c r="D341" s="19" t="s">
        <v>20</v>
      </c>
      <c r="E341" s="23">
        <v>5.0</v>
      </c>
      <c r="F341" s="18">
        <f>E341* 0.814615536880747</f>
        <v>4.073077684</v>
      </c>
      <c r="G341" s="18">
        <f>E341* 0.0763167839340663</f>
        <v>0.3815839197</v>
      </c>
      <c r="H341" s="18">
        <f>E341* 0.109013694193014</f>
        <v>0.545068471</v>
      </c>
    </row>
    <row r="342" ht="15.75" hidden="1" customHeight="1">
      <c r="A342" s="20" t="s">
        <v>51</v>
      </c>
      <c r="B342" s="47" t="s">
        <v>304</v>
      </c>
      <c r="C342" s="47"/>
      <c r="D342" s="19" t="s">
        <v>21</v>
      </c>
      <c r="E342" s="23">
        <v>1.0</v>
      </c>
      <c r="F342" s="18">
        <f>E342* 0.999722052365334</f>
        <v>0.9997220524</v>
      </c>
      <c r="G342" s="20">
        <v>0.0</v>
      </c>
      <c r="H342" s="18">
        <f>E342* 0.000277947634665629</f>
        <v>0.0002779476347</v>
      </c>
    </row>
    <row r="343" ht="15.75" hidden="1" customHeight="1">
      <c r="A343" s="20" t="s">
        <v>51</v>
      </c>
      <c r="B343" s="47" t="s">
        <v>304</v>
      </c>
      <c r="C343" s="47"/>
      <c r="D343" s="19" t="s">
        <v>28</v>
      </c>
      <c r="E343" s="23">
        <v>2.0</v>
      </c>
      <c r="F343" s="18">
        <f>E343* 0.00115651503469545</f>
        <v>0.002313030069</v>
      </c>
      <c r="G343" s="18">
        <f>E343* 0.998843484965305</f>
        <v>1.99768697</v>
      </c>
      <c r="H343" s="20">
        <v>0.0</v>
      </c>
    </row>
    <row r="344" ht="15.75" hidden="1" customHeight="1">
      <c r="A344" s="20" t="s">
        <v>51</v>
      </c>
      <c r="B344" s="47" t="s">
        <v>304</v>
      </c>
      <c r="C344" s="47"/>
      <c r="D344" s="19" t="s">
        <v>12</v>
      </c>
      <c r="E344" s="23">
        <v>3.0</v>
      </c>
      <c r="F344" s="18">
        <f>E344* 0.924936238310357</f>
        <v>2.774808715</v>
      </c>
      <c r="G344" s="18">
        <f>E344* 0.0351064361799663</f>
        <v>0.1053193085</v>
      </c>
      <c r="H344" s="18">
        <f>E344* 0.039932320925503</f>
        <v>0.1197969628</v>
      </c>
    </row>
    <row r="345" ht="15.75" hidden="1" customHeight="1">
      <c r="A345" s="20" t="s">
        <v>51</v>
      </c>
      <c r="B345" s="20"/>
      <c r="C345" s="20"/>
      <c r="D345" s="46"/>
      <c r="E345" s="35"/>
    </row>
    <row r="346" ht="15.75" hidden="1" customHeight="1">
      <c r="A346" s="20" t="s">
        <v>51</v>
      </c>
      <c r="B346" s="47" t="s">
        <v>307</v>
      </c>
      <c r="C346" s="12" t="str">
        <f>B346&amp;"_"&amp;A346</f>
        <v>Cajuata_La Paz</v>
      </c>
      <c r="D346" s="20"/>
      <c r="E346" s="45">
        <v>23.0</v>
      </c>
      <c r="F346" s="14">
        <f t="shared" ref="F346:H346" si="39">SUM(F347:F351)</f>
        <v>17.86425437</v>
      </c>
      <c r="G346" s="14">
        <f t="shared" si="39"/>
        <v>4.547154275</v>
      </c>
      <c r="H346" s="14">
        <f t="shared" si="39"/>
        <v>0.5877572874</v>
      </c>
    </row>
    <row r="347" ht="15.75" hidden="1" customHeight="1">
      <c r="A347" s="20" t="s">
        <v>51</v>
      </c>
      <c r="B347" s="47" t="s">
        <v>307</v>
      </c>
      <c r="C347" s="47"/>
      <c r="D347" s="19" t="s">
        <v>11</v>
      </c>
      <c r="E347" s="23">
        <v>5.0</v>
      </c>
      <c r="F347" s="18">
        <f>E347* 0.178797409805735</f>
        <v>0.893987049</v>
      </c>
      <c r="G347" s="18">
        <f>E347* 0.819278445883441</f>
        <v>4.096392229</v>
      </c>
      <c r="H347" s="18">
        <f>E347* 0.00181313598519889</f>
        <v>0.009065679926</v>
      </c>
    </row>
    <row r="348" ht="15.75" hidden="1" customHeight="1">
      <c r="A348" s="20" t="s">
        <v>51</v>
      </c>
      <c r="B348" s="47" t="s">
        <v>307</v>
      </c>
      <c r="C348" s="47"/>
      <c r="D348" s="19" t="s">
        <v>17</v>
      </c>
      <c r="E348" s="23">
        <v>2.0</v>
      </c>
      <c r="F348" s="18">
        <f>E348* 0.916446662218225</f>
        <v>1.832893324</v>
      </c>
      <c r="G348" s="18">
        <f>E348* 0.0292436682236212</f>
        <v>0.05848733645</v>
      </c>
      <c r="H348" s="18">
        <f>E348* 0.0543096695581537</f>
        <v>0.1086193391</v>
      </c>
    </row>
    <row r="349" ht="15.75" hidden="1" customHeight="1">
      <c r="A349" s="20" t="s">
        <v>51</v>
      </c>
      <c r="B349" s="47" t="s">
        <v>307</v>
      </c>
      <c r="C349" s="47"/>
      <c r="D349" s="19" t="s">
        <v>20</v>
      </c>
      <c r="E349" s="23">
        <v>1.0</v>
      </c>
      <c r="F349" s="18">
        <f>E349* 0.814615536880747</f>
        <v>0.8146155369</v>
      </c>
      <c r="G349" s="18">
        <f>E349* 0.0763167839340663</f>
        <v>0.07631678393</v>
      </c>
      <c r="H349" s="18">
        <f>E349* 0.109013694193014</f>
        <v>0.1090136942</v>
      </c>
    </row>
    <row r="350" ht="15.75" hidden="1" customHeight="1">
      <c r="A350" s="20" t="s">
        <v>51</v>
      </c>
      <c r="B350" s="47" t="s">
        <v>307</v>
      </c>
      <c r="C350" s="47"/>
      <c r="D350" s="19" t="s">
        <v>21</v>
      </c>
      <c r="E350" s="23">
        <v>6.0</v>
      </c>
      <c r="F350" s="18">
        <f>E350* 0.999722052365334</f>
        <v>5.998332314</v>
      </c>
      <c r="G350" s="20">
        <v>0.0</v>
      </c>
      <c r="H350" s="18">
        <f>E350* 0.000277947634665629</f>
        <v>0.001667685808</v>
      </c>
    </row>
    <row r="351" ht="15.75" hidden="1" customHeight="1">
      <c r="A351" s="20" t="s">
        <v>51</v>
      </c>
      <c r="B351" s="47" t="s">
        <v>307</v>
      </c>
      <c r="C351" s="47"/>
      <c r="D351" s="19" t="s">
        <v>12</v>
      </c>
      <c r="E351" s="23">
        <v>9.0</v>
      </c>
      <c r="F351" s="18">
        <f>E351* 0.924936238310357</f>
        <v>8.324426145</v>
      </c>
      <c r="G351" s="18">
        <f>E351* 0.0351064361799663</f>
        <v>0.3159579256</v>
      </c>
      <c r="H351" s="18">
        <f>E351* 0.039932320925503</f>
        <v>0.3593908883</v>
      </c>
    </row>
    <row r="352" ht="15.75" hidden="1" customHeight="1">
      <c r="A352" s="20" t="s">
        <v>51</v>
      </c>
      <c r="B352" s="20"/>
      <c r="C352" s="20"/>
      <c r="D352" s="46"/>
      <c r="E352" s="35"/>
    </row>
    <row r="353" ht="15.75" hidden="1" customHeight="1">
      <c r="A353" s="20" t="s">
        <v>51</v>
      </c>
      <c r="B353" s="47" t="s">
        <v>60</v>
      </c>
      <c r="C353" s="12" t="str">
        <f>B353&amp;"_"&amp;A353</f>
        <v>Calacoto_La Paz</v>
      </c>
      <c r="D353" s="20"/>
      <c r="E353" s="45">
        <v>176.0</v>
      </c>
      <c r="F353" s="14">
        <f t="shared" ref="F353:H353" si="40">SUM(F354:F363)</f>
        <v>149.4604248</v>
      </c>
      <c r="G353" s="14">
        <f t="shared" si="40"/>
        <v>21.01057321</v>
      </c>
      <c r="H353" s="14">
        <f t="shared" si="40"/>
        <v>5.524276033</v>
      </c>
    </row>
    <row r="354" ht="15.75" hidden="1" customHeight="1">
      <c r="A354" s="20" t="s">
        <v>51</v>
      </c>
      <c r="B354" s="47" t="s">
        <v>60</v>
      </c>
      <c r="C354" s="47"/>
      <c r="D354" s="19" t="s">
        <v>15</v>
      </c>
      <c r="E354" s="23">
        <v>7.0</v>
      </c>
      <c r="F354" s="18">
        <f>E354* 0.981163265034061</f>
        <v>6.868142855</v>
      </c>
      <c r="G354" s="18">
        <f>E354* 0.0027595216829083</f>
        <v>0.01931665178</v>
      </c>
      <c r="H354" s="18">
        <f>E354* 0.0160372202151627</f>
        <v>0.1122605415</v>
      </c>
    </row>
    <row r="355" ht="15.75" hidden="1" customHeight="1">
      <c r="A355" s="20" t="s">
        <v>51</v>
      </c>
      <c r="B355" s="47" t="s">
        <v>60</v>
      </c>
      <c r="C355" s="47"/>
      <c r="D355" s="29" t="s">
        <v>308</v>
      </c>
      <c r="E355" s="23">
        <v>9.0</v>
      </c>
      <c r="F355" s="18">
        <f>E355* 0.142974979378609</f>
        <v>1.286774814</v>
      </c>
      <c r="G355" s="18">
        <f>E355* 0.852350838603245</f>
        <v>7.671157547</v>
      </c>
      <c r="H355" s="18">
        <f>E355* 0.00467418201814682</f>
        <v>0.04206763816</v>
      </c>
    </row>
    <row r="356" ht="15.75" hidden="1" customHeight="1">
      <c r="A356" s="20" t="s">
        <v>51</v>
      </c>
      <c r="B356" s="47" t="s">
        <v>60</v>
      </c>
      <c r="C356" s="47"/>
      <c r="D356" s="19" t="s">
        <v>11</v>
      </c>
      <c r="E356" s="23">
        <v>11.0</v>
      </c>
      <c r="F356" s="18">
        <f>E356* 0.178797409805735</f>
        <v>1.966771508</v>
      </c>
      <c r="G356" s="18">
        <f>E356* 0.819278445883441</f>
        <v>9.012062905</v>
      </c>
      <c r="H356" s="18">
        <f>E356* 0.00181313598519889</f>
        <v>0.01994449584</v>
      </c>
    </row>
    <row r="357" ht="15.75" hidden="1" customHeight="1">
      <c r="A357" s="20" t="s">
        <v>51</v>
      </c>
      <c r="B357" s="47" t="s">
        <v>60</v>
      </c>
      <c r="C357" s="47"/>
      <c r="D357" s="19" t="s">
        <v>17</v>
      </c>
      <c r="E357" s="23">
        <v>17.0</v>
      </c>
      <c r="F357" s="18">
        <f>E357* 0.916446662218225</f>
        <v>15.57959326</v>
      </c>
      <c r="G357" s="18">
        <f>E357* 0.0292436682236212</f>
        <v>0.4971423598</v>
      </c>
      <c r="H357" s="18">
        <f>E357* 0.0543096695581537</f>
        <v>0.9232643825</v>
      </c>
    </row>
    <row r="358" ht="15.75" hidden="1" customHeight="1">
      <c r="A358" s="20" t="s">
        <v>51</v>
      </c>
      <c r="B358" s="47" t="s">
        <v>60</v>
      </c>
      <c r="C358" s="47"/>
      <c r="D358" s="19" t="s">
        <v>309</v>
      </c>
      <c r="E358" s="23">
        <v>2.0</v>
      </c>
      <c r="F358" s="18">
        <f>E358* 0.957442434210526</f>
        <v>1.914884868</v>
      </c>
      <c r="G358" s="18">
        <f>E358* 0.0158305921052632</f>
        <v>0.03166118421</v>
      </c>
      <c r="H358" s="18">
        <f>E358* 0.0263157894736842</f>
        <v>0.05263157895</v>
      </c>
    </row>
    <row r="359" ht="15.75" hidden="1" customHeight="1">
      <c r="A359" s="20" t="s">
        <v>51</v>
      </c>
      <c r="B359" s="47" t="s">
        <v>60</v>
      </c>
      <c r="C359" s="47"/>
      <c r="D359" s="19" t="s">
        <v>18</v>
      </c>
      <c r="E359" s="23">
        <v>1.0</v>
      </c>
      <c r="F359" s="18">
        <f>E359* 0.983388008654987</f>
        <v>0.9833880087</v>
      </c>
      <c r="G359" s="18">
        <f>E359* 0.0133314720457877</f>
        <v>0.01333147205</v>
      </c>
      <c r="H359" s="18">
        <f>E359* 0.003210721016263</f>
        <v>0.003210721016</v>
      </c>
    </row>
    <row r="360" ht="15.75" hidden="1" customHeight="1">
      <c r="A360" s="20" t="s">
        <v>51</v>
      </c>
      <c r="B360" s="47" t="s">
        <v>60</v>
      </c>
      <c r="C360" s="47"/>
      <c r="D360" s="19" t="s">
        <v>19</v>
      </c>
      <c r="E360" s="23">
        <v>1.0</v>
      </c>
      <c r="F360" s="18">
        <f>E360* 0.511826182618262</f>
        <v>0.5118261826</v>
      </c>
      <c r="G360" s="18">
        <f>E360* 0.476622662266227</f>
        <v>0.4766226623</v>
      </c>
      <c r="H360" s="18">
        <f>E360* 0.0115511551155116</f>
        <v>0.01155115512</v>
      </c>
    </row>
    <row r="361" ht="15.75" hidden="1" customHeight="1">
      <c r="A361" s="20" t="s">
        <v>51</v>
      </c>
      <c r="B361" s="47" t="s">
        <v>60</v>
      </c>
      <c r="C361" s="47"/>
      <c r="D361" s="19" t="s">
        <v>20</v>
      </c>
      <c r="E361" s="23">
        <v>27.0</v>
      </c>
      <c r="F361" s="18">
        <f>E361* 0.814615536880747</f>
        <v>21.9946195</v>
      </c>
      <c r="G361" s="18">
        <f>E361* 0.0763167839340663</f>
        <v>2.060553166</v>
      </c>
      <c r="H361" s="18">
        <f>E361* 0.109013694193014</f>
        <v>2.943369743</v>
      </c>
    </row>
    <row r="362" ht="15.75" hidden="1" customHeight="1">
      <c r="A362" s="20" t="s">
        <v>51</v>
      </c>
      <c r="B362" s="47" t="s">
        <v>60</v>
      </c>
      <c r="C362" s="47"/>
      <c r="D362" s="19" t="s">
        <v>21</v>
      </c>
      <c r="E362" s="23">
        <v>66.0</v>
      </c>
      <c r="F362" s="18">
        <f>E362* 0.999722052365334</f>
        <v>65.98165546</v>
      </c>
      <c r="G362" s="20">
        <v>0.0</v>
      </c>
      <c r="H362" s="18">
        <f>E362* 0.000277947634665629</f>
        <v>0.01834454389</v>
      </c>
    </row>
    <row r="363" ht="15.75" hidden="1" customHeight="1">
      <c r="A363" s="20" t="s">
        <v>51</v>
      </c>
      <c r="B363" s="47" t="s">
        <v>60</v>
      </c>
      <c r="C363" s="47"/>
      <c r="D363" s="19" t="s">
        <v>12</v>
      </c>
      <c r="E363" s="23">
        <v>35.0</v>
      </c>
      <c r="F363" s="18">
        <f>E363* 0.924936238310357</f>
        <v>32.37276834</v>
      </c>
      <c r="G363" s="18">
        <f>E363* 0.0351064361799663</f>
        <v>1.228725266</v>
      </c>
      <c r="H363" s="18">
        <f>E363* 0.039932320925503</f>
        <v>1.397631232</v>
      </c>
    </row>
    <row r="364" ht="15.75" hidden="1" customHeight="1">
      <c r="A364" s="20" t="s">
        <v>51</v>
      </c>
      <c r="B364" s="20"/>
      <c r="C364" s="20"/>
      <c r="D364" s="46"/>
      <c r="E364" s="35"/>
    </row>
    <row r="365" ht="15.75" hidden="1" customHeight="1">
      <c r="A365" s="20" t="s">
        <v>51</v>
      </c>
      <c r="B365" s="47" t="s">
        <v>61</v>
      </c>
      <c r="C365" s="12" t="str">
        <f>B365&amp;"_"&amp;A365</f>
        <v>Calamarca_La Paz</v>
      </c>
      <c r="D365" s="20"/>
      <c r="E365" s="45">
        <v>12648.0</v>
      </c>
      <c r="F365" s="14">
        <f t="shared" ref="F365:H365" si="41">SUM(F366:F378)</f>
        <v>9401.283283</v>
      </c>
      <c r="G365" s="14">
        <f t="shared" si="41"/>
        <v>2562.697702</v>
      </c>
      <c r="H365" s="14">
        <f t="shared" si="41"/>
        <v>683.385639</v>
      </c>
    </row>
    <row r="366" ht="15.75" hidden="1" customHeight="1">
      <c r="A366" s="20" t="s">
        <v>51</v>
      </c>
      <c r="B366" s="47" t="s">
        <v>61</v>
      </c>
      <c r="C366" s="47"/>
      <c r="D366" s="29" t="s">
        <v>310</v>
      </c>
      <c r="E366" s="23">
        <v>13.0</v>
      </c>
      <c r="F366" s="20">
        <v>0.0</v>
      </c>
      <c r="G366" s="24">
        <f>E366</f>
        <v>13</v>
      </c>
      <c r="H366" s="20">
        <v>0.0</v>
      </c>
    </row>
    <row r="367" ht="15.75" hidden="1" customHeight="1">
      <c r="A367" s="20" t="s">
        <v>51</v>
      </c>
      <c r="B367" s="47" t="s">
        <v>61</v>
      </c>
      <c r="C367" s="47"/>
      <c r="D367" s="19" t="s">
        <v>15</v>
      </c>
      <c r="E367" s="23">
        <v>390.0</v>
      </c>
      <c r="F367" s="18">
        <f>E367* 0.981163265034061</f>
        <v>382.6536734</v>
      </c>
      <c r="G367" s="18">
        <f>E367* 0.0027595216829083</f>
        <v>1.076213456</v>
      </c>
      <c r="H367" s="18">
        <f>E367* 0.0160372202151627</f>
        <v>6.254515884</v>
      </c>
    </row>
    <row r="368" ht="15.75" hidden="1" customHeight="1">
      <c r="A368" s="20" t="s">
        <v>51</v>
      </c>
      <c r="B368" s="47" t="s">
        <v>61</v>
      </c>
      <c r="C368" s="47"/>
      <c r="D368" s="29" t="s">
        <v>311</v>
      </c>
      <c r="E368" s="23">
        <v>77.0</v>
      </c>
      <c r="F368" s="18">
        <f>E368* 0.142974979378609</f>
        <v>11.00907341</v>
      </c>
      <c r="G368" s="18">
        <f>E368* 0.852350838603245</f>
        <v>65.63101457</v>
      </c>
      <c r="H368" s="18">
        <f>E368* 0.00467418201814682</f>
        <v>0.3599120154</v>
      </c>
    </row>
    <row r="369" ht="15.75" hidden="1" customHeight="1">
      <c r="A369" s="20" t="s">
        <v>51</v>
      </c>
      <c r="B369" s="47" t="s">
        <v>61</v>
      </c>
      <c r="C369" s="47"/>
      <c r="D369" s="19" t="s">
        <v>11</v>
      </c>
      <c r="E369" s="23">
        <v>1810.0</v>
      </c>
      <c r="F369" s="18">
        <f>E369* 0.178797409805735</f>
        <v>323.6233117</v>
      </c>
      <c r="G369" s="18">
        <f>E369* 0.819278445883441</f>
        <v>1482.893987</v>
      </c>
      <c r="H369" s="18">
        <f>E369* 0.00181313598519889</f>
        <v>3.281776133</v>
      </c>
    </row>
    <row r="370" ht="15.75" hidden="1" customHeight="1">
      <c r="A370" s="20" t="s">
        <v>51</v>
      </c>
      <c r="B370" s="47" t="s">
        <v>61</v>
      </c>
      <c r="C370" s="47"/>
      <c r="D370" s="19" t="s">
        <v>17</v>
      </c>
      <c r="E370" s="23">
        <v>1462.0</v>
      </c>
      <c r="F370" s="18">
        <f>E370* 0.916446662218225</f>
        <v>1339.84502</v>
      </c>
      <c r="G370" s="18">
        <f>E370* 0.0292436682236212</f>
        <v>42.75424294</v>
      </c>
      <c r="H370" s="18">
        <f>E370* 0.0543096695581537</f>
        <v>79.40073689</v>
      </c>
    </row>
    <row r="371" ht="15.75" hidden="1" customHeight="1">
      <c r="A371" s="20" t="s">
        <v>51</v>
      </c>
      <c r="B371" s="47" t="s">
        <v>61</v>
      </c>
      <c r="C371" s="47"/>
      <c r="D371" s="19" t="s">
        <v>31</v>
      </c>
      <c r="E371" s="23">
        <v>259.0</v>
      </c>
      <c r="F371" s="18">
        <f>E371* 0.957442434210526</f>
        <v>247.9775905</v>
      </c>
      <c r="G371" s="18">
        <f>E371* 0.0158305921052632</f>
        <v>4.100123355</v>
      </c>
      <c r="H371" s="18">
        <f>E371* 0.0263157894736842</f>
        <v>6.815789474</v>
      </c>
    </row>
    <row r="372" ht="15.75" hidden="1" customHeight="1">
      <c r="A372" s="20" t="s">
        <v>51</v>
      </c>
      <c r="B372" s="47" t="s">
        <v>61</v>
      </c>
      <c r="C372" s="47"/>
      <c r="D372" s="19" t="s">
        <v>18</v>
      </c>
      <c r="E372" s="23">
        <v>62.0</v>
      </c>
      <c r="F372" s="18">
        <f>E372* 0.983388008654987</f>
        <v>60.97005654</v>
      </c>
      <c r="G372" s="18">
        <f>E372* 0.0133314720457877</f>
        <v>0.8265512668</v>
      </c>
      <c r="H372" s="18">
        <f>E372* 0.003210721016263</f>
        <v>0.199064703</v>
      </c>
    </row>
    <row r="373" ht="15.75" hidden="1" customHeight="1">
      <c r="A373" s="20" t="s">
        <v>51</v>
      </c>
      <c r="B373" s="47" t="s">
        <v>61</v>
      </c>
      <c r="C373" s="47"/>
      <c r="D373" s="19" t="s">
        <v>19</v>
      </c>
      <c r="E373" s="23">
        <v>17.0</v>
      </c>
      <c r="F373" s="18">
        <f>E373* 0.511826182618262</f>
        <v>8.701045105</v>
      </c>
      <c r="G373" s="18">
        <f>E373* 0.476622662266227</f>
        <v>8.102585259</v>
      </c>
      <c r="H373" s="18">
        <f>E373* 0.0115511551155116</f>
        <v>0.196369637</v>
      </c>
    </row>
    <row r="374" ht="15.75" hidden="1" customHeight="1">
      <c r="A374" s="20" t="s">
        <v>51</v>
      </c>
      <c r="B374" s="47" t="s">
        <v>61</v>
      </c>
      <c r="C374" s="47"/>
      <c r="D374" s="19" t="s">
        <v>20</v>
      </c>
      <c r="E374" s="23">
        <v>4295.0</v>
      </c>
      <c r="F374" s="18">
        <f>E374* 0.814615536880747</f>
        <v>3498.773731</v>
      </c>
      <c r="G374" s="18">
        <f>E374* 0.0763167839340663</f>
        <v>327.780587</v>
      </c>
      <c r="H374" s="18">
        <f>E374* 0.109013694193014</f>
        <v>468.2138166</v>
      </c>
    </row>
    <row r="375" ht="15.75" hidden="1" customHeight="1">
      <c r="A375" s="20" t="s">
        <v>51</v>
      </c>
      <c r="B375" s="47" t="s">
        <v>61</v>
      </c>
      <c r="C375" s="47"/>
      <c r="D375" s="19" t="s">
        <v>21</v>
      </c>
      <c r="E375" s="23">
        <v>773.0</v>
      </c>
      <c r="F375" s="18">
        <f>E375* 0.999722052365334</f>
        <v>772.7851465</v>
      </c>
      <c r="G375" s="20">
        <v>0.0</v>
      </c>
      <c r="H375" s="18">
        <f>E375* 0.000277947634665629</f>
        <v>0.2148535216</v>
      </c>
    </row>
    <row r="376" ht="15.75" hidden="1" customHeight="1">
      <c r="A376" s="20" t="s">
        <v>51</v>
      </c>
      <c r="B376" s="47" t="s">
        <v>61</v>
      </c>
      <c r="C376" s="47"/>
      <c r="D376" s="19" t="s">
        <v>36</v>
      </c>
      <c r="E376" s="23">
        <v>11.0</v>
      </c>
      <c r="F376" s="18">
        <f>E376* 0.999132697311362</f>
        <v>10.99045967</v>
      </c>
      <c r="G376" s="20">
        <v>0.0</v>
      </c>
      <c r="H376" s="18">
        <f>E376* 0.000867302688638335</f>
        <v>0.009540329575</v>
      </c>
    </row>
    <row r="377" ht="15.75" hidden="1" customHeight="1">
      <c r="A377" s="20" t="s">
        <v>51</v>
      </c>
      <c r="B377" s="47" t="s">
        <v>61</v>
      </c>
      <c r="C377" s="47"/>
      <c r="D377" s="19" t="s">
        <v>28</v>
      </c>
      <c r="E377" s="23">
        <v>513.0</v>
      </c>
      <c r="F377" s="18">
        <f>E377* 0.00115651503469545</f>
        <v>0.5932922128</v>
      </c>
      <c r="G377" s="18">
        <f>E377* 0.998843484965305</f>
        <v>512.4067078</v>
      </c>
      <c r="H377" s="20">
        <v>0.0</v>
      </c>
    </row>
    <row r="378" ht="15.75" hidden="1" customHeight="1">
      <c r="A378" s="20" t="s">
        <v>51</v>
      </c>
      <c r="B378" s="47" t="s">
        <v>61</v>
      </c>
      <c r="C378" s="47"/>
      <c r="D378" s="19" t="s">
        <v>12</v>
      </c>
      <c r="E378" s="23">
        <v>2966.0</v>
      </c>
      <c r="F378" s="18">
        <f>E378* 0.924936238310357</f>
        <v>2743.360883</v>
      </c>
      <c r="G378" s="18">
        <f>E378* 0.0351064361799663</f>
        <v>104.1256897</v>
      </c>
      <c r="H378" s="18">
        <f>E378* 0.039932320925503</f>
        <v>118.4392639</v>
      </c>
    </row>
    <row r="379" ht="15.75" hidden="1" customHeight="1">
      <c r="A379" s="20" t="s">
        <v>51</v>
      </c>
      <c r="B379" s="20"/>
      <c r="C379" s="20"/>
      <c r="D379" s="46"/>
      <c r="E379" s="35"/>
    </row>
    <row r="380" ht="15.75" hidden="1" customHeight="1">
      <c r="A380" s="20" t="s">
        <v>51</v>
      </c>
      <c r="B380" s="47" t="s">
        <v>62</v>
      </c>
      <c r="C380" s="12" t="str">
        <f>B380&amp;"_"&amp;A380</f>
        <v>Caquiaviri_La Paz</v>
      </c>
      <c r="D380" s="20"/>
      <c r="E380" s="45">
        <v>2.0</v>
      </c>
      <c r="F380" s="14">
        <f t="shared" ref="F380:H380" si="42">F381</f>
        <v>0.3575948196</v>
      </c>
      <c r="G380" s="14">
        <f t="shared" si="42"/>
        <v>1.638556892</v>
      </c>
      <c r="H380" s="14">
        <f t="shared" si="42"/>
        <v>0.00362627197</v>
      </c>
    </row>
    <row r="381" ht="15.75" hidden="1" customHeight="1">
      <c r="A381" s="20" t="s">
        <v>51</v>
      </c>
      <c r="B381" s="47" t="s">
        <v>62</v>
      </c>
      <c r="C381" s="47"/>
      <c r="D381" s="19" t="s">
        <v>11</v>
      </c>
      <c r="E381" s="23">
        <v>2.0</v>
      </c>
      <c r="F381" s="18">
        <f>E381* 0.178797409805735</f>
        <v>0.3575948196</v>
      </c>
      <c r="G381" s="18">
        <f>E381* 0.819278445883441</f>
        <v>1.638556892</v>
      </c>
      <c r="H381" s="18">
        <f>E381* 0.00181313598519889</f>
        <v>0.00362627197</v>
      </c>
    </row>
    <row r="382" ht="15.75" hidden="1" customHeight="1">
      <c r="A382" s="20" t="s">
        <v>51</v>
      </c>
      <c r="B382" s="20"/>
      <c r="C382" s="20"/>
      <c r="D382" s="46"/>
      <c r="E382" s="35"/>
    </row>
    <row r="383" ht="15.75" hidden="1" customHeight="1">
      <c r="A383" s="20" t="s">
        <v>51</v>
      </c>
      <c r="B383" s="47" t="s">
        <v>63</v>
      </c>
      <c r="C383" s="12" t="str">
        <f>B383&amp;"_"&amp;A383</f>
        <v>Caranavi_La Paz</v>
      </c>
      <c r="D383" s="20"/>
      <c r="E383" s="45">
        <v>3432.0</v>
      </c>
      <c r="F383" s="14">
        <f t="shared" ref="F383:H383" si="43">SUM(F384:F398)</f>
        <v>3054.483455</v>
      </c>
      <c r="G383" s="14">
        <f t="shared" si="43"/>
        <v>248.4286438</v>
      </c>
      <c r="H383" s="14">
        <f t="shared" si="43"/>
        <v>128.9909412</v>
      </c>
    </row>
    <row r="384" ht="15.75" hidden="1" customHeight="1">
      <c r="A384" s="20" t="s">
        <v>51</v>
      </c>
      <c r="B384" s="47" t="s">
        <v>63</v>
      </c>
      <c r="C384" s="47"/>
      <c r="D384" s="29" t="s">
        <v>312</v>
      </c>
      <c r="E384" s="23">
        <v>4.0</v>
      </c>
      <c r="F384" s="20">
        <v>0.0</v>
      </c>
      <c r="G384" s="24">
        <f>E384</f>
        <v>4</v>
      </c>
      <c r="H384" s="20">
        <v>0.0</v>
      </c>
    </row>
    <row r="385" ht="15.75" hidden="1" customHeight="1">
      <c r="A385" s="20" t="s">
        <v>51</v>
      </c>
      <c r="B385" s="47" t="s">
        <v>63</v>
      </c>
      <c r="C385" s="47"/>
      <c r="D385" s="19" t="s">
        <v>15</v>
      </c>
      <c r="E385" s="23">
        <v>37.0</v>
      </c>
      <c r="F385" s="18">
        <f>E385* 0.981163265034061</f>
        <v>36.30304081</v>
      </c>
      <c r="G385" s="18">
        <f>E385* 0.0027595216829083</f>
        <v>0.1021023023</v>
      </c>
      <c r="H385" s="18">
        <f>E385* 0.0160372202151627</f>
        <v>0.593377148</v>
      </c>
    </row>
    <row r="386" ht="15.75" hidden="1" customHeight="1">
      <c r="A386" s="20" t="s">
        <v>51</v>
      </c>
      <c r="B386" s="47" t="s">
        <v>63</v>
      </c>
      <c r="C386" s="47"/>
      <c r="D386" s="29" t="s">
        <v>313</v>
      </c>
      <c r="E386" s="23">
        <v>1.0</v>
      </c>
      <c r="F386" s="18">
        <f>E386* 0.142974979378609</f>
        <v>0.1429749794</v>
      </c>
      <c r="G386" s="18">
        <f>E386* 0.852350838603245</f>
        <v>0.8523508386</v>
      </c>
      <c r="H386" s="18">
        <f>E386* 0.00467418201814682</f>
        <v>0.004674182018</v>
      </c>
    </row>
    <row r="387" ht="15.75" hidden="1" customHeight="1">
      <c r="A387" s="20" t="s">
        <v>51</v>
      </c>
      <c r="B387" s="47" t="s">
        <v>63</v>
      </c>
      <c r="C387" s="47"/>
      <c r="D387" s="19" t="s">
        <v>11</v>
      </c>
      <c r="E387" s="23">
        <v>168.0</v>
      </c>
      <c r="F387" s="18">
        <f>E387* 0.178797409805735</f>
        <v>30.03796485</v>
      </c>
      <c r="G387" s="18">
        <f>E387* 0.819278445883441</f>
        <v>137.6387789</v>
      </c>
      <c r="H387" s="18">
        <f>E387* 0.00181313598519889</f>
        <v>0.3046068455</v>
      </c>
    </row>
    <row r="388" ht="15.75" hidden="1" customHeight="1">
      <c r="A388" s="20" t="s">
        <v>51</v>
      </c>
      <c r="B388" s="47" t="s">
        <v>63</v>
      </c>
      <c r="C388" s="47"/>
      <c r="D388" s="19" t="s">
        <v>17</v>
      </c>
      <c r="E388" s="23">
        <v>203.0</v>
      </c>
      <c r="F388" s="18">
        <f>E388* 0.916446662218225</f>
        <v>186.0386724</v>
      </c>
      <c r="G388" s="18">
        <f>E388* 0.0292436682236212</f>
        <v>5.936464649</v>
      </c>
      <c r="H388" s="18">
        <f>E388* 0.0543096695581537</f>
        <v>11.02486292</v>
      </c>
    </row>
    <row r="389" ht="15.75" hidden="1" customHeight="1">
      <c r="A389" s="20" t="s">
        <v>51</v>
      </c>
      <c r="B389" s="47" t="s">
        <v>63</v>
      </c>
      <c r="C389" s="47"/>
      <c r="D389" s="19" t="s">
        <v>31</v>
      </c>
      <c r="E389" s="23">
        <v>23.0</v>
      </c>
      <c r="F389" s="18">
        <f>E389* 0.957442434210526</f>
        <v>22.02117599</v>
      </c>
      <c r="G389" s="18">
        <f>E389* 0.0158305921052632</f>
        <v>0.3641036184</v>
      </c>
      <c r="H389" s="18">
        <f>E389* 0.0263157894736842</f>
        <v>0.6052631579</v>
      </c>
    </row>
    <row r="390" ht="15.75" hidden="1" customHeight="1">
      <c r="A390" s="20" t="s">
        <v>51</v>
      </c>
      <c r="B390" s="47" t="s">
        <v>63</v>
      </c>
      <c r="C390" s="47"/>
      <c r="D390" s="19" t="s">
        <v>18</v>
      </c>
      <c r="E390" s="23">
        <v>21.0</v>
      </c>
      <c r="F390" s="18">
        <f>E390* 0.983388008654987</f>
        <v>20.65114818</v>
      </c>
      <c r="G390" s="18">
        <f>E390* 0.0133314720457877</f>
        <v>0.279960913</v>
      </c>
      <c r="H390" s="18">
        <f>E390* 0.003210721016263</f>
        <v>0.06742514134</v>
      </c>
    </row>
    <row r="391" ht="15.75" hidden="1" customHeight="1">
      <c r="A391" s="20" t="s">
        <v>51</v>
      </c>
      <c r="B391" s="47" t="s">
        <v>63</v>
      </c>
      <c r="C391" s="47"/>
      <c r="D391" s="19" t="s">
        <v>314</v>
      </c>
      <c r="E391" s="23">
        <v>1.0</v>
      </c>
      <c r="F391" s="20">
        <v>0.0</v>
      </c>
      <c r="G391" s="24">
        <f>E391</f>
        <v>1</v>
      </c>
      <c r="H391" s="20">
        <v>0.0</v>
      </c>
    </row>
    <row r="392" ht="15.75" hidden="1" customHeight="1">
      <c r="A392" s="20" t="s">
        <v>51</v>
      </c>
      <c r="B392" s="47" t="s">
        <v>63</v>
      </c>
      <c r="C392" s="47"/>
      <c r="D392" s="19" t="s">
        <v>315</v>
      </c>
      <c r="E392" s="23">
        <v>1.0</v>
      </c>
      <c r="F392" s="18">
        <f>E392* 0.511826182618262</f>
        <v>0.5118261826</v>
      </c>
      <c r="G392" s="18">
        <f>E392* 0.476622662266227</f>
        <v>0.4766226623</v>
      </c>
      <c r="H392" s="18">
        <f>E392* 0.0115511551155116</f>
        <v>0.01155115512</v>
      </c>
    </row>
    <row r="393" ht="15.75" hidden="1" customHeight="1">
      <c r="A393" s="20" t="s">
        <v>51</v>
      </c>
      <c r="B393" s="47" t="s">
        <v>63</v>
      </c>
      <c r="C393" s="47"/>
      <c r="D393" s="19" t="s">
        <v>20</v>
      </c>
      <c r="E393" s="23">
        <v>477.0</v>
      </c>
      <c r="F393" s="18">
        <f>E393* 0.814615536880747</f>
        <v>388.5716111</v>
      </c>
      <c r="G393" s="18">
        <f>E393* 0.0763167839340663</f>
        <v>36.40310594</v>
      </c>
      <c r="H393" s="18">
        <f>E393* 0.109013694193014</f>
        <v>51.99953213</v>
      </c>
    </row>
    <row r="394" ht="15.75" hidden="1" customHeight="1">
      <c r="A394" s="20" t="s">
        <v>51</v>
      </c>
      <c r="B394" s="47" t="s">
        <v>63</v>
      </c>
      <c r="C394" s="47"/>
      <c r="D394" s="19" t="s">
        <v>21</v>
      </c>
      <c r="E394" s="23">
        <v>881.0</v>
      </c>
      <c r="F394" s="18">
        <f>E394* 0.999722052365334</f>
        <v>880.7551281</v>
      </c>
      <c r="G394" s="20">
        <v>0.0</v>
      </c>
      <c r="H394" s="18">
        <f>E394* 0.000277947634665629</f>
        <v>0.2448718661</v>
      </c>
    </row>
    <row r="395" ht="15.75" hidden="1" customHeight="1">
      <c r="A395" s="20" t="s">
        <v>51</v>
      </c>
      <c r="B395" s="47" t="s">
        <v>63</v>
      </c>
      <c r="C395" s="47"/>
      <c r="D395" s="19" t="s">
        <v>36</v>
      </c>
      <c r="E395" s="23">
        <v>4.0</v>
      </c>
      <c r="F395" s="18">
        <f>E395* 0.999132697311362</f>
        <v>3.996530789</v>
      </c>
      <c r="G395" s="20">
        <v>0.0</v>
      </c>
      <c r="H395" s="18">
        <f>E395* 0.000867302688638335</f>
        <v>0.003469210755</v>
      </c>
    </row>
    <row r="396" ht="15.75" hidden="1" customHeight="1">
      <c r="A396" s="20" t="s">
        <v>51</v>
      </c>
      <c r="B396" s="47" t="s">
        <v>63</v>
      </c>
      <c r="C396" s="47"/>
      <c r="D396" s="19" t="s">
        <v>37</v>
      </c>
      <c r="E396" s="23">
        <v>0.0</v>
      </c>
      <c r="F396" s="18">
        <f>E396* 0.0555555555555556</f>
        <v>0</v>
      </c>
      <c r="G396" s="18">
        <f>E396* 0.944444444444444</f>
        <v>0</v>
      </c>
      <c r="H396" s="20">
        <v>0.0</v>
      </c>
    </row>
    <row r="397" ht="15.75" hidden="1" customHeight="1">
      <c r="A397" s="20" t="s">
        <v>51</v>
      </c>
      <c r="B397" s="47" t="s">
        <v>63</v>
      </c>
      <c r="C397" s="47"/>
      <c r="D397" s="19" t="s">
        <v>28</v>
      </c>
      <c r="E397" s="23">
        <v>5.0</v>
      </c>
      <c r="F397" s="18">
        <f>E397* 0.00115651503469545</f>
        <v>0.005782575173</v>
      </c>
      <c r="G397" s="18">
        <f>E397* 0.998843484965305</f>
        <v>4.994217425</v>
      </c>
      <c r="H397" s="20">
        <v>0.0</v>
      </c>
    </row>
    <row r="398" ht="15.75" hidden="1" customHeight="1">
      <c r="A398" s="20" t="s">
        <v>51</v>
      </c>
      <c r="B398" s="47" t="s">
        <v>63</v>
      </c>
      <c r="C398" s="47"/>
      <c r="D398" s="19" t="s">
        <v>12</v>
      </c>
      <c r="E398" s="23">
        <v>1606.0</v>
      </c>
      <c r="F398" s="18">
        <f>E398* 0.924936238310357</f>
        <v>1485.447599</v>
      </c>
      <c r="G398" s="18">
        <f>E398* 0.0351064361799663</f>
        <v>56.38093651</v>
      </c>
      <c r="H398" s="18">
        <f>E398* 0.039932320925503</f>
        <v>64.13130741</v>
      </c>
    </row>
    <row r="399" ht="15.75" hidden="1" customHeight="1">
      <c r="A399" s="20" t="s">
        <v>51</v>
      </c>
      <c r="B399" s="20"/>
      <c r="C399" s="20"/>
      <c r="D399" s="46"/>
      <c r="E399" s="35"/>
    </row>
    <row r="400" ht="15.75" hidden="1" customHeight="1">
      <c r="A400" s="20" t="s">
        <v>51</v>
      </c>
      <c r="B400" s="47" t="s">
        <v>64</v>
      </c>
      <c r="C400" s="12" t="str">
        <f>B400&amp;"_"&amp;A400</f>
        <v>Charaña_La Paz</v>
      </c>
      <c r="D400" s="20"/>
      <c r="E400" s="45">
        <v>121.0</v>
      </c>
      <c r="F400" s="14">
        <f t="shared" ref="F400:H400" si="44">SUM(F401:F410)</f>
        <v>57.32315675</v>
      </c>
      <c r="G400" s="14">
        <f t="shared" si="44"/>
        <v>60.75903422</v>
      </c>
      <c r="H400" s="14">
        <f t="shared" si="44"/>
        <v>2.914192053</v>
      </c>
    </row>
    <row r="401" ht="15.75" hidden="1" customHeight="1">
      <c r="A401" s="20" t="s">
        <v>51</v>
      </c>
      <c r="B401" s="47" t="s">
        <v>64</v>
      </c>
      <c r="C401" s="47"/>
      <c r="D401" s="29" t="s">
        <v>15</v>
      </c>
      <c r="E401" s="23">
        <v>3.0</v>
      </c>
      <c r="F401" s="18">
        <f>E401* 0.981163265034061</f>
        <v>2.943489795</v>
      </c>
      <c r="G401" s="18">
        <f>E401* 0.0027595216829083</f>
        <v>0.008278565049</v>
      </c>
      <c r="H401" s="18">
        <f>E401* 0.0160372202151627</f>
        <v>0.04811166065</v>
      </c>
    </row>
    <row r="402" ht="15.75" hidden="1" customHeight="1">
      <c r="A402" s="20" t="s">
        <v>51</v>
      </c>
      <c r="B402" s="47" t="s">
        <v>64</v>
      </c>
      <c r="C402" s="47"/>
      <c r="D402" s="29" t="s">
        <v>316</v>
      </c>
      <c r="E402" s="23">
        <v>20.0</v>
      </c>
      <c r="F402" s="18">
        <f>E402* 0.142974979378609</f>
        <v>2.859499588</v>
      </c>
      <c r="G402" s="18">
        <f>E402* 0.852350838603245</f>
        <v>17.04701677</v>
      </c>
      <c r="H402" s="18">
        <f>E402* 0.00467418201814682</f>
        <v>0.09348364036</v>
      </c>
    </row>
    <row r="403" ht="15.75" hidden="1" customHeight="1">
      <c r="A403" s="20" t="s">
        <v>51</v>
      </c>
      <c r="B403" s="47" t="s">
        <v>64</v>
      </c>
      <c r="C403" s="47"/>
      <c r="D403" s="19" t="s">
        <v>11</v>
      </c>
      <c r="E403" s="23">
        <v>23.0</v>
      </c>
      <c r="F403" s="18">
        <f>E403* 0.178797409805735</f>
        <v>4.112340426</v>
      </c>
      <c r="G403" s="18">
        <f>E403* 0.819278445883441</f>
        <v>18.84340426</v>
      </c>
      <c r="H403" s="18">
        <f>E403* 0.00181313598519889</f>
        <v>0.04170212766</v>
      </c>
    </row>
    <row r="404" ht="15.75" hidden="1" customHeight="1">
      <c r="A404" s="20" t="s">
        <v>51</v>
      </c>
      <c r="B404" s="47" t="s">
        <v>64</v>
      </c>
      <c r="C404" s="47"/>
      <c r="D404" s="29" t="s">
        <v>17</v>
      </c>
      <c r="E404" s="23">
        <v>22.0</v>
      </c>
      <c r="F404" s="18">
        <f>E404* 0.916446662218225</f>
        <v>20.16182657</v>
      </c>
      <c r="G404" s="18">
        <f>E404* 0.0292436682236212</f>
        <v>0.6433607009</v>
      </c>
      <c r="H404" s="18">
        <f>E404* 0.0543096695581537</f>
        <v>1.19481273</v>
      </c>
    </row>
    <row r="405" ht="15.75" hidden="1" customHeight="1">
      <c r="A405" s="20" t="s">
        <v>51</v>
      </c>
      <c r="B405" s="47" t="s">
        <v>64</v>
      </c>
      <c r="C405" s="47"/>
      <c r="D405" s="29" t="s">
        <v>18</v>
      </c>
      <c r="E405" s="23">
        <v>1.0</v>
      </c>
      <c r="F405" s="18">
        <f>E405* 0.983388008654987</f>
        <v>0.9833880087</v>
      </c>
      <c r="G405" s="18">
        <f>E405* 0.0133314720457877</f>
        <v>0.01333147205</v>
      </c>
      <c r="H405" s="18">
        <f>E405* 0.003210721016263</f>
        <v>0.003210721016</v>
      </c>
    </row>
    <row r="406" ht="15.75" hidden="1" customHeight="1">
      <c r="A406" s="20" t="s">
        <v>51</v>
      </c>
      <c r="B406" s="47" t="s">
        <v>64</v>
      </c>
      <c r="C406" s="47"/>
      <c r="D406" s="29" t="s">
        <v>287</v>
      </c>
      <c r="E406" s="23">
        <v>6.0</v>
      </c>
      <c r="F406" s="18">
        <f>E406* 0.814615536880747</f>
        <v>4.887693221</v>
      </c>
      <c r="G406" s="18">
        <f>E406* 0.0763167839340663</f>
        <v>0.4579007036</v>
      </c>
      <c r="H406" s="18">
        <f>E406* 0.109013694193014</f>
        <v>0.6540821652</v>
      </c>
    </row>
    <row r="407" ht="15.75" hidden="1" customHeight="1">
      <c r="A407" s="20" t="s">
        <v>51</v>
      </c>
      <c r="B407" s="47" t="s">
        <v>64</v>
      </c>
      <c r="C407" s="47"/>
      <c r="D407" s="29" t="s">
        <v>21</v>
      </c>
      <c r="E407" s="23">
        <v>1.0</v>
      </c>
      <c r="F407" s="18">
        <f>E407* 0.999722052365334</f>
        <v>0.9997220524</v>
      </c>
      <c r="G407" s="20">
        <v>0.0</v>
      </c>
      <c r="H407" s="18">
        <f>E407* 0.000277947634665629</f>
        <v>0.0002779476347</v>
      </c>
    </row>
    <row r="408" ht="15.75" hidden="1" customHeight="1">
      <c r="A408" s="20" t="s">
        <v>51</v>
      </c>
      <c r="B408" s="47" t="s">
        <v>64</v>
      </c>
      <c r="C408" s="47"/>
      <c r="D408" s="29" t="s">
        <v>317</v>
      </c>
      <c r="E408" s="23">
        <v>0.0</v>
      </c>
      <c r="F408" s="18">
        <f>E408* 0.142974979378609</f>
        <v>0</v>
      </c>
      <c r="G408" s="18">
        <f>E408* 0.852350838603245</f>
        <v>0</v>
      </c>
      <c r="H408" s="18">
        <f>E408* 0.00467418201814682</f>
        <v>0</v>
      </c>
    </row>
    <row r="409" ht="15.75" hidden="1" customHeight="1">
      <c r="A409" s="20" t="s">
        <v>51</v>
      </c>
      <c r="B409" s="47" t="s">
        <v>64</v>
      </c>
      <c r="C409" s="47"/>
      <c r="D409" s="29" t="s">
        <v>318</v>
      </c>
      <c r="E409" s="23">
        <v>23.0</v>
      </c>
      <c r="F409" s="18">
        <f>E409* 0.00115651503469545</f>
        <v>0.0265998458</v>
      </c>
      <c r="G409" s="18">
        <f>E409* 0.998843484965305</f>
        <v>22.97340015</v>
      </c>
      <c r="H409" s="20">
        <v>0.0</v>
      </c>
    </row>
    <row r="410" ht="15.75" hidden="1" customHeight="1">
      <c r="A410" s="20" t="s">
        <v>51</v>
      </c>
      <c r="B410" s="47" t="s">
        <v>64</v>
      </c>
      <c r="C410" s="47"/>
      <c r="D410" s="19" t="s">
        <v>12</v>
      </c>
      <c r="E410" s="23">
        <v>22.0</v>
      </c>
      <c r="F410" s="18">
        <f>E410* 0.924936238310357</f>
        <v>20.34859724</v>
      </c>
      <c r="G410" s="18">
        <f>E410* 0.0351064361799663</f>
        <v>0.772341596</v>
      </c>
      <c r="H410" s="18">
        <f>E410* 0.039932320925503</f>
        <v>0.8785110604</v>
      </c>
    </row>
    <row r="411" ht="15.75" hidden="1" customHeight="1">
      <c r="A411" s="20" t="s">
        <v>51</v>
      </c>
      <c r="B411" s="20"/>
      <c r="C411" s="20"/>
      <c r="D411" s="46"/>
      <c r="E411" s="35"/>
    </row>
    <row r="412" ht="15.75" hidden="1" customHeight="1">
      <c r="A412" s="20" t="s">
        <v>51</v>
      </c>
      <c r="B412" s="47" t="s">
        <v>319</v>
      </c>
      <c r="C412" s="12" t="str">
        <f>B412&amp;"_"&amp;A412</f>
        <v>Chua Cocani_La Paz</v>
      </c>
      <c r="D412" s="20"/>
      <c r="E412" s="45">
        <v>763.0</v>
      </c>
      <c r="F412" s="14">
        <f t="shared" ref="F412:H412" si="45">SUM(F413:F425)</f>
        <v>652.6759147</v>
      </c>
      <c r="G412" s="14">
        <f t="shared" si="45"/>
        <v>76.48060961</v>
      </c>
      <c r="H412" s="14">
        <f t="shared" si="45"/>
        <v>33.80681626</v>
      </c>
    </row>
    <row r="413" ht="15.75" hidden="1" customHeight="1">
      <c r="A413" s="20" t="s">
        <v>51</v>
      </c>
      <c r="B413" s="47" t="s">
        <v>319</v>
      </c>
      <c r="C413" s="47"/>
      <c r="D413" s="19" t="s">
        <v>15</v>
      </c>
      <c r="E413" s="23">
        <v>46.0</v>
      </c>
      <c r="F413" s="18">
        <f>E413* 0.981163265034061</f>
        <v>45.13351019</v>
      </c>
      <c r="G413" s="18">
        <f>E413* 0.0027595216829083</f>
        <v>0.1269379974</v>
      </c>
      <c r="H413" s="18">
        <f>E413* 0.0160372202151627</f>
        <v>0.7377121299</v>
      </c>
    </row>
    <row r="414" ht="15.75" hidden="1" customHeight="1">
      <c r="A414" s="20" t="s">
        <v>51</v>
      </c>
      <c r="B414" s="47" t="s">
        <v>319</v>
      </c>
      <c r="C414" s="47"/>
      <c r="D414" s="29" t="s">
        <v>320</v>
      </c>
      <c r="E414" s="23">
        <v>1.0</v>
      </c>
      <c r="F414" s="18">
        <f>E414* 0.142974979378609</f>
        <v>0.1429749794</v>
      </c>
      <c r="G414" s="18">
        <f>E414* 0.852350838603245</f>
        <v>0.8523508386</v>
      </c>
      <c r="H414" s="18">
        <f>E414* 0.00467418201814682</f>
        <v>0.004674182018</v>
      </c>
    </row>
    <row r="415" ht="15.75" hidden="1" customHeight="1">
      <c r="A415" s="20" t="s">
        <v>51</v>
      </c>
      <c r="B415" s="47" t="s">
        <v>319</v>
      </c>
      <c r="C415" s="47"/>
      <c r="D415" s="19" t="s">
        <v>11</v>
      </c>
      <c r="E415" s="23">
        <v>42.0</v>
      </c>
      <c r="F415" s="18">
        <f>E415* 0.178797409805735</f>
        <v>7.509491212</v>
      </c>
      <c r="G415" s="18">
        <f>E415* 0.819278445883441</f>
        <v>34.40969473</v>
      </c>
      <c r="H415" s="18">
        <f>E415* 0.00181313598519889</f>
        <v>0.07615171138</v>
      </c>
    </row>
    <row r="416" ht="15.75" hidden="1" customHeight="1">
      <c r="A416" s="20" t="s">
        <v>51</v>
      </c>
      <c r="B416" s="47" t="s">
        <v>319</v>
      </c>
      <c r="C416" s="47"/>
      <c r="D416" s="19" t="s">
        <v>17</v>
      </c>
      <c r="E416" s="23">
        <v>55.0</v>
      </c>
      <c r="F416" s="18">
        <f>E416* 0.916446662218225</f>
        <v>50.40456642</v>
      </c>
      <c r="G416" s="18">
        <f>E416* 0.0292436682236212</f>
        <v>1.608401752</v>
      </c>
      <c r="H416" s="18">
        <f>E416* 0.0543096695581537</f>
        <v>2.987031826</v>
      </c>
    </row>
    <row r="417" ht="15.75" hidden="1" customHeight="1">
      <c r="A417" s="20" t="s">
        <v>51</v>
      </c>
      <c r="B417" s="47" t="s">
        <v>319</v>
      </c>
      <c r="C417" s="47"/>
      <c r="D417" s="19" t="s">
        <v>31</v>
      </c>
      <c r="E417" s="23">
        <v>34.0</v>
      </c>
      <c r="F417" s="18">
        <f>E417* 0.957442434210526</f>
        <v>32.55304276</v>
      </c>
      <c r="G417" s="18">
        <f>E417* 0.0158305921052632</f>
        <v>0.5382401316</v>
      </c>
      <c r="H417" s="18">
        <f>E417* 0.0263157894736842</f>
        <v>0.8947368421</v>
      </c>
    </row>
    <row r="418" ht="15.75" hidden="1" customHeight="1">
      <c r="A418" s="20" t="s">
        <v>51</v>
      </c>
      <c r="B418" s="47" t="s">
        <v>319</v>
      </c>
      <c r="C418" s="47"/>
      <c r="D418" s="19" t="s">
        <v>18</v>
      </c>
      <c r="E418" s="23">
        <v>10.0</v>
      </c>
      <c r="F418" s="18">
        <f>E418* 0.983388008654987</f>
        <v>9.833880087</v>
      </c>
      <c r="G418" s="18">
        <f>E418* 0.0133314720457877</f>
        <v>0.1333147205</v>
      </c>
      <c r="H418" s="18">
        <f>E418* 0.003210721016263</f>
        <v>0.03210721016</v>
      </c>
    </row>
    <row r="419" ht="15.75" hidden="1" customHeight="1">
      <c r="A419" s="20" t="s">
        <v>51</v>
      </c>
      <c r="B419" s="47" t="s">
        <v>319</v>
      </c>
      <c r="C419" s="47"/>
      <c r="D419" s="19" t="s">
        <v>19</v>
      </c>
      <c r="E419" s="23">
        <v>0.0</v>
      </c>
      <c r="F419" s="18">
        <f>E419* 0.511826182618262</f>
        <v>0</v>
      </c>
      <c r="G419" s="18">
        <f>E419* 0.476622662266227</f>
        <v>0</v>
      </c>
      <c r="H419" s="18">
        <f>E419* 0.0115511551155116</f>
        <v>0</v>
      </c>
    </row>
    <row r="420" ht="15.75" hidden="1" customHeight="1">
      <c r="A420" s="20" t="s">
        <v>51</v>
      </c>
      <c r="B420" s="47" t="s">
        <v>319</v>
      </c>
      <c r="C420" s="47"/>
      <c r="D420" s="19" t="s">
        <v>20</v>
      </c>
      <c r="E420" s="23">
        <v>189.0</v>
      </c>
      <c r="F420" s="18">
        <f>E420* 0.814615536880747</f>
        <v>153.9623365</v>
      </c>
      <c r="G420" s="18">
        <f>E420* 0.0763167839340663</f>
        <v>14.42387216</v>
      </c>
      <c r="H420" s="18">
        <f>E420* 0.109013694193014</f>
        <v>20.6035882</v>
      </c>
    </row>
    <row r="421" ht="15.75" hidden="1" customHeight="1">
      <c r="A421" s="20" t="s">
        <v>51</v>
      </c>
      <c r="B421" s="47" t="s">
        <v>319</v>
      </c>
      <c r="C421" s="47"/>
      <c r="D421" s="19" t="s">
        <v>21</v>
      </c>
      <c r="E421" s="23">
        <v>156.0</v>
      </c>
      <c r="F421" s="18">
        <f>E421* 0.999722052365334</f>
        <v>155.9566402</v>
      </c>
      <c r="G421" s="20">
        <v>0.0</v>
      </c>
      <c r="H421" s="18">
        <f>E421* 0.000277947634665629</f>
        <v>0.04335983101</v>
      </c>
    </row>
    <row r="422" ht="15.75" hidden="1" customHeight="1">
      <c r="A422" s="20" t="s">
        <v>51</v>
      </c>
      <c r="B422" s="47" t="s">
        <v>319</v>
      </c>
      <c r="C422" s="47"/>
      <c r="D422" s="19" t="s">
        <v>36</v>
      </c>
      <c r="E422" s="23">
        <v>2.0</v>
      </c>
      <c r="F422" s="18">
        <f>E422* 0.999132697311362</f>
        <v>1.998265395</v>
      </c>
      <c r="G422" s="20">
        <v>0.0</v>
      </c>
      <c r="H422" s="18">
        <f>E422* 0.000867302688638335</f>
        <v>0.001734605377</v>
      </c>
    </row>
    <row r="423" ht="15.75" hidden="1" customHeight="1">
      <c r="A423" s="20" t="s">
        <v>51</v>
      </c>
      <c r="B423" s="47" t="s">
        <v>319</v>
      </c>
      <c r="C423" s="47"/>
      <c r="D423" s="19" t="s">
        <v>37</v>
      </c>
      <c r="E423" s="23">
        <v>0.0</v>
      </c>
      <c r="F423" s="18">
        <f>E423* 0.0555555555555556</f>
        <v>0</v>
      </c>
      <c r="G423" s="18">
        <f>E423* 0.944444444444444</f>
        <v>0</v>
      </c>
      <c r="H423" s="20">
        <v>0.0</v>
      </c>
    </row>
    <row r="424" ht="15.75" hidden="1" customHeight="1">
      <c r="A424" s="20" t="s">
        <v>51</v>
      </c>
      <c r="B424" s="47" t="s">
        <v>319</v>
      </c>
      <c r="C424" s="47"/>
      <c r="D424" s="19" t="s">
        <v>28</v>
      </c>
      <c r="E424" s="23">
        <v>17.0</v>
      </c>
      <c r="F424" s="18">
        <f>E424* 0.00115651503469545</f>
        <v>0.01966075559</v>
      </c>
      <c r="G424" s="18">
        <f>E424* 0.998843484965305</f>
        <v>16.98033924</v>
      </c>
      <c r="H424" s="20">
        <v>0.0</v>
      </c>
    </row>
    <row r="425" ht="15.75" hidden="1" customHeight="1">
      <c r="A425" s="20" t="s">
        <v>51</v>
      </c>
      <c r="B425" s="47" t="s">
        <v>319</v>
      </c>
      <c r="C425" s="47"/>
      <c r="D425" s="19" t="s">
        <v>12</v>
      </c>
      <c r="E425" s="23">
        <v>211.0</v>
      </c>
      <c r="F425" s="18">
        <f>E425* 0.924936238310357</f>
        <v>195.1615463</v>
      </c>
      <c r="G425" s="18">
        <f>E425* 0.0351064361799663</f>
        <v>7.407458034</v>
      </c>
      <c r="H425" s="18">
        <f>E425* 0.039932320925503</f>
        <v>8.425719715</v>
      </c>
    </row>
    <row r="426" ht="15.75" hidden="1" customHeight="1">
      <c r="A426" s="20" t="s">
        <v>51</v>
      </c>
      <c r="B426" s="20"/>
      <c r="C426" s="20"/>
      <c r="D426" s="46"/>
      <c r="E426" s="35"/>
    </row>
    <row r="427" ht="15.75" hidden="1" customHeight="1">
      <c r="A427" s="20" t="s">
        <v>51</v>
      </c>
      <c r="B427" s="47" t="s">
        <v>65</v>
      </c>
      <c r="C427" s="12" t="str">
        <f>B427&amp;"_"&amp;A427</f>
        <v>Chulumani_La Paz</v>
      </c>
      <c r="D427" s="20"/>
      <c r="E427" s="45">
        <v>275.0</v>
      </c>
      <c r="F427" s="14">
        <f t="shared" ref="F427:H427" si="46">SUM(F428:F440)</f>
        <v>178.8350919</v>
      </c>
      <c r="G427" s="14">
        <f t="shared" si="46"/>
        <v>88.00564208</v>
      </c>
      <c r="H427" s="14">
        <f t="shared" si="46"/>
        <v>8.148893878</v>
      </c>
    </row>
    <row r="428" ht="15.75" hidden="1" customHeight="1">
      <c r="A428" s="20" t="s">
        <v>51</v>
      </c>
      <c r="B428" s="47" t="s">
        <v>65</v>
      </c>
      <c r="C428" s="47"/>
      <c r="D428" s="29" t="s">
        <v>321</v>
      </c>
      <c r="E428" s="23">
        <v>0.0</v>
      </c>
      <c r="F428" s="20">
        <v>0.0</v>
      </c>
      <c r="G428" s="24">
        <f>E428</f>
        <v>0</v>
      </c>
      <c r="H428" s="20">
        <v>0.0</v>
      </c>
    </row>
    <row r="429" ht="15.75" hidden="1" customHeight="1">
      <c r="A429" s="20" t="s">
        <v>51</v>
      </c>
      <c r="B429" s="47" t="s">
        <v>65</v>
      </c>
      <c r="C429" s="47"/>
      <c r="D429" s="19" t="s">
        <v>15</v>
      </c>
      <c r="E429" s="23">
        <v>22.0</v>
      </c>
      <c r="F429" s="18">
        <f>E429* 0.981163265034061</f>
        <v>21.58559183</v>
      </c>
      <c r="G429" s="18">
        <f>E429* 0.0027595216829083</f>
        <v>0.06070947702</v>
      </c>
      <c r="H429" s="18">
        <f>E429* 0.0160372202151627</f>
        <v>0.3528188447</v>
      </c>
    </row>
    <row r="430" ht="15.75" hidden="1" customHeight="1">
      <c r="A430" s="20" t="s">
        <v>51</v>
      </c>
      <c r="B430" s="47" t="s">
        <v>65</v>
      </c>
      <c r="C430" s="47"/>
      <c r="D430" s="29" t="s">
        <v>322</v>
      </c>
      <c r="E430" s="23">
        <v>8.0</v>
      </c>
      <c r="F430" s="18">
        <f>E430* 0.142974979378609</f>
        <v>1.143799835</v>
      </c>
      <c r="G430" s="18">
        <f>E430* 0.852350838603245</f>
        <v>6.818806709</v>
      </c>
      <c r="H430" s="18">
        <f>E430* 0.00467418201814682</f>
        <v>0.03739345615</v>
      </c>
    </row>
    <row r="431" ht="15.75" hidden="1" customHeight="1">
      <c r="A431" s="20" t="s">
        <v>51</v>
      </c>
      <c r="B431" s="47" t="s">
        <v>65</v>
      </c>
      <c r="C431" s="47"/>
      <c r="D431" s="19" t="s">
        <v>11</v>
      </c>
      <c r="E431" s="23">
        <v>47.0</v>
      </c>
      <c r="F431" s="18">
        <f>E431* 0.178797409805735</f>
        <v>8.403478261</v>
      </c>
      <c r="G431" s="18">
        <f>E431* 0.819278445883441</f>
        <v>38.50608696</v>
      </c>
      <c r="H431" s="18">
        <f>E431* 0.00181313598519889</f>
        <v>0.0852173913</v>
      </c>
    </row>
    <row r="432" ht="15.75" hidden="1" customHeight="1">
      <c r="A432" s="20" t="s">
        <v>51</v>
      </c>
      <c r="B432" s="47" t="s">
        <v>65</v>
      </c>
      <c r="C432" s="47"/>
      <c r="D432" s="19" t="s">
        <v>17</v>
      </c>
      <c r="E432" s="23">
        <v>26.0</v>
      </c>
      <c r="F432" s="18">
        <f>E432* 0.916446662218225</f>
        <v>23.82761322</v>
      </c>
      <c r="G432" s="18">
        <f>E432* 0.0292436682236212</f>
        <v>0.7603353738</v>
      </c>
      <c r="H432" s="18">
        <f>E432* 0.0543096695581537</f>
        <v>1.412051409</v>
      </c>
    </row>
    <row r="433" ht="15.75" hidden="1" customHeight="1">
      <c r="A433" s="20" t="s">
        <v>51</v>
      </c>
      <c r="B433" s="47" t="s">
        <v>65</v>
      </c>
      <c r="C433" s="47"/>
      <c r="D433" s="19" t="s">
        <v>31</v>
      </c>
      <c r="E433" s="23">
        <v>1.0</v>
      </c>
      <c r="F433" s="18">
        <f>E433* 0.957442434210526</f>
        <v>0.9574424342</v>
      </c>
      <c r="G433" s="18">
        <f>E433* 0.0158305921052632</f>
        <v>0.01583059211</v>
      </c>
      <c r="H433" s="18">
        <f>E433* 0.0263157894736842</f>
        <v>0.02631578947</v>
      </c>
    </row>
    <row r="434" ht="15.75" hidden="1" customHeight="1">
      <c r="A434" s="20" t="s">
        <v>51</v>
      </c>
      <c r="B434" s="47" t="s">
        <v>65</v>
      </c>
      <c r="C434" s="47"/>
      <c r="D434" s="19" t="s">
        <v>18</v>
      </c>
      <c r="E434" s="23">
        <v>6.0</v>
      </c>
      <c r="F434" s="18">
        <f>E434* 0.983388008654987</f>
        <v>5.900328052</v>
      </c>
      <c r="G434" s="18">
        <f>E434* 0.0133314720457877</f>
        <v>0.07998883227</v>
      </c>
      <c r="H434" s="18">
        <f>E434* 0.003210721016263</f>
        <v>0.0192643261</v>
      </c>
    </row>
    <row r="435" ht="15.75" hidden="1" customHeight="1">
      <c r="A435" s="20" t="s">
        <v>51</v>
      </c>
      <c r="B435" s="47" t="s">
        <v>65</v>
      </c>
      <c r="C435" s="47"/>
      <c r="D435" s="19" t="s">
        <v>19</v>
      </c>
      <c r="E435" s="23">
        <v>2.0</v>
      </c>
      <c r="F435" s="18">
        <f>E435* 0.511826182618262</f>
        <v>1.023652365</v>
      </c>
      <c r="G435" s="18">
        <f>E435* 0.476622662266227</f>
        <v>0.9532453245</v>
      </c>
      <c r="H435" s="18">
        <f>E435* 0.0115511551155116</f>
        <v>0.02310231023</v>
      </c>
    </row>
    <row r="436" ht="15.75" hidden="1" customHeight="1">
      <c r="A436" s="20" t="s">
        <v>51</v>
      </c>
      <c r="B436" s="47" t="s">
        <v>65</v>
      </c>
      <c r="C436" s="47"/>
      <c r="D436" s="19" t="s">
        <v>20</v>
      </c>
      <c r="E436" s="23">
        <v>30.0</v>
      </c>
      <c r="F436" s="18">
        <f>E436* 0.814615536880747</f>
        <v>24.43846611</v>
      </c>
      <c r="G436" s="18">
        <f>E436* 0.0763167839340663</f>
        <v>2.289503518</v>
      </c>
      <c r="H436" s="18">
        <f>E436* 0.109013694193014</f>
        <v>3.270410826</v>
      </c>
    </row>
    <row r="437" ht="15.75" hidden="1" customHeight="1">
      <c r="A437" s="20" t="s">
        <v>51</v>
      </c>
      <c r="B437" s="47" t="s">
        <v>65</v>
      </c>
      <c r="C437" s="47"/>
      <c r="D437" s="19" t="s">
        <v>21</v>
      </c>
      <c r="E437" s="23">
        <v>23.0</v>
      </c>
      <c r="F437" s="18">
        <f>E437* 0.999722052365334</f>
        <v>22.9936072</v>
      </c>
      <c r="G437" s="20">
        <v>0.0</v>
      </c>
      <c r="H437" s="18">
        <f>E437* 0.000277947634665629</f>
        <v>0.006392795597</v>
      </c>
    </row>
    <row r="438" ht="15.75" hidden="1" customHeight="1">
      <c r="A438" s="20" t="s">
        <v>51</v>
      </c>
      <c r="B438" s="47" t="s">
        <v>65</v>
      </c>
      <c r="C438" s="47"/>
      <c r="D438" s="19" t="s">
        <v>36</v>
      </c>
      <c r="E438" s="23">
        <v>1.0</v>
      </c>
      <c r="F438" s="18">
        <f>E438* 0.999132697311362</f>
        <v>0.9991326973</v>
      </c>
      <c r="G438" s="20">
        <v>0.0</v>
      </c>
      <c r="H438" s="18">
        <f>E438* 0.000867302688638335</f>
        <v>0.0008673026886</v>
      </c>
    </row>
    <row r="439" ht="15.75" hidden="1" customHeight="1">
      <c r="A439" s="20" t="s">
        <v>51</v>
      </c>
      <c r="B439" s="47" t="s">
        <v>65</v>
      </c>
      <c r="C439" s="47"/>
      <c r="D439" s="19" t="s">
        <v>28</v>
      </c>
      <c r="E439" s="23">
        <v>36.0</v>
      </c>
      <c r="F439" s="18">
        <f>E439* 0.00115651503469545</f>
        <v>0.04163454125</v>
      </c>
      <c r="G439" s="18">
        <f>E439* 0.998843484965305</f>
        <v>35.95836546</v>
      </c>
      <c r="H439" s="20">
        <v>0.0</v>
      </c>
    </row>
    <row r="440" ht="15.75" hidden="1" customHeight="1">
      <c r="A440" s="20" t="s">
        <v>51</v>
      </c>
      <c r="B440" s="47" t="s">
        <v>65</v>
      </c>
      <c r="C440" s="47"/>
      <c r="D440" s="19" t="s">
        <v>12</v>
      </c>
      <c r="E440" s="23">
        <v>73.0</v>
      </c>
      <c r="F440" s="18">
        <f>E440* 0.924936238310357</f>
        <v>67.5203454</v>
      </c>
      <c r="G440" s="18">
        <f>E440* 0.0351064361799663</f>
        <v>2.562769841</v>
      </c>
      <c r="H440" s="18">
        <f>E440* 0.039932320925503</f>
        <v>2.915059428</v>
      </c>
    </row>
    <row r="441" ht="15.75" hidden="1" customHeight="1">
      <c r="A441" s="20" t="s">
        <v>51</v>
      </c>
      <c r="B441" s="20"/>
      <c r="C441" s="20"/>
      <c r="D441" s="46"/>
      <c r="E441" s="35"/>
    </row>
    <row r="442" ht="15.75" hidden="1" customHeight="1">
      <c r="A442" s="20" t="s">
        <v>51</v>
      </c>
      <c r="B442" s="47" t="s">
        <v>66</v>
      </c>
      <c r="C442" s="12" t="str">
        <f>B442&amp;"_"&amp;A442</f>
        <v>Chuma_La Paz</v>
      </c>
      <c r="D442" s="20"/>
      <c r="E442" s="45">
        <v>2.0</v>
      </c>
      <c r="F442" s="14">
        <f t="shared" ref="F442:H442" si="47">SUM(F443:F444)</f>
        <v>1.849872477</v>
      </c>
      <c r="G442" s="14">
        <f t="shared" si="47"/>
        <v>0.07021287236</v>
      </c>
      <c r="H442" s="14">
        <f t="shared" si="47"/>
        <v>0.07986464185</v>
      </c>
    </row>
    <row r="443" ht="15.75" hidden="1" customHeight="1">
      <c r="A443" s="20" t="s">
        <v>51</v>
      </c>
      <c r="B443" s="47" t="s">
        <v>66</v>
      </c>
      <c r="C443" s="47"/>
      <c r="D443" s="19" t="s">
        <v>17</v>
      </c>
      <c r="E443" s="35"/>
      <c r="F443" s="18">
        <f>E443* 0.916446662218225</f>
        <v>0</v>
      </c>
      <c r="G443" s="18">
        <f>E443* 0.0292436682236212</f>
        <v>0</v>
      </c>
      <c r="H443" s="18">
        <f>E443* 0.0543096695581537</f>
        <v>0</v>
      </c>
    </row>
    <row r="444" ht="15.75" hidden="1" customHeight="1">
      <c r="A444" s="20" t="s">
        <v>51</v>
      </c>
      <c r="B444" s="47" t="s">
        <v>66</v>
      </c>
      <c r="C444" s="47"/>
      <c r="D444" s="19" t="s">
        <v>12</v>
      </c>
      <c r="E444" s="23">
        <v>2.0</v>
      </c>
      <c r="F444" s="18">
        <f>E444* 0.924936238310357</f>
        <v>1.849872477</v>
      </c>
      <c r="G444" s="18">
        <f>E444* 0.0351064361799663</f>
        <v>0.07021287236</v>
      </c>
      <c r="H444" s="18">
        <f>E444* 0.039932320925503</f>
        <v>0.07986464185</v>
      </c>
    </row>
    <row r="445" ht="15.75" hidden="1" customHeight="1">
      <c r="A445" s="20" t="s">
        <v>51</v>
      </c>
      <c r="B445" s="20"/>
      <c r="C445" s="20"/>
      <c r="D445" s="46"/>
      <c r="E445" s="35"/>
    </row>
    <row r="446" ht="15.75" hidden="1" customHeight="1">
      <c r="A446" s="20" t="s">
        <v>51</v>
      </c>
      <c r="B446" s="47" t="s">
        <v>67</v>
      </c>
      <c r="C446" s="12" t="str">
        <f>B446&amp;"_"&amp;A446</f>
        <v>Collana_La Paz</v>
      </c>
      <c r="D446" s="20"/>
      <c r="E446" s="45">
        <v>437.0</v>
      </c>
      <c r="F446" s="14">
        <f t="shared" ref="F446:H446" si="48">SUM(F447:F458)</f>
        <v>239.2682951</v>
      </c>
      <c r="G446" s="14">
        <f t="shared" si="48"/>
        <v>184.1477275</v>
      </c>
      <c r="H446" s="14">
        <f t="shared" si="48"/>
        <v>13.55981285</v>
      </c>
    </row>
    <row r="447" ht="15.75" hidden="1" customHeight="1">
      <c r="A447" s="20" t="s">
        <v>51</v>
      </c>
      <c r="B447" s="47" t="s">
        <v>67</v>
      </c>
      <c r="C447" s="47"/>
      <c r="D447" s="29" t="s">
        <v>323</v>
      </c>
      <c r="E447" s="23">
        <v>0.0</v>
      </c>
      <c r="F447" s="20">
        <v>0.0</v>
      </c>
      <c r="G447" s="24">
        <f>E447</f>
        <v>0</v>
      </c>
      <c r="H447" s="20">
        <v>0.0</v>
      </c>
    </row>
    <row r="448" ht="15.75" hidden="1" customHeight="1">
      <c r="A448" s="20" t="s">
        <v>51</v>
      </c>
      <c r="B448" s="47" t="s">
        <v>67</v>
      </c>
      <c r="C448" s="47"/>
      <c r="D448" s="19" t="s">
        <v>15</v>
      </c>
      <c r="E448" s="23">
        <v>23.0</v>
      </c>
      <c r="F448" s="18">
        <f>E448* 0.981163265034061</f>
        <v>22.5667551</v>
      </c>
      <c r="G448" s="18">
        <f>E448* 0.0027595216829083</f>
        <v>0.06346899871</v>
      </c>
      <c r="H448" s="18">
        <f>E448* 0.0160372202151627</f>
        <v>0.3688560649</v>
      </c>
    </row>
    <row r="449" ht="15.75" hidden="1" customHeight="1">
      <c r="A449" s="20" t="s">
        <v>51</v>
      </c>
      <c r="B449" s="47" t="s">
        <v>67</v>
      </c>
      <c r="C449" s="47"/>
      <c r="D449" s="29" t="s">
        <v>324</v>
      </c>
      <c r="E449" s="23">
        <v>3.0</v>
      </c>
      <c r="F449" s="18">
        <f>E449* 0.142974979378609</f>
        <v>0.4289249381</v>
      </c>
      <c r="G449" s="18">
        <f>E449* 0.852350838603245</f>
        <v>2.557052516</v>
      </c>
      <c r="H449" s="18">
        <f>E449* 0.00467418201814682</f>
        <v>0.01402254605</v>
      </c>
    </row>
    <row r="450" ht="15.75" hidden="1" customHeight="1">
      <c r="A450" s="20" t="s">
        <v>51</v>
      </c>
      <c r="B450" s="47" t="s">
        <v>67</v>
      </c>
      <c r="C450" s="47"/>
      <c r="D450" s="19" t="s">
        <v>11</v>
      </c>
      <c r="E450" s="23">
        <v>114.0</v>
      </c>
      <c r="F450" s="18">
        <f>E450* 0.178797409805735</f>
        <v>20.38290472</v>
      </c>
      <c r="G450" s="18">
        <f>E450* 0.819278445883441</f>
        <v>93.39774283</v>
      </c>
      <c r="H450" s="18">
        <f>E450* 0.00181313598519889</f>
        <v>0.2066975023</v>
      </c>
    </row>
    <row r="451" ht="15.75" hidden="1" customHeight="1">
      <c r="A451" s="20" t="s">
        <v>51</v>
      </c>
      <c r="B451" s="47" t="s">
        <v>67</v>
      </c>
      <c r="C451" s="47"/>
      <c r="D451" s="19" t="s">
        <v>17</v>
      </c>
      <c r="E451" s="23">
        <v>37.0</v>
      </c>
      <c r="F451" s="18">
        <f>E451* 0.916446662218225</f>
        <v>33.9085265</v>
      </c>
      <c r="G451" s="18">
        <f>E451* 0.0292436682236212</f>
        <v>1.082015724</v>
      </c>
      <c r="H451" s="18">
        <f>E451* 0.0543096695581537</f>
        <v>2.009457774</v>
      </c>
    </row>
    <row r="452" ht="15.75" hidden="1" customHeight="1">
      <c r="A452" s="20" t="s">
        <v>51</v>
      </c>
      <c r="B452" s="47" t="s">
        <v>67</v>
      </c>
      <c r="C452" s="47"/>
      <c r="D452" s="19" t="s">
        <v>31</v>
      </c>
      <c r="E452" s="23">
        <v>11.0</v>
      </c>
      <c r="F452" s="18">
        <f>E452* 0.957442434210526</f>
        <v>10.53186678</v>
      </c>
      <c r="G452" s="18">
        <f>E452* 0.0158305921052632</f>
        <v>0.1741365132</v>
      </c>
      <c r="H452" s="18">
        <f>E452* 0.0263157894736842</f>
        <v>0.2894736842</v>
      </c>
    </row>
    <row r="453" ht="15.75" hidden="1" customHeight="1">
      <c r="A453" s="20" t="s">
        <v>51</v>
      </c>
      <c r="B453" s="47" t="s">
        <v>67</v>
      </c>
      <c r="C453" s="47"/>
      <c r="D453" s="19" t="s">
        <v>18</v>
      </c>
      <c r="E453" s="23">
        <v>7.0</v>
      </c>
      <c r="F453" s="18">
        <f>E453* 0.983388008654987</f>
        <v>6.883716061</v>
      </c>
      <c r="G453" s="18">
        <f>E453* 0.0133314720457877</f>
        <v>0.09332030432</v>
      </c>
      <c r="H453" s="18">
        <f>E453* 0.003210721016263</f>
        <v>0.02247504711</v>
      </c>
    </row>
    <row r="454" ht="15.75" hidden="1" customHeight="1">
      <c r="A454" s="20" t="s">
        <v>51</v>
      </c>
      <c r="B454" s="47" t="s">
        <v>67</v>
      </c>
      <c r="C454" s="47"/>
      <c r="D454" s="19" t="s">
        <v>19</v>
      </c>
      <c r="E454" s="23">
        <v>0.0</v>
      </c>
      <c r="F454" s="18">
        <f>E454* 0.511826182618262</f>
        <v>0</v>
      </c>
      <c r="G454" s="18">
        <f>E454* 0.476622662266227</f>
        <v>0</v>
      </c>
      <c r="H454" s="18">
        <f>E454* 0.0115511551155116</f>
        <v>0</v>
      </c>
    </row>
    <row r="455" ht="15.75" hidden="1" customHeight="1">
      <c r="A455" s="20" t="s">
        <v>51</v>
      </c>
      <c r="B455" s="47" t="s">
        <v>67</v>
      </c>
      <c r="C455" s="47"/>
      <c r="D455" s="19" t="s">
        <v>20</v>
      </c>
      <c r="E455" s="23">
        <v>76.0</v>
      </c>
      <c r="F455" s="18">
        <f>E455* 0.814615536880747</f>
        <v>61.9107808</v>
      </c>
      <c r="G455" s="18">
        <f>E455* 0.0763167839340663</f>
        <v>5.800075579</v>
      </c>
      <c r="H455" s="18">
        <f>E455* 0.109013694193014</f>
        <v>8.285040759</v>
      </c>
    </row>
    <row r="456" ht="15.75" hidden="1" customHeight="1">
      <c r="A456" s="20" t="s">
        <v>51</v>
      </c>
      <c r="B456" s="47" t="s">
        <v>67</v>
      </c>
      <c r="C456" s="47"/>
      <c r="D456" s="19" t="s">
        <v>21</v>
      </c>
      <c r="E456" s="23">
        <v>28.0</v>
      </c>
      <c r="F456" s="18">
        <f>E456* 0.999722052365334</f>
        <v>27.99221747</v>
      </c>
      <c r="G456" s="20">
        <v>0.0</v>
      </c>
      <c r="H456" s="18">
        <f>E456* 0.000277947634665629</f>
        <v>0.007782533771</v>
      </c>
    </row>
    <row r="457" ht="15.75" hidden="1" customHeight="1">
      <c r="A457" s="20" t="s">
        <v>51</v>
      </c>
      <c r="B457" s="47" t="s">
        <v>67</v>
      </c>
      <c r="C457" s="47"/>
      <c r="D457" s="19" t="s">
        <v>28</v>
      </c>
      <c r="E457" s="23">
        <v>79.0</v>
      </c>
      <c r="F457" s="18">
        <f>E457* 0.00115651503469545</f>
        <v>0.09136468774</v>
      </c>
      <c r="G457" s="18">
        <f>E457* 0.998843484965305</f>
        <v>78.90863531</v>
      </c>
      <c r="H457" s="20">
        <v>0.0</v>
      </c>
    </row>
    <row r="458" ht="15.75" hidden="1" customHeight="1">
      <c r="A458" s="20" t="s">
        <v>51</v>
      </c>
      <c r="B458" s="47" t="s">
        <v>67</v>
      </c>
      <c r="C458" s="47"/>
      <c r="D458" s="19" t="s">
        <v>12</v>
      </c>
      <c r="E458" s="23">
        <v>59.0</v>
      </c>
      <c r="F458" s="18">
        <f>E458* 0.924936238310357</f>
        <v>54.57123806</v>
      </c>
      <c r="G458" s="18">
        <f>E458* 0.0351064361799663</f>
        <v>2.071279735</v>
      </c>
      <c r="H458" s="18">
        <f>E458* 0.039932320925503</f>
        <v>2.356006935</v>
      </c>
    </row>
    <row r="459" ht="15.75" hidden="1" customHeight="1">
      <c r="A459" s="20" t="s">
        <v>51</v>
      </c>
      <c r="B459" s="20"/>
      <c r="C459" s="20"/>
      <c r="D459" s="46"/>
      <c r="E459" s="35"/>
    </row>
    <row r="460" ht="15.75" hidden="1" customHeight="1">
      <c r="A460" s="20" t="s">
        <v>51</v>
      </c>
      <c r="B460" s="47" t="s">
        <v>68</v>
      </c>
      <c r="C460" s="12" t="str">
        <f>B460&amp;"_"&amp;A460</f>
        <v>Colquencha_La Paz</v>
      </c>
      <c r="D460" s="20"/>
      <c r="E460" s="45">
        <v>242.0</v>
      </c>
      <c r="F460" s="14">
        <f t="shared" ref="F460:H460" si="49">SUM(F461:F470)</f>
        <v>76.0680929</v>
      </c>
      <c r="G460" s="14">
        <f t="shared" si="49"/>
        <v>162.3404091</v>
      </c>
      <c r="H460" s="14">
        <f t="shared" si="49"/>
        <v>3.571563068</v>
      </c>
    </row>
    <row r="461" ht="15.75" hidden="1" customHeight="1">
      <c r="A461" s="20" t="s">
        <v>51</v>
      </c>
      <c r="B461" s="47" t="s">
        <v>68</v>
      </c>
      <c r="C461" s="47"/>
      <c r="D461" s="19" t="s">
        <v>15</v>
      </c>
      <c r="E461" s="23">
        <v>2.0</v>
      </c>
      <c r="F461" s="18">
        <f>E461* 0.981163265034061</f>
        <v>1.96232653</v>
      </c>
      <c r="G461" s="18">
        <f>E461* 0.0027595216829083</f>
        <v>0.005519043366</v>
      </c>
      <c r="H461" s="18">
        <f>E461* 0.0160372202151627</f>
        <v>0.03207444043</v>
      </c>
    </row>
    <row r="462" ht="15.75" hidden="1" customHeight="1">
      <c r="A462" s="20" t="s">
        <v>51</v>
      </c>
      <c r="B462" s="47" t="s">
        <v>68</v>
      </c>
      <c r="C462" s="47"/>
      <c r="D462" s="29" t="s">
        <v>325</v>
      </c>
      <c r="E462" s="23">
        <v>1.0</v>
      </c>
      <c r="F462" s="18">
        <f>E462* 0.142974979378609</f>
        <v>0.1429749794</v>
      </c>
      <c r="G462" s="18">
        <f>E462* 0.852350838603245</f>
        <v>0.8523508386</v>
      </c>
      <c r="H462" s="18">
        <f>E462* 0.00467418201814682</f>
        <v>0.004674182018</v>
      </c>
    </row>
    <row r="463" ht="15.75" hidden="1" customHeight="1">
      <c r="A463" s="20" t="s">
        <v>51</v>
      </c>
      <c r="B463" s="47" t="s">
        <v>68</v>
      </c>
      <c r="C463" s="47"/>
      <c r="D463" s="19" t="s">
        <v>11</v>
      </c>
      <c r="E463" s="23">
        <v>167.0</v>
      </c>
      <c r="F463" s="18">
        <f>E463* 0.178797409805735</f>
        <v>29.85916744</v>
      </c>
      <c r="G463" s="18">
        <f>E463* 0.819278445883441</f>
        <v>136.8195005</v>
      </c>
      <c r="H463" s="18">
        <f>E463* 0.00181313598519889</f>
        <v>0.3027937095</v>
      </c>
    </row>
    <row r="464" ht="15.75" hidden="1" customHeight="1">
      <c r="A464" s="20" t="s">
        <v>51</v>
      </c>
      <c r="B464" s="47" t="s">
        <v>68</v>
      </c>
      <c r="C464" s="47"/>
      <c r="D464" s="19" t="s">
        <v>17</v>
      </c>
      <c r="E464" s="23">
        <v>15.0</v>
      </c>
      <c r="F464" s="18">
        <f>E464* 0.916446662218225</f>
        <v>13.74669993</v>
      </c>
      <c r="G464" s="18">
        <f>E464* 0.0292436682236212</f>
        <v>0.4386550234</v>
      </c>
      <c r="H464" s="18">
        <f>E464* 0.0543096695581537</f>
        <v>0.8146450434</v>
      </c>
    </row>
    <row r="465" ht="15.75" hidden="1" customHeight="1">
      <c r="A465" s="20" t="s">
        <v>51</v>
      </c>
      <c r="B465" s="47" t="s">
        <v>68</v>
      </c>
      <c r="C465" s="47"/>
      <c r="D465" s="19" t="s">
        <v>18</v>
      </c>
      <c r="E465" s="23">
        <v>1.0</v>
      </c>
      <c r="F465" s="18">
        <f>E465* 0.983388008654987</f>
        <v>0.9833880087</v>
      </c>
      <c r="G465" s="18">
        <f>E465* 0.0133314720457877</f>
        <v>0.01333147205</v>
      </c>
      <c r="H465" s="18">
        <f>E465* 0.003210721016263</f>
        <v>0.003210721016</v>
      </c>
    </row>
    <row r="466" ht="15.75" hidden="1" customHeight="1">
      <c r="A466" s="20" t="s">
        <v>51</v>
      </c>
      <c r="B466" s="47" t="s">
        <v>68</v>
      </c>
      <c r="C466" s="47"/>
      <c r="D466" s="19" t="s">
        <v>19</v>
      </c>
      <c r="E466" s="23">
        <v>1.0</v>
      </c>
      <c r="F466" s="18">
        <f>E466* 0.511826182618262</f>
        <v>0.5118261826</v>
      </c>
      <c r="G466" s="18">
        <f>E466* 0.476622662266227</f>
        <v>0.4766226623</v>
      </c>
      <c r="H466" s="18">
        <f>E466* 0.0115511551155116</f>
        <v>0.01155115512</v>
      </c>
    </row>
    <row r="467" ht="15.75" hidden="1" customHeight="1">
      <c r="A467" s="20" t="s">
        <v>51</v>
      </c>
      <c r="B467" s="47" t="s">
        <v>68</v>
      </c>
      <c r="C467" s="47"/>
      <c r="D467" s="19" t="s">
        <v>20</v>
      </c>
      <c r="E467" s="23">
        <v>18.0</v>
      </c>
      <c r="F467" s="18">
        <f>E467* 0.814615536880747</f>
        <v>14.66307966</v>
      </c>
      <c r="G467" s="18">
        <f>E467* 0.0763167839340663</f>
        <v>1.373702111</v>
      </c>
      <c r="H467" s="18">
        <f>E467* 0.109013694193014</f>
        <v>1.962246495</v>
      </c>
    </row>
    <row r="468" ht="15.75" hidden="1" customHeight="1">
      <c r="A468" s="20" t="s">
        <v>51</v>
      </c>
      <c r="B468" s="47" t="s">
        <v>68</v>
      </c>
      <c r="C468" s="47"/>
      <c r="D468" s="19" t="s">
        <v>21</v>
      </c>
      <c r="E468" s="23">
        <v>4.0</v>
      </c>
      <c r="F468" s="18">
        <f>E468* 0.999722052365334</f>
        <v>3.998888209</v>
      </c>
      <c r="G468" s="20">
        <v>0.0</v>
      </c>
      <c r="H468" s="18">
        <f>E468* 0.000277947634665629</f>
        <v>0.001111790539</v>
      </c>
    </row>
    <row r="469" ht="15.75" hidden="1" customHeight="1">
      <c r="A469" s="20" t="s">
        <v>51</v>
      </c>
      <c r="B469" s="47" t="s">
        <v>68</v>
      </c>
      <c r="C469" s="47"/>
      <c r="D469" s="19" t="s">
        <v>28</v>
      </c>
      <c r="E469" s="23">
        <v>22.0</v>
      </c>
      <c r="F469" s="18">
        <f>E469* 0.00115651503469545</f>
        <v>0.02544333076</v>
      </c>
      <c r="G469" s="18">
        <f>E469* 0.998843484965305</f>
        <v>21.97455667</v>
      </c>
      <c r="H469" s="20">
        <v>0.0</v>
      </c>
    </row>
    <row r="470" ht="15.75" hidden="1" customHeight="1">
      <c r="A470" s="20" t="s">
        <v>51</v>
      </c>
      <c r="B470" s="47" t="s">
        <v>68</v>
      </c>
      <c r="C470" s="47"/>
      <c r="D470" s="19" t="s">
        <v>12</v>
      </c>
      <c r="E470" s="23">
        <v>11.0</v>
      </c>
      <c r="F470" s="18">
        <f>E470* 0.924936238310357</f>
        <v>10.17429862</v>
      </c>
      <c r="G470" s="18">
        <f>E470* 0.0351064361799663</f>
        <v>0.386170798</v>
      </c>
      <c r="H470" s="18">
        <f>E470* 0.039932320925503</f>
        <v>0.4392555302</v>
      </c>
    </row>
    <row r="471" ht="15.75" hidden="1" customHeight="1">
      <c r="A471" s="20" t="s">
        <v>51</v>
      </c>
      <c r="B471" s="20"/>
      <c r="C471" s="20"/>
      <c r="D471" s="46"/>
      <c r="E471" s="35"/>
    </row>
    <row r="472" ht="15.75" hidden="1" customHeight="1">
      <c r="A472" s="20" t="s">
        <v>51</v>
      </c>
      <c r="B472" s="47" t="s">
        <v>69</v>
      </c>
      <c r="C472" s="12" t="str">
        <f>B472&amp;"_"&amp;A472</f>
        <v>Colquiri_La Paz</v>
      </c>
      <c r="D472" s="20"/>
      <c r="E472" s="45">
        <v>254.0</v>
      </c>
      <c r="F472" s="14">
        <f t="shared" ref="F472:H472" si="50">SUM(F473:F485)</f>
        <v>201.8833479</v>
      </c>
      <c r="G472" s="14">
        <f t="shared" si="50"/>
        <v>40.7774124</v>
      </c>
      <c r="H472" s="14">
        <f t="shared" si="50"/>
        <v>11.32901827</v>
      </c>
    </row>
    <row r="473" ht="15.75" hidden="1" customHeight="1">
      <c r="A473" s="20" t="s">
        <v>51</v>
      </c>
      <c r="B473" s="47" t="s">
        <v>69</v>
      </c>
      <c r="C473" s="47"/>
      <c r="D473" s="29" t="s">
        <v>326</v>
      </c>
      <c r="E473" s="23">
        <v>0.0</v>
      </c>
      <c r="F473" s="20">
        <v>0.0</v>
      </c>
      <c r="G473" s="24">
        <f>E473</f>
        <v>0</v>
      </c>
      <c r="H473" s="20">
        <v>0.0</v>
      </c>
    </row>
    <row r="474" ht="15.75" hidden="1" customHeight="1">
      <c r="A474" s="20" t="s">
        <v>51</v>
      </c>
      <c r="B474" s="47" t="s">
        <v>69</v>
      </c>
      <c r="C474" s="47"/>
      <c r="D474" s="19" t="s">
        <v>15</v>
      </c>
      <c r="E474" s="23">
        <v>14.0</v>
      </c>
      <c r="F474" s="18">
        <f>E474* 0.981163265034061</f>
        <v>13.73628571</v>
      </c>
      <c r="G474" s="18">
        <f>E474* 0.0027595216829083</f>
        <v>0.03863330356</v>
      </c>
      <c r="H474" s="18">
        <f>E474* 0.0160372202151627</f>
        <v>0.224521083</v>
      </c>
    </row>
    <row r="475" ht="15.75" hidden="1" customHeight="1">
      <c r="A475" s="20" t="s">
        <v>51</v>
      </c>
      <c r="B475" s="47" t="s">
        <v>69</v>
      </c>
      <c r="C475" s="47"/>
      <c r="D475" s="29" t="s">
        <v>327</v>
      </c>
      <c r="E475" s="23">
        <v>4.0</v>
      </c>
      <c r="F475" s="18">
        <f>E475* 0.142974979378609</f>
        <v>0.5718999175</v>
      </c>
      <c r="G475" s="18">
        <f>E475* 0.852350838603245</f>
        <v>3.409403354</v>
      </c>
      <c r="H475" s="18">
        <f>E475* 0.00467418201814682</f>
        <v>0.01869672807</v>
      </c>
    </row>
    <row r="476" ht="15.75" hidden="1" customHeight="1">
      <c r="A476" s="20" t="s">
        <v>51</v>
      </c>
      <c r="B476" s="47" t="s">
        <v>69</v>
      </c>
      <c r="C476" s="47"/>
      <c r="D476" s="19" t="s">
        <v>11</v>
      </c>
      <c r="E476" s="23">
        <v>31.0</v>
      </c>
      <c r="F476" s="18">
        <f>E476* 0.178797409805735</f>
        <v>5.542719704</v>
      </c>
      <c r="G476" s="18">
        <f>E476* 0.819278445883441</f>
        <v>25.39763182</v>
      </c>
      <c r="H476" s="18">
        <f>E476* 0.00181313598519889</f>
        <v>0.05620721554</v>
      </c>
    </row>
    <row r="477" ht="15.75" hidden="1" customHeight="1">
      <c r="A477" s="20" t="s">
        <v>51</v>
      </c>
      <c r="B477" s="47" t="s">
        <v>69</v>
      </c>
      <c r="C477" s="47"/>
      <c r="D477" s="19" t="s">
        <v>17</v>
      </c>
      <c r="E477" s="23">
        <v>41.0</v>
      </c>
      <c r="F477" s="18">
        <f>E477* 0.916446662218225</f>
        <v>37.57431315</v>
      </c>
      <c r="G477" s="18">
        <f>E477* 0.0292436682236212</f>
        <v>1.198990397</v>
      </c>
      <c r="H477" s="18">
        <f>E477* 0.0543096695581537</f>
        <v>2.226696452</v>
      </c>
    </row>
    <row r="478" ht="15.75" hidden="1" customHeight="1">
      <c r="A478" s="20" t="s">
        <v>51</v>
      </c>
      <c r="B478" s="47" t="s">
        <v>69</v>
      </c>
      <c r="C478" s="47"/>
      <c r="D478" s="19" t="s">
        <v>31</v>
      </c>
      <c r="E478" s="23">
        <v>3.0</v>
      </c>
      <c r="F478" s="18">
        <f>E478* 0.957442434210526</f>
        <v>2.872327303</v>
      </c>
      <c r="G478" s="18">
        <f>E478* 0.0158305921052632</f>
        <v>0.04749177632</v>
      </c>
      <c r="H478" s="18">
        <f>E478* 0.0263157894736842</f>
        <v>0.07894736842</v>
      </c>
    </row>
    <row r="479" ht="15.75" hidden="1" customHeight="1">
      <c r="A479" s="20" t="s">
        <v>51</v>
      </c>
      <c r="B479" s="47" t="s">
        <v>69</v>
      </c>
      <c r="C479" s="47"/>
      <c r="D479" s="19" t="s">
        <v>18</v>
      </c>
      <c r="E479" s="23">
        <v>4.0</v>
      </c>
      <c r="F479" s="18">
        <f>E479* 0.983388008654987</f>
        <v>3.933552035</v>
      </c>
      <c r="G479" s="18">
        <f>E479* 0.0133314720457877</f>
        <v>0.05332588818</v>
      </c>
      <c r="H479" s="18">
        <f>E479* 0.003210721016263</f>
        <v>0.01284288407</v>
      </c>
    </row>
    <row r="480" ht="15.75" hidden="1" customHeight="1">
      <c r="A480" s="20" t="s">
        <v>51</v>
      </c>
      <c r="B480" s="47" t="s">
        <v>69</v>
      </c>
      <c r="C480" s="47"/>
      <c r="D480" s="19" t="s">
        <v>19</v>
      </c>
      <c r="E480" s="23">
        <v>0.0</v>
      </c>
      <c r="F480" s="18">
        <f>E480* 0.511826182618262</f>
        <v>0</v>
      </c>
      <c r="G480" s="18">
        <f>E480* 0.476622662266227</f>
        <v>0</v>
      </c>
      <c r="H480" s="18">
        <f>E480* 0.0115511551155116</f>
        <v>0</v>
      </c>
    </row>
    <row r="481" ht="15.75" hidden="1" customHeight="1">
      <c r="A481" s="20" t="s">
        <v>51</v>
      </c>
      <c r="B481" s="47" t="s">
        <v>69</v>
      </c>
      <c r="C481" s="47"/>
      <c r="D481" s="19" t="s">
        <v>20</v>
      </c>
      <c r="E481" s="23">
        <v>52.0</v>
      </c>
      <c r="F481" s="18">
        <f>E481* 0.814615536880747</f>
        <v>42.36000792</v>
      </c>
      <c r="G481" s="18">
        <f>E481* 0.0763167839340663</f>
        <v>3.968472765</v>
      </c>
      <c r="H481" s="18">
        <f>E481* 0.109013694193014</f>
        <v>5.668712098</v>
      </c>
    </row>
    <row r="482" ht="15.75" hidden="1" customHeight="1">
      <c r="A482" s="20" t="s">
        <v>51</v>
      </c>
      <c r="B482" s="47" t="s">
        <v>69</v>
      </c>
      <c r="C482" s="47"/>
      <c r="D482" s="19" t="s">
        <v>21</v>
      </c>
      <c r="E482" s="23">
        <v>24.0</v>
      </c>
      <c r="F482" s="18">
        <f>E482* 0.999722052365334</f>
        <v>23.99332926</v>
      </c>
      <c r="G482" s="20">
        <v>0.0</v>
      </c>
      <c r="H482" s="18">
        <f>E482* 0.000277947634665629</f>
        <v>0.006670743232</v>
      </c>
    </row>
    <row r="483" ht="15.75" hidden="1" customHeight="1">
      <c r="A483" s="20" t="s">
        <v>51</v>
      </c>
      <c r="B483" s="47" t="s">
        <v>69</v>
      </c>
      <c r="C483" s="47"/>
      <c r="D483" s="19" t="s">
        <v>36</v>
      </c>
      <c r="E483" s="23">
        <v>1.0</v>
      </c>
      <c r="F483" s="18">
        <f>E483* 0.999132697311362</f>
        <v>0.9991326973</v>
      </c>
      <c r="G483" s="20">
        <v>0.0</v>
      </c>
      <c r="H483" s="18">
        <f>E483* 0.000867302688638335</f>
        <v>0.0008673026886</v>
      </c>
    </row>
    <row r="484" ht="15.75" hidden="1" customHeight="1">
      <c r="A484" s="20" t="s">
        <v>51</v>
      </c>
      <c r="B484" s="47" t="s">
        <v>69</v>
      </c>
      <c r="C484" s="47"/>
      <c r="D484" s="19" t="s">
        <v>28</v>
      </c>
      <c r="E484" s="23">
        <v>4.0</v>
      </c>
      <c r="F484" s="18">
        <f>E484* 0.00115651503469545</f>
        <v>0.004626060139</v>
      </c>
      <c r="G484" s="18">
        <f>E484* 0.998843484965305</f>
        <v>3.99537394</v>
      </c>
      <c r="H484" s="20">
        <v>0.0</v>
      </c>
    </row>
    <row r="485" ht="15.75" hidden="1" customHeight="1">
      <c r="A485" s="20" t="s">
        <v>51</v>
      </c>
      <c r="B485" s="47" t="s">
        <v>69</v>
      </c>
      <c r="C485" s="47"/>
      <c r="D485" s="19" t="s">
        <v>12</v>
      </c>
      <c r="E485" s="23">
        <v>76.0</v>
      </c>
      <c r="F485" s="18">
        <f>E485* 0.924936238310357</f>
        <v>70.29515411</v>
      </c>
      <c r="G485" s="18">
        <f>E485* 0.0351064361799663</f>
        <v>2.66808915</v>
      </c>
      <c r="H485" s="18">
        <f>E485* 0.039932320925503</f>
        <v>3.03485639</v>
      </c>
    </row>
    <row r="486" ht="15.75" hidden="1" customHeight="1">
      <c r="A486" s="20" t="s">
        <v>51</v>
      </c>
      <c r="B486" s="20"/>
      <c r="C486" s="20"/>
      <c r="D486" s="46"/>
      <c r="E486" s="35"/>
    </row>
    <row r="487" ht="15.75" hidden="1" customHeight="1">
      <c r="A487" s="20" t="s">
        <v>51</v>
      </c>
      <c r="B487" s="47" t="s">
        <v>328</v>
      </c>
      <c r="C487" s="12" t="str">
        <f>B487&amp;"_"&amp;A487</f>
        <v>Combaya_La Paz</v>
      </c>
      <c r="D487" s="20"/>
      <c r="E487" s="45">
        <v>223.0</v>
      </c>
      <c r="F487" s="14">
        <f t="shared" ref="F487:H487" si="51">SUM(F488:F497)</f>
        <v>197.9275689</v>
      </c>
      <c r="G487" s="14">
        <f t="shared" si="51"/>
        <v>20.51320613</v>
      </c>
      <c r="H487" s="14">
        <f t="shared" si="51"/>
        <v>4.554994701</v>
      </c>
    </row>
    <row r="488" ht="15.75" hidden="1" customHeight="1">
      <c r="A488" s="20" t="s">
        <v>51</v>
      </c>
      <c r="B488" s="47" t="s">
        <v>328</v>
      </c>
      <c r="C488" s="47"/>
      <c r="D488" s="29" t="s">
        <v>329</v>
      </c>
      <c r="E488" s="23">
        <v>1.0</v>
      </c>
      <c r="F488" s="20">
        <v>0.0</v>
      </c>
      <c r="G488" s="24">
        <f>E488</f>
        <v>1</v>
      </c>
      <c r="H488" s="20">
        <v>0.0</v>
      </c>
    </row>
    <row r="489" ht="15.75" hidden="1" customHeight="1">
      <c r="A489" s="20" t="s">
        <v>51</v>
      </c>
      <c r="B489" s="47" t="s">
        <v>328</v>
      </c>
      <c r="C489" s="47"/>
      <c r="D489" s="19" t="s">
        <v>15</v>
      </c>
      <c r="E489" s="23">
        <v>1.0</v>
      </c>
      <c r="F489" s="18">
        <f>E489* 0.981163265034061</f>
        <v>0.981163265</v>
      </c>
      <c r="G489" s="18">
        <f>E489* 0.0027595216829083</f>
        <v>0.002759521683</v>
      </c>
      <c r="H489" s="18">
        <f>E489* 0.0160372202151627</f>
        <v>0.01603722022</v>
      </c>
    </row>
    <row r="490" ht="15.75" hidden="1" customHeight="1">
      <c r="A490" s="20" t="s">
        <v>51</v>
      </c>
      <c r="B490" s="47" t="s">
        <v>328</v>
      </c>
      <c r="C490" s="47"/>
      <c r="D490" s="29" t="s">
        <v>330</v>
      </c>
      <c r="E490" s="23">
        <v>1.0</v>
      </c>
      <c r="F490" s="18">
        <f>E490* 0.142974979378609</f>
        <v>0.1429749794</v>
      </c>
      <c r="G490" s="18">
        <f>E490* 0.852350838603245</f>
        <v>0.8523508386</v>
      </c>
      <c r="H490" s="18">
        <f>E490* 0.00467418201814682</f>
        <v>0.004674182018</v>
      </c>
    </row>
    <row r="491" ht="15.75" hidden="1" customHeight="1">
      <c r="A491" s="20" t="s">
        <v>51</v>
      </c>
      <c r="B491" s="47" t="s">
        <v>328</v>
      </c>
      <c r="C491" s="47"/>
      <c r="D491" s="19" t="s">
        <v>11</v>
      </c>
      <c r="E491" s="23">
        <v>15.0</v>
      </c>
      <c r="F491" s="18">
        <f>E491* 0.178797409805735</f>
        <v>2.681961147</v>
      </c>
      <c r="G491" s="18">
        <f>E491* 0.819278445883441</f>
        <v>12.28917669</v>
      </c>
      <c r="H491" s="18">
        <f>E491* 0.00181313598519889</f>
        <v>0.02719703978</v>
      </c>
    </row>
    <row r="492" ht="15.75" hidden="1" customHeight="1">
      <c r="A492" s="20" t="s">
        <v>51</v>
      </c>
      <c r="B492" s="47" t="s">
        <v>328</v>
      </c>
      <c r="C492" s="47"/>
      <c r="D492" s="19" t="s">
        <v>17</v>
      </c>
      <c r="E492" s="23">
        <v>13.0</v>
      </c>
      <c r="F492" s="18">
        <f>E492* 0.916446662218225</f>
        <v>11.91380661</v>
      </c>
      <c r="G492" s="18">
        <f>E492* 0.0292436682236212</f>
        <v>0.3801676869</v>
      </c>
      <c r="H492" s="18">
        <f>E492* 0.0543096695581537</f>
        <v>0.7060257043</v>
      </c>
    </row>
    <row r="493" ht="15.75" hidden="1" customHeight="1">
      <c r="A493" s="20" t="s">
        <v>51</v>
      </c>
      <c r="B493" s="47" t="s">
        <v>328</v>
      </c>
      <c r="C493" s="47"/>
      <c r="D493" s="19" t="s">
        <v>31</v>
      </c>
      <c r="E493" s="23">
        <v>1.0</v>
      </c>
      <c r="F493" s="18">
        <f>E493* 0.957442434210526</f>
        <v>0.9574424342</v>
      </c>
      <c r="G493" s="18">
        <f>E493* 0.0158305921052632</f>
        <v>0.01583059211</v>
      </c>
      <c r="H493" s="18">
        <f>E493* 0.0263157894736842</f>
        <v>0.02631578947</v>
      </c>
    </row>
    <row r="494" ht="15.75" hidden="1" customHeight="1">
      <c r="A494" s="20" t="s">
        <v>51</v>
      </c>
      <c r="B494" s="47" t="s">
        <v>328</v>
      </c>
      <c r="C494" s="47"/>
      <c r="D494" s="19" t="s">
        <v>20</v>
      </c>
      <c r="E494" s="23">
        <v>16.0</v>
      </c>
      <c r="F494" s="18">
        <f>E494* 0.814615536880747</f>
        <v>13.03384859</v>
      </c>
      <c r="G494" s="18">
        <f>E494* 0.0763167839340663</f>
        <v>1.221068543</v>
      </c>
      <c r="H494" s="18">
        <f>E494* 0.109013694193014</f>
        <v>1.744219107</v>
      </c>
    </row>
    <row r="495" ht="15.75" hidden="1" customHeight="1">
      <c r="A495" s="20" t="s">
        <v>51</v>
      </c>
      <c r="B495" s="47" t="s">
        <v>328</v>
      </c>
      <c r="C495" s="47"/>
      <c r="D495" s="19" t="s">
        <v>21</v>
      </c>
      <c r="E495" s="23">
        <v>122.0</v>
      </c>
      <c r="F495" s="18">
        <f>E495* 0.999722052365334</f>
        <v>121.9660904</v>
      </c>
      <c r="G495" s="20">
        <v>0.0</v>
      </c>
      <c r="H495" s="18">
        <f>E495* 0.000277947634665629</f>
        <v>0.03390961143</v>
      </c>
    </row>
    <row r="496" ht="15.75" hidden="1" customHeight="1">
      <c r="A496" s="20" t="s">
        <v>51</v>
      </c>
      <c r="B496" s="47" t="s">
        <v>328</v>
      </c>
      <c r="C496" s="47"/>
      <c r="D496" s="19" t="s">
        <v>28</v>
      </c>
      <c r="E496" s="23">
        <v>3.0</v>
      </c>
      <c r="F496" s="18">
        <f>E496* 0.00115651503469545</f>
        <v>0.003469545104</v>
      </c>
      <c r="G496" s="18">
        <f>E496* 0.998843484965305</f>
        <v>2.996530455</v>
      </c>
      <c r="H496" s="20">
        <v>0.0</v>
      </c>
    </row>
    <row r="497" ht="15.75" hidden="1" customHeight="1">
      <c r="A497" s="20" t="s">
        <v>51</v>
      </c>
      <c r="B497" s="47" t="s">
        <v>328</v>
      </c>
      <c r="C497" s="47"/>
      <c r="D497" s="19" t="s">
        <v>12</v>
      </c>
      <c r="E497" s="23">
        <v>50.0</v>
      </c>
      <c r="F497" s="18">
        <f>E497* 0.924936238310357</f>
        <v>46.24681192</v>
      </c>
      <c r="G497" s="18">
        <f>E497* 0.0351064361799663</f>
        <v>1.755321809</v>
      </c>
      <c r="H497" s="18">
        <f>E497* 0.039932320925503</f>
        <v>1.996616046</v>
      </c>
    </row>
    <row r="498" ht="15.75" hidden="1" customHeight="1">
      <c r="A498" s="20" t="s">
        <v>51</v>
      </c>
      <c r="B498" s="20"/>
      <c r="C498" s="20"/>
      <c r="D498" s="46"/>
      <c r="E498" s="35"/>
    </row>
    <row r="499" ht="15.75" hidden="1" customHeight="1">
      <c r="A499" s="20" t="s">
        <v>51</v>
      </c>
      <c r="B499" s="47" t="s">
        <v>70</v>
      </c>
      <c r="C499" s="12" t="str">
        <f>B499&amp;"_"&amp;A499</f>
        <v>Copacabana_La Paz</v>
      </c>
      <c r="D499" s="20"/>
      <c r="E499" s="45">
        <v>222.0</v>
      </c>
      <c r="F499" s="14">
        <f t="shared" ref="F499:H499" si="52">SUM(F500:F511)</f>
        <v>175.0491637</v>
      </c>
      <c r="G499" s="14">
        <f t="shared" si="52"/>
        <v>37.52911782</v>
      </c>
      <c r="H499" s="14">
        <f t="shared" si="52"/>
        <v>9.408744578</v>
      </c>
    </row>
    <row r="500" ht="15.75" hidden="1" customHeight="1">
      <c r="A500" s="20" t="s">
        <v>51</v>
      </c>
      <c r="B500" s="47" t="s">
        <v>70</v>
      </c>
      <c r="C500" s="47"/>
      <c r="D500" s="29" t="s">
        <v>331</v>
      </c>
      <c r="E500" s="35"/>
      <c r="F500" s="20">
        <v>0.0</v>
      </c>
      <c r="G500" s="24" t="str">
        <f>E500</f>
        <v/>
      </c>
      <c r="H500" s="20">
        <v>0.0</v>
      </c>
    </row>
    <row r="501" ht="15.75" hidden="1" customHeight="1">
      <c r="A501" s="20" t="s">
        <v>51</v>
      </c>
      <c r="B501" s="47" t="s">
        <v>70</v>
      </c>
      <c r="C501" s="47"/>
      <c r="D501" s="19" t="s">
        <v>15</v>
      </c>
      <c r="E501" s="23">
        <v>20.0</v>
      </c>
      <c r="F501" s="18">
        <f>E501* 0.981163265034061</f>
        <v>19.6232653</v>
      </c>
      <c r="G501" s="18">
        <f>E501* 0.0027595216829083</f>
        <v>0.05519043366</v>
      </c>
      <c r="H501" s="18">
        <f>E501* 0.0160372202151627</f>
        <v>0.3207444043</v>
      </c>
    </row>
    <row r="502" ht="15.75" hidden="1" customHeight="1">
      <c r="A502" s="20" t="s">
        <v>51</v>
      </c>
      <c r="B502" s="47" t="s">
        <v>70</v>
      </c>
      <c r="C502" s="47"/>
      <c r="D502" s="29" t="s">
        <v>332</v>
      </c>
      <c r="E502" s="23">
        <v>16.0</v>
      </c>
      <c r="F502" s="18">
        <f>E502* 0.142974979378609</f>
        <v>2.28759967</v>
      </c>
      <c r="G502" s="18">
        <f>E502* 0.852350838603245</f>
        <v>13.63761342</v>
      </c>
      <c r="H502" s="18">
        <f>E502* 0.00467418201814682</f>
        <v>0.07478691229</v>
      </c>
    </row>
    <row r="503" ht="15.75" hidden="1" customHeight="1">
      <c r="A503" s="20" t="s">
        <v>51</v>
      </c>
      <c r="B503" s="47" t="s">
        <v>70</v>
      </c>
      <c r="C503" s="47"/>
      <c r="D503" s="19" t="s">
        <v>11</v>
      </c>
      <c r="E503" s="23">
        <v>18.0</v>
      </c>
      <c r="F503" s="18">
        <f>E503* 0.178797409805735</f>
        <v>3.218353377</v>
      </c>
      <c r="G503" s="18">
        <f>E503* 0.819278445883441</f>
        <v>14.74701203</v>
      </c>
      <c r="H503" s="18">
        <f>E503* 0.00181313598519889</f>
        <v>0.03263644773</v>
      </c>
    </row>
    <row r="504" ht="15.75" hidden="1" customHeight="1">
      <c r="A504" s="20" t="s">
        <v>51</v>
      </c>
      <c r="B504" s="47" t="s">
        <v>70</v>
      </c>
      <c r="C504" s="47"/>
      <c r="D504" s="19" t="s">
        <v>17</v>
      </c>
      <c r="E504" s="23">
        <v>13.0</v>
      </c>
      <c r="F504" s="18">
        <f>E504* 0.916446662218225</f>
        <v>11.91380661</v>
      </c>
      <c r="G504" s="18">
        <f>E504* 0.0292436682236212</f>
        <v>0.3801676869</v>
      </c>
      <c r="H504" s="18">
        <f>E504* 0.0543096695581537</f>
        <v>0.7060257043</v>
      </c>
    </row>
    <row r="505" ht="15.75" hidden="1" customHeight="1">
      <c r="A505" s="20" t="s">
        <v>51</v>
      </c>
      <c r="B505" s="47" t="s">
        <v>70</v>
      </c>
      <c r="C505" s="47"/>
      <c r="D505" s="19" t="s">
        <v>31</v>
      </c>
      <c r="E505" s="23">
        <v>14.0</v>
      </c>
      <c r="F505" s="18">
        <f>E505* 0.957442434210526</f>
        <v>13.40419408</v>
      </c>
      <c r="G505" s="18">
        <f>E505* 0.0158305921052632</f>
        <v>0.2216282895</v>
      </c>
      <c r="H505" s="18">
        <f>E505* 0.0263157894736842</f>
        <v>0.3684210526</v>
      </c>
    </row>
    <row r="506" ht="15.75" hidden="1" customHeight="1">
      <c r="A506" s="20" t="s">
        <v>51</v>
      </c>
      <c r="B506" s="47" t="s">
        <v>70</v>
      </c>
      <c r="C506" s="47"/>
      <c r="D506" s="19" t="s">
        <v>18</v>
      </c>
      <c r="E506" s="23">
        <v>2.0</v>
      </c>
      <c r="F506" s="18">
        <f>E506* 0.983388008654987</f>
        <v>1.966776017</v>
      </c>
      <c r="G506" s="18">
        <f>E506* 0.0133314720457877</f>
        <v>0.02666294409</v>
      </c>
      <c r="H506" s="18">
        <f>E506* 0.003210721016263</f>
        <v>0.006421442033</v>
      </c>
    </row>
    <row r="507" ht="15.75" hidden="1" customHeight="1">
      <c r="A507" s="20" t="s">
        <v>51</v>
      </c>
      <c r="B507" s="47" t="s">
        <v>70</v>
      </c>
      <c r="C507" s="47"/>
      <c r="D507" s="19" t="s">
        <v>19</v>
      </c>
      <c r="E507" s="23">
        <v>3.0</v>
      </c>
      <c r="F507" s="18">
        <f>E507* 0.511826182618262</f>
        <v>1.535478548</v>
      </c>
      <c r="G507" s="18">
        <f>E507* 0.476622662266227</f>
        <v>1.429867987</v>
      </c>
      <c r="H507" s="18">
        <f>E507* 0.0115511551155116</f>
        <v>0.03465346535</v>
      </c>
    </row>
    <row r="508" ht="15.75" hidden="1" customHeight="1">
      <c r="A508" s="20" t="s">
        <v>51</v>
      </c>
      <c r="B508" s="47" t="s">
        <v>70</v>
      </c>
      <c r="C508" s="47"/>
      <c r="D508" s="19" t="s">
        <v>20</v>
      </c>
      <c r="E508" s="23">
        <v>45.0</v>
      </c>
      <c r="F508" s="18">
        <f>E508* 0.814615536880747</f>
        <v>36.65769916</v>
      </c>
      <c r="G508" s="18">
        <f>E508* 0.0763167839340663</f>
        <v>3.434255277</v>
      </c>
      <c r="H508" s="18">
        <f>E508* 0.109013694193014</f>
        <v>4.905616239</v>
      </c>
    </row>
    <row r="509" ht="15.75" hidden="1" customHeight="1">
      <c r="A509" s="20" t="s">
        <v>51</v>
      </c>
      <c r="B509" s="47" t="s">
        <v>70</v>
      </c>
      <c r="C509" s="47"/>
      <c r="D509" s="19" t="s">
        <v>21</v>
      </c>
      <c r="E509" s="23">
        <v>16.0</v>
      </c>
      <c r="F509" s="18">
        <f>E509* 0.999722052365334</f>
        <v>15.99555284</v>
      </c>
      <c r="G509" s="20">
        <v>0.0</v>
      </c>
      <c r="H509" s="18">
        <f>E509* 0.000277947634665629</f>
        <v>0.004447162155</v>
      </c>
    </row>
    <row r="510" ht="15.75" hidden="1" customHeight="1">
      <c r="A510" s="20" t="s">
        <v>51</v>
      </c>
      <c r="B510" s="47" t="s">
        <v>70</v>
      </c>
      <c r="C510" s="47"/>
      <c r="D510" s="19" t="s">
        <v>28</v>
      </c>
      <c r="E510" s="23">
        <v>1.0</v>
      </c>
      <c r="F510" s="18">
        <f>E510* 0.00115651503469545</f>
        <v>0.001156515035</v>
      </c>
      <c r="G510" s="18">
        <f>E510* 0.998843484965305</f>
        <v>0.998843485</v>
      </c>
      <c r="H510" s="20">
        <v>0.0</v>
      </c>
    </row>
    <row r="511" ht="15.75" hidden="1" customHeight="1">
      <c r="A511" s="20" t="s">
        <v>51</v>
      </c>
      <c r="B511" s="47" t="s">
        <v>70</v>
      </c>
      <c r="C511" s="47"/>
      <c r="D511" s="19" t="s">
        <v>12</v>
      </c>
      <c r="E511" s="23">
        <v>74.0</v>
      </c>
      <c r="F511" s="18">
        <f>E511* 0.924936238310357</f>
        <v>68.44528163</v>
      </c>
      <c r="G511" s="18">
        <f>E511* 0.0351064361799663</f>
        <v>2.597876277</v>
      </c>
      <c r="H511" s="18">
        <f>E511* 0.039932320925503</f>
        <v>2.954991748</v>
      </c>
    </row>
    <row r="512" ht="15.75" hidden="1" customHeight="1">
      <c r="A512" s="20" t="s">
        <v>51</v>
      </c>
      <c r="B512" s="20"/>
      <c r="C512" s="20"/>
      <c r="D512" s="46"/>
      <c r="E512" s="35"/>
    </row>
    <row r="513" ht="15.75" hidden="1" customHeight="1">
      <c r="A513" s="20" t="s">
        <v>51</v>
      </c>
      <c r="B513" s="47" t="s">
        <v>71</v>
      </c>
      <c r="C513" s="12" t="str">
        <f>B513&amp;"_"&amp;A513</f>
        <v>Coro Coro_La Paz</v>
      </c>
      <c r="D513" s="20"/>
      <c r="E513" s="45">
        <v>265.0</v>
      </c>
      <c r="F513" s="14">
        <f t="shared" ref="F513:H513" si="53">SUM(F514:F524)</f>
        <v>215.4937597</v>
      </c>
      <c r="G513" s="14">
        <f t="shared" si="53"/>
        <v>39.3245788</v>
      </c>
      <c r="H513" s="14">
        <f t="shared" si="53"/>
        <v>10.17041699</v>
      </c>
    </row>
    <row r="514" ht="15.75" hidden="1" customHeight="1">
      <c r="A514" s="20" t="s">
        <v>51</v>
      </c>
      <c r="B514" s="47" t="s">
        <v>71</v>
      </c>
      <c r="C514" s="47"/>
      <c r="D514" s="19" t="s">
        <v>15</v>
      </c>
      <c r="E514" s="23">
        <v>34.0</v>
      </c>
      <c r="F514" s="18">
        <f>E514* 0.981163265034061</f>
        <v>33.35955101</v>
      </c>
      <c r="G514" s="18">
        <f>E514* 0.0027595216829083</f>
        <v>0.09382373722</v>
      </c>
      <c r="H514" s="18">
        <f>E514* 0.0160372202151627</f>
        <v>0.5452654873</v>
      </c>
    </row>
    <row r="515" ht="15.75" hidden="1" customHeight="1">
      <c r="A515" s="20" t="s">
        <v>51</v>
      </c>
      <c r="B515" s="47" t="s">
        <v>71</v>
      </c>
      <c r="C515" s="47"/>
      <c r="D515" s="29" t="s">
        <v>333</v>
      </c>
      <c r="E515" s="23">
        <v>5.0</v>
      </c>
      <c r="F515" s="18">
        <f>E515* 0.142974979378609</f>
        <v>0.7148748969</v>
      </c>
      <c r="G515" s="18">
        <f>E515* 0.852350838603245</f>
        <v>4.261754193</v>
      </c>
      <c r="H515" s="18">
        <f>E515* 0.00467418201814682</f>
        <v>0.02337091009</v>
      </c>
    </row>
    <row r="516" ht="15.75" hidden="1" customHeight="1">
      <c r="A516" s="20" t="s">
        <v>51</v>
      </c>
      <c r="B516" s="47" t="s">
        <v>71</v>
      </c>
      <c r="C516" s="47"/>
      <c r="D516" s="19" t="s">
        <v>11</v>
      </c>
      <c r="E516" s="23">
        <v>27.0</v>
      </c>
      <c r="F516" s="18">
        <f>E516* 0.178797409805735</f>
        <v>4.827530065</v>
      </c>
      <c r="G516" s="18">
        <f>E516* 0.819278445883441</f>
        <v>22.12051804</v>
      </c>
      <c r="H516" s="18">
        <f>E516* 0.00181313598519889</f>
        <v>0.0489546716</v>
      </c>
    </row>
    <row r="517" ht="15.75" hidden="1" customHeight="1">
      <c r="A517" s="20" t="s">
        <v>51</v>
      </c>
      <c r="B517" s="47" t="s">
        <v>71</v>
      </c>
      <c r="C517" s="47"/>
      <c r="D517" s="19" t="s">
        <v>17</v>
      </c>
      <c r="E517" s="23">
        <v>31.0</v>
      </c>
      <c r="F517" s="18">
        <f>E517* 0.916446662218225</f>
        <v>28.40984653</v>
      </c>
      <c r="G517" s="18">
        <f>E517* 0.0292436682236212</f>
        <v>0.9065537149</v>
      </c>
      <c r="H517" s="18">
        <f>E517* 0.0543096695581537</f>
        <v>1.683599756</v>
      </c>
    </row>
    <row r="518" ht="15.75" hidden="1" customHeight="1">
      <c r="A518" s="20" t="s">
        <v>51</v>
      </c>
      <c r="B518" s="47" t="s">
        <v>71</v>
      </c>
      <c r="C518" s="47"/>
      <c r="D518" s="19" t="s">
        <v>31</v>
      </c>
      <c r="E518" s="23">
        <v>5.0</v>
      </c>
      <c r="F518" s="18">
        <f>E518* 0.957442434210526</f>
        <v>4.787212171</v>
      </c>
      <c r="G518" s="18">
        <f>E518* 0.0158305921052632</f>
        <v>0.07915296053</v>
      </c>
      <c r="H518" s="18">
        <f>E518* 0.0263157894736842</f>
        <v>0.1315789474</v>
      </c>
    </row>
    <row r="519" ht="15.75" hidden="1" customHeight="1">
      <c r="A519" s="20" t="s">
        <v>51</v>
      </c>
      <c r="B519" s="47" t="s">
        <v>71</v>
      </c>
      <c r="C519" s="47"/>
      <c r="D519" s="19" t="s">
        <v>18</v>
      </c>
      <c r="E519" s="23">
        <v>10.0</v>
      </c>
      <c r="F519" s="18">
        <f>E519* 0.983388008654987</f>
        <v>9.833880087</v>
      </c>
      <c r="G519" s="18">
        <f>E519* 0.0133314720457877</f>
        <v>0.1333147205</v>
      </c>
      <c r="H519" s="18">
        <f>E519* 0.003210721016263</f>
        <v>0.03210721016</v>
      </c>
    </row>
    <row r="520" ht="15.75" hidden="1" customHeight="1">
      <c r="A520" s="20" t="s">
        <v>51</v>
      </c>
      <c r="B520" s="47" t="s">
        <v>71</v>
      </c>
      <c r="C520" s="47"/>
      <c r="D520" s="19" t="s">
        <v>19</v>
      </c>
      <c r="E520" s="23">
        <v>4.0</v>
      </c>
      <c r="F520" s="18">
        <f>E520* 0.511826182618262</f>
        <v>2.04730473</v>
      </c>
      <c r="G520" s="18">
        <f>E520* 0.476622662266227</f>
        <v>1.906490649</v>
      </c>
      <c r="H520" s="18">
        <f>E520* 0.0115511551155116</f>
        <v>0.04620462046</v>
      </c>
    </row>
    <row r="521" ht="15.75" hidden="1" customHeight="1">
      <c r="A521" s="20" t="s">
        <v>51</v>
      </c>
      <c r="B521" s="47" t="s">
        <v>71</v>
      </c>
      <c r="C521" s="47"/>
      <c r="D521" s="19" t="s">
        <v>20</v>
      </c>
      <c r="E521" s="23">
        <v>46.0</v>
      </c>
      <c r="F521" s="18">
        <f>E521* 0.814615536880747</f>
        <v>37.4723147</v>
      </c>
      <c r="G521" s="18">
        <f>E521* 0.0763167839340663</f>
        <v>3.510572061</v>
      </c>
      <c r="H521" s="18">
        <f>E521* 0.109013694193014</f>
        <v>5.014629933</v>
      </c>
    </row>
    <row r="522" ht="15.75" hidden="1" customHeight="1">
      <c r="A522" s="20" t="s">
        <v>51</v>
      </c>
      <c r="B522" s="47" t="s">
        <v>71</v>
      </c>
      <c r="C522" s="47"/>
      <c r="D522" s="19" t="s">
        <v>21</v>
      </c>
      <c r="E522" s="23">
        <v>33.0</v>
      </c>
      <c r="F522" s="18">
        <f>E522* 0.999722052365334</f>
        <v>32.99082773</v>
      </c>
      <c r="G522" s="20">
        <v>0.0</v>
      </c>
      <c r="H522" s="18">
        <f>E522* 0.000277947634665629</f>
        <v>0.009172271944</v>
      </c>
    </row>
    <row r="523" ht="15.75" hidden="1" customHeight="1">
      <c r="A523" s="20" t="s">
        <v>51</v>
      </c>
      <c r="B523" s="47" t="s">
        <v>71</v>
      </c>
      <c r="C523" s="47"/>
      <c r="D523" s="19" t="s">
        <v>28</v>
      </c>
      <c r="E523" s="23">
        <v>4.0</v>
      </c>
      <c r="F523" s="18">
        <f>E523* 0.00115651503469545</f>
        <v>0.004626060139</v>
      </c>
      <c r="G523" s="18">
        <f>E523* 0.998843484965305</f>
        <v>3.99537394</v>
      </c>
      <c r="H523" s="20">
        <v>0.0</v>
      </c>
    </row>
    <row r="524" ht="15.75" hidden="1" customHeight="1">
      <c r="A524" s="20" t="s">
        <v>51</v>
      </c>
      <c r="B524" s="47" t="s">
        <v>71</v>
      </c>
      <c r="C524" s="47"/>
      <c r="D524" s="19" t="s">
        <v>12</v>
      </c>
      <c r="E524" s="23">
        <v>66.0</v>
      </c>
      <c r="F524" s="18">
        <f>E524* 0.924936238310357</f>
        <v>61.04579173</v>
      </c>
      <c r="G524" s="18">
        <f>E524* 0.0351064361799663</f>
        <v>2.317024788</v>
      </c>
      <c r="H524" s="18">
        <f>E524* 0.039932320925503</f>
        <v>2.635533181</v>
      </c>
    </row>
    <row r="525" ht="15.75" hidden="1" customHeight="1">
      <c r="A525" s="20" t="s">
        <v>51</v>
      </c>
      <c r="B525" s="20"/>
      <c r="C525" s="20"/>
      <c r="D525" s="46"/>
      <c r="E525" s="35"/>
    </row>
    <row r="526" ht="15.75" hidden="1" customHeight="1">
      <c r="A526" s="20" t="s">
        <v>51</v>
      </c>
      <c r="B526" s="47" t="s">
        <v>334</v>
      </c>
      <c r="C526" s="12" t="str">
        <f>B526&amp;"_"&amp;A526</f>
        <v>Coripata_La Paz</v>
      </c>
      <c r="D526" s="20"/>
      <c r="E526" s="45">
        <v>36.0</v>
      </c>
      <c r="F526" s="14">
        <f t="shared" ref="F526:H526" si="54">SUM(F527:F535)</f>
        <v>29.68858251</v>
      </c>
      <c r="G526" s="14">
        <f t="shared" si="54"/>
        <v>4.164225641</v>
      </c>
      <c r="H526" s="14">
        <f t="shared" si="54"/>
        <v>2.145430265</v>
      </c>
    </row>
    <row r="527" ht="15.75" hidden="1" customHeight="1">
      <c r="A527" s="20" t="s">
        <v>51</v>
      </c>
      <c r="B527" s="47" t="s">
        <v>334</v>
      </c>
      <c r="C527" s="47"/>
      <c r="D527" s="19" t="s">
        <v>11</v>
      </c>
      <c r="E527" s="23">
        <v>2.0</v>
      </c>
      <c r="F527" s="18">
        <f>E527* 0.178797409805735</f>
        <v>0.3575948196</v>
      </c>
      <c r="G527" s="18">
        <f>E527* 0.819278445883441</f>
        <v>1.638556892</v>
      </c>
      <c r="H527" s="18">
        <f>E527* 0.00181313598519889</f>
        <v>0.00362627197</v>
      </c>
    </row>
    <row r="528" ht="15.75" hidden="1" customHeight="1">
      <c r="A528" s="20" t="s">
        <v>51</v>
      </c>
      <c r="B528" s="47" t="s">
        <v>334</v>
      </c>
      <c r="C528" s="47"/>
      <c r="D528" s="19" t="s">
        <v>17</v>
      </c>
      <c r="E528" s="23">
        <v>3.0</v>
      </c>
      <c r="F528" s="18">
        <f>E528* 0.916446662218225</f>
        <v>2.749339987</v>
      </c>
      <c r="G528" s="18">
        <f>E528* 0.0292436682236212</f>
        <v>0.08773100467</v>
      </c>
      <c r="H528" s="18">
        <f>E528* 0.0543096695581537</f>
        <v>0.1629290087</v>
      </c>
    </row>
    <row r="529" ht="15.75" hidden="1" customHeight="1">
      <c r="A529" s="20" t="s">
        <v>51</v>
      </c>
      <c r="B529" s="47" t="s">
        <v>334</v>
      </c>
      <c r="C529" s="47"/>
      <c r="D529" s="19" t="s">
        <v>31</v>
      </c>
      <c r="E529" s="23">
        <v>1.0</v>
      </c>
      <c r="F529" s="18">
        <f>E529* 0.957442434210526</f>
        <v>0.9574424342</v>
      </c>
      <c r="G529" s="18">
        <f>E529* 0.0158305921052632</f>
        <v>0.01583059211</v>
      </c>
      <c r="H529" s="18">
        <f>E529* 0.0263157894736842</f>
        <v>0.02631578947</v>
      </c>
    </row>
    <row r="530" ht="15.75" hidden="1" customHeight="1">
      <c r="A530" s="20" t="s">
        <v>51</v>
      </c>
      <c r="B530" s="47" t="s">
        <v>334</v>
      </c>
      <c r="C530" s="47"/>
      <c r="D530" s="19" t="s">
        <v>18</v>
      </c>
      <c r="E530" s="23">
        <v>2.0</v>
      </c>
      <c r="F530" s="18">
        <f>E530* 0.983388008654987</f>
        <v>1.966776017</v>
      </c>
      <c r="G530" s="18">
        <f>E530* 0.0133314720457877</f>
        <v>0.02666294409</v>
      </c>
      <c r="H530" s="18">
        <f>E530* 0.003210721016263</f>
        <v>0.006421442033</v>
      </c>
    </row>
    <row r="531" ht="15.75" hidden="1" customHeight="1">
      <c r="A531" s="20" t="s">
        <v>51</v>
      </c>
      <c r="B531" s="47" t="s">
        <v>334</v>
      </c>
      <c r="C531" s="47"/>
      <c r="D531" s="19" t="s">
        <v>20</v>
      </c>
      <c r="E531" s="23">
        <v>16.0</v>
      </c>
      <c r="F531" s="18">
        <f>E531* 0.814615536880747</f>
        <v>13.03384859</v>
      </c>
      <c r="G531" s="18">
        <f>E531* 0.0763167839340663</f>
        <v>1.221068543</v>
      </c>
      <c r="H531" s="18">
        <f>E531* 0.109013694193014</f>
        <v>1.744219107</v>
      </c>
    </row>
    <row r="532" ht="15.75" hidden="1" customHeight="1">
      <c r="A532" s="20" t="s">
        <v>51</v>
      </c>
      <c r="B532" s="47" t="s">
        <v>334</v>
      </c>
      <c r="C532" s="47"/>
      <c r="D532" s="19" t="s">
        <v>21</v>
      </c>
      <c r="E532" s="23">
        <v>5.0</v>
      </c>
      <c r="F532" s="18">
        <f>E532* 0.999722052365334</f>
        <v>4.998610262</v>
      </c>
      <c r="G532" s="20">
        <v>0.0</v>
      </c>
      <c r="H532" s="18">
        <f>E532* 0.000277947634665629</f>
        <v>0.001389738173</v>
      </c>
    </row>
    <row r="533" ht="15.75" hidden="1" customHeight="1">
      <c r="A533" s="20" t="s">
        <v>51</v>
      </c>
      <c r="B533" s="47" t="s">
        <v>334</v>
      </c>
      <c r="C533" s="47"/>
      <c r="D533" s="19" t="s">
        <v>36</v>
      </c>
      <c r="E533" s="23">
        <v>1.0</v>
      </c>
      <c r="F533" s="18">
        <f>E533* 0.999132697311362</f>
        <v>0.9991326973</v>
      </c>
      <c r="G533" s="20">
        <v>0.0</v>
      </c>
      <c r="H533" s="18">
        <f>E533* 0.000867302688638335</f>
        <v>0.0008673026886</v>
      </c>
    </row>
    <row r="534" ht="15.75" hidden="1" customHeight="1">
      <c r="A534" s="20" t="s">
        <v>51</v>
      </c>
      <c r="B534" s="47" t="s">
        <v>334</v>
      </c>
      <c r="C534" s="47"/>
      <c r="D534" s="19" t="s">
        <v>28</v>
      </c>
      <c r="E534" s="23">
        <v>1.0</v>
      </c>
      <c r="F534" s="18">
        <f>E534* 0.00115651503469545</f>
        <v>0.001156515035</v>
      </c>
      <c r="G534" s="18">
        <f>E534* 0.998843484965305</f>
        <v>0.998843485</v>
      </c>
      <c r="H534" s="20">
        <v>0.0</v>
      </c>
    </row>
    <row r="535" ht="15.75" hidden="1" customHeight="1">
      <c r="A535" s="20" t="s">
        <v>51</v>
      </c>
      <c r="B535" s="47" t="s">
        <v>334</v>
      </c>
      <c r="C535" s="47"/>
      <c r="D535" s="19" t="s">
        <v>12</v>
      </c>
      <c r="E535" s="23">
        <v>5.0</v>
      </c>
      <c r="F535" s="18">
        <f>E535* 0.924936238310357</f>
        <v>4.624681192</v>
      </c>
      <c r="G535" s="18">
        <f>E535* 0.0351064361799663</f>
        <v>0.1755321809</v>
      </c>
      <c r="H535" s="18">
        <f>E535* 0.039932320925503</f>
        <v>0.1996616046</v>
      </c>
    </row>
    <row r="536" ht="15.75" hidden="1" customHeight="1">
      <c r="A536" s="20" t="s">
        <v>51</v>
      </c>
      <c r="B536" s="20"/>
      <c r="C536" s="20"/>
      <c r="D536" s="46"/>
      <c r="E536" s="35"/>
    </row>
    <row r="537" ht="15.75" hidden="1" customHeight="1">
      <c r="A537" s="20" t="s">
        <v>51</v>
      </c>
      <c r="B537" s="47" t="s">
        <v>72</v>
      </c>
      <c r="C537" s="12" t="str">
        <f>B537&amp;"_"&amp;A537</f>
        <v>Coroico_La Paz</v>
      </c>
      <c r="D537" s="20"/>
      <c r="E537" s="45">
        <v>45.0</v>
      </c>
      <c r="F537" s="14">
        <f t="shared" ref="F537:H537" si="55">SUM(F538:F545)</f>
        <v>37.98247994</v>
      </c>
      <c r="G537" s="14">
        <f t="shared" si="55"/>
        <v>5.271183398</v>
      </c>
      <c r="H537" s="14">
        <f t="shared" si="55"/>
        <v>1.744381909</v>
      </c>
    </row>
    <row r="538" ht="15.75" hidden="1" customHeight="1">
      <c r="A538" s="20" t="s">
        <v>51</v>
      </c>
      <c r="B538" s="47" t="s">
        <v>72</v>
      </c>
      <c r="C538" s="47"/>
      <c r="D538" s="19" t="s">
        <v>15</v>
      </c>
      <c r="E538" s="23">
        <v>2.0</v>
      </c>
      <c r="F538" s="18">
        <f>E538* 0.981163265034061</f>
        <v>1.96232653</v>
      </c>
      <c r="G538" s="18">
        <f>E538* 0.0027595216829083</f>
        <v>0.005519043366</v>
      </c>
      <c r="H538" s="18">
        <f>E538* 0.0160372202151627</f>
        <v>0.03207444043</v>
      </c>
    </row>
    <row r="539" ht="15.75" hidden="1" customHeight="1">
      <c r="A539" s="20" t="s">
        <v>51</v>
      </c>
      <c r="B539" s="47" t="s">
        <v>72</v>
      </c>
      <c r="C539" s="47"/>
      <c r="D539" s="19" t="s">
        <v>11</v>
      </c>
      <c r="E539" s="23">
        <v>5.0</v>
      </c>
      <c r="F539" s="18">
        <f>E539* 0.178797409805735</f>
        <v>0.893987049</v>
      </c>
      <c r="G539" s="18">
        <f>E539* 0.819278445883441</f>
        <v>4.096392229</v>
      </c>
      <c r="H539" s="18">
        <f>E539* 0.00181313598519889</f>
        <v>0.009065679926</v>
      </c>
    </row>
    <row r="540" ht="15.75" hidden="1" customHeight="1">
      <c r="A540" s="20" t="s">
        <v>51</v>
      </c>
      <c r="B540" s="47" t="s">
        <v>72</v>
      </c>
      <c r="C540" s="47"/>
      <c r="D540" s="19" t="s">
        <v>17</v>
      </c>
      <c r="E540" s="23">
        <v>16.0</v>
      </c>
      <c r="F540" s="18">
        <f>E540* 0.916446662218225</f>
        <v>14.6631466</v>
      </c>
      <c r="G540" s="18">
        <f>E540* 0.0292436682236212</f>
        <v>0.4678986916</v>
      </c>
      <c r="H540" s="18">
        <f>E540* 0.0543096695581537</f>
        <v>0.8689547129</v>
      </c>
    </row>
    <row r="541" ht="15.75" hidden="1" customHeight="1">
      <c r="A541" s="20" t="s">
        <v>51</v>
      </c>
      <c r="B541" s="47" t="s">
        <v>72</v>
      </c>
      <c r="C541" s="47"/>
      <c r="D541" s="19" t="s">
        <v>31</v>
      </c>
      <c r="E541" s="23">
        <v>1.0</v>
      </c>
      <c r="F541" s="18">
        <f>E541* 0.957442434210526</f>
        <v>0.9574424342</v>
      </c>
      <c r="G541" s="18">
        <f>E541* 0.0158305921052632</f>
        <v>0.01583059211</v>
      </c>
      <c r="H541" s="18">
        <f>E541* 0.0263157894736842</f>
        <v>0.02631578947</v>
      </c>
    </row>
    <row r="542" ht="15.75" hidden="1" customHeight="1">
      <c r="A542" s="20" t="s">
        <v>51</v>
      </c>
      <c r="B542" s="47" t="s">
        <v>72</v>
      </c>
      <c r="C542" s="47"/>
      <c r="D542" s="19" t="s">
        <v>18</v>
      </c>
      <c r="E542" s="23">
        <v>7.0</v>
      </c>
      <c r="F542" s="18">
        <f>E542* 0.983388008654987</f>
        <v>6.883716061</v>
      </c>
      <c r="G542" s="18">
        <f>E542* 0.0133314720457877</f>
        <v>0.09332030432</v>
      </c>
      <c r="H542" s="18">
        <f>E542* 0.003210721016263</f>
        <v>0.02247504711</v>
      </c>
    </row>
    <row r="543" ht="15.75" hidden="1" customHeight="1">
      <c r="A543" s="20" t="s">
        <v>51</v>
      </c>
      <c r="B543" s="47" t="s">
        <v>72</v>
      </c>
      <c r="C543" s="47"/>
      <c r="D543" s="19" t="s">
        <v>20</v>
      </c>
      <c r="E543" s="23">
        <v>5.0</v>
      </c>
      <c r="F543" s="18">
        <f>E543* 0.814615536880747</f>
        <v>4.073077684</v>
      </c>
      <c r="G543" s="18">
        <f>E543* 0.0763167839340663</f>
        <v>0.3815839197</v>
      </c>
      <c r="H543" s="18">
        <f>E543* 0.109013694193014</f>
        <v>0.545068471</v>
      </c>
    </row>
    <row r="544" ht="15.75" hidden="1" customHeight="1">
      <c r="A544" s="20" t="s">
        <v>51</v>
      </c>
      <c r="B544" s="47" t="s">
        <v>72</v>
      </c>
      <c r="C544" s="47"/>
      <c r="D544" s="19" t="s">
        <v>21</v>
      </c>
      <c r="E544" s="23">
        <v>3.0</v>
      </c>
      <c r="F544" s="18">
        <f>E544* 0.999722052365334</f>
        <v>2.999166157</v>
      </c>
      <c r="G544" s="20">
        <v>0.0</v>
      </c>
      <c r="H544" s="18">
        <f>E544* 0.000277947634665629</f>
        <v>0.000833842904</v>
      </c>
    </row>
    <row r="545" ht="15.75" hidden="1" customHeight="1">
      <c r="A545" s="20" t="s">
        <v>51</v>
      </c>
      <c r="B545" s="47" t="s">
        <v>72</v>
      </c>
      <c r="C545" s="47"/>
      <c r="D545" s="19" t="s">
        <v>12</v>
      </c>
      <c r="E545" s="23">
        <v>6.0</v>
      </c>
      <c r="F545" s="18">
        <f>E545* 0.924936238310357</f>
        <v>5.54961743</v>
      </c>
      <c r="G545" s="18">
        <f>E545* 0.0351064361799663</f>
        <v>0.2106386171</v>
      </c>
      <c r="H545" s="18">
        <f>E545* 0.039932320925503</f>
        <v>0.2395939256</v>
      </c>
    </row>
    <row r="546" ht="15.75" hidden="1" customHeight="1">
      <c r="A546" s="20" t="s">
        <v>51</v>
      </c>
      <c r="B546" s="20"/>
      <c r="C546" s="20"/>
      <c r="D546" s="46"/>
      <c r="E546" s="35"/>
    </row>
    <row r="547" ht="15.75" hidden="1" customHeight="1">
      <c r="A547" s="20" t="s">
        <v>51</v>
      </c>
      <c r="B547" s="47" t="s">
        <v>73</v>
      </c>
      <c r="C547" s="12" t="str">
        <f>B547&amp;"_"&amp;A547</f>
        <v>Desaguadero_La Paz</v>
      </c>
      <c r="D547" s="20"/>
      <c r="E547" s="45">
        <v>4554.0</v>
      </c>
      <c r="F547" s="14">
        <f t="shared" ref="F547:H547" si="56">SUM(F548:F561)</f>
        <v>3620.488477</v>
      </c>
      <c r="G547" s="14">
        <f t="shared" si="56"/>
        <v>744.0087965</v>
      </c>
      <c r="H547" s="14">
        <f t="shared" si="56"/>
        <v>189.3146503</v>
      </c>
    </row>
    <row r="548" ht="15.75" hidden="1" customHeight="1">
      <c r="A548" s="20" t="s">
        <v>51</v>
      </c>
      <c r="B548" s="47" t="s">
        <v>73</v>
      </c>
      <c r="C548" s="47"/>
      <c r="D548" s="29" t="s">
        <v>335</v>
      </c>
      <c r="E548" s="23">
        <v>2.0</v>
      </c>
      <c r="F548" s="20">
        <v>0.0</v>
      </c>
      <c r="G548" s="24">
        <f>E548</f>
        <v>2</v>
      </c>
      <c r="H548" s="20">
        <v>0.0</v>
      </c>
    </row>
    <row r="549" ht="15.75" hidden="1" customHeight="1">
      <c r="A549" s="20" t="s">
        <v>51</v>
      </c>
      <c r="B549" s="47" t="s">
        <v>73</v>
      </c>
      <c r="C549" s="47"/>
      <c r="D549" s="19" t="s">
        <v>15</v>
      </c>
      <c r="E549" s="23">
        <v>488.0</v>
      </c>
      <c r="F549" s="18">
        <f>E549* 0.981163265034061</f>
        <v>478.8076733</v>
      </c>
      <c r="G549" s="18">
        <f>E549* 0.0027595216829083</f>
        <v>1.346646581</v>
      </c>
      <c r="H549" s="18">
        <f>E549* 0.0160372202151627</f>
        <v>7.826163465</v>
      </c>
    </row>
    <row r="550" ht="15.75" hidden="1" customHeight="1">
      <c r="A550" s="20" t="s">
        <v>51</v>
      </c>
      <c r="B550" s="47" t="s">
        <v>73</v>
      </c>
      <c r="C550" s="47"/>
      <c r="D550" s="29" t="s">
        <v>336</v>
      </c>
      <c r="E550" s="23">
        <v>43.0</v>
      </c>
      <c r="F550" s="18">
        <f>E550* 0.142974979378609</f>
        <v>6.147924113</v>
      </c>
      <c r="G550" s="18">
        <f>E550* 0.852350838603245</f>
        <v>36.65108606</v>
      </c>
      <c r="H550" s="18">
        <f>E550* 0.00467418201814682</f>
        <v>0.2009898268</v>
      </c>
    </row>
    <row r="551" ht="15.75" hidden="1" customHeight="1">
      <c r="A551" s="20" t="s">
        <v>51</v>
      </c>
      <c r="B551" s="47" t="s">
        <v>73</v>
      </c>
      <c r="C551" s="47"/>
      <c r="D551" s="19" t="s">
        <v>11</v>
      </c>
      <c r="E551" s="23">
        <v>472.0</v>
      </c>
      <c r="F551" s="18">
        <f>E551* 0.178797409805735</f>
        <v>84.39237743</v>
      </c>
      <c r="G551" s="18">
        <f>E551* 0.819278445883441</f>
        <v>386.6994265</v>
      </c>
      <c r="H551" s="18">
        <f>E551* 0.00181313598519889</f>
        <v>0.855800185</v>
      </c>
    </row>
    <row r="552" ht="15.75" hidden="1" customHeight="1">
      <c r="A552" s="20" t="s">
        <v>51</v>
      </c>
      <c r="B552" s="47" t="s">
        <v>73</v>
      </c>
      <c r="C552" s="47"/>
      <c r="D552" s="19" t="s">
        <v>17</v>
      </c>
      <c r="E552" s="23">
        <v>384.0</v>
      </c>
      <c r="F552" s="18">
        <f>E552* 0.916446662218225</f>
        <v>351.9155183</v>
      </c>
      <c r="G552" s="18">
        <f>E552* 0.0292436682236212</f>
        <v>11.2295686</v>
      </c>
      <c r="H552" s="18">
        <f>E552* 0.0543096695581537</f>
        <v>20.85491311</v>
      </c>
    </row>
    <row r="553" ht="15.75" hidden="1" customHeight="1">
      <c r="A553" s="20" t="s">
        <v>51</v>
      </c>
      <c r="B553" s="47" t="s">
        <v>73</v>
      </c>
      <c r="C553" s="47"/>
      <c r="D553" s="19" t="s">
        <v>31</v>
      </c>
      <c r="E553" s="23">
        <v>57.0</v>
      </c>
      <c r="F553" s="18">
        <f>E553* 0.957442434210526</f>
        <v>54.57421875</v>
      </c>
      <c r="G553" s="18">
        <f>E553* 0.0158305921052632</f>
        <v>0.90234375</v>
      </c>
      <c r="H553" s="18">
        <f>E553* 0.0263157894736842</f>
        <v>1.5</v>
      </c>
    </row>
    <row r="554" ht="15.75" hidden="1" customHeight="1">
      <c r="A554" s="20" t="s">
        <v>51</v>
      </c>
      <c r="B554" s="47" t="s">
        <v>73</v>
      </c>
      <c r="C554" s="47"/>
      <c r="D554" s="19" t="s">
        <v>18</v>
      </c>
      <c r="E554" s="23">
        <v>95.0</v>
      </c>
      <c r="F554" s="18">
        <f>E554* 0.983388008654987</f>
        <v>93.42186082</v>
      </c>
      <c r="G554" s="18">
        <f>E554* 0.0133314720457877</f>
        <v>1.266489844</v>
      </c>
      <c r="H554" s="18">
        <f>E554* 0.003210721016263</f>
        <v>0.3050184965</v>
      </c>
    </row>
    <row r="555" ht="15.75" hidden="1" customHeight="1">
      <c r="A555" s="20" t="s">
        <v>51</v>
      </c>
      <c r="B555" s="47" t="s">
        <v>73</v>
      </c>
      <c r="C555" s="47"/>
      <c r="D555" s="19" t="s">
        <v>19</v>
      </c>
      <c r="E555" s="23">
        <v>31.0</v>
      </c>
      <c r="F555" s="18">
        <f>E555* 0.511826182618262</f>
        <v>15.86661166</v>
      </c>
      <c r="G555" s="18">
        <f>E555* 0.476622662266227</f>
        <v>14.77530253</v>
      </c>
      <c r="H555" s="18">
        <f>E555* 0.0115511551155116</f>
        <v>0.3580858086</v>
      </c>
    </row>
    <row r="556" ht="15.75" hidden="1" customHeight="1">
      <c r="A556" s="20" t="s">
        <v>51</v>
      </c>
      <c r="B556" s="47" t="s">
        <v>73</v>
      </c>
      <c r="C556" s="47"/>
      <c r="D556" s="19" t="s">
        <v>20</v>
      </c>
      <c r="E556" s="23">
        <v>869.0</v>
      </c>
      <c r="F556" s="18">
        <f>E556* 0.814615536880747</f>
        <v>707.9009015</v>
      </c>
      <c r="G556" s="18">
        <f>E556* 0.0763167839340663</f>
        <v>66.31928524</v>
      </c>
      <c r="H556" s="18">
        <f>E556* 0.109013694193014</f>
        <v>94.73290025</v>
      </c>
    </row>
    <row r="557" ht="15.75" hidden="1" customHeight="1">
      <c r="A557" s="20" t="s">
        <v>51</v>
      </c>
      <c r="B557" s="47" t="s">
        <v>73</v>
      </c>
      <c r="C557" s="47"/>
      <c r="D557" s="19" t="s">
        <v>21</v>
      </c>
      <c r="E557" s="23">
        <v>375.0</v>
      </c>
      <c r="F557" s="18">
        <f>E557* 0.999722052365334</f>
        <v>374.8957696</v>
      </c>
      <c r="G557" s="20">
        <v>0.0</v>
      </c>
      <c r="H557" s="18">
        <f>E557* 0.000277947634665629</f>
        <v>0.104230363</v>
      </c>
    </row>
    <row r="558" ht="15.75" hidden="1" customHeight="1">
      <c r="A558" s="20" t="s">
        <v>51</v>
      </c>
      <c r="B558" s="47" t="s">
        <v>73</v>
      </c>
      <c r="C558" s="47"/>
      <c r="D558" s="19" t="s">
        <v>36</v>
      </c>
      <c r="E558" s="23">
        <v>3.0</v>
      </c>
      <c r="F558" s="18">
        <f>E558* 0.999132697311362</f>
        <v>2.997398092</v>
      </c>
      <c r="G558" s="20">
        <v>0.0</v>
      </c>
      <c r="H558" s="18">
        <f>E558* 0.000867302688638335</f>
        <v>0.002601908066</v>
      </c>
    </row>
    <row r="559" ht="15.75" hidden="1" customHeight="1">
      <c r="A559" s="20" t="s">
        <v>51</v>
      </c>
      <c r="B559" s="47" t="s">
        <v>73</v>
      </c>
      <c r="C559" s="47"/>
      <c r="D559" s="19" t="s">
        <v>28</v>
      </c>
      <c r="E559" s="23">
        <v>167.0</v>
      </c>
      <c r="F559" s="18">
        <f>E559* 0.00115651503469545</f>
        <v>0.1931380108</v>
      </c>
      <c r="G559" s="18">
        <f>E559* 0.998843484965305</f>
        <v>166.806862</v>
      </c>
      <c r="H559" s="20">
        <v>0.0</v>
      </c>
    </row>
    <row r="560" ht="15.75" hidden="1" customHeight="1">
      <c r="A560" s="20" t="s">
        <v>51</v>
      </c>
      <c r="B560" s="47" t="s">
        <v>73</v>
      </c>
      <c r="C560" s="47"/>
      <c r="D560" s="19" t="s">
        <v>75</v>
      </c>
      <c r="E560" s="23">
        <v>1.0</v>
      </c>
      <c r="F560" s="20">
        <v>0.0</v>
      </c>
      <c r="G560" s="24">
        <f>E560</f>
        <v>1</v>
      </c>
      <c r="H560" s="20">
        <v>0.0</v>
      </c>
    </row>
    <row r="561" ht="15.75" hidden="1" customHeight="1">
      <c r="A561" s="20" t="s">
        <v>51</v>
      </c>
      <c r="B561" s="47" t="s">
        <v>73</v>
      </c>
      <c r="C561" s="47"/>
      <c r="D561" s="19" t="s">
        <v>12</v>
      </c>
      <c r="E561" s="23">
        <v>1567.0</v>
      </c>
      <c r="F561" s="18">
        <f>E561* 0.924936238310357</f>
        <v>1449.375085</v>
      </c>
      <c r="G561" s="18">
        <f>E561* 0.0351064361799663</f>
        <v>55.01178549</v>
      </c>
      <c r="H561" s="18">
        <f>E561* 0.039932320925503</f>
        <v>62.57394689</v>
      </c>
    </row>
    <row r="562" ht="15.75" hidden="1" customHeight="1">
      <c r="A562" s="20" t="s">
        <v>51</v>
      </c>
      <c r="B562" s="20"/>
      <c r="C562" s="20"/>
      <c r="D562" s="46"/>
      <c r="E562" s="35"/>
    </row>
    <row r="563" ht="15.75" hidden="1" customHeight="1">
      <c r="A563" s="20" t="s">
        <v>51</v>
      </c>
      <c r="B563" s="47" t="s">
        <v>74</v>
      </c>
      <c r="C563" s="12" t="str">
        <f>B563&amp;"_"&amp;A563</f>
        <v>El Alto_La Paz</v>
      </c>
      <c r="D563" s="20"/>
      <c r="E563" s="45">
        <v>123758.0</v>
      </c>
      <c r="F563" s="14">
        <f t="shared" ref="F563:H563" si="57">SUM(F564:F578)</f>
        <v>99023.35173</v>
      </c>
      <c r="G563" s="14">
        <f t="shared" si="57"/>
        <v>19587.96273</v>
      </c>
      <c r="H563" s="14">
        <f t="shared" si="57"/>
        <v>5141.524071</v>
      </c>
    </row>
    <row r="564" ht="15.75" hidden="1" customHeight="1">
      <c r="A564" s="20" t="s">
        <v>51</v>
      </c>
      <c r="B564" s="47" t="s">
        <v>74</v>
      </c>
      <c r="C564" s="47"/>
      <c r="D564" s="29" t="s">
        <v>337</v>
      </c>
      <c r="E564" s="23">
        <v>60.0</v>
      </c>
      <c r="F564" s="20">
        <v>0.0</v>
      </c>
      <c r="G564" s="24">
        <f>E564</f>
        <v>60</v>
      </c>
      <c r="H564" s="20">
        <v>0.0</v>
      </c>
    </row>
    <row r="565" ht="15.75" hidden="1" customHeight="1">
      <c r="A565" s="20" t="s">
        <v>51</v>
      </c>
      <c r="B565" s="47" t="s">
        <v>74</v>
      </c>
      <c r="C565" s="47"/>
      <c r="D565" s="19" t="s">
        <v>15</v>
      </c>
      <c r="E565" s="23">
        <v>13230.0</v>
      </c>
      <c r="F565" s="18">
        <f>E565* 0.981163265034061</f>
        <v>12980.79</v>
      </c>
      <c r="G565" s="18">
        <f>E565* 0.0027595216829083</f>
        <v>36.50847186</v>
      </c>
      <c r="H565" s="18">
        <f>E565* 0.0160372202151627</f>
        <v>212.1724234</v>
      </c>
    </row>
    <row r="566" ht="15.75" hidden="1" customHeight="1">
      <c r="A566" s="20" t="s">
        <v>51</v>
      </c>
      <c r="B566" s="47" t="s">
        <v>74</v>
      </c>
      <c r="C566" s="47"/>
      <c r="D566" s="29" t="s">
        <v>338</v>
      </c>
      <c r="E566" s="23">
        <v>1467.0</v>
      </c>
      <c r="F566" s="18">
        <f>E566* 0.142974979378609</f>
        <v>209.7442947</v>
      </c>
      <c r="G566" s="18">
        <f>E566* 0.852350838603245</f>
        <v>1250.39868</v>
      </c>
      <c r="H566" s="18">
        <f>E566* 0.00467418201814682</f>
        <v>6.857025021</v>
      </c>
    </row>
    <row r="567" ht="15.75" hidden="1" customHeight="1">
      <c r="A567" s="20" t="s">
        <v>51</v>
      </c>
      <c r="B567" s="47" t="s">
        <v>74</v>
      </c>
      <c r="C567" s="47"/>
      <c r="D567" s="19" t="s">
        <v>11</v>
      </c>
      <c r="E567" s="23">
        <v>12850.0</v>
      </c>
      <c r="F567" s="18">
        <f>E567* 0.178797409805735</f>
        <v>2297.546716</v>
      </c>
      <c r="G567" s="18">
        <f>E567* 0.819278445883441</f>
        <v>10527.72803</v>
      </c>
      <c r="H567" s="18">
        <f>E567* 0.00181313598519889</f>
        <v>23.29879741</v>
      </c>
    </row>
    <row r="568" ht="15.75" hidden="1" customHeight="1">
      <c r="A568" s="20" t="s">
        <v>51</v>
      </c>
      <c r="B568" s="47" t="s">
        <v>74</v>
      </c>
      <c r="C568" s="47"/>
      <c r="D568" s="19" t="s">
        <v>17</v>
      </c>
      <c r="E568" s="23">
        <v>10197.0</v>
      </c>
      <c r="F568" s="18">
        <f>E568* 0.916446662218225</f>
        <v>9345.006615</v>
      </c>
      <c r="G568" s="18">
        <f>E568* 0.0292436682236212</f>
        <v>298.1976849</v>
      </c>
      <c r="H568" s="18">
        <f>E568* 0.0543096695581537</f>
        <v>553.7957005</v>
      </c>
    </row>
    <row r="569" ht="15.75" hidden="1" customHeight="1">
      <c r="A569" s="20" t="s">
        <v>51</v>
      </c>
      <c r="B569" s="47" t="s">
        <v>74</v>
      </c>
      <c r="C569" s="47"/>
      <c r="D569" s="19" t="s">
        <v>31</v>
      </c>
      <c r="E569" s="23">
        <v>1782.0</v>
      </c>
      <c r="F569" s="18">
        <f>E569* 0.957442434210526</f>
        <v>1706.162418</v>
      </c>
      <c r="G569" s="18">
        <f>E569* 0.0158305921052632</f>
        <v>28.21011513</v>
      </c>
      <c r="H569" s="18">
        <f>E569* 0.0263157894736842</f>
        <v>46.89473684</v>
      </c>
    </row>
    <row r="570" ht="15.75" hidden="1" customHeight="1">
      <c r="A570" s="20" t="s">
        <v>51</v>
      </c>
      <c r="B570" s="47" t="s">
        <v>74</v>
      </c>
      <c r="C570" s="47"/>
      <c r="D570" s="19" t="s">
        <v>18</v>
      </c>
      <c r="E570" s="23">
        <v>2496.0</v>
      </c>
      <c r="F570" s="18">
        <f>E570* 0.983388008654987</f>
        <v>2454.53647</v>
      </c>
      <c r="G570" s="18">
        <f>E570* 0.0133314720457877</f>
        <v>33.27535423</v>
      </c>
      <c r="H570" s="18">
        <f>E570* 0.003210721016263</f>
        <v>8.013959657</v>
      </c>
    </row>
    <row r="571" ht="15.75" hidden="1" customHeight="1">
      <c r="A571" s="20" t="s">
        <v>51</v>
      </c>
      <c r="B571" s="47" t="s">
        <v>74</v>
      </c>
      <c r="C571" s="47"/>
      <c r="D571" s="19" t="s">
        <v>19</v>
      </c>
      <c r="E571" s="23">
        <v>1170.0</v>
      </c>
      <c r="F571" s="18">
        <f>E571* 0.511826182618262</f>
        <v>598.8366337</v>
      </c>
      <c r="G571" s="18">
        <f>E571* 0.476622662266227</f>
        <v>557.6485149</v>
      </c>
      <c r="H571" s="18">
        <f>E571* 0.0115511551155116</f>
        <v>13.51485149</v>
      </c>
    </row>
    <row r="572" ht="15.75" hidden="1" customHeight="1">
      <c r="A572" s="20" t="s">
        <v>51</v>
      </c>
      <c r="B572" s="47" t="s">
        <v>74</v>
      </c>
      <c r="C572" s="47"/>
      <c r="D572" s="19" t="s">
        <v>20</v>
      </c>
      <c r="E572" s="23">
        <v>26366.0</v>
      </c>
      <c r="F572" s="18">
        <f>E572* 0.814615536880747</f>
        <v>21478.15325</v>
      </c>
      <c r="G572" s="18">
        <f>E572* 0.0763167839340663</f>
        <v>2012.168325</v>
      </c>
      <c r="H572" s="18">
        <f>E572* 0.109013694193014</f>
        <v>2874.255061</v>
      </c>
    </row>
    <row r="573" ht="15.75" hidden="1" customHeight="1">
      <c r="A573" s="20" t="s">
        <v>51</v>
      </c>
      <c r="B573" s="47" t="s">
        <v>74</v>
      </c>
      <c r="C573" s="47"/>
      <c r="D573" s="19" t="s">
        <v>21</v>
      </c>
      <c r="E573" s="23">
        <v>15419.0</v>
      </c>
      <c r="F573" s="18">
        <f>E573* 0.999722052365334</f>
        <v>15414.71433</v>
      </c>
      <c r="G573" s="20">
        <v>0.0</v>
      </c>
      <c r="H573" s="18">
        <f>E573* 0.000277947634665629</f>
        <v>4.285674579</v>
      </c>
    </row>
    <row r="574" ht="15.75" hidden="1" customHeight="1">
      <c r="A574" s="20" t="s">
        <v>51</v>
      </c>
      <c r="B574" s="47" t="s">
        <v>74</v>
      </c>
      <c r="C574" s="47"/>
      <c r="D574" s="19" t="s">
        <v>36</v>
      </c>
      <c r="E574" s="23">
        <v>145.0</v>
      </c>
      <c r="F574" s="18">
        <f>E574* 0.999132697311362</f>
        <v>144.8742411</v>
      </c>
      <c r="G574" s="20">
        <v>0.0</v>
      </c>
      <c r="H574" s="18">
        <f>E574* 0.000867302688638335</f>
        <v>0.1257588899</v>
      </c>
    </row>
    <row r="575" ht="15.75" hidden="1" customHeight="1">
      <c r="A575" s="20" t="s">
        <v>51</v>
      </c>
      <c r="B575" s="47" t="s">
        <v>74</v>
      </c>
      <c r="C575" s="47"/>
      <c r="D575" s="19" t="s">
        <v>37</v>
      </c>
      <c r="E575" s="23">
        <v>7.0</v>
      </c>
      <c r="F575" s="18">
        <f>E575* 0.0555555555555556</f>
        <v>0.3888888889</v>
      </c>
      <c r="G575" s="18">
        <f>E575* 0.944444444444444</f>
        <v>6.611111111</v>
      </c>
      <c r="H575" s="20">
        <v>0.0</v>
      </c>
    </row>
    <row r="576" ht="15.75" hidden="1" customHeight="1">
      <c r="A576" s="20" t="s">
        <v>51</v>
      </c>
      <c r="B576" s="47" t="s">
        <v>74</v>
      </c>
      <c r="C576" s="47"/>
      <c r="D576" s="19" t="s">
        <v>28</v>
      </c>
      <c r="E576" s="23">
        <v>3550.0</v>
      </c>
      <c r="F576" s="18">
        <f>E576* 0.00115651503469545</f>
        <v>4.105628373</v>
      </c>
      <c r="G576" s="18">
        <f>E576* 0.998843484965305</f>
        <v>3545.894372</v>
      </c>
      <c r="H576" s="20">
        <v>0.0</v>
      </c>
    </row>
    <row r="577" ht="15.75" hidden="1" customHeight="1">
      <c r="A577" s="20" t="s">
        <v>51</v>
      </c>
      <c r="B577" s="47" t="s">
        <v>74</v>
      </c>
      <c r="C577" s="47"/>
      <c r="D577" s="19" t="s">
        <v>75</v>
      </c>
      <c r="E577" s="23">
        <v>2.0</v>
      </c>
      <c r="F577" s="20">
        <v>0.0</v>
      </c>
      <c r="G577" s="24">
        <f>E577</f>
        <v>2</v>
      </c>
      <c r="H577" s="20">
        <v>0.0</v>
      </c>
    </row>
    <row r="578" ht="15.75" hidden="1" customHeight="1">
      <c r="A578" s="20" t="s">
        <v>51</v>
      </c>
      <c r="B578" s="47" t="s">
        <v>74</v>
      </c>
      <c r="C578" s="47"/>
      <c r="D578" s="19" t="s">
        <v>12</v>
      </c>
      <c r="E578" s="23">
        <v>35017.0</v>
      </c>
      <c r="F578" s="18">
        <f>E578* 0.924936238310357</f>
        <v>32388.49226</v>
      </c>
      <c r="G578" s="18">
        <f>E578* 0.0351064361799663</f>
        <v>1229.322076</v>
      </c>
      <c r="H578" s="18">
        <f>E578* 0.039932320925503</f>
        <v>1398.310082</v>
      </c>
    </row>
    <row r="579" ht="15.75" hidden="1" customHeight="1">
      <c r="A579" s="20" t="s">
        <v>51</v>
      </c>
      <c r="B579" s="20"/>
      <c r="C579" s="20"/>
      <c r="D579" s="46"/>
      <c r="E579" s="35"/>
    </row>
    <row r="580" ht="15.75" hidden="1" customHeight="1">
      <c r="A580" s="20" t="s">
        <v>51</v>
      </c>
      <c r="B580" s="47" t="s">
        <v>339</v>
      </c>
      <c r="C580" s="12" t="str">
        <f>B580&amp;"_"&amp;A580</f>
        <v>Escoma_La Paz</v>
      </c>
      <c r="D580" s="20"/>
      <c r="E580" s="45">
        <v>178.0</v>
      </c>
      <c r="F580" s="14">
        <f t="shared" ref="F580:H580" si="58">SUM(F581:F589)</f>
        <v>141.2397304</v>
      </c>
      <c r="G580" s="14">
        <f t="shared" si="58"/>
        <v>24.97617697</v>
      </c>
      <c r="H580" s="14">
        <f t="shared" si="58"/>
        <v>11.77054829</v>
      </c>
    </row>
    <row r="581" ht="15.75" hidden="1" customHeight="1">
      <c r="A581" s="20" t="s">
        <v>51</v>
      </c>
      <c r="B581" s="47" t="s">
        <v>339</v>
      </c>
      <c r="C581" s="47"/>
      <c r="D581" s="19" t="s">
        <v>15</v>
      </c>
      <c r="E581" s="23">
        <v>7.0</v>
      </c>
      <c r="F581" s="18">
        <f>E581* 0.981163265034061</f>
        <v>6.868142855</v>
      </c>
      <c r="G581" s="18">
        <f>E581* 0.0027595216829083</f>
        <v>0.01931665178</v>
      </c>
      <c r="H581" s="18">
        <f>E581* 0.0160372202151627</f>
        <v>0.1122605415</v>
      </c>
    </row>
    <row r="582" ht="15.75" hidden="1" customHeight="1">
      <c r="A582" s="20" t="s">
        <v>51</v>
      </c>
      <c r="B582" s="47" t="s">
        <v>339</v>
      </c>
      <c r="C582" s="47"/>
      <c r="D582" s="19" t="s">
        <v>11</v>
      </c>
      <c r="E582" s="23">
        <v>13.0</v>
      </c>
      <c r="F582" s="18">
        <f>E582* 0.178797409805735</f>
        <v>2.324366327</v>
      </c>
      <c r="G582" s="18">
        <f>E582* 0.819278445883441</f>
        <v>10.6506198</v>
      </c>
      <c r="H582" s="18">
        <f>E582* 0.00181313598519889</f>
        <v>0.02357076781</v>
      </c>
    </row>
    <row r="583" ht="15.75" hidden="1" customHeight="1">
      <c r="A583" s="20" t="s">
        <v>51</v>
      </c>
      <c r="B583" s="47" t="s">
        <v>339</v>
      </c>
      <c r="C583" s="47"/>
      <c r="D583" s="19" t="s">
        <v>17</v>
      </c>
      <c r="E583" s="23">
        <v>9.0</v>
      </c>
      <c r="F583" s="18">
        <f>E583* 0.916446662218225</f>
        <v>8.24801996</v>
      </c>
      <c r="G583" s="18">
        <f>E583* 0.0292436682236212</f>
        <v>0.263193014</v>
      </c>
      <c r="H583" s="18">
        <f>E583* 0.0543096695581537</f>
        <v>0.488787026</v>
      </c>
    </row>
    <row r="584" ht="15.75" hidden="1" customHeight="1">
      <c r="A584" s="20" t="s">
        <v>51</v>
      </c>
      <c r="B584" s="47" t="s">
        <v>339</v>
      </c>
      <c r="C584" s="47"/>
      <c r="D584" s="19" t="s">
        <v>31</v>
      </c>
      <c r="E584" s="23">
        <v>15.0</v>
      </c>
      <c r="F584" s="18">
        <f>E584* 0.957442434210526</f>
        <v>14.36163651</v>
      </c>
      <c r="G584" s="18">
        <f>E584* 0.0158305921052632</f>
        <v>0.2374588816</v>
      </c>
      <c r="H584" s="18">
        <f>E584* 0.0263157894736842</f>
        <v>0.3947368421</v>
      </c>
    </row>
    <row r="585" ht="15.75" hidden="1" customHeight="1">
      <c r="A585" s="20" t="s">
        <v>51</v>
      </c>
      <c r="B585" s="47" t="s">
        <v>339</v>
      </c>
      <c r="C585" s="47"/>
      <c r="D585" s="19" t="s">
        <v>18</v>
      </c>
      <c r="E585" s="23">
        <v>2.0</v>
      </c>
      <c r="F585" s="18">
        <f>E585* 0.983388008654987</f>
        <v>1.966776017</v>
      </c>
      <c r="G585" s="18">
        <f>E585* 0.0133314720457877</f>
        <v>0.02666294409</v>
      </c>
      <c r="H585" s="18">
        <f>E585* 0.003210721016263</f>
        <v>0.006421442033</v>
      </c>
    </row>
    <row r="586" ht="15.75" hidden="1" customHeight="1">
      <c r="A586" s="20" t="s">
        <v>51</v>
      </c>
      <c r="B586" s="47" t="s">
        <v>339</v>
      </c>
      <c r="C586" s="47"/>
      <c r="D586" s="19" t="s">
        <v>20</v>
      </c>
      <c r="E586" s="23">
        <v>85.0</v>
      </c>
      <c r="F586" s="18">
        <f>E586* 0.814615536880747</f>
        <v>69.24232063</v>
      </c>
      <c r="G586" s="18">
        <f>E586* 0.0763167839340663</f>
        <v>6.486926634</v>
      </c>
      <c r="H586" s="18">
        <f>E586* 0.109013694193014</f>
        <v>9.266164006</v>
      </c>
    </row>
    <row r="587" ht="15.75" hidden="1" customHeight="1">
      <c r="A587" s="20" t="s">
        <v>51</v>
      </c>
      <c r="B587" s="47" t="s">
        <v>339</v>
      </c>
      <c r="C587" s="47"/>
      <c r="D587" s="19" t="s">
        <v>21</v>
      </c>
      <c r="E587" s="23">
        <v>4.0</v>
      </c>
      <c r="F587" s="18">
        <f>E587* 0.999722052365334</f>
        <v>3.998888209</v>
      </c>
      <c r="G587" s="20">
        <v>0.0</v>
      </c>
      <c r="H587" s="18">
        <f>E587* 0.000277947634665629</f>
        <v>0.001111790539</v>
      </c>
    </row>
    <row r="588" ht="15.75" hidden="1" customHeight="1">
      <c r="A588" s="20" t="s">
        <v>51</v>
      </c>
      <c r="B588" s="47" t="s">
        <v>339</v>
      </c>
      <c r="C588" s="47"/>
      <c r="D588" s="19" t="s">
        <v>28</v>
      </c>
      <c r="E588" s="23">
        <v>6.0</v>
      </c>
      <c r="F588" s="18">
        <f>E588* 0.00115651503469545</f>
        <v>0.006939090208</v>
      </c>
      <c r="G588" s="18">
        <f>E588* 0.998843484965305</f>
        <v>5.99306091</v>
      </c>
      <c r="H588" s="20">
        <v>0.0</v>
      </c>
    </row>
    <row r="589" ht="15.75" hidden="1" customHeight="1">
      <c r="A589" s="20" t="s">
        <v>51</v>
      </c>
      <c r="B589" s="47" t="s">
        <v>339</v>
      </c>
      <c r="C589" s="47"/>
      <c r="D589" s="19" t="s">
        <v>12</v>
      </c>
      <c r="E589" s="23">
        <v>37.0</v>
      </c>
      <c r="F589" s="18">
        <f>E589* 0.924936238310357</f>
        <v>34.22264082</v>
      </c>
      <c r="G589" s="18">
        <f>E589* 0.0351064361799663</f>
        <v>1.298938139</v>
      </c>
      <c r="H589" s="18">
        <f>E589* 0.039932320925503</f>
        <v>1.477495874</v>
      </c>
    </row>
    <row r="590" ht="15.75" hidden="1" customHeight="1">
      <c r="A590" s="20" t="s">
        <v>51</v>
      </c>
      <c r="B590" s="20"/>
      <c r="C590" s="20"/>
      <c r="D590" s="46"/>
      <c r="E590" s="35"/>
    </row>
    <row r="591" ht="15.75" hidden="1" customHeight="1">
      <c r="A591" s="20" t="s">
        <v>51</v>
      </c>
      <c r="B591" s="47" t="s">
        <v>76</v>
      </c>
      <c r="C591" s="12" t="str">
        <f>B591&amp;"_"&amp;A591</f>
        <v>Gral. Pérez (Charazani)_La Paz</v>
      </c>
      <c r="D591" s="20"/>
      <c r="E591" s="45">
        <v>41.0</v>
      </c>
      <c r="F591" s="14">
        <f t="shared" ref="F591:H591" si="59">SUM(F592:F600)</f>
        <v>29.59075607</v>
      </c>
      <c r="G591" s="14">
        <f t="shared" si="59"/>
        <v>9.690551566</v>
      </c>
      <c r="H591" s="14">
        <f t="shared" si="59"/>
        <v>1.716690405</v>
      </c>
    </row>
    <row r="592" ht="15.75" hidden="1" customHeight="1">
      <c r="A592" s="20" t="s">
        <v>51</v>
      </c>
      <c r="B592" s="47" t="s">
        <v>76</v>
      </c>
      <c r="C592" s="47"/>
      <c r="D592" s="29" t="s">
        <v>340</v>
      </c>
      <c r="E592" s="23">
        <v>2.0</v>
      </c>
      <c r="F592" s="20">
        <v>0.0</v>
      </c>
      <c r="G592" s="24">
        <f>E592</f>
        <v>2</v>
      </c>
      <c r="H592" s="20">
        <v>0.0</v>
      </c>
    </row>
    <row r="593" ht="15.75" hidden="1" customHeight="1">
      <c r="A593" s="20" t="s">
        <v>51</v>
      </c>
      <c r="B593" s="47" t="s">
        <v>76</v>
      </c>
      <c r="C593" s="47"/>
      <c r="D593" s="19" t="s">
        <v>15</v>
      </c>
      <c r="E593" s="23">
        <v>2.0</v>
      </c>
      <c r="F593" s="18">
        <f>E593* 0.981163265034061</f>
        <v>1.96232653</v>
      </c>
      <c r="G593" s="18">
        <f>E593* 0.0027595216829083</f>
        <v>0.005519043366</v>
      </c>
      <c r="H593" s="18">
        <f>E593* 0.0160372202151627</f>
        <v>0.03207444043</v>
      </c>
    </row>
    <row r="594" ht="15.75" hidden="1" customHeight="1">
      <c r="A594" s="20" t="s">
        <v>51</v>
      </c>
      <c r="B594" s="47" t="s">
        <v>76</v>
      </c>
      <c r="C594" s="47"/>
      <c r="D594" s="19" t="s">
        <v>11</v>
      </c>
      <c r="E594" s="23">
        <v>8.0</v>
      </c>
      <c r="F594" s="18">
        <f>E594* 0.178797409805735</f>
        <v>1.430379278</v>
      </c>
      <c r="G594" s="18">
        <f>E594* 0.819278445883441</f>
        <v>6.554227567</v>
      </c>
      <c r="H594" s="18">
        <f>E594* 0.00181313598519889</f>
        <v>0.01450508788</v>
      </c>
    </row>
    <row r="595" ht="15.75" hidden="1" customHeight="1">
      <c r="A595" s="20" t="s">
        <v>51</v>
      </c>
      <c r="B595" s="47" t="s">
        <v>76</v>
      </c>
      <c r="C595" s="47"/>
      <c r="D595" s="19" t="s">
        <v>17</v>
      </c>
      <c r="E595" s="23">
        <v>11.0</v>
      </c>
      <c r="F595" s="18">
        <f>E595* 0.916446662218225</f>
        <v>10.08091328</v>
      </c>
      <c r="G595" s="18">
        <f>E595* 0.0292436682236212</f>
        <v>0.3216803505</v>
      </c>
      <c r="H595" s="18">
        <f>E595* 0.0543096695581537</f>
        <v>0.5974063651</v>
      </c>
    </row>
    <row r="596" ht="15.75" hidden="1" customHeight="1">
      <c r="A596" s="20" t="s">
        <v>51</v>
      </c>
      <c r="B596" s="47" t="s">
        <v>76</v>
      </c>
      <c r="C596" s="47"/>
      <c r="D596" s="19" t="s">
        <v>31</v>
      </c>
      <c r="E596" s="23">
        <v>1.0</v>
      </c>
      <c r="F596" s="18">
        <f>E596* 0.957442434210526</f>
        <v>0.9574424342</v>
      </c>
      <c r="G596" s="18">
        <f>E596* 0.0158305921052632</f>
        <v>0.01583059211</v>
      </c>
      <c r="H596" s="18">
        <f>E596* 0.0263157894736842</f>
        <v>0.02631578947</v>
      </c>
    </row>
    <row r="597" ht="15.75" hidden="1" customHeight="1">
      <c r="A597" s="20" t="s">
        <v>51</v>
      </c>
      <c r="B597" s="47" t="s">
        <v>76</v>
      </c>
      <c r="C597" s="47"/>
      <c r="D597" s="19" t="s">
        <v>18</v>
      </c>
      <c r="E597" s="23">
        <v>1.0</v>
      </c>
      <c r="F597" s="18">
        <f>E597* 0.983388008654987</f>
        <v>0.9833880087</v>
      </c>
      <c r="G597" s="18">
        <f>E597* 0.0133314720457877</f>
        <v>0.01333147205</v>
      </c>
      <c r="H597" s="18">
        <f>E597* 0.003210721016263</f>
        <v>0.003210721016</v>
      </c>
    </row>
    <row r="598" ht="15.75" hidden="1" customHeight="1">
      <c r="A598" s="20" t="s">
        <v>51</v>
      </c>
      <c r="B598" s="47" t="s">
        <v>76</v>
      </c>
      <c r="C598" s="47"/>
      <c r="D598" s="19" t="s">
        <v>20</v>
      </c>
      <c r="E598" s="23">
        <v>7.0</v>
      </c>
      <c r="F598" s="18">
        <f>E598* 0.814615536880747</f>
        <v>5.702308758</v>
      </c>
      <c r="G598" s="18">
        <f>E598* 0.0763167839340663</f>
        <v>0.5342174875</v>
      </c>
      <c r="H598" s="18">
        <f>E598* 0.109013694193014</f>
        <v>0.7630958594</v>
      </c>
    </row>
    <row r="599" ht="15.75" hidden="1" customHeight="1">
      <c r="A599" s="20" t="s">
        <v>51</v>
      </c>
      <c r="B599" s="47" t="s">
        <v>76</v>
      </c>
      <c r="C599" s="47"/>
      <c r="D599" s="19" t="s">
        <v>21</v>
      </c>
      <c r="E599" s="23">
        <v>2.0</v>
      </c>
      <c r="F599" s="18">
        <f>E599* 0.999722052365334</f>
        <v>1.999444105</v>
      </c>
      <c r="G599" s="20">
        <v>0.0</v>
      </c>
      <c r="H599" s="18">
        <f>E599* 0.000277947634665629</f>
        <v>0.0005558952693</v>
      </c>
    </row>
    <row r="600" ht="15.75" hidden="1" customHeight="1">
      <c r="A600" s="20" t="s">
        <v>51</v>
      </c>
      <c r="B600" s="47" t="s">
        <v>76</v>
      </c>
      <c r="C600" s="47"/>
      <c r="D600" s="19" t="s">
        <v>12</v>
      </c>
      <c r="E600" s="23">
        <v>7.0</v>
      </c>
      <c r="F600" s="18">
        <f>E600* 0.924936238310357</f>
        <v>6.474553668</v>
      </c>
      <c r="G600" s="18">
        <f>E600* 0.0351064361799663</f>
        <v>0.2457450533</v>
      </c>
      <c r="H600" s="18">
        <f>E600* 0.039932320925503</f>
        <v>0.2795262465</v>
      </c>
    </row>
    <row r="601" ht="15.75" hidden="1" customHeight="1">
      <c r="A601" s="20" t="s">
        <v>51</v>
      </c>
      <c r="B601" s="20"/>
      <c r="C601" s="20"/>
      <c r="D601" s="46"/>
      <c r="E601" s="46"/>
    </row>
    <row r="602" ht="15.75" hidden="1" customHeight="1">
      <c r="A602" s="20" t="s">
        <v>51</v>
      </c>
      <c r="B602" s="47" t="s">
        <v>77</v>
      </c>
      <c r="C602" s="12" t="str">
        <f>B602&amp;"_"&amp;A602</f>
        <v>Guanay_La Paz</v>
      </c>
      <c r="D602" s="20"/>
      <c r="E602" s="45">
        <v>671.0</v>
      </c>
      <c r="F602" s="14">
        <f t="shared" ref="F602:H602" si="60">SUM(F603:F613)</f>
        <v>578.8965627</v>
      </c>
      <c r="G602" s="14">
        <f t="shared" si="60"/>
        <v>68.55056995</v>
      </c>
      <c r="H602" s="14">
        <f t="shared" si="60"/>
        <v>23.53057507</v>
      </c>
    </row>
    <row r="603" ht="15.75" hidden="1" customHeight="1">
      <c r="A603" s="20" t="s">
        <v>51</v>
      </c>
      <c r="B603" s="47" t="s">
        <v>77</v>
      </c>
      <c r="C603" s="47"/>
      <c r="D603" s="19" t="s">
        <v>15</v>
      </c>
      <c r="E603" s="23">
        <v>38.0</v>
      </c>
      <c r="F603" s="18">
        <f>E603* 0.981163265034061</f>
        <v>37.28420407</v>
      </c>
      <c r="G603" s="18">
        <f>E603* 0.0027595216829083</f>
        <v>0.104861824</v>
      </c>
      <c r="H603" s="18">
        <f>E603* 0.0160372202151627</f>
        <v>0.6094143682</v>
      </c>
    </row>
    <row r="604" ht="15.75" hidden="1" customHeight="1">
      <c r="A604" s="20" t="s">
        <v>51</v>
      </c>
      <c r="B604" s="47" t="s">
        <v>77</v>
      </c>
      <c r="C604" s="47"/>
      <c r="D604" s="29" t="s">
        <v>341</v>
      </c>
      <c r="E604" s="23">
        <v>2.0</v>
      </c>
      <c r="F604" s="18">
        <f>E604* 0.142974979378609</f>
        <v>0.2859499588</v>
      </c>
      <c r="G604" s="18">
        <f>E604* 0.852350838603245</f>
        <v>1.704701677</v>
      </c>
      <c r="H604" s="18">
        <f>E604* 0.00467418201814682</f>
        <v>0.009348364036</v>
      </c>
    </row>
    <row r="605" ht="15.75" hidden="1" customHeight="1">
      <c r="A605" s="20" t="s">
        <v>51</v>
      </c>
      <c r="B605" s="47" t="s">
        <v>77</v>
      </c>
      <c r="C605" s="47"/>
      <c r="D605" s="19" t="s">
        <v>11</v>
      </c>
      <c r="E605" s="23">
        <v>60.0</v>
      </c>
      <c r="F605" s="18">
        <f>E605* 0.178797409805735</f>
        <v>10.72784459</v>
      </c>
      <c r="G605" s="18">
        <f>E605* 0.819278445883441</f>
        <v>49.15670675</v>
      </c>
      <c r="H605" s="18">
        <f>E605* 0.00181313598519889</f>
        <v>0.1087881591</v>
      </c>
    </row>
    <row r="606" ht="15.75" hidden="1" customHeight="1">
      <c r="A606" s="20" t="s">
        <v>51</v>
      </c>
      <c r="B606" s="47" t="s">
        <v>77</v>
      </c>
      <c r="C606" s="47"/>
      <c r="D606" s="19" t="s">
        <v>17</v>
      </c>
      <c r="E606" s="23">
        <v>79.0</v>
      </c>
      <c r="F606" s="18">
        <f>E606* 0.916446662218225</f>
        <v>72.39928632</v>
      </c>
      <c r="G606" s="18">
        <f>E606* 0.0292436682236212</f>
        <v>2.31024979</v>
      </c>
      <c r="H606" s="18">
        <f>E606* 0.0543096695581537</f>
        <v>4.290463895</v>
      </c>
    </row>
    <row r="607" ht="15.75" hidden="1" customHeight="1">
      <c r="A607" s="20" t="s">
        <v>51</v>
      </c>
      <c r="B607" s="47" t="s">
        <v>77</v>
      </c>
      <c r="C607" s="47"/>
      <c r="D607" s="19" t="s">
        <v>31</v>
      </c>
      <c r="E607" s="23">
        <v>8.0</v>
      </c>
      <c r="F607" s="18">
        <f>E607* 0.957442434210526</f>
        <v>7.659539474</v>
      </c>
      <c r="G607" s="18">
        <f>E607* 0.0158305921052632</f>
        <v>0.1266447368</v>
      </c>
      <c r="H607" s="18">
        <f>E607* 0.0263157894736842</f>
        <v>0.2105263158</v>
      </c>
    </row>
    <row r="608" ht="15.75" hidden="1" customHeight="1">
      <c r="A608" s="20" t="s">
        <v>51</v>
      </c>
      <c r="B608" s="47" t="s">
        <v>77</v>
      </c>
      <c r="C608" s="47"/>
      <c r="D608" s="19" t="s">
        <v>18</v>
      </c>
      <c r="E608" s="23">
        <v>13.0</v>
      </c>
      <c r="F608" s="18">
        <f>E608* 0.983388008654987</f>
        <v>12.78404411</v>
      </c>
      <c r="G608" s="18">
        <f>E608* 0.0133314720457877</f>
        <v>0.1733091366</v>
      </c>
      <c r="H608" s="18">
        <f>E608* 0.003210721016263</f>
        <v>0.04173937321</v>
      </c>
    </row>
    <row r="609" ht="15.75" hidden="1" customHeight="1">
      <c r="A609" s="20" t="s">
        <v>51</v>
      </c>
      <c r="B609" s="47" t="s">
        <v>77</v>
      </c>
      <c r="C609" s="47"/>
      <c r="D609" s="19" t="s">
        <v>20</v>
      </c>
      <c r="E609" s="23">
        <v>104.0</v>
      </c>
      <c r="F609" s="18">
        <f>E609* 0.814615536880747</f>
        <v>84.72001584</v>
      </c>
      <c r="G609" s="18">
        <f>E609* 0.0763167839340663</f>
        <v>7.936945529</v>
      </c>
      <c r="H609" s="18">
        <f>E609* 0.109013694193014</f>
        <v>11.3374242</v>
      </c>
    </row>
    <row r="610" ht="15.75" hidden="1" customHeight="1">
      <c r="A610" s="20" t="s">
        <v>51</v>
      </c>
      <c r="B610" s="47" t="s">
        <v>77</v>
      </c>
      <c r="C610" s="47"/>
      <c r="D610" s="19" t="s">
        <v>21</v>
      </c>
      <c r="E610" s="23">
        <v>193.0</v>
      </c>
      <c r="F610" s="18">
        <f>E610* 0.999722052365334</f>
        <v>192.9463561</v>
      </c>
      <c r="G610" s="20">
        <v>0.0</v>
      </c>
      <c r="H610" s="18">
        <f>E610* 0.000277947634665629</f>
        <v>0.05364389349</v>
      </c>
    </row>
    <row r="611" ht="15.75" hidden="1" customHeight="1">
      <c r="A611" s="20" t="s">
        <v>51</v>
      </c>
      <c r="B611" s="47" t="s">
        <v>77</v>
      </c>
      <c r="C611" s="47"/>
      <c r="D611" s="19" t="s">
        <v>36</v>
      </c>
      <c r="E611" s="23">
        <v>1.0</v>
      </c>
      <c r="F611" s="18">
        <f>E611* 0.999132697311362</f>
        <v>0.9991326973</v>
      </c>
      <c r="G611" s="20">
        <v>0.0</v>
      </c>
      <c r="H611" s="18">
        <f>E611* 0.000867302688638335</f>
        <v>0.0008673026886</v>
      </c>
    </row>
    <row r="612" ht="15.75" hidden="1" customHeight="1">
      <c r="A612" s="20" t="s">
        <v>51</v>
      </c>
      <c r="B612" s="47" t="s">
        <v>77</v>
      </c>
      <c r="C612" s="47"/>
      <c r="D612" s="19" t="s">
        <v>28</v>
      </c>
      <c r="E612" s="23">
        <v>1.0</v>
      </c>
      <c r="F612" s="18">
        <f>E612* 0.00115651503469545</f>
        <v>0.001156515035</v>
      </c>
      <c r="G612" s="18">
        <f>E612* 0.998843484965305</f>
        <v>0.998843485</v>
      </c>
      <c r="H612" s="20">
        <v>0.0</v>
      </c>
    </row>
    <row r="613" ht="15.75" hidden="1" customHeight="1">
      <c r="A613" s="20" t="s">
        <v>51</v>
      </c>
      <c r="B613" s="47" t="s">
        <v>77</v>
      </c>
      <c r="C613" s="47"/>
      <c r="D613" s="19" t="s">
        <v>12</v>
      </c>
      <c r="E613" s="23">
        <v>172.0</v>
      </c>
      <c r="F613" s="18">
        <f>E613* 0.924936238310357</f>
        <v>159.089033</v>
      </c>
      <c r="G613" s="18">
        <f>E613* 0.0351064361799663</f>
        <v>6.038307023</v>
      </c>
      <c r="H613" s="18">
        <f>E613* 0.039932320925503</f>
        <v>6.868359199</v>
      </c>
    </row>
    <row r="614" ht="15.75" hidden="1" customHeight="1">
      <c r="A614" s="20" t="s">
        <v>51</v>
      </c>
      <c r="B614" s="20"/>
      <c r="C614" s="20"/>
      <c r="D614" s="46"/>
      <c r="E614" s="35"/>
    </row>
    <row r="615" ht="15.75" hidden="1" customHeight="1">
      <c r="A615" s="20" t="s">
        <v>51</v>
      </c>
      <c r="B615" s="47" t="s">
        <v>78</v>
      </c>
      <c r="C615" s="12" t="str">
        <f>B615&amp;"_"&amp;A615</f>
        <v>Guaqui_La Paz</v>
      </c>
      <c r="D615" s="20"/>
      <c r="E615" s="45">
        <v>1638.0</v>
      </c>
      <c r="F615" s="14">
        <f t="shared" ref="F615:H615" si="61">SUM(F616:F627)</f>
        <v>1458.244537</v>
      </c>
      <c r="G615" s="14">
        <f t="shared" si="61"/>
        <v>121.83641</v>
      </c>
      <c r="H615" s="14">
        <f t="shared" si="61"/>
        <v>57.86820031</v>
      </c>
    </row>
    <row r="616" ht="15.75" hidden="1" customHeight="1">
      <c r="A616" s="20" t="s">
        <v>51</v>
      </c>
      <c r="B616" s="47" t="s">
        <v>78</v>
      </c>
      <c r="C616" s="47"/>
      <c r="D616" s="19" t="s">
        <v>15</v>
      </c>
      <c r="E616" s="23">
        <v>161.0</v>
      </c>
      <c r="F616" s="18">
        <f>E616* 0.981163265034061</f>
        <v>157.9672857</v>
      </c>
      <c r="G616" s="18">
        <f>E616* 0.0027595216829083</f>
        <v>0.4442829909</v>
      </c>
      <c r="H616" s="18">
        <f>E616* 0.0160372202151627</f>
        <v>2.581992455</v>
      </c>
    </row>
    <row r="617" ht="15.75" hidden="1" customHeight="1">
      <c r="A617" s="20" t="s">
        <v>51</v>
      </c>
      <c r="B617" s="47" t="s">
        <v>78</v>
      </c>
      <c r="C617" s="47"/>
      <c r="D617" s="29" t="s">
        <v>342</v>
      </c>
      <c r="E617" s="23">
        <v>7.0</v>
      </c>
      <c r="F617" s="18">
        <f>E617* 0.142974979378609</f>
        <v>1.000824856</v>
      </c>
      <c r="G617" s="18">
        <f>E617* 0.852350838603245</f>
        <v>5.96645587</v>
      </c>
      <c r="H617" s="18">
        <f>E617* 0.00467418201814682</f>
        <v>0.03271927413</v>
      </c>
    </row>
    <row r="618" ht="15.75" hidden="1" customHeight="1">
      <c r="A618" s="20" t="s">
        <v>51</v>
      </c>
      <c r="B618" s="47" t="s">
        <v>78</v>
      </c>
      <c r="C618" s="47"/>
      <c r="D618" s="19" t="s">
        <v>11</v>
      </c>
      <c r="E618" s="23">
        <v>62.0</v>
      </c>
      <c r="F618" s="18">
        <f>E618* 0.178797409805735</f>
        <v>11.08543941</v>
      </c>
      <c r="G618" s="18">
        <f>E618* 0.819278445883441</f>
        <v>50.79526364</v>
      </c>
      <c r="H618" s="18">
        <f>E618* 0.00181313598519889</f>
        <v>0.1124144311</v>
      </c>
    </row>
    <row r="619" ht="15.75" hidden="1" customHeight="1">
      <c r="A619" s="20" t="s">
        <v>51</v>
      </c>
      <c r="B619" s="47" t="s">
        <v>78</v>
      </c>
      <c r="C619" s="47"/>
      <c r="D619" s="19" t="s">
        <v>17</v>
      </c>
      <c r="E619" s="23">
        <v>125.0</v>
      </c>
      <c r="F619" s="18">
        <f>E619* 0.916446662218225</f>
        <v>114.5558328</v>
      </c>
      <c r="G619" s="18">
        <f>E619* 0.0292436682236212</f>
        <v>3.655458528</v>
      </c>
      <c r="H619" s="18">
        <f>E619* 0.0543096695581537</f>
        <v>6.788708695</v>
      </c>
    </row>
    <row r="620" ht="15.75" hidden="1" customHeight="1">
      <c r="A620" s="20" t="s">
        <v>51</v>
      </c>
      <c r="B620" s="47" t="s">
        <v>78</v>
      </c>
      <c r="C620" s="47"/>
      <c r="D620" s="19" t="s">
        <v>31</v>
      </c>
      <c r="E620" s="23">
        <v>23.0</v>
      </c>
      <c r="F620" s="18">
        <f>E620* 0.957442434210526</f>
        <v>22.02117599</v>
      </c>
      <c r="G620" s="18">
        <f>E620* 0.0158305921052632</f>
        <v>0.3641036184</v>
      </c>
      <c r="H620" s="18">
        <f>E620* 0.0263157894736842</f>
        <v>0.6052631579</v>
      </c>
    </row>
    <row r="621" ht="15.75" hidden="1" customHeight="1">
      <c r="A621" s="20" t="s">
        <v>51</v>
      </c>
      <c r="B621" s="47" t="s">
        <v>78</v>
      </c>
      <c r="C621" s="47"/>
      <c r="D621" s="19" t="s">
        <v>18</v>
      </c>
      <c r="E621" s="23">
        <v>34.0</v>
      </c>
      <c r="F621" s="18">
        <f>E621* 0.983388008654987</f>
        <v>33.43519229</v>
      </c>
      <c r="G621" s="18">
        <f>E621* 0.0133314720457877</f>
        <v>0.4532700496</v>
      </c>
      <c r="H621" s="18">
        <f>E621* 0.003210721016263</f>
        <v>0.1091645146</v>
      </c>
    </row>
    <row r="622" ht="15.75" hidden="1" customHeight="1">
      <c r="A622" s="20" t="s">
        <v>51</v>
      </c>
      <c r="B622" s="47" t="s">
        <v>78</v>
      </c>
      <c r="C622" s="47"/>
      <c r="D622" s="19" t="s">
        <v>19</v>
      </c>
      <c r="E622" s="23">
        <v>2.0</v>
      </c>
      <c r="F622" s="18">
        <f>E622* 0.511826182618262</f>
        <v>1.023652365</v>
      </c>
      <c r="G622" s="18">
        <f>E622* 0.476622662266227</f>
        <v>0.9532453245</v>
      </c>
      <c r="H622" s="18">
        <f>E622* 0.0115511551155116</f>
        <v>0.02310231023</v>
      </c>
    </row>
    <row r="623" ht="15.75" hidden="1" customHeight="1">
      <c r="A623" s="20" t="s">
        <v>51</v>
      </c>
      <c r="B623" s="47" t="s">
        <v>78</v>
      </c>
      <c r="C623" s="47"/>
      <c r="D623" s="19" t="s">
        <v>20</v>
      </c>
      <c r="E623" s="23">
        <v>282.0</v>
      </c>
      <c r="F623" s="18">
        <f>E623* 0.814615536880747</f>
        <v>229.7215814</v>
      </c>
      <c r="G623" s="18">
        <f>E623* 0.0763167839340663</f>
        <v>21.52133307</v>
      </c>
      <c r="H623" s="18">
        <f>E623* 0.109013694193014</f>
        <v>30.74186176</v>
      </c>
    </row>
    <row r="624" ht="15.75" hidden="1" customHeight="1">
      <c r="A624" s="20" t="s">
        <v>51</v>
      </c>
      <c r="B624" s="47" t="s">
        <v>78</v>
      </c>
      <c r="C624" s="47"/>
      <c r="D624" s="19" t="s">
        <v>21</v>
      </c>
      <c r="E624" s="23">
        <v>496.0</v>
      </c>
      <c r="F624" s="18">
        <f>E624* 0.999722052365334</f>
        <v>495.862138</v>
      </c>
      <c r="G624" s="20">
        <v>0.0</v>
      </c>
      <c r="H624" s="18">
        <f>E624* 0.000277947634665629</f>
        <v>0.1378620268</v>
      </c>
    </row>
    <row r="625" ht="15.75" hidden="1" customHeight="1">
      <c r="A625" s="20" t="s">
        <v>51</v>
      </c>
      <c r="B625" s="47" t="s">
        <v>78</v>
      </c>
      <c r="C625" s="47"/>
      <c r="D625" s="19" t="s">
        <v>36</v>
      </c>
      <c r="E625" s="23">
        <v>4.0</v>
      </c>
      <c r="F625" s="18">
        <f>E625* 0.999132697311362</f>
        <v>3.996530789</v>
      </c>
      <c r="G625" s="20">
        <v>0.0</v>
      </c>
      <c r="H625" s="18">
        <f>E625* 0.000867302688638335</f>
        <v>0.003469210755</v>
      </c>
    </row>
    <row r="626" ht="15.75" hidden="1" customHeight="1">
      <c r="A626" s="20" t="s">
        <v>51</v>
      </c>
      <c r="B626" s="47" t="s">
        <v>78</v>
      </c>
      <c r="C626" s="47"/>
      <c r="D626" s="19" t="s">
        <v>28</v>
      </c>
      <c r="E626" s="23">
        <v>23.0</v>
      </c>
      <c r="F626" s="18">
        <f>E626* 0.00115651503469545</f>
        <v>0.0265998458</v>
      </c>
      <c r="G626" s="18">
        <f>E626* 0.998843484965305</f>
        <v>22.97340015</v>
      </c>
      <c r="H626" s="20">
        <v>0.0</v>
      </c>
    </row>
    <row r="627" ht="15.75" hidden="1" customHeight="1">
      <c r="A627" s="20" t="s">
        <v>51</v>
      </c>
      <c r="B627" s="47" t="s">
        <v>78</v>
      </c>
      <c r="C627" s="47"/>
      <c r="D627" s="19" t="s">
        <v>12</v>
      </c>
      <c r="E627" s="23">
        <v>419.0</v>
      </c>
      <c r="F627" s="18">
        <f>E627* 0.924936238310357</f>
        <v>387.5482839</v>
      </c>
      <c r="G627" s="18">
        <f>E627* 0.0351064361799663</f>
        <v>14.70959676</v>
      </c>
      <c r="H627" s="18">
        <f>E627* 0.039932320925503</f>
        <v>16.73164247</v>
      </c>
    </row>
    <row r="628" ht="15.75" hidden="1" customHeight="1">
      <c r="A628" s="20" t="s">
        <v>51</v>
      </c>
      <c r="B628" s="20"/>
      <c r="C628" s="20"/>
      <c r="D628" s="46"/>
      <c r="E628" s="35"/>
    </row>
    <row r="629" ht="15.75" hidden="1" customHeight="1">
      <c r="A629" s="20" t="s">
        <v>51</v>
      </c>
      <c r="B629" s="47" t="s">
        <v>79</v>
      </c>
      <c r="C629" s="12" t="str">
        <f>B629&amp;"_"&amp;A629</f>
        <v>Huarina_La Paz</v>
      </c>
      <c r="D629" s="20"/>
      <c r="E629" s="45">
        <v>3707.0</v>
      </c>
      <c r="F629" s="14">
        <f t="shared" ref="F629:H629" si="62">SUM(F630:F642)</f>
        <v>3129.765068</v>
      </c>
      <c r="G629" s="14">
        <f t="shared" si="62"/>
        <v>417.2337453</v>
      </c>
      <c r="H629" s="14">
        <f t="shared" si="62"/>
        <v>159.8535224</v>
      </c>
    </row>
    <row r="630" ht="15.75" hidden="1" customHeight="1">
      <c r="A630" s="20" t="s">
        <v>51</v>
      </c>
      <c r="B630" s="47" t="s">
        <v>79</v>
      </c>
      <c r="C630" s="47"/>
      <c r="D630" s="19" t="s">
        <v>15</v>
      </c>
      <c r="E630" s="23">
        <v>271.0</v>
      </c>
      <c r="F630" s="18">
        <f>E630* 0.981163265034061</f>
        <v>265.8952448</v>
      </c>
      <c r="G630" s="18">
        <f>E630* 0.0027595216829083</f>
        <v>0.7478303761</v>
      </c>
      <c r="H630" s="18">
        <f>E630* 0.0160372202151627</f>
        <v>4.346086678</v>
      </c>
    </row>
    <row r="631" ht="15.75" hidden="1" customHeight="1">
      <c r="A631" s="20" t="s">
        <v>51</v>
      </c>
      <c r="B631" s="47" t="s">
        <v>79</v>
      </c>
      <c r="C631" s="47"/>
      <c r="D631" s="29" t="s">
        <v>343</v>
      </c>
      <c r="E631" s="23">
        <v>17.0</v>
      </c>
      <c r="F631" s="18">
        <f>E631* 0.142974979378609</f>
        <v>2.430574649</v>
      </c>
      <c r="G631" s="18">
        <f>E631* 0.852350838603245</f>
        <v>14.48996426</v>
      </c>
      <c r="H631" s="18">
        <f>E631* 0.00467418201814682</f>
        <v>0.07946109431</v>
      </c>
    </row>
    <row r="632" ht="15.75" hidden="1" customHeight="1">
      <c r="A632" s="20" t="s">
        <v>51</v>
      </c>
      <c r="B632" s="47" t="s">
        <v>79</v>
      </c>
      <c r="C632" s="47"/>
      <c r="D632" s="19" t="s">
        <v>11</v>
      </c>
      <c r="E632" s="23">
        <v>307.0</v>
      </c>
      <c r="F632" s="18">
        <f>E632* 0.178797409805735</f>
        <v>54.89080481</v>
      </c>
      <c r="G632" s="18">
        <f>E632* 0.819278445883441</f>
        <v>251.5184829</v>
      </c>
      <c r="H632" s="18">
        <f>E632* 0.00181313598519889</f>
        <v>0.5566327475</v>
      </c>
    </row>
    <row r="633" ht="15.75" hidden="1" customHeight="1">
      <c r="A633" s="20" t="s">
        <v>51</v>
      </c>
      <c r="B633" s="47" t="s">
        <v>79</v>
      </c>
      <c r="C633" s="47"/>
      <c r="D633" s="19" t="s">
        <v>17</v>
      </c>
      <c r="E633" s="23">
        <v>332.0</v>
      </c>
      <c r="F633" s="18">
        <f>E633* 0.916446662218225</f>
        <v>304.2602919</v>
      </c>
      <c r="G633" s="18">
        <f>E633* 0.0292436682236212</f>
        <v>9.70889785</v>
      </c>
      <c r="H633" s="18">
        <f>E633* 0.0543096695581537</f>
        <v>18.03081029</v>
      </c>
    </row>
    <row r="634" ht="15.75" hidden="1" customHeight="1">
      <c r="A634" s="20" t="s">
        <v>51</v>
      </c>
      <c r="B634" s="47" t="s">
        <v>79</v>
      </c>
      <c r="C634" s="47"/>
      <c r="D634" s="19" t="s">
        <v>31</v>
      </c>
      <c r="E634" s="23">
        <v>62.0</v>
      </c>
      <c r="F634" s="18">
        <f>E634* 0.957442434210526</f>
        <v>59.36143092</v>
      </c>
      <c r="G634" s="18">
        <f>E634* 0.0158305921052632</f>
        <v>0.9814967105</v>
      </c>
      <c r="H634" s="18">
        <f>E634* 0.0263157894736842</f>
        <v>1.631578947</v>
      </c>
    </row>
    <row r="635" ht="15.75" hidden="1" customHeight="1">
      <c r="A635" s="20" t="s">
        <v>51</v>
      </c>
      <c r="B635" s="47" t="s">
        <v>79</v>
      </c>
      <c r="C635" s="47"/>
      <c r="D635" s="19" t="s">
        <v>18</v>
      </c>
      <c r="E635" s="23">
        <v>58.0</v>
      </c>
      <c r="F635" s="18">
        <f>E635* 0.983388008654987</f>
        <v>57.0365045</v>
      </c>
      <c r="G635" s="18">
        <f>E635* 0.0133314720457877</f>
        <v>0.7732253787</v>
      </c>
      <c r="H635" s="18">
        <f>E635* 0.003210721016263</f>
        <v>0.1862218189</v>
      </c>
    </row>
    <row r="636" ht="15.75" hidden="1" customHeight="1">
      <c r="A636" s="20" t="s">
        <v>51</v>
      </c>
      <c r="B636" s="47" t="s">
        <v>79</v>
      </c>
      <c r="C636" s="47"/>
      <c r="D636" s="19" t="s">
        <v>344</v>
      </c>
      <c r="E636" s="23">
        <v>3.0</v>
      </c>
      <c r="F636" s="20">
        <v>0.0</v>
      </c>
      <c r="G636" s="24">
        <f>E636</f>
        <v>3</v>
      </c>
      <c r="H636" s="20">
        <v>0.0</v>
      </c>
    </row>
    <row r="637" ht="15.75" hidden="1" customHeight="1">
      <c r="A637" s="20" t="s">
        <v>51</v>
      </c>
      <c r="B637" s="47" t="s">
        <v>79</v>
      </c>
      <c r="C637" s="47"/>
      <c r="D637" s="19" t="s">
        <v>19</v>
      </c>
      <c r="E637" s="23">
        <v>6.0</v>
      </c>
      <c r="F637" s="18">
        <f>E637* 0.511826182618262</f>
        <v>3.070957096</v>
      </c>
      <c r="G637" s="18">
        <f>E637* 0.476622662266227</f>
        <v>2.859735974</v>
      </c>
      <c r="H637" s="18">
        <f>E637* 0.0115511551155116</f>
        <v>0.06930693069</v>
      </c>
    </row>
    <row r="638" ht="15.75" hidden="1" customHeight="1">
      <c r="A638" s="20" t="s">
        <v>51</v>
      </c>
      <c r="B638" s="47" t="s">
        <v>79</v>
      </c>
      <c r="C638" s="47"/>
      <c r="D638" s="19" t="s">
        <v>20</v>
      </c>
      <c r="E638" s="23">
        <v>784.0</v>
      </c>
      <c r="F638" s="18">
        <f>E638* 0.814615536880747</f>
        <v>638.6585809</v>
      </c>
      <c r="G638" s="18">
        <f>E638* 0.0763167839340663</f>
        <v>59.8323586</v>
      </c>
      <c r="H638" s="18">
        <f>E638* 0.109013694193014</f>
        <v>85.46673625</v>
      </c>
    </row>
    <row r="639" ht="15.75" hidden="1" customHeight="1">
      <c r="A639" s="20" t="s">
        <v>51</v>
      </c>
      <c r="B639" s="47" t="s">
        <v>79</v>
      </c>
      <c r="C639" s="47"/>
      <c r="D639" s="19" t="s">
        <v>21</v>
      </c>
      <c r="E639" s="23">
        <v>597.0</v>
      </c>
      <c r="F639" s="18">
        <f>E639* 0.999722052365334</f>
        <v>596.8340653</v>
      </c>
      <c r="G639" s="20">
        <v>0.0</v>
      </c>
      <c r="H639" s="18">
        <f>E639* 0.000277947634665629</f>
        <v>0.1659347379</v>
      </c>
    </row>
    <row r="640" ht="15.75" hidden="1" customHeight="1">
      <c r="A640" s="20" t="s">
        <v>51</v>
      </c>
      <c r="B640" s="47" t="s">
        <v>79</v>
      </c>
      <c r="C640" s="47"/>
      <c r="D640" s="19" t="s">
        <v>36</v>
      </c>
      <c r="E640" s="23">
        <v>5.0</v>
      </c>
      <c r="F640" s="18">
        <f>E640* 0.999132697311362</f>
        <v>4.995663487</v>
      </c>
      <c r="G640" s="20">
        <v>0.0</v>
      </c>
      <c r="H640" s="18">
        <f>E640* 0.000867302688638335</f>
        <v>0.004336513443</v>
      </c>
    </row>
    <row r="641" ht="15.75" hidden="1" customHeight="1">
      <c r="A641" s="20" t="s">
        <v>51</v>
      </c>
      <c r="B641" s="47" t="s">
        <v>79</v>
      </c>
      <c r="C641" s="47"/>
      <c r="D641" s="19" t="s">
        <v>28</v>
      </c>
      <c r="E641" s="23">
        <v>30.0</v>
      </c>
      <c r="F641" s="18">
        <f>E641* 0.00115651503469545</f>
        <v>0.03469545104</v>
      </c>
      <c r="G641" s="18">
        <f>E641* 0.998843484965305</f>
        <v>29.96530455</v>
      </c>
      <c r="H641" s="20">
        <v>0.0</v>
      </c>
    </row>
    <row r="642" ht="15.75" hidden="1" customHeight="1">
      <c r="A642" s="20" t="s">
        <v>51</v>
      </c>
      <c r="B642" s="47" t="s">
        <v>79</v>
      </c>
      <c r="C642" s="47"/>
      <c r="D642" s="19" t="s">
        <v>12</v>
      </c>
      <c r="E642" s="23">
        <v>1235.0</v>
      </c>
      <c r="F642" s="18">
        <f>E642* 0.924936238310357</f>
        <v>1142.296254</v>
      </c>
      <c r="G642" s="18">
        <f>E642* 0.0351064361799663</f>
        <v>43.35644868</v>
      </c>
      <c r="H642" s="18">
        <f>E642* 0.039932320925503</f>
        <v>49.31641634</v>
      </c>
    </row>
    <row r="643" ht="15.75" hidden="1" customHeight="1">
      <c r="A643" s="20" t="s">
        <v>51</v>
      </c>
      <c r="B643" s="20"/>
      <c r="C643" s="20"/>
      <c r="D643" s="46"/>
      <c r="E643" s="35"/>
    </row>
    <row r="644" ht="15.75" hidden="1" customHeight="1">
      <c r="A644" s="20" t="s">
        <v>51</v>
      </c>
      <c r="B644" s="47" t="s">
        <v>80</v>
      </c>
      <c r="C644" s="12" t="str">
        <f>B644&amp;"_"&amp;A644</f>
        <v>Huatajata_La Paz</v>
      </c>
      <c r="D644" s="20"/>
      <c r="E644" s="45">
        <v>3189.0</v>
      </c>
      <c r="F644" s="14">
        <f t="shared" ref="F644:H644" si="63">SUM(F645:F656)</f>
        <v>2742.159424</v>
      </c>
      <c r="G644" s="14">
        <f t="shared" si="63"/>
        <v>340.4598883</v>
      </c>
      <c r="H644" s="14">
        <f t="shared" si="63"/>
        <v>106.2776871</v>
      </c>
    </row>
    <row r="645" ht="15.75" hidden="1" customHeight="1">
      <c r="A645" s="20" t="s">
        <v>51</v>
      </c>
      <c r="B645" s="47" t="s">
        <v>80</v>
      </c>
      <c r="C645" s="47"/>
      <c r="D645" s="19" t="s">
        <v>15</v>
      </c>
      <c r="E645" s="23">
        <v>180.0</v>
      </c>
      <c r="F645" s="18">
        <f>E645* 0.981163265034061</f>
        <v>176.6093877</v>
      </c>
      <c r="G645" s="18">
        <f>E645* 0.0027595216829083</f>
        <v>0.4967139029</v>
      </c>
      <c r="H645" s="18">
        <f>E645* 0.0160372202151627</f>
        <v>2.886699639</v>
      </c>
    </row>
    <row r="646" ht="15.75" hidden="1" customHeight="1">
      <c r="A646" s="20" t="s">
        <v>51</v>
      </c>
      <c r="B646" s="47" t="s">
        <v>80</v>
      </c>
      <c r="C646" s="47"/>
      <c r="D646" s="29" t="s">
        <v>345</v>
      </c>
      <c r="E646" s="23">
        <v>4.0</v>
      </c>
      <c r="F646" s="18">
        <f>E646* 0.142974979378609</f>
        <v>0.5718999175</v>
      </c>
      <c r="G646" s="18">
        <f>E646* 0.852350838603245</f>
        <v>3.409403354</v>
      </c>
      <c r="H646" s="18">
        <f>E646* 0.00467418201814682</f>
        <v>0.01869672807</v>
      </c>
    </row>
    <row r="647" ht="15.75" hidden="1" customHeight="1">
      <c r="A647" s="20" t="s">
        <v>51</v>
      </c>
      <c r="B647" s="47" t="s">
        <v>80</v>
      </c>
      <c r="C647" s="47"/>
      <c r="D647" s="19" t="s">
        <v>11</v>
      </c>
      <c r="E647" s="23">
        <v>246.0</v>
      </c>
      <c r="F647" s="18">
        <f>E647* 0.178797409805735</f>
        <v>43.98416281</v>
      </c>
      <c r="G647" s="18">
        <f>E647* 0.819278445883441</f>
        <v>201.5424977</v>
      </c>
      <c r="H647" s="18">
        <f>E647* 0.00181313598519889</f>
        <v>0.4460314524</v>
      </c>
    </row>
    <row r="648" ht="15.75" hidden="1" customHeight="1">
      <c r="A648" s="20" t="s">
        <v>51</v>
      </c>
      <c r="B648" s="47" t="s">
        <v>80</v>
      </c>
      <c r="C648" s="47"/>
      <c r="D648" s="19" t="s">
        <v>17</v>
      </c>
      <c r="E648" s="23">
        <v>270.0</v>
      </c>
      <c r="F648" s="18">
        <f>E648* 0.916446662218225</f>
        <v>247.4405988</v>
      </c>
      <c r="G648" s="18">
        <f>E648* 0.0292436682236212</f>
        <v>7.89579042</v>
      </c>
      <c r="H648" s="18">
        <f>E648* 0.0543096695581537</f>
        <v>14.66361078</v>
      </c>
    </row>
    <row r="649" ht="15.75" hidden="1" customHeight="1">
      <c r="A649" s="20" t="s">
        <v>51</v>
      </c>
      <c r="B649" s="47" t="s">
        <v>80</v>
      </c>
      <c r="C649" s="47"/>
      <c r="D649" s="19" t="s">
        <v>31</v>
      </c>
      <c r="E649" s="23">
        <v>45.0</v>
      </c>
      <c r="F649" s="18">
        <f>E649* 0.957442434210526</f>
        <v>43.08490954</v>
      </c>
      <c r="G649" s="18">
        <f>E649* 0.0158305921052632</f>
        <v>0.7123766447</v>
      </c>
      <c r="H649" s="18">
        <f>E649* 0.0263157894736842</f>
        <v>1.184210526</v>
      </c>
    </row>
    <row r="650" ht="15.75" hidden="1" customHeight="1">
      <c r="A650" s="20" t="s">
        <v>51</v>
      </c>
      <c r="B650" s="47" t="s">
        <v>80</v>
      </c>
      <c r="C650" s="47"/>
      <c r="D650" s="19" t="s">
        <v>18</v>
      </c>
      <c r="E650" s="23">
        <v>46.0</v>
      </c>
      <c r="F650" s="18">
        <f>E650* 0.983388008654987</f>
        <v>45.2358484</v>
      </c>
      <c r="G650" s="18">
        <f>E650* 0.0133314720457877</f>
        <v>0.6132477141</v>
      </c>
      <c r="H650" s="18">
        <f>E650* 0.003210721016263</f>
        <v>0.1476931667</v>
      </c>
    </row>
    <row r="651" ht="15.75" hidden="1" customHeight="1">
      <c r="A651" s="20" t="s">
        <v>51</v>
      </c>
      <c r="B651" s="47" t="s">
        <v>80</v>
      </c>
      <c r="C651" s="47"/>
      <c r="D651" s="19" t="s">
        <v>19</v>
      </c>
      <c r="E651" s="23">
        <v>4.0</v>
      </c>
      <c r="F651" s="18">
        <f>E651* 0.511826182618262</f>
        <v>2.04730473</v>
      </c>
      <c r="G651" s="18">
        <f>E651* 0.476622662266227</f>
        <v>1.906490649</v>
      </c>
      <c r="H651" s="18">
        <f>E651* 0.0115511551155116</f>
        <v>0.04620462046</v>
      </c>
    </row>
    <row r="652" ht="15.75" hidden="1" customHeight="1">
      <c r="A652" s="20" t="s">
        <v>51</v>
      </c>
      <c r="B652" s="47" t="s">
        <v>80</v>
      </c>
      <c r="C652" s="47"/>
      <c r="D652" s="19" t="s">
        <v>20</v>
      </c>
      <c r="E652" s="23">
        <v>521.0</v>
      </c>
      <c r="F652" s="18">
        <f>E652* 0.814615536880747</f>
        <v>424.4146947</v>
      </c>
      <c r="G652" s="18">
        <f>E652* 0.0763167839340663</f>
        <v>39.76104443</v>
      </c>
      <c r="H652" s="18">
        <f>E652* 0.109013694193014</f>
        <v>56.79613467</v>
      </c>
    </row>
    <row r="653" ht="15.75" hidden="1" customHeight="1">
      <c r="A653" s="20" t="s">
        <v>51</v>
      </c>
      <c r="B653" s="47" t="s">
        <v>80</v>
      </c>
      <c r="C653" s="47"/>
      <c r="D653" s="19" t="s">
        <v>21</v>
      </c>
      <c r="E653" s="23">
        <v>1066.0</v>
      </c>
      <c r="F653" s="18">
        <f>E653* 0.999722052365334</f>
        <v>1065.703708</v>
      </c>
      <c r="G653" s="20">
        <v>0.0</v>
      </c>
      <c r="H653" s="18">
        <f>E653* 0.000277947634665629</f>
        <v>0.2962921786</v>
      </c>
    </row>
    <row r="654" ht="15.75" hidden="1" customHeight="1">
      <c r="A654" s="20" t="s">
        <v>51</v>
      </c>
      <c r="B654" s="47" t="s">
        <v>80</v>
      </c>
      <c r="C654" s="47"/>
      <c r="D654" s="19" t="s">
        <v>36</v>
      </c>
      <c r="E654" s="23">
        <v>3.0</v>
      </c>
      <c r="F654" s="18">
        <f>E654* 0.999132697311362</f>
        <v>2.997398092</v>
      </c>
      <c r="G654" s="20">
        <v>0.0</v>
      </c>
      <c r="H654" s="18">
        <f>E654* 0.000867302688638335</f>
        <v>0.002601908066</v>
      </c>
    </row>
    <row r="655" ht="15.75" hidden="1" customHeight="1">
      <c r="A655" s="20" t="s">
        <v>51</v>
      </c>
      <c r="B655" s="47" t="s">
        <v>80</v>
      </c>
      <c r="C655" s="47"/>
      <c r="D655" s="19" t="s">
        <v>28</v>
      </c>
      <c r="E655" s="23">
        <v>58.0</v>
      </c>
      <c r="F655" s="18">
        <f>E655* 0.00115651503469545</f>
        <v>0.06707787201</v>
      </c>
      <c r="G655" s="18">
        <f>E655* 0.998843484965305</f>
        <v>57.93292213</v>
      </c>
      <c r="H655" s="20">
        <v>0.0</v>
      </c>
    </row>
    <row r="656" ht="15.75" hidden="1" customHeight="1">
      <c r="A656" s="20" t="s">
        <v>51</v>
      </c>
      <c r="B656" s="47" t="s">
        <v>80</v>
      </c>
      <c r="C656" s="47"/>
      <c r="D656" s="19" t="s">
        <v>12</v>
      </c>
      <c r="E656" s="23">
        <v>746.0</v>
      </c>
      <c r="F656" s="18">
        <f>E656* 0.924936238310357</f>
        <v>690.0024338</v>
      </c>
      <c r="G656" s="18">
        <f>E656* 0.0351064361799663</f>
        <v>26.18940139</v>
      </c>
      <c r="H656" s="18">
        <f>E656* 0.039932320925503</f>
        <v>29.78951141</v>
      </c>
    </row>
    <row r="657" ht="15.75" hidden="1" customHeight="1">
      <c r="A657" s="20" t="s">
        <v>51</v>
      </c>
      <c r="B657" s="20"/>
      <c r="C657" s="20"/>
      <c r="D657" s="46"/>
      <c r="E657" s="35"/>
    </row>
    <row r="658" ht="15.75" hidden="1" customHeight="1">
      <c r="A658" s="20" t="s">
        <v>51</v>
      </c>
      <c r="B658" s="47" t="s">
        <v>346</v>
      </c>
      <c r="C658" s="12" t="str">
        <f>B658&amp;"_"&amp;A658</f>
        <v>Humanata_La Paz</v>
      </c>
      <c r="D658" s="20"/>
      <c r="E658" s="45">
        <v>446.0</v>
      </c>
      <c r="F658" s="14">
        <f t="shared" ref="F658:H658" si="64">SUM(F659:F670)</f>
        <v>388.5899646</v>
      </c>
      <c r="G658" s="14">
        <f t="shared" si="64"/>
        <v>44.25314612</v>
      </c>
      <c r="H658" s="14">
        <f t="shared" si="64"/>
        <v>13.14413842</v>
      </c>
    </row>
    <row r="659" ht="15.75" hidden="1" customHeight="1">
      <c r="A659" s="20" t="s">
        <v>51</v>
      </c>
      <c r="B659" s="47" t="s">
        <v>346</v>
      </c>
      <c r="C659" s="47"/>
      <c r="D659" s="19" t="s">
        <v>15</v>
      </c>
      <c r="E659" s="23">
        <v>45.0</v>
      </c>
      <c r="F659" s="18">
        <f>E659* 0.981163265034061</f>
        <v>44.15234693</v>
      </c>
      <c r="G659" s="18">
        <f>E659* 0.0027595216829083</f>
        <v>0.1241784757</v>
      </c>
      <c r="H659" s="18">
        <f>E659* 0.0160372202151627</f>
        <v>0.7216749097</v>
      </c>
    </row>
    <row r="660" ht="15.75" hidden="1" customHeight="1">
      <c r="A660" s="20" t="s">
        <v>51</v>
      </c>
      <c r="B660" s="47" t="s">
        <v>346</v>
      </c>
      <c r="C660" s="47"/>
      <c r="D660" s="29" t="s">
        <v>347</v>
      </c>
      <c r="E660" s="23">
        <v>3.0</v>
      </c>
      <c r="F660" s="18">
        <f>E660* 0.142974979378609</f>
        <v>0.4289249381</v>
      </c>
      <c r="G660" s="18">
        <f>E660* 0.852350838603245</f>
        <v>2.557052516</v>
      </c>
      <c r="H660" s="18">
        <f>E660* 0.00467418201814682</f>
        <v>0.01402254605</v>
      </c>
    </row>
    <row r="661" ht="15.75" hidden="1" customHeight="1">
      <c r="A661" s="20" t="s">
        <v>51</v>
      </c>
      <c r="B661" s="47" t="s">
        <v>346</v>
      </c>
      <c r="C661" s="47"/>
      <c r="D661" s="19" t="s">
        <v>11</v>
      </c>
      <c r="E661" s="23">
        <v>33.0</v>
      </c>
      <c r="F661" s="18">
        <f>E661* 0.178797409805735</f>
        <v>5.900314524</v>
      </c>
      <c r="G661" s="18">
        <f>E661* 0.819278445883441</f>
        <v>27.03618871</v>
      </c>
      <c r="H661" s="18">
        <f>E661* 0.00181313598519889</f>
        <v>0.05983348751</v>
      </c>
    </row>
    <row r="662" ht="15.75" hidden="1" customHeight="1">
      <c r="A662" s="20" t="s">
        <v>51</v>
      </c>
      <c r="B662" s="47" t="s">
        <v>346</v>
      </c>
      <c r="C662" s="47"/>
      <c r="D662" s="19" t="s">
        <v>17</v>
      </c>
      <c r="E662" s="23">
        <v>34.0</v>
      </c>
      <c r="F662" s="18">
        <f>E662* 0.916446662218225</f>
        <v>31.15918652</v>
      </c>
      <c r="G662" s="18">
        <f>E662* 0.0292436682236212</f>
        <v>0.9942847196</v>
      </c>
      <c r="H662" s="18">
        <f>E662* 0.0543096695581537</f>
        <v>1.846528765</v>
      </c>
    </row>
    <row r="663" ht="15.75" hidden="1" customHeight="1">
      <c r="A663" s="20" t="s">
        <v>51</v>
      </c>
      <c r="B663" s="47" t="s">
        <v>346</v>
      </c>
      <c r="C663" s="47"/>
      <c r="D663" s="19" t="s">
        <v>31</v>
      </c>
      <c r="E663" s="23">
        <v>3.0</v>
      </c>
      <c r="F663" s="18">
        <f>E663* 0.957442434210526</f>
        <v>2.872327303</v>
      </c>
      <c r="G663" s="18">
        <f>E663* 0.0158305921052632</f>
        <v>0.04749177632</v>
      </c>
      <c r="H663" s="18">
        <f>E663* 0.0263157894736842</f>
        <v>0.07894736842</v>
      </c>
    </row>
    <row r="664" ht="15.75" hidden="1" customHeight="1">
      <c r="A664" s="20" t="s">
        <v>51</v>
      </c>
      <c r="B664" s="47" t="s">
        <v>346</v>
      </c>
      <c r="C664" s="47"/>
      <c r="D664" s="19" t="s">
        <v>18</v>
      </c>
      <c r="E664" s="23">
        <v>6.0</v>
      </c>
      <c r="F664" s="18">
        <f>E664* 0.983388008654987</f>
        <v>5.900328052</v>
      </c>
      <c r="G664" s="18">
        <f>E664* 0.0133314720457877</f>
        <v>0.07998883227</v>
      </c>
      <c r="H664" s="18">
        <f>E664* 0.003210721016263</f>
        <v>0.0192643261</v>
      </c>
    </row>
    <row r="665" ht="15.75" hidden="1" customHeight="1">
      <c r="A665" s="20" t="s">
        <v>51</v>
      </c>
      <c r="B665" s="47" t="s">
        <v>346</v>
      </c>
      <c r="C665" s="47"/>
      <c r="D665" s="19" t="s">
        <v>19</v>
      </c>
      <c r="E665" s="23">
        <v>1.0</v>
      </c>
      <c r="F665" s="18">
        <f>E665* 0.511826182618262</f>
        <v>0.5118261826</v>
      </c>
      <c r="G665" s="18">
        <f>E665* 0.476622662266227</f>
        <v>0.4766226623</v>
      </c>
      <c r="H665" s="18">
        <f>E665* 0.0115511551155116</f>
        <v>0.01155115512</v>
      </c>
    </row>
    <row r="666" ht="15.75" hidden="1" customHeight="1">
      <c r="A666" s="20" t="s">
        <v>51</v>
      </c>
      <c r="B666" s="47" t="s">
        <v>346</v>
      </c>
      <c r="C666" s="47"/>
      <c r="D666" s="19" t="s">
        <v>20</v>
      </c>
      <c r="E666" s="23">
        <v>59.0</v>
      </c>
      <c r="F666" s="18">
        <f>E666* 0.814615536880747</f>
        <v>48.06231668</v>
      </c>
      <c r="G666" s="18">
        <f>E666* 0.0763167839340663</f>
        <v>4.502690252</v>
      </c>
      <c r="H666" s="18">
        <f>E666* 0.109013694193014</f>
        <v>6.431807957</v>
      </c>
    </row>
    <row r="667" ht="15.75" hidden="1" customHeight="1">
      <c r="A667" s="20" t="s">
        <v>51</v>
      </c>
      <c r="B667" s="47" t="s">
        <v>346</v>
      </c>
      <c r="C667" s="47"/>
      <c r="D667" s="19" t="s">
        <v>21</v>
      </c>
      <c r="E667" s="23">
        <v>154.0</v>
      </c>
      <c r="F667" s="18">
        <f>E667* 0.999722052365334</f>
        <v>153.9571961</v>
      </c>
      <c r="G667" s="20">
        <v>0.0</v>
      </c>
      <c r="H667" s="18">
        <f>E667* 0.000277947634665629</f>
        <v>0.04280393574</v>
      </c>
    </row>
    <row r="668" ht="15.75" hidden="1" customHeight="1">
      <c r="A668" s="20" t="s">
        <v>51</v>
      </c>
      <c r="B668" s="47" t="s">
        <v>346</v>
      </c>
      <c r="C668" s="47"/>
      <c r="D668" s="19" t="s">
        <v>36</v>
      </c>
      <c r="E668" s="23">
        <v>5.0</v>
      </c>
      <c r="F668" s="18">
        <f>E668* 0.999132697311362</f>
        <v>4.995663487</v>
      </c>
      <c r="G668" s="20">
        <v>0.0</v>
      </c>
      <c r="H668" s="18">
        <f>E668* 0.000867302688638335</f>
        <v>0.004336513443</v>
      </c>
    </row>
    <row r="669" ht="15.75" hidden="1" customHeight="1">
      <c r="A669" s="20" t="s">
        <v>51</v>
      </c>
      <c r="B669" s="47" t="s">
        <v>346</v>
      </c>
      <c r="C669" s="47"/>
      <c r="D669" s="19" t="s">
        <v>28</v>
      </c>
      <c r="E669" s="23">
        <v>5.0</v>
      </c>
      <c r="F669" s="18">
        <f>E669* 0.00115651503469545</f>
        <v>0.005782575173</v>
      </c>
      <c r="G669" s="18">
        <f>E669* 0.998843484965305</f>
        <v>4.994217425</v>
      </c>
      <c r="H669" s="20">
        <v>0.0</v>
      </c>
    </row>
    <row r="670" ht="15.75" hidden="1" customHeight="1">
      <c r="A670" s="20" t="s">
        <v>51</v>
      </c>
      <c r="B670" s="47" t="s">
        <v>346</v>
      </c>
      <c r="C670" s="47"/>
      <c r="D670" s="19" t="s">
        <v>12</v>
      </c>
      <c r="E670" s="23">
        <v>98.0</v>
      </c>
      <c r="F670" s="18">
        <f>E670* 0.924936238310357</f>
        <v>90.64375135</v>
      </c>
      <c r="G670" s="18">
        <f>E670* 0.0351064361799663</f>
        <v>3.440430746</v>
      </c>
      <c r="H670" s="18">
        <f>E670* 0.039932320925503</f>
        <v>3.913367451</v>
      </c>
    </row>
    <row r="671" ht="15.75" hidden="1" customHeight="1">
      <c r="A671" s="20" t="s">
        <v>51</v>
      </c>
      <c r="B671" s="20"/>
      <c r="C671" s="20"/>
      <c r="D671" s="46"/>
      <c r="E671" s="35"/>
    </row>
    <row r="672" ht="15.75" hidden="1" customHeight="1">
      <c r="A672" s="20" t="s">
        <v>51</v>
      </c>
      <c r="B672" s="47" t="s">
        <v>81</v>
      </c>
      <c r="C672" s="12" t="str">
        <f>B672&amp;"_"&amp;A672</f>
        <v>Inquisivi_La Paz</v>
      </c>
      <c r="D672" s="20"/>
      <c r="E672" s="45">
        <v>3061.0</v>
      </c>
      <c r="F672" s="14">
        <f t="shared" ref="F672:H672" si="65">SUM(F673:F686)</f>
        <v>2284.017438</v>
      </c>
      <c r="G672" s="14">
        <f t="shared" si="65"/>
        <v>677.3421126</v>
      </c>
      <c r="H672" s="14">
        <f t="shared" si="65"/>
        <v>99.52177741</v>
      </c>
    </row>
    <row r="673" ht="15.75" hidden="1" customHeight="1">
      <c r="A673" s="20" t="s">
        <v>51</v>
      </c>
      <c r="B673" s="47" t="s">
        <v>81</v>
      </c>
      <c r="C673" s="47"/>
      <c r="D673" s="29" t="s">
        <v>348</v>
      </c>
      <c r="E673" s="23">
        <v>0.0</v>
      </c>
      <c r="F673" s="20">
        <v>0.0</v>
      </c>
      <c r="G673" s="24">
        <f>E673</f>
        <v>0</v>
      </c>
      <c r="H673" s="20">
        <v>0.0</v>
      </c>
    </row>
    <row r="674" ht="15.75" hidden="1" customHeight="1">
      <c r="A674" s="20" t="s">
        <v>51</v>
      </c>
      <c r="B674" s="47" t="s">
        <v>81</v>
      </c>
      <c r="C674" s="47"/>
      <c r="D674" s="19" t="s">
        <v>15</v>
      </c>
      <c r="E674" s="23">
        <v>331.0</v>
      </c>
      <c r="F674" s="18">
        <f>E674* 0.981163265034061</f>
        <v>324.7650407</v>
      </c>
      <c r="G674" s="18">
        <f>E674* 0.0027595216829083</f>
        <v>0.913401677</v>
      </c>
      <c r="H674" s="18">
        <f>E674* 0.0160372202151627</f>
        <v>5.308319891</v>
      </c>
    </row>
    <row r="675" ht="15.75" hidden="1" customHeight="1">
      <c r="A675" s="20" t="s">
        <v>51</v>
      </c>
      <c r="B675" s="47" t="s">
        <v>81</v>
      </c>
      <c r="C675" s="47"/>
      <c r="D675" s="29" t="s">
        <v>349</v>
      </c>
      <c r="E675" s="23">
        <v>48.0</v>
      </c>
      <c r="F675" s="18">
        <f>E675* 0.142974979378609</f>
        <v>6.86279901</v>
      </c>
      <c r="G675" s="18">
        <f>E675* 0.852350838603245</f>
        <v>40.91284025</v>
      </c>
      <c r="H675" s="18">
        <f>E675* 0.00467418201814682</f>
        <v>0.2243607369</v>
      </c>
    </row>
    <row r="676" ht="15.75" hidden="1" customHeight="1">
      <c r="A676" s="20" t="s">
        <v>51</v>
      </c>
      <c r="B676" s="47" t="s">
        <v>81</v>
      </c>
      <c r="C676" s="47"/>
      <c r="D676" s="19" t="s">
        <v>11</v>
      </c>
      <c r="E676" s="23">
        <v>459.0</v>
      </c>
      <c r="F676" s="18">
        <f>E676* 0.178797409805735</f>
        <v>82.0680111</v>
      </c>
      <c r="G676" s="18">
        <f>E676* 0.819278445883441</f>
        <v>376.0488067</v>
      </c>
      <c r="H676" s="18">
        <f>E676* 0.00181313598519889</f>
        <v>0.8322294172</v>
      </c>
    </row>
    <row r="677" ht="15.75" hidden="1" customHeight="1">
      <c r="A677" s="20" t="s">
        <v>51</v>
      </c>
      <c r="B677" s="47" t="s">
        <v>81</v>
      </c>
      <c r="C677" s="47"/>
      <c r="D677" s="19" t="s">
        <v>17</v>
      </c>
      <c r="E677" s="23">
        <v>572.0</v>
      </c>
      <c r="F677" s="18">
        <f>E677* 0.916446662218225</f>
        <v>524.2074908</v>
      </c>
      <c r="G677" s="18">
        <f>E677* 0.0292436682236212</f>
        <v>16.72737822</v>
      </c>
      <c r="H677" s="18">
        <f>E677* 0.0543096695581537</f>
        <v>31.06513099</v>
      </c>
    </row>
    <row r="678" ht="15.75" hidden="1" customHeight="1">
      <c r="A678" s="20" t="s">
        <v>51</v>
      </c>
      <c r="B678" s="47" t="s">
        <v>81</v>
      </c>
      <c r="C678" s="47"/>
      <c r="D678" s="19" t="s">
        <v>31</v>
      </c>
      <c r="E678" s="23">
        <v>21.0</v>
      </c>
      <c r="F678" s="18">
        <f>E678* 0.957442434210526</f>
        <v>20.10629112</v>
      </c>
      <c r="G678" s="18">
        <f>E678* 0.0158305921052632</f>
        <v>0.3324424342</v>
      </c>
      <c r="H678" s="18">
        <f>E678* 0.0263157894736842</f>
        <v>0.5526315789</v>
      </c>
    </row>
    <row r="679" ht="15.75" hidden="1" customHeight="1">
      <c r="A679" s="20" t="s">
        <v>51</v>
      </c>
      <c r="B679" s="47" t="s">
        <v>81</v>
      </c>
      <c r="C679" s="47"/>
      <c r="D679" s="19" t="s">
        <v>18</v>
      </c>
      <c r="E679" s="23">
        <v>161.0</v>
      </c>
      <c r="F679" s="18">
        <f>E679* 0.983388008654987</f>
        <v>158.3254694</v>
      </c>
      <c r="G679" s="18">
        <f>E679* 0.0133314720457877</f>
        <v>2.146366999</v>
      </c>
      <c r="H679" s="18">
        <f>E679* 0.003210721016263</f>
        <v>0.5169260836</v>
      </c>
    </row>
    <row r="680" ht="15.75" hidden="1" customHeight="1">
      <c r="A680" s="20" t="s">
        <v>51</v>
      </c>
      <c r="B680" s="47" t="s">
        <v>81</v>
      </c>
      <c r="C680" s="47"/>
      <c r="D680" s="19" t="s">
        <v>19</v>
      </c>
      <c r="E680" s="23">
        <v>8.0</v>
      </c>
      <c r="F680" s="18">
        <f>E680* 0.511826182618262</f>
        <v>4.094609461</v>
      </c>
      <c r="G680" s="18">
        <f>E680* 0.476622662266227</f>
        <v>3.812981298</v>
      </c>
      <c r="H680" s="18">
        <f>E680* 0.0115511551155116</f>
        <v>0.09240924092</v>
      </c>
    </row>
    <row r="681" ht="15.75" hidden="1" customHeight="1">
      <c r="A681" s="20" t="s">
        <v>51</v>
      </c>
      <c r="B681" s="47" t="s">
        <v>81</v>
      </c>
      <c r="C681" s="47"/>
      <c r="D681" s="19" t="s">
        <v>20</v>
      </c>
      <c r="E681" s="23">
        <v>246.0</v>
      </c>
      <c r="F681" s="18">
        <f>E681* 0.814615536880747</f>
        <v>200.3954221</v>
      </c>
      <c r="G681" s="18">
        <f>E681* 0.0763167839340663</f>
        <v>18.77392885</v>
      </c>
      <c r="H681" s="18">
        <f>E681* 0.109013694193014</f>
        <v>26.81736877</v>
      </c>
    </row>
    <row r="682" ht="15.75" hidden="1" customHeight="1">
      <c r="A682" s="20" t="s">
        <v>51</v>
      </c>
      <c r="B682" s="47" t="s">
        <v>81</v>
      </c>
      <c r="C682" s="47"/>
      <c r="D682" s="19" t="s">
        <v>21</v>
      </c>
      <c r="E682" s="23">
        <v>171.0</v>
      </c>
      <c r="F682" s="18">
        <f>E682* 0.999722052365334</f>
        <v>170.952471</v>
      </c>
      <c r="G682" s="20">
        <v>0.0</v>
      </c>
      <c r="H682" s="18">
        <f>E682* 0.000277947634665629</f>
        <v>0.04752904553</v>
      </c>
    </row>
    <row r="683" ht="15.75" hidden="1" customHeight="1">
      <c r="A683" s="20" t="s">
        <v>51</v>
      </c>
      <c r="B683" s="47" t="s">
        <v>81</v>
      </c>
      <c r="C683" s="47"/>
      <c r="D683" s="19" t="s">
        <v>36</v>
      </c>
      <c r="E683" s="23">
        <v>3.0</v>
      </c>
      <c r="F683" s="18">
        <f>E683* 0.999132697311362</f>
        <v>2.997398092</v>
      </c>
      <c r="G683" s="20">
        <v>0.0</v>
      </c>
      <c r="H683" s="18">
        <f>E683* 0.000867302688638335</f>
        <v>0.002601908066</v>
      </c>
    </row>
    <row r="684" ht="15.75" hidden="1" customHeight="1">
      <c r="A684" s="20" t="s">
        <v>51</v>
      </c>
      <c r="B684" s="47" t="s">
        <v>81</v>
      </c>
      <c r="C684" s="47"/>
      <c r="D684" s="19" t="s">
        <v>37</v>
      </c>
      <c r="E684" s="23">
        <v>1.0</v>
      </c>
      <c r="F684" s="18">
        <f>E684* 0.0555555555555556</f>
        <v>0.05555555556</v>
      </c>
      <c r="G684" s="18">
        <f>E684* 0.944444444444444</f>
        <v>0.9444444444</v>
      </c>
      <c r="H684" s="20">
        <v>0.0</v>
      </c>
    </row>
    <row r="685" ht="15.75" hidden="1" customHeight="1">
      <c r="A685" s="20" t="s">
        <v>51</v>
      </c>
      <c r="B685" s="47" t="s">
        <v>81</v>
      </c>
      <c r="C685" s="47"/>
      <c r="D685" s="19" t="s">
        <v>28</v>
      </c>
      <c r="E685" s="23">
        <v>187.0</v>
      </c>
      <c r="F685" s="18">
        <f>E685* 0.00115651503469545</f>
        <v>0.2162683115</v>
      </c>
      <c r="G685" s="18">
        <f>E685* 0.998843484965305</f>
        <v>186.7837317</v>
      </c>
      <c r="H685" s="20">
        <v>0.0</v>
      </c>
    </row>
    <row r="686" ht="15.75" hidden="1" customHeight="1">
      <c r="A686" s="20" t="s">
        <v>51</v>
      </c>
      <c r="B686" s="47" t="s">
        <v>81</v>
      </c>
      <c r="C686" s="47"/>
      <c r="D686" s="19" t="s">
        <v>12</v>
      </c>
      <c r="E686" s="23">
        <v>853.0</v>
      </c>
      <c r="F686" s="18">
        <f>E686* 0.924936238310357</f>
        <v>788.9706113</v>
      </c>
      <c r="G686" s="18">
        <f>E686* 0.0351064361799663</f>
        <v>29.94579006</v>
      </c>
      <c r="H686" s="18">
        <f>E686* 0.039932320925503</f>
        <v>34.06226975</v>
      </c>
    </row>
    <row r="687" ht="15.75" hidden="1" customHeight="1">
      <c r="A687" s="20" t="s">
        <v>51</v>
      </c>
      <c r="B687" s="20"/>
      <c r="C687" s="20"/>
      <c r="D687" s="46"/>
      <c r="E687" s="35"/>
    </row>
    <row r="688" ht="15.75" hidden="1" customHeight="1">
      <c r="A688" s="20" t="s">
        <v>51</v>
      </c>
      <c r="B688" s="47" t="s">
        <v>82</v>
      </c>
      <c r="C688" s="12" t="str">
        <f>B688&amp;"_"&amp;A688</f>
        <v>Irupana_La Paz</v>
      </c>
      <c r="D688" s="20"/>
      <c r="E688" s="45">
        <v>354.0</v>
      </c>
      <c r="F688" s="14">
        <f t="shared" ref="F688:H688" si="66">SUM(F689:F702)</f>
        <v>313.3904889</v>
      </c>
      <c r="G688" s="14">
        <f t="shared" si="66"/>
        <v>30.06369998</v>
      </c>
      <c r="H688" s="14">
        <f t="shared" si="66"/>
        <v>10.53454592</v>
      </c>
    </row>
    <row r="689" ht="15.75" hidden="1" customHeight="1">
      <c r="A689" s="20" t="s">
        <v>51</v>
      </c>
      <c r="B689" s="47" t="s">
        <v>82</v>
      </c>
      <c r="C689" s="47"/>
      <c r="D689" s="29" t="s">
        <v>350</v>
      </c>
      <c r="E689" s="23">
        <v>2.0</v>
      </c>
      <c r="F689" s="20">
        <v>0.0</v>
      </c>
      <c r="G689" s="24">
        <f>E689</f>
        <v>2</v>
      </c>
      <c r="H689" s="20">
        <v>0.0</v>
      </c>
    </row>
    <row r="690" ht="15.75" hidden="1" customHeight="1">
      <c r="A690" s="20" t="s">
        <v>51</v>
      </c>
      <c r="B690" s="47" t="s">
        <v>82</v>
      </c>
      <c r="C690" s="47"/>
      <c r="D690" s="19" t="s">
        <v>15</v>
      </c>
      <c r="E690" s="23">
        <v>8.0</v>
      </c>
      <c r="F690" s="18">
        <f>E690* 0.981163265034061</f>
        <v>7.84930612</v>
      </c>
      <c r="G690" s="18">
        <f>E690* 0.0027595216829083</f>
        <v>0.02207617346</v>
      </c>
      <c r="H690" s="18">
        <f>E690* 0.0160372202151627</f>
        <v>0.1282977617</v>
      </c>
    </row>
    <row r="691" ht="15.75" hidden="1" customHeight="1">
      <c r="A691" s="20" t="s">
        <v>51</v>
      </c>
      <c r="B691" s="47" t="s">
        <v>82</v>
      </c>
      <c r="C691" s="47"/>
      <c r="D691" s="29" t="s">
        <v>351</v>
      </c>
      <c r="E691" s="35"/>
      <c r="F691" s="18">
        <f>E691* 0.142974979378609</f>
        <v>0</v>
      </c>
      <c r="G691" s="18">
        <f>E691* 0.852350838603245</f>
        <v>0</v>
      </c>
      <c r="H691" s="18">
        <f>E691* 0.00467418201814682</f>
        <v>0</v>
      </c>
    </row>
    <row r="692" ht="15.75" hidden="1" customHeight="1">
      <c r="A692" s="20" t="s">
        <v>51</v>
      </c>
      <c r="B692" s="47" t="s">
        <v>82</v>
      </c>
      <c r="C692" s="47"/>
      <c r="D692" s="19" t="s">
        <v>11</v>
      </c>
      <c r="E692" s="23">
        <v>22.0</v>
      </c>
      <c r="F692" s="18">
        <f>E692* 0.178797409805735</f>
        <v>3.933543016</v>
      </c>
      <c r="G692" s="18">
        <f>E692* 0.819278445883441</f>
        <v>18.02412581</v>
      </c>
      <c r="H692" s="18">
        <f>E692* 0.00181313598519889</f>
        <v>0.03988899167</v>
      </c>
    </row>
    <row r="693" ht="15.75" hidden="1" customHeight="1">
      <c r="A693" s="20" t="s">
        <v>51</v>
      </c>
      <c r="B693" s="47" t="s">
        <v>82</v>
      </c>
      <c r="C693" s="47"/>
      <c r="D693" s="19" t="s">
        <v>17</v>
      </c>
      <c r="E693" s="23">
        <v>17.0</v>
      </c>
      <c r="F693" s="18">
        <f>E693* 0.916446662218225</f>
        <v>15.57959326</v>
      </c>
      <c r="G693" s="18">
        <f>E693* 0.0292436682236212</f>
        <v>0.4971423598</v>
      </c>
      <c r="H693" s="18">
        <f>E693* 0.0543096695581537</f>
        <v>0.9232643825</v>
      </c>
    </row>
    <row r="694" ht="15.75" hidden="1" customHeight="1">
      <c r="A694" s="20" t="s">
        <v>51</v>
      </c>
      <c r="B694" s="47" t="s">
        <v>82</v>
      </c>
      <c r="C694" s="47"/>
      <c r="D694" s="19" t="s">
        <v>31</v>
      </c>
      <c r="E694" s="17">
        <v>7.0</v>
      </c>
      <c r="F694" s="18">
        <f>E694* 0.957442434210526</f>
        <v>6.702097039</v>
      </c>
      <c r="G694" s="18">
        <f>E694* 0.0158305921052632</f>
        <v>0.1108141447</v>
      </c>
      <c r="H694" s="18">
        <f>E694* 0.0263157894736842</f>
        <v>0.1842105263</v>
      </c>
    </row>
    <row r="695" ht="15.75" hidden="1" customHeight="1">
      <c r="A695" s="20" t="s">
        <v>51</v>
      </c>
      <c r="B695" s="47" t="s">
        <v>82</v>
      </c>
      <c r="C695" s="47"/>
      <c r="D695" s="19" t="s">
        <v>18</v>
      </c>
      <c r="E695" s="17">
        <v>6.0</v>
      </c>
      <c r="F695" s="18">
        <f>E695* 0.983388008654987</f>
        <v>5.900328052</v>
      </c>
      <c r="G695" s="18">
        <f>E695* 0.0133314720457877</f>
        <v>0.07998883227</v>
      </c>
      <c r="H695" s="18">
        <f>E695* 0.003210721016263</f>
        <v>0.0192643261</v>
      </c>
    </row>
    <row r="696" ht="15.75" hidden="1" customHeight="1">
      <c r="A696" s="20" t="s">
        <v>51</v>
      </c>
      <c r="B696" s="47" t="s">
        <v>82</v>
      </c>
      <c r="C696" s="47"/>
      <c r="D696" s="19" t="s">
        <v>352</v>
      </c>
      <c r="E696" s="23">
        <v>2.0</v>
      </c>
      <c r="F696" s="20">
        <v>0.0</v>
      </c>
      <c r="G696" s="24">
        <f>E696</f>
        <v>2</v>
      </c>
      <c r="H696" s="20">
        <v>0.0</v>
      </c>
    </row>
    <row r="697" ht="15.75" hidden="1" customHeight="1">
      <c r="A697" s="20" t="s">
        <v>51</v>
      </c>
      <c r="B697" s="47" t="s">
        <v>82</v>
      </c>
      <c r="C697" s="47"/>
      <c r="D697" s="19" t="s">
        <v>19</v>
      </c>
      <c r="E697" s="35"/>
      <c r="F697" s="18">
        <f>E697* 0.511826182618262</f>
        <v>0</v>
      </c>
      <c r="G697" s="18">
        <f>E697* 0.476622662266227</f>
        <v>0</v>
      </c>
      <c r="H697" s="18">
        <f>E697* 0.0115511551155116</f>
        <v>0</v>
      </c>
    </row>
    <row r="698" ht="15.75" hidden="1" customHeight="1">
      <c r="A698" s="20" t="s">
        <v>51</v>
      </c>
      <c r="B698" s="47" t="s">
        <v>82</v>
      </c>
      <c r="C698" s="47"/>
      <c r="D698" s="19" t="s">
        <v>20</v>
      </c>
      <c r="E698" s="23">
        <v>39.0</v>
      </c>
      <c r="F698" s="18">
        <f>E698* 0.814615536880747</f>
        <v>31.77000594</v>
      </c>
      <c r="G698" s="18">
        <f>E698* 0.0763167839340663</f>
        <v>2.976354573</v>
      </c>
      <c r="H698" s="18">
        <f>E698* 0.109013694193014</f>
        <v>4.251534074</v>
      </c>
    </row>
    <row r="699" ht="15.75" hidden="1" customHeight="1">
      <c r="A699" s="20" t="s">
        <v>51</v>
      </c>
      <c r="B699" s="47" t="s">
        <v>82</v>
      </c>
      <c r="C699" s="47"/>
      <c r="D699" s="19" t="s">
        <v>21</v>
      </c>
      <c r="E699" s="23">
        <v>125.0</v>
      </c>
      <c r="F699" s="18">
        <f>E699* 0.999722052365334</f>
        <v>124.9652565</v>
      </c>
      <c r="G699" s="20">
        <v>0.0</v>
      </c>
      <c r="H699" s="18">
        <f>E699* 0.000277947634665629</f>
        <v>0.03474345433</v>
      </c>
    </row>
    <row r="700" ht="15.75" hidden="1" customHeight="1">
      <c r="A700" s="20" t="s">
        <v>51</v>
      </c>
      <c r="B700" s="47" t="s">
        <v>82</v>
      </c>
      <c r="C700" s="47"/>
      <c r="D700" s="19" t="s">
        <v>36</v>
      </c>
      <c r="E700" s="23">
        <v>2.0</v>
      </c>
      <c r="F700" s="18">
        <f>E700* 0.999132697311362</f>
        <v>1.998265395</v>
      </c>
      <c r="G700" s="20">
        <v>0.0</v>
      </c>
      <c r="H700" s="18">
        <f>E700* 0.000867302688638335</f>
        <v>0.001734605377</v>
      </c>
    </row>
    <row r="701" ht="15.75" hidden="1" customHeight="1">
      <c r="A701" s="20" t="s">
        <v>51</v>
      </c>
      <c r="B701" s="47" t="s">
        <v>82</v>
      </c>
      <c r="C701" s="47"/>
      <c r="D701" s="19" t="s">
        <v>28</v>
      </c>
      <c r="E701" s="23">
        <v>0.0</v>
      </c>
      <c r="F701" s="18">
        <f>E701* 0.00115651503469545</f>
        <v>0</v>
      </c>
      <c r="G701" s="18">
        <f>E701* 0.998843484965305</f>
        <v>0</v>
      </c>
      <c r="H701" s="20">
        <v>0.0</v>
      </c>
    </row>
    <row r="702" ht="15.75" hidden="1" customHeight="1">
      <c r="A702" s="20" t="s">
        <v>51</v>
      </c>
      <c r="B702" s="47" t="s">
        <v>82</v>
      </c>
      <c r="C702" s="47"/>
      <c r="D702" s="19" t="s">
        <v>12</v>
      </c>
      <c r="E702" s="23">
        <v>124.0</v>
      </c>
      <c r="F702" s="18">
        <f>E702* 0.924936238310357</f>
        <v>114.6920936</v>
      </c>
      <c r="G702" s="18">
        <f>E702* 0.0351064361799663</f>
        <v>4.353198086</v>
      </c>
      <c r="H702" s="18">
        <f>E702* 0.039932320925503</f>
        <v>4.951607795</v>
      </c>
    </row>
    <row r="703" ht="15.75" hidden="1" customHeight="1">
      <c r="A703" s="20" t="s">
        <v>51</v>
      </c>
      <c r="B703" s="20"/>
      <c r="C703" s="20"/>
      <c r="D703" s="46"/>
      <c r="E703" s="35"/>
    </row>
    <row r="704" ht="15.75" hidden="1" customHeight="1">
      <c r="A704" s="20" t="s">
        <v>51</v>
      </c>
      <c r="B704" s="47" t="s">
        <v>353</v>
      </c>
      <c r="C704" s="12" t="str">
        <f>B704&amp;"_"&amp;A704</f>
        <v>Ixiamas_La Paz</v>
      </c>
      <c r="D704" s="20"/>
      <c r="E704" s="45">
        <v>57.0</v>
      </c>
      <c r="F704" s="14">
        <f t="shared" ref="F704:H704" si="67">SUM(F705:F711)</f>
        <v>46.8547524</v>
      </c>
      <c r="G704" s="14">
        <f t="shared" si="67"/>
        <v>9.149750691</v>
      </c>
      <c r="H704" s="14">
        <f t="shared" si="67"/>
        <v>0.9940124843</v>
      </c>
    </row>
    <row r="705" ht="15.75" hidden="1" customHeight="1">
      <c r="A705" s="20" t="s">
        <v>51</v>
      </c>
      <c r="B705" s="47" t="s">
        <v>353</v>
      </c>
      <c r="C705" s="47"/>
      <c r="D705" s="19" t="s">
        <v>11</v>
      </c>
      <c r="E705" s="23">
        <v>3.0</v>
      </c>
      <c r="F705" s="18">
        <f>E705* 0.178797409805735</f>
        <v>0.5363922294</v>
      </c>
      <c r="G705" s="18">
        <f>E705* 0.819278445883441</f>
        <v>2.457835338</v>
      </c>
      <c r="H705" s="18">
        <f>E705* 0.00181313598519889</f>
        <v>0.005439407956</v>
      </c>
    </row>
    <row r="706" ht="15.75" hidden="1" customHeight="1">
      <c r="A706" s="20" t="s">
        <v>51</v>
      </c>
      <c r="B706" s="47" t="s">
        <v>353</v>
      </c>
      <c r="C706" s="47"/>
      <c r="D706" s="19" t="s">
        <v>17</v>
      </c>
      <c r="E706" s="23">
        <v>7.0</v>
      </c>
      <c r="F706" s="18">
        <f>E706* 0.916446662218225</f>
        <v>6.415126636</v>
      </c>
      <c r="G706" s="18">
        <f>E706* 0.0292436682236212</f>
        <v>0.2047056776</v>
      </c>
      <c r="H706" s="18">
        <f>E706* 0.0543096695581537</f>
        <v>0.3801676869</v>
      </c>
    </row>
    <row r="707" ht="15.75" hidden="1" customHeight="1">
      <c r="A707" s="20" t="s">
        <v>51</v>
      </c>
      <c r="B707" s="47" t="s">
        <v>353</v>
      </c>
      <c r="C707" s="47"/>
      <c r="D707" s="19" t="s">
        <v>31</v>
      </c>
      <c r="E707" s="23">
        <v>2.0</v>
      </c>
      <c r="F707" s="18">
        <f>E707* 0.957442434210526</f>
        <v>1.914884868</v>
      </c>
      <c r="G707" s="18">
        <f>E707* 0.0158305921052632</f>
        <v>0.03166118421</v>
      </c>
      <c r="H707" s="18">
        <f>E707* 0.0263157894736842</f>
        <v>0.05263157895</v>
      </c>
    </row>
    <row r="708" ht="15.75" hidden="1" customHeight="1">
      <c r="A708" s="20" t="s">
        <v>51</v>
      </c>
      <c r="B708" s="47" t="s">
        <v>353</v>
      </c>
      <c r="C708" s="47"/>
      <c r="D708" s="19" t="s">
        <v>20</v>
      </c>
      <c r="E708" s="23">
        <v>1.0</v>
      </c>
      <c r="F708" s="18">
        <f>E708* 0.814615536880747</f>
        <v>0.8146155369</v>
      </c>
      <c r="G708" s="18">
        <f>E708* 0.0763167839340663</f>
        <v>0.07631678393</v>
      </c>
      <c r="H708" s="18">
        <f>E708* 0.109013694193014</f>
        <v>0.1090136942</v>
      </c>
    </row>
    <row r="709" ht="15.75" hidden="1" customHeight="1">
      <c r="A709" s="20" t="s">
        <v>51</v>
      </c>
      <c r="B709" s="47" t="s">
        <v>353</v>
      </c>
      <c r="C709" s="47"/>
      <c r="D709" s="19" t="s">
        <v>21</v>
      </c>
      <c r="E709" s="23">
        <v>27.0</v>
      </c>
      <c r="F709" s="18">
        <f>E709* 0.999722052365334</f>
        <v>26.99249541</v>
      </c>
      <c r="G709" s="20">
        <v>0.0</v>
      </c>
      <c r="H709" s="18">
        <f>E709* 0.000277947634665629</f>
        <v>0.007504586136</v>
      </c>
    </row>
    <row r="710" ht="15.75" hidden="1" customHeight="1">
      <c r="A710" s="20" t="s">
        <v>51</v>
      </c>
      <c r="B710" s="47" t="s">
        <v>353</v>
      </c>
      <c r="C710" s="47"/>
      <c r="D710" s="19" t="s">
        <v>28</v>
      </c>
      <c r="E710" s="23">
        <v>6.0</v>
      </c>
      <c r="F710" s="18">
        <f>E710* 0.00115651503469545</f>
        <v>0.006939090208</v>
      </c>
      <c r="G710" s="18">
        <f>E710* 0.998843484965305</f>
        <v>5.99306091</v>
      </c>
      <c r="H710" s="20">
        <v>0.0</v>
      </c>
    </row>
    <row r="711" ht="15.75" hidden="1" customHeight="1">
      <c r="A711" s="20" t="s">
        <v>51</v>
      </c>
      <c r="B711" s="47" t="s">
        <v>353</v>
      </c>
      <c r="C711" s="47"/>
      <c r="D711" s="19" t="s">
        <v>12</v>
      </c>
      <c r="E711" s="23">
        <v>11.0</v>
      </c>
      <c r="F711" s="18">
        <f>E711* 0.924936238310357</f>
        <v>10.17429862</v>
      </c>
      <c r="G711" s="18">
        <f>E711* 0.0351064361799663</f>
        <v>0.386170798</v>
      </c>
      <c r="H711" s="18">
        <f>E711* 0.039932320925503</f>
        <v>0.4392555302</v>
      </c>
    </row>
    <row r="712" ht="15.75" hidden="1" customHeight="1">
      <c r="A712" s="20" t="s">
        <v>51</v>
      </c>
      <c r="B712" s="20"/>
      <c r="C712" s="20"/>
      <c r="D712" s="46"/>
      <c r="E712" s="35"/>
    </row>
    <row r="713" ht="15.75" hidden="1" customHeight="1">
      <c r="A713" s="20" t="s">
        <v>51</v>
      </c>
      <c r="B713" s="47" t="s">
        <v>83</v>
      </c>
      <c r="C713" s="12" t="str">
        <f>B713&amp;"_"&amp;A713</f>
        <v>Jesús de Machaca_La Paz</v>
      </c>
      <c r="D713" s="20"/>
      <c r="E713" s="45">
        <v>48.0</v>
      </c>
      <c r="F713" s="14">
        <f t="shared" ref="F713:H713" si="68">SUM(F714:F723)</f>
        <v>37.482588</v>
      </c>
      <c r="G713" s="14">
        <f t="shared" si="68"/>
        <v>8.485740824</v>
      </c>
      <c r="H713" s="14">
        <f t="shared" si="68"/>
        <v>1.030204572</v>
      </c>
    </row>
    <row r="714" ht="15.75" hidden="1" customHeight="1">
      <c r="A714" s="20" t="s">
        <v>51</v>
      </c>
      <c r="B714" s="47" t="s">
        <v>83</v>
      </c>
      <c r="C714" s="47"/>
      <c r="D714" s="19" t="s">
        <v>15</v>
      </c>
      <c r="E714" s="23">
        <v>2.0</v>
      </c>
      <c r="F714" s="18">
        <f>E714* 0.981163265034061</f>
        <v>1.96232653</v>
      </c>
      <c r="G714" s="18">
        <f>E714* 0.0027595216829083</f>
        <v>0.005519043366</v>
      </c>
      <c r="H714" s="18">
        <f>E714* 0.0160372202151627</f>
        <v>0.03207444043</v>
      </c>
    </row>
    <row r="715" ht="15.75" hidden="1" customHeight="1">
      <c r="A715" s="20" t="s">
        <v>51</v>
      </c>
      <c r="B715" s="47" t="s">
        <v>83</v>
      </c>
      <c r="C715" s="47"/>
      <c r="D715" s="46"/>
      <c r="E715" s="23">
        <v>1.0</v>
      </c>
    </row>
    <row r="716" ht="15.75" hidden="1" customHeight="1">
      <c r="A716" s="20" t="s">
        <v>51</v>
      </c>
      <c r="B716" s="47" t="s">
        <v>83</v>
      </c>
      <c r="C716" s="47"/>
      <c r="D716" s="19" t="s">
        <v>11</v>
      </c>
      <c r="E716" s="23">
        <v>7.0</v>
      </c>
      <c r="F716" s="18">
        <f>E716* 0.178797409805735</f>
        <v>1.251581869</v>
      </c>
      <c r="G716" s="18">
        <f>E716* 0.819278445883441</f>
        <v>5.734949121</v>
      </c>
      <c r="H716" s="18">
        <f>E716* 0.00181313598519889</f>
        <v>0.0126919519</v>
      </c>
    </row>
    <row r="717" ht="15.75" hidden="1" customHeight="1">
      <c r="A717" s="20" t="s">
        <v>51</v>
      </c>
      <c r="B717" s="47" t="s">
        <v>83</v>
      </c>
      <c r="C717" s="47"/>
      <c r="D717" s="19" t="s">
        <v>17</v>
      </c>
      <c r="E717" s="23">
        <v>2.0</v>
      </c>
      <c r="F717" s="18">
        <f>E717* 0.916446662218225</f>
        <v>1.832893324</v>
      </c>
      <c r="G717" s="18">
        <f>E717* 0.0292436682236212</f>
        <v>0.05848733645</v>
      </c>
      <c r="H717" s="18">
        <f>E717* 0.0543096695581537</f>
        <v>0.1086193391</v>
      </c>
    </row>
    <row r="718" ht="15.75" hidden="1" customHeight="1">
      <c r="A718" s="20" t="s">
        <v>51</v>
      </c>
      <c r="B718" s="47" t="s">
        <v>83</v>
      </c>
      <c r="C718" s="47"/>
      <c r="D718" s="19" t="s">
        <v>18</v>
      </c>
      <c r="E718" s="23">
        <v>2.0</v>
      </c>
      <c r="F718" s="18">
        <f>E718* 0.983388008654987</f>
        <v>1.966776017</v>
      </c>
      <c r="G718" s="18">
        <f>E718* 0.0133314720457877</f>
        <v>0.02666294409</v>
      </c>
      <c r="H718" s="18">
        <f>E718* 0.003210721016263</f>
        <v>0.006421442033</v>
      </c>
    </row>
    <row r="719" ht="15.75" hidden="1" customHeight="1">
      <c r="A719" s="20" t="s">
        <v>51</v>
      </c>
      <c r="B719" s="47" t="s">
        <v>83</v>
      </c>
      <c r="C719" s="47"/>
      <c r="D719" s="19" t="s">
        <v>20</v>
      </c>
      <c r="E719" s="23">
        <v>5.0</v>
      </c>
      <c r="F719" s="18">
        <f>E719* 0.814615536880747</f>
        <v>4.073077684</v>
      </c>
      <c r="G719" s="18">
        <f>E719* 0.0763167839340663</f>
        <v>0.3815839197</v>
      </c>
      <c r="H719" s="18">
        <f>E719* 0.109013694193014</f>
        <v>0.545068471</v>
      </c>
    </row>
    <row r="720" ht="15.75" hidden="1" customHeight="1">
      <c r="A720" s="20" t="s">
        <v>51</v>
      </c>
      <c r="B720" s="47" t="s">
        <v>83</v>
      </c>
      <c r="C720" s="47"/>
      <c r="D720" s="19" t="s">
        <v>21</v>
      </c>
      <c r="E720" s="23">
        <v>18.0</v>
      </c>
      <c r="F720" s="18">
        <f>E720* 0.999722052365334</f>
        <v>17.99499694</v>
      </c>
      <c r="G720" s="20">
        <v>0.0</v>
      </c>
      <c r="H720" s="18">
        <f>E720* 0.000277947634665629</f>
        <v>0.005003057424</v>
      </c>
    </row>
    <row r="721" ht="15.75" hidden="1" customHeight="1">
      <c r="A721" s="20" t="s">
        <v>51</v>
      </c>
      <c r="B721" s="47" t="s">
        <v>83</v>
      </c>
      <c r="C721" s="47"/>
      <c r="D721" s="19" t="s">
        <v>36</v>
      </c>
      <c r="E721" s="23">
        <v>1.0</v>
      </c>
      <c r="F721" s="18">
        <f>E721* 0.999132697311362</f>
        <v>0.9991326973</v>
      </c>
      <c r="G721" s="20">
        <v>0.0</v>
      </c>
      <c r="H721" s="18">
        <f>E721* 0.000867302688638335</f>
        <v>0.0008673026886</v>
      </c>
    </row>
    <row r="722" ht="15.75" hidden="1" customHeight="1">
      <c r="A722" s="20" t="s">
        <v>51</v>
      </c>
      <c r="B722" s="47" t="s">
        <v>83</v>
      </c>
      <c r="C722" s="47"/>
      <c r="D722" s="19" t="s">
        <v>28</v>
      </c>
      <c r="E722" s="23">
        <v>2.0</v>
      </c>
      <c r="F722" s="18">
        <f>E722* 0.00115651503469545</f>
        <v>0.002313030069</v>
      </c>
      <c r="G722" s="18">
        <f>E722* 0.998843484965305</f>
        <v>1.99768697</v>
      </c>
      <c r="H722" s="20">
        <v>0.0</v>
      </c>
    </row>
    <row r="723" ht="15.75" hidden="1" customHeight="1">
      <c r="A723" s="20" t="s">
        <v>51</v>
      </c>
      <c r="B723" s="47" t="s">
        <v>83</v>
      </c>
      <c r="C723" s="47"/>
      <c r="D723" s="19" t="s">
        <v>12</v>
      </c>
      <c r="E723" s="23">
        <v>8.0</v>
      </c>
      <c r="F723" s="18">
        <f>E723* 0.924936238310357</f>
        <v>7.399489906</v>
      </c>
      <c r="G723" s="18">
        <f>E723* 0.0351064361799663</f>
        <v>0.2808514894</v>
      </c>
      <c r="H723" s="18">
        <f>E723* 0.039932320925503</f>
        <v>0.3194585674</v>
      </c>
    </row>
    <row r="724" ht="15.75" hidden="1" customHeight="1">
      <c r="A724" s="20" t="s">
        <v>51</v>
      </c>
      <c r="B724" s="20"/>
      <c r="C724" s="20"/>
      <c r="D724" s="46"/>
      <c r="E724" s="35"/>
    </row>
    <row r="725" ht="15.75" hidden="1" customHeight="1">
      <c r="A725" s="20" t="s">
        <v>51</v>
      </c>
      <c r="B725" s="47" t="s">
        <v>354</v>
      </c>
      <c r="C725" s="12" t="str">
        <f>B725&amp;"_"&amp;A725</f>
        <v>La Asunta_La Paz</v>
      </c>
      <c r="D725" s="20"/>
      <c r="E725" s="45">
        <v>53.0</v>
      </c>
      <c r="F725" s="14">
        <f t="shared" ref="F725:H725" si="69">SUM(F726:F732)</f>
        <v>43.7201511</v>
      </c>
      <c r="G725" s="14">
        <f t="shared" si="69"/>
        <v>7.72853583</v>
      </c>
      <c r="H725" s="14">
        <f t="shared" si="69"/>
        <v>1.549367888</v>
      </c>
    </row>
    <row r="726" ht="15.75" hidden="1" customHeight="1">
      <c r="A726" s="20" t="s">
        <v>51</v>
      </c>
      <c r="B726" s="47" t="s">
        <v>354</v>
      </c>
      <c r="C726" s="47"/>
      <c r="D726" s="29" t="s">
        <v>355</v>
      </c>
      <c r="E726" s="23">
        <v>1.0</v>
      </c>
      <c r="F726" s="18">
        <f>E726* 0.142974979378609</f>
        <v>0.1429749794</v>
      </c>
      <c r="G726" s="18">
        <f>E726* 0.852350838603245</f>
        <v>0.8523508386</v>
      </c>
      <c r="H726" s="18">
        <f>E726* 0.00467418201814682</f>
        <v>0.004674182018</v>
      </c>
    </row>
    <row r="727" ht="15.75" hidden="1" customHeight="1">
      <c r="A727" s="20" t="s">
        <v>51</v>
      </c>
      <c r="B727" s="47" t="s">
        <v>354</v>
      </c>
      <c r="C727" s="47"/>
      <c r="D727" s="19" t="s">
        <v>11</v>
      </c>
      <c r="E727" s="23">
        <v>7.0</v>
      </c>
      <c r="F727" s="18">
        <f>E727* 0.178797409805735</f>
        <v>1.251581869</v>
      </c>
      <c r="G727" s="18">
        <f>E727* 0.819278445883441</f>
        <v>5.734949121</v>
      </c>
      <c r="H727" s="18">
        <f>E727* 0.00181313598519889</f>
        <v>0.0126919519</v>
      </c>
    </row>
    <row r="728" ht="15.75" hidden="1" customHeight="1">
      <c r="A728" s="20" t="s">
        <v>51</v>
      </c>
      <c r="B728" s="47" t="s">
        <v>354</v>
      </c>
      <c r="C728" s="47"/>
      <c r="D728" s="19" t="s">
        <v>17</v>
      </c>
      <c r="E728" s="23">
        <v>2.0</v>
      </c>
      <c r="F728" s="18">
        <f>E728* 0.916446662218225</f>
        <v>1.832893324</v>
      </c>
      <c r="G728" s="18">
        <f>E728* 0.0292436682236212</f>
        <v>0.05848733645</v>
      </c>
      <c r="H728" s="18">
        <f>E728* 0.0543096695581537</f>
        <v>0.1086193391</v>
      </c>
    </row>
    <row r="729" ht="15.75" hidden="1" customHeight="1">
      <c r="A729" s="20" t="s">
        <v>51</v>
      </c>
      <c r="B729" s="47" t="s">
        <v>354</v>
      </c>
      <c r="C729" s="47"/>
      <c r="D729" s="19" t="s">
        <v>31</v>
      </c>
      <c r="E729" s="23">
        <v>1.0</v>
      </c>
      <c r="F729" s="18">
        <f>E729* 0.957442434210526</f>
        <v>0.9574424342</v>
      </c>
      <c r="G729" s="18">
        <f>E729* 0.0158305921052632</f>
        <v>0.01583059211</v>
      </c>
      <c r="H729" s="18">
        <f>E729* 0.0263157894736842</f>
        <v>0.02631578947</v>
      </c>
    </row>
    <row r="730" ht="15.75" hidden="1" customHeight="1">
      <c r="A730" s="20" t="s">
        <v>51</v>
      </c>
      <c r="B730" s="47" t="s">
        <v>354</v>
      </c>
      <c r="C730" s="47"/>
      <c r="D730" s="19" t="s">
        <v>20</v>
      </c>
      <c r="E730" s="23">
        <v>8.0</v>
      </c>
      <c r="F730" s="18">
        <f>E730* 0.814615536880747</f>
        <v>6.516924295</v>
      </c>
      <c r="G730" s="18">
        <f>E730* 0.0763167839340663</f>
        <v>0.6105342715</v>
      </c>
      <c r="H730" s="18">
        <f>E730* 0.109013694193014</f>
        <v>0.8721095535</v>
      </c>
    </row>
    <row r="731" ht="15.75" hidden="1" customHeight="1">
      <c r="A731" s="20" t="s">
        <v>51</v>
      </c>
      <c r="B731" s="47" t="s">
        <v>354</v>
      </c>
      <c r="C731" s="47"/>
      <c r="D731" s="19" t="s">
        <v>21</v>
      </c>
      <c r="E731" s="23">
        <v>21.0</v>
      </c>
      <c r="F731" s="18">
        <f>E731* 0.999722052365334</f>
        <v>20.9941631</v>
      </c>
      <c r="G731" s="20">
        <v>0.0</v>
      </c>
      <c r="H731" s="18">
        <f>E731* 0.000277947634665629</f>
        <v>0.005836900328</v>
      </c>
    </row>
    <row r="732" ht="15.75" hidden="1" customHeight="1">
      <c r="A732" s="20" t="s">
        <v>51</v>
      </c>
      <c r="B732" s="47" t="s">
        <v>354</v>
      </c>
      <c r="C732" s="47"/>
      <c r="D732" s="19" t="s">
        <v>12</v>
      </c>
      <c r="E732" s="23">
        <v>13.0</v>
      </c>
      <c r="F732" s="18">
        <f>E732* 0.924936238310357</f>
        <v>12.0241711</v>
      </c>
      <c r="G732" s="18">
        <f>E732* 0.0351064361799663</f>
        <v>0.4563836703</v>
      </c>
      <c r="H732" s="18">
        <f>E732* 0.039932320925503</f>
        <v>0.519120172</v>
      </c>
    </row>
    <row r="733" ht="15.75" hidden="1" customHeight="1">
      <c r="A733" s="20" t="s">
        <v>51</v>
      </c>
      <c r="B733" s="20"/>
      <c r="C733" s="20"/>
      <c r="D733" s="46"/>
      <c r="E733" s="35"/>
    </row>
    <row r="734" ht="15.75" hidden="1" customHeight="1">
      <c r="A734" s="20" t="s">
        <v>51</v>
      </c>
      <c r="B734" s="47" t="s">
        <v>51</v>
      </c>
      <c r="C734" s="12" t="str">
        <f>B734&amp;"_"&amp;A734</f>
        <v>La Paz_La Paz</v>
      </c>
      <c r="D734" s="20"/>
      <c r="E734" s="45">
        <v>303571.0</v>
      </c>
      <c r="F734" s="14">
        <f t="shared" ref="F734:H734" si="70">SUM(F735:F750)</f>
        <v>273335.5678</v>
      </c>
      <c r="G734" s="14">
        <f t="shared" si="70"/>
        <v>20214.10597</v>
      </c>
      <c r="H734" s="14">
        <f t="shared" si="70"/>
        <v>10010.46037</v>
      </c>
    </row>
    <row r="735" ht="15.75" hidden="1" customHeight="1">
      <c r="A735" s="20" t="s">
        <v>51</v>
      </c>
      <c r="B735" s="47" t="s">
        <v>51</v>
      </c>
      <c r="C735" s="47"/>
      <c r="D735" s="29" t="s">
        <v>356</v>
      </c>
      <c r="E735" s="23">
        <v>321.0</v>
      </c>
      <c r="F735" s="20">
        <v>0.0</v>
      </c>
      <c r="G735" s="24">
        <f>E735</f>
        <v>321</v>
      </c>
      <c r="H735" s="20">
        <v>0.0</v>
      </c>
    </row>
    <row r="736" ht="15.75" hidden="1" customHeight="1">
      <c r="A736" s="20" t="s">
        <v>51</v>
      </c>
      <c r="B736" s="47" t="s">
        <v>51</v>
      </c>
      <c r="C736" s="47"/>
      <c r="D736" s="19" t="s">
        <v>15</v>
      </c>
      <c r="E736" s="23">
        <v>72069.0</v>
      </c>
      <c r="F736" s="18">
        <f>E736* 0.981163265034061</f>
        <v>70711.45535</v>
      </c>
      <c r="G736" s="18">
        <f>E736* 0.0027595216829083</f>
        <v>198.8759682</v>
      </c>
      <c r="H736" s="18">
        <f>E736* 0.0160372202151627</f>
        <v>1155.786424</v>
      </c>
    </row>
    <row r="737" ht="15.75" hidden="1" customHeight="1">
      <c r="A737" s="20" t="s">
        <v>51</v>
      </c>
      <c r="B737" s="47" t="s">
        <v>51</v>
      </c>
      <c r="C737" s="47"/>
      <c r="D737" s="29" t="s">
        <v>357</v>
      </c>
      <c r="E737" s="23">
        <v>1459.0</v>
      </c>
      <c r="F737" s="18">
        <f>E737* 0.142974979378609</f>
        <v>208.6004949</v>
      </c>
      <c r="G737" s="18">
        <f>E737* 0.852350838603245</f>
        <v>1243.579874</v>
      </c>
      <c r="H737" s="18">
        <f>E737* 0.00467418201814682</f>
        <v>6.819631564</v>
      </c>
    </row>
    <row r="738" ht="15.75" hidden="1" customHeight="1">
      <c r="A738" s="20" t="s">
        <v>51</v>
      </c>
      <c r="B738" s="47" t="s">
        <v>51</v>
      </c>
      <c r="C738" s="47"/>
      <c r="D738" s="19" t="s">
        <v>11</v>
      </c>
      <c r="E738" s="23">
        <v>12361.0</v>
      </c>
      <c r="F738" s="18">
        <f>E738* 0.178797409805735</f>
        <v>2210.114783</v>
      </c>
      <c r="G738" s="18">
        <f>E738* 0.819278445883441</f>
        <v>10127.10087</v>
      </c>
      <c r="H738" s="18">
        <f>E738* 0.00181313598519889</f>
        <v>22.41217391</v>
      </c>
    </row>
    <row r="739" ht="15.75" hidden="1" customHeight="1">
      <c r="A739" s="20" t="s">
        <v>51</v>
      </c>
      <c r="B739" s="47" t="s">
        <v>51</v>
      </c>
      <c r="C739" s="47"/>
      <c r="D739" s="19" t="s">
        <v>17</v>
      </c>
      <c r="E739" s="23">
        <v>28816.0</v>
      </c>
      <c r="F739" s="18">
        <f>E739* 0.916446662218225</f>
        <v>26408.32702</v>
      </c>
      <c r="G739" s="18">
        <f>E739* 0.0292436682236212</f>
        <v>842.6855435</v>
      </c>
      <c r="H739" s="18">
        <f>E739* 0.0543096695581537</f>
        <v>1564.987438</v>
      </c>
    </row>
    <row r="740" ht="15.75" hidden="1" customHeight="1">
      <c r="A740" s="20" t="s">
        <v>51</v>
      </c>
      <c r="B740" s="47" t="s">
        <v>51</v>
      </c>
      <c r="C740" s="47"/>
      <c r="D740" s="19" t="s">
        <v>31</v>
      </c>
      <c r="E740" s="23">
        <v>4328.0</v>
      </c>
      <c r="F740" s="18">
        <f>E740* 0.957442434210526</f>
        <v>4143.810855</v>
      </c>
      <c r="G740" s="18">
        <f>E740* 0.0158305921052632</f>
        <v>68.51480263</v>
      </c>
      <c r="H740" s="18">
        <f>E740* 0.0263157894736842</f>
        <v>113.8947368</v>
      </c>
    </row>
    <row r="741" ht="15.75" hidden="1" customHeight="1">
      <c r="A741" s="20" t="s">
        <v>51</v>
      </c>
      <c r="B741" s="47" t="s">
        <v>51</v>
      </c>
      <c r="C741" s="47"/>
      <c r="D741" s="19" t="s">
        <v>18</v>
      </c>
      <c r="E741" s="23">
        <v>11910.0</v>
      </c>
      <c r="F741" s="18">
        <f>E741* 0.983388008654987</f>
        <v>11712.15118</v>
      </c>
      <c r="G741" s="18">
        <f>E741* 0.0133314720457877</f>
        <v>158.7778321</v>
      </c>
      <c r="H741" s="18">
        <f>E741* 0.003210721016263</f>
        <v>38.2396873</v>
      </c>
    </row>
    <row r="742" ht="15.75" hidden="1" customHeight="1">
      <c r="A742" s="20" t="s">
        <v>51</v>
      </c>
      <c r="B742" s="47" t="s">
        <v>51</v>
      </c>
      <c r="C742" s="47"/>
      <c r="D742" s="19" t="s">
        <v>358</v>
      </c>
      <c r="E742" s="23">
        <v>7.0</v>
      </c>
      <c r="F742" s="20">
        <v>0.0</v>
      </c>
      <c r="G742" s="24">
        <f>E742</f>
        <v>7</v>
      </c>
      <c r="H742" s="20">
        <v>0.0</v>
      </c>
    </row>
    <row r="743" ht="15.75" hidden="1" customHeight="1">
      <c r="A743" s="20" t="s">
        <v>51</v>
      </c>
      <c r="B743" s="47" t="s">
        <v>51</v>
      </c>
      <c r="C743" s="47"/>
      <c r="D743" s="19" t="s">
        <v>19</v>
      </c>
      <c r="E743" s="23">
        <v>1394.0</v>
      </c>
      <c r="F743" s="18">
        <f>E743* 0.511826182618262</f>
        <v>713.4856986</v>
      </c>
      <c r="G743" s="18">
        <f>E743* 0.476622662266227</f>
        <v>664.4119912</v>
      </c>
      <c r="H743" s="18">
        <f>E743* 0.0115511551155116</f>
        <v>16.10231023</v>
      </c>
    </row>
    <row r="744" ht="15.75" hidden="1" customHeight="1">
      <c r="A744" s="20" t="s">
        <v>51</v>
      </c>
      <c r="B744" s="47" t="s">
        <v>51</v>
      </c>
      <c r="C744" s="47"/>
      <c r="D744" s="19" t="s">
        <v>20</v>
      </c>
      <c r="E744" s="23">
        <v>30269.0</v>
      </c>
      <c r="F744" s="18">
        <f>E744* 0.814615536880747</f>
        <v>24657.59769</v>
      </c>
      <c r="G744" s="18">
        <f>E744* 0.0763167839340663</f>
        <v>2310.032733</v>
      </c>
      <c r="H744" s="18">
        <f>E744* 0.109013694193014</f>
        <v>3299.73551</v>
      </c>
    </row>
    <row r="745" ht="15.75" hidden="1" customHeight="1">
      <c r="A745" s="20" t="s">
        <v>51</v>
      </c>
      <c r="B745" s="47" t="s">
        <v>51</v>
      </c>
      <c r="C745" s="47"/>
      <c r="D745" s="19" t="s">
        <v>21</v>
      </c>
      <c r="E745" s="23">
        <v>43678.0</v>
      </c>
      <c r="F745" s="18">
        <f>E745* 0.999722052365334</f>
        <v>43665.8598</v>
      </c>
      <c r="G745" s="20">
        <v>0.0</v>
      </c>
      <c r="H745" s="18">
        <f>E745* 0.000277947634665629</f>
        <v>12.14019679</v>
      </c>
    </row>
    <row r="746" ht="15.75" hidden="1" customHeight="1">
      <c r="A746" s="20" t="s">
        <v>51</v>
      </c>
      <c r="B746" s="47" t="s">
        <v>51</v>
      </c>
      <c r="C746" s="47"/>
      <c r="D746" s="19" t="s">
        <v>36</v>
      </c>
      <c r="E746" s="23">
        <v>1369.0</v>
      </c>
      <c r="F746" s="18">
        <f>E746* 0.999132697311362</f>
        <v>1367.812663</v>
      </c>
      <c r="G746" s="20">
        <v>0.0</v>
      </c>
      <c r="H746" s="18">
        <f>E746* 0.000867302688638335</f>
        <v>1.187337381</v>
      </c>
    </row>
    <row r="747" ht="15.75" hidden="1" customHeight="1">
      <c r="A747" s="20" t="s">
        <v>51</v>
      </c>
      <c r="B747" s="47" t="s">
        <v>51</v>
      </c>
      <c r="C747" s="47"/>
      <c r="D747" s="19" t="s">
        <v>37</v>
      </c>
      <c r="E747" s="23">
        <v>4.0</v>
      </c>
      <c r="F747" s="18">
        <f>E747* 0.0555555555555556</f>
        <v>0.2222222222</v>
      </c>
      <c r="G747" s="18">
        <f>E747* 0.944444444444444</f>
        <v>3.777777778</v>
      </c>
      <c r="H747" s="20">
        <v>0.0</v>
      </c>
    </row>
    <row r="748" ht="15.75" hidden="1" customHeight="1">
      <c r="A748" s="20" t="s">
        <v>51</v>
      </c>
      <c r="B748" s="47" t="s">
        <v>51</v>
      </c>
      <c r="C748" s="47"/>
      <c r="D748" s="19" t="s">
        <v>28</v>
      </c>
      <c r="E748" s="23">
        <v>942.0</v>
      </c>
      <c r="F748" s="18">
        <f>E748* 0.00115651503469545</f>
        <v>1.089437163</v>
      </c>
      <c r="G748" s="18">
        <f>E748* 0.998843484965305</f>
        <v>940.9105628</v>
      </c>
      <c r="H748" s="20">
        <v>0.0</v>
      </c>
    </row>
    <row r="749" ht="15.75" hidden="1" customHeight="1">
      <c r="A749" s="20" t="s">
        <v>51</v>
      </c>
      <c r="B749" s="47" t="s">
        <v>51</v>
      </c>
      <c r="C749" s="47"/>
      <c r="D749" s="19" t="s">
        <v>84</v>
      </c>
      <c r="E749" s="23">
        <v>5.0</v>
      </c>
      <c r="F749" s="20">
        <v>0.0</v>
      </c>
      <c r="G749" s="24">
        <f>E749</f>
        <v>5</v>
      </c>
      <c r="H749" s="20">
        <v>0.0</v>
      </c>
    </row>
    <row r="750" ht="15.75" hidden="1" customHeight="1">
      <c r="A750" s="20" t="s">
        <v>51</v>
      </c>
      <c r="B750" s="47" t="s">
        <v>51</v>
      </c>
      <c r="C750" s="47"/>
      <c r="D750" s="19" t="s">
        <v>12</v>
      </c>
      <c r="E750" s="23">
        <v>94639.0</v>
      </c>
      <c r="F750" s="18">
        <f>E750* 0.924936238310357</f>
        <v>87535.04066</v>
      </c>
      <c r="G750" s="18">
        <f>E750* 0.0351064361799663</f>
        <v>3322.438014</v>
      </c>
      <c r="H750" s="18">
        <f>E750* 0.039932320925503</f>
        <v>3779.15492</v>
      </c>
    </row>
    <row r="751" ht="15.75" hidden="1" customHeight="1">
      <c r="A751" s="20" t="s">
        <v>51</v>
      </c>
      <c r="B751" s="20"/>
      <c r="C751" s="20"/>
      <c r="D751" s="46"/>
      <c r="E751" s="35"/>
    </row>
    <row r="752" ht="15.75" hidden="1" customHeight="1">
      <c r="A752" s="20" t="s">
        <v>51</v>
      </c>
      <c r="B752" s="47" t="s">
        <v>85</v>
      </c>
      <c r="C752" s="12" t="str">
        <f>B752&amp;"_"&amp;A752</f>
        <v>Laja_La Paz</v>
      </c>
      <c r="D752" s="20"/>
      <c r="E752" s="45">
        <v>6985.0</v>
      </c>
      <c r="F752" s="14">
        <f t="shared" ref="F752:H752" si="71">SUM(F753:F766)</f>
        <v>5560.320407</v>
      </c>
      <c r="G752" s="14">
        <f t="shared" si="71"/>
        <v>1139.655643</v>
      </c>
      <c r="H752" s="14">
        <f t="shared" si="71"/>
        <v>284.7597463</v>
      </c>
    </row>
    <row r="753" ht="15.75" hidden="1" customHeight="1">
      <c r="A753" s="20" t="s">
        <v>51</v>
      </c>
      <c r="B753" s="47" t="s">
        <v>85</v>
      </c>
      <c r="C753" s="47"/>
      <c r="D753" s="29" t="s">
        <v>359</v>
      </c>
      <c r="E753" s="23">
        <v>0.0</v>
      </c>
      <c r="F753" s="20">
        <v>0.0</v>
      </c>
      <c r="G753" s="24">
        <f>E753</f>
        <v>0</v>
      </c>
      <c r="H753" s="20">
        <v>0.0</v>
      </c>
    </row>
    <row r="754" ht="15.75" hidden="1" customHeight="1">
      <c r="A754" s="20" t="s">
        <v>51</v>
      </c>
      <c r="B754" s="47" t="s">
        <v>85</v>
      </c>
      <c r="C754" s="47"/>
      <c r="D754" s="19" t="s">
        <v>15</v>
      </c>
      <c r="E754" s="49">
        <v>264.0</v>
      </c>
      <c r="F754" s="18">
        <f>E754* 0.981163265034061</f>
        <v>259.027102</v>
      </c>
      <c r="G754" s="18">
        <f>E754* 0.0027595216829083</f>
        <v>0.7285137243</v>
      </c>
      <c r="H754" s="18">
        <f>E754* 0.0160372202151627</f>
        <v>4.233826137</v>
      </c>
    </row>
    <row r="755" ht="15.75" hidden="1" customHeight="1">
      <c r="A755" s="20" t="s">
        <v>51</v>
      </c>
      <c r="B755" s="47" t="s">
        <v>85</v>
      </c>
      <c r="C755" s="47"/>
      <c r="D755" s="29" t="s">
        <v>360</v>
      </c>
      <c r="E755" s="49">
        <v>7.0</v>
      </c>
      <c r="F755" s="18">
        <f>E755* 0.142974979378609</f>
        <v>1.000824856</v>
      </c>
      <c r="G755" s="18">
        <f>E755* 0.852350838603245</f>
        <v>5.96645587</v>
      </c>
      <c r="H755" s="18">
        <f>E755* 0.00467418201814682</f>
        <v>0.03271927413</v>
      </c>
    </row>
    <row r="756" ht="15.75" hidden="1" customHeight="1">
      <c r="A756" s="20" t="s">
        <v>51</v>
      </c>
      <c r="B756" s="47" t="s">
        <v>85</v>
      </c>
      <c r="C756" s="47"/>
      <c r="D756" s="19" t="s">
        <v>11</v>
      </c>
      <c r="E756" s="49">
        <v>671.0</v>
      </c>
      <c r="F756" s="18">
        <f>E756* 0.178797409805735</f>
        <v>119.973062</v>
      </c>
      <c r="G756" s="18">
        <f>E756* 0.819278445883441</f>
        <v>549.7358372</v>
      </c>
      <c r="H756" s="18">
        <f>E756* 0.00181313598519889</f>
        <v>1.216614246</v>
      </c>
    </row>
    <row r="757" ht="15.75" hidden="1" customHeight="1">
      <c r="A757" s="20" t="s">
        <v>51</v>
      </c>
      <c r="B757" s="47" t="s">
        <v>85</v>
      </c>
      <c r="C757" s="47"/>
      <c r="D757" s="19" t="s">
        <v>17</v>
      </c>
      <c r="E757" s="49">
        <v>622.0</v>
      </c>
      <c r="F757" s="18">
        <f>E757* 0.916446662218225</f>
        <v>570.0298239</v>
      </c>
      <c r="G757" s="18">
        <f>E757* 0.0292436682236212</f>
        <v>18.18956164</v>
      </c>
      <c r="H757" s="18">
        <f>E757* 0.0543096695581537</f>
        <v>33.78061447</v>
      </c>
    </row>
    <row r="758" ht="15.75" hidden="1" customHeight="1">
      <c r="A758" s="20" t="s">
        <v>51</v>
      </c>
      <c r="B758" s="47" t="s">
        <v>85</v>
      </c>
      <c r="C758" s="47"/>
      <c r="D758" s="19" t="s">
        <v>31</v>
      </c>
      <c r="E758" s="49">
        <v>119.0</v>
      </c>
      <c r="F758" s="18">
        <f>E758* 0.957442434210526</f>
        <v>113.9356497</v>
      </c>
      <c r="G758" s="18">
        <f>E758* 0.0158305921052632</f>
        <v>1.883840461</v>
      </c>
      <c r="H758" s="18">
        <f>E758* 0.0263157894736842</f>
        <v>3.131578947</v>
      </c>
    </row>
    <row r="759" ht="15.75" hidden="1" customHeight="1">
      <c r="A759" s="20" t="s">
        <v>51</v>
      </c>
      <c r="B759" s="47" t="s">
        <v>85</v>
      </c>
      <c r="C759" s="47"/>
      <c r="D759" s="19" t="s">
        <v>18</v>
      </c>
      <c r="E759" s="49">
        <v>42.0</v>
      </c>
      <c r="F759" s="18">
        <f>E759* 0.983388008654987</f>
        <v>41.30229636</v>
      </c>
      <c r="G759" s="18">
        <f>E759* 0.0133314720457877</f>
        <v>0.5599218259</v>
      </c>
      <c r="H759" s="18">
        <f>E759* 0.003210721016263</f>
        <v>0.1348502827</v>
      </c>
    </row>
    <row r="760" ht="15.75" hidden="1" customHeight="1">
      <c r="A760" s="20" t="s">
        <v>51</v>
      </c>
      <c r="B760" s="47" t="s">
        <v>85</v>
      </c>
      <c r="C760" s="47"/>
      <c r="D760" s="19" t="s">
        <v>19</v>
      </c>
      <c r="E760" s="49">
        <v>3.0</v>
      </c>
      <c r="F760" s="18">
        <f>E760* 0.511826182618262</f>
        <v>1.535478548</v>
      </c>
      <c r="G760" s="18">
        <f>E760* 0.476622662266227</f>
        <v>1.429867987</v>
      </c>
      <c r="H760" s="18">
        <f>E760* 0.0115511551155116</f>
        <v>0.03465346535</v>
      </c>
    </row>
    <row r="761" ht="15.75" hidden="1" customHeight="1">
      <c r="A761" s="20" t="s">
        <v>51</v>
      </c>
      <c r="B761" s="47" t="s">
        <v>85</v>
      </c>
      <c r="C761" s="47"/>
      <c r="D761" s="19" t="s">
        <v>20</v>
      </c>
      <c r="E761" s="49">
        <v>1685.0</v>
      </c>
      <c r="F761" s="18">
        <f>E761* 0.814615536880747</f>
        <v>1372.62718</v>
      </c>
      <c r="G761" s="18">
        <f>E761* 0.0763167839340663</f>
        <v>128.5937809</v>
      </c>
      <c r="H761" s="18">
        <f>E761* 0.109013694193014</f>
        <v>183.6880747</v>
      </c>
    </row>
    <row r="762" ht="15.75" hidden="1" customHeight="1">
      <c r="A762" s="20" t="s">
        <v>51</v>
      </c>
      <c r="B762" s="47" t="s">
        <v>85</v>
      </c>
      <c r="C762" s="47"/>
      <c r="D762" s="19" t="s">
        <v>21</v>
      </c>
      <c r="E762" s="49">
        <v>1733.0</v>
      </c>
      <c r="F762" s="18">
        <f>E762* 0.999722052365334</f>
        <v>1732.518317</v>
      </c>
      <c r="G762" s="20">
        <v>0.0</v>
      </c>
      <c r="H762" s="18">
        <f>E762* 0.000277947634665629</f>
        <v>0.4816832509</v>
      </c>
    </row>
    <row r="763" ht="15.75" hidden="1" customHeight="1">
      <c r="A763" s="20" t="s">
        <v>51</v>
      </c>
      <c r="B763" s="47" t="s">
        <v>85</v>
      </c>
      <c r="C763" s="47"/>
      <c r="D763" s="19" t="s">
        <v>36</v>
      </c>
      <c r="E763" s="49">
        <v>4.0</v>
      </c>
      <c r="F763" s="18">
        <f>E763* 0.999132697311362</f>
        <v>3.996530789</v>
      </c>
      <c r="G763" s="20">
        <v>0.0</v>
      </c>
      <c r="H763" s="18">
        <f>E763* 0.000867302688638335</f>
        <v>0.003469210755</v>
      </c>
    </row>
    <row r="764" ht="15.75" hidden="1" customHeight="1">
      <c r="A764" s="20" t="s">
        <v>51</v>
      </c>
      <c r="B764" s="47" t="s">
        <v>85</v>
      </c>
      <c r="C764" s="47"/>
      <c r="D764" s="19" t="s">
        <v>28</v>
      </c>
      <c r="E764" s="49">
        <v>382.0</v>
      </c>
      <c r="F764" s="18">
        <f>E764* 0.00115651503469545</f>
        <v>0.4417887433</v>
      </c>
      <c r="G764" s="18">
        <f>E764* 0.998843484965305</f>
        <v>381.5582113</v>
      </c>
      <c r="H764" s="20">
        <v>0.0</v>
      </c>
    </row>
    <row r="765" ht="15.75" hidden="1" customHeight="1">
      <c r="A765" s="20" t="s">
        <v>51</v>
      </c>
      <c r="B765" s="47" t="s">
        <v>85</v>
      </c>
      <c r="C765" s="47"/>
      <c r="D765" s="19" t="s">
        <v>84</v>
      </c>
      <c r="E765" s="49">
        <v>0.0</v>
      </c>
      <c r="F765" s="20">
        <v>0.0</v>
      </c>
      <c r="G765" s="20">
        <f>E765</f>
        <v>0</v>
      </c>
      <c r="H765" s="20">
        <v>0.0</v>
      </c>
    </row>
    <row r="766" ht="15.75" hidden="1" customHeight="1">
      <c r="A766" s="20" t="s">
        <v>51</v>
      </c>
      <c r="B766" s="47" t="s">
        <v>85</v>
      </c>
      <c r="C766" s="47"/>
      <c r="D766" s="19" t="s">
        <v>12</v>
      </c>
      <c r="E766" s="23">
        <v>1453.0</v>
      </c>
      <c r="F766" s="18">
        <f>E766* 0.924936238310357</f>
        <v>1343.932354</v>
      </c>
      <c r="G766" s="18">
        <f>E766* 0.0351064361799663</f>
        <v>51.00965177</v>
      </c>
      <c r="H766" s="18">
        <f>E766* 0.039932320925503</f>
        <v>58.0216623</v>
      </c>
    </row>
    <row r="767" ht="15.75" hidden="1" customHeight="1">
      <c r="A767" s="20" t="s">
        <v>51</v>
      </c>
      <c r="B767" s="20"/>
      <c r="C767" s="20"/>
      <c r="D767" s="46"/>
      <c r="E767" s="35"/>
    </row>
    <row r="768" ht="15.75" hidden="1" customHeight="1">
      <c r="A768" s="20" t="s">
        <v>51</v>
      </c>
      <c r="B768" s="47" t="s">
        <v>86</v>
      </c>
      <c r="C768" s="12" t="str">
        <f>B768&amp;"_"&amp;A768</f>
        <v>Luribay_La Paz</v>
      </c>
      <c r="D768" s="20"/>
      <c r="E768" s="45">
        <v>31.0</v>
      </c>
      <c r="F768" s="14">
        <f t="shared" ref="F768:H768" si="72">SUM(F769:F778)</f>
        <v>21.38513718</v>
      </c>
      <c r="G768" s="14">
        <f t="shared" si="72"/>
        <v>9.11585177</v>
      </c>
      <c r="H768" s="14">
        <f t="shared" si="72"/>
        <v>0.497830604</v>
      </c>
    </row>
    <row r="769" ht="15.75" hidden="1" customHeight="1">
      <c r="A769" s="20" t="s">
        <v>51</v>
      </c>
      <c r="B769" s="47" t="s">
        <v>86</v>
      </c>
      <c r="C769" s="47"/>
      <c r="D769" s="29" t="s">
        <v>361</v>
      </c>
      <c r="E769" s="23">
        <v>0.0</v>
      </c>
      <c r="F769" s="20">
        <v>0.0</v>
      </c>
      <c r="G769" s="24">
        <f>E769</f>
        <v>0</v>
      </c>
      <c r="H769" s="20">
        <v>0.0</v>
      </c>
    </row>
    <row r="770" ht="15.75" hidden="1" customHeight="1">
      <c r="A770" s="20" t="s">
        <v>51</v>
      </c>
      <c r="B770" s="47" t="s">
        <v>86</v>
      </c>
      <c r="C770" s="47"/>
      <c r="D770" s="19" t="s">
        <v>15</v>
      </c>
      <c r="E770" s="23">
        <v>1.0</v>
      </c>
      <c r="F770" s="18">
        <f>E770* 0.981163265034061</f>
        <v>0.981163265</v>
      </c>
      <c r="G770" s="18">
        <f>E770* 0.0027595216829083</f>
        <v>0.002759521683</v>
      </c>
      <c r="H770" s="18">
        <f>E770* 0.0160372202151627</f>
        <v>0.01603722022</v>
      </c>
    </row>
    <row r="771" ht="15.75" hidden="1" customHeight="1">
      <c r="A771" s="20" t="s">
        <v>51</v>
      </c>
      <c r="B771" s="47" t="s">
        <v>86</v>
      </c>
      <c r="C771" s="47"/>
      <c r="D771" s="29" t="s">
        <v>362</v>
      </c>
      <c r="E771" s="23">
        <v>3.0</v>
      </c>
      <c r="F771" s="18">
        <f>E771* 0.142974979378609</f>
        <v>0.4289249381</v>
      </c>
      <c r="G771" s="18">
        <f>E771* 0.852350838603245</f>
        <v>2.557052516</v>
      </c>
      <c r="H771" s="18">
        <f>E771* 0.00467418201814682</f>
        <v>0.01402254605</v>
      </c>
    </row>
    <row r="772" ht="15.75" hidden="1" customHeight="1">
      <c r="A772" s="20" t="s">
        <v>51</v>
      </c>
      <c r="B772" s="47" t="s">
        <v>86</v>
      </c>
      <c r="C772" s="47"/>
      <c r="D772" s="19" t="s">
        <v>11</v>
      </c>
      <c r="E772" s="23">
        <v>7.0</v>
      </c>
      <c r="F772" s="18">
        <f>E772* 0.178797409805735</f>
        <v>1.251581869</v>
      </c>
      <c r="G772" s="18">
        <f>E772* 0.819278445883441</f>
        <v>5.734949121</v>
      </c>
      <c r="H772" s="18">
        <f>E772* 0.00181313598519889</f>
        <v>0.0126919519</v>
      </c>
    </row>
    <row r="773" ht="15.75" hidden="1" customHeight="1">
      <c r="A773" s="20" t="s">
        <v>51</v>
      </c>
      <c r="B773" s="47" t="s">
        <v>86</v>
      </c>
      <c r="C773" s="47"/>
      <c r="D773" s="19" t="s">
        <v>17</v>
      </c>
      <c r="E773" s="23">
        <v>3.0</v>
      </c>
      <c r="F773" s="18">
        <f>E773* 0.916446662218225</f>
        <v>2.749339987</v>
      </c>
      <c r="G773" s="18">
        <f>E773* 0.0292436682236212</f>
        <v>0.08773100467</v>
      </c>
      <c r="H773" s="18">
        <f>E773* 0.0543096695581537</f>
        <v>0.1629290087</v>
      </c>
    </row>
    <row r="774" ht="15.75" hidden="1" customHeight="1">
      <c r="A774" s="20" t="s">
        <v>51</v>
      </c>
      <c r="B774" s="47" t="s">
        <v>86</v>
      </c>
      <c r="C774" s="47"/>
      <c r="D774" s="19" t="s">
        <v>18</v>
      </c>
      <c r="E774" s="23">
        <v>3.0</v>
      </c>
      <c r="F774" s="18">
        <f>E774* 0.983388008654987</f>
        <v>2.950164026</v>
      </c>
      <c r="G774" s="18">
        <f>E774* 0.0133314720457877</f>
        <v>0.03999441614</v>
      </c>
      <c r="H774" s="18">
        <f>E774* 0.003210721016263</f>
        <v>0.009632163049</v>
      </c>
    </row>
    <row r="775" ht="15.75" hidden="1" customHeight="1">
      <c r="A775" s="20" t="s">
        <v>51</v>
      </c>
      <c r="B775" s="47" t="s">
        <v>86</v>
      </c>
      <c r="C775" s="47"/>
      <c r="D775" s="19" t="s">
        <v>19</v>
      </c>
      <c r="E775" s="23">
        <v>1.0</v>
      </c>
      <c r="F775" s="18">
        <f>E775* 0.511826182618262</f>
        <v>0.5118261826</v>
      </c>
      <c r="G775" s="18">
        <f>E775* 0.476622662266227</f>
        <v>0.4766226623</v>
      </c>
      <c r="H775" s="18">
        <f>E775* 0.0115511551155116</f>
        <v>0.01155115512</v>
      </c>
    </row>
    <row r="776" ht="15.75" hidden="1" customHeight="1">
      <c r="A776" s="20" t="s">
        <v>51</v>
      </c>
      <c r="B776" s="47" t="s">
        <v>86</v>
      </c>
      <c r="C776" s="47"/>
      <c r="D776" s="19" t="s">
        <v>20</v>
      </c>
      <c r="E776" s="23">
        <v>1.0</v>
      </c>
      <c r="F776" s="18">
        <f>E776* 0.814615536880747</f>
        <v>0.8146155369</v>
      </c>
      <c r="G776" s="18">
        <f>E776* 0.0763167839340663</f>
        <v>0.07631678393</v>
      </c>
      <c r="H776" s="18">
        <f>E776* 0.109013694193014</f>
        <v>0.1090136942</v>
      </c>
    </row>
    <row r="777" ht="15.75" hidden="1" customHeight="1">
      <c r="A777" s="20" t="s">
        <v>51</v>
      </c>
      <c r="B777" s="47" t="s">
        <v>86</v>
      </c>
      <c r="C777" s="47"/>
      <c r="D777" s="19" t="s">
        <v>21</v>
      </c>
      <c r="E777" s="23">
        <v>8.0</v>
      </c>
      <c r="F777" s="18">
        <f>E777* 0.999722052365334</f>
        <v>7.997776419</v>
      </c>
      <c r="G777" s="20">
        <v>0.0</v>
      </c>
      <c r="H777" s="18">
        <f>E777* 0.000277947634665629</f>
        <v>0.002223581077</v>
      </c>
    </row>
    <row r="778" ht="15.75" hidden="1" customHeight="1">
      <c r="A778" s="20" t="s">
        <v>51</v>
      </c>
      <c r="B778" s="47" t="s">
        <v>86</v>
      </c>
      <c r="C778" s="47"/>
      <c r="D778" s="19" t="s">
        <v>12</v>
      </c>
      <c r="E778" s="23">
        <v>4.0</v>
      </c>
      <c r="F778" s="18">
        <f>E778* 0.924936238310357</f>
        <v>3.699744953</v>
      </c>
      <c r="G778" s="18">
        <f>E778* 0.0351064361799663</f>
        <v>0.1404257447</v>
      </c>
      <c r="H778" s="18">
        <f>E778* 0.039932320925503</f>
        <v>0.1597292837</v>
      </c>
    </row>
    <row r="779" ht="15.75" hidden="1" customHeight="1">
      <c r="A779" s="20" t="s">
        <v>51</v>
      </c>
      <c r="B779" s="20"/>
      <c r="C779" s="20"/>
      <c r="D779" s="46"/>
      <c r="E779" s="35"/>
    </row>
    <row r="780" ht="15.75" hidden="1" customHeight="1">
      <c r="A780" s="20" t="s">
        <v>51</v>
      </c>
      <c r="B780" s="47" t="s">
        <v>87</v>
      </c>
      <c r="C780" s="12" t="str">
        <f>B780&amp;"_"&amp;A780</f>
        <v>Mecapaca_La Paz</v>
      </c>
      <c r="D780" s="20"/>
      <c r="E780" s="45">
        <v>1068.0</v>
      </c>
      <c r="F780" s="14">
        <f t="shared" ref="F780:H780" si="73">SUM(F781:F793)</f>
        <v>922.8920783</v>
      </c>
      <c r="G780" s="14">
        <f t="shared" si="73"/>
        <v>107.988272</v>
      </c>
      <c r="H780" s="14">
        <f t="shared" si="73"/>
        <v>37.0826961</v>
      </c>
    </row>
    <row r="781" ht="15.75" hidden="1" customHeight="1">
      <c r="A781" s="20" t="s">
        <v>51</v>
      </c>
      <c r="B781" s="47" t="s">
        <v>87</v>
      </c>
      <c r="C781" s="47"/>
      <c r="D781" s="29" t="s">
        <v>363</v>
      </c>
      <c r="E781" s="23">
        <v>5.0</v>
      </c>
      <c r="F781" s="20">
        <v>0.0</v>
      </c>
      <c r="G781" s="24">
        <f>E781</f>
        <v>5</v>
      </c>
      <c r="H781" s="20">
        <v>0.0</v>
      </c>
    </row>
    <row r="782" ht="15.75" hidden="1" customHeight="1">
      <c r="A782" s="20" t="s">
        <v>51</v>
      </c>
      <c r="B782" s="47" t="s">
        <v>87</v>
      </c>
      <c r="C782" s="47"/>
      <c r="D782" s="19" t="s">
        <v>15</v>
      </c>
      <c r="E782" s="23">
        <v>161.0</v>
      </c>
      <c r="F782" s="18">
        <f>E782* 0.981163265034061</f>
        <v>157.9672857</v>
      </c>
      <c r="G782" s="18">
        <f>E782* 0.0027595216829083</f>
        <v>0.4442829909</v>
      </c>
      <c r="H782" s="18">
        <f>E782* 0.0160372202151627</f>
        <v>2.581992455</v>
      </c>
    </row>
    <row r="783" ht="15.75" hidden="1" customHeight="1">
      <c r="A783" s="20" t="s">
        <v>51</v>
      </c>
      <c r="B783" s="47" t="s">
        <v>87</v>
      </c>
      <c r="C783" s="47"/>
      <c r="D783" s="29" t="s">
        <v>364</v>
      </c>
      <c r="E783" s="23">
        <v>2.0</v>
      </c>
      <c r="F783" s="18">
        <f>E783* 0.142974979378609</f>
        <v>0.2859499588</v>
      </c>
      <c r="G783" s="18">
        <f>E783* 0.852350838603245</f>
        <v>1.704701677</v>
      </c>
      <c r="H783" s="18">
        <f>E783* 0.00467418201814682</f>
        <v>0.009348364036</v>
      </c>
    </row>
    <row r="784" ht="15.75" hidden="1" customHeight="1">
      <c r="A784" s="20" t="s">
        <v>51</v>
      </c>
      <c r="B784" s="47" t="s">
        <v>87</v>
      </c>
      <c r="C784" s="47"/>
      <c r="D784" s="19" t="s">
        <v>11</v>
      </c>
      <c r="E784" s="23">
        <v>80.0</v>
      </c>
      <c r="F784" s="18">
        <f>E784* 0.178797409805735</f>
        <v>14.30379278</v>
      </c>
      <c r="G784" s="18">
        <f>E784* 0.819278445883441</f>
        <v>65.54227567</v>
      </c>
      <c r="H784" s="18">
        <f>E784* 0.00181313598519889</f>
        <v>0.1450508788</v>
      </c>
    </row>
    <row r="785" ht="15.75" hidden="1" customHeight="1">
      <c r="A785" s="20" t="s">
        <v>51</v>
      </c>
      <c r="B785" s="47" t="s">
        <v>87</v>
      </c>
      <c r="C785" s="47"/>
      <c r="D785" s="19" t="s">
        <v>17</v>
      </c>
      <c r="E785" s="23">
        <v>140.0</v>
      </c>
      <c r="F785" s="18">
        <f>E785* 0.916446662218225</f>
        <v>128.3025327</v>
      </c>
      <c r="G785" s="18">
        <f>E785* 0.0292436682236212</f>
        <v>4.094113551</v>
      </c>
      <c r="H785" s="18">
        <f>E785* 0.0543096695581537</f>
        <v>7.603353738</v>
      </c>
    </row>
    <row r="786" ht="15.75" hidden="1" customHeight="1">
      <c r="A786" s="20" t="s">
        <v>51</v>
      </c>
      <c r="B786" s="47" t="s">
        <v>87</v>
      </c>
      <c r="C786" s="47"/>
      <c r="D786" s="19" t="s">
        <v>31</v>
      </c>
      <c r="E786" s="23">
        <v>9.0</v>
      </c>
      <c r="F786" s="18">
        <f>E786* 0.957442434210526</f>
        <v>8.616981908</v>
      </c>
      <c r="G786" s="18">
        <f>E786* 0.0158305921052632</f>
        <v>0.1424753289</v>
      </c>
      <c r="H786" s="18">
        <f>E786* 0.0263157894736842</f>
        <v>0.2368421053</v>
      </c>
    </row>
    <row r="787" ht="15.75" hidden="1" customHeight="1">
      <c r="A787" s="20" t="s">
        <v>51</v>
      </c>
      <c r="B787" s="47" t="s">
        <v>87</v>
      </c>
      <c r="C787" s="47"/>
      <c r="D787" s="19" t="s">
        <v>18</v>
      </c>
      <c r="E787" s="23">
        <v>43.0</v>
      </c>
      <c r="F787" s="18">
        <f>E787* 0.983388008654987</f>
        <v>42.28568437</v>
      </c>
      <c r="G787" s="18">
        <f>E787* 0.0133314720457877</f>
        <v>0.573253298</v>
      </c>
      <c r="H787" s="18">
        <f>E787* 0.003210721016263</f>
        <v>0.1380610037</v>
      </c>
    </row>
    <row r="788" ht="15.75" hidden="1" customHeight="1">
      <c r="A788" s="20" t="s">
        <v>51</v>
      </c>
      <c r="B788" s="47" t="s">
        <v>87</v>
      </c>
      <c r="C788" s="47"/>
      <c r="D788" s="19" t="s">
        <v>19</v>
      </c>
      <c r="E788" s="23">
        <v>1.0</v>
      </c>
      <c r="F788" s="18">
        <f>E788* 0.511826182618262</f>
        <v>0.5118261826</v>
      </c>
      <c r="G788" s="18">
        <f>E788* 0.476622662266227</f>
        <v>0.4766226623</v>
      </c>
      <c r="H788" s="18">
        <f>E788* 0.0115511551155116</f>
        <v>0.01155115512</v>
      </c>
    </row>
    <row r="789" ht="15.75" hidden="1" customHeight="1">
      <c r="A789" s="20" t="s">
        <v>51</v>
      </c>
      <c r="B789" s="47" t="s">
        <v>87</v>
      </c>
      <c r="C789" s="47"/>
      <c r="D789" s="19" t="s">
        <v>20</v>
      </c>
      <c r="E789" s="23">
        <v>108.0</v>
      </c>
      <c r="F789" s="18">
        <f>E789* 0.814615536880747</f>
        <v>87.97847798</v>
      </c>
      <c r="G789" s="18">
        <f>E789* 0.0763167839340663</f>
        <v>8.242212665</v>
      </c>
      <c r="H789" s="18">
        <f>E789* 0.109013694193014</f>
        <v>11.77347897</v>
      </c>
    </row>
    <row r="790" ht="15.75" hidden="1" customHeight="1">
      <c r="A790" s="20" t="s">
        <v>51</v>
      </c>
      <c r="B790" s="47" t="s">
        <v>87</v>
      </c>
      <c r="C790" s="47"/>
      <c r="D790" s="19" t="s">
        <v>21</v>
      </c>
      <c r="E790" s="23">
        <v>134.0</v>
      </c>
      <c r="F790" s="18">
        <f>E790* 0.999722052365334</f>
        <v>133.962755</v>
      </c>
      <c r="G790" s="20">
        <v>0.0</v>
      </c>
      <c r="H790" s="18">
        <f>E790* 0.000277947634665629</f>
        <v>0.03724498305</v>
      </c>
    </row>
    <row r="791" ht="15.75" hidden="1" customHeight="1">
      <c r="A791" s="20" t="s">
        <v>51</v>
      </c>
      <c r="B791" s="47" t="s">
        <v>87</v>
      </c>
      <c r="C791" s="47"/>
      <c r="D791" s="19" t="s">
        <v>36</v>
      </c>
      <c r="E791" s="23">
        <v>12.0</v>
      </c>
      <c r="F791" s="18">
        <f>E791* 0.999132697311362</f>
        <v>11.98959237</v>
      </c>
      <c r="G791" s="20">
        <v>0.0</v>
      </c>
      <c r="H791" s="18">
        <f>E791* 0.000867302688638335</f>
        <v>0.01040763226</v>
      </c>
    </row>
    <row r="792" ht="15.75" hidden="1" customHeight="1">
      <c r="A792" s="20" t="s">
        <v>51</v>
      </c>
      <c r="B792" s="47" t="s">
        <v>87</v>
      </c>
      <c r="C792" s="47"/>
      <c r="D792" s="19" t="s">
        <v>28</v>
      </c>
      <c r="E792" s="23">
        <v>9.0</v>
      </c>
      <c r="F792" s="18">
        <f>E792* 0.00115651503469545</f>
        <v>0.01040863531</v>
      </c>
      <c r="G792" s="18">
        <f>E792* 0.998843484965305</f>
        <v>8.989591365</v>
      </c>
      <c r="H792" s="20">
        <v>0.0</v>
      </c>
    </row>
    <row r="793" ht="15.75" hidden="1" customHeight="1">
      <c r="A793" s="20" t="s">
        <v>51</v>
      </c>
      <c r="B793" s="47" t="s">
        <v>87</v>
      </c>
      <c r="C793" s="47"/>
      <c r="D793" s="19" t="s">
        <v>12</v>
      </c>
      <c r="E793" s="23">
        <v>364.0</v>
      </c>
      <c r="F793" s="18">
        <f>E793* 0.924936238310357</f>
        <v>336.6767907</v>
      </c>
      <c r="G793" s="18">
        <f>E793* 0.0351064361799663</f>
        <v>12.77874277</v>
      </c>
      <c r="H793" s="18">
        <f>E793* 0.039932320925503</f>
        <v>14.53536482</v>
      </c>
    </row>
    <row r="794" ht="15.75" hidden="1" customHeight="1">
      <c r="A794" s="20" t="s">
        <v>51</v>
      </c>
      <c r="B794" s="20"/>
      <c r="C794" s="20"/>
      <c r="D794" s="46"/>
      <c r="E794" s="35"/>
    </row>
    <row r="795" ht="15.75" hidden="1" customHeight="1">
      <c r="A795" s="20" t="s">
        <v>51</v>
      </c>
      <c r="B795" s="47" t="s">
        <v>88</v>
      </c>
      <c r="C795" s="12" t="str">
        <f>B795&amp;"_"&amp;A795</f>
        <v>Moco Moco_La Paz</v>
      </c>
      <c r="D795" s="20"/>
      <c r="E795" s="45">
        <v>83.0</v>
      </c>
      <c r="F795" s="14">
        <f t="shared" ref="F795:H795" si="74">SUM(F796:F805)</f>
        <v>70.36325751</v>
      </c>
      <c r="G795" s="14">
        <f t="shared" si="74"/>
        <v>9.724695187</v>
      </c>
      <c r="H795" s="14">
        <f t="shared" si="74"/>
        <v>2.907445589</v>
      </c>
    </row>
    <row r="796" ht="15.75" hidden="1" customHeight="1">
      <c r="A796" s="20" t="s">
        <v>51</v>
      </c>
      <c r="B796" s="47" t="s">
        <v>88</v>
      </c>
      <c r="C796" s="47"/>
      <c r="D796" s="19" t="s">
        <v>15</v>
      </c>
      <c r="E796" s="23">
        <v>4.0</v>
      </c>
      <c r="F796" s="18">
        <f>E796* 0.981163265034061</f>
        <v>3.92465306</v>
      </c>
      <c r="G796" s="18">
        <f>E796* 0.0027595216829083</f>
        <v>0.01103808673</v>
      </c>
      <c r="H796" s="18">
        <f>E796* 0.0160372202151627</f>
        <v>0.06414888086</v>
      </c>
    </row>
    <row r="797" ht="15.75" hidden="1" customHeight="1">
      <c r="A797" s="20" t="s">
        <v>51</v>
      </c>
      <c r="B797" s="47" t="s">
        <v>88</v>
      </c>
      <c r="C797" s="47"/>
      <c r="D797" s="29" t="s">
        <v>365</v>
      </c>
      <c r="E797" s="23">
        <v>1.0</v>
      </c>
      <c r="F797" s="18">
        <f>E797* 0.142974979378609</f>
        <v>0.1429749794</v>
      </c>
      <c r="G797" s="18">
        <f>E797* 0.852350838603245</f>
        <v>0.8523508386</v>
      </c>
      <c r="H797" s="18">
        <f>E797* 0.00467418201814682</f>
        <v>0.004674182018</v>
      </c>
    </row>
    <row r="798" ht="15.75" hidden="1" customHeight="1">
      <c r="A798" s="20" t="s">
        <v>51</v>
      </c>
      <c r="B798" s="47" t="s">
        <v>88</v>
      </c>
      <c r="C798" s="47"/>
      <c r="D798" s="19" t="s">
        <v>11</v>
      </c>
      <c r="E798" s="23">
        <v>7.0</v>
      </c>
      <c r="F798" s="18">
        <f>E798* 0.178797409805735</f>
        <v>1.251581869</v>
      </c>
      <c r="G798" s="18">
        <f>E798* 0.819278445883441</f>
        <v>5.734949121</v>
      </c>
      <c r="H798" s="18">
        <f>E798* 0.00181313598519889</f>
        <v>0.0126919519</v>
      </c>
    </row>
    <row r="799" ht="15.75" hidden="1" customHeight="1">
      <c r="A799" s="20" t="s">
        <v>51</v>
      </c>
      <c r="B799" s="47" t="s">
        <v>88</v>
      </c>
      <c r="C799" s="47"/>
      <c r="D799" s="19" t="s">
        <v>17</v>
      </c>
      <c r="E799" s="23">
        <v>10.0</v>
      </c>
      <c r="F799" s="18">
        <f>E799* 0.916446662218225</f>
        <v>9.164466622</v>
      </c>
      <c r="G799" s="18">
        <f>E799* 0.0292436682236212</f>
        <v>0.2924366822</v>
      </c>
      <c r="H799" s="18">
        <f>E799* 0.0543096695581537</f>
        <v>0.5430966956</v>
      </c>
    </row>
    <row r="800" ht="15.75" hidden="1" customHeight="1">
      <c r="A800" s="20" t="s">
        <v>51</v>
      </c>
      <c r="B800" s="47" t="s">
        <v>88</v>
      </c>
      <c r="C800" s="47"/>
      <c r="D800" s="19" t="s">
        <v>31</v>
      </c>
      <c r="E800" s="23">
        <v>5.0</v>
      </c>
      <c r="F800" s="18">
        <f>E800* 0.957442434210526</f>
        <v>4.787212171</v>
      </c>
      <c r="G800" s="18">
        <f>E800* 0.0158305921052632</f>
        <v>0.07915296053</v>
      </c>
      <c r="H800" s="18">
        <f>E800* 0.0263157894736842</f>
        <v>0.1315789474</v>
      </c>
    </row>
    <row r="801" ht="15.75" hidden="1" customHeight="1">
      <c r="A801" s="20" t="s">
        <v>51</v>
      </c>
      <c r="B801" s="47" t="s">
        <v>88</v>
      </c>
      <c r="C801" s="47"/>
      <c r="D801" s="19" t="s">
        <v>18</v>
      </c>
      <c r="E801" s="23">
        <v>6.0</v>
      </c>
      <c r="F801" s="18">
        <f>E801* 0.983388008654987</f>
        <v>5.900328052</v>
      </c>
      <c r="G801" s="18">
        <f>E801* 0.0133314720457877</f>
        <v>0.07998883227</v>
      </c>
      <c r="H801" s="18">
        <f>E801* 0.003210721016263</f>
        <v>0.0192643261</v>
      </c>
    </row>
    <row r="802" ht="15.75" hidden="1" customHeight="1">
      <c r="A802" s="20" t="s">
        <v>51</v>
      </c>
      <c r="B802" s="47" t="s">
        <v>88</v>
      </c>
      <c r="C802" s="47"/>
      <c r="D802" s="19" t="s">
        <v>20</v>
      </c>
      <c r="E802" s="23">
        <v>10.0</v>
      </c>
      <c r="F802" s="18">
        <f>E802* 0.814615536880747</f>
        <v>8.146155369</v>
      </c>
      <c r="G802" s="18">
        <f>E802* 0.0763167839340663</f>
        <v>0.7631678393</v>
      </c>
      <c r="H802" s="18">
        <f>E802* 0.109013694193014</f>
        <v>1.090136942</v>
      </c>
    </row>
    <row r="803" ht="15.75" hidden="1" customHeight="1">
      <c r="A803" s="20" t="s">
        <v>51</v>
      </c>
      <c r="B803" s="47" t="s">
        <v>88</v>
      </c>
      <c r="C803" s="47"/>
      <c r="D803" s="19" t="s">
        <v>21</v>
      </c>
      <c r="E803" s="23">
        <v>13.0</v>
      </c>
      <c r="F803" s="18">
        <f>E803* 0.999722052365334</f>
        <v>12.99638668</v>
      </c>
      <c r="G803" s="20">
        <v>0.0</v>
      </c>
      <c r="H803" s="18">
        <f>E803* 0.000277947634665629</f>
        <v>0.003613319251</v>
      </c>
    </row>
    <row r="804" ht="15.75" hidden="1" customHeight="1">
      <c r="A804" s="20" t="s">
        <v>51</v>
      </c>
      <c r="B804" s="47" t="s">
        <v>88</v>
      </c>
      <c r="C804" s="47"/>
      <c r="D804" s="19" t="s">
        <v>28</v>
      </c>
      <c r="E804" s="23">
        <v>1.0</v>
      </c>
      <c r="F804" s="18">
        <f>E804* 0.00115651503469545</f>
        <v>0.001156515035</v>
      </c>
      <c r="G804" s="18">
        <f>E804* 0.998843484965305</f>
        <v>0.998843485</v>
      </c>
      <c r="H804" s="20">
        <v>0.0</v>
      </c>
    </row>
    <row r="805" ht="15.75" hidden="1" customHeight="1">
      <c r="A805" s="20" t="s">
        <v>51</v>
      </c>
      <c r="B805" s="47" t="s">
        <v>88</v>
      </c>
      <c r="C805" s="47"/>
      <c r="D805" s="19" t="s">
        <v>12</v>
      </c>
      <c r="E805" s="23">
        <v>26.0</v>
      </c>
      <c r="F805" s="18">
        <f>E805* 0.924936238310357</f>
        <v>24.0483422</v>
      </c>
      <c r="G805" s="18">
        <f>E805* 0.0351064361799663</f>
        <v>0.9127673407</v>
      </c>
      <c r="H805" s="18">
        <f>E805* 0.039932320925503</f>
        <v>1.038240344</v>
      </c>
    </row>
    <row r="806" ht="15.75" hidden="1" customHeight="1">
      <c r="A806" s="20" t="s">
        <v>51</v>
      </c>
      <c r="B806" s="20"/>
      <c r="C806" s="20"/>
      <c r="D806" s="46"/>
      <c r="E806" s="35"/>
    </row>
    <row r="807" ht="15.75" hidden="1" customHeight="1">
      <c r="A807" s="20" t="s">
        <v>51</v>
      </c>
      <c r="B807" s="47" t="s">
        <v>89</v>
      </c>
      <c r="C807" s="12" t="str">
        <f>B807&amp;"_"&amp;A807</f>
        <v>Palca_La Paz</v>
      </c>
      <c r="D807" s="20"/>
      <c r="E807" s="45">
        <v>2569.0</v>
      </c>
      <c r="F807" s="14">
        <f t="shared" ref="F807:H807" si="75">SUM(F808:F820)</f>
        <v>2202.028417</v>
      </c>
      <c r="G807" s="14">
        <f t="shared" si="75"/>
        <v>289.9353172</v>
      </c>
      <c r="H807" s="14">
        <f t="shared" si="75"/>
        <v>76.95413318</v>
      </c>
    </row>
    <row r="808" ht="15.75" hidden="1" customHeight="1">
      <c r="A808" s="20" t="s">
        <v>51</v>
      </c>
      <c r="B808" s="47" t="s">
        <v>89</v>
      </c>
      <c r="C808" s="47"/>
      <c r="D808" s="29" t="s">
        <v>366</v>
      </c>
      <c r="E808" s="23">
        <v>7.0</v>
      </c>
      <c r="F808" s="20">
        <v>0.0</v>
      </c>
      <c r="G808" s="24">
        <f>E808</f>
        <v>7</v>
      </c>
      <c r="H808" s="20">
        <v>0.0</v>
      </c>
    </row>
    <row r="809" ht="15.75" hidden="1" customHeight="1">
      <c r="A809" s="20" t="s">
        <v>51</v>
      </c>
      <c r="B809" s="47" t="s">
        <v>89</v>
      </c>
      <c r="C809" s="47"/>
      <c r="D809" s="19" t="s">
        <v>15</v>
      </c>
      <c r="E809" s="23">
        <v>269.0</v>
      </c>
      <c r="F809" s="18">
        <f>E809* 0.981163265034061</f>
        <v>263.9329183</v>
      </c>
      <c r="G809" s="18">
        <f>E809* 0.0027595216829083</f>
        <v>0.7423113327</v>
      </c>
      <c r="H809" s="18">
        <f>E809* 0.0160372202151627</f>
        <v>4.314012238</v>
      </c>
    </row>
    <row r="810" ht="15.75" hidden="1" customHeight="1">
      <c r="A810" s="20" t="s">
        <v>51</v>
      </c>
      <c r="B810" s="47" t="s">
        <v>89</v>
      </c>
      <c r="C810" s="47"/>
      <c r="D810" s="29" t="s">
        <v>367</v>
      </c>
      <c r="E810" s="23">
        <v>20.0</v>
      </c>
      <c r="F810" s="18">
        <f>E810* 0.142974979378609</f>
        <v>2.859499588</v>
      </c>
      <c r="G810" s="18">
        <f>E810* 0.852350838603245</f>
        <v>17.04701677</v>
      </c>
      <c r="H810" s="18">
        <f>E810* 0.00467418201814682</f>
        <v>0.09348364036</v>
      </c>
    </row>
    <row r="811" ht="15.75" hidden="1" customHeight="1">
      <c r="A811" s="20" t="s">
        <v>51</v>
      </c>
      <c r="B811" s="47" t="s">
        <v>89</v>
      </c>
      <c r="C811" s="47"/>
      <c r="D811" s="19" t="s">
        <v>11</v>
      </c>
      <c r="E811" s="23">
        <v>202.0</v>
      </c>
      <c r="F811" s="18">
        <f>E811* 0.178797409805735</f>
        <v>36.11707678</v>
      </c>
      <c r="G811" s="18">
        <f>E811* 0.819278445883441</f>
        <v>165.4942461</v>
      </c>
      <c r="H811" s="18">
        <f>E811* 0.00181313598519889</f>
        <v>0.366253469</v>
      </c>
    </row>
    <row r="812" ht="15.75" hidden="1" customHeight="1">
      <c r="A812" s="20" t="s">
        <v>51</v>
      </c>
      <c r="B812" s="47" t="s">
        <v>89</v>
      </c>
      <c r="C812" s="47"/>
      <c r="D812" s="19" t="s">
        <v>17</v>
      </c>
      <c r="E812" s="23">
        <v>239.0</v>
      </c>
      <c r="F812" s="18">
        <f>E812* 0.916446662218225</f>
        <v>219.0307523</v>
      </c>
      <c r="G812" s="18">
        <f>E812* 0.0292436682236212</f>
        <v>6.989236705</v>
      </c>
      <c r="H812" s="18">
        <f>E812* 0.0543096695581537</f>
        <v>12.98001102</v>
      </c>
    </row>
    <row r="813" ht="15.75" hidden="1" customHeight="1">
      <c r="A813" s="20" t="s">
        <v>51</v>
      </c>
      <c r="B813" s="47" t="s">
        <v>89</v>
      </c>
      <c r="C813" s="47"/>
      <c r="D813" s="19" t="s">
        <v>31</v>
      </c>
      <c r="E813" s="23">
        <v>29.0</v>
      </c>
      <c r="F813" s="18">
        <f>E813* 0.957442434210526</f>
        <v>27.76583059</v>
      </c>
      <c r="G813" s="18">
        <f>E813* 0.0158305921052632</f>
        <v>0.4590871711</v>
      </c>
      <c r="H813" s="18">
        <f>E813* 0.0263157894736842</f>
        <v>0.7631578947</v>
      </c>
    </row>
    <row r="814" ht="15.75" hidden="1" customHeight="1">
      <c r="A814" s="20" t="s">
        <v>51</v>
      </c>
      <c r="B814" s="47" t="s">
        <v>89</v>
      </c>
      <c r="C814" s="47"/>
      <c r="D814" s="19" t="s">
        <v>18</v>
      </c>
      <c r="E814" s="23">
        <v>73.0</v>
      </c>
      <c r="F814" s="18">
        <f>E814* 0.983388008654987</f>
        <v>71.78732463</v>
      </c>
      <c r="G814" s="18">
        <f>E814* 0.0133314720457877</f>
        <v>0.9731974593</v>
      </c>
      <c r="H814" s="18">
        <f>E814* 0.003210721016263</f>
        <v>0.2343826342</v>
      </c>
    </row>
    <row r="815" ht="15.75" hidden="1" customHeight="1">
      <c r="A815" s="20" t="s">
        <v>51</v>
      </c>
      <c r="B815" s="47" t="s">
        <v>89</v>
      </c>
      <c r="C815" s="47"/>
      <c r="D815" s="19" t="s">
        <v>19</v>
      </c>
      <c r="E815" s="23">
        <v>9.0</v>
      </c>
      <c r="F815" s="18">
        <f>E815* 0.511826182618262</f>
        <v>4.606435644</v>
      </c>
      <c r="G815" s="18">
        <f>E815* 0.476622662266227</f>
        <v>4.28960396</v>
      </c>
      <c r="H815" s="18">
        <f>E815* 0.0115511551155116</f>
        <v>0.103960396</v>
      </c>
    </row>
    <row r="816" ht="15.75" hidden="1" customHeight="1">
      <c r="A816" s="20" t="s">
        <v>51</v>
      </c>
      <c r="B816" s="47" t="s">
        <v>89</v>
      </c>
      <c r="C816" s="47"/>
      <c r="D816" s="19" t="s">
        <v>20</v>
      </c>
      <c r="E816" s="23">
        <v>302.0</v>
      </c>
      <c r="F816" s="18">
        <f>E816* 0.814615536880747</f>
        <v>246.0138921</v>
      </c>
      <c r="G816" s="18">
        <f>E816* 0.0763167839340663</f>
        <v>23.04766875</v>
      </c>
      <c r="H816" s="18">
        <f>E816* 0.109013694193014</f>
        <v>32.92213565</v>
      </c>
    </row>
    <row r="817" ht="15.75" hidden="1" customHeight="1">
      <c r="A817" s="20" t="s">
        <v>51</v>
      </c>
      <c r="B817" s="47" t="s">
        <v>89</v>
      </c>
      <c r="C817" s="47"/>
      <c r="D817" s="19" t="s">
        <v>21</v>
      </c>
      <c r="E817" s="23">
        <v>735.0</v>
      </c>
      <c r="F817" s="18">
        <f>E817* 0.999722052365334</f>
        <v>734.7957085</v>
      </c>
      <c r="G817" s="20">
        <v>0.0</v>
      </c>
      <c r="H817" s="18">
        <f>E817* 0.000277947634665629</f>
        <v>0.2042915115</v>
      </c>
    </row>
    <row r="818" ht="15.75" hidden="1" customHeight="1">
      <c r="A818" s="20" t="s">
        <v>51</v>
      </c>
      <c r="B818" s="47" t="s">
        <v>89</v>
      </c>
      <c r="C818" s="47"/>
      <c r="D818" s="19" t="s">
        <v>36</v>
      </c>
      <c r="E818" s="23">
        <v>17.0</v>
      </c>
      <c r="F818" s="18">
        <f>E818* 0.999132697311362</f>
        <v>16.98525585</v>
      </c>
      <c r="G818" s="20">
        <v>0.0</v>
      </c>
      <c r="H818" s="18">
        <f>E818* 0.000867302688638335</f>
        <v>0.01474414571</v>
      </c>
    </row>
    <row r="819" ht="15.75" hidden="1" customHeight="1">
      <c r="A819" s="20" t="s">
        <v>51</v>
      </c>
      <c r="B819" s="47" t="s">
        <v>89</v>
      </c>
      <c r="C819" s="47"/>
      <c r="D819" s="19" t="s">
        <v>28</v>
      </c>
      <c r="E819" s="23">
        <v>42.0</v>
      </c>
      <c r="F819" s="18">
        <f>E819* 0.00115651503469545</f>
        <v>0.04857363146</v>
      </c>
      <c r="G819" s="18">
        <f>E819* 0.998843484965305</f>
        <v>41.95142637</v>
      </c>
      <c r="H819" s="20">
        <v>0.0</v>
      </c>
    </row>
    <row r="820" ht="15.75" hidden="1" customHeight="1">
      <c r="A820" s="20" t="s">
        <v>51</v>
      </c>
      <c r="B820" s="47" t="s">
        <v>89</v>
      </c>
      <c r="C820" s="47"/>
      <c r="D820" s="19" t="s">
        <v>12</v>
      </c>
      <c r="E820" s="23">
        <v>625.0</v>
      </c>
      <c r="F820" s="18">
        <f>E820* 0.924936238310357</f>
        <v>578.0851489</v>
      </c>
      <c r="G820" s="18">
        <f>E820* 0.0351064361799663</f>
        <v>21.94152261</v>
      </c>
      <c r="H820" s="18">
        <f>E820* 0.039932320925503</f>
        <v>24.95770058</v>
      </c>
    </row>
    <row r="821" ht="15.75" hidden="1" customHeight="1">
      <c r="A821" s="20" t="s">
        <v>51</v>
      </c>
      <c r="B821" s="20"/>
      <c r="C821" s="20"/>
      <c r="D821" s="46"/>
      <c r="E821" s="35"/>
    </row>
    <row r="822" ht="15.75" hidden="1" customHeight="1">
      <c r="A822" s="20" t="s">
        <v>51</v>
      </c>
      <c r="B822" s="47" t="s">
        <v>90</v>
      </c>
      <c r="C822" s="12" t="str">
        <f>B822&amp;"_"&amp;A822</f>
        <v>Palos Blancos_La Paz</v>
      </c>
      <c r="D822" s="20"/>
      <c r="E822" s="45">
        <v>310.0</v>
      </c>
      <c r="F822" s="14">
        <f t="shared" ref="F822:H822" si="76">SUM(F823:F832)</f>
        <v>297.3673347</v>
      </c>
      <c r="G822" s="14">
        <f t="shared" si="76"/>
        <v>7.535391759</v>
      </c>
      <c r="H822" s="14">
        <f t="shared" si="76"/>
        <v>5.093865252</v>
      </c>
    </row>
    <row r="823" ht="15.75" hidden="1" customHeight="1">
      <c r="A823" s="20" t="s">
        <v>51</v>
      </c>
      <c r="B823" s="47" t="s">
        <v>90</v>
      </c>
      <c r="C823" s="47"/>
      <c r="D823" s="29" t="s">
        <v>368</v>
      </c>
      <c r="E823" s="23">
        <v>0.0</v>
      </c>
      <c r="F823" s="20">
        <v>0.0</v>
      </c>
      <c r="G823" s="24">
        <f>E823</f>
        <v>0</v>
      </c>
      <c r="H823" s="20">
        <v>0.0</v>
      </c>
    </row>
    <row r="824" ht="15.75" hidden="1" customHeight="1">
      <c r="A824" s="20" t="s">
        <v>51</v>
      </c>
      <c r="B824" s="47" t="s">
        <v>90</v>
      </c>
      <c r="C824" s="47"/>
      <c r="D824" s="19" t="s">
        <v>15</v>
      </c>
      <c r="E824" s="23">
        <v>1.0</v>
      </c>
      <c r="F824" s="18">
        <f>E824* 0.981163265034061</f>
        <v>0.981163265</v>
      </c>
      <c r="G824" s="18">
        <f>E824* 0.0027595216829083</f>
        <v>0.002759521683</v>
      </c>
      <c r="H824" s="18">
        <f>E824* 0.0160372202151627</f>
        <v>0.01603722022</v>
      </c>
    </row>
    <row r="825" ht="15.75" hidden="1" customHeight="1">
      <c r="A825" s="20" t="s">
        <v>51</v>
      </c>
      <c r="B825" s="47" t="s">
        <v>90</v>
      </c>
      <c r="C825" s="47"/>
      <c r="D825" s="19" t="s">
        <v>11</v>
      </c>
      <c r="E825" s="23">
        <v>4.0</v>
      </c>
      <c r="F825" s="18">
        <f>E825* 0.178797409805735</f>
        <v>0.7151896392</v>
      </c>
      <c r="G825" s="18">
        <f>E825* 0.819278445883441</f>
        <v>3.277113784</v>
      </c>
      <c r="H825" s="18">
        <f>E825* 0.00181313598519889</f>
        <v>0.007252543941</v>
      </c>
    </row>
    <row r="826" ht="15.75" hidden="1" customHeight="1">
      <c r="A826" s="20" t="s">
        <v>51</v>
      </c>
      <c r="B826" s="47" t="s">
        <v>90</v>
      </c>
      <c r="C826" s="47"/>
      <c r="D826" s="19" t="s">
        <v>17</v>
      </c>
      <c r="E826" s="23">
        <v>8.0</v>
      </c>
      <c r="F826" s="18">
        <f>E826* 0.916446662218225</f>
        <v>7.331573298</v>
      </c>
      <c r="G826" s="18">
        <f>E826* 0.0292436682236212</f>
        <v>0.2339493458</v>
      </c>
      <c r="H826" s="18">
        <f>E826* 0.0543096695581537</f>
        <v>0.4344773565</v>
      </c>
    </row>
    <row r="827" ht="15.75" hidden="1" customHeight="1">
      <c r="A827" s="20" t="s">
        <v>51</v>
      </c>
      <c r="B827" s="47" t="s">
        <v>90</v>
      </c>
      <c r="C827" s="47"/>
      <c r="D827" s="19" t="s">
        <v>18</v>
      </c>
      <c r="E827" s="23">
        <v>1.0</v>
      </c>
      <c r="F827" s="18">
        <f>E827* 0.983388008654987</f>
        <v>0.9833880087</v>
      </c>
      <c r="G827" s="18">
        <f>E827* 0.0133314720457877</f>
        <v>0.01333147205</v>
      </c>
      <c r="H827" s="18">
        <f>E827* 0.003210721016263</f>
        <v>0.003210721016</v>
      </c>
    </row>
    <row r="828" ht="15.75" hidden="1" customHeight="1">
      <c r="A828" s="20" t="s">
        <v>51</v>
      </c>
      <c r="B828" s="47" t="s">
        <v>90</v>
      </c>
      <c r="C828" s="47"/>
      <c r="D828" s="19" t="s">
        <v>19</v>
      </c>
      <c r="E828" s="35"/>
      <c r="F828" s="18">
        <f>E828* 0.511826182618262</f>
        <v>0</v>
      </c>
      <c r="G828" s="18">
        <f>E828* 0.476622662266227</f>
        <v>0</v>
      </c>
      <c r="H828" s="18">
        <f>E828* 0.0115511551155116</f>
        <v>0</v>
      </c>
    </row>
    <row r="829" ht="15.75" hidden="1" customHeight="1">
      <c r="A829" s="20" t="s">
        <v>51</v>
      </c>
      <c r="B829" s="47" t="s">
        <v>90</v>
      </c>
      <c r="C829" s="47"/>
      <c r="D829" s="19" t="s">
        <v>20</v>
      </c>
      <c r="E829" s="23">
        <v>1.0</v>
      </c>
      <c r="F829" s="18">
        <f>E829* 0.814615536880747</f>
        <v>0.8146155369</v>
      </c>
      <c r="G829" s="18">
        <f>E829* 0.0763167839340663</f>
        <v>0.07631678393</v>
      </c>
      <c r="H829" s="18">
        <f>E829* 0.109013694193014</f>
        <v>0.1090136942</v>
      </c>
    </row>
    <row r="830" ht="15.75" hidden="1" customHeight="1">
      <c r="A830" s="20" t="s">
        <v>51</v>
      </c>
      <c r="B830" s="47" t="s">
        <v>90</v>
      </c>
      <c r="C830" s="47"/>
      <c r="D830" s="19" t="s">
        <v>21</v>
      </c>
      <c r="E830" s="23">
        <v>182.0</v>
      </c>
      <c r="F830" s="18">
        <f>E830* 0.999722052365334</f>
        <v>181.9494135</v>
      </c>
      <c r="G830" s="20">
        <v>0.0</v>
      </c>
      <c r="H830" s="18">
        <f>E830* 0.000277947634665629</f>
        <v>0.05058646951</v>
      </c>
    </row>
    <row r="831" ht="15.75" hidden="1" customHeight="1">
      <c r="A831" s="20" t="s">
        <v>51</v>
      </c>
      <c r="B831" s="47" t="s">
        <v>90</v>
      </c>
      <c r="C831" s="47"/>
      <c r="D831" s="19" t="s">
        <v>36</v>
      </c>
      <c r="E831" s="23">
        <v>1.0</v>
      </c>
      <c r="F831" s="18">
        <f>E831* 0.999132697311362</f>
        <v>0.9991326973</v>
      </c>
      <c r="G831" s="20">
        <v>0.0</v>
      </c>
      <c r="H831" s="18">
        <f>E831* 0.000867302688638335</f>
        <v>0.0008673026886</v>
      </c>
    </row>
    <row r="832" ht="15.75" hidden="1" customHeight="1">
      <c r="A832" s="20" t="s">
        <v>51</v>
      </c>
      <c r="B832" s="47" t="s">
        <v>90</v>
      </c>
      <c r="C832" s="47"/>
      <c r="D832" s="19" t="s">
        <v>12</v>
      </c>
      <c r="E832" s="23">
        <v>112.0</v>
      </c>
      <c r="F832" s="18">
        <f>E832* 0.924936238310357</f>
        <v>103.5928587</v>
      </c>
      <c r="G832" s="18">
        <f>E832* 0.0351064361799663</f>
        <v>3.931920852</v>
      </c>
      <c r="H832" s="18">
        <f>E832* 0.039932320925503</f>
        <v>4.472419944</v>
      </c>
    </row>
    <row r="833" ht="15.75" hidden="1" customHeight="1">
      <c r="A833" s="20" t="s">
        <v>51</v>
      </c>
      <c r="B833" s="20"/>
      <c r="C833" s="20"/>
      <c r="D833" s="46"/>
      <c r="E833" s="35"/>
    </row>
    <row r="834" ht="15.75" hidden="1" customHeight="1">
      <c r="A834" s="20" t="s">
        <v>51</v>
      </c>
      <c r="B834" s="47" t="s">
        <v>369</v>
      </c>
      <c r="C834" s="12" t="str">
        <f>B834&amp;"_"&amp;A834</f>
        <v>Papel Pampa_La Paz</v>
      </c>
      <c r="D834" s="20"/>
      <c r="E834" s="45">
        <v>3776.0</v>
      </c>
      <c r="F834" s="14">
        <f t="shared" ref="F834:H834" si="77">SUM(F835:F847)</f>
        <v>2345.213192</v>
      </c>
      <c r="G834" s="14">
        <f t="shared" si="77"/>
        <v>1327.531677</v>
      </c>
      <c r="H834" s="14">
        <f t="shared" si="77"/>
        <v>103.0403551</v>
      </c>
    </row>
    <row r="835" ht="15.75" hidden="1" customHeight="1">
      <c r="A835" s="20" t="s">
        <v>51</v>
      </c>
      <c r="B835" s="47" t="s">
        <v>369</v>
      </c>
      <c r="C835" s="47"/>
      <c r="D835" s="19" t="s">
        <v>15</v>
      </c>
      <c r="E835" s="23">
        <v>338.0</v>
      </c>
      <c r="F835" s="18">
        <f>E835* 0.981163265034061</f>
        <v>331.6331836</v>
      </c>
      <c r="G835" s="18">
        <f>E835* 0.0027595216829083</f>
        <v>0.9327183288</v>
      </c>
      <c r="H835" s="18">
        <f>E835* 0.0160372202151627</f>
        <v>5.420580433</v>
      </c>
    </row>
    <row r="836" ht="15.75" hidden="1" customHeight="1">
      <c r="A836" s="20" t="s">
        <v>51</v>
      </c>
      <c r="B836" s="47" t="s">
        <v>369</v>
      </c>
      <c r="C836" s="47"/>
      <c r="D836" s="29" t="s">
        <v>370</v>
      </c>
      <c r="E836" s="23">
        <v>125.0</v>
      </c>
      <c r="F836" s="18">
        <f>E836* 0.142974979378609</f>
        <v>17.87187242</v>
      </c>
      <c r="G836" s="18">
        <f>E836* 0.852350838603245</f>
        <v>106.5438548</v>
      </c>
      <c r="H836" s="18">
        <f>E836* 0.00467418201814682</f>
        <v>0.5842727523</v>
      </c>
    </row>
    <row r="837" ht="15.75" hidden="1" customHeight="1">
      <c r="A837" s="20" t="s">
        <v>51</v>
      </c>
      <c r="B837" s="47" t="s">
        <v>369</v>
      </c>
      <c r="C837" s="47"/>
      <c r="D837" s="19" t="s">
        <v>11</v>
      </c>
      <c r="E837" s="23">
        <v>1229.0</v>
      </c>
      <c r="F837" s="18">
        <f>E837* 0.178797409805735</f>
        <v>219.7420167</v>
      </c>
      <c r="G837" s="18">
        <f>E837* 0.819278445883441</f>
        <v>1006.89321</v>
      </c>
      <c r="H837" s="18">
        <f>E837* 0.00181313598519889</f>
        <v>2.228344126</v>
      </c>
    </row>
    <row r="838" ht="15.75" hidden="1" customHeight="1">
      <c r="A838" s="20" t="s">
        <v>51</v>
      </c>
      <c r="B838" s="47" t="s">
        <v>369</v>
      </c>
      <c r="C838" s="47"/>
      <c r="D838" s="19" t="s">
        <v>17</v>
      </c>
      <c r="E838" s="23">
        <v>323.0</v>
      </c>
      <c r="F838" s="18">
        <f>E838* 0.916446662218225</f>
        <v>296.0122719</v>
      </c>
      <c r="G838" s="18">
        <f>E838* 0.0292436682236212</f>
        <v>9.445704836</v>
      </c>
      <c r="H838" s="18">
        <f>E838* 0.0543096695581537</f>
        <v>17.54202327</v>
      </c>
    </row>
    <row r="839" ht="15.75" hidden="1" customHeight="1">
      <c r="A839" s="20" t="s">
        <v>51</v>
      </c>
      <c r="B839" s="47" t="s">
        <v>369</v>
      </c>
      <c r="C839" s="47"/>
      <c r="D839" s="19" t="s">
        <v>31</v>
      </c>
      <c r="E839" s="23">
        <v>36.0</v>
      </c>
      <c r="F839" s="18">
        <f>E839* 0.957442434210526</f>
        <v>34.46792763</v>
      </c>
      <c r="G839" s="18">
        <f>E839* 0.0158305921052632</f>
        <v>0.5699013158</v>
      </c>
      <c r="H839" s="18">
        <f>E839* 0.0263157894736842</f>
        <v>0.9473684211</v>
      </c>
    </row>
    <row r="840" ht="15.75" hidden="1" customHeight="1">
      <c r="A840" s="20" t="s">
        <v>51</v>
      </c>
      <c r="B840" s="47" t="s">
        <v>369</v>
      </c>
      <c r="C840" s="47"/>
      <c r="D840" s="19" t="s">
        <v>18</v>
      </c>
      <c r="E840" s="23">
        <v>106.0</v>
      </c>
      <c r="F840" s="18">
        <f>E840* 0.983388008654987</f>
        <v>104.2391289</v>
      </c>
      <c r="G840" s="18">
        <f>E840* 0.0133314720457877</f>
        <v>1.413136037</v>
      </c>
      <c r="H840" s="18">
        <f>E840* 0.003210721016263</f>
        <v>0.3403364277</v>
      </c>
    </row>
    <row r="841" ht="15.75" hidden="1" customHeight="1">
      <c r="A841" s="20" t="s">
        <v>51</v>
      </c>
      <c r="B841" s="47" t="s">
        <v>369</v>
      </c>
      <c r="C841" s="47"/>
      <c r="D841" s="19" t="s">
        <v>19</v>
      </c>
      <c r="E841" s="23">
        <v>25.0</v>
      </c>
      <c r="F841" s="18">
        <f>E841* 0.511826182618262</f>
        <v>12.79565457</v>
      </c>
      <c r="G841" s="18">
        <f>E841* 0.476622662266227</f>
        <v>11.91556656</v>
      </c>
      <c r="H841" s="18">
        <f>E841* 0.0115511551155116</f>
        <v>0.2887788779</v>
      </c>
    </row>
    <row r="842" ht="15.75" hidden="1" customHeight="1">
      <c r="A842" s="20" t="s">
        <v>51</v>
      </c>
      <c r="B842" s="47" t="s">
        <v>369</v>
      </c>
      <c r="C842" s="47"/>
      <c r="D842" s="19" t="s">
        <v>20</v>
      </c>
      <c r="E842" s="23">
        <v>332.0</v>
      </c>
      <c r="F842" s="18">
        <f>E842* 0.814615536880747</f>
        <v>270.4523582</v>
      </c>
      <c r="G842" s="18">
        <f>E842* 0.0763167839340663</f>
        <v>25.33717227</v>
      </c>
      <c r="H842" s="18">
        <f>E842* 0.109013694193014</f>
        <v>36.19254647</v>
      </c>
    </row>
    <row r="843" ht="15.75" hidden="1" customHeight="1">
      <c r="A843" s="20" t="s">
        <v>51</v>
      </c>
      <c r="B843" s="47" t="s">
        <v>369</v>
      </c>
      <c r="C843" s="47"/>
      <c r="D843" s="19" t="s">
        <v>21</v>
      </c>
      <c r="E843" s="23">
        <v>139.0</v>
      </c>
      <c r="F843" s="18">
        <f>E843* 0.999722052365334</f>
        <v>138.9613653</v>
      </c>
      <c r="G843" s="20">
        <v>0.0</v>
      </c>
      <c r="H843" s="18">
        <f>E843* 0.000277947634665629</f>
        <v>0.03863472122</v>
      </c>
    </row>
    <row r="844" ht="15.75" hidden="1" customHeight="1">
      <c r="A844" s="20" t="s">
        <v>51</v>
      </c>
      <c r="B844" s="47" t="s">
        <v>369</v>
      </c>
      <c r="C844" s="47"/>
      <c r="D844" s="19" t="s">
        <v>36</v>
      </c>
      <c r="E844" s="23">
        <v>5.0</v>
      </c>
      <c r="F844" s="18">
        <f>E844* 0.999132697311362</f>
        <v>4.995663487</v>
      </c>
      <c r="G844" s="20">
        <v>0.0</v>
      </c>
      <c r="H844" s="18">
        <f>E844* 0.000867302688638335</f>
        <v>0.004336513443</v>
      </c>
    </row>
    <row r="845" ht="15.75" hidden="1" customHeight="1">
      <c r="A845" s="20" t="s">
        <v>51</v>
      </c>
      <c r="B845" s="47" t="s">
        <v>369</v>
      </c>
      <c r="C845" s="47"/>
      <c r="D845" s="19" t="s">
        <v>37</v>
      </c>
      <c r="E845" s="23">
        <v>1.0</v>
      </c>
      <c r="F845" s="18">
        <f>E845* 0.0555555555555556</f>
        <v>0.05555555556</v>
      </c>
      <c r="G845" s="18">
        <f>E845* 0.944444444444444</f>
        <v>0.9444444444</v>
      </c>
      <c r="H845" s="20">
        <v>0.0</v>
      </c>
    </row>
    <row r="846" ht="15.75" hidden="1" customHeight="1">
      <c r="A846" s="20" t="s">
        <v>51</v>
      </c>
      <c r="B846" s="47" t="s">
        <v>369</v>
      </c>
      <c r="C846" s="47"/>
      <c r="D846" s="19" t="s">
        <v>28</v>
      </c>
      <c r="E846" s="23">
        <v>129.0</v>
      </c>
      <c r="F846" s="18">
        <f>E846* 0.00115651503469545</f>
        <v>0.1491904395</v>
      </c>
      <c r="G846" s="18">
        <f>E846* 0.998843484965305</f>
        <v>128.8508096</v>
      </c>
      <c r="H846" s="20">
        <v>0.0</v>
      </c>
    </row>
    <row r="847" ht="15.75" hidden="1" customHeight="1">
      <c r="A847" s="20" t="s">
        <v>51</v>
      </c>
      <c r="B847" s="47" t="s">
        <v>369</v>
      </c>
      <c r="C847" s="47"/>
      <c r="D847" s="19" t="s">
        <v>12</v>
      </c>
      <c r="E847" s="23">
        <v>988.0</v>
      </c>
      <c r="F847" s="18">
        <f>E847* 0.924936238310357</f>
        <v>913.8370035</v>
      </c>
      <c r="G847" s="18">
        <f>E847* 0.0351064361799663</f>
        <v>34.68515895</v>
      </c>
      <c r="H847" s="18">
        <f>E847* 0.039932320925503</f>
        <v>39.45313307</v>
      </c>
    </row>
    <row r="848" ht="15.75" hidden="1" customHeight="1">
      <c r="A848" s="20" t="s">
        <v>51</v>
      </c>
      <c r="B848" s="20"/>
      <c r="C848" s="20"/>
      <c r="D848" s="46"/>
      <c r="E848" s="35"/>
    </row>
    <row r="849" ht="15.75" hidden="1" customHeight="1">
      <c r="A849" s="20" t="s">
        <v>51</v>
      </c>
      <c r="B849" s="47" t="s">
        <v>91</v>
      </c>
      <c r="C849" s="12" t="str">
        <f>B849&amp;"_"&amp;A849</f>
        <v>Patacamaya_La Paz</v>
      </c>
      <c r="D849" s="20"/>
      <c r="E849" s="45">
        <v>4307.0</v>
      </c>
      <c r="F849" s="14">
        <f t="shared" ref="F849:H849" si="78">SUM(F850:F862)</f>
        <v>3225.989924</v>
      </c>
      <c r="G849" s="14">
        <f t="shared" si="78"/>
        <v>931.7359408</v>
      </c>
      <c r="H849" s="14">
        <f t="shared" si="78"/>
        <v>149.0764375</v>
      </c>
    </row>
    <row r="850" ht="15.75" hidden="1" customHeight="1">
      <c r="A850" s="20" t="s">
        <v>51</v>
      </c>
      <c r="B850" s="47" t="s">
        <v>91</v>
      </c>
      <c r="C850" s="47"/>
      <c r="D850" s="29" t="s">
        <v>371</v>
      </c>
      <c r="E850" s="23">
        <v>0.0</v>
      </c>
      <c r="F850" s="20">
        <v>0.0</v>
      </c>
      <c r="G850" s="24">
        <f>E850</f>
        <v>0</v>
      </c>
      <c r="H850" s="20">
        <v>0.0</v>
      </c>
    </row>
    <row r="851" ht="15.75" hidden="1" customHeight="1">
      <c r="A851" s="20" t="s">
        <v>51</v>
      </c>
      <c r="B851" s="47" t="s">
        <v>91</v>
      </c>
      <c r="C851" s="47"/>
      <c r="D851" s="19" t="s">
        <v>15</v>
      </c>
      <c r="E851" s="23">
        <v>554.0</v>
      </c>
      <c r="F851" s="18">
        <f>E851* 0.981163265034061</f>
        <v>543.5644488</v>
      </c>
      <c r="G851" s="18">
        <f>E851* 0.0027595216829083</f>
        <v>1.528775012</v>
      </c>
      <c r="H851" s="18">
        <f>E851* 0.0160372202151627</f>
        <v>8.884619999</v>
      </c>
    </row>
    <row r="852" ht="15.75" hidden="1" customHeight="1">
      <c r="A852" s="20" t="s">
        <v>51</v>
      </c>
      <c r="B852" s="47" t="s">
        <v>91</v>
      </c>
      <c r="C852" s="47"/>
      <c r="D852" s="29" t="s">
        <v>372</v>
      </c>
      <c r="E852" s="23">
        <v>73.0</v>
      </c>
      <c r="F852" s="18">
        <f>E852* 0.142974979378609</f>
        <v>10.43717349</v>
      </c>
      <c r="G852" s="18">
        <f>E852* 0.852350838603245</f>
        <v>62.22161122</v>
      </c>
      <c r="H852" s="18">
        <f>E852* 0.00467418201814682</f>
        <v>0.3412152873</v>
      </c>
    </row>
    <row r="853" ht="15.75" hidden="1" customHeight="1">
      <c r="A853" s="20" t="s">
        <v>51</v>
      </c>
      <c r="B853" s="47" t="s">
        <v>91</v>
      </c>
      <c r="C853" s="47"/>
      <c r="D853" s="19" t="s">
        <v>11</v>
      </c>
      <c r="E853" s="23">
        <v>670.0</v>
      </c>
      <c r="F853" s="18">
        <f>E853* 0.178797409805735</f>
        <v>119.7942646</v>
      </c>
      <c r="G853" s="18">
        <f>E853* 0.819278445883441</f>
        <v>548.9165587</v>
      </c>
      <c r="H853" s="18">
        <f>E853* 0.00181313598519889</f>
        <v>1.21480111</v>
      </c>
    </row>
    <row r="854" ht="15.75" hidden="1" customHeight="1">
      <c r="A854" s="20" t="s">
        <v>51</v>
      </c>
      <c r="B854" s="47" t="s">
        <v>91</v>
      </c>
      <c r="C854" s="47"/>
      <c r="D854" s="19" t="s">
        <v>17</v>
      </c>
      <c r="E854" s="23">
        <v>523.0</v>
      </c>
      <c r="F854" s="18">
        <f>E854* 0.916446662218225</f>
        <v>479.3016043</v>
      </c>
      <c r="G854" s="18">
        <f>E854* 0.0292436682236212</f>
        <v>15.29443848</v>
      </c>
      <c r="H854" s="18">
        <f>E854* 0.0543096695581537</f>
        <v>28.40395718</v>
      </c>
    </row>
    <row r="855" ht="15.75" hidden="1" customHeight="1">
      <c r="A855" s="20" t="s">
        <v>51</v>
      </c>
      <c r="B855" s="47" t="s">
        <v>91</v>
      </c>
      <c r="C855" s="47"/>
      <c r="D855" s="19" t="s">
        <v>31</v>
      </c>
      <c r="E855" s="23">
        <v>81.0</v>
      </c>
      <c r="F855" s="18">
        <f>E855* 0.957442434210526</f>
        <v>77.55283717</v>
      </c>
      <c r="G855" s="18">
        <f>E855* 0.0158305921052632</f>
        <v>1.282277961</v>
      </c>
      <c r="H855" s="18">
        <f>E855* 0.0263157894736842</f>
        <v>2.131578947</v>
      </c>
    </row>
    <row r="856" ht="15.75" hidden="1" customHeight="1">
      <c r="A856" s="20" t="s">
        <v>51</v>
      </c>
      <c r="B856" s="47" t="s">
        <v>91</v>
      </c>
      <c r="C856" s="47"/>
      <c r="D856" s="19" t="s">
        <v>18</v>
      </c>
      <c r="E856" s="23">
        <v>114.0</v>
      </c>
      <c r="F856" s="18">
        <f>E856* 0.983388008654987</f>
        <v>112.106233</v>
      </c>
      <c r="G856" s="18">
        <f>E856* 0.0133314720457877</f>
        <v>1.519787813</v>
      </c>
      <c r="H856" s="18">
        <f>E856* 0.003210721016263</f>
        <v>0.3660221959</v>
      </c>
    </row>
    <row r="857" ht="15.75" hidden="1" customHeight="1">
      <c r="A857" s="20" t="s">
        <v>51</v>
      </c>
      <c r="B857" s="47" t="s">
        <v>91</v>
      </c>
      <c r="C857" s="47"/>
      <c r="D857" s="19" t="s">
        <v>19</v>
      </c>
      <c r="E857" s="23">
        <v>50.0</v>
      </c>
      <c r="F857" s="18">
        <f>E857* 0.511826182618262</f>
        <v>25.59130913</v>
      </c>
      <c r="G857" s="18">
        <f>E857* 0.476622662266227</f>
        <v>23.83113311</v>
      </c>
      <c r="H857" s="18">
        <f>E857* 0.0115511551155116</f>
        <v>0.5775577558</v>
      </c>
    </row>
    <row r="858" ht="15.75" hidden="1" customHeight="1">
      <c r="A858" s="20" t="s">
        <v>51</v>
      </c>
      <c r="B858" s="47" t="s">
        <v>91</v>
      </c>
      <c r="C858" s="47"/>
      <c r="D858" s="19" t="s">
        <v>20</v>
      </c>
      <c r="E858" s="23">
        <v>501.0</v>
      </c>
      <c r="F858" s="18">
        <f>E858* 0.814615536880747</f>
        <v>408.122384</v>
      </c>
      <c r="G858" s="18">
        <f>E858* 0.0763167839340663</f>
        <v>38.23470875</v>
      </c>
      <c r="H858" s="18">
        <f>E858* 0.109013694193014</f>
        <v>54.61586079</v>
      </c>
    </row>
    <row r="859" ht="15.75" hidden="1" customHeight="1">
      <c r="A859" s="20" t="s">
        <v>51</v>
      </c>
      <c r="B859" s="47" t="s">
        <v>91</v>
      </c>
      <c r="C859" s="47"/>
      <c r="D859" s="19" t="s">
        <v>21</v>
      </c>
      <c r="E859" s="23">
        <v>226.0</v>
      </c>
      <c r="F859" s="18">
        <f>E859* 0.999722052365334</f>
        <v>225.9371838</v>
      </c>
      <c r="G859" s="20">
        <v>0.0</v>
      </c>
      <c r="H859" s="18">
        <f>E859* 0.000277947634665629</f>
        <v>0.06281616543</v>
      </c>
    </row>
    <row r="860" ht="15.75" hidden="1" customHeight="1">
      <c r="A860" s="20" t="s">
        <v>51</v>
      </c>
      <c r="B860" s="47" t="s">
        <v>91</v>
      </c>
      <c r="C860" s="47"/>
      <c r="D860" s="19" t="s">
        <v>36</v>
      </c>
      <c r="E860" s="23">
        <v>8.0</v>
      </c>
      <c r="F860" s="18">
        <f>E860* 0.999132697311362</f>
        <v>7.993061578</v>
      </c>
      <c r="G860" s="20">
        <v>0.0</v>
      </c>
      <c r="H860" s="18">
        <f>E860* 0.000867302688638335</f>
        <v>0.006938421509</v>
      </c>
    </row>
    <row r="861" ht="15.75" hidden="1" customHeight="1">
      <c r="A861" s="20" t="s">
        <v>51</v>
      </c>
      <c r="B861" s="47" t="s">
        <v>91</v>
      </c>
      <c r="C861" s="47"/>
      <c r="D861" s="19" t="s">
        <v>28</v>
      </c>
      <c r="E861" s="23">
        <v>193.0</v>
      </c>
      <c r="F861" s="18">
        <f>E861* 0.00115651503469545</f>
        <v>0.2232074017</v>
      </c>
      <c r="G861" s="18">
        <f>E861* 0.998843484965305</f>
        <v>192.7767926</v>
      </c>
      <c r="H861" s="20">
        <v>0.0</v>
      </c>
    </row>
    <row r="862" ht="15.75" hidden="1" customHeight="1">
      <c r="A862" s="20" t="s">
        <v>51</v>
      </c>
      <c r="B862" s="47" t="s">
        <v>91</v>
      </c>
      <c r="C862" s="47"/>
      <c r="D862" s="19" t="s">
        <v>12</v>
      </c>
      <c r="E862" s="23">
        <v>1314.0</v>
      </c>
      <c r="F862" s="18">
        <f>E862* 0.924936238310357</f>
        <v>1215.366217</v>
      </c>
      <c r="G862" s="18">
        <f>E862* 0.0351064361799663</f>
        <v>46.12985714</v>
      </c>
      <c r="H862" s="18">
        <f>E862* 0.039932320925503</f>
        <v>52.4710697</v>
      </c>
    </row>
    <row r="863" ht="15.75" hidden="1" customHeight="1">
      <c r="A863" s="20" t="s">
        <v>51</v>
      </c>
      <c r="B863" s="20"/>
      <c r="C863" s="20"/>
      <c r="D863" s="46"/>
      <c r="E863" s="35"/>
    </row>
    <row r="864" ht="15.75" hidden="1" customHeight="1">
      <c r="A864" s="20" t="s">
        <v>51</v>
      </c>
      <c r="B864" s="47" t="s">
        <v>373</v>
      </c>
      <c r="C864" s="12" t="str">
        <f>B864&amp;"_"&amp;A864</f>
        <v>Pelechuco_La Paz</v>
      </c>
      <c r="D864" s="20"/>
      <c r="E864" s="45">
        <v>123.0</v>
      </c>
      <c r="F864" s="14">
        <f t="shared" ref="F864:H864" si="79">SUM(F865:F872)</f>
        <v>80.88358987</v>
      </c>
      <c r="G864" s="14">
        <f t="shared" si="79"/>
        <v>38.71619253</v>
      </c>
      <c r="H864" s="14">
        <f t="shared" si="79"/>
        <v>3.394449496</v>
      </c>
    </row>
    <row r="865" ht="15.75" hidden="1" customHeight="1">
      <c r="A865" s="20" t="s">
        <v>51</v>
      </c>
      <c r="B865" s="47" t="s">
        <v>373</v>
      </c>
      <c r="C865" s="47"/>
      <c r="D865" s="29" t="s">
        <v>374</v>
      </c>
      <c r="E865" s="23">
        <v>2.0</v>
      </c>
      <c r="F865" s="18">
        <f>E865* 0.142974979378609</f>
        <v>0.2859499588</v>
      </c>
      <c r="G865" s="18">
        <f>E865* 0.852350838603245</f>
        <v>1.704701677</v>
      </c>
      <c r="H865" s="18">
        <f>E865* 0.00467418201814682</f>
        <v>0.009348364036</v>
      </c>
    </row>
    <row r="866" ht="15.75" hidden="1" customHeight="1">
      <c r="A866" s="20" t="s">
        <v>51</v>
      </c>
      <c r="B866" s="47" t="s">
        <v>373</v>
      </c>
      <c r="C866" s="47"/>
      <c r="D866" s="19" t="s">
        <v>11</v>
      </c>
      <c r="E866" s="23">
        <v>35.0</v>
      </c>
      <c r="F866" s="18">
        <f>E866* 0.178797409805735</f>
        <v>6.257909343</v>
      </c>
      <c r="G866" s="18">
        <f>E866* 0.819278445883441</f>
        <v>28.67474561</v>
      </c>
      <c r="H866" s="18">
        <f>E866* 0.00181313598519889</f>
        <v>0.06345975948</v>
      </c>
    </row>
    <row r="867" ht="15.75" hidden="1" customHeight="1">
      <c r="A867" s="20" t="s">
        <v>51</v>
      </c>
      <c r="B867" s="47" t="s">
        <v>373</v>
      </c>
      <c r="C867" s="47"/>
      <c r="D867" s="19" t="s">
        <v>17</v>
      </c>
      <c r="E867" s="23">
        <v>36.0</v>
      </c>
      <c r="F867" s="18">
        <f>E867* 0.916446662218225</f>
        <v>32.99207984</v>
      </c>
      <c r="G867" s="18">
        <f>E867* 0.0292436682236212</f>
        <v>1.052772056</v>
      </c>
      <c r="H867" s="18">
        <f>E867* 0.0543096695581537</f>
        <v>1.955148104</v>
      </c>
    </row>
    <row r="868" ht="15.75" hidden="1" customHeight="1">
      <c r="A868" s="20" t="s">
        <v>51</v>
      </c>
      <c r="B868" s="47" t="s">
        <v>373</v>
      </c>
      <c r="C868" s="47"/>
      <c r="D868" s="19" t="s">
        <v>18</v>
      </c>
      <c r="E868" s="23">
        <v>16.0</v>
      </c>
      <c r="F868" s="18">
        <f>E868* 0.983388008654987</f>
        <v>15.73420814</v>
      </c>
      <c r="G868" s="18">
        <f>E868* 0.0133314720457877</f>
        <v>0.2133035527</v>
      </c>
      <c r="H868" s="18">
        <f>E868* 0.003210721016263</f>
        <v>0.05137153626</v>
      </c>
    </row>
    <row r="869" ht="15.75" hidden="1" customHeight="1">
      <c r="A869" s="20" t="s">
        <v>51</v>
      </c>
      <c r="B869" s="47" t="s">
        <v>373</v>
      </c>
      <c r="C869" s="47"/>
      <c r="D869" s="19" t="s">
        <v>20</v>
      </c>
      <c r="E869" s="23">
        <v>4.0</v>
      </c>
      <c r="F869" s="18">
        <f>E869* 0.814615536880747</f>
        <v>3.258462148</v>
      </c>
      <c r="G869" s="18">
        <f>E869* 0.0763167839340663</f>
        <v>0.3052671357</v>
      </c>
      <c r="H869" s="18">
        <f>E869* 0.109013694193014</f>
        <v>0.4360547768</v>
      </c>
    </row>
    <row r="870" ht="15.75" hidden="1" customHeight="1">
      <c r="A870" s="20" t="s">
        <v>51</v>
      </c>
      <c r="B870" s="47" t="s">
        <v>373</v>
      </c>
      <c r="C870" s="47"/>
      <c r="D870" s="19" t="s">
        <v>21</v>
      </c>
      <c r="E870" s="23">
        <v>2.0</v>
      </c>
      <c r="F870" s="18">
        <f>E870* 0.999722052365334</f>
        <v>1.999444105</v>
      </c>
      <c r="G870" s="20">
        <v>0.0</v>
      </c>
      <c r="H870" s="18">
        <f>E870* 0.000277947634665629</f>
        <v>0.0005558952693</v>
      </c>
    </row>
    <row r="871" ht="15.75" hidden="1" customHeight="1">
      <c r="A871" s="20" t="s">
        <v>51</v>
      </c>
      <c r="B871" s="47" t="s">
        <v>373</v>
      </c>
      <c r="C871" s="47"/>
      <c r="D871" s="19" t="s">
        <v>28</v>
      </c>
      <c r="E871" s="23">
        <v>6.0</v>
      </c>
      <c r="F871" s="18">
        <f>E871* 0.00115651503469545</f>
        <v>0.006939090208</v>
      </c>
      <c r="G871" s="18">
        <f>E871* 0.998843484965305</f>
        <v>5.99306091</v>
      </c>
      <c r="H871" s="20">
        <v>0.0</v>
      </c>
    </row>
    <row r="872" ht="15.75" hidden="1" customHeight="1">
      <c r="A872" s="20" t="s">
        <v>51</v>
      </c>
      <c r="B872" s="47" t="s">
        <v>373</v>
      </c>
      <c r="C872" s="47"/>
      <c r="D872" s="19" t="s">
        <v>12</v>
      </c>
      <c r="E872" s="23">
        <v>22.0</v>
      </c>
      <c r="F872" s="18">
        <f>E872* 0.924936238310357</f>
        <v>20.34859724</v>
      </c>
      <c r="G872" s="18">
        <f>E872* 0.0351064361799663</f>
        <v>0.772341596</v>
      </c>
      <c r="H872" s="18">
        <f>E872* 0.039932320925503</f>
        <v>0.8785110604</v>
      </c>
    </row>
    <row r="873" ht="15.75" hidden="1" customHeight="1">
      <c r="A873" s="20" t="s">
        <v>51</v>
      </c>
      <c r="B873" s="20"/>
      <c r="C873" s="20"/>
      <c r="D873" s="46"/>
      <c r="E873" s="35"/>
    </row>
    <row r="874" ht="15.75" hidden="1" customHeight="1">
      <c r="A874" s="20" t="s">
        <v>51</v>
      </c>
      <c r="B874" s="47" t="s">
        <v>92</v>
      </c>
      <c r="C874" s="12" t="str">
        <f>B874&amp;"_"&amp;A874</f>
        <v>Pucarani_La Paz</v>
      </c>
      <c r="D874" s="20"/>
      <c r="E874" s="45">
        <v>2324.0</v>
      </c>
      <c r="F874" s="14">
        <f t="shared" ref="F874:H874" si="80">SUM(F875:F887)</f>
        <v>1963.588647</v>
      </c>
      <c r="G874" s="14">
        <f t="shared" si="80"/>
        <v>285.094558</v>
      </c>
      <c r="H874" s="14">
        <f t="shared" si="80"/>
        <v>75.24037542</v>
      </c>
    </row>
    <row r="875" ht="15.75" hidden="1" customHeight="1">
      <c r="A875" s="20" t="s">
        <v>51</v>
      </c>
      <c r="B875" s="47" t="s">
        <v>92</v>
      </c>
      <c r="C875" s="47"/>
      <c r="D875" s="29" t="s">
        <v>375</v>
      </c>
      <c r="E875" s="23">
        <v>17.0</v>
      </c>
      <c r="F875" s="20">
        <v>0.0</v>
      </c>
      <c r="G875" s="24">
        <f>E875</f>
        <v>17</v>
      </c>
      <c r="H875" s="20">
        <v>0.0</v>
      </c>
    </row>
    <row r="876" ht="15.75" hidden="1" customHeight="1">
      <c r="A876" s="20" t="s">
        <v>51</v>
      </c>
      <c r="B876" s="47" t="s">
        <v>92</v>
      </c>
      <c r="C876" s="47"/>
      <c r="D876" s="19" t="s">
        <v>15</v>
      </c>
      <c r="E876" s="23">
        <v>154.0</v>
      </c>
      <c r="F876" s="18">
        <f>E876* 0.981163265034061</f>
        <v>151.0991428</v>
      </c>
      <c r="G876" s="18">
        <f>E876* 0.0027595216829083</f>
        <v>0.4249663392</v>
      </c>
      <c r="H876" s="18">
        <f>E876* 0.0160372202151627</f>
        <v>2.469731913</v>
      </c>
    </row>
    <row r="877" ht="15.75" hidden="1" customHeight="1">
      <c r="A877" s="20" t="s">
        <v>51</v>
      </c>
      <c r="B877" s="47" t="s">
        <v>92</v>
      </c>
      <c r="C877" s="47"/>
      <c r="D877" s="29" t="s">
        <v>376</v>
      </c>
      <c r="E877" s="23">
        <v>5.0</v>
      </c>
      <c r="F877" s="18">
        <f>E877* 0.142974979378609</f>
        <v>0.7148748969</v>
      </c>
      <c r="G877" s="18">
        <f>E877* 0.852350838603245</f>
        <v>4.261754193</v>
      </c>
      <c r="H877" s="18">
        <f>E877* 0.00467418201814682</f>
        <v>0.02337091009</v>
      </c>
    </row>
    <row r="878" ht="15.75" hidden="1" customHeight="1">
      <c r="A878" s="20" t="s">
        <v>51</v>
      </c>
      <c r="B878" s="47" t="s">
        <v>92</v>
      </c>
      <c r="C878" s="47"/>
      <c r="D878" s="19" t="s">
        <v>11</v>
      </c>
      <c r="E878" s="23">
        <v>200.0</v>
      </c>
      <c r="F878" s="18">
        <f>E878* 0.178797409805735</f>
        <v>35.75948196</v>
      </c>
      <c r="G878" s="18">
        <f>E878* 0.819278445883441</f>
        <v>163.8556892</v>
      </c>
      <c r="H878" s="18">
        <f>E878* 0.00181313598519889</f>
        <v>0.362627197</v>
      </c>
    </row>
    <row r="879" ht="15.75" hidden="1" customHeight="1">
      <c r="A879" s="20" t="s">
        <v>51</v>
      </c>
      <c r="B879" s="47" t="s">
        <v>92</v>
      </c>
      <c r="C879" s="47"/>
      <c r="D879" s="19" t="s">
        <v>17</v>
      </c>
      <c r="E879" s="23">
        <v>153.0</v>
      </c>
      <c r="F879" s="18">
        <f>E879* 0.916446662218225</f>
        <v>140.2163393</v>
      </c>
      <c r="G879" s="18">
        <f>E879* 0.0292436682236212</f>
        <v>4.474281238</v>
      </c>
      <c r="H879" s="18">
        <f>E879* 0.0543096695581537</f>
        <v>8.309379442</v>
      </c>
    </row>
    <row r="880" ht="15.75" hidden="1" customHeight="1">
      <c r="A880" s="20" t="s">
        <v>51</v>
      </c>
      <c r="B880" s="47" t="s">
        <v>92</v>
      </c>
      <c r="C880" s="47"/>
      <c r="D880" s="19" t="s">
        <v>31</v>
      </c>
      <c r="E880" s="23">
        <v>33.0</v>
      </c>
      <c r="F880" s="18">
        <f>E880* 0.957442434210526</f>
        <v>31.59560033</v>
      </c>
      <c r="G880" s="18">
        <f>E880* 0.0158305921052632</f>
        <v>0.5224095395</v>
      </c>
      <c r="H880" s="18">
        <f>E880* 0.0263157894736842</f>
        <v>0.8684210526</v>
      </c>
    </row>
    <row r="881" ht="15.75" hidden="1" customHeight="1">
      <c r="A881" s="20" t="s">
        <v>51</v>
      </c>
      <c r="B881" s="47" t="s">
        <v>92</v>
      </c>
      <c r="C881" s="47"/>
      <c r="D881" s="19" t="s">
        <v>18</v>
      </c>
      <c r="E881" s="23">
        <v>22.0</v>
      </c>
      <c r="F881" s="18">
        <f>E881* 0.983388008654987</f>
        <v>21.63453619</v>
      </c>
      <c r="G881" s="18">
        <f>E881* 0.0133314720457877</f>
        <v>0.293292385</v>
      </c>
      <c r="H881" s="18">
        <f>E881* 0.003210721016263</f>
        <v>0.07063586236</v>
      </c>
    </row>
    <row r="882" ht="15.75" hidden="1" customHeight="1">
      <c r="A882" s="20" t="s">
        <v>51</v>
      </c>
      <c r="B882" s="47" t="s">
        <v>92</v>
      </c>
      <c r="C882" s="47"/>
      <c r="D882" s="19" t="s">
        <v>19</v>
      </c>
      <c r="E882" s="23">
        <v>8.0</v>
      </c>
      <c r="F882" s="18">
        <f>E882* 0.511826182618262</f>
        <v>4.094609461</v>
      </c>
      <c r="G882" s="18">
        <f>E882* 0.476622662266227</f>
        <v>3.812981298</v>
      </c>
      <c r="H882" s="18">
        <f>E882* 0.0115511551155116</f>
        <v>0.09240924092</v>
      </c>
    </row>
    <row r="883" ht="15.75" hidden="1" customHeight="1">
      <c r="A883" s="20" t="s">
        <v>51</v>
      </c>
      <c r="B883" s="47" t="s">
        <v>92</v>
      </c>
      <c r="C883" s="47"/>
      <c r="D883" s="19" t="s">
        <v>20</v>
      </c>
      <c r="E883" s="23">
        <v>446.0</v>
      </c>
      <c r="F883" s="18">
        <f>E883* 0.814615536880747</f>
        <v>363.3185294</v>
      </c>
      <c r="G883" s="18">
        <f>E883* 0.0763167839340663</f>
        <v>34.03728563</v>
      </c>
      <c r="H883" s="18">
        <f>E883* 0.109013694193014</f>
        <v>48.62010761</v>
      </c>
    </row>
    <row r="884" ht="15.75" hidden="1" customHeight="1">
      <c r="A884" s="20" t="s">
        <v>51</v>
      </c>
      <c r="B884" s="47" t="s">
        <v>92</v>
      </c>
      <c r="C884" s="47"/>
      <c r="D884" s="19" t="s">
        <v>21</v>
      </c>
      <c r="E884" s="23">
        <v>885.0</v>
      </c>
      <c r="F884" s="18">
        <f>E884* 0.999722052365334</f>
        <v>884.7540163</v>
      </c>
      <c r="G884" s="20">
        <v>0.0</v>
      </c>
      <c r="H884" s="18">
        <f>E884* 0.000277947634665629</f>
        <v>0.2459836567</v>
      </c>
    </row>
    <row r="885" ht="15.75" hidden="1" customHeight="1">
      <c r="A885" s="20" t="s">
        <v>51</v>
      </c>
      <c r="B885" s="47" t="s">
        <v>92</v>
      </c>
      <c r="C885" s="47"/>
      <c r="D885" s="19" t="s">
        <v>36</v>
      </c>
      <c r="E885" s="23">
        <v>2.0</v>
      </c>
      <c r="F885" s="18">
        <f>E885* 0.999132697311362</f>
        <v>1.998265395</v>
      </c>
      <c r="G885" s="20">
        <v>0.0</v>
      </c>
      <c r="H885" s="18">
        <f>E885* 0.000867302688638335</f>
        <v>0.001734605377</v>
      </c>
    </row>
    <row r="886" ht="15.75" hidden="1" customHeight="1">
      <c r="A886" s="20" t="s">
        <v>51</v>
      </c>
      <c r="B886" s="47" t="s">
        <v>92</v>
      </c>
      <c r="C886" s="47"/>
      <c r="D886" s="19" t="s">
        <v>28</v>
      </c>
      <c r="E886" s="23">
        <v>44.0</v>
      </c>
      <c r="F886" s="18">
        <f>E886* 0.00115651503469545</f>
        <v>0.05088666153</v>
      </c>
      <c r="G886" s="18">
        <f>E886* 0.998843484965305</f>
        <v>43.94911334</v>
      </c>
      <c r="H886" s="20">
        <v>0.0</v>
      </c>
    </row>
    <row r="887" ht="15.75" hidden="1" customHeight="1">
      <c r="A887" s="20" t="s">
        <v>51</v>
      </c>
      <c r="B887" s="47" t="s">
        <v>92</v>
      </c>
      <c r="C887" s="47"/>
      <c r="D887" s="19" t="s">
        <v>12</v>
      </c>
      <c r="E887" s="23">
        <v>355.0</v>
      </c>
      <c r="F887" s="18">
        <f>E887* 0.924936238310357</f>
        <v>328.3523646</v>
      </c>
      <c r="G887" s="18">
        <f>E887* 0.0351064361799663</f>
        <v>12.46278484</v>
      </c>
      <c r="H887" s="18">
        <f>E887* 0.039932320925503</f>
        <v>14.17597393</v>
      </c>
    </row>
    <row r="888" ht="15.75" hidden="1" customHeight="1">
      <c r="A888" s="20" t="s">
        <v>51</v>
      </c>
      <c r="B888" s="20"/>
      <c r="C888" s="20"/>
      <c r="D888" s="46"/>
      <c r="E888" s="35"/>
    </row>
    <row r="889" ht="15.75" hidden="1" customHeight="1">
      <c r="A889" s="20" t="s">
        <v>51</v>
      </c>
      <c r="B889" s="47" t="s">
        <v>93</v>
      </c>
      <c r="C889" s="12" t="str">
        <f>B889&amp;"_"&amp;A889</f>
        <v>Puerto Acosta_La Paz</v>
      </c>
      <c r="D889" s="20"/>
      <c r="E889" s="45">
        <v>2799.0</v>
      </c>
      <c r="F889" s="14">
        <f t="shared" ref="F889:H889" si="81">SUM(F890:F902)</f>
        <v>2365.090356</v>
      </c>
      <c r="G889" s="14">
        <f t="shared" si="81"/>
        <v>335.7772634</v>
      </c>
      <c r="H889" s="14">
        <f t="shared" si="81"/>
        <v>98.03818434</v>
      </c>
    </row>
    <row r="890" ht="15.75" hidden="1" customHeight="1">
      <c r="A890" s="20" t="s">
        <v>51</v>
      </c>
      <c r="B890" s="47" t="s">
        <v>93</v>
      </c>
      <c r="C890" s="47"/>
      <c r="D890" s="29" t="s">
        <v>377</v>
      </c>
      <c r="E890" s="23">
        <v>8.0</v>
      </c>
      <c r="F890" s="20">
        <v>0.0</v>
      </c>
      <c r="G890" s="24">
        <f>E890</f>
        <v>8</v>
      </c>
      <c r="H890" s="20">
        <v>0.0</v>
      </c>
    </row>
    <row r="891" ht="15.75" hidden="1" customHeight="1">
      <c r="A891" s="20" t="s">
        <v>51</v>
      </c>
      <c r="B891" s="47" t="s">
        <v>93</v>
      </c>
      <c r="C891" s="47"/>
      <c r="D891" s="19" t="s">
        <v>15</v>
      </c>
      <c r="E891" s="23">
        <v>242.0</v>
      </c>
      <c r="F891" s="18">
        <f>E891* 0.981163265034061</f>
        <v>237.4415101</v>
      </c>
      <c r="G891" s="18">
        <f>E891* 0.0027595216829083</f>
        <v>0.6678042473</v>
      </c>
      <c r="H891" s="18">
        <f>E891* 0.0160372202151627</f>
        <v>3.881007292</v>
      </c>
    </row>
    <row r="892" ht="15.75" hidden="1" customHeight="1">
      <c r="A892" s="20" t="s">
        <v>51</v>
      </c>
      <c r="B892" s="47" t="s">
        <v>93</v>
      </c>
      <c r="C892" s="47"/>
      <c r="D892" s="29" t="s">
        <v>378</v>
      </c>
      <c r="E892" s="23">
        <v>19.0</v>
      </c>
      <c r="F892" s="18">
        <f>E892* 0.142974979378609</f>
        <v>2.716524608</v>
      </c>
      <c r="G892" s="18">
        <f>E892* 0.852350838603245</f>
        <v>16.19466593</v>
      </c>
      <c r="H892" s="18">
        <f>E892* 0.00467418201814682</f>
        <v>0.08880945834</v>
      </c>
    </row>
    <row r="893" ht="15.75" hidden="1" customHeight="1">
      <c r="A893" s="20" t="s">
        <v>51</v>
      </c>
      <c r="B893" s="47" t="s">
        <v>93</v>
      </c>
      <c r="C893" s="47"/>
      <c r="D893" s="19" t="s">
        <v>11</v>
      </c>
      <c r="E893" s="23">
        <v>241.0</v>
      </c>
      <c r="F893" s="18">
        <f>E893* 0.178797409805735</f>
        <v>43.09017576</v>
      </c>
      <c r="G893" s="18">
        <f>E893* 0.819278445883441</f>
        <v>197.4461055</v>
      </c>
      <c r="H893" s="18">
        <f>E893* 0.00181313598519889</f>
        <v>0.4369657724</v>
      </c>
    </row>
    <row r="894" ht="15.75" hidden="1" customHeight="1">
      <c r="A894" s="20" t="s">
        <v>51</v>
      </c>
      <c r="B894" s="47" t="s">
        <v>93</v>
      </c>
      <c r="C894" s="47"/>
      <c r="D894" s="19" t="s">
        <v>17</v>
      </c>
      <c r="E894" s="23">
        <v>176.0</v>
      </c>
      <c r="F894" s="18">
        <f>E894* 0.916446662218225</f>
        <v>161.2946126</v>
      </c>
      <c r="G894" s="18">
        <f>E894* 0.0292436682236212</f>
        <v>5.146885607</v>
      </c>
      <c r="H894" s="18">
        <f>E894* 0.0543096695581537</f>
        <v>9.558501842</v>
      </c>
    </row>
    <row r="895" ht="15.75" hidden="1" customHeight="1">
      <c r="A895" s="20" t="s">
        <v>51</v>
      </c>
      <c r="B895" s="47" t="s">
        <v>93</v>
      </c>
      <c r="C895" s="47"/>
      <c r="D895" s="19" t="s">
        <v>31</v>
      </c>
      <c r="E895" s="23">
        <v>23.0</v>
      </c>
      <c r="F895" s="18">
        <f>E895* 0.957442434210526</f>
        <v>22.02117599</v>
      </c>
      <c r="G895" s="18">
        <f>E895* 0.0158305921052632</f>
        <v>0.3641036184</v>
      </c>
      <c r="H895" s="18">
        <f>E895* 0.0263157894736842</f>
        <v>0.6052631579</v>
      </c>
    </row>
    <row r="896" ht="15.75" hidden="1" customHeight="1">
      <c r="A896" s="20" t="s">
        <v>51</v>
      </c>
      <c r="B896" s="47" t="s">
        <v>93</v>
      </c>
      <c r="C896" s="47"/>
      <c r="D896" s="19" t="s">
        <v>18</v>
      </c>
      <c r="E896" s="23">
        <v>47.0</v>
      </c>
      <c r="F896" s="18">
        <f>E896* 0.983388008654987</f>
        <v>46.21923641</v>
      </c>
      <c r="G896" s="18">
        <f>E896* 0.0133314720457877</f>
        <v>0.6265791862</v>
      </c>
      <c r="H896" s="18">
        <f>E896* 0.003210721016263</f>
        <v>0.1509038878</v>
      </c>
    </row>
    <row r="897" ht="15.75" hidden="1" customHeight="1">
      <c r="A897" s="20" t="s">
        <v>51</v>
      </c>
      <c r="B897" s="47" t="s">
        <v>93</v>
      </c>
      <c r="C897" s="47"/>
      <c r="D897" s="19" t="s">
        <v>19</v>
      </c>
      <c r="E897" s="23">
        <v>4.0</v>
      </c>
      <c r="F897" s="18">
        <f>E897* 0.511826182618262</f>
        <v>2.04730473</v>
      </c>
      <c r="G897" s="18">
        <f>E897* 0.476622662266227</f>
        <v>1.906490649</v>
      </c>
      <c r="H897" s="18">
        <f>E897* 0.0115511551155116</f>
        <v>0.04620462046</v>
      </c>
    </row>
    <row r="898" ht="15.75" hidden="1" customHeight="1">
      <c r="A898" s="20" t="s">
        <v>51</v>
      </c>
      <c r="B898" s="47" t="s">
        <v>93</v>
      </c>
      <c r="C898" s="47"/>
      <c r="D898" s="19" t="s">
        <v>20</v>
      </c>
      <c r="E898" s="23">
        <v>489.0</v>
      </c>
      <c r="F898" s="18">
        <f>E898* 0.814615536880747</f>
        <v>398.3469975</v>
      </c>
      <c r="G898" s="18">
        <f>E898* 0.0763167839340663</f>
        <v>37.31890734</v>
      </c>
      <c r="H898" s="18">
        <f>E898* 0.109013694193014</f>
        <v>53.30769646</v>
      </c>
    </row>
    <row r="899" ht="15.75" hidden="1" customHeight="1">
      <c r="A899" s="20" t="s">
        <v>51</v>
      </c>
      <c r="B899" s="47" t="s">
        <v>93</v>
      </c>
      <c r="C899" s="47"/>
      <c r="D899" s="19" t="s">
        <v>21</v>
      </c>
      <c r="E899" s="23">
        <v>761.0</v>
      </c>
      <c r="F899" s="18">
        <f>E899* 0.999722052365334</f>
        <v>760.7884819</v>
      </c>
      <c r="G899" s="20">
        <v>0.0</v>
      </c>
      <c r="H899" s="18">
        <f>E899* 0.000277947634665629</f>
        <v>0.21151815</v>
      </c>
    </row>
    <row r="900" ht="15.75" hidden="1" customHeight="1">
      <c r="A900" s="20" t="s">
        <v>51</v>
      </c>
      <c r="B900" s="47" t="s">
        <v>93</v>
      </c>
      <c r="C900" s="47"/>
      <c r="D900" s="19" t="s">
        <v>36</v>
      </c>
      <c r="E900" s="23">
        <v>2.0</v>
      </c>
      <c r="F900" s="18">
        <f>E900* 0.999132697311362</f>
        <v>1.998265395</v>
      </c>
      <c r="G900" s="20">
        <v>0.0</v>
      </c>
      <c r="H900" s="18">
        <f>E900* 0.000867302688638335</f>
        <v>0.001734605377</v>
      </c>
    </row>
    <row r="901" ht="15.75" hidden="1" customHeight="1">
      <c r="A901" s="20" t="s">
        <v>51</v>
      </c>
      <c r="B901" s="47" t="s">
        <v>93</v>
      </c>
      <c r="C901" s="47"/>
      <c r="D901" s="19" t="s">
        <v>28</v>
      </c>
      <c r="E901" s="23">
        <v>42.0</v>
      </c>
      <c r="F901" s="18">
        <f>E901* 0.00115651503469545</f>
        <v>0.04857363146</v>
      </c>
      <c r="G901" s="18">
        <f>E901* 0.998843484965305</f>
        <v>41.95142637</v>
      </c>
      <c r="H901" s="20">
        <v>0.0</v>
      </c>
    </row>
    <row r="902" ht="15.75" hidden="1" customHeight="1">
      <c r="A902" s="20" t="s">
        <v>51</v>
      </c>
      <c r="B902" s="47" t="s">
        <v>93</v>
      </c>
      <c r="C902" s="47"/>
      <c r="D902" s="19" t="s">
        <v>12</v>
      </c>
      <c r="E902" s="23">
        <v>745.0</v>
      </c>
      <c r="F902" s="18">
        <f>E902* 0.924936238310357</f>
        <v>689.0774975</v>
      </c>
      <c r="G902" s="18">
        <f>E902* 0.0351064361799663</f>
        <v>26.15429495</v>
      </c>
      <c r="H902" s="18">
        <f>E902* 0.039932320925503</f>
        <v>29.74957909</v>
      </c>
    </row>
    <row r="903" ht="15.75" hidden="1" customHeight="1">
      <c r="A903" s="20" t="s">
        <v>51</v>
      </c>
      <c r="B903" s="20"/>
      <c r="C903" s="20"/>
      <c r="D903" s="46"/>
      <c r="E903" s="35"/>
    </row>
    <row r="904" ht="15.75" hidden="1" customHeight="1">
      <c r="A904" s="20" t="s">
        <v>51</v>
      </c>
      <c r="B904" s="47" t="s">
        <v>94</v>
      </c>
      <c r="C904" s="12" t="str">
        <f>B904&amp;"_"&amp;A904</f>
        <v>Puerto Mayor Carabuco Ch._La Paz</v>
      </c>
      <c r="D904" s="20"/>
      <c r="E904" s="45">
        <v>1557.0</v>
      </c>
      <c r="F904" s="14">
        <f t="shared" ref="F904:H904" si="82">SUM(F905:F915)</f>
        <v>1429.699647</v>
      </c>
      <c r="G904" s="14">
        <f t="shared" si="82"/>
        <v>85.17452298</v>
      </c>
      <c r="H904" s="14">
        <f t="shared" si="82"/>
        <v>42.08857728</v>
      </c>
    </row>
    <row r="905" ht="15.75" hidden="1" customHeight="1">
      <c r="A905" s="20" t="s">
        <v>51</v>
      </c>
      <c r="B905" s="47" t="s">
        <v>94</v>
      </c>
      <c r="C905" s="47"/>
      <c r="D905" s="19" t="s">
        <v>15</v>
      </c>
      <c r="E905" s="23">
        <v>110.0</v>
      </c>
      <c r="F905" s="18">
        <f>E905* 0.981163265034061</f>
        <v>107.9279592</v>
      </c>
      <c r="G905" s="18">
        <f>E905* 0.0027595216829083</f>
        <v>0.3035473851</v>
      </c>
      <c r="H905" s="18">
        <f>E905* 0.0160372202151627</f>
        <v>1.764094224</v>
      </c>
    </row>
    <row r="906" ht="15.75" hidden="1" customHeight="1">
      <c r="A906" s="20" t="s">
        <v>51</v>
      </c>
      <c r="B906" s="47" t="s">
        <v>94</v>
      </c>
      <c r="C906" s="47"/>
      <c r="D906" s="29" t="s">
        <v>379</v>
      </c>
      <c r="E906" s="23">
        <v>1.0</v>
      </c>
      <c r="F906" s="18">
        <f>E906* 0.142974979378609</f>
        <v>0.1429749794</v>
      </c>
      <c r="G906" s="18">
        <f>E906* 0.852350838603245</f>
        <v>0.8523508386</v>
      </c>
      <c r="H906" s="18">
        <f>E906* 0.00467418201814682</f>
        <v>0.004674182018</v>
      </c>
    </row>
    <row r="907" ht="15.75" hidden="1" customHeight="1">
      <c r="A907" s="20" t="s">
        <v>51</v>
      </c>
      <c r="B907" s="47" t="s">
        <v>94</v>
      </c>
      <c r="C907" s="47"/>
      <c r="D907" s="19" t="s">
        <v>11</v>
      </c>
      <c r="E907" s="23">
        <v>50.0</v>
      </c>
      <c r="F907" s="18">
        <f>E907* 0.178797409805735</f>
        <v>8.93987049</v>
      </c>
      <c r="G907" s="18">
        <f>E907* 0.819278445883441</f>
        <v>40.96392229</v>
      </c>
      <c r="H907" s="18">
        <f>E907* 0.00181313598519889</f>
        <v>0.09065679926</v>
      </c>
    </row>
    <row r="908" ht="15.75" hidden="1" customHeight="1">
      <c r="A908" s="20" t="s">
        <v>51</v>
      </c>
      <c r="B908" s="47" t="s">
        <v>94</v>
      </c>
      <c r="C908" s="47"/>
      <c r="D908" s="19" t="s">
        <v>17</v>
      </c>
      <c r="E908" s="23">
        <v>82.0</v>
      </c>
      <c r="F908" s="18">
        <f>E908* 0.916446662218225</f>
        <v>75.1486263</v>
      </c>
      <c r="G908" s="18">
        <f>E908* 0.0292436682236212</f>
        <v>2.397980794</v>
      </c>
      <c r="H908" s="18">
        <f>E908* 0.0543096695581537</f>
        <v>4.453392904</v>
      </c>
    </row>
    <row r="909" ht="15.75" hidden="1" customHeight="1">
      <c r="A909" s="20" t="s">
        <v>51</v>
      </c>
      <c r="B909" s="47" t="s">
        <v>94</v>
      </c>
      <c r="C909" s="47"/>
      <c r="D909" s="19" t="s">
        <v>31</v>
      </c>
      <c r="E909" s="23">
        <v>16.0</v>
      </c>
      <c r="F909" s="18">
        <f>E909* 0.957442434210526</f>
        <v>15.31907895</v>
      </c>
      <c r="G909" s="18">
        <f>E909* 0.0158305921052632</f>
        <v>0.2532894737</v>
      </c>
      <c r="H909" s="18">
        <f>E909* 0.0263157894736842</f>
        <v>0.4210526316</v>
      </c>
    </row>
    <row r="910" ht="15.75" hidden="1" customHeight="1">
      <c r="A910" s="20" t="s">
        <v>51</v>
      </c>
      <c r="B910" s="47" t="s">
        <v>94</v>
      </c>
      <c r="C910" s="47"/>
      <c r="D910" s="19" t="s">
        <v>18</v>
      </c>
      <c r="E910" s="23">
        <v>21.0</v>
      </c>
      <c r="F910" s="18">
        <f>E910* 0.983388008654987</f>
        <v>20.65114818</v>
      </c>
      <c r="G910" s="18">
        <f>E910* 0.0133314720457877</f>
        <v>0.279960913</v>
      </c>
      <c r="H910" s="18">
        <f>E910* 0.003210721016263</f>
        <v>0.06742514134</v>
      </c>
    </row>
    <row r="911" ht="15.75" hidden="1" customHeight="1">
      <c r="A911" s="20" t="s">
        <v>51</v>
      </c>
      <c r="B911" s="47" t="s">
        <v>94</v>
      </c>
      <c r="C911" s="47"/>
      <c r="D911" s="19" t="s">
        <v>20</v>
      </c>
      <c r="E911" s="23">
        <v>190.0</v>
      </c>
      <c r="F911" s="18">
        <f>E911* 0.814615536880747</f>
        <v>154.776952</v>
      </c>
      <c r="G911" s="18">
        <f>E911* 0.0763167839340663</f>
        <v>14.50018895</v>
      </c>
      <c r="H911" s="18">
        <f>E911* 0.109013694193014</f>
        <v>20.7126019</v>
      </c>
    </row>
    <row r="912" ht="15.75" hidden="1" customHeight="1">
      <c r="A912" s="20" t="s">
        <v>51</v>
      </c>
      <c r="B912" s="47" t="s">
        <v>94</v>
      </c>
      <c r="C912" s="47"/>
      <c r="D912" s="19" t="s">
        <v>21</v>
      </c>
      <c r="E912" s="23">
        <v>713.0</v>
      </c>
      <c r="F912" s="18">
        <f>E912* 0.999722052365334</f>
        <v>712.8018233</v>
      </c>
      <c r="G912" s="20">
        <v>0.0</v>
      </c>
      <c r="H912" s="18">
        <f>E912* 0.000277947634665629</f>
        <v>0.1981766635</v>
      </c>
    </row>
    <row r="913" ht="15.75" hidden="1" customHeight="1">
      <c r="A913" s="20" t="s">
        <v>51</v>
      </c>
      <c r="B913" s="47" t="s">
        <v>94</v>
      </c>
      <c r="C913" s="47"/>
      <c r="D913" s="19" t="s">
        <v>36</v>
      </c>
      <c r="E913" s="23">
        <v>1.0</v>
      </c>
      <c r="F913" s="18">
        <f>E913* 0.999132697311362</f>
        <v>0.9991326973</v>
      </c>
      <c r="G913" s="20">
        <v>0.0</v>
      </c>
      <c r="H913" s="18">
        <f>E913* 0.000867302688638335</f>
        <v>0.0008673026886</v>
      </c>
    </row>
    <row r="914" ht="15.75" hidden="1" customHeight="1">
      <c r="A914" s="20" t="s">
        <v>51</v>
      </c>
      <c r="B914" s="47" t="s">
        <v>94</v>
      </c>
      <c r="C914" s="47"/>
      <c r="D914" s="19" t="s">
        <v>28</v>
      </c>
      <c r="E914" s="23">
        <v>13.0</v>
      </c>
      <c r="F914" s="18">
        <f>E914* 0.00115651503469545</f>
        <v>0.01503469545</v>
      </c>
      <c r="G914" s="18">
        <f>E914* 0.998843484965305</f>
        <v>12.9849653</v>
      </c>
      <c r="H914" s="20">
        <v>0.0</v>
      </c>
    </row>
    <row r="915" ht="15.75" hidden="1" customHeight="1">
      <c r="A915" s="20" t="s">
        <v>51</v>
      </c>
      <c r="B915" s="47" t="s">
        <v>94</v>
      </c>
      <c r="C915" s="47"/>
      <c r="D915" s="19" t="s">
        <v>12</v>
      </c>
      <c r="E915" s="23">
        <v>360.0</v>
      </c>
      <c r="F915" s="18">
        <f>E915* 0.924936238310357</f>
        <v>332.9770458</v>
      </c>
      <c r="G915" s="18">
        <f>E915* 0.0351064361799663</f>
        <v>12.63831702</v>
      </c>
      <c r="H915" s="18">
        <f>E915* 0.039932320925503</f>
        <v>14.37563553</v>
      </c>
    </row>
    <row r="916" ht="15.75" hidden="1" customHeight="1">
      <c r="A916" s="20" t="s">
        <v>51</v>
      </c>
      <c r="B916" s="20"/>
      <c r="C916" s="20"/>
      <c r="D916" s="46"/>
      <c r="E916" s="35"/>
    </row>
    <row r="917" ht="15.75" hidden="1" customHeight="1">
      <c r="A917" s="20" t="s">
        <v>51</v>
      </c>
      <c r="B917" s="47" t="s">
        <v>380</v>
      </c>
      <c r="C917" s="12" t="str">
        <f>B917&amp;"_"&amp;A917</f>
        <v>Puerto Perez_La Paz</v>
      </c>
      <c r="D917" s="20"/>
      <c r="E917" s="45">
        <v>624.0</v>
      </c>
      <c r="F917" s="14">
        <f t="shared" ref="F917:H917" si="83">SUM(F918:F927)</f>
        <v>593.5361566</v>
      </c>
      <c r="G917" s="14">
        <f t="shared" si="83"/>
        <v>20.96695608</v>
      </c>
      <c r="H917" s="14">
        <f t="shared" si="83"/>
        <v>9.487430123</v>
      </c>
    </row>
    <row r="918" ht="15.75" hidden="1" customHeight="1">
      <c r="A918" s="20" t="s">
        <v>51</v>
      </c>
      <c r="B918" s="47" t="s">
        <v>380</v>
      </c>
      <c r="C918" s="47"/>
      <c r="D918" s="19" t="s">
        <v>15</v>
      </c>
      <c r="E918" s="23">
        <v>27.0</v>
      </c>
      <c r="F918" s="18">
        <f>E918* 0.981163265034061</f>
        <v>26.49140816</v>
      </c>
      <c r="G918" s="18">
        <f>E918* 0.0027595216829083</f>
        <v>0.07450708544</v>
      </c>
      <c r="H918" s="18">
        <f>E918* 0.0160372202151627</f>
        <v>0.4330049458</v>
      </c>
    </row>
    <row r="919" ht="15.75" hidden="1" customHeight="1">
      <c r="A919" s="20" t="s">
        <v>51</v>
      </c>
      <c r="B919" s="47" t="s">
        <v>380</v>
      </c>
      <c r="C919" s="47"/>
      <c r="D919" s="19" t="s">
        <v>11</v>
      </c>
      <c r="E919" s="23">
        <v>15.0</v>
      </c>
      <c r="F919" s="18">
        <f>E919* 0.178797409805735</f>
        <v>2.681961147</v>
      </c>
      <c r="G919" s="18">
        <f>E919* 0.819278445883441</f>
        <v>12.28917669</v>
      </c>
      <c r="H919" s="18">
        <f>E919* 0.00181313598519889</f>
        <v>0.02719703978</v>
      </c>
    </row>
    <row r="920" ht="15.75" hidden="1" customHeight="1">
      <c r="A920" s="20" t="s">
        <v>51</v>
      </c>
      <c r="B920" s="47" t="s">
        <v>380</v>
      </c>
      <c r="C920" s="47"/>
      <c r="D920" s="19" t="s">
        <v>17</v>
      </c>
      <c r="E920" s="23">
        <v>21.0</v>
      </c>
      <c r="F920" s="18">
        <f>E920* 0.916446662218225</f>
        <v>19.24537991</v>
      </c>
      <c r="G920" s="18">
        <f>E920* 0.0292436682236212</f>
        <v>0.6141170327</v>
      </c>
      <c r="H920" s="18">
        <f>E920* 0.0543096695581537</f>
        <v>1.140503061</v>
      </c>
    </row>
    <row r="921" ht="15.75" hidden="1" customHeight="1">
      <c r="A921" s="20" t="s">
        <v>51</v>
      </c>
      <c r="B921" s="47" t="s">
        <v>380</v>
      </c>
      <c r="C921" s="47"/>
      <c r="D921" s="19" t="s">
        <v>31</v>
      </c>
      <c r="E921" s="23">
        <v>5.0</v>
      </c>
      <c r="F921" s="18">
        <f>E921* 0.957442434210526</f>
        <v>4.787212171</v>
      </c>
      <c r="G921" s="18">
        <f>E921* 0.0158305921052632</f>
        <v>0.07915296053</v>
      </c>
      <c r="H921" s="18">
        <f>E921* 0.0263157894736842</f>
        <v>0.1315789474</v>
      </c>
    </row>
    <row r="922" ht="15.75" hidden="1" customHeight="1">
      <c r="A922" s="20" t="s">
        <v>51</v>
      </c>
      <c r="B922" s="47" t="s">
        <v>380</v>
      </c>
      <c r="C922" s="47"/>
      <c r="D922" s="19" t="s">
        <v>18</v>
      </c>
      <c r="E922" s="23">
        <v>7.0</v>
      </c>
      <c r="F922" s="18">
        <f>E922* 0.983388008654987</f>
        <v>6.883716061</v>
      </c>
      <c r="G922" s="18">
        <f>E922* 0.0133314720457877</f>
        <v>0.09332030432</v>
      </c>
      <c r="H922" s="18">
        <f>E922* 0.003210721016263</f>
        <v>0.02247504711</v>
      </c>
    </row>
    <row r="923" ht="15.75" hidden="1" customHeight="1">
      <c r="A923" s="20" t="s">
        <v>51</v>
      </c>
      <c r="B923" s="47" t="s">
        <v>380</v>
      </c>
      <c r="C923" s="47"/>
      <c r="D923" s="19" t="s">
        <v>20</v>
      </c>
      <c r="E923" s="23">
        <v>42.0</v>
      </c>
      <c r="F923" s="18">
        <f>E923* 0.814615536880747</f>
        <v>34.21385255</v>
      </c>
      <c r="G923" s="18">
        <f>E923* 0.0763167839340663</f>
        <v>3.205304925</v>
      </c>
      <c r="H923" s="18">
        <f>E923* 0.109013694193014</f>
        <v>4.578575156</v>
      </c>
    </row>
    <row r="924" ht="15.75" hidden="1" customHeight="1">
      <c r="A924" s="20" t="s">
        <v>51</v>
      </c>
      <c r="B924" s="47" t="s">
        <v>380</v>
      </c>
      <c r="C924" s="47"/>
      <c r="D924" s="19" t="s">
        <v>21</v>
      </c>
      <c r="E924" s="23">
        <v>429.0</v>
      </c>
      <c r="F924" s="18">
        <f>E924* 0.999722052365334</f>
        <v>428.8807605</v>
      </c>
      <c r="G924" s="20">
        <v>0.0</v>
      </c>
      <c r="H924" s="18">
        <f>E924* 0.000277947634665629</f>
        <v>0.1192395353</v>
      </c>
    </row>
    <row r="925" ht="15.75" hidden="1" customHeight="1">
      <c r="A925" s="20" t="s">
        <v>51</v>
      </c>
      <c r="B925" s="47" t="s">
        <v>380</v>
      </c>
      <c r="C925" s="47"/>
      <c r="D925" s="19" t="s">
        <v>37</v>
      </c>
      <c r="E925" s="23">
        <v>1.0</v>
      </c>
      <c r="F925" s="18">
        <f>E925* 0.0555555555555556</f>
        <v>0.05555555556</v>
      </c>
      <c r="G925" s="18">
        <f>E925* 0.944444444444444</f>
        <v>0.9444444444</v>
      </c>
      <c r="H925" s="20">
        <v>0.0</v>
      </c>
    </row>
    <row r="926" ht="15.75" hidden="1" customHeight="1">
      <c r="A926" s="20" t="s">
        <v>51</v>
      </c>
      <c r="B926" s="47" t="s">
        <v>380</v>
      </c>
      <c r="C926" s="47"/>
      <c r="D926" s="19" t="s">
        <v>28</v>
      </c>
      <c r="E926" s="23">
        <v>1.0</v>
      </c>
      <c r="F926" s="18">
        <f>E926* 0.00115651503469545</f>
        <v>0.001156515035</v>
      </c>
      <c r="G926" s="18">
        <f>E926* 0.998843484965305</f>
        <v>0.998843485</v>
      </c>
      <c r="H926" s="20">
        <v>0.0</v>
      </c>
    </row>
    <row r="927" ht="15.75" hidden="1" customHeight="1">
      <c r="A927" s="20" t="s">
        <v>51</v>
      </c>
      <c r="B927" s="47" t="s">
        <v>380</v>
      </c>
      <c r="C927" s="47"/>
      <c r="D927" s="19" t="s">
        <v>12</v>
      </c>
      <c r="E927" s="23">
        <v>76.0</v>
      </c>
      <c r="F927" s="18">
        <f>E927* 0.924936238310357</f>
        <v>70.29515411</v>
      </c>
      <c r="G927" s="18">
        <f>E927* 0.0351064361799663</f>
        <v>2.66808915</v>
      </c>
      <c r="H927" s="18">
        <f>E927* 0.039932320925503</f>
        <v>3.03485639</v>
      </c>
    </row>
    <row r="928" ht="15.75" hidden="1" customHeight="1">
      <c r="A928" s="20" t="s">
        <v>51</v>
      </c>
      <c r="B928" s="20"/>
      <c r="C928" s="20"/>
      <c r="D928" s="46"/>
      <c r="E928" s="35"/>
    </row>
    <row r="929" ht="15.75" hidden="1" customHeight="1">
      <c r="A929" s="20" t="s">
        <v>51</v>
      </c>
      <c r="B929" s="47" t="s">
        <v>95</v>
      </c>
      <c r="C929" s="12" t="str">
        <f>B929&amp;"_"&amp;A929</f>
        <v>Quime_La Paz</v>
      </c>
      <c r="D929" s="20"/>
      <c r="E929" s="45">
        <v>901.0</v>
      </c>
      <c r="F929" s="14">
        <f t="shared" ref="F929:H929" si="84">SUM(F930:F941)</f>
        <v>703.1016017</v>
      </c>
      <c r="G929" s="14">
        <f t="shared" si="84"/>
        <v>169.4146518</v>
      </c>
      <c r="H929" s="14">
        <f t="shared" si="84"/>
        <v>28.44708818</v>
      </c>
    </row>
    <row r="930" ht="15.75" hidden="1" customHeight="1">
      <c r="A930" s="20" t="s">
        <v>51</v>
      </c>
      <c r="B930" s="47" t="s">
        <v>95</v>
      </c>
      <c r="C930" s="47"/>
      <c r="D930" s="19" t="s">
        <v>15</v>
      </c>
      <c r="E930" s="23">
        <v>154.0</v>
      </c>
      <c r="F930" s="18">
        <f>E930* 0.981163265034061</f>
        <v>151.0991428</v>
      </c>
      <c r="G930" s="18">
        <f>E930* 0.0027595216829083</f>
        <v>0.4249663392</v>
      </c>
      <c r="H930" s="18">
        <f>E930* 0.0160372202151627</f>
        <v>2.469731913</v>
      </c>
    </row>
    <row r="931" ht="15.75" hidden="1" customHeight="1">
      <c r="A931" s="20" t="s">
        <v>51</v>
      </c>
      <c r="B931" s="47" t="s">
        <v>95</v>
      </c>
      <c r="C931" s="47"/>
      <c r="D931" s="29" t="s">
        <v>381</v>
      </c>
      <c r="E931" s="23">
        <v>12.0</v>
      </c>
      <c r="F931" s="18">
        <f>E931* 0.142974979378609</f>
        <v>1.715699753</v>
      </c>
      <c r="G931" s="18">
        <f>E931* 0.852350838603245</f>
        <v>10.22821006</v>
      </c>
      <c r="H931" s="18">
        <f>E931* 0.00467418201814682</f>
        <v>0.05609018422</v>
      </c>
    </row>
    <row r="932" ht="15.75" hidden="1" customHeight="1">
      <c r="A932" s="20" t="s">
        <v>51</v>
      </c>
      <c r="B932" s="47" t="s">
        <v>95</v>
      </c>
      <c r="C932" s="47"/>
      <c r="D932" s="19" t="s">
        <v>11</v>
      </c>
      <c r="E932" s="23">
        <v>136.0</v>
      </c>
      <c r="F932" s="18">
        <f>E932* 0.178797409805735</f>
        <v>24.31644773</v>
      </c>
      <c r="G932" s="18">
        <f>E932* 0.819278445883441</f>
        <v>111.4218686</v>
      </c>
      <c r="H932" s="18">
        <f>E932* 0.00181313598519889</f>
        <v>0.246586494</v>
      </c>
    </row>
    <row r="933" ht="15.75" hidden="1" customHeight="1">
      <c r="A933" s="20" t="s">
        <v>51</v>
      </c>
      <c r="B933" s="47" t="s">
        <v>95</v>
      </c>
      <c r="C933" s="47"/>
      <c r="D933" s="19" t="s">
        <v>17</v>
      </c>
      <c r="E933" s="23">
        <v>93.0</v>
      </c>
      <c r="F933" s="18">
        <f>E933* 0.916446662218225</f>
        <v>85.22953959</v>
      </c>
      <c r="G933" s="18">
        <f>E933* 0.0292436682236212</f>
        <v>2.719661145</v>
      </c>
      <c r="H933" s="18">
        <f>E933* 0.0543096695581537</f>
        <v>5.050799269</v>
      </c>
    </row>
    <row r="934" ht="15.75" hidden="1" customHeight="1">
      <c r="A934" s="20" t="s">
        <v>51</v>
      </c>
      <c r="B934" s="47" t="s">
        <v>95</v>
      </c>
      <c r="C934" s="47"/>
      <c r="D934" s="19" t="s">
        <v>31</v>
      </c>
      <c r="E934" s="23">
        <v>6.0</v>
      </c>
      <c r="F934" s="18">
        <f>E934* 0.957442434210526</f>
        <v>5.744654605</v>
      </c>
      <c r="G934" s="18">
        <f>E934* 0.0158305921052632</f>
        <v>0.09498355263</v>
      </c>
      <c r="H934" s="18">
        <f>E934* 0.0263157894736842</f>
        <v>0.1578947368</v>
      </c>
    </row>
    <row r="935" ht="15.75" hidden="1" customHeight="1">
      <c r="A935" s="20" t="s">
        <v>51</v>
      </c>
      <c r="B935" s="47" t="s">
        <v>95</v>
      </c>
      <c r="C935" s="47"/>
      <c r="D935" s="19" t="s">
        <v>18</v>
      </c>
      <c r="E935" s="23">
        <v>23.0</v>
      </c>
      <c r="F935" s="18">
        <f>E935* 0.983388008654987</f>
        <v>22.6179242</v>
      </c>
      <c r="G935" s="18">
        <f>E935* 0.0133314720457877</f>
        <v>0.3066238571</v>
      </c>
      <c r="H935" s="18">
        <f>E935* 0.003210721016263</f>
        <v>0.07384658337</v>
      </c>
    </row>
    <row r="936" ht="15.75" hidden="1" customHeight="1">
      <c r="A936" s="20" t="s">
        <v>51</v>
      </c>
      <c r="B936" s="47" t="s">
        <v>95</v>
      </c>
      <c r="C936" s="47"/>
      <c r="D936" s="19" t="s">
        <v>19</v>
      </c>
      <c r="E936" s="23">
        <v>9.0</v>
      </c>
      <c r="F936" s="18">
        <f>E936* 0.511826182618262</f>
        <v>4.606435644</v>
      </c>
      <c r="G936" s="18">
        <f>E936* 0.476622662266227</f>
        <v>4.28960396</v>
      </c>
      <c r="H936" s="18">
        <f>E936* 0.0115511551155116</f>
        <v>0.103960396</v>
      </c>
    </row>
    <row r="937" ht="15.75" hidden="1" customHeight="1">
      <c r="A937" s="20" t="s">
        <v>51</v>
      </c>
      <c r="B937" s="47" t="s">
        <v>95</v>
      </c>
      <c r="C937" s="47"/>
      <c r="D937" s="19" t="s">
        <v>20</v>
      </c>
      <c r="E937" s="23">
        <v>95.0</v>
      </c>
      <c r="F937" s="18">
        <f>E937* 0.814615536880747</f>
        <v>77.388476</v>
      </c>
      <c r="G937" s="18">
        <f>E937* 0.0763167839340663</f>
        <v>7.250094474</v>
      </c>
      <c r="H937" s="18">
        <f>E937* 0.109013694193014</f>
        <v>10.35630095</v>
      </c>
    </row>
    <row r="938" ht="15.75" hidden="1" customHeight="1">
      <c r="A938" s="20" t="s">
        <v>51</v>
      </c>
      <c r="B938" s="47" t="s">
        <v>95</v>
      </c>
      <c r="C938" s="47"/>
      <c r="D938" s="19" t="s">
        <v>21</v>
      </c>
      <c r="E938" s="23">
        <v>100.0</v>
      </c>
      <c r="F938" s="18">
        <f>E938* 0.999722052365334</f>
        <v>99.97220524</v>
      </c>
      <c r="G938" s="20">
        <v>0.0</v>
      </c>
      <c r="H938" s="18">
        <f>E938* 0.000277947634665629</f>
        <v>0.02779476347</v>
      </c>
    </row>
    <row r="939" ht="15.75" hidden="1" customHeight="1">
      <c r="A939" s="20" t="s">
        <v>51</v>
      </c>
      <c r="B939" s="47" t="s">
        <v>95</v>
      </c>
      <c r="C939" s="47"/>
      <c r="D939" s="19" t="s">
        <v>36</v>
      </c>
      <c r="E939" s="23">
        <v>1.0</v>
      </c>
      <c r="F939" s="18">
        <f>E939* 0.999132697311362</f>
        <v>0.9991326973</v>
      </c>
      <c r="G939" s="20">
        <v>0.0</v>
      </c>
      <c r="H939" s="18">
        <f>E939* 0.000867302688638335</f>
        <v>0.0008673026886</v>
      </c>
    </row>
    <row r="940" ht="15.75" hidden="1" customHeight="1">
      <c r="A940" s="20" t="s">
        <v>51</v>
      </c>
      <c r="B940" s="47" t="s">
        <v>95</v>
      </c>
      <c r="C940" s="47"/>
      <c r="D940" s="19" t="s">
        <v>28</v>
      </c>
      <c r="E940" s="23">
        <v>24.0</v>
      </c>
      <c r="F940" s="18">
        <f>E940* 0.00115651503469545</f>
        <v>0.02775636083</v>
      </c>
      <c r="G940" s="18">
        <f>E940* 0.998843484965305</f>
        <v>23.97224364</v>
      </c>
      <c r="H940" s="20">
        <v>0.0</v>
      </c>
    </row>
    <row r="941" ht="15.75" hidden="1" customHeight="1">
      <c r="A941" s="20" t="s">
        <v>51</v>
      </c>
      <c r="B941" s="47" t="s">
        <v>95</v>
      </c>
      <c r="C941" s="47"/>
      <c r="D941" s="19" t="s">
        <v>12</v>
      </c>
      <c r="E941" s="23">
        <v>248.0</v>
      </c>
      <c r="F941" s="18">
        <f>E941* 0.924936238310357</f>
        <v>229.3841871</v>
      </c>
      <c r="G941" s="18">
        <f>E941* 0.0351064361799663</f>
        <v>8.706396173</v>
      </c>
      <c r="H941" s="18">
        <f>E941* 0.039932320925503</f>
        <v>9.90321559</v>
      </c>
    </row>
    <row r="942" ht="15.75" hidden="1" customHeight="1">
      <c r="A942" s="20" t="s">
        <v>51</v>
      </c>
      <c r="B942" s="20"/>
      <c r="C942" s="20"/>
      <c r="D942" s="46"/>
      <c r="E942" s="35"/>
    </row>
    <row r="943" ht="15.75" hidden="1" customHeight="1">
      <c r="A943" s="20" t="s">
        <v>51</v>
      </c>
      <c r="B943" s="47" t="s">
        <v>382</v>
      </c>
      <c r="C943" s="12" t="str">
        <f>B943&amp;"_"&amp;A943</f>
        <v>San Andrés de Machaca_La Paz</v>
      </c>
      <c r="D943" s="20"/>
      <c r="E943" s="45">
        <v>75.0</v>
      </c>
      <c r="F943" s="14">
        <f t="shared" ref="F943:H943" si="85">SUM(F944:F954)</f>
        <v>47.84519184</v>
      </c>
      <c r="G943" s="14">
        <f t="shared" si="85"/>
        <v>24.17605624</v>
      </c>
      <c r="H943" s="14">
        <f t="shared" si="85"/>
        <v>2.975243728</v>
      </c>
    </row>
    <row r="944" ht="15.75" hidden="1" customHeight="1">
      <c r="A944" s="20" t="s">
        <v>51</v>
      </c>
      <c r="B944" s="47" t="s">
        <v>382</v>
      </c>
      <c r="C944" s="47"/>
      <c r="D944" s="19" t="s">
        <v>15</v>
      </c>
      <c r="E944" s="23">
        <v>4.0</v>
      </c>
      <c r="F944" s="18">
        <f>E944* 0.981163265034061</f>
        <v>3.92465306</v>
      </c>
      <c r="G944" s="18">
        <f>E944* 0.0027595216829083</f>
        <v>0.01103808673</v>
      </c>
      <c r="H944" s="18">
        <f>E944* 0.0160372202151627</f>
        <v>0.06414888086</v>
      </c>
    </row>
    <row r="945" ht="15.75" hidden="1" customHeight="1">
      <c r="A945" s="20" t="s">
        <v>51</v>
      </c>
      <c r="B945" s="47" t="s">
        <v>382</v>
      </c>
      <c r="C945" s="47"/>
      <c r="D945" s="29" t="s">
        <v>383</v>
      </c>
      <c r="E945" s="23">
        <v>14.0</v>
      </c>
      <c r="F945" s="18">
        <f>E945* 0.142974979378609</f>
        <v>2.001649711</v>
      </c>
      <c r="G945" s="18">
        <f>E945* 0.852350838603245</f>
        <v>11.93291174</v>
      </c>
      <c r="H945" s="18">
        <f>E945* 0.00467418201814682</f>
        <v>0.06543854825</v>
      </c>
    </row>
    <row r="946" ht="15.75" hidden="1" customHeight="1">
      <c r="A946" s="20" t="s">
        <v>51</v>
      </c>
      <c r="B946" s="47" t="s">
        <v>382</v>
      </c>
      <c r="C946" s="47"/>
      <c r="D946" s="19" t="s">
        <v>11</v>
      </c>
      <c r="E946" s="23">
        <v>7.0</v>
      </c>
      <c r="F946" s="18">
        <f>E946* 0.178797409805735</f>
        <v>1.251581869</v>
      </c>
      <c r="G946" s="18">
        <f>E946* 0.819278445883441</f>
        <v>5.734949121</v>
      </c>
      <c r="H946" s="18">
        <f>E946* 0.00181313598519889</f>
        <v>0.0126919519</v>
      </c>
    </row>
    <row r="947" ht="15.75" hidden="1" customHeight="1">
      <c r="A947" s="20" t="s">
        <v>51</v>
      </c>
      <c r="B947" s="47" t="s">
        <v>382</v>
      </c>
      <c r="C947" s="47"/>
      <c r="D947" s="19" t="s">
        <v>17</v>
      </c>
      <c r="E947" s="23">
        <v>6.0</v>
      </c>
      <c r="F947" s="18">
        <f>E947* 0.916446662218225</f>
        <v>5.498679973</v>
      </c>
      <c r="G947" s="18">
        <f>E947* 0.0292436682236212</f>
        <v>0.1754620093</v>
      </c>
      <c r="H947" s="18">
        <f>E947* 0.0543096695581537</f>
        <v>0.3258580173</v>
      </c>
    </row>
    <row r="948" ht="15.75" hidden="1" customHeight="1">
      <c r="A948" s="20" t="s">
        <v>51</v>
      </c>
      <c r="B948" s="47" t="s">
        <v>382</v>
      </c>
      <c r="C948" s="47"/>
      <c r="D948" s="19" t="s">
        <v>31</v>
      </c>
      <c r="E948" s="23">
        <v>3.0</v>
      </c>
      <c r="F948" s="18">
        <f>E948* 0.957442434210526</f>
        <v>2.872327303</v>
      </c>
      <c r="G948" s="18">
        <f>E948* 0.0158305921052632</f>
        <v>0.04749177632</v>
      </c>
      <c r="H948" s="18">
        <f>E948* 0.0263157894736842</f>
        <v>0.07894736842</v>
      </c>
    </row>
    <row r="949" ht="15.75" hidden="1" customHeight="1">
      <c r="A949" s="20" t="s">
        <v>51</v>
      </c>
      <c r="B949" s="47" t="s">
        <v>382</v>
      </c>
      <c r="C949" s="47"/>
      <c r="D949" s="19" t="s">
        <v>18</v>
      </c>
      <c r="E949" s="23">
        <v>1.0</v>
      </c>
      <c r="F949" s="18">
        <f>E949* 0.983388008654987</f>
        <v>0.9833880087</v>
      </c>
      <c r="G949" s="18">
        <f>E949* 0.0133314720457877</f>
        <v>0.01333147205</v>
      </c>
      <c r="H949" s="18">
        <f>E949* 0.003210721016263</f>
        <v>0.003210721016</v>
      </c>
    </row>
    <row r="950" ht="15.75" hidden="1" customHeight="1">
      <c r="A950" s="20" t="s">
        <v>51</v>
      </c>
      <c r="B950" s="47" t="s">
        <v>382</v>
      </c>
      <c r="C950" s="47"/>
      <c r="D950" s="19" t="s">
        <v>19</v>
      </c>
      <c r="E950" s="23">
        <v>1.0</v>
      </c>
      <c r="F950" s="18">
        <f>E950* 0.511826182618262</f>
        <v>0.5118261826</v>
      </c>
      <c r="G950" s="18">
        <f>E950* 0.476622662266227</f>
        <v>0.4766226623</v>
      </c>
      <c r="H950" s="18">
        <f>E950* 0.0115511551155116</f>
        <v>0.01155115512</v>
      </c>
    </row>
    <row r="951" ht="15.75" hidden="1" customHeight="1">
      <c r="A951" s="20" t="s">
        <v>51</v>
      </c>
      <c r="B951" s="47" t="s">
        <v>382</v>
      </c>
      <c r="C951" s="47"/>
      <c r="D951" s="19" t="s">
        <v>20</v>
      </c>
      <c r="E951" s="23">
        <v>17.0</v>
      </c>
      <c r="F951" s="18">
        <f>E951* 0.814615536880747</f>
        <v>13.84846413</v>
      </c>
      <c r="G951" s="18">
        <f>E951* 0.0763167839340663</f>
        <v>1.297385327</v>
      </c>
      <c r="H951" s="18">
        <f>E951* 0.109013694193014</f>
        <v>1.853232801</v>
      </c>
    </row>
    <row r="952" ht="15.75" hidden="1" customHeight="1">
      <c r="A952" s="20" t="s">
        <v>51</v>
      </c>
      <c r="B952" s="47" t="s">
        <v>382</v>
      </c>
      <c r="C952" s="47"/>
      <c r="D952" s="19" t="s">
        <v>21</v>
      </c>
      <c r="E952" s="23">
        <v>4.0</v>
      </c>
      <c r="F952" s="18">
        <f>E952* 0.999722052365334</f>
        <v>3.998888209</v>
      </c>
      <c r="G952" s="20">
        <v>0.0</v>
      </c>
      <c r="H952" s="18">
        <f>E952* 0.000277947634665629</f>
        <v>0.001111790539</v>
      </c>
    </row>
    <row r="953" ht="15.75" hidden="1" customHeight="1">
      <c r="A953" s="20" t="s">
        <v>51</v>
      </c>
      <c r="B953" s="47" t="s">
        <v>382</v>
      </c>
      <c r="C953" s="47"/>
      <c r="D953" s="19" t="s">
        <v>28</v>
      </c>
      <c r="E953" s="23">
        <v>4.0</v>
      </c>
      <c r="F953" s="18">
        <f>E953* 0.00115651503469545</f>
        <v>0.004626060139</v>
      </c>
      <c r="G953" s="18">
        <f>E953* 0.998843484965305</f>
        <v>3.99537394</v>
      </c>
      <c r="H953" s="20">
        <v>0.0</v>
      </c>
    </row>
    <row r="954" ht="15.75" hidden="1" customHeight="1">
      <c r="A954" s="20" t="s">
        <v>51</v>
      </c>
      <c r="B954" s="47" t="s">
        <v>382</v>
      </c>
      <c r="C954" s="47"/>
      <c r="D954" s="19" t="s">
        <v>12</v>
      </c>
      <c r="E954" s="23">
        <v>14.0</v>
      </c>
      <c r="F954" s="18">
        <f>E954* 0.924936238310357</f>
        <v>12.94910734</v>
      </c>
      <c r="G954" s="18">
        <f>E954* 0.0351064361799663</f>
        <v>0.4914901065</v>
      </c>
      <c r="H954" s="18">
        <f>E954* 0.039932320925503</f>
        <v>0.559052493</v>
      </c>
    </row>
    <row r="955" ht="15.75" hidden="1" customHeight="1">
      <c r="A955" s="20" t="s">
        <v>51</v>
      </c>
      <c r="B955" s="20"/>
      <c r="C955" s="20"/>
      <c r="D955" s="46"/>
      <c r="E955" s="35"/>
    </row>
    <row r="956" ht="15.75" hidden="1" customHeight="1">
      <c r="A956" s="20" t="s">
        <v>51</v>
      </c>
      <c r="B956" s="47" t="s">
        <v>384</v>
      </c>
      <c r="C956" s="12" t="str">
        <f>B956&amp;"_"&amp;A956</f>
        <v>San Buenaventura_La Paz</v>
      </c>
      <c r="D956" s="20"/>
      <c r="E956" s="45">
        <v>90.0</v>
      </c>
      <c r="F956" s="14">
        <f t="shared" ref="F956:H956" si="86">SUM(F957:F967)</f>
        <v>51.82709114</v>
      </c>
      <c r="G956" s="14">
        <f t="shared" si="86"/>
        <v>37.34022063</v>
      </c>
      <c r="H956" s="14">
        <f t="shared" si="86"/>
        <v>0.8296136166</v>
      </c>
    </row>
    <row r="957" ht="15.75" hidden="1" customHeight="1">
      <c r="A957" s="20" t="s">
        <v>51</v>
      </c>
      <c r="B957" s="47" t="s">
        <v>384</v>
      </c>
      <c r="C957" s="47"/>
      <c r="D957" s="19" t="s">
        <v>15</v>
      </c>
      <c r="E957" s="23">
        <v>1.0</v>
      </c>
      <c r="F957" s="18">
        <f>E957* 0.981163265034061</f>
        <v>0.981163265</v>
      </c>
      <c r="G957" s="18">
        <f>E957* 0.0027595216829083</f>
        <v>0.002759521683</v>
      </c>
      <c r="H957" s="18">
        <f>E957* 0.0160372202151627</f>
        <v>0.01603722022</v>
      </c>
    </row>
    <row r="958" ht="15.75" hidden="1" customHeight="1">
      <c r="A958" s="20" t="s">
        <v>51</v>
      </c>
      <c r="B958" s="47" t="s">
        <v>384</v>
      </c>
      <c r="C958" s="47"/>
      <c r="D958" s="29" t="s">
        <v>385</v>
      </c>
      <c r="E958" s="23">
        <v>4.0</v>
      </c>
      <c r="F958" s="18">
        <f>E958* 0.142974979378609</f>
        <v>0.5718999175</v>
      </c>
      <c r="G958" s="18">
        <f>E958* 0.852350838603245</f>
        <v>3.409403354</v>
      </c>
      <c r="H958" s="18">
        <f>E958* 0.00467418201814682</f>
        <v>0.01869672807</v>
      </c>
    </row>
    <row r="959" ht="15.75" hidden="1" customHeight="1">
      <c r="A959" s="20" t="s">
        <v>51</v>
      </c>
      <c r="B959" s="47" t="s">
        <v>384</v>
      </c>
      <c r="C959" s="47"/>
      <c r="D959" s="19" t="s">
        <v>11</v>
      </c>
      <c r="E959" s="23">
        <v>25.0</v>
      </c>
      <c r="F959" s="18">
        <f>E959* 0.178797409805735</f>
        <v>4.469935245</v>
      </c>
      <c r="G959" s="18">
        <f>E959* 0.819278445883441</f>
        <v>20.48196115</v>
      </c>
      <c r="H959" s="18">
        <f>E959* 0.00181313598519889</f>
        <v>0.04532839963</v>
      </c>
    </row>
    <row r="960" ht="15.75" hidden="1" customHeight="1">
      <c r="A960" s="20" t="s">
        <v>51</v>
      </c>
      <c r="B960" s="47" t="s">
        <v>384</v>
      </c>
      <c r="C960" s="47"/>
      <c r="D960" s="19" t="s">
        <v>17</v>
      </c>
      <c r="E960" s="23">
        <v>12.0</v>
      </c>
      <c r="F960" s="18">
        <f>E960* 0.916446662218225</f>
        <v>10.99735995</v>
      </c>
      <c r="G960" s="18">
        <f>E960* 0.0292436682236212</f>
        <v>0.3509240187</v>
      </c>
      <c r="H960" s="18">
        <f>E960* 0.0543096695581537</f>
        <v>0.6517160347</v>
      </c>
    </row>
    <row r="961" ht="15.75" hidden="1" customHeight="1">
      <c r="A961" s="20" t="s">
        <v>51</v>
      </c>
      <c r="B961" s="47" t="s">
        <v>384</v>
      </c>
      <c r="C961" s="47"/>
      <c r="D961" s="19" t="s">
        <v>31</v>
      </c>
      <c r="E961" s="35"/>
      <c r="F961" s="18">
        <f>E961* 0.957442434210526</f>
        <v>0</v>
      </c>
      <c r="G961" s="18">
        <f>E961* 0.0158305921052632</f>
        <v>0</v>
      </c>
      <c r="H961" s="18">
        <f>E961* 0.0263157894736842</f>
        <v>0</v>
      </c>
    </row>
    <row r="962" ht="15.75" hidden="1" customHeight="1">
      <c r="A962" s="20" t="s">
        <v>51</v>
      </c>
      <c r="B962" s="47" t="s">
        <v>384</v>
      </c>
      <c r="C962" s="47"/>
      <c r="D962" s="19" t="s">
        <v>18</v>
      </c>
      <c r="E962" s="23">
        <v>3.0</v>
      </c>
      <c r="F962" s="18">
        <f>E962* 0.983388008654987</f>
        <v>2.950164026</v>
      </c>
      <c r="G962" s="18">
        <f>E962* 0.0133314720457877</f>
        <v>0.03999441614</v>
      </c>
      <c r="H962" s="18">
        <f>E962* 0.003210721016263</f>
        <v>0.009632163049</v>
      </c>
    </row>
    <row r="963" ht="15.75" hidden="1" customHeight="1">
      <c r="A963" s="20" t="s">
        <v>51</v>
      </c>
      <c r="B963" s="47" t="s">
        <v>384</v>
      </c>
      <c r="C963" s="47"/>
      <c r="D963" s="19" t="s">
        <v>19</v>
      </c>
      <c r="E963" s="35"/>
      <c r="F963" s="18">
        <f>E963* 0.511826182618262</f>
        <v>0</v>
      </c>
      <c r="G963" s="18">
        <f>E963* 0.476622662266227</f>
        <v>0</v>
      </c>
      <c r="H963" s="18">
        <f>E963* 0.0115511551155116</f>
        <v>0</v>
      </c>
    </row>
    <row r="964" ht="15.75" hidden="1" customHeight="1">
      <c r="A964" s="20" t="s">
        <v>51</v>
      </c>
      <c r="B964" s="47" t="s">
        <v>384</v>
      </c>
      <c r="C964" s="47"/>
      <c r="D964" s="19" t="s">
        <v>20</v>
      </c>
      <c r="E964" s="35"/>
      <c r="F964" s="18">
        <f>E964* 0.814615536880747</f>
        <v>0</v>
      </c>
      <c r="G964" s="18">
        <f>E964* 0.0763167839340663</f>
        <v>0</v>
      </c>
      <c r="H964" s="18">
        <f>E964* 0.109013694193014</f>
        <v>0</v>
      </c>
    </row>
    <row r="965" ht="15.75" hidden="1" customHeight="1">
      <c r="A965" s="20" t="s">
        <v>51</v>
      </c>
      <c r="B965" s="47" t="s">
        <v>384</v>
      </c>
      <c r="C965" s="47"/>
      <c r="D965" s="19" t="s">
        <v>21</v>
      </c>
      <c r="E965" s="23">
        <v>30.0</v>
      </c>
      <c r="F965" s="18">
        <f>E965* 0.999722052365334</f>
        <v>29.99166157</v>
      </c>
      <c r="G965" s="20">
        <v>0.0</v>
      </c>
      <c r="H965" s="18">
        <f>E965* 0.000277947634665629</f>
        <v>0.00833842904</v>
      </c>
    </row>
    <row r="966" ht="15.75" hidden="1" customHeight="1">
      <c r="A966" s="20" t="s">
        <v>51</v>
      </c>
      <c r="B966" s="47" t="s">
        <v>384</v>
      </c>
      <c r="C966" s="47"/>
      <c r="D966" s="19" t="s">
        <v>28</v>
      </c>
      <c r="E966" s="23">
        <v>13.0</v>
      </c>
      <c r="F966" s="18">
        <f>E966* 0.00115651503469545</f>
        <v>0.01503469545</v>
      </c>
      <c r="G966" s="18">
        <f>E966* 0.998843484965305</f>
        <v>12.9849653</v>
      </c>
      <c r="H966" s="20">
        <v>0.0</v>
      </c>
    </row>
    <row r="967" ht="15.75" hidden="1" customHeight="1">
      <c r="A967" s="20" t="s">
        <v>51</v>
      </c>
      <c r="B967" s="47" t="s">
        <v>384</v>
      </c>
      <c r="C967" s="47"/>
      <c r="D967" s="19" t="s">
        <v>12</v>
      </c>
      <c r="E967" s="23">
        <v>2.0</v>
      </c>
      <c r="F967" s="18">
        <f>E967* 0.924936238310357</f>
        <v>1.849872477</v>
      </c>
      <c r="G967" s="18">
        <f>E967* 0.0351064361799663</f>
        <v>0.07021287236</v>
      </c>
      <c r="H967" s="18">
        <f>E967* 0.039932320925503</f>
        <v>0.07986464185</v>
      </c>
    </row>
    <row r="968" ht="15.75" hidden="1" customHeight="1">
      <c r="A968" s="20" t="s">
        <v>51</v>
      </c>
      <c r="B968" s="20"/>
      <c r="C968" s="20"/>
      <c r="D968" s="46"/>
      <c r="E968" s="35"/>
    </row>
    <row r="969" ht="15.75" hidden="1" customHeight="1">
      <c r="A969" s="20" t="s">
        <v>51</v>
      </c>
      <c r="B969" s="47" t="s">
        <v>386</v>
      </c>
      <c r="C969" s="12" t="str">
        <f>B969&amp;"_"&amp;A969</f>
        <v>San Pedro de Tiquina_La Paz</v>
      </c>
      <c r="D969" s="20"/>
      <c r="E969" s="45">
        <v>615.0</v>
      </c>
      <c r="F969" s="14">
        <f t="shared" ref="F969:H969" si="87">SUM(F970:F980)</f>
        <v>477.8918357</v>
      </c>
      <c r="G969" s="14">
        <f t="shared" si="87"/>
        <v>111.841604</v>
      </c>
      <c r="H969" s="14">
        <f t="shared" si="87"/>
        <v>25.23755903</v>
      </c>
    </row>
    <row r="970" ht="15.75" hidden="1" customHeight="1">
      <c r="A970" s="20" t="s">
        <v>51</v>
      </c>
      <c r="B970" s="47" t="s">
        <v>386</v>
      </c>
      <c r="C970" s="47"/>
      <c r="D970" s="19" t="s">
        <v>15</v>
      </c>
      <c r="E970" s="23">
        <v>80.0</v>
      </c>
      <c r="F970" s="18">
        <f>E970* 0.981163265034061</f>
        <v>78.4930612</v>
      </c>
      <c r="G970" s="18">
        <f>E970* 0.0027595216829083</f>
        <v>0.2207617346</v>
      </c>
      <c r="H970" s="18">
        <f>E970* 0.0160372202151627</f>
        <v>1.282977617</v>
      </c>
    </row>
    <row r="971" ht="15.75" hidden="1" customHeight="1">
      <c r="A971" s="20" t="s">
        <v>51</v>
      </c>
      <c r="B971" s="47" t="s">
        <v>386</v>
      </c>
      <c r="C971" s="47"/>
      <c r="D971" s="29" t="s">
        <v>387</v>
      </c>
      <c r="E971" s="23">
        <v>10.0</v>
      </c>
      <c r="F971" s="18">
        <f>E971* 0.142974979378609</f>
        <v>1.429749794</v>
      </c>
      <c r="G971" s="18">
        <f>E971* 0.852350838603245</f>
        <v>8.523508386</v>
      </c>
      <c r="H971" s="18">
        <f>E971* 0.00467418201814682</f>
        <v>0.04674182018</v>
      </c>
    </row>
    <row r="972" ht="15.75" hidden="1" customHeight="1">
      <c r="A972" s="20" t="s">
        <v>51</v>
      </c>
      <c r="B972" s="47" t="s">
        <v>386</v>
      </c>
      <c r="C972" s="47"/>
      <c r="D972" s="19" t="s">
        <v>11</v>
      </c>
      <c r="E972" s="23">
        <v>83.0</v>
      </c>
      <c r="F972" s="18">
        <f>E972* 0.178797409805735</f>
        <v>14.84018501</v>
      </c>
      <c r="G972" s="18">
        <f>E972* 0.819278445883441</f>
        <v>68.00011101</v>
      </c>
      <c r="H972" s="18">
        <f>E972* 0.00181313598519889</f>
        <v>0.1504902868</v>
      </c>
    </row>
    <row r="973" ht="15.75" hidden="1" customHeight="1">
      <c r="A973" s="20" t="s">
        <v>51</v>
      </c>
      <c r="B973" s="47" t="s">
        <v>386</v>
      </c>
      <c r="C973" s="47"/>
      <c r="D973" s="19" t="s">
        <v>17</v>
      </c>
      <c r="E973" s="23">
        <v>64.0</v>
      </c>
      <c r="F973" s="18">
        <f>E973* 0.916446662218225</f>
        <v>58.65258638</v>
      </c>
      <c r="G973" s="18">
        <f>E973* 0.0292436682236212</f>
        <v>1.871594766</v>
      </c>
      <c r="H973" s="18">
        <f>E973* 0.0543096695581537</f>
        <v>3.475818852</v>
      </c>
    </row>
    <row r="974" ht="15.75" hidden="1" customHeight="1">
      <c r="A974" s="20" t="s">
        <v>51</v>
      </c>
      <c r="B974" s="47" t="s">
        <v>386</v>
      </c>
      <c r="C974" s="47"/>
      <c r="D974" s="19" t="s">
        <v>31</v>
      </c>
      <c r="E974" s="23">
        <v>11.0</v>
      </c>
      <c r="F974" s="18">
        <f>E974* 0.957442434210526</f>
        <v>10.53186678</v>
      </c>
      <c r="G974" s="18">
        <f>E974* 0.0158305921052632</f>
        <v>0.1741365132</v>
      </c>
      <c r="H974" s="18">
        <f>E974* 0.0263157894736842</f>
        <v>0.2894736842</v>
      </c>
    </row>
    <row r="975" ht="15.75" hidden="1" customHeight="1">
      <c r="A975" s="20" t="s">
        <v>51</v>
      </c>
      <c r="B975" s="47" t="s">
        <v>386</v>
      </c>
      <c r="C975" s="47"/>
      <c r="D975" s="19" t="s">
        <v>18</v>
      </c>
      <c r="E975" s="23">
        <v>16.0</v>
      </c>
      <c r="F975" s="18">
        <f>E975* 0.983388008654987</f>
        <v>15.73420814</v>
      </c>
      <c r="G975" s="18">
        <f>E975* 0.0133314720457877</f>
        <v>0.2133035527</v>
      </c>
      <c r="H975" s="18">
        <f>E975* 0.003210721016263</f>
        <v>0.05137153626</v>
      </c>
    </row>
    <row r="976" ht="15.75" hidden="1" customHeight="1">
      <c r="A976" s="20" t="s">
        <v>51</v>
      </c>
      <c r="B976" s="47" t="s">
        <v>386</v>
      </c>
      <c r="C976" s="47"/>
      <c r="D976" s="19" t="s">
        <v>19</v>
      </c>
      <c r="E976" s="23">
        <v>3.0</v>
      </c>
      <c r="F976" s="18">
        <f>E976* 0.511826182618262</f>
        <v>1.535478548</v>
      </c>
      <c r="G976" s="18">
        <f>E976* 0.476622662266227</f>
        <v>1.429867987</v>
      </c>
      <c r="H976" s="18">
        <f>E976* 0.0115511551155116</f>
        <v>0.03465346535</v>
      </c>
    </row>
    <row r="977" ht="15.75" hidden="1" customHeight="1">
      <c r="A977" s="20" t="s">
        <v>51</v>
      </c>
      <c r="B977" s="47" t="s">
        <v>386</v>
      </c>
      <c r="C977" s="47"/>
      <c r="D977" s="19" t="s">
        <v>20</v>
      </c>
      <c r="E977" s="23">
        <v>106.0</v>
      </c>
      <c r="F977" s="18">
        <f>E977* 0.814615536880747</f>
        <v>86.34924691</v>
      </c>
      <c r="G977" s="18">
        <f>E977* 0.0763167839340663</f>
        <v>8.089579097</v>
      </c>
      <c r="H977" s="18">
        <f>E977* 0.109013694193014</f>
        <v>11.55545158</v>
      </c>
    </row>
    <row r="978" ht="15.75" hidden="1" customHeight="1">
      <c r="A978" s="20" t="s">
        <v>51</v>
      </c>
      <c r="B978" s="47" t="s">
        <v>386</v>
      </c>
      <c r="C978" s="47"/>
      <c r="D978" s="19" t="s">
        <v>21</v>
      </c>
      <c r="E978" s="23">
        <v>17.0</v>
      </c>
      <c r="F978" s="18">
        <f>E978* 0.999722052365334</f>
        <v>16.99527489</v>
      </c>
      <c r="G978" s="20">
        <v>0.0</v>
      </c>
      <c r="H978" s="18">
        <f>E978* 0.000277947634665629</f>
        <v>0.004725109789</v>
      </c>
    </row>
    <row r="979" ht="15.75" hidden="1" customHeight="1">
      <c r="A979" s="20" t="s">
        <v>51</v>
      </c>
      <c r="B979" s="47" t="s">
        <v>386</v>
      </c>
      <c r="C979" s="47"/>
      <c r="D979" s="19" t="s">
        <v>28</v>
      </c>
      <c r="E979" s="23">
        <v>16.0</v>
      </c>
      <c r="F979" s="18">
        <f>E979* 0.00115651503469545</f>
        <v>0.01850424056</v>
      </c>
      <c r="G979" s="18">
        <f>E979* 0.998843484965305</f>
        <v>15.98149576</v>
      </c>
      <c r="H979" s="20">
        <v>0.0</v>
      </c>
    </row>
    <row r="980" ht="15.75" hidden="1" customHeight="1">
      <c r="A980" s="20" t="s">
        <v>51</v>
      </c>
      <c r="B980" s="47" t="s">
        <v>386</v>
      </c>
      <c r="C980" s="47"/>
      <c r="D980" s="19" t="s">
        <v>12</v>
      </c>
      <c r="E980" s="23">
        <v>209.0</v>
      </c>
      <c r="F980" s="18">
        <f>E980* 0.924936238310357</f>
        <v>193.3116738</v>
      </c>
      <c r="G980" s="18">
        <f>E980* 0.0351064361799663</f>
        <v>7.337245162</v>
      </c>
      <c r="H980" s="18">
        <f>E980* 0.039932320925503</f>
        <v>8.345855073</v>
      </c>
    </row>
    <row r="981" ht="15.75" hidden="1" customHeight="1">
      <c r="A981" s="20" t="s">
        <v>51</v>
      </c>
      <c r="B981" s="20"/>
      <c r="C981" s="20"/>
      <c r="D981" s="46"/>
      <c r="E981" s="35"/>
    </row>
    <row r="982" ht="15.75" hidden="1" customHeight="1">
      <c r="A982" s="20" t="s">
        <v>51</v>
      </c>
      <c r="B982" s="47" t="s">
        <v>388</v>
      </c>
      <c r="C982" s="12" t="str">
        <f>B982&amp;"_"&amp;A982</f>
        <v>Santiago de Callapa_La Paz</v>
      </c>
      <c r="D982" s="20"/>
      <c r="E982" s="45">
        <v>31.0</v>
      </c>
      <c r="F982" s="14">
        <f t="shared" ref="F982:H982" si="88">SUM(F983:F987)</f>
        <v>28.73862982</v>
      </c>
      <c r="G982" s="14">
        <f t="shared" si="88"/>
        <v>1.90984124</v>
      </c>
      <c r="H982" s="14">
        <f t="shared" si="88"/>
        <v>0.3510541397</v>
      </c>
    </row>
    <row r="983" ht="15.75" hidden="1" customHeight="1">
      <c r="A983" s="20" t="s">
        <v>51</v>
      </c>
      <c r="B983" s="47" t="s">
        <v>388</v>
      </c>
      <c r="C983" s="47"/>
      <c r="D983" s="19" t="s">
        <v>11</v>
      </c>
      <c r="E983" s="23">
        <v>2.0</v>
      </c>
      <c r="F983" s="18">
        <f>E983* 0.178797409805735</f>
        <v>0.3575948196</v>
      </c>
      <c r="G983" s="18">
        <f>E983* 0.819278445883441</f>
        <v>1.638556892</v>
      </c>
      <c r="H983" s="18">
        <f>E983* 0.00181313598519889</f>
        <v>0.00362627197</v>
      </c>
    </row>
    <row r="984" ht="15.75" hidden="1" customHeight="1">
      <c r="A984" s="20" t="s">
        <v>51</v>
      </c>
      <c r="B984" s="47" t="s">
        <v>388</v>
      </c>
      <c r="C984" s="47"/>
      <c r="D984" s="19" t="s">
        <v>18</v>
      </c>
      <c r="E984" s="23">
        <v>1.0</v>
      </c>
      <c r="F984" s="18">
        <f>E984* 0.983388008654987</f>
        <v>0.9833880087</v>
      </c>
      <c r="G984" s="18">
        <f>E984* 0.0133314720457877</f>
        <v>0.01333147205</v>
      </c>
      <c r="H984" s="18">
        <f>E984* 0.003210721016263</f>
        <v>0.003210721016</v>
      </c>
    </row>
    <row r="985" ht="15.75" hidden="1" customHeight="1">
      <c r="A985" s="20" t="s">
        <v>51</v>
      </c>
      <c r="B985" s="47" t="s">
        <v>388</v>
      </c>
      <c r="C985" s="47"/>
      <c r="D985" s="19" t="s">
        <v>20</v>
      </c>
      <c r="E985" s="23">
        <v>2.0</v>
      </c>
      <c r="F985" s="18">
        <f>E985* 0.814615536880747</f>
        <v>1.629231074</v>
      </c>
      <c r="G985" s="18">
        <f>E985* 0.0763167839340663</f>
        <v>0.1526335679</v>
      </c>
      <c r="H985" s="18">
        <f>E985* 0.109013694193014</f>
        <v>0.2180273884</v>
      </c>
    </row>
    <row r="986" ht="15.75" hidden="1" customHeight="1">
      <c r="A986" s="20" t="s">
        <v>51</v>
      </c>
      <c r="B986" s="47" t="s">
        <v>388</v>
      </c>
      <c r="C986" s="47"/>
      <c r="D986" s="19" t="s">
        <v>21</v>
      </c>
      <c r="E986" s="23">
        <v>23.0</v>
      </c>
      <c r="F986" s="18">
        <f>E986* 0.999722052365334</f>
        <v>22.9936072</v>
      </c>
      <c r="G986" s="20">
        <v>0.0</v>
      </c>
      <c r="H986" s="18">
        <f>E986* 0.000277947634665629</f>
        <v>0.006392795597</v>
      </c>
    </row>
    <row r="987" ht="15.75" hidden="1" customHeight="1">
      <c r="A987" s="20" t="s">
        <v>51</v>
      </c>
      <c r="B987" s="47" t="s">
        <v>388</v>
      </c>
      <c r="C987" s="47"/>
      <c r="D987" s="19" t="s">
        <v>12</v>
      </c>
      <c r="E987" s="23">
        <v>3.0</v>
      </c>
      <c r="F987" s="18">
        <f>E987* 0.924936238310357</f>
        <v>2.774808715</v>
      </c>
      <c r="G987" s="18">
        <f>E987* 0.0351064361799663</f>
        <v>0.1053193085</v>
      </c>
      <c r="H987" s="18">
        <f>E987* 0.039932320925503</f>
        <v>0.1197969628</v>
      </c>
    </row>
    <row r="988" ht="15.75" hidden="1" customHeight="1">
      <c r="A988" s="20" t="s">
        <v>51</v>
      </c>
      <c r="B988" s="20"/>
      <c r="C988" s="20"/>
      <c r="D988" s="46"/>
      <c r="E988" s="35"/>
    </row>
    <row r="989" ht="15.75" hidden="1" customHeight="1">
      <c r="A989" s="20" t="s">
        <v>51</v>
      </c>
      <c r="B989" s="47" t="s">
        <v>96</v>
      </c>
      <c r="C989" s="12" t="str">
        <f>B989&amp;"_"&amp;A989</f>
        <v>Santiago de Huata_La Paz</v>
      </c>
      <c r="D989" s="20"/>
      <c r="E989" s="45">
        <v>4844.0</v>
      </c>
      <c r="F989" s="14">
        <f t="shared" ref="F989:H989" si="89">SUM(F990:F1001)</f>
        <v>4318.011587</v>
      </c>
      <c r="G989" s="14">
        <f t="shared" si="89"/>
        <v>355.557114</v>
      </c>
      <c r="H989" s="14">
        <f t="shared" si="89"/>
        <v>170.2896505</v>
      </c>
    </row>
    <row r="990" ht="15.75" hidden="1" customHeight="1">
      <c r="A990" s="20" t="s">
        <v>51</v>
      </c>
      <c r="B990" s="47" t="s">
        <v>96</v>
      </c>
      <c r="C990" s="47"/>
      <c r="D990" s="19" t="s">
        <v>15</v>
      </c>
      <c r="E990" s="23">
        <v>335.0</v>
      </c>
      <c r="F990" s="18">
        <f>E990* 0.981163265034061</f>
        <v>328.6896938</v>
      </c>
      <c r="G990" s="18">
        <f>E990* 0.0027595216829083</f>
        <v>0.9244397638</v>
      </c>
      <c r="H990" s="18">
        <f>E990* 0.0160372202151627</f>
        <v>5.372468772</v>
      </c>
    </row>
    <row r="991" ht="15.75" hidden="1" customHeight="1">
      <c r="A991" s="20" t="s">
        <v>51</v>
      </c>
      <c r="B991" s="47" t="s">
        <v>96</v>
      </c>
      <c r="C991" s="47"/>
      <c r="D991" s="29" t="s">
        <v>389</v>
      </c>
      <c r="E991" s="23">
        <v>17.0</v>
      </c>
      <c r="F991" s="18">
        <f>E991* 0.142974979378609</f>
        <v>2.430574649</v>
      </c>
      <c r="G991" s="18">
        <f>E991* 0.852350838603245</f>
        <v>14.48996426</v>
      </c>
      <c r="H991" s="18">
        <f>E991* 0.00467418201814682</f>
        <v>0.07946109431</v>
      </c>
    </row>
    <row r="992" ht="15.75" hidden="1" customHeight="1">
      <c r="A992" s="20" t="s">
        <v>51</v>
      </c>
      <c r="B992" s="47" t="s">
        <v>96</v>
      </c>
      <c r="C992" s="47"/>
      <c r="D992" s="19" t="s">
        <v>11</v>
      </c>
      <c r="E992" s="23">
        <v>209.0</v>
      </c>
      <c r="F992" s="18">
        <f>E992* 0.178797409805735</f>
        <v>37.36865865</v>
      </c>
      <c r="G992" s="18">
        <f>E992* 0.819278445883441</f>
        <v>171.2291952</v>
      </c>
      <c r="H992" s="18">
        <f>E992* 0.00181313598519889</f>
        <v>0.3789454209</v>
      </c>
    </row>
    <row r="993" ht="15.75" hidden="1" customHeight="1">
      <c r="A993" s="20" t="s">
        <v>51</v>
      </c>
      <c r="B993" s="47" t="s">
        <v>96</v>
      </c>
      <c r="C993" s="47"/>
      <c r="D993" s="19" t="s">
        <v>17</v>
      </c>
      <c r="E993" s="23">
        <v>468.0</v>
      </c>
      <c r="F993" s="18">
        <f>E993* 0.916446662218225</f>
        <v>428.8970379</v>
      </c>
      <c r="G993" s="18">
        <f>E993* 0.0292436682236212</f>
        <v>13.68603673</v>
      </c>
      <c r="H993" s="18">
        <f>E993* 0.0543096695581537</f>
        <v>25.41692535</v>
      </c>
    </row>
    <row r="994" ht="15.75" hidden="1" customHeight="1">
      <c r="A994" s="20" t="s">
        <v>51</v>
      </c>
      <c r="B994" s="47" t="s">
        <v>96</v>
      </c>
      <c r="C994" s="47"/>
      <c r="D994" s="19" t="s">
        <v>31</v>
      </c>
      <c r="E994" s="23">
        <v>57.0</v>
      </c>
      <c r="F994" s="18">
        <f>E994* 0.957442434210526</f>
        <v>54.57421875</v>
      </c>
      <c r="G994" s="18">
        <f>E994* 0.0158305921052632</f>
        <v>0.90234375</v>
      </c>
      <c r="H994" s="18">
        <f>E994* 0.0263157894736842</f>
        <v>1.5</v>
      </c>
    </row>
    <row r="995" ht="15.75" hidden="1" customHeight="1">
      <c r="A995" s="20" t="s">
        <v>51</v>
      </c>
      <c r="B995" s="47" t="s">
        <v>96</v>
      </c>
      <c r="C995" s="47"/>
      <c r="D995" s="19" t="s">
        <v>18</v>
      </c>
      <c r="E995" s="23">
        <v>89.0</v>
      </c>
      <c r="F995" s="18">
        <f>E995* 0.983388008654987</f>
        <v>87.52153277</v>
      </c>
      <c r="G995" s="18">
        <f>E995* 0.0133314720457877</f>
        <v>1.186501012</v>
      </c>
      <c r="H995" s="18">
        <f>E995* 0.003210721016263</f>
        <v>0.2857541704</v>
      </c>
    </row>
    <row r="996" ht="15.75" hidden="1" customHeight="1">
      <c r="A996" s="20" t="s">
        <v>51</v>
      </c>
      <c r="B996" s="47" t="s">
        <v>96</v>
      </c>
      <c r="C996" s="47"/>
      <c r="D996" s="19" t="s">
        <v>19</v>
      </c>
      <c r="E996" s="23">
        <v>2.0</v>
      </c>
      <c r="F996" s="18">
        <f>E996* 0.511826182618262</f>
        <v>1.023652365</v>
      </c>
      <c r="G996" s="18">
        <f>E996* 0.476622662266227</f>
        <v>0.9532453245</v>
      </c>
      <c r="H996" s="18">
        <f>E996* 0.0115511551155116</f>
        <v>0.02310231023</v>
      </c>
    </row>
    <row r="997" ht="15.75" hidden="1" customHeight="1">
      <c r="A997" s="20" t="s">
        <v>51</v>
      </c>
      <c r="B997" s="47" t="s">
        <v>96</v>
      </c>
      <c r="C997" s="47"/>
      <c r="D997" s="19" t="s">
        <v>20</v>
      </c>
      <c r="E997" s="23">
        <v>720.0</v>
      </c>
      <c r="F997" s="18">
        <f>E997* 0.814615536880747</f>
        <v>586.5231866</v>
      </c>
      <c r="G997" s="18">
        <f>E997* 0.0763167839340663</f>
        <v>54.94808443</v>
      </c>
      <c r="H997" s="18">
        <f>E997* 0.109013694193014</f>
        <v>78.48985982</v>
      </c>
    </row>
    <row r="998" ht="15.75" hidden="1" customHeight="1">
      <c r="A998" s="20" t="s">
        <v>51</v>
      </c>
      <c r="B998" s="47" t="s">
        <v>96</v>
      </c>
      <c r="C998" s="47"/>
      <c r="D998" s="19" t="s">
        <v>21</v>
      </c>
      <c r="E998" s="23">
        <v>1437.0</v>
      </c>
      <c r="F998" s="18">
        <f>E998* 0.999722052365334</f>
        <v>1436.600589</v>
      </c>
      <c r="G998" s="20">
        <v>0.0</v>
      </c>
      <c r="H998" s="18">
        <f>E998* 0.000277947634665629</f>
        <v>0.399410751</v>
      </c>
    </row>
    <row r="999" ht="15.75" hidden="1" customHeight="1">
      <c r="A999" s="20" t="s">
        <v>51</v>
      </c>
      <c r="B999" s="47" t="s">
        <v>96</v>
      </c>
      <c r="C999" s="47"/>
      <c r="D999" s="19" t="s">
        <v>36</v>
      </c>
      <c r="E999" s="23">
        <v>3.0</v>
      </c>
      <c r="F999" s="18">
        <f>E999* 0.999132697311362</f>
        <v>2.997398092</v>
      </c>
      <c r="G999" s="20">
        <v>0.0</v>
      </c>
      <c r="H999" s="18">
        <f>E999* 0.000867302688638335</f>
        <v>0.002601908066</v>
      </c>
    </row>
    <row r="1000" ht="15.75" hidden="1" customHeight="1">
      <c r="A1000" s="20" t="s">
        <v>51</v>
      </c>
      <c r="B1000" s="47" t="s">
        <v>96</v>
      </c>
      <c r="C1000" s="47"/>
      <c r="D1000" s="19" t="s">
        <v>28</v>
      </c>
      <c r="E1000" s="23">
        <v>46.0</v>
      </c>
      <c r="F1000" s="18">
        <f>E1000* 0.00115651503469545</f>
        <v>0.0531996916</v>
      </c>
      <c r="G1000" s="18">
        <f>E1000* 0.998843484965305</f>
        <v>45.94680031</v>
      </c>
      <c r="H1000" s="20">
        <v>0.0</v>
      </c>
    </row>
    <row r="1001" ht="15.75" hidden="1" customHeight="1">
      <c r="A1001" s="20" t="s">
        <v>51</v>
      </c>
      <c r="B1001" s="47" t="s">
        <v>96</v>
      </c>
      <c r="C1001" s="47"/>
      <c r="D1001" s="19" t="s">
        <v>12</v>
      </c>
      <c r="E1001" s="23">
        <v>1461.0</v>
      </c>
      <c r="F1001" s="18">
        <f>E1001* 0.924936238310357</f>
        <v>1351.331844</v>
      </c>
      <c r="G1001" s="18">
        <f>E1001* 0.0351064361799663</f>
        <v>51.29050326</v>
      </c>
      <c r="H1001" s="18">
        <f>E1001* 0.039932320925503</f>
        <v>58.34112087</v>
      </c>
    </row>
    <row r="1002" ht="15.75" hidden="1" customHeight="1">
      <c r="A1002" s="20" t="s">
        <v>51</v>
      </c>
      <c r="B1002" s="20"/>
      <c r="C1002" s="20"/>
      <c r="D1002" s="46"/>
      <c r="E1002" s="35"/>
    </row>
    <row r="1003" ht="15.75" hidden="1" customHeight="1">
      <c r="A1003" s="20" t="s">
        <v>51</v>
      </c>
      <c r="B1003" s="47" t="s">
        <v>97</v>
      </c>
      <c r="C1003" s="12" t="str">
        <f>B1003&amp;"_"&amp;A1003</f>
        <v>Sapahaqui_La Paz</v>
      </c>
      <c r="D1003" s="20"/>
      <c r="E1003" s="45">
        <v>1077.0</v>
      </c>
      <c r="F1003" s="14">
        <f t="shared" ref="F1003:H1003" si="90">SUM(F1004:F1017)</f>
        <v>803.4099544</v>
      </c>
      <c r="G1003" s="14">
        <f t="shared" si="90"/>
        <v>228.2549015</v>
      </c>
      <c r="H1003" s="14">
        <f t="shared" si="90"/>
        <v>45.29031793</v>
      </c>
    </row>
    <row r="1004" ht="15.75" hidden="1" customHeight="1">
      <c r="A1004" s="20" t="s">
        <v>51</v>
      </c>
      <c r="B1004" s="47" t="s">
        <v>97</v>
      </c>
      <c r="C1004" s="47"/>
      <c r="D1004" s="29" t="s">
        <v>390</v>
      </c>
      <c r="E1004" s="23">
        <v>3.0</v>
      </c>
      <c r="F1004" s="20">
        <v>0.0</v>
      </c>
      <c r="G1004" s="24">
        <f>E1004</f>
        <v>3</v>
      </c>
      <c r="H1004" s="20">
        <v>0.0</v>
      </c>
    </row>
    <row r="1005" ht="15.75" hidden="1" customHeight="1">
      <c r="A1005" s="20" t="s">
        <v>51</v>
      </c>
      <c r="B1005" s="47" t="s">
        <v>97</v>
      </c>
      <c r="C1005" s="47"/>
      <c r="D1005" s="19" t="s">
        <v>15</v>
      </c>
      <c r="E1005" s="23">
        <v>119.0</v>
      </c>
      <c r="F1005" s="18">
        <f>E1005* 0.981163265034061</f>
        <v>116.7584285</v>
      </c>
      <c r="G1005" s="18">
        <f>E1005* 0.0027595216829083</f>
        <v>0.3283830803</v>
      </c>
      <c r="H1005" s="18">
        <f>E1005* 0.0160372202151627</f>
        <v>1.908429206</v>
      </c>
    </row>
    <row r="1006" ht="15.75" hidden="1" customHeight="1">
      <c r="A1006" s="20" t="s">
        <v>51</v>
      </c>
      <c r="B1006" s="47" t="s">
        <v>97</v>
      </c>
      <c r="C1006" s="47"/>
      <c r="D1006" s="29" t="s">
        <v>391</v>
      </c>
      <c r="E1006" s="23">
        <v>5.0</v>
      </c>
      <c r="F1006" s="18">
        <f>E1006* 0.142974979378609</f>
        <v>0.7148748969</v>
      </c>
      <c r="G1006" s="18">
        <f>E1006* 0.852350838603245</f>
        <v>4.261754193</v>
      </c>
      <c r="H1006" s="18">
        <f>E1006* 0.00467418201814682</f>
        <v>0.02337091009</v>
      </c>
    </row>
    <row r="1007" ht="15.75" hidden="1" customHeight="1">
      <c r="A1007" s="20" t="s">
        <v>51</v>
      </c>
      <c r="B1007" s="47" t="s">
        <v>97</v>
      </c>
      <c r="C1007" s="47"/>
      <c r="D1007" s="19" t="s">
        <v>11</v>
      </c>
      <c r="E1007" s="23">
        <v>131.0</v>
      </c>
      <c r="F1007" s="18">
        <f>E1007* 0.178797409805735</f>
        <v>23.42246068</v>
      </c>
      <c r="G1007" s="18">
        <f>E1007* 0.819278445883441</f>
        <v>107.3254764</v>
      </c>
      <c r="H1007" s="18">
        <f>E1007* 0.00181313598519889</f>
        <v>0.2375208141</v>
      </c>
    </row>
    <row r="1008" ht="15.75" hidden="1" customHeight="1">
      <c r="A1008" s="20" t="s">
        <v>51</v>
      </c>
      <c r="B1008" s="47" t="s">
        <v>97</v>
      </c>
      <c r="C1008" s="47"/>
      <c r="D1008" s="19" t="s">
        <v>17</v>
      </c>
      <c r="E1008" s="23">
        <v>119.0</v>
      </c>
      <c r="F1008" s="18">
        <f>E1008* 0.916446662218225</f>
        <v>109.0571528</v>
      </c>
      <c r="G1008" s="18">
        <f>E1008* 0.0292436682236212</f>
        <v>3.479996519</v>
      </c>
      <c r="H1008" s="18">
        <f>E1008* 0.0543096695581537</f>
        <v>6.462850677</v>
      </c>
    </row>
    <row r="1009" ht="15.75" hidden="1" customHeight="1">
      <c r="A1009" s="20" t="s">
        <v>51</v>
      </c>
      <c r="B1009" s="47" t="s">
        <v>97</v>
      </c>
      <c r="C1009" s="47"/>
      <c r="D1009" s="19" t="s">
        <v>31</v>
      </c>
      <c r="E1009" s="23">
        <v>11.0</v>
      </c>
      <c r="F1009" s="18">
        <f>E1009* 0.957442434210526</f>
        <v>10.53186678</v>
      </c>
      <c r="G1009" s="18">
        <f>E1009* 0.0158305921052632</f>
        <v>0.1741365132</v>
      </c>
      <c r="H1009" s="18">
        <f>E1009* 0.0263157894736842</f>
        <v>0.2894736842</v>
      </c>
    </row>
    <row r="1010" ht="15.75" hidden="1" customHeight="1">
      <c r="A1010" s="20" t="s">
        <v>51</v>
      </c>
      <c r="B1010" s="47" t="s">
        <v>97</v>
      </c>
      <c r="C1010" s="47"/>
      <c r="D1010" s="19" t="s">
        <v>18</v>
      </c>
      <c r="E1010" s="23">
        <v>21.0</v>
      </c>
      <c r="F1010" s="18">
        <f>E1010* 0.983388008654987</f>
        <v>20.65114818</v>
      </c>
      <c r="G1010" s="18">
        <f>E1010* 0.0133314720457877</f>
        <v>0.279960913</v>
      </c>
      <c r="H1010" s="18">
        <f>E1010* 0.003210721016263</f>
        <v>0.06742514134</v>
      </c>
    </row>
    <row r="1011" ht="15.75" hidden="1" customHeight="1">
      <c r="A1011" s="20" t="s">
        <v>51</v>
      </c>
      <c r="B1011" s="47" t="s">
        <v>97</v>
      </c>
      <c r="C1011" s="47"/>
      <c r="D1011" s="19" t="s">
        <v>392</v>
      </c>
      <c r="E1011" s="23">
        <v>1.0</v>
      </c>
      <c r="F1011" s="20">
        <v>0.0</v>
      </c>
      <c r="G1011" s="24">
        <f>E1011</f>
        <v>1</v>
      </c>
      <c r="H1011" s="20">
        <v>0.0</v>
      </c>
    </row>
    <row r="1012" ht="15.75" hidden="1" customHeight="1">
      <c r="A1012" s="20" t="s">
        <v>51</v>
      </c>
      <c r="B1012" s="47" t="s">
        <v>97</v>
      </c>
      <c r="C1012" s="47"/>
      <c r="D1012" s="19" t="s">
        <v>19</v>
      </c>
      <c r="E1012" s="23">
        <v>2.0</v>
      </c>
      <c r="F1012" s="18">
        <f>E1012* 0.511826182618262</f>
        <v>1.023652365</v>
      </c>
      <c r="G1012" s="18">
        <f>E1012* 0.476622662266227</f>
        <v>0.9532453245</v>
      </c>
      <c r="H1012" s="18">
        <f>E1012* 0.0115511551155116</f>
        <v>0.02310231023</v>
      </c>
    </row>
    <row r="1013" ht="15.75" hidden="1" customHeight="1">
      <c r="A1013" s="20" t="s">
        <v>51</v>
      </c>
      <c r="B1013" s="47" t="s">
        <v>97</v>
      </c>
      <c r="C1013" s="47"/>
      <c r="D1013" s="19" t="s">
        <v>20</v>
      </c>
      <c r="E1013" s="23">
        <v>222.0</v>
      </c>
      <c r="F1013" s="18">
        <f>E1013* 0.814615536880747</f>
        <v>180.8446492</v>
      </c>
      <c r="G1013" s="18">
        <f>E1013* 0.0763167839340663</f>
        <v>16.94232603</v>
      </c>
      <c r="H1013" s="18">
        <f>E1013* 0.109013694193014</f>
        <v>24.20104011</v>
      </c>
    </row>
    <row r="1014" ht="15.75" hidden="1" customHeight="1">
      <c r="A1014" s="20" t="s">
        <v>51</v>
      </c>
      <c r="B1014" s="47" t="s">
        <v>97</v>
      </c>
      <c r="C1014" s="47"/>
      <c r="D1014" s="19" t="s">
        <v>21</v>
      </c>
      <c r="E1014" s="23">
        <v>60.0</v>
      </c>
      <c r="F1014" s="18">
        <f>E1014* 0.999722052365334</f>
        <v>59.98332314</v>
      </c>
      <c r="G1014" s="20">
        <v>0.0</v>
      </c>
      <c r="H1014" s="18">
        <f>E1014* 0.000277947634665629</f>
        <v>0.01667685808</v>
      </c>
    </row>
    <row r="1015" ht="15.75" hidden="1" customHeight="1">
      <c r="A1015" s="20" t="s">
        <v>51</v>
      </c>
      <c r="B1015" s="47" t="s">
        <v>97</v>
      </c>
      <c r="C1015" s="47"/>
      <c r="D1015" s="19" t="s">
        <v>36</v>
      </c>
      <c r="E1015" s="23">
        <v>1.0</v>
      </c>
      <c r="F1015" s="18">
        <f>E1015* 0.999132697311362</f>
        <v>0.9991326973</v>
      </c>
      <c r="G1015" s="20">
        <v>0.0</v>
      </c>
      <c r="H1015" s="18">
        <f>E1015* 0.000867302688638335</f>
        <v>0.0008673026886</v>
      </c>
    </row>
    <row r="1016" ht="15.75" hidden="1" customHeight="1">
      <c r="A1016" s="20" t="s">
        <v>51</v>
      </c>
      <c r="B1016" s="47" t="s">
        <v>97</v>
      </c>
      <c r="C1016" s="47"/>
      <c r="D1016" s="19" t="s">
        <v>28</v>
      </c>
      <c r="E1016" s="23">
        <v>80.0</v>
      </c>
      <c r="F1016" s="18">
        <f>E1016* 0.00115651503469545</f>
        <v>0.09252120278</v>
      </c>
      <c r="G1016" s="18">
        <f>E1016* 0.998843484965305</f>
        <v>79.9074788</v>
      </c>
      <c r="H1016" s="20">
        <v>0.0</v>
      </c>
    </row>
    <row r="1017" ht="15.75" hidden="1" customHeight="1">
      <c r="A1017" s="20" t="s">
        <v>51</v>
      </c>
      <c r="B1017" s="47" t="s">
        <v>97</v>
      </c>
      <c r="C1017" s="47"/>
      <c r="D1017" s="19" t="s">
        <v>12</v>
      </c>
      <c r="E1017" s="23">
        <v>302.0</v>
      </c>
      <c r="F1017" s="18">
        <f>E1017* 0.924936238310357</f>
        <v>279.330744</v>
      </c>
      <c r="G1017" s="18">
        <f>E1017* 0.0351064361799663</f>
        <v>10.60214373</v>
      </c>
      <c r="H1017" s="18">
        <f>E1017* 0.039932320925503</f>
        <v>12.05956092</v>
      </c>
    </row>
    <row r="1018" ht="15.75" hidden="1" customHeight="1">
      <c r="A1018" s="20" t="s">
        <v>51</v>
      </c>
      <c r="B1018" s="20"/>
      <c r="C1018" s="20"/>
      <c r="D1018" s="46"/>
      <c r="E1018" s="35"/>
    </row>
    <row r="1019" ht="15.75" hidden="1" customHeight="1">
      <c r="A1019" s="20" t="s">
        <v>51</v>
      </c>
      <c r="B1019" s="47" t="s">
        <v>98</v>
      </c>
      <c r="C1019" s="12" t="str">
        <f>B1019&amp;"_"&amp;A1019</f>
        <v>Sica Sica_La Paz</v>
      </c>
      <c r="D1019" s="20"/>
      <c r="E1019" s="45">
        <v>4441.0</v>
      </c>
      <c r="F1019" s="14">
        <f t="shared" ref="F1019:H1019" si="91">SUM(F1020:F1031)</f>
        <v>3536.041182</v>
      </c>
      <c r="G1019" s="14">
        <f t="shared" si="91"/>
        <v>740.4221738</v>
      </c>
      <c r="H1019" s="14">
        <f t="shared" si="91"/>
        <v>164.3354227</v>
      </c>
    </row>
    <row r="1020" ht="15.75" hidden="1" customHeight="1">
      <c r="A1020" s="20" t="s">
        <v>51</v>
      </c>
      <c r="B1020" s="47" t="s">
        <v>98</v>
      </c>
      <c r="C1020" s="47"/>
      <c r="D1020" s="19" t="s">
        <v>15</v>
      </c>
      <c r="E1020" s="23">
        <v>550.0</v>
      </c>
      <c r="F1020" s="18">
        <f>E1020* 0.981163265034061</f>
        <v>539.6397958</v>
      </c>
      <c r="G1020" s="18">
        <f>E1020* 0.0027595216829083</f>
        <v>1.517736926</v>
      </c>
      <c r="H1020" s="18">
        <f>E1020* 0.0160372202151627</f>
        <v>8.820471118</v>
      </c>
    </row>
    <row r="1021" ht="15.75" hidden="1" customHeight="1">
      <c r="A1021" s="20" t="s">
        <v>51</v>
      </c>
      <c r="B1021" s="47" t="s">
        <v>98</v>
      </c>
      <c r="C1021" s="47"/>
      <c r="D1021" s="29" t="s">
        <v>393</v>
      </c>
      <c r="E1021" s="23">
        <v>40.0</v>
      </c>
      <c r="F1021" s="18">
        <f>E1021* 0.142974979378609</f>
        <v>5.718999175</v>
      </c>
      <c r="G1021" s="18">
        <f>E1021* 0.852350838603245</f>
        <v>34.09403354</v>
      </c>
      <c r="H1021" s="18">
        <f>E1021* 0.00467418201814682</f>
        <v>0.1869672807</v>
      </c>
    </row>
    <row r="1022" ht="15.75" hidden="1" customHeight="1">
      <c r="A1022" s="20" t="s">
        <v>51</v>
      </c>
      <c r="B1022" s="47" t="s">
        <v>98</v>
      </c>
      <c r="C1022" s="47"/>
      <c r="D1022" s="19" t="s">
        <v>11</v>
      </c>
      <c r="E1022" s="23">
        <v>560.0</v>
      </c>
      <c r="F1022" s="18">
        <f>E1022* 0.178797409805735</f>
        <v>100.1265495</v>
      </c>
      <c r="G1022" s="18">
        <f>E1022* 0.819278445883441</f>
        <v>458.7959297</v>
      </c>
      <c r="H1022" s="18">
        <f>E1022* 0.00181313598519889</f>
        <v>1.015356152</v>
      </c>
    </row>
    <row r="1023" ht="15.75" hidden="1" customHeight="1">
      <c r="A1023" s="20" t="s">
        <v>51</v>
      </c>
      <c r="B1023" s="47" t="s">
        <v>98</v>
      </c>
      <c r="C1023" s="47"/>
      <c r="D1023" s="19" t="s">
        <v>17</v>
      </c>
      <c r="E1023" s="23">
        <v>539.0</v>
      </c>
      <c r="F1023" s="18">
        <f>E1023* 0.916446662218225</f>
        <v>493.9647509</v>
      </c>
      <c r="G1023" s="18">
        <f>E1023* 0.0292436682236212</f>
        <v>15.76233717</v>
      </c>
      <c r="H1023" s="18">
        <f>E1023* 0.0543096695581537</f>
        <v>29.27291189</v>
      </c>
    </row>
    <row r="1024" ht="15.75" hidden="1" customHeight="1">
      <c r="A1024" s="20" t="s">
        <v>51</v>
      </c>
      <c r="B1024" s="47" t="s">
        <v>98</v>
      </c>
      <c r="C1024" s="47"/>
      <c r="D1024" s="19" t="s">
        <v>31</v>
      </c>
      <c r="E1024" s="23">
        <v>91.0</v>
      </c>
      <c r="F1024" s="18">
        <f>E1024* 0.957442434210526</f>
        <v>87.12726151</v>
      </c>
      <c r="G1024" s="18">
        <f>E1024* 0.0158305921052632</f>
        <v>1.440583882</v>
      </c>
      <c r="H1024" s="18">
        <f>E1024* 0.0263157894736842</f>
        <v>2.394736842</v>
      </c>
    </row>
    <row r="1025" ht="15.75" hidden="1" customHeight="1">
      <c r="A1025" s="20" t="s">
        <v>51</v>
      </c>
      <c r="B1025" s="47" t="s">
        <v>98</v>
      </c>
      <c r="C1025" s="47"/>
      <c r="D1025" s="19" t="s">
        <v>18</v>
      </c>
      <c r="E1025" s="23">
        <v>160.0</v>
      </c>
      <c r="F1025" s="18">
        <f>E1025* 0.983388008654987</f>
        <v>157.3420814</v>
      </c>
      <c r="G1025" s="18">
        <f>E1025* 0.0133314720457877</f>
        <v>2.133035527</v>
      </c>
      <c r="H1025" s="18">
        <f>E1025* 0.003210721016263</f>
        <v>0.5137153626</v>
      </c>
    </row>
    <row r="1026" ht="15.75" hidden="1" customHeight="1">
      <c r="A1026" s="20" t="s">
        <v>51</v>
      </c>
      <c r="B1026" s="47" t="s">
        <v>98</v>
      </c>
      <c r="C1026" s="47"/>
      <c r="D1026" s="19" t="s">
        <v>19</v>
      </c>
      <c r="E1026" s="23">
        <v>26.0</v>
      </c>
      <c r="F1026" s="18">
        <f>E1026* 0.511826182618262</f>
        <v>13.30748075</v>
      </c>
      <c r="G1026" s="18">
        <f>E1026* 0.476622662266227</f>
        <v>12.39218922</v>
      </c>
      <c r="H1026" s="18">
        <f>E1026* 0.0115511551155116</f>
        <v>0.300330033</v>
      </c>
    </row>
    <row r="1027" ht="15.75" hidden="1" customHeight="1">
      <c r="A1027" s="20" t="s">
        <v>51</v>
      </c>
      <c r="B1027" s="47" t="s">
        <v>98</v>
      </c>
      <c r="C1027" s="47"/>
      <c r="D1027" s="19" t="s">
        <v>20</v>
      </c>
      <c r="E1027" s="23">
        <v>544.0</v>
      </c>
      <c r="F1027" s="18">
        <f>E1027* 0.814615536880747</f>
        <v>443.1508521</v>
      </c>
      <c r="G1027" s="18">
        <f>E1027* 0.0763167839340663</f>
        <v>41.51633046</v>
      </c>
      <c r="H1027" s="18">
        <f>E1027* 0.109013694193014</f>
        <v>59.30344964</v>
      </c>
    </row>
    <row r="1028" ht="15.75" hidden="1" customHeight="1">
      <c r="A1028" s="20" t="s">
        <v>51</v>
      </c>
      <c r="B1028" s="47" t="s">
        <v>98</v>
      </c>
      <c r="C1028" s="47"/>
      <c r="D1028" s="19" t="s">
        <v>21</v>
      </c>
      <c r="E1028" s="23">
        <v>242.0</v>
      </c>
      <c r="F1028" s="18">
        <f>E1028* 0.999722052365334</f>
        <v>241.9327367</v>
      </c>
      <c r="G1028" s="20">
        <v>0.0</v>
      </c>
      <c r="H1028" s="18">
        <f>E1028* 0.000277947634665629</f>
        <v>0.06726332759</v>
      </c>
    </row>
    <row r="1029" ht="15.75" hidden="1" customHeight="1">
      <c r="A1029" s="20" t="s">
        <v>51</v>
      </c>
      <c r="B1029" s="47" t="s">
        <v>98</v>
      </c>
      <c r="C1029" s="47"/>
      <c r="D1029" s="19" t="s">
        <v>36</v>
      </c>
      <c r="E1029" s="23">
        <v>7.0</v>
      </c>
      <c r="F1029" s="18">
        <f>E1029* 0.999132697311362</f>
        <v>6.993928881</v>
      </c>
      <c r="G1029" s="20">
        <v>0.0</v>
      </c>
      <c r="H1029" s="18">
        <f>E1029* 0.000867302688638335</f>
        <v>0.00607111882</v>
      </c>
    </row>
    <row r="1030" ht="15.75" hidden="1" customHeight="1">
      <c r="A1030" s="20" t="s">
        <v>51</v>
      </c>
      <c r="B1030" s="47" t="s">
        <v>98</v>
      </c>
      <c r="C1030" s="47"/>
      <c r="D1030" s="19" t="s">
        <v>28</v>
      </c>
      <c r="E1030" s="23">
        <v>118.0</v>
      </c>
      <c r="F1030" s="18">
        <f>E1030* 0.00115651503469545</f>
        <v>0.1364687741</v>
      </c>
      <c r="G1030" s="18">
        <f>E1030* 0.998843484965305</f>
        <v>117.8635312</v>
      </c>
      <c r="H1030" s="20">
        <v>0.0</v>
      </c>
    </row>
    <row r="1031" ht="15.75" hidden="1" customHeight="1">
      <c r="A1031" s="20" t="s">
        <v>51</v>
      </c>
      <c r="B1031" s="47" t="s">
        <v>98</v>
      </c>
      <c r="C1031" s="47"/>
      <c r="D1031" s="19" t="s">
        <v>12</v>
      </c>
      <c r="E1031" s="23">
        <v>1564.0</v>
      </c>
      <c r="F1031" s="18">
        <f>E1031* 0.924936238310357</f>
        <v>1446.600277</v>
      </c>
      <c r="G1031" s="18">
        <f>E1031* 0.0351064361799663</f>
        <v>54.90646619</v>
      </c>
      <c r="H1031" s="18">
        <f>E1031* 0.039932320925503</f>
        <v>62.45414993</v>
      </c>
    </row>
    <row r="1032" ht="15.75" hidden="1" customHeight="1">
      <c r="A1032" s="20" t="s">
        <v>51</v>
      </c>
      <c r="B1032" s="20"/>
      <c r="C1032" s="20"/>
      <c r="D1032" s="46"/>
      <c r="E1032" s="35"/>
    </row>
    <row r="1033" ht="15.75" hidden="1" customHeight="1">
      <c r="A1033" s="20" t="s">
        <v>51</v>
      </c>
      <c r="B1033" s="47" t="s">
        <v>99</v>
      </c>
      <c r="C1033" s="12" t="str">
        <f>B1033&amp;"_"&amp;A1033</f>
        <v>Sorata_La Paz</v>
      </c>
      <c r="D1033" s="20"/>
      <c r="E1033" s="45">
        <v>591.0</v>
      </c>
      <c r="F1033" s="14">
        <f t="shared" ref="F1033:H1033" si="92">SUM(F1034:F1046)</f>
        <v>514.3536786</v>
      </c>
      <c r="G1033" s="14">
        <f t="shared" si="92"/>
        <v>57.8767094</v>
      </c>
      <c r="H1033" s="14">
        <f t="shared" si="92"/>
        <v>18.74534263</v>
      </c>
    </row>
    <row r="1034" ht="15.75" hidden="1" customHeight="1">
      <c r="A1034" s="20" t="s">
        <v>51</v>
      </c>
      <c r="B1034" s="47" t="s">
        <v>99</v>
      </c>
      <c r="C1034" s="47"/>
      <c r="D1034" s="29" t="s">
        <v>394</v>
      </c>
      <c r="E1034" s="23">
        <v>5.0</v>
      </c>
      <c r="F1034" s="20">
        <v>0.0</v>
      </c>
      <c r="G1034" s="24">
        <f>E1034</f>
        <v>5</v>
      </c>
      <c r="H1034" s="20">
        <v>0.0</v>
      </c>
    </row>
    <row r="1035" ht="15.75" hidden="1" customHeight="1">
      <c r="A1035" s="20" t="s">
        <v>51</v>
      </c>
      <c r="B1035" s="47" t="s">
        <v>99</v>
      </c>
      <c r="C1035" s="47"/>
      <c r="D1035" s="19" t="s">
        <v>15</v>
      </c>
      <c r="E1035" s="23">
        <v>22.0</v>
      </c>
      <c r="F1035" s="18">
        <f>E1035* 0.981163265034061</f>
        <v>21.58559183</v>
      </c>
      <c r="G1035" s="18">
        <f>E1035* 0.0027595216829083</f>
        <v>0.06070947702</v>
      </c>
      <c r="H1035" s="18">
        <f>E1035* 0.0160372202151627</f>
        <v>0.3528188447</v>
      </c>
    </row>
    <row r="1036" ht="15.75" hidden="1" customHeight="1">
      <c r="A1036" s="20" t="s">
        <v>51</v>
      </c>
      <c r="B1036" s="47" t="s">
        <v>99</v>
      </c>
      <c r="C1036" s="47"/>
      <c r="D1036" s="29" t="s">
        <v>395</v>
      </c>
      <c r="E1036" s="23">
        <v>1.0</v>
      </c>
      <c r="F1036" s="18">
        <f>E1036* 0.142974979378609</f>
        <v>0.1429749794</v>
      </c>
      <c r="G1036" s="18">
        <f>E1036* 0.852350838603245</f>
        <v>0.8523508386</v>
      </c>
      <c r="H1036" s="18">
        <f>E1036* 0.00467418201814682</f>
        <v>0.004674182018</v>
      </c>
    </row>
    <row r="1037" ht="15.75" hidden="1" customHeight="1">
      <c r="A1037" s="20" t="s">
        <v>51</v>
      </c>
      <c r="B1037" s="47" t="s">
        <v>99</v>
      </c>
      <c r="C1037" s="47"/>
      <c r="D1037" s="19" t="s">
        <v>11</v>
      </c>
      <c r="E1037" s="17">
        <v>44.0</v>
      </c>
      <c r="F1037" s="18">
        <f>E1037* 0.178797409805735</f>
        <v>7.867086031</v>
      </c>
      <c r="G1037" s="18">
        <f>E1037* 0.819278445883441</f>
        <v>36.04825162</v>
      </c>
      <c r="H1037" s="18">
        <f>E1037* 0.00181313598519889</f>
        <v>0.07977798335</v>
      </c>
    </row>
    <row r="1038" ht="15.75" hidden="1" customHeight="1">
      <c r="A1038" s="20" t="s">
        <v>51</v>
      </c>
      <c r="B1038" s="47" t="s">
        <v>99</v>
      </c>
      <c r="C1038" s="47"/>
      <c r="D1038" s="19" t="s">
        <v>17</v>
      </c>
      <c r="E1038" s="17">
        <v>136.0</v>
      </c>
      <c r="F1038" s="18">
        <f>E1038* 0.916446662218225</f>
        <v>124.6367461</v>
      </c>
      <c r="G1038" s="18">
        <f>E1038* 0.0292436682236212</f>
        <v>3.977138878</v>
      </c>
      <c r="H1038" s="18">
        <f>E1038* 0.0543096695581537</f>
        <v>7.38611506</v>
      </c>
    </row>
    <row r="1039" ht="15.75" hidden="1" customHeight="1">
      <c r="A1039" s="20" t="s">
        <v>51</v>
      </c>
      <c r="B1039" s="47" t="s">
        <v>99</v>
      </c>
      <c r="C1039" s="47"/>
      <c r="D1039" s="19" t="s">
        <v>31</v>
      </c>
      <c r="E1039" s="23">
        <v>4.0</v>
      </c>
      <c r="F1039" s="18">
        <f>E1039* 0.957442434210526</f>
        <v>3.829769737</v>
      </c>
      <c r="G1039" s="18">
        <f>E1039* 0.0158305921052632</f>
        <v>0.06332236842</v>
      </c>
      <c r="H1039" s="18">
        <f>E1039* 0.0263157894736842</f>
        <v>0.1052631579</v>
      </c>
    </row>
    <row r="1040" ht="15.75" hidden="1" customHeight="1">
      <c r="A1040" s="20" t="s">
        <v>51</v>
      </c>
      <c r="B1040" s="47" t="s">
        <v>99</v>
      </c>
      <c r="C1040" s="47"/>
      <c r="D1040" s="19" t="s">
        <v>18</v>
      </c>
      <c r="E1040" s="23">
        <v>157.0</v>
      </c>
      <c r="F1040" s="18">
        <f>E1040* 0.983388008654987</f>
        <v>154.3919174</v>
      </c>
      <c r="G1040" s="18">
        <f>E1040* 0.0133314720457877</f>
        <v>2.093041111</v>
      </c>
      <c r="H1040" s="18">
        <f>E1040* 0.003210721016263</f>
        <v>0.5040831996</v>
      </c>
    </row>
    <row r="1041" ht="15.75" hidden="1" customHeight="1">
      <c r="A1041" s="20" t="s">
        <v>51</v>
      </c>
      <c r="B1041" s="47" t="s">
        <v>99</v>
      </c>
      <c r="C1041" s="47"/>
      <c r="D1041" s="19" t="s">
        <v>19</v>
      </c>
      <c r="E1041" s="23">
        <v>1.0</v>
      </c>
      <c r="F1041" s="18">
        <f>E1041* 0.511826182618262</f>
        <v>0.5118261826</v>
      </c>
      <c r="G1041" s="18">
        <f>E1041* 0.476622662266227</f>
        <v>0.4766226623</v>
      </c>
      <c r="H1041" s="18">
        <f>E1041* 0.0115511551155116</f>
        <v>0.01155115512</v>
      </c>
    </row>
    <row r="1042" ht="15.75" hidden="1" customHeight="1">
      <c r="A1042" s="20" t="s">
        <v>51</v>
      </c>
      <c r="B1042" s="47" t="s">
        <v>99</v>
      </c>
      <c r="C1042" s="47"/>
      <c r="D1042" s="19" t="s">
        <v>20</v>
      </c>
      <c r="E1042" s="23">
        <v>38.0</v>
      </c>
      <c r="F1042" s="18">
        <f>E1042* 0.814615536880747</f>
        <v>30.9553904</v>
      </c>
      <c r="G1042" s="18">
        <f>E1042* 0.0763167839340663</f>
        <v>2.900037789</v>
      </c>
      <c r="H1042" s="18">
        <f>E1042* 0.109013694193014</f>
        <v>4.142520379</v>
      </c>
    </row>
    <row r="1043" ht="15.75" hidden="1" customHeight="1">
      <c r="A1043" s="20" t="s">
        <v>51</v>
      </c>
      <c r="B1043" s="47" t="s">
        <v>99</v>
      </c>
      <c r="C1043" s="47"/>
      <c r="D1043" s="19" t="s">
        <v>21</v>
      </c>
      <c r="E1043" s="23">
        <v>26.0</v>
      </c>
      <c r="F1043" s="18">
        <f>E1043* 0.999722052365334</f>
        <v>25.99277336</v>
      </c>
      <c r="G1043" s="20">
        <v>0.0</v>
      </c>
      <c r="H1043" s="18">
        <f>E1043* 0.000277947634665629</f>
        <v>0.007226638501</v>
      </c>
    </row>
    <row r="1044" ht="15.75" hidden="1" customHeight="1">
      <c r="A1044" s="20" t="s">
        <v>51</v>
      </c>
      <c r="B1044" s="47" t="s">
        <v>99</v>
      </c>
      <c r="C1044" s="47"/>
      <c r="D1044" s="19" t="s">
        <v>36</v>
      </c>
      <c r="E1044" s="23">
        <v>2.0</v>
      </c>
      <c r="F1044" s="18">
        <f>E1044* 0.999132697311362</f>
        <v>1.998265395</v>
      </c>
      <c r="G1044" s="20">
        <v>0.0</v>
      </c>
      <c r="H1044" s="18">
        <f>E1044* 0.000867302688638335</f>
        <v>0.001734605377</v>
      </c>
    </row>
    <row r="1045" ht="15.75" hidden="1" customHeight="1">
      <c r="A1045" s="20" t="s">
        <v>51</v>
      </c>
      <c r="B1045" s="47" t="s">
        <v>99</v>
      </c>
      <c r="C1045" s="47"/>
      <c r="D1045" s="19" t="s">
        <v>28</v>
      </c>
      <c r="E1045" s="23">
        <v>1.0</v>
      </c>
      <c r="F1045" s="18">
        <f>E1045* 0.00115651503469545</f>
        <v>0.001156515035</v>
      </c>
      <c r="G1045" s="18">
        <f>E1045* 0.998843484965305</f>
        <v>0.998843485</v>
      </c>
      <c r="H1045" s="20">
        <v>0.0</v>
      </c>
    </row>
    <row r="1046" ht="15.75" hidden="1" customHeight="1">
      <c r="A1046" s="20" t="s">
        <v>51</v>
      </c>
      <c r="B1046" s="47" t="s">
        <v>99</v>
      </c>
      <c r="C1046" s="47"/>
      <c r="D1046" s="19" t="s">
        <v>12</v>
      </c>
      <c r="E1046" s="23">
        <v>154.0</v>
      </c>
      <c r="F1046" s="18">
        <f>E1046* 0.924936238310357</f>
        <v>142.4401807</v>
      </c>
      <c r="G1046" s="18">
        <f>E1046* 0.0351064361799663</f>
        <v>5.406391172</v>
      </c>
      <c r="H1046" s="18">
        <f>E1046* 0.039932320925503</f>
        <v>6.149577423</v>
      </c>
    </row>
    <row r="1047" ht="15.75" hidden="1" customHeight="1">
      <c r="A1047" s="20" t="s">
        <v>51</v>
      </c>
      <c r="B1047" s="20"/>
      <c r="C1047" s="20"/>
      <c r="D1047" s="46"/>
      <c r="E1047" s="35"/>
    </row>
    <row r="1048" ht="15.75" hidden="1" customHeight="1">
      <c r="A1048" s="20" t="s">
        <v>51</v>
      </c>
      <c r="B1048" s="47" t="s">
        <v>100</v>
      </c>
      <c r="C1048" s="12" t="str">
        <f>B1048&amp;"_"&amp;A1048</f>
        <v>Tacacoma_La Paz</v>
      </c>
      <c r="D1048" s="20"/>
      <c r="E1048" s="48"/>
      <c r="F1048" s="14">
        <v>0.0</v>
      </c>
      <c r="G1048" s="14">
        <v>0.0</v>
      </c>
      <c r="H1048" s="14">
        <v>0.0</v>
      </c>
    </row>
    <row r="1049" ht="15.75" hidden="1" customHeight="1">
      <c r="A1049" s="20" t="s">
        <v>51</v>
      </c>
      <c r="B1049" s="47" t="s">
        <v>100</v>
      </c>
      <c r="C1049" s="47"/>
      <c r="D1049" s="19" t="s">
        <v>17</v>
      </c>
      <c r="E1049" s="35"/>
      <c r="F1049" s="18">
        <f>E1049* 0.916446662218225</f>
        <v>0</v>
      </c>
      <c r="G1049" s="18">
        <f>E1049* 0.0292436682236212</f>
        <v>0</v>
      </c>
      <c r="H1049" s="18">
        <f>E1049* 0.0543096695581537</f>
        <v>0</v>
      </c>
    </row>
    <row r="1050" ht="15.75" hidden="1" customHeight="1">
      <c r="A1050" s="20" t="s">
        <v>51</v>
      </c>
      <c r="B1050" s="47" t="s">
        <v>100</v>
      </c>
      <c r="C1050" s="47"/>
      <c r="D1050" s="19" t="s">
        <v>21</v>
      </c>
      <c r="E1050" s="35"/>
      <c r="F1050" s="18">
        <f>E1050* 0.999722052365334</f>
        <v>0</v>
      </c>
      <c r="G1050" s="20">
        <v>0.0</v>
      </c>
      <c r="H1050" s="18">
        <f>E1050* 0.000277947634665629</f>
        <v>0</v>
      </c>
    </row>
    <row r="1051" ht="15.75" hidden="1" customHeight="1">
      <c r="A1051" s="20" t="s">
        <v>51</v>
      </c>
      <c r="B1051" s="20"/>
      <c r="C1051" s="20"/>
      <c r="D1051" s="46"/>
      <c r="E1051" s="35"/>
    </row>
    <row r="1052" ht="15.75" hidden="1" customHeight="1">
      <c r="A1052" s="20" t="s">
        <v>51</v>
      </c>
      <c r="B1052" s="47" t="s">
        <v>101</v>
      </c>
      <c r="C1052" s="12" t="str">
        <f>B1052&amp;"_"&amp;A1052</f>
        <v>Taraco_La Paz</v>
      </c>
      <c r="D1052" s="20"/>
      <c r="E1052" s="45">
        <v>2592.0</v>
      </c>
      <c r="F1052" s="14">
        <f t="shared" ref="F1052:H1052" si="93">SUM(F1053:F1066)</f>
        <v>2160.753082</v>
      </c>
      <c r="G1052" s="14">
        <f t="shared" si="93"/>
        <v>311.0132495</v>
      </c>
      <c r="H1052" s="14">
        <f t="shared" si="93"/>
        <v>120.1264826</v>
      </c>
    </row>
    <row r="1053" ht="15.75" hidden="1" customHeight="1">
      <c r="A1053" s="20" t="s">
        <v>51</v>
      </c>
      <c r="B1053" s="47" t="s">
        <v>101</v>
      </c>
      <c r="C1053" s="47"/>
      <c r="D1053" s="29" t="s">
        <v>396</v>
      </c>
      <c r="E1053" s="23">
        <v>3.0</v>
      </c>
      <c r="F1053" s="20">
        <v>0.0</v>
      </c>
      <c r="G1053" s="24">
        <f>E1053</f>
        <v>3</v>
      </c>
      <c r="H1053" s="20">
        <v>0.0</v>
      </c>
    </row>
    <row r="1054" ht="15.75" hidden="1" customHeight="1">
      <c r="A1054" s="20" t="s">
        <v>51</v>
      </c>
      <c r="B1054" s="47" t="s">
        <v>101</v>
      </c>
      <c r="C1054" s="47"/>
      <c r="D1054" s="19" t="s">
        <v>15</v>
      </c>
      <c r="E1054" s="23">
        <v>295.0</v>
      </c>
      <c r="F1054" s="18">
        <f>E1054* 0.981163265034061</f>
        <v>289.4431632</v>
      </c>
      <c r="G1054" s="18">
        <f>E1054* 0.0027595216829083</f>
        <v>0.8140588965</v>
      </c>
      <c r="H1054" s="18">
        <f>E1054* 0.0160372202151627</f>
        <v>4.730979963</v>
      </c>
    </row>
    <row r="1055" ht="15.75" hidden="1" customHeight="1">
      <c r="A1055" s="20" t="s">
        <v>51</v>
      </c>
      <c r="B1055" s="47" t="s">
        <v>101</v>
      </c>
      <c r="C1055" s="47"/>
      <c r="D1055" s="29" t="s">
        <v>397</v>
      </c>
      <c r="E1055" s="23">
        <v>20.0</v>
      </c>
      <c r="F1055" s="18">
        <f>E1055* 0.142974979378609</f>
        <v>2.859499588</v>
      </c>
      <c r="G1055" s="18">
        <f>E1055* 0.852350838603245</f>
        <v>17.04701677</v>
      </c>
      <c r="H1055" s="18">
        <f>E1055* 0.00467418201814682</f>
        <v>0.09348364036</v>
      </c>
    </row>
    <row r="1056" ht="15.75" hidden="1" customHeight="1">
      <c r="A1056" s="20" t="s">
        <v>51</v>
      </c>
      <c r="B1056" s="47" t="s">
        <v>101</v>
      </c>
      <c r="C1056" s="47"/>
      <c r="D1056" s="19" t="s">
        <v>11</v>
      </c>
      <c r="E1056" s="23">
        <v>201.0</v>
      </c>
      <c r="F1056" s="18">
        <f>E1056* 0.178797409805735</f>
        <v>35.93827937</v>
      </c>
      <c r="G1056" s="18">
        <f>E1056* 0.819278445883441</f>
        <v>164.6749676</v>
      </c>
      <c r="H1056" s="18">
        <f>E1056* 0.00181313598519889</f>
        <v>0.364440333</v>
      </c>
    </row>
    <row r="1057" ht="15.75" hidden="1" customHeight="1">
      <c r="A1057" s="20" t="s">
        <v>51</v>
      </c>
      <c r="B1057" s="47" t="s">
        <v>101</v>
      </c>
      <c r="C1057" s="47"/>
      <c r="D1057" s="19" t="s">
        <v>17</v>
      </c>
      <c r="E1057" s="23">
        <v>331.0</v>
      </c>
      <c r="F1057" s="18">
        <f>E1057* 0.916446662218225</f>
        <v>303.3438452</v>
      </c>
      <c r="G1057" s="18">
        <f>E1057* 0.0292436682236212</f>
        <v>9.679654182</v>
      </c>
      <c r="H1057" s="18">
        <f>E1057* 0.0543096695581537</f>
        <v>17.97650062</v>
      </c>
    </row>
    <row r="1058" ht="15.75" hidden="1" customHeight="1">
      <c r="A1058" s="20" t="s">
        <v>51</v>
      </c>
      <c r="B1058" s="47" t="s">
        <v>101</v>
      </c>
      <c r="C1058" s="47"/>
      <c r="D1058" s="19" t="s">
        <v>31</v>
      </c>
      <c r="E1058" s="23">
        <v>40.0</v>
      </c>
      <c r="F1058" s="18">
        <f>E1058* 0.957442434210526</f>
        <v>38.29769737</v>
      </c>
      <c r="G1058" s="18">
        <f>E1058* 0.0158305921052632</f>
        <v>0.6332236842</v>
      </c>
      <c r="H1058" s="18">
        <f>E1058* 0.0263157894736842</f>
        <v>1.052631579</v>
      </c>
    </row>
    <row r="1059" ht="15.75" hidden="1" customHeight="1">
      <c r="A1059" s="20" t="s">
        <v>51</v>
      </c>
      <c r="B1059" s="47" t="s">
        <v>101</v>
      </c>
      <c r="C1059" s="47"/>
      <c r="D1059" s="19" t="s">
        <v>18</v>
      </c>
      <c r="E1059" s="23">
        <v>62.0</v>
      </c>
      <c r="F1059" s="18">
        <f>E1059* 0.983388008654987</f>
        <v>60.97005654</v>
      </c>
      <c r="G1059" s="18">
        <f>E1059* 0.0133314720457877</f>
        <v>0.8265512668</v>
      </c>
      <c r="H1059" s="18">
        <f>E1059* 0.003210721016263</f>
        <v>0.199064703</v>
      </c>
    </row>
    <row r="1060" ht="15.75" hidden="1" customHeight="1">
      <c r="A1060" s="20" t="s">
        <v>51</v>
      </c>
      <c r="B1060" s="47" t="s">
        <v>101</v>
      </c>
      <c r="C1060" s="47"/>
      <c r="D1060" s="19" t="s">
        <v>19</v>
      </c>
      <c r="E1060" s="23">
        <v>14.0</v>
      </c>
      <c r="F1060" s="18">
        <f>E1060* 0.511826182618262</f>
        <v>7.165566557</v>
      </c>
      <c r="G1060" s="18">
        <f>E1060* 0.476622662266227</f>
        <v>6.672717272</v>
      </c>
      <c r="H1060" s="18">
        <f>E1060* 0.0115511551155116</f>
        <v>0.1617161716</v>
      </c>
    </row>
    <row r="1061" ht="15.75" hidden="1" customHeight="1">
      <c r="A1061" s="20" t="s">
        <v>51</v>
      </c>
      <c r="B1061" s="47" t="s">
        <v>101</v>
      </c>
      <c r="C1061" s="47"/>
      <c r="D1061" s="19" t="s">
        <v>20</v>
      </c>
      <c r="E1061" s="23">
        <v>526.0</v>
      </c>
      <c r="F1061" s="18">
        <f>E1061* 0.814615536880747</f>
        <v>428.4877724</v>
      </c>
      <c r="G1061" s="18">
        <f>E1061* 0.0763167839340663</f>
        <v>40.14262835</v>
      </c>
      <c r="H1061" s="18">
        <f>E1061* 0.109013694193014</f>
        <v>57.34120315</v>
      </c>
    </row>
    <row r="1062" ht="15.75" hidden="1" customHeight="1">
      <c r="A1062" s="20" t="s">
        <v>51</v>
      </c>
      <c r="B1062" s="47" t="s">
        <v>101</v>
      </c>
      <c r="C1062" s="47"/>
      <c r="D1062" s="19" t="s">
        <v>21</v>
      </c>
      <c r="E1062" s="23">
        <v>109.0</v>
      </c>
      <c r="F1062" s="18">
        <f>E1062* 0.999722052365334</f>
        <v>108.9697037</v>
      </c>
      <c r="G1062" s="20">
        <v>0.0</v>
      </c>
      <c r="H1062" s="18">
        <f>E1062* 0.000277947634665629</f>
        <v>0.03029629218</v>
      </c>
    </row>
    <row r="1063" ht="15.75" hidden="1" customHeight="1">
      <c r="A1063" s="20" t="s">
        <v>51</v>
      </c>
      <c r="B1063" s="47" t="s">
        <v>101</v>
      </c>
      <c r="C1063" s="47"/>
      <c r="D1063" s="19" t="s">
        <v>37</v>
      </c>
      <c r="E1063" s="23">
        <v>0.0</v>
      </c>
      <c r="F1063" s="18">
        <f>E1063* 0.0555555555555556</f>
        <v>0</v>
      </c>
      <c r="G1063" s="18">
        <f>E1063* 0.944444444444444</f>
        <v>0</v>
      </c>
      <c r="H1063" s="20">
        <v>0.0</v>
      </c>
    </row>
    <row r="1064" ht="15.75" hidden="1" customHeight="1">
      <c r="A1064" s="20" t="s">
        <v>51</v>
      </c>
      <c r="B1064" s="47" t="s">
        <v>101</v>
      </c>
      <c r="C1064" s="47"/>
      <c r="D1064" s="19" t="s">
        <v>36</v>
      </c>
      <c r="E1064" s="23">
        <v>1.0</v>
      </c>
      <c r="F1064" s="18">
        <f>E1064* 0.999132697311362</f>
        <v>0.9991326973</v>
      </c>
      <c r="G1064" s="20">
        <v>0.0</v>
      </c>
      <c r="H1064" s="18">
        <f>E1064* 0.000867302688638335</f>
        <v>0.0008673026886</v>
      </c>
    </row>
    <row r="1065" ht="15.75" hidden="1" customHeight="1">
      <c r="A1065" s="20" t="s">
        <v>51</v>
      </c>
      <c r="B1065" s="47" t="s">
        <v>101</v>
      </c>
      <c r="C1065" s="47"/>
      <c r="D1065" s="19" t="s">
        <v>28</v>
      </c>
      <c r="E1065" s="23">
        <v>34.0</v>
      </c>
      <c r="F1065" s="18">
        <f>E1065* 0.00115651503469545</f>
        <v>0.03932151118</v>
      </c>
      <c r="G1065" s="18">
        <f>E1065* 0.998843484965305</f>
        <v>33.96067849</v>
      </c>
      <c r="H1065" s="20">
        <v>0.0</v>
      </c>
    </row>
    <row r="1066" ht="15.75" hidden="1" customHeight="1">
      <c r="A1066" s="20" t="s">
        <v>51</v>
      </c>
      <c r="B1066" s="47" t="s">
        <v>101</v>
      </c>
      <c r="C1066" s="47"/>
      <c r="D1066" s="19" t="s">
        <v>12</v>
      </c>
      <c r="E1066" s="17">
        <v>956.0</v>
      </c>
      <c r="F1066" s="18">
        <f>E1066* 0.924936238310357</f>
        <v>884.2390438</v>
      </c>
      <c r="G1066" s="18">
        <f>E1066* 0.0351064361799663</f>
        <v>33.56175299</v>
      </c>
      <c r="H1066" s="18">
        <f>E1066* 0.039932320925503</f>
        <v>38.1752988</v>
      </c>
    </row>
    <row r="1067" ht="15.75" hidden="1" customHeight="1">
      <c r="A1067" s="20" t="s">
        <v>51</v>
      </c>
      <c r="B1067" s="20"/>
      <c r="C1067" s="20"/>
      <c r="D1067" s="46"/>
      <c r="E1067" s="35"/>
    </row>
    <row r="1068" ht="15.75" hidden="1" customHeight="1">
      <c r="A1068" s="20" t="s">
        <v>51</v>
      </c>
      <c r="B1068" s="47" t="s">
        <v>102</v>
      </c>
      <c r="C1068" s="12" t="str">
        <f>B1068&amp;"_"&amp;A1068</f>
        <v>Tihuanacu_La Paz</v>
      </c>
      <c r="D1068" s="20"/>
      <c r="E1068" s="45">
        <v>427.0</v>
      </c>
      <c r="F1068" s="14">
        <f t="shared" ref="F1068:H1068" si="94">SUM(F1069:F1080)</f>
        <v>356.7020411</v>
      </c>
      <c r="G1068" s="14">
        <f t="shared" si="94"/>
        <v>45.23192017</v>
      </c>
      <c r="H1068" s="14">
        <f t="shared" si="94"/>
        <v>25.04827487</v>
      </c>
    </row>
    <row r="1069" ht="15.75" hidden="1" customHeight="1">
      <c r="A1069" s="20" t="s">
        <v>51</v>
      </c>
      <c r="B1069" s="47" t="s">
        <v>102</v>
      </c>
      <c r="C1069" s="47"/>
      <c r="D1069" s="19" t="s">
        <v>15</v>
      </c>
      <c r="E1069" s="23">
        <v>22.0</v>
      </c>
      <c r="F1069" s="18">
        <f>E1069* 0.981163265034061</f>
        <v>21.58559183</v>
      </c>
      <c r="G1069" s="18">
        <f>E1069* 0.0027595216829083</f>
        <v>0.06070947702</v>
      </c>
      <c r="H1069" s="18">
        <f>E1069* 0.0160372202151627</f>
        <v>0.3528188447</v>
      </c>
    </row>
    <row r="1070" ht="15.75" hidden="1" customHeight="1">
      <c r="A1070" s="20" t="s">
        <v>51</v>
      </c>
      <c r="B1070" s="47" t="s">
        <v>102</v>
      </c>
      <c r="C1070" s="47"/>
      <c r="D1070" s="29" t="s">
        <v>398</v>
      </c>
      <c r="E1070" s="23">
        <v>7.0</v>
      </c>
      <c r="F1070" s="18">
        <f>E1070* 0.142974979378609</f>
        <v>1.000824856</v>
      </c>
      <c r="G1070" s="18">
        <f>E1070* 0.852350838603245</f>
        <v>5.96645587</v>
      </c>
      <c r="H1070" s="18">
        <f>E1070* 0.00467418201814682</f>
        <v>0.03271927413</v>
      </c>
    </row>
    <row r="1071" ht="15.75" hidden="1" customHeight="1">
      <c r="A1071" s="20" t="s">
        <v>51</v>
      </c>
      <c r="B1071" s="47" t="s">
        <v>102</v>
      </c>
      <c r="C1071" s="47"/>
      <c r="D1071" s="19" t="s">
        <v>11</v>
      </c>
      <c r="E1071" s="23">
        <v>19.0</v>
      </c>
      <c r="F1071" s="18">
        <f>E1071* 0.178797409805735</f>
        <v>3.397150786</v>
      </c>
      <c r="G1071" s="18">
        <f>E1071* 0.819278445883441</f>
        <v>15.56629047</v>
      </c>
      <c r="H1071" s="18">
        <f>E1071* 0.00181313598519889</f>
        <v>0.03444958372</v>
      </c>
    </row>
    <row r="1072" ht="15.75" hidden="1" customHeight="1">
      <c r="A1072" s="20" t="s">
        <v>51</v>
      </c>
      <c r="B1072" s="47" t="s">
        <v>102</v>
      </c>
      <c r="C1072" s="47"/>
      <c r="D1072" s="19" t="s">
        <v>17</v>
      </c>
      <c r="E1072" s="23">
        <v>28.0</v>
      </c>
      <c r="F1072" s="18">
        <f>E1072* 0.916446662218225</f>
        <v>25.66050654</v>
      </c>
      <c r="G1072" s="18">
        <f>E1072* 0.0292436682236212</f>
        <v>0.8188227103</v>
      </c>
      <c r="H1072" s="18">
        <f>E1072* 0.0543096695581537</f>
        <v>1.520670748</v>
      </c>
    </row>
    <row r="1073" ht="15.75" hidden="1" customHeight="1">
      <c r="A1073" s="20" t="s">
        <v>51</v>
      </c>
      <c r="B1073" s="47" t="s">
        <v>102</v>
      </c>
      <c r="C1073" s="47"/>
      <c r="D1073" s="19" t="s">
        <v>31</v>
      </c>
      <c r="E1073" s="23">
        <v>7.0</v>
      </c>
      <c r="F1073" s="18">
        <f>E1073* 0.957442434210526</f>
        <v>6.702097039</v>
      </c>
      <c r="G1073" s="18">
        <f>E1073* 0.0158305921052632</f>
        <v>0.1108141447</v>
      </c>
      <c r="H1073" s="18">
        <f>E1073* 0.0263157894736842</f>
        <v>0.1842105263</v>
      </c>
    </row>
    <row r="1074" ht="15.75" hidden="1" customHeight="1">
      <c r="A1074" s="20" t="s">
        <v>51</v>
      </c>
      <c r="B1074" s="47" t="s">
        <v>102</v>
      </c>
      <c r="C1074" s="47"/>
      <c r="D1074" s="19" t="s">
        <v>18</v>
      </c>
      <c r="E1074" s="23">
        <v>1.0</v>
      </c>
      <c r="F1074" s="18">
        <f>E1074* 0.983388008654987</f>
        <v>0.9833880087</v>
      </c>
      <c r="G1074" s="18">
        <f>E1074* 0.0133314720457877</f>
        <v>0.01333147205</v>
      </c>
      <c r="H1074" s="18">
        <f>E1074* 0.003210721016263</f>
        <v>0.003210721016</v>
      </c>
    </row>
    <row r="1075" ht="15.75" hidden="1" customHeight="1">
      <c r="A1075" s="20" t="s">
        <v>51</v>
      </c>
      <c r="B1075" s="47" t="s">
        <v>102</v>
      </c>
      <c r="C1075" s="47"/>
      <c r="D1075" s="19" t="s">
        <v>399</v>
      </c>
      <c r="E1075" s="23">
        <v>5.0</v>
      </c>
      <c r="F1075" s="20">
        <v>0.0</v>
      </c>
      <c r="G1075" s="24">
        <f>E1075</f>
        <v>5</v>
      </c>
      <c r="H1075" s="20">
        <v>0.0</v>
      </c>
    </row>
    <row r="1076" ht="15.75" hidden="1" customHeight="1">
      <c r="A1076" s="20" t="s">
        <v>51</v>
      </c>
      <c r="B1076" s="47" t="s">
        <v>102</v>
      </c>
      <c r="C1076" s="47"/>
      <c r="D1076" s="19" t="s">
        <v>20</v>
      </c>
      <c r="E1076" s="23">
        <v>176.0</v>
      </c>
      <c r="F1076" s="18">
        <f>E1076* 0.814615536880747</f>
        <v>143.3723345</v>
      </c>
      <c r="G1076" s="18">
        <f>E1076* 0.0763167839340663</f>
        <v>13.43175397</v>
      </c>
      <c r="H1076" s="18">
        <f>E1076* 0.109013694193014</f>
        <v>19.18641018</v>
      </c>
    </row>
    <row r="1077" ht="15.75" hidden="1" customHeight="1">
      <c r="A1077" s="20" t="s">
        <v>51</v>
      </c>
      <c r="B1077" s="47" t="s">
        <v>102</v>
      </c>
      <c r="C1077" s="47"/>
      <c r="D1077" s="19" t="s">
        <v>21</v>
      </c>
      <c r="E1077" s="23">
        <v>66.0</v>
      </c>
      <c r="F1077" s="18">
        <f>E1077* 0.999722052365334</f>
        <v>65.98165546</v>
      </c>
      <c r="G1077" s="20">
        <v>0.0</v>
      </c>
      <c r="H1077" s="18">
        <f>E1077* 0.000277947634665629</f>
        <v>0.01834454389</v>
      </c>
    </row>
    <row r="1078" ht="15.75" hidden="1" customHeight="1">
      <c r="A1078" s="20" t="s">
        <v>51</v>
      </c>
      <c r="B1078" s="47" t="s">
        <v>102</v>
      </c>
      <c r="C1078" s="47"/>
      <c r="D1078" s="19" t="s">
        <v>36</v>
      </c>
      <c r="E1078" s="23">
        <v>2.0</v>
      </c>
      <c r="F1078" s="18">
        <f>E1078* 0.999132697311362</f>
        <v>1.998265395</v>
      </c>
      <c r="G1078" s="20">
        <v>0.0</v>
      </c>
      <c r="H1078" s="18">
        <f>E1078* 0.000867302688638335</f>
        <v>0.001734605377</v>
      </c>
    </row>
    <row r="1079" ht="15.75" hidden="1" customHeight="1">
      <c r="A1079" s="20" t="s">
        <v>51</v>
      </c>
      <c r="B1079" s="47" t="s">
        <v>102</v>
      </c>
      <c r="C1079" s="47"/>
      <c r="D1079" s="19" t="s">
        <v>28</v>
      </c>
      <c r="E1079" s="23">
        <v>1.0</v>
      </c>
      <c r="F1079" s="18">
        <f>E1079* 0.00115651503469545</f>
        <v>0.001156515035</v>
      </c>
      <c r="G1079" s="18">
        <f>E1079* 0.998843484965305</f>
        <v>0.998843485</v>
      </c>
      <c r="H1079" s="20">
        <v>0.0</v>
      </c>
    </row>
    <row r="1080" ht="15.75" hidden="1" customHeight="1">
      <c r="A1080" s="20" t="s">
        <v>51</v>
      </c>
      <c r="B1080" s="47" t="s">
        <v>102</v>
      </c>
      <c r="C1080" s="47"/>
      <c r="D1080" s="19" t="s">
        <v>12</v>
      </c>
      <c r="E1080" s="23">
        <v>93.0</v>
      </c>
      <c r="F1080" s="18">
        <f>E1080* 0.924936238310357</f>
        <v>86.01907016</v>
      </c>
      <c r="G1080" s="18">
        <f>E1080* 0.0351064361799663</f>
        <v>3.264898565</v>
      </c>
      <c r="H1080" s="18">
        <f>E1080* 0.039932320925503</f>
        <v>3.713705846</v>
      </c>
    </row>
    <row r="1081" ht="15.75" hidden="1" customHeight="1">
      <c r="A1081" s="20" t="s">
        <v>51</v>
      </c>
      <c r="B1081" s="20"/>
      <c r="C1081" s="20"/>
      <c r="D1081" s="46"/>
      <c r="E1081" s="35"/>
    </row>
    <row r="1082" ht="15.75" hidden="1" customHeight="1">
      <c r="A1082" s="20" t="s">
        <v>51</v>
      </c>
      <c r="B1082" s="47" t="s">
        <v>400</v>
      </c>
      <c r="C1082" s="12" t="str">
        <f>B1082&amp;"_"&amp;A1082</f>
        <v>Tito Yupanqui_La Paz</v>
      </c>
      <c r="D1082" s="20"/>
      <c r="E1082" s="45">
        <v>137.0</v>
      </c>
      <c r="F1082" s="14">
        <f t="shared" ref="F1082:H1082" si="95">SUM(F1083:F1087)</f>
        <v>136.5404315</v>
      </c>
      <c r="G1082" s="14">
        <f t="shared" si="95"/>
        <v>0.1757733245</v>
      </c>
      <c r="H1082" s="14">
        <f t="shared" si="95"/>
        <v>0.2836911713</v>
      </c>
    </row>
    <row r="1083" ht="15.75" hidden="1" customHeight="1">
      <c r="A1083" s="20" t="s">
        <v>51</v>
      </c>
      <c r="B1083" s="47" t="s">
        <v>400</v>
      </c>
      <c r="C1083" s="47"/>
      <c r="D1083" s="19" t="s">
        <v>17</v>
      </c>
      <c r="E1083" s="23">
        <v>1.0</v>
      </c>
      <c r="F1083" s="18">
        <f>E1083* 0.916446662218225</f>
        <v>0.9164466622</v>
      </c>
      <c r="G1083" s="18">
        <f>E1083* 0.0292436682236212</f>
        <v>0.02924366822</v>
      </c>
      <c r="H1083" s="18">
        <f>E1083* 0.0543096695581537</f>
        <v>0.05430966956</v>
      </c>
    </row>
    <row r="1084" ht="15.75" hidden="1" customHeight="1">
      <c r="A1084" s="20" t="s">
        <v>51</v>
      </c>
      <c r="B1084" s="47" t="s">
        <v>400</v>
      </c>
      <c r="C1084" s="47"/>
      <c r="D1084" s="19" t="s">
        <v>20</v>
      </c>
      <c r="E1084" s="23">
        <v>1.0</v>
      </c>
      <c r="F1084" s="18">
        <f>E1084* 0.814615536880747</f>
        <v>0.8146155369</v>
      </c>
      <c r="G1084" s="18">
        <f>E1084* 0.0763167839340663</f>
        <v>0.07631678393</v>
      </c>
      <c r="H1084" s="18">
        <f>E1084* 0.109013694193014</f>
        <v>0.1090136942</v>
      </c>
    </row>
    <row r="1085" ht="15.75" hidden="1" customHeight="1">
      <c r="A1085" s="20" t="s">
        <v>51</v>
      </c>
      <c r="B1085" s="47" t="s">
        <v>400</v>
      </c>
      <c r="C1085" s="47"/>
      <c r="D1085" s="19" t="s">
        <v>21</v>
      </c>
      <c r="E1085" s="23">
        <v>127.0</v>
      </c>
      <c r="F1085" s="18">
        <f>E1085* 0.999722052365334</f>
        <v>126.9647007</v>
      </c>
      <c r="G1085" s="20">
        <v>0.0</v>
      </c>
      <c r="H1085" s="18">
        <f>E1085* 0.000277947634665629</f>
        <v>0.0352993496</v>
      </c>
    </row>
    <row r="1086" ht="15.75" hidden="1" customHeight="1">
      <c r="A1086" s="20" t="s">
        <v>51</v>
      </c>
      <c r="B1086" s="47" t="s">
        <v>400</v>
      </c>
      <c r="C1086" s="47"/>
      <c r="D1086" s="19" t="s">
        <v>36</v>
      </c>
      <c r="E1086" s="23">
        <v>6.0</v>
      </c>
      <c r="F1086" s="18">
        <f>E1086* 0.999132697311362</f>
        <v>5.994796184</v>
      </c>
      <c r="G1086" s="20">
        <v>0.0</v>
      </c>
      <c r="H1086" s="18">
        <f>E1086* 0.000867302688638335</f>
        <v>0.005203816132</v>
      </c>
    </row>
    <row r="1087" ht="15.75" hidden="1" customHeight="1">
      <c r="A1087" s="20" t="s">
        <v>51</v>
      </c>
      <c r="B1087" s="47" t="s">
        <v>400</v>
      </c>
      <c r="C1087" s="47"/>
      <c r="D1087" s="19" t="s">
        <v>12</v>
      </c>
      <c r="E1087" s="23">
        <v>2.0</v>
      </c>
      <c r="F1087" s="18">
        <f>E1087* 0.924936238310357</f>
        <v>1.849872477</v>
      </c>
      <c r="G1087" s="18">
        <f>E1087* 0.0351064361799663</f>
        <v>0.07021287236</v>
      </c>
      <c r="H1087" s="18">
        <f>E1087* 0.039932320925503</f>
        <v>0.07986464185</v>
      </c>
    </row>
    <row r="1088" ht="15.75" hidden="1" customHeight="1">
      <c r="A1088" s="20" t="s">
        <v>51</v>
      </c>
      <c r="B1088" s="20"/>
      <c r="C1088" s="20"/>
      <c r="D1088" s="46"/>
      <c r="E1088" s="35"/>
    </row>
    <row r="1089" ht="15.75" hidden="1" customHeight="1">
      <c r="A1089" s="20" t="s">
        <v>51</v>
      </c>
      <c r="B1089" s="47" t="s">
        <v>103</v>
      </c>
      <c r="C1089" s="12" t="str">
        <f>B1089&amp;"_"&amp;A1089</f>
        <v>Umala_La Paz</v>
      </c>
      <c r="D1089" s="20"/>
      <c r="E1089" s="45">
        <v>274.0</v>
      </c>
      <c r="F1089" s="14">
        <f t="shared" ref="F1089:H1089" si="96">SUM(F1090:F1101)</f>
        <v>236.8213827</v>
      </c>
      <c r="G1089" s="14">
        <f t="shared" si="96"/>
        <v>22.56776493</v>
      </c>
      <c r="H1089" s="14">
        <f t="shared" si="96"/>
        <v>14.60110363</v>
      </c>
    </row>
    <row r="1090" ht="15.75" hidden="1" customHeight="1">
      <c r="A1090" s="20" t="s">
        <v>51</v>
      </c>
      <c r="B1090" s="47" t="s">
        <v>103</v>
      </c>
      <c r="C1090" s="47"/>
      <c r="D1090" s="29" t="s">
        <v>401</v>
      </c>
      <c r="E1090" s="23">
        <v>0.0</v>
      </c>
      <c r="F1090" s="20">
        <v>0.0</v>
      </c>
      <c r="G1090" s="24">
        <f>E1090</f>
        <v>0</v>
      </c>
      <c r="H1090" s="20">
        <v>0.0</v>
      </c>
    </row>
    <row r="1091" ht="15.75" hidden="1" customHeight="1">
      <c r="A1091" s="20" t="s">
        <v>51</v>
      </c>
      <c r="B1091" s="47" t="s">
        <v>103</v>
      </c>
      <c r="C1091" s="47"/>
      <c r="D1091" s="19" t="s">
        <v>15</v>
      </c>
      <c r="E1091" s="23">
        <v>16.0</v>
      </c>
      <c r="F1091" s="18">
        <f>E1091* 0.981163265034061</f>
        <v>15.69861224</v>
      </c>
      <c r="G1091" s="18">
        <f>E1091* 0.0027595216829083</f>
        <v>0.04415234693</v>
      </c>
      <c r="H1091" s="18">
        <f>E1091* 0.0160372202151627</f>
        <v>0.2565955234</v>
      </c>
    </row>
    <row r="1092" ht="15.75" hidden="1" customHeight="1">
      <c r="A1092" s="20" t="s">
        <v>51</v>
      </c>
      <c r="B1092" s="47" t="s">
        <v>103</v>
      </c>
      <c r="C1092" s="47"/>
      <c r="D1092" s="29" t="s">
        <v>402</v>
      </c>
      <c r="E1092" s="23">
        <v>4.0</v>
      </c>
      <c r="F1092" s="18">
        <f>E1092* 0.142974979378609</f>
        <v>0.5718999175</v>
      </c>
      <c r="G1092" s="18">
        <f>E1092* 0.852350838603245</f>
        <v>3.409403354</v>
      </c>
      <c r="H1092" s="18">
        <f>E1092* 0.00467418201814682</f>
        <v>0.01869672807</v>
      </c>
    </row>
    <row r="1093" ht="15.75" hidden="1" customHeight="1">
      <c r="A1093" s="20" t="s">
        <v>51</v>
      </c>
      <c r="B1093" s="47" t="s">
        <v>103</v>
      </c>
      <c r="C1093" s="47"/>
      <c r="D1093" s="19" t="s">
        <v>11</v>
      </c>
      <c r="E1093" s="23">
        <v>8.0</v>
      </c>
      <c r="F1093" s="18">
        <f>E1093* 0.178797409805735</f>
        <v>1.430379278</v>
      </c>
      <c r="G1093" s="18">
        <f>E1093* 0.819278445883441</f>
        <v>6.554227567</v>
      </c>
      <c r="H1093" s="18">
        <f>E1093* 0.00181313598519889</f>
        <v>0.01450508788</v>
      </c>
    </row>
    <row r="1094" ht="15.75" hidden="1" customHeight="1">
      <c r="A1094" s="20" t="s">
        <v>51</v>
      </c>
      <c r="B1094" s="47" t="s">
        <v>103</v>
      </c>
      <c r="C1094" s="47"/>
      <c r="D1094" s="19" t="s">
        <v>17</v>
      </c>
      <c r="E1094" s="23">
        <v>41.0</v>
      </c>
      <c r="F1094" s="18">
        <f>E1094* 0.916446662218225</f>
        <v>37.57431315</v>
      </c>
      <c r="G1094" s="18">
        <f>E1094* 0.0292436682236212</f>
        <v>1.198990397</v>
      </c>
      <c r="H1094" s="18">
        <f>E1094* 0.0543096695581537</f>
        <v>2.226696452</v>
      </c>
    </row>
    <row r="1095" ht="15.75" hidden="1" customHeight="1">
      <c r="A1095" s="20" t="s">
        <v>51</v>
      </c>
      <c r="B1095" s="47" t="s">
        <v>103</v>
      </c>
      <c r="C1095" s="47"/>
      <c r="D1095" s="19" t="s">
        <v>31</v>
      </c>
      <c r="E1095" s="23">
        <v>1.0</v>
      </c>
      <c r="F1095" s="18">
        <f>E1095* 0.957442434210526</f>
        <v>0.9574424342</v>
      </c>
      <c r="G1095" s="18">
        <f>E1095* 0.0158305921052632</f>
        <v>0.01583059211</v>
      </c>
      <c r="H1095" s="18">
        <f>E1095* 0.0263157894736842</f>
        <v>0.02631578947</v>
      </c>
    </row>
    <row r="1096" ht="15.75" hidden="1" customHeight="1">
      <c r="A1096" s="20" t="s">
        <v>51</v>
      </c>
      <c r="B1096" s="47" t="s">
        <v>103</v>
      </c>
      <c r="C1096" s="47"/>
      <c r="D1096" s="19" t="s">
        <v>18</v>
      </c>
      <c r="E1096" s="23">
        <v>19.0</v>
      </c>
      <c r="F1096" s="18">
        <f>E1096* 0.983388008654987</f>
        <v>18.68437216</v>
      </c>
      <c r="G1096" s="18">
        <f>E1096* 0.0133314720457877</f>
        <v>0.2532979689</v>
      </c>
      <c r="H1096" s="18">
        <f>E1096* 0.003210721016263</f>
        <v>0.06100369931</v>
      </c>
    </row>
    <row r="1097" ht="15.75" hidden="1" customHeight="1">
      <c r="A1097" s="20" t="s">
        <v>51</v>
      </c>
      <c r="B1097" s="47" t="s">
        <v>103</v>
      </c>
      <c r="C1097" s="47"/>
      <c r="D1097" s="19" t="s">
        <v>19</v>
      </c>
      <c r="E1097" s="23">
        <v>2.0</v>
      </c>
      <c r="F1097" s="18">
        <f>E1097* 0.511826182618262</f>
        <v>1.023652365</v>
      </c>
      <c r="G1097" s="18">
        <f>E1097* 0.476622662266227</f>
        <v>0.9532453245</v>
      </c>
      <c r="H1097" s="18">
        <f>E1097* 0.0115511551155116</f>
        <v>0.02310231023</v>
      </c>
    </row>
    <row r="1098" ht="15.75" hidden="1" customHeight="1">
      <c r="A1098" s="20" t="s">
        <v>51</v>
      </c>
      <c r="B1098" s="47" t="s">
        <v>103</v>
      </c>
      <c r="C1098" s="47"/>
      <c r="D1098" s="19" t="s">
        <v>20</v>
      </c>
      <c r="E1098" s="23">
        <v>71.0</v>
      </c>
      <c r="F1098" s="18">
        <f>E1098* 0.814615536880747</f>
        <v>57.83770312</v>
      </c>
      <c r="G1098" s="18">
        <f>E1098* 0.0763167839340663</f>
        <v>5.418491659</v>
      </c>
      <c r="H1098" s="18">
        <f>E1098* 0.109013694193014</f>
        <v>7.739972288</v>
      </c>
    </row>
    <row r="1099" ht="15.75" hidden="1" customHeight="1">
      <c r="A1099" s="20" t="s">
        <v>51</v>
      </c>
      <c r="B1099" s="47" t="s">
        <v>103</v>
      </c>
      <c r="C1099" s="47"/>
      <c r="D1099" s="19" t="s">
        <v>21</v>
      </c>
      <c r="E1099" s="23">
        <v>5.0</v>
      </c>
      <c r="F1099" s="18">
        <f>E1099* 0.999722052365334</f>
        <v>4.998610262</v>
      </c>
      <c r="G1099" s="20">
        <v>0.0</v>
      </c>
      <c r="H1099" s="18">
        <f>E1099* 0.000277947634665629</f>
        <v>0.001389738173</v>
      </c>
    </row>
    <row r="1100" ht="15.75" hidden="1" customHeight="1">
      <c r="A1100" s="20" t="s">
        <v>51</v>
      </c>
      <c r="B1100" s="47" t="s">
        <v>103</v>
      </c>
      <c r="C1100" s="47"/>
      <c r="D1100" s="19" t="s">
        <v>28</v>
      </c>
      <c r="E1100" s="23">
        <v>1.0</v>
      </c>
      <c r="F1100" s="18">
        <f>E1100* 0.00115651503469545</f>
        <v>0.001156515035</v>
      </c>
      <c r="G1100" s="18">
        <f>E1100* 0.998843484965305</f>
        <v>0.998843485</v>
      </c>
      <c r="H1100" s="20">
        <v>0.0</v>
      </c>
    </row>
    <row r="1101" ht="15.75" hidden="1" customHeight="1">
      <c r="A1101" s="20" t="s">
        <v>51</v>
      </c>
      <c r="B1101" s="47" t="s">
        <v>103</v>
      </c>
      <c r="C1101" s="47"/>
      <c r="D1101" s="19" t="s">
        <v>12</v>
      </c>
      <c r="E1101" s="23">
        <v>106.0</v>
      </c>
      <c r="F1101" s="18">
        <f>E1101* 0.924936238310357</f>
        <v>98.04324126</v>
      </c>
      <c r="G1101" s="18">
        <f>E1101* 0.0351064361799663</f>
        <v>3.721282235</v>
      </c>
      <c r="H1101" s="18">
        <f>E1101* 0.039932320925503</f>
        <v>4.232826018</v>
      </c>
    </row>
    <row r="1102" ht="15.75" hidden="1" customHeight="1">
      <c r="A1102" s="20" t="s">
        <v>51</v>
      </c>
      <c r="B1102" s="20"/>
      <c r="C1102" s="20"/>
      <c r="D1102" s="46"/>
      <c r="E1102" s="35"/>
    </row>
    <row r="1103" ht="15.75" hidden="1" customHeight="1">
      <c r="A1103" s="20" t="s">
        <v>51</v>
      </c>
      <c r="B1103" s="47" t="s">
        <v>104</v>
      </c>
      <c r="C1103" s="12" t="str">
        <f>B1103&amp;"_"&amp;A1103</f>
        <v>Viacha_La Paz</v>
      </c>
      <c r="D1103" s="20"/>
      <c r="E1103" s="45">
        <v>16073.0</v>
      </c>
      <c r="F1103" s="14">
        <f t="shared" ref="F1103:H1103" si="97">SUM(F1104:F1118)</f>
        <v>13273.64477</v>
      </c>
      <c r="G1103" s="14">
        <f t="shared" si="97"/>
        <v>2199.889077</v>
      </c>
      <c r="H1103" s="14">
        <f t="shared" si="97"/>
        <v>598.8527066</v>
      </c>
    </row>
    <row r="1104" ht="15.75" hidden="1" customHeight="1">
      <c r="A1104" s="20" t="s">
        <v>51</v>
      </c>
      <c r="B1104" s="47" t="s">
        <v>104</v>
      </c>
      <c r="C1104" s="47"/>
      <c r="D1104" s="29" t="s">
        <v>403</v>
      </c>
      <c r="E1104" s="23">
        <v>18.0</v>
      </c>
      <c r="F1104" s="20">
        <v>0.0</v>
      </c>
      <c r="G1104" s="24">
        <f>E1104</f>
        <v>18</v>
      </c>
      <c r="H1104" s="20">
        <v>0.0</v>
      </c>
    </row>
    <row r="1105" ht="15.75" hidden="1" customHeight="1">
      <c r="A1105" s="20" t="s">
        <v>51</v>
      </c>
      <c r="B1105" s="47" t="s">
        <v>104</v>
      </c>
      <c r="C1105" s="47"/>
      <c r="D1105" s="19" t="s">
        <v>15</v>
      </c>
      <c r="E1105" s="23">
        <v>1915.0</v>
      </c>
      <c r="F1105" s="18">
        <f>E1105* 0.981163265034061</f>
        <v>1878.927653</v>
      </c>
      <c r="G1105" s="18">
        <f>E1105* 0.0027595216829083</f>
        <v>5.284484023</v>
      </c>
      <c r="H1105" s="18">
        <f>E1105* 0.0160372202151627</f>
        <v>30.71127671</v>
      </c>
    </row>
    <row r="1106" ht="15.75" hidden="1" customHeight="1">
      <c r="A1106" s="20" t="s">
        <v>51</v>
      </c>
      <c r="B1106" s="47" t="s">
        <v>104</v>
      </c>
      <c r="C1106" s="47"/>
      <c r="D1106" s="29" t="s">
        <v>404</v>
      </c>
      <c r="E1106" s="23">
        <v>113.0</v>
      </c>
      <c r="F1106" s="18">
        <f>E1106* 0.142974979378609</f>
        <v>16.15617267</v>
      </c>
      <c r="G1106" s="18">
        <f>E1106* 0.852350838603245</f>
        <v>96.31564476</v>
      </c>
      <c r="H1106" s="18">
        <f>E1106* 0.00467418201814682</f>
        <v>0.5281825681</v>
      </c>
    </row>
    <row r="1107" ht="15.75" hidden="1" customHeight="1">
      <c r="A1107" s="20" t="s">
        <v>51</v>
      </c>
      <c r="B1107" s="47" t="s">
        <v>104</v>
      </c>
      <c r="C1107" s="47"/>
      <c r="D1107" s="19" t="s">
        <v>11</v>
      </c>
      <c r="E1107" s="23">
        <v>1618.0</v>
      </c>
      <c r="F1107" s="18">
        <f>E1107* 0.178797409805735</f>
        <v>289.2942091</v>
      </c>
      <c r="G1107" s="18">
        <f>E1107* 0.819278445883441</f>
        <v>1325.592525</v>
      </c>
      <c r="H1107" s="18">
        <f>E1107* 0.00181313598519889</f>
        <v>2.933654024</v>
      </c>
    </row>
    <row r="1108" ht="15.75" hidden="1" customHeight="1">
      <c r="A1108" s="20" t="s">
        <v>51</v>
      </c>
      <c r="B1108" s="47" t="s">
        <v>104</v>
      </c>
      <c r="C1108" s="47"/>
      <c r="D1108" s="19" t="s">
        <v>17</v>
      </c>
      <c r="E1108" s="23">
        <v>1466.0</v>
      </c>
      <c r="F1108" s="18">
        <f>E1108* 0.916446662218225</f>
        <v>1343.510807</v>
      </c>
      <c r="G1108" s="18">
        <f>E1108* 0.0292436682236212</f>
        <v>42.87121762</v>
      </c>
      <c r="H1108" s="18">
        <f>E1108* 0.0543096695581537</f>
        <v>79.61797557</v>
      </c>
    </row>
    <row r="1109" ht="15.75" hidden="1" customHeight="1">
      <c r="A1109" s="20" t="s">
        <v>51</v>
      </c>
      <c r="B1109" s="47" t="s">
        <v>104</v>
      </c>
      <c r="C1109" s="47"/>
      <c r="D1109" s="19" t="s">
        <v>31</v>
      </c>
      <c r="E1109" s="23">
        <v>155.0</v>
      </c>
      <c r="F1109" s="18">
        <f>E1109* 0.957442434210526</f>
        <v>148.4035773</v>
      </c>
      <c r="G1109" s="18">
        <f>E1109* 0.0158305921052632</f>
        <v>2.453741776</v>
      </c>
      <c r="H1109" s="18">
        <f>E1109* 0.0263157894736842</f>
        <v>4.078947368</v>
      </c>
    </row>
    <row r="1110" ht="15.75" hidden="1" customHeight="1">
      <c r="A1110" s="20" t="s">
        <v>51</v>
      </c>
      <c r="B1110" s="47" t="s">
        <v>104</v>
      </c>
      <c r="C1110" s="47"/>
      <c r="D1110" s="19" t="s">
        <v>18</v>
      </c>
      <c r="E1110" s="23">
        <v>328.0</v>
      </c>
      <c r="F1110" s="18">
        <f>E1110* 0.983388008654987</f>
        <v>322.5512668</v>
      </c>
      <c r="G1110" s="18">
        <f>E1110* 0.0133314720457877</f>
        <v>4.372722831</v>
      </c>
      <c r="H1110" s="18">
        <f>E1110* 0.003210721016263</f>
        <v>1.053116493</v>
      </c>
    </row>
    <row r="1111" ht="15.75" hidden="1" customHeight="1">
      <c r="A1111" s="20" t="s">
        <v>51</v>
      </c>
      <c r="B1111" s="47" t="s">
        <v>104</v>
      </c>
      <c r="C1111" s="47"/>
      <c r="D1111" s="19" t="s">
        <v>405</v>
      </c>
      <c r="E1111" s="23">
        <v>1.0</v>
      </c>
      <c r="F1111" s="20">
        <v>0.0</v>
      </c>
      <c r="G1111" s="24">
        <f>E1111</f>
        <v>1</v>
      </c>
      <c r="H1111" s="20">
        <v>0.0</v>
      </c>
    </row>
    <row r="1112" ht="15.75" hidden="1" customHeight="1">
      <c r="A1112" s="20" t="s">
        <v>51</v>
      </c>
      <c r="B1112" s="47" t="s">
        <v>104</v>
      </c>
      <c r="C1112" s="47"/>
      <c r="D1112" s="19" t="s">
        <v>19</v>
      </c>
      <c r="E1112" s="23">
        <v>72.0</v>
      </c>
      <c r="F1112" s="18">
        <f>E1112* 0.511826182618262</f>
        <v>36.85148515</v>
      </c>
      <c r="G1112" s="18">
        <f>E1112* 0.476622662266227</f>
        <v>34.31683168</v>
      </c>
      <c r="H1112" s="18">
        <f>E1112* 0.0115511551155116</f>
        <v>0.8316831683</v>
      </c>
    </row>
    <row r="1113" ht="15.75" hidden="1" customHeight="1">
      <c r="A1113" s="20" t="s">
        <v>51</v>
      </c>
      <c r="B1113" s="47" t="s">
        <v>104</v>
      </c>
      <c r="C1113" s="47"/>
      <c r="D1113" s="19" t="s">
        <v>20</v>
      </c>
      <c r="E1113" s="23">
        <v>2037.0</v>
      </c>
      <c r="F1113" s="18">
        <f>E1113* 0.814615536880747</f>
        <v>1659.371849</v>
      </c>
      <c r="G1113" s="18">
        <f>E1113* 0.0763167839340663</f>
        <v>155.4572889</v>
      </c>
      <c r="H1113" s="18">
        <f>E1113* 0.109013694193014</f>
        <v>222.0608951</v>
      </c>
    </row>
    <row r="1114" ht="15.75" hidden="1" customHeight="1">
      <c r="A1114" s="20" t="s">
        <v>51</v>
      </c>
      <c r="B1114" s="47" t="s">
        <v>104</v>
      </c>
      <c r="C1114" s="47"/>
      <c r="D1114" s="19" t="s">
        <v>21</v>
      </c>
      <c r="E1114" s="23">
        <v>1607.0</v>
      </c>
      <c r="F1114" s="18">
        <f>E1114* 0.999722052365334</f>
        <v>1606.553338</v>
      </c>
      <c r="G1114" s="20">
        <v>0.0</v>
      </c>
      <c r="H1114" s="18">
        <f>E1114* 0.000277947634665629</f>
        <v>0.4466618489</v>
      </c>
    </row>
    <row r="1115" ht="15.75" hidden="1" customHeight="1">
      <c r="A1115" s="20" t="s">
        <v>51</v>
      </c>
      <c r="B1115" s="47" t="s">
        <v>104</v>
      </c>
      <c r="C1115" s="47"/>
      <c r="D1115" s="19" t="s">
        <v>36</v>
      </c>
      <c r="E1115" s="23">
        <v>29.0</v>
      </c>
      <c r="F1115" s="18">
        <f>E1115* 0.999132697311362</f>
        <v>28.97484822</v>
      </c>
      <c r="G1115" s="20">
        <v>0.0</v>
      </c>
      <c r="H1115" s="18">
        <f>E1115* 0.000867302688638335</f>
        <v>0.02515177797</v>
      </c>
    </row>
    <row r="1116" ht="15.75" hidden="1" customHeight="1">
      <c r="A1116" s="20" t="s">
        <v>51</v>
      </c>
      <c r="B1116" s="47" t="s">
        <v>104</v>
      </c>
      <c r="C1116" s="47"/>
      <c r="D1116" s="19" t="s">
        <v>37</v>
      </c>
      <c r="E1116" s="23">
        <v>0.0</v>
      </c>
      <c r="F1116" s="18">
        <f>E1116* 0.0555555555555556</f>
        <v>0</v>
      </c>
      <c r="G1116" s="18">
        <f>E1116* 0.944444444444444</f>
        <v>0</v>
      </c>
      <c r="H1116" s="20">
        <v>0.0</v>
      </c>
    </row>
    <row r="1117" ht="15.75" hidden="1" customHeight="1">
      <c r="A1117" s="20" t="s">
        <v>51</v>
      </c>
      <c r="B1117" s="47" t="s">
        <v>104</v>
      </c>
      <c r="C1117" s="47"/>
      <c r="D1117" s="19" t="s">
        <v>28</v>
      </c>
      <c r="E1117" s="23">
        <v>289.0</v>
      </c>
      <c r="F1117" s="18">
        <f>E1117* 0.00115651503469545</f>
        <v>0.334232845</v>
      </c>
      <c r="G1117" s="18">
        <f>E1117* 0.998843484965305</f>
        <v>288.6657672</v>
      </c>
      <c r="H1117" s="20">
        <v>0.0</v>
      </c>
    </row>
    <row r="1118" ht="15.75" hidden="1" customHeight="1">
      <c r="A1118" s="20" t="s">
        <v>51</v>
      </c>
      <c r="B1118" s="47" t="s">
        <v>104</v>
      </c>
      <c r="C1118" s="47"/>
      <c r="D1118" s="19" t="s">
        <v>12</v>
      </c>
      <c r="E1118" s="23">
        <v>6425.0</v>
      </c>
      <c r="F1118" s="18">
        <f>E1118* 0.924936238310357</f>
        <v>5942.715331</v>
      </c>
      <c r="G1118" s="18">
        <f>E1118* 0.0351064361799663</f>
        <v>225.5588525</v>
      </c>
      <c r="H1118" s="18">
        <f>E1118* 0.039932320925503</f>
        <v>256.5651619</v>
      </c>
    </row>
    <row r="1119" ht="15.75" hidden="1" customHeight="1">
      <c r="A1119" s="20" t="s">
        <v>51</v>
      </c>
      <c r="B1119" s="20"/>
      <c r="C1119" s="20"/>
      <c r="D1119" s="46"/>
      <c r="E1119" s="35"/>
    </row>
    <row r="1120" ht="15.75" hidden="1" customHeight="1">
      <c r="A1120" s="20" t="s">
        <v>51</v>
      </c>
      <c r="B1120" s="47" t="s">
        <v>406</v>
      </c>
      <c r="C1120" s="12" t="str">
        <f>B1120&amp;"_"&amp;A1120</f>
        <v>Waldo Ballivian Tumarapi_La Paz</v>
      </c>
      <c r="D1120" s="20"/>
      <c r="E1120" s="45">
        <v>284.0</v>
      </c>
      <c r="F1120" s="14">
        <f t="shared" ref="F1120:H1120" si="98">SUM(F1121:F1129)</f>
        <v>268.7311424</v>
      </c>
      <c r="G1120" s="14">
        <f t="shared" si="98"/>
        <v>10.64908408</v>
      </c>
      <c r="H1120" s="14">
        <f t="shared" si="98"/>
        <v>4.615305352</v>
      </c>
    </row>
    <row r="1121" ht="15.75" hidden="1" customHeight="1">
      <c r="A1121" s="20" t="s">
        <v>51</v>
      </c>
      <c r="B1121" s="47" t="s">
        <v>406</v>
      </c>
      <c r="C1121" s="47"/>
      <c r="D1121" s="19" t="s">
        <v>15</v>
      </c>
      <c r="E1121" s="23">
        <v>3.0</v>
      </c>
      <c r="F1121" s="18">
        <f>E1121* 0.981163265034061</f>
        <v>2.943489795</v>
      </c>
      <c r="G1121" s="18">
        <f>E1121* 0.0027595216829083</f>
        <v>0.008278565049</v>
      </c>
      <c r="H1121" s="18">
        <f>E1121* 0.0160372202151627</f>
        <v>0.04811166065</v>
      </c>
    </row>
    <row r="1122" ht="15.75" hidden="1" customHeight="1">
      <c r="A1122" s="20" t="s">
        <v>51</v>
      </c>
      <c r="B1122" s="47" t="s">
        <v>406</v>
      </c>
      <c r="C1122" s="47"/>
      <c r="D1122" s="19" t="s">
        <v>11</v>
      </c>
      <c r="E1122" s="23">
        <v>9.0</v>
      </c>
      <c r="F1122" s="18">
        <f>E1122* 0.178797409805735</f>
        <v>1.609176688</v>
      </c>
      <c r="G1122" s="18">
        <f>E1122* 0.819278445883441</f>
        <v>7.373506013</v>
      </c>
      <c r="H1122" s="18">
        <f>E1122* 0.00181313598519889</f>
        <v>0.01631822387</v>
      </c>
    </row>
    <row r="1123" ht="15.75" hidden="1" customHeight="1">
      <c r="A1123" s="20" t="s">
        <v>51</v>
      </c>
      <c r="B1123" s="47" t="s">
        <v>406</v>
      </c>
      <c r="C1123" s="47"/>
      <c r="D1123" s="19" t="s">
        <v>17</v>
      </c>
      <c r="E1123" s="23">
        <v>11.0</v>
      </c>
      <c r="F1123" s="18">
        <f>E1123* 0.916446662218225</f>
        <v>10.08091328</v>
      </c>
      <c r="G1123" s="18">
        <f>E1123* 0.0292436682236212</f>
        <v>0.3216803505</v>
      </c>
      <c r="H1123" s="18">
        <f>E1123* 0.0543096695581537</f>
        <v>0.5974063651</v>
      </c>
    </row>
    <row r="1124" ht="15.75" hidden="1" customHeight="1">
      <c r="A1124" s="20" t="s">
        <v>51</v>
      </c>
      <c r="B1124" s="47" t="s">
        <v>406</v>
      </c>
      <c r="C1124" s="47"/>
      <c r="D1124" s="19" t="s">
        <v>31</v>
      </c>
      <c r="E1124" s="23">
        <v>3.0</v>
      </c>
      <c r="F1124" s="18">
        <f>E1124* 0.957442434210526</f>
        <v>2.872327303</v>
      </c>
      <c r="G1124" s="18">
        <f>E1124* 0.0158305921052632</f>
        <v>0.04749177632</v>
      </c>
      <c r="H1124" s="18">
        <f>E1124* 0.0263157894736842</f>
        <v>0.07894736842</v>
      </c>
    </row>
    <row r="1125" ht="15.75" hidden="1" customHeight="1">
      <c r="A1125" s="20" t="s">
        <v>51</v>
      </c>
      <c r="B1125" s="47" t="s">
        <v>406</v>
      </c>
      <c r="C1125" s="47"/>
      <c r="D1125" s="19" t="s">
        <v>18</v>
      </c>
      <c r="E1125" s="23">
        <v>1.0</v>
      </c>
      <c r="F1125" s="18">
        <f>E1125* 0.983388008654987</f>
        <v>0.9833880087</v>
      </c>
      <c r="G1125" s="18">
        <f>E1125* 0.0133314720457877</f>
        <v>0.01333147205</v>
      </c>
      <c r="H1125" s="18">
        <f>E1125* 0.003210721016263</f>
        <v>0.003210721016</v>
      </c>
    </row>
    <row r="1126" ht="15.75" hidden="1" customHeight="1">
      <c r="A1126" s="20" t="s">
        <v>51</v>
      </c>
      <c r="B1126" s="47" t="s">
        <v>406</v>
      </c>
      <c r="C1126" s="47"/>
      <c r="D1126" s="19" t="s">
        <v>20</v>
      </c>
      <c r="E1126" s="23">
        <v>24.0</v>
      </c>
      <c r="F1126" s="18">
        <f>E1126* 0.814615536880747</f>
        <v>19.55077289</v>
      </c>
      <c r="G1126" s="18">
        <f>E1126* 0.0763167839340663</f>
        <v>1.831602814</v>
      </c>
      <c r="H1126" s="18">
        <f>E1126* 0.109013694193014</f>
        <v>2.616328661</v>
      </c>
    </row>
    <row r="1127" ht="15.75" hidden="1" customHeight="1">
      <c r="A1127" s="20" t="s">
        <v>51</v>
      </c>
      <c r="B1127" s="47" t="s">
        <v>406</v>
      </c>
      <c r="C1127" s="47"/>
      <c r="D1127" s="19" t="s">
        <v>21</v>
      </c>
      <c r="E1127" s="23">
        <v>202.0</v>
      </c>
      <c r="F1127" s="18">
        <f>E1127* 0.999722052365334</f>
        <v>201.9438546</v>
      </c>
      <c r="G1127" s="20">
        <v>0.0</v>
      </c>
      <c r="H1127" s="18">
        <f>E1127* 0.000277947634665629</f>
        <v>0.0561454222</v>
      </c>
    </row>
    <row r="1128" ht="15.75" hidden="1" customHeight="1">
      <c r="A1128" s="20" t="s">
        <v>51</v>
      </c>
      <c r="B1128" s="47" t="s">
        <v>406</v>
      </c>
      <c r="C1128" s="47"/>
      <c r="D1128" s="19" t="s">
        <v>36</v>
      </c>
      <c r="E1128" s="23">
        <v>1.0</v>
      </c>
      <c r="F1128" s="18">
        <f>E1128* 0.999132697311362</f>
        <v>0.9991326973</v>
      </c>
      <c r="G1128" s="20">
        <v>0.0</v>
      </c>
      <c r="H1128" s="18">
        <f>E1128* 0.000867302688638335</f>
        <v>0.0008673026886</v>
      </c>
    </row>
    <row r="1129" ht="15.75" hidden="1" customHeight="1">
      <c r="A1129" s="20" t="s">
        <v>51</v>
      </c>
      <c r="B1129" s="47" t="s">
        <v>406</v>
      </c>
      <c r="C1129" s="47"/>
      <c r="D1129" s="19" t="s">
        <v>12</v>
      </c>
      <c r="E1129" s="23">
        <v>30.0</v>
      </c>
      <c r="F1129" s="18">
        <f>E1129* 0.924936238310357</f>
        <v>27.74808715</v>
      </c>
      <c r="G1129" s="18">
        <f>E1129* 0.0351064361799663</f>
        <v>1.053193085</v>
      </c>
      <c r="H1129" s="18">
        <f>E1129* 0.039932320925503</f>
        <v>1.197969628</v>
      </c>
    </row>
    <row r="1130" ht="15.75" hidden="1" customHeight="1">
      <c r="A1130" s="20" t="s">
        <v>51</v>
      </c>
      <c r="B1130" s="20"/>
      <c r="C1130" s="20"/>
      <c r="D1130" s="46"/>
      <c r="E1130" s="35"/>
    </row>
    <row r="1131" ht="15.75" hidden="1" customHeight="1">
      <c r="A1131" s="20" t="s">
        <v>51</v>
      </c>
      <c r="B1131" s="47" t="s">
        <v>407</v>
      </c>
      <c r="C1131" s="12" t="str">
        <f>B1131&amp;"_"&amp;A1131</f>
        <v>Yaco_La Paz</v>
      </c>
      <c r="D1131" s="20"/>
      <c r="E1131" s="45">
        <v>24.0</v>
      </c>
      <c r="F1131" s="14">
        <f t="shared" ref="F1131:H1131" si="99">SUM(F1132:F1137)</f>
        <v>20.61511444</v>
      </c>
      <c r="G1131" s="14">
        <f t="shared" si="99"/>
        <v>2.398208842</v>
      </c>
      <c r="H1131" s="14">
        <f t="shared" si="99"/>
        <v>0.9855564981</v>
      </c>
    </row>
    <row r="1132" ht="15.75" hidden="1" customHeight="1">
      <c r="A1132" s="20" t="s">
        <v>51</v>
      </c>
      <c r="B1132" s="47" t="s">
        <v>407</v>
      </c>
      <c r="C1132" s="47"/>
      <c r="D1132" s="19" t="s">
        <v>11</v>
      </c>
      <c r="E1132" s="23">
        <v>2.0</v>
      </c>
      <c r="F1132" s="18">
        <f>E1132* 0.178797409805735</f>
        <v>0.3575948196</v>
      </c>
      <c r="G1132" s="18">
        <f>E1132* 0.819278445883441</f>
        <v>1.638556892</v>
      </c>
      <c r="H1132" s="18">
        <f>E1132* 0.00181313598519889</f>
        <v>0.00362627197</v>
      </c>
    </row>
    <row r="1133" ht="15.75" hidden="1" customHeight="1">
      <c r="A1133" s="20" t="s">
        <v>51</v>
      </c>
      <c r="B1133" s="47" t="s">
        <v>407</v>
      </c>
      <c r="C1133" s="47"/>
      <c r="D1133" s="19" t="s">
        <v>17</v>
      </c>
      <c r="E1133" s="23">
        <v>2.0</v>
      </c>
      <c r="F1133" s="18">
        <f>E1133* 0.916446662218225</f>
        <v>1.832893324</v>
      </c>
      <c r="G1133" s="18">
        <f>E1133* 0.0292436682236212</f>
        <v>0.05848733645</v>
      </c>
      <c r="H1133" s="18">
        <f>E1133* 0.0543096695581537</f>
        <v>0.1086193391</v>
      </c>
    </row>
    <row r="1134" ht="15.75" hidden="1" customHeight="1">
      <c r="A1134" s="20" t="s">
        <v>51</v>
      </c>
      <c r="B1134" s="47" t="s">
        <v>407</v>
      </c>
      <c r="C1134" s="47"/>
      <c r="D1134" s="19" t="s">
        <v>31</v>
      </c>
      <c r="E1134" s="23">
        <v>1.0</v>
      </c>
      <c r="F1134" s="18">
        <f>E1134* 0.957442434210526</f>
        <v>0.9574424342</v>
      </c>
      <c r="G1134" s="18">
        <f>E1134* 0.0158305921052632</f>
        <v>0.01583059211</v>
      </c>
      <c r="H1134" s="18">
        <f>E1134* 0.0263157894736842</f>
        <v>0.02631578947</v>
      </c>
    </row>
    <row r="1135" ht="15.75" hidden="1" customHeight="1">
      <c r="A1135" s="20" t="s">
        <v>51</v>
      </c>
      <c r="B1135" s="47" t="s">
        <v>407</v>
      </c>
      <c r="C1135" s="47"/>
      <c r="D1135" s="19" t="s">
        <v>20</v>
      </c>
      <c r="E1135" s="23">
        <v>3.0</v>
      </c>
      <c r="F1135" s="18">
        <f>E1135* 0.814615536880747</f>
        <v>2.443846611</v>
      </c>
      <c r="G1135" s="18">
        <f>E1135* 0.0763167839340663</f>
        <v>0.2289503518</v>
      </c>
      <c r="H1135" s="18">
        <f>E1135* 0.109013694193014</f>
        <v>0.3270410826</v>
      </c>
    </row>
    <row r="1136" ht="15.75" hidden="1" customHeight="1">
      <c r="A1136" s="20" t="s">
        <v>51</v>
      </c>
      <c r="B1136" s="47" t="s">
        <v>407</v>
      </c>
      <c r="C1136" s="47"/>
      <c r="D1136" s="19" t="s">
        <v>21</v>
      </c>
      <c r="E1136" s="23">
        <v>3.0</v>
      </c>
      <c r="F1136" s="18">
        <f>E1136* 0.999722052365334</f>
        <v>2.999166157</v>
      </c>
      <c r="G1136" s="20">
        <v>0.0</v>
      </c>
      <c r="H1136" s="18">
        <f>E1136* 0.000277947634665629</f>
        <v>0.000833842904</v>
      </c>
    </row>
    <row r="1137" ht="15.75" hidden="1" customHeight="1">
      <c r="A1137" s="20" t="s">
        <v>51</v>
      </c>
      <c r="B1137" s="47" t="s">
        <v>407</v>
      </c>
      <c r="C1137" s="47"/>
      <c r="D1137" s="50" t="s">
        <v>12</v>
      </c>
      <c r="E1137" s="27">
        <v>13.0</v>
      </c>
      <c r="F1137" s="18">
        <f>E1137* 0.924936238310357</f>
        <v>12.0241711</v>
      </c>
      <c r="G1137" s="18">
        <f>E1137* 0.0351064361799663</f>
        <v>0.4563836703</v>
      </c>
      <c r="H1137" s="18">
        <f>E1137* 0.039932320925503</f>
        <v>0.519120172</v>
      </c>
    </row>
    <row r="1138" ht="15.75" hidden="1" customHeight="1">
      <c r="A1138" s="20" t="s">
        <v>105</v>
      </c>
      <c r="B1138" s="47" t="s">
        <v>106</v>
      </c>
      <c r="C1138" s="12" t="str">
        <f>B1138&amp;"_"&amp;A1138</f>
        <v>Aiquile_Cochabamba</v>
      </c>
      <c r="D1138" s="20"/>
      <c r="E1138" s="45">
        <v>62.0</v>
      </c>
      <c r="F1138" s="14">
        <f t="shared" ref="F1138:H1138" si="100">SUM(F1139:F1148)</f>
        <v>49.52046174</v>
      </c>
      <c r="G1138" s="14">
        <f t="shared" si="100"/>
        <v>9.198078434</v>
      </c>
      <c r="H1138" s="14">
        <f t="shared" si="100"/>
        <v>3.277050571</v>
      </c>
    </row>
    <row r="1139" ht="15.75" hidden="1" customHeight="1">
      <c r="A1139" s="20" t="s">
        <v>105</v>
      </c>
      <c r="B1139" s="47" t="s">
        <v>106</v>
      </c>
      <c r="C1139" s="47"/>
      <c r="D1139" s="29" t="s">
        <v>408</v>
      </c>
      <c r="E1139" s="23">
        <v>0.0</v>
      </c>
      <c r="F1139" s="20">
        <v>0.0</v>
      </c>
      <c r="G1139" s="24">
        <f>E1139</f>
        <v>0</v>
      </c>
      <c r="H1139" s="20">
        <v>0.0</v>
      </c>
    </row>
    <row r="1140" ht="15.75" hidden="1" customHeight="1">
      <c r="A1140" s="20" t="s">
        <v>105</v>
      </c>
      <c r="B1140" s="47" t="s">
        <v>106</v>
      </c>
      <c r="C1140" s="47"/>
      <c r="D1140" s="19" t="s">
        <v>15</v>
      </c>
      <c r="E1140" s="23">
        <v>1.0</v>
      </c>
      <c r="F1140" s="18">
        <f>E1140* 0.932775698199239</f>
        <v>0.9327756982</v>
      </c>
      <c r="G1140" s="18">
        <f>E1140* 0.00808724987291465</f>
        <v>0.008087249873</v>
      </c>
      <c r="H1140" s="18">
        <f>E1140* 0.0590600305004852</f>
        <v>0.0590600305</v>
      </c>
    </row>
    <row r="1141" ht="15.75" hidden="1" customHeight="1">
      <c r="A1141" s="20" t="s">
        <v>105</v>
      </c>
      <c r="B1141" s="47" t="s">
        <v>106</v>
      </c>
      <c r="C1141" s="47"/>
      <c r="D1141" s="29" t="s">
        <v>409</v>
      </c>
      <c r="E1141" s="35"/>
      <c r="F1141" s="18">
        <f>E1141* 0.0803212851405623</f>
        <v>0</v>
      </c>
      <c r="G1141" s="18">
        <f>E1141* 0.913367756741251</f>
        <v>0</v>
      </c>
      <c r="H1141" s="18">
        <f>E1141* 0.0057372346528973</f>
        <v>0</v>
      </c>
    </row>
    <row r="1142" ht="15.75" hidden="1" customHeight="1">
      <c r="A1142" s="20" t="s">
        <v>105</v>
      </c>
      <c r="B1142" s="47" t="s">
        <v>106</v>
      </c>
      <c r="C1142" s="47"/>
      <c r="D1142" s="19" t="s">
        <v>11</v>
      </c>
      <c r="E1142" s="32">
        <v>6.0</v>
      </c>
      <c r="F1142" s="18">
        <f>E1142* 0.150611071171819</f>
        <v>0.903666427</v>
      </c>
      <c r="G1142" s="18">
        <f>E1142* 0.847699496764917</f>
        <v>5.086196981</v>
      </c>
      <c r="H1142" s="18">
        <f>E1142* 0.00136592379583034</f>
        <v>0.008195542775</v>
      </c>
    </row>
    <row r="1143" ht="15.75" hidden="1" customHeight="1">
      <c r="A1143" s="20" t="s">
        <v>105</v>
      </c>
      <c r="B1143" s="47" t="s">
        <v>106</v>
      </c>
      <c r="C1143" s="47"/>
      <c r="D1143" s="19" t="s">
        <v>17</v>
      </c>
      <c r="E1143" s="32">
        <v>14.0</v>
      </c>
      <c r="F1143" s="18">
        <f>E1143* 0.840430229624022</f>
        <v>11.76602321</v>
      </c>
      <c r="G1143" s="18">
        <f>E1143* 0.0777504415846581</f>
        <v>1.088506182</v>
      </c>
      <c r="H1143" s="18">
        <f>E1143* 0.0817877870300278</f>
        <v>1.145029018</v>
      </c>
    </row>
    <row r="1144" ht="15.75" hidden="1" customHeight="1">
      <c r="A1144" s="20" t="s">
        <v>105</v>
      </c>
      <c r="B1144" s="47" t="s">
        <v>106</v>
      </c>
      <c r="C1144" s="47"/>
      <c r="D1144" s="19" t="s">
        <v>31</v>
      </c>
      <c r="E1144" s="23">
        <v>3.0</v>
      </c>
      <c r="F1144" s="18">
        <f>E1144* 0.901975683890578</f>
        <v>2.705927052</v>
      </c>
      <c r="G1144" s="18">
        <f>E1144* 0.0364741641337386</f>
        <v>0.1094224924</v>
      </c>
      <c r="H1144" s="18">
        <f>E1144* 0.0615501519756839</f>
        <v>0.1846504559</v>
      </c>
    </row>
    <row r="1145" ht="15.75" hidden="1" customHeight="1">
      <c r="A1145" s="20" t="s">
        <v>105</v>
      </c>
      <c r="B1145" s="47" t="s">
        <v>106</v>
      </c>
      <c r="C1145" s="47"/>
      <c r="D1145" s="19" t="s">
        <v>18</v>
      </c>
      <c r="E1145" s="23">
        <v>13.0</v>
      </c>
      <c r="F1145" s="18">
        <f>E1145* 0.932934264493959</f>
        <v>12.12814544</v>
      </c>
      <c r="G1145" s="18">
        <f>E1145* 0.0585300964416362</f>
        <v>0.7608912537</v>
      </c>
      <c r="H1145" s="18">
        <f>E1145* 0.00853563906440528</f>
        <v>0.1109633078</v>
      </c>
    </row>
    <row r="1146" ht="15.75" hidden="1" customHeight="1">
      <c r="A1146" s="20" t="s">
        <v>105</v>
      </c>
      <c r="B1146" s="47" t="s">
        <v>106</v>
      </c>
      <c r="C1146" s="47"/>
      <c r="D1146" s="19" t="s">
        <v>20</v>
      </c>
      <c r="E1146" s="23">
        <v>6.0</v>
      </c>
      <c r="F1146" s="18">
        <f>E1146* 0.686268801552644</f>
        <v>4.117612809</v>
      </c>
      <c r="G1146" s="18">
        <f>E1146* 0.196991751576904</f>
        <v>1.181950509</v>
      </c>
      <c r="H1146" s="18">
        <f>E1146* 0.116642406598738</f>
        <v>0.6998544396</v>
      </c>
    </row>
    <row r="1147" ht="15.75" hidden="1" customHeight="1">
      <c r="A1147" s="20" t="s">
        <v>105</v>
      </c>
      <c r="B1147" s="47" t="s">
        <v>106</v>
      </c>
      <c r="C1147" s="47"/>
      <c r="D1147" s="19" t="s">
        <v>21</v>
      </c>
      <c r="E1147" s="23">
        <v>6.0</v>
      </c>
      <c r="F1147" s="18">
        <f>E1147* 0.999513766486355</f>
        <v>5.997082599</v>
      </c>
      <c r="G1147" s="18">
        <f>E1147* 0.0000243116756822464</f>
        <v>0.0001458700541</v>
      </c>
      <c r="H1147" s="18">
        <f>E1147* 0.00034036345955145</f>
        <v>0.002042180757</v>
      </c>
    </row>
    <row r="1148" ht="15.75" hidden="1" customHeight="1">
      <c r="A1148" s="20" t="s">
        <v>105</v>
      </c>
      <c r="B1148" s="47" t="s">
        <v>106</v>
      </c>
      <c r="C1148" s="47"/>
      <c r="D1148" s="19" t="s">
        <v>12</v>
      </c>
      <c r="E1148" s="23">
        <v>13.0</v>
      </c>
      <c r="F1148" s="18">
        <f>E1148* 0.843786808009423</f>
        <v>10.9692285</v>
      </c>
      <c r="G1148" s="18">
        <f>E1148* 0.0740675304279545</f>
        <v>0.9628778956</v>
      </c>
      <c r="H1148" s="18">
        <f>E1148* 0.0820965842167256</f>
        <v>1.067255595</v>
      </c>
    </row>
    <row r="1149" ht="15.75" hidden="1" customHeight="1">
      <c r="A1149" s="20" t="s">
        <v>105</v>
      </c>
      <c r="B1149" s="20"/>
      <c r="C1149" s="20"/>
      <c r="D1149" s="46"/>
      <c r="E1149" s="35"/>
    </row>
    <row r="1150" ht="15.75" hidden="1" customHeight="1">
      <c r="A1150" s="20" t="s">
        <v>105</v>
      </c>
      <c r="B1150" s="47" t="s">
        <v>107</v>
      </c>
      <c r="C1150" s="12" t="str">
        <f>B1150&amp;"_"&amp;A1150</f>
        <v>Alalay_Cochabamba</v>
      </c>
      <c r="D1150" s="20"/>
      <c r="E1150" s="45">
        <v>2.0</v>
      </c>
      <c r="F1150" s="14">
        <f t="shared" ref="F1150:H1150" si="101">SUM(F1151)</f>
        <v>1.999027533</v>
      </c>
      <c r="G1150" s="14">
        <f t="shared" si="101"/>
        <v>0.00004862335136</v>
      </c>
      <c r="H1150" s="14">
        <f t="shared" si="101"/>
        <v>0.0006807269191</v>
      </c>
    </row>
    <row r="1151" ht="15.75" hidden="1" customHeight="1">
      <c r="A1151" s="20" t="s">
        <v>105</v>
      </c>
      <c r="B1151" s="47" t="s">
        <v>107</v>
      </c>
      <c r="C1151" s="47"/>
      <c r="D1151" s="19" t="s">
        <v>21</v>
      </c>
      <c r="E1151" s="23">
        <v>2.0</v>
      </c>
      <c r="F1151" s="18">
        <f>E1151* 0.999513766486355</f>
        <v>1.999027533</v>
      </c>
      <c r="G1151" s="18">
        <f>E1151* 0.0000243116756822464</f>
        <v>0.00004862335136</v>
      </c>
      <c r="H1151" s="18">
        <f>E1151* 0.00034036345955145</f>
        <v>0.0006807269191</v>
      </c>
    </row>
    <row r="1152" ht="15.75" hidden="1" customHeight="1">
      <c r="A1152" s="20" t="s">
        <v>105</v>
      </c>
      <c r="B1152" s="20"/>
      <c r="C1152" s="20"/>
      <c r="D1152" s="46"/>
      <c r="E1152" s="35"/>
    </row>
    <row r="1153" ht="15.75" hidden="1" customHeight="1">
      <c r="A1153" s="20" t="s">
        <v>105</v>
      </c>
      <c r="B1153" s="47" t="s">
        <v>108</v>
      </c>
      <c r="C1153" s="12" t="str">
        <f>B1153&amp;"_"&amp;A1153</f>
        <v>Anzaldo_Cochabamba</v>
      </c>
      <c r="D1153" s="20"/>
      <c r="E1153" s="45">
        <v>141.0</v>
      </c>
      <c r="F1153" s="14">
        <f t="shared" ref="F1153:H1153" si="102">SUM(F1154:F1162)</f>
        <v>103.3560312</v>
      </c>
      <c r="G1153" s="14">
        <f t="shared" si="102"/>
        <v>29.65082039</v>
      </c>
      <c r="H1153" s="14">
        <f t="shared" si="102"/>
        <v>7.978186268</v>
      </c>
    </row>
    <row r="1154" ht="15.75" hidden="1" customHeight="1">
      <c r="A1154" s="20" t="s">
        <v>105</v>
      </c>
      <c r="B1154" s="47" t="s">
        <v>108</v>
      </c>
      <c r="C1154" s="47"/>
      <c r="D1154" s="19" t="s">
        <v>15</v>
      </c>
      <c r="E1154" s="23">
        <v>3.0</v>
      </c>
      <c r="F1154" s="18">
        <f>E1154* 0.932775698199239</f>
        <v>2.798327095</v>
      </c>
      <c r="G1154" s="18">
        <f>E1154* 0.00808724987291465</f>
        <v>0.02426174962</v>
      </c>
      <c r="H1154" s="18">
        <f>E1154* 0.0590600305004852</f>
        <v>0.1771800915</v>
      </c>
    </row>
    <row r="1155" ht="15.75" hidden="1" customHeight="1">
      <c r="A1155" s="20" t="s">
        <v>105</v>
      </c>
      <c r="B1155" s="47" t="s">
        <v>108</v>
      </c>
      <c r="C1155" s="47"/>
      <c r="D1155" s="19" t="s">
        <v>11</v>
      </c>
      <c r="E1155" s="23">
        <v>23.0</v>
      </c>
      <c r="F1155" s="18">
        <f>E1155* 0.150611071171819</f>
        <v>3.464054637</v>
      </c>
      <c r="G1155" s="18">
        <f>E1155* 0.847699496764917</f>
        <v>19.49708843</v>
      </c>
      <c r="H1155" s="18">
        <f>E1155* 0.00136592379583034</f>
        <v>0.0314162473</v>
      </c>
    </row>
    <row r="1156" ht="15.75" hidden="1" customHeight="1">
      <c r="A1156" s="20" t="s">
        <v>105</v>
      </c>
      <c r="B1156" s="47" t="s">
        <v>108</v>
      </c>
      <c r="C1156" s="47"/>
      <c r="D1156" s="19" t="s">
        <v>17</v>
      </c>
      <c r="E1156" s="23">
        <v>9.0</v>
      </c>
      <c r="F1156" s="18">
        <f>E1156* 0.840430229624022</f>
        <v>7.563872067</v>
      </c>
      <c r="G1156" s="18">
        <f>E1156* 0.0777504415846581</f>
        <v>0.6997539743</v>
      </c>
      <c r="H1156" s="18">
        <f>E1156* 0.0817877870300278</f>
        <v>0.7360900833</v>
      </c>
    </row>
    <row r="1157" ht="15.75" hidden="1" customHeight="1">
      <c r="A1157" s="20" t="s">
        <v>105</v>
      </c>
      <c r="B1157" s="47" t="s">
        <v>108</v>
      </c>
      <c r="C1157" s="47"/>
      <c r="D1157" s="19" t="s">
        <v>31</v>
      </c>
      <c r="E1157" s="23">
        <v>1.0</v>
      </c>
      <c r="F1157" s="18">
        <f>E1157* 0.901975683890578</f>
        <v>0.9019756839</v>
      </c>
      <c r="G1157" s="18">
        <f>E1157* 0.0364741641337386</f>
        <v>0.03647416413</v>
      </c>
      <c r="H1157" s="18">
        <f>E1157* 0.0615501519756839</f>
        <v>0.06155015198</v>
      </c>
    </row>
    <row r="1158" ht="15.75" hidden="1" customHeight="1">
      <c r="A1158" s="20" t="s">
        <v>105</v>
      </c>
      <c r="B1158" s="47" t="s">
        <v>108</v>
      </c>
      <c r="C1158" s="47"/>
      <c r="D1158" s="19" t="s">
        <v>18</v>
      </c>
      <c r="E1158" s="23">
        <v>2.0</v>
      </c>
      <c r="F1158" s="18">
        <f>E1158* 0.932934264493959</f>
        <v>1.865868529</v>
      </c>
      <c r="G1158" s="18">
        <f>E1158* 0.0585300964416362</f>
        <v>0.1170601929</v>
      </c>
      <c r="H1158" s="18">
        <f>E1158* 0.00853563906440528</f>
        <v>0.01707127813</v>
      </c>
    </row>
    <row r="1159" ht="15.75" hidden="1" customHeight="1">
      <c r="A1159" s="20" t="s">
        <v>105</v>
      </c>
      <c r="B1159" s="47" t="s">
        <v>108</v>
      </c>
      <c r="C1159" s="47"/>
      <c r="D1159" s="19" t="s">
        <v>20</v>
      </c>
      <c r="E1159" s="23">
        <v>11.0</v>
      </c>
      <c r="F1159" s="18">
        <f>E1159* 0.686268801552644</f>
        <v>7.548956817</v>
      </c>
      <c r="G1159" s="18">
        <f>E1159* 0.196991751576904</f>
        <v>2.166909267</v>
      </c>
      <c r="H1159" s="18">
        <f>E1159* 0.116642406598738</f>
        <v>1.283066473</v>
      </c>
    </row>
    <row r="1160" ht="15.75" hidden="1" customHeight="1">
      <c r="A1160" s="20" t="s">
        <v>105</v>
      </c>
      <c r="B1160" s="47" t="s">
        <v>108</v>
      </c>
      <c r="C1160" s="47"/>
      <c r="D1160" s="19" t="s">
        <v>21</v>
      </c>
      <c r="E1160" s="23">
        <v>21.0</v>
      </c>
      <c r="F1160" s="18">
        <f>E1160* 0.999513766486355</f>
        <v>20.9897891</v>
      </c>
      <c r="G1160" s="18">
        <f>E1160* 0.0000243116756822464</f>
        <v>0.0005105451893</v>
      </c>
      <c r="H1160" s="18">
        <f>E1160* 0.00034036345955145</f>
        <v>0.007147632651</v>
      </c>
    </row>
    <row r="1161" ht="15.75" hidden="1" customHeight="1">
      <c r="A1161" s="20" t="s">
        <v>105</v>
      </c>
      <c r="B1161" s="47" t="s">
        <v>108</v>
      </c>
      <c r="C1161" s="47"/>
      <c r="D1161" s="19" t="s">
        <v>28</v>
      </c>
      <c r="E1161" s="23">
        <v>2.0</v>
      </c>
      <c r="F1161" s="18">
        <f>E1161* 0.00094876660341556</f>
        <v>0.001897533207</v>
      </c>
      <c r="G1161" s="18">
        <f>E1161* 0.999051233396584</f>
        <v>1.998102467</v>
      </c>
      <c r="H1161" s="20">
        <v>0.0</v>
      </c>
    </row>
    <row r="1162" ht="15.75" hidden="1" customHeight="1">
      <c r="A1162" s="20" t="s">
        <v>105</v>
      </c>
      <c r="B1162" s="47" t="s">
        <v>108</v>
      </c>
      <c r="C1162" s="47"/>
      <c r="D1162" s="19" t="s">
        <v>12</v>
      </c>
      <c r="E1162" s="23">
        <v>69.0</v>
      </c>
      <c r="F1162" s="18">
        <f>E1162* 0.843786808009423</f>
        <v>58.22128975</v>
      </c>
      <c r="G1162" s="18">
        <f>E1162* 0.0740675304279545</f>
        <v>5.1106596</v>
      </c>
      <c r="H1162" s="18">
        <f>E1162* 0.0820965842167256</f>
        <v>5.664664311</v>
      </c>
    </row>
    <row r="1163" ht="15.75" hidden="1" customHeight="1">
      <c r="A1163" s="20" t="s">
        <v>105</v>
      </c>
      <c r="B1163" s="20"/>
      <c r="C1163" s="20"/>
      <c r="D1163" s="46"/>
      <c r="E1163" s="35"/>
    </row>
    <row r="1164" ht="15.75" hidden="1" customHeight="1">
      <c r="A1164" s="20" t="s">
        <v>105</v>
      </c>
      <c r="B1164" s="47" t="s">
        <v>109</v>
      </c>
      <c r="C1164" s="12" t="str">
        <f>B1164&amp;"_"&amp;A1164</f>
        <v>Arani_Cochabamba</v>
      </c>
      <c r="D1164" s="20"/>
      <c r="E1164" s="45">
        <v>469.0</v>
      </c>
      <c r="F1164" s="14">
        <f t="shared" ref="F1164:H1164" si="103">SUM(F1165:F1175)</f>
        <v>381.1674748</v>
      </c>
      <c r="G1164" s="14">
        <f t="shared" si="103"/>
        <v>61.42872888</v>
      </c>
      <c r="H1164" s="14">
        <f t="shared" si="103"/>
        <v>26.36043507</v>
      </c>
    </row>
    <row r="1165" ht="15.75" hidden="1" customHeight="1">
      <c r="A1165" s="20" t="s">
        <v>105</v>
      </c>
      <c r="B1165" s="47" t="s">
        <v>109</v>
      </c>
      <c r="C1165" s="47"/>
      <c r="D1165" s="29" t="s">
        <v>410</v>
      </c>
      <c r="E1165" s="23">
        <v>0.0</v>
      </c>
      <c r="F1165" s="20">
        <v>0.0</v>
      </c>
      <c r="G1165" s="24">
        <f>E1165</f>
        <v>0</v>
      </c>
      <c r="H1165" s="20">
        <v>0.0</v>
      </c>
    </row>
    <row r="1166" ht="15.75" hidden="1" customHeight="1">
      <c r="A1166" s="20" t="s">
        <v>105</v>
      </c>
      <c r="B1166" s="47" t="s">
        <v>109</v>
      </c>
      <c r="C1166" s="47"/>
      <c r="D1166" s="19" t="s">
        <v>15</v>
      </c>
      <c r="E1166" s="23">
        <v>91.0</v>
      </c>
      <c r="F1166" s="18">
        <f>E1166* 0.932775698199239</f>
        <v>84.88258854</v>
      </c>
      <c r="G1166" s="18">
        <f>E1166* 0.00808724987291465</f>
        <v>0.7359397384</v>
      </c>
      <c r="H1166" s="18">
        <f>E1166* 0.0590600305004852</f>
        <v>5.374462776</v>
      </c>
    </row>
    <row r="1167" ht="15.75" hidden="1" customHeight="1">
      <c r="A1167" s="20" t="s">
        <v>105</v>
      </c>
      <c r="B1167" s="47" t="s">
        <v>109</v>
      </c>
      <c r="C1167" s="47"/>
      <c r="D1167" s="19" t="s">
        <v>11</v>
      </c>
      <c r="E1167" s="23">
        <v>46.0</v>
      </c>
      <c r="F1167" s="18">
        <f>E1167* 0.150611071171819</f>
        <v>6.928109274</v>
      </c>
      <c r="G1167" s="18">
        <f>E1167* 0.847699496764917</f>
        <v>38.99417685</v>
      </c>
      <c r="H1167" s="18">
        <f>E1167* 0.00136592379583034</f>
        <v>0.06283249461</v>
      </c>
    </row>
    <row r="1168" ht="15.75" hidden="1" customHeight="1">
      <c r="A1168" s="20" t="s">
        <v>105</v>
      </c>
      <c r="B1168" s="47" t="s">
        <v>109</v>
      </c>
      <c r="C1168" s="47"/>
      <c r="D1168" s="19" t="s">
        <v>17</v>
      </c>
      <c r="E1168" s="23">
        <v>25.0</v>
      </c>
      <c r="F1168" s="18">
        <f>E1168* 0.840430229624022</f>
        <v>21.01075574</v>
      </c>
      <c r="G1168" s="18">
        <f>E1168* 0.0777504415846581</f>
        <v>1.94376104</v>
      </c>
      <c r="H1168" s="18">
        <f>E1168* 0.0817877870300278</f>
        <v>2.044694676</v>
      </c>
    </row>
    <row r="1169" ht="15.75" hidden="1" customHeight="1">
      <c r="A1169" s="20" t="s">
        <v>105</v>
      </c>
      <c r="B1169" s="47" t="s">
        <v>109</v>
      </c>
      <c r="C1169" s="47"/>
      <c r="D1169" s="19" t="s">
        <v>31</v>
      </c>
      <c r="E1169" s="23">
        <v>2.0</v>
      </c>
      <c r="F1169" s="18">
        <f>E1169* 0.901975683890578</f>
        <v>1.803951368</v>
      </c>
      <c r="G1169" s="18">
        <f>E1169* 0.0364741641337386</f>
        <v>0.07294832827</v>
      </c>
      <c r="H1169" s="18">
        <f>E1169* 0.0615501519756839</f>
        <v>0.123100304</v>
      </c>
    </row>
    <row r="1170" ht="15.75" hidden="1" customHeight="1">
      <c r="A1170" s="20" t="s">
        <v>105</v>
      </c>
      <c r="B1170" s="47" t="s">
        <v>109</v>
      </c>
      <c r="C1170" s="47"/>
      <c r="D1170" s="19" t="s">
        <v>18</v>
      </c>
      <c r="E1170" s="23">
        <v>8.0</v>
      </c>
      <c r="F1170" s="18">
        <f>E1170* 0.932934264493959</f>
        <v>7.463474116</v>
      </c>
      <c r="G1170" s="18">
        <f>E1170* 0.0585300964416362</f>
        <v>0.4682407715</v>
      </c>
      <c r="H1170" s="18">
        <f>E1170* 0.00853563906440528</f>
        <v>0.06828511252</v>
      </c>
    </row>
    <row r="1171" ht="15.75" hidden="1" customHeight="1">
      <c r="A1171" s="20" t="s">
        <v>105</v>
      </c>
      <c r="B1171" s="47" t="s">
        <v>109</v>
      </c>
      <c r="C1171" s="47"/>
      <c r="D1171" s="19" t="s">
        <v>19</v>
      </c>
      <c r="E1171" s="23">
        <v>0.0</v>
      </c>
      <c r="F1171" s="18">
        <f>E1171* 0.290681971640783</f>
        <v>0</v>
      </c>
      <c r="G1171" s="18">
        <f>E1171* 0.694125590817016</f>
        <v>0</v>
      </c>
      <c r="H1171" s="18">
        <f>E1171* 0.0151924375422012</f>
        <v>0</v>
      </c>
    </row>
    <row r="1172" ht="15.75" hidden="1" customHeight="1">
      <c r="A1172" s="20" t="s">
        <v>105</v>
      </c>
      <c r="B1172" s="47" t="s">
        <v>109</v>
      </c>
      <c r="C1172" s="47"/>
      <c r="D1172" s="19" t="s">
        <v>20</v>
      </c>
      <c r="E1172" s="23">
        <v>15.0</v>
      </c>
      <c r="F1172" s="18">
        <f>E1172* 0.686268801552644</f>
        <v>10.29403202</v>
      </c>
      <c r="G1172" s="18">
        <f>E1172* 0.196991751576904</f>
        <v>2.954876274</v>
      </c>
      <c r="H1172" s="18">
        <f>E1172* 0.116642406598738</f>
        <v>1.749636099</v>
      </c>
    </row>
    <row r="1173" ht="15.75" hidden="1" customHeight="1">
      <c r="A1173" s="20" t="s">
        <v>105</v>
      </c>
      <c r="B1173" s="47" t="s">
        <v>109</v>
      </c>
      <c r="C1173" s="47"/>
      <c r="D1173" s="19" t="s">
        <v>21</v>
      </c>
      <c r="E1173" s="23">
        <v>75.0</v>
      </c>
      <c r="F1173" s="18">
        <f>E1173* 0.999513766486355</f>
        <v>74.96353249</v>
      </c>
      <c r="G1173" s="18">
        <f>E1173* 0.0000243116756822464</f>
        <v>0.001823375676</v>
      </c>
      <c r="H1173" s="18">
        <f>E1173* 0.00034036345955145</f>
        <v>0.02552725947</v>
      </c>
    </row>
    <row r="1174" ht="15.75" hidden="1" customHeight="1">
      <c r="A1174" s="20" t="s">
        <v>105</v>
      </c>
      <c r="B1174" s="47" t="s">
        <v>109</v>
      </c>
      <c r="C1174" s="47"/>
      <c r="D1174" s="19" t="s">
        <v>28</v>
      </c>
      <c r="E1174" s="23">
        <v>1.0</v>
      </c>
      <c r="F1174" s="18">
        <f>E1174* 0.00094876660341556</f>
        <v>0.0009487666034</v>
      </c>
      <c r="G1174" s="18">
        <f>E1174* 0.999051233396584</f>
        <v>0.9990512334</v>
      </c>
      <c r="H1174" s="20">
        <v>0.0</v>
      </c>
    </row>
    <row r="1175" ht="15.75" hidden="1" customHeight="1">
      <c r="A1175" s="20" t="s">
        <v>105</v>
      </c>
      <c r="B1175" s="47" t="s">
        <v>109</v>
      </c>
      <c r="C1175" s="47"/>
      <c r="D1175" s="19" t="s">
        <v>12</v>
      </c>
      <c r="E1175" s="23">
        <v>206.0</v>
      </c>
      <c r="F1175" s="18">
        <f>E1175* 0.843786808009423</f>
        <v>173.8200824</v>
      </c>
      <c r="G1175" s="18">
        <f>E1175* 0.0740675304279545</f>
        <v>15.25791127</v>
      </c>
      <c r="H1175" s="18">
        <f>E1175* 0.0820965842167256</f>
        <v>16.91189635</v>
      </c>
    </row>
    <row r="1176" ht="15.75" hidden="1" customHeight="1">
      <c r="A1176" s="20" t="s">
        <v>105</v>
      </c>
      <c r="B1176" s="20"/>
      <c r="C1176" s="20"/>
      <c r="D1176" s="46"/>
      <c r="E1176" s="35"/>
    </row>
    <row r="1177" ht="15.75" hidden="1" customHeight="1">
      <c r="A1177" s="20" t="s">
        <v>105</v>
      </c>
      <c r="B1177" s="47" t="s">
        <v>110</v>
      </c>
      <c r="C1177" s="12" t="str">
        <f>B1177&amp;"_"&amp;A1177</f>
        <v>Arbieto_Cochabamba</v>
      </c>
      <c r="D1177" s="20"/>
      <c r="E1177" s="45">
        <v>2851.0</v>
      </c>
      <c r="F1177" s="14">
        <f t="shared" ref="F1177:H1177" si="104">SUM(F1178:F1190)</f>
        <v>2365.874823</v>
      </c>
      <c r="G1177" s="14">
        <f t="shared" si="104"/>
        <v>309.3244077</v>
      </c>
      <c r="H1177" s="14">
        <f t="shared" si="104"/>
        <v>175.5729157</v>
      </c>
    </row>
    <row r="1178" ht="15.75" hidden="1" customHeight="1">
      <c r="A1178" s="20" t="s">
        <v>105</v>
      </c>
      <c r="B1178" s="47" t="s">
        <v>110</v>
      </c>
      <c r="C1178" s="47"/>
      <c r="D1178" s="29" t="s">
        <v>411</v>
      </c>
      <c r="E1178" s="23">
        <v>0.0</v>
      </c>
      <c r="F1178" s="20">
        <v>0.0</v>
      </c>
      <c r="G1178" s="24">
        <f>E1178</f>
        <v>0</v>
      </c>
      <c r="H1178" s="20">
        <v>0.0</v>
      </c>
    </row>
    <row r="1179" ht="15.75" hidden="1" customHeight="1">
      <c r="A1179" s="20" t="s">
        <v>105</v>
      </c>
      <c r="B1179" s="47" t="s">
        <v>110</v>
      </c>
      <c r="C1179" s="47"/>
      <c r="D1179" s="19" t="s">
        <v>15</v>
      </c>
      <c r="E1179" s="23">
        <v>713.0</v>
      </c>
      <c r="F1179" s="18">
        <f>E1179* 0.932775698199239</f>
        <v>665.0690728</v>
      </c>
      <c r="G1179" s="18">
        <f>E1179* 0.00808724987291465</f>
        <v>5.766209159</v>
      </c>
      <c r="H1179" s="18">
        <f>E1179* 0.0590600305004852</f>
        <v>42.10980175</v>
      </c>
    </row>
    <row r="1180" ht="15.75" hidden="1" customHeight="1">
      <c r="A1180" s="20" t="s">
        <v>105</v>
      </c>
      <c r="B1180" s="47" t="s">
        <v>110</v>
      </c>
      <c r="C1180" s="47"/>
      <c r="D1180" s="29" t="s">
        <v>412</v>
      </c>
      <c r="E1180" s="23">
        <v>10.0</v>
      </c>
      <c r="F1180" s="18">
        <f>E1180* 0.0803212851405623</f>
        <v>0.8032128514</v>
      </c>
      <c r="G1180" s="18">
        <f>E1180* 0.913367756741251</f>
        <v>9.133677567</v>
      </c>
      <c r="H1180" s="18">
        <f>E1180* 0.0057372346528973</f>
        <v>0.05737234653</v>
      </c>
    </row>
    <row r="1181" ht="15.75" hidden="1" customHeight="1">
      <c r="A1181" s="20" t="s">
        <v>105</v>
      </c>
      <c r="B1181" s="47" t="s">
        <v>110</v>
      </c>
      <c r="C1181" s="47"/>
      <c r="D1181" s="19" t="s">
        <v>11</v>
      </c>
      <c r="E1181" s="23">
        <v>160.0</v>
      </c>
      <c r="F1181" s="18">
        <f>E1181* 0.150611071171819</f>
        <v>24.09777139</v>
      </c>
      <c r="G1181" s="18">
        <f>E1181* 0.847699496764917</f>
        <v>135.6319195</v>
      </c>
      <c r="H1181" s="18">
        <f>E1181* 0.00136592379583034</f>
        <v>0.2185478073</v>
      </c>
    </row>
    <row r="1182" ht="15.75" hidden="1" customHeight="1">
      <c r="A1182" s="20" t="s">
        <v>105</v>
      </c>
      <c r="B1182" s="47" t="s">
        <v>110</v>
      </c>
      <c r="C1182" s="47"/>
      <c r="D1182" s="19" t="s">
        <v>17</v>
      </c>
      <c r="E1182" s="23">
        <v>340.0</v>
      </c>
      <c r="F1182" s="18">
        <f>E1182* 0.840430229624022</f>
        <v>285.7462781</v>
      </c>
      <c r="G1182" s="18">
        <f>E1182* 0.0777504415846581</f>
        <v>26.43515014</v>
      </c>
      <c r="H1182" s="18">
        <f>E1182* 0.0817877870300278</f>
        <v>27.80784759</v>
      </c>
    </row>
    <row r="1183" ht="15.75" hidden="1" customHeight="1">
      <c r="A1183" s="20" t="s">
        <v>105</v>
      </c>
      <c r="B1183" s="47" t="s">
        <v>110</v>
      </c>
      <c r="C1183" s="47"/>
      <c r="D1183" s="19" t="s">
        <v>31</v>
      </c>
      <c r="E1183" s="23">
        <v>14.0</v>
      </c>
      <c r="F1183" s="18">
        <f>E1183* 0.901975683890578</f>
        <v>12.62765957</v>
      </c>
      <c r="G1183" s="18">
        <f>E1183* 0.0364741641337386</f>
        <v>0.5106382979</v>
      </c>
      <c r="H1183" s="18">
        <f>E1183* 0.0615501519756839</f>
        <v>0.8617021277</v>
      </c>
    </row>
    <row r="1184" ht="15.75" hidden="1" customHeight="1">
      <c r="A1184" s="20" t="s">
        <v>105</v>
      </c>
      <c r="B1184" s="47" t="s">
        <v>110</v>
      </c>
      <c r="C1184" s="47"/>
      <c r="D1184" s="19" t="s">
        <v>18</v>
      </c>
      <c r="E1184" s="23">
        <v>74.0</v>
      </c>
      <c r="F1184" s="18">
        <f>E1184* 0.932934264493959</f>
        <v>69.03713557</v>
      </c>
      <c r="G1184" s="18">
        <f>E1184* 0.0585300964416362</f>
        <v>4.331227137</v>
      </c>
      <c r="H1184" s="18">
        <f>E1184* 0.00853563906440528</f>
        <v>0.6316372908</v>
      </c>
    </row>
    <row r="1185" ht="15.75" hidden="1" customHeight="1">
      <c r="A1185" s="20" t="s">
        <v>105</v>
      </c>
      <c r="B1185" s="47" t="s">
        <v>110</v>
      </c>
      <c r="C1185" s="47"/>
      <c r="D1185" s="19" t="s">
        <v>19</v>
      </c>
      <c r="E1185" s="23">
        <v>7.0</v>
      </c>
      <c r="F1185" s="18">
        <f>E1185* 0.290681971640783</f>
        <v>2.034773801</v>
      </c>
      <c r="G1185" s="18">
        <f>E1185* 0.694125590817016</f>
        <v>4.858879136</v>
      </c>
      <c r="H1185" s="18">
        <f>E1185* 0.0151924375422012</f>
        <v>0.1063470628</v>
      </c>
    </row>
    <row r="1186" ht="15.75" hidden="1" customHeight="1">
      <c r="A1186" s="20" t="s">
        <v>105</v>
      </c>
      <c r="B1186" s="47" t="s">
        <v>110</v>
      </c>
      <c r="C1186" s="47"/>
      <c r="D1186" s="19" t="s">
        <v>20</v>
      </c>
      <c r="E1186" s="23">
        <v>154.0</v>
      </c>
      <c r="F1186" s="18">
        <f>E1186* 0.686268801552644</f>
        <v>105.6853954</v>
      </c>
      <c r="G1186" s="18">
        <f>E1186* 0.196991751576904</f>
        <v>30.33672974</v>
      </c>
      <c r="H1186" s="18">
        <f>E1186* 0.116642406598738</f>
        <v>17.96293062</v>
      </c>
    </row>
    <row r="1187" ht="15.75" hidden="1" customHeight="1">
      <c r="A1187" s="20" t="s">
        <v>105</v>
      </c>
      <c r="B1187" s="47" t="s">
        <v>110</v>
      </c>
      <c r="C1187" s="47"/>
      <c r="D1187" s="19" t="s">
        <v>21</v>
      </c>
      <c r="E1187" s="23">
        <v>317.0</v>
      </c>
      <c r="F1187" s="18">
        <f>E1187* 0.999513766486355</f>
        <v>316.845864</v>
      </c>
      <c r="G1187" s="18">
        <f>E1187* 0.0000243116756822464</f>
        <v>0.007706801191</v>
      </c>
      <c r="H1187" s="18">
        <f>E1187* 0.00034036345955145</f>
        <v>0.1078952167</v>
      </c>
    </row>
    <row r="1188" ht="15.75" hidden="1" customHeight="1">
      <c r="A1188" s="20" t="s">
        <v>105</v>
      </c>
      <c r="B1188" s="47" t="s">
        <v>110</v>
      </c>
      <c r="C1188" s="47"/>
      <c r="D1188" s="19" t="s">
        <v>36</v>
      </c>
      <c r="E1188" s="23">
        <v>3.0</v>
      </c>
      <c r="F1188" s="24">
        <f>E1188</f>
        <v>3</v>
      </c>
      <c r="G1188" s="20">
        <v>0.0</v>
      </c>
      <c r="H1188" s="20">
        <v>0.0</v>
      </c>
    </row>
    <row r="1189" ht="15.75" hidden="1" customHeight="1">
      <c r="A1189" s="20" t="s">
        <v>105</v>
      </c>
      <c r="B1189" s="47" t="s">
        <v>110</v>
      </c>
      <c r="C1189" s="47"/>
      <c r="D1189" s="19" t="s">
        <v>28</v>
      </c>
      <c r="E1189" s="23">
        <v>15.0</v>
      </c>
      <c r="F1189" s="18">
        <f>E1189* 0.00094876660341556</f>
        <v>0.01423149905</v>
      </c>
      <c r="G1189" s="18">
        <f>E1189* 0.999051233396584</f>
        <v>14.9857685</v>
      </c>
      <c r="H1189" s="20">
        <v>0.0</v>
      </c>
    </row>
    <row r="1190" ht="15.75" hidden="1" customHeight="1">
      <c r="A1190" s="20" t="s">
        <v>105</v>
      </c>
      <c r="B1190" s="47" t="s">
        <v>110</v>
      </c>
      <c r="C1190" s="47"/>
      <c r="D1190" s="19" t="s">
        <v>12</v>
      </c>
      <c r="E1190" s="23">
        <v>1044.0</v>
      </c>
      <c r="F1190" s="18">
        <f>E1190* 0.843786808009423</f>
        <v>880.9134276</v>
      </c>
      <c r="G1190" s="18">
        <f>E1190* 0.0740675304279545</f>
        <v>77.32650177</v>
      </c>
      <c r="H1190" s="18">
        <f>E1190* 0.0820965842167256</f>
        <v>85.70883392</v>
      </c>
    </row>
    <row r="1191" ht="15.75" hidden="1" customHeight="1">
      <c r="A1191" s="20" t="s">
        <v>105</v>
      </c>
      <c r="B1191" s="20"/>
      <c r="C1191" s="20"/>
      <c r="D1191" s="46"/>
      <c r="E1191" s="35"/>
    </row>
    <row r="1192" ht="15.75" hidden="1" customHeight="1">
      <c r="A1192" s="20" t="s">
        <v>105</v>
      </c>
      <c r="B1192" s="47" t="s">
        <v>111</v>
      </c>
      <c r="C1192" s="12" t="str">
        <f>B1192&amp;"_"&amp;A1192</f>
        <v>Arque_Cochabamba</v>
      </c>
      <c r="D1192" s="20"/>
      <c r="E1192" s="45">
        <v>172.0</v>
      </c>
      <c r="F1192" s="14">
        <f t="shared" ref="F1192:H1192" si="105">SUM(F1193:F1202)</f>
        <v>134.6414538</v>
      </c>
      <c r="G1192" s="14">
        <f t="shared" si="105"/>
        <v>27.99602608</v>
      </c>
      <c r="H1192" s="14">
        <f t="shared" si="105"/>
        <v>9.345742594</v>
      </c>
    </row>
    <row r="1193" ht="15.75" hidden="1" customHeight="1">
      <c r="A1193" s="20" t="s">
        <v>105</v>
      </c>
      <c r="B1193" s="47" t="s">
        <v>111</v>
      </c>
      <c r="C1193" s="47"/>
      <c r="D1193" s="19" t="s">
        <v>15</v>
      </c>
      <c r="E1193" s="23">
        <v>21.0</v>
      </c>
      <c r="F1193" s="18">
        <f>E1193* 0.932775698199239</f>
        <v>19.58828966</v>
      </c>
      <c r="G1193" s="18">
        <f>E1193* 0.00808724987291465</f>
        <v>0.1698322473</v>
      </c>
      <c r="H1193" s="18">
        <f>E1193* 0.0590600305004852</f>
        <v>1.240260641</v>
      </c>
    </row>
    <row r="1194" ht="15.75" hidden="1" customHeight="1">
      <c r="A1194" s="20" t="s">
        <v>105</v>
      </c>
      <c r="B1194" s="47" t="s">
        <v>111</v>
      </c>
      <c r="C1194" s="47"/>
      <c r="D1194" s="19" t="s">
        <v>413</v>
      </c>
      <c r="E1194" s="23">
        <v>2.0</v>
      </c>
      <c r="F1194" s="18">
        <f>E1194* 0.0803212851405623</f>
        <v>0.1606425703</v>
      </c>
      <c r="G1194" s="18">
        <f>E1194* 0.913367756741251</f>
        <v>1.826735513</v>
      </c>
      <c r="H1194" s="18">
        <f>E1194* 0.0057372346528973</f>
        <v>0.01147446931</v>
      </c>
    </row>
    <row r="1195" ht="15.75" hidden="1" customHeight="1">
      <c r="A1195" s="20" t="s">
        <v>105</v>
      </c>
      <c r="B1195" s="47" t="s">
        <v>111</v>
      </c>
      <c r="C1195" s="47"/>
      <c r="D1195" s="19" t="s">
        <v>11</v>
      </c>
      <c r="E1195" s="23">
        <v>14.0</v>
      </c>
      <c r="F1195" s="18">
        <f>E1195* 0.150611071171819</f>
        <v>2.108554996</v>
      </c>
      <c r="G1195" s="18">
        <f>E1195* 0.847699496764917</f>
        <v>11.86779295</v>
      </c>
      <c r="H1195" s="18">
        <f>E1195* 0.00136592379583034</f>
        <v>0.01912293314</v>
      </c>
    </row>
    <row r="1196" ht="15.75" hidden="1" customHeight="1">
      <c r="A1196" s="20" t="s">
        <v>105</v>
      </c>
      <c r="B1196" s="47" t="s">
        <v>111</v>
      </c>
      <c r="C1196" s="47"/>
      <c r="D1196" s="19" t="s">
        <v>17</v>
      </c>
      <c r="E1196" s="23">
        <v>18.0</v>
      </c>
      <c r="F1196" s="18">
        <f>E1196* 0.840430229624022</f>
        <v>15.12774413</v>
      </c>
      <c r="G1196" s="18">
        <f>E1196* 0.0777504415846581</f>
        <v>1.399507949</v>
      </c>
      <c r="H1196" s="18">
        <f>E1196* 0.0817877870300278</f>
        <v>1.472180167</v>
      </c>
    </row>
    <row r="1197" ht="15.75" hidden="1" customHeight="1">
      <c r="A1197" s="20" t="s">
        <v>105</v>
      </c>
      <c r="B1197" s="47" t="s">
        <v>111</v>
      </c>
      <c r="C1197" s="47"/>
      <c r="D1197" s="19" t="s">
        <v>31</v>
      </c>
      <c r="E1197" s="23">
        <v>5.0</v>
      </c>
      <c r="F1197" s="18">
        <f>E1197* 0.901975683890578</f>
        <v>4.509878419</v>
      </c>
      <c r="G1197" s="18">
        <f>E1197* 0.0364741641337386</f>
        <v>0.1823708207</v>
      </c>
      <c r="H1197" s="18">
        <f>E1197* 0.0615501519756839</f>
        <v>0.3077507599</v>
      </c>
    </row>
    <row r="1198" ht="15.75" hidden="1" customHeight="1">
      <c r="A1198" s="20" t="s">
        <v>105</v>
      </c>
      <c r="B1198" s="47" t="s">
        <v>111</v>
      </c>
      <c r="C1198" s="47"/>
      <c r="D1198" s="19" t="s">
        <v>18</v>
      </c>
      <c r="E1198" s="23">
        <v>1.0</v>
      </c>
      <c r="F1198" s="18">
        <f>E1198* 0.932934264493959</f>
        <v>0.9329342645</v>
      </c>
      <c r="G1198" s="18">
        <f>E1198* 0.0585300964416362</f>
        <v>0.05853009644</v>
      </c>
      <c r="H1198" s="18">
        <f>E1198* 0.00853563906440528</f>
        <v>0.008535639064</v>
      </c>
    </row>
    <row r="1199" ht="15.75" hidden="1" customHeight="1">
      <c r="A1199" s="20" t="s">
        <v>105</v>
      </c>
      <c r="B1199" s="47" t="s">
        <v>111</v>
      </c>
      <c r="C1199" s="47"/>
      <c r="D1199" s="19" t="s">
        <v>20</v>
      </c>
      <c r="E1199" s="23">
        <v>20.0</v>
      </c>
      <c r="F1199" s="18">
        <f>E1199* 0.686268801552644</f>
        <v>13.72537603</v>
      </c>
      <c r="G1199" s="18">
        <f>E1199* 0.196991751576904</f>
        <v>3.939835032</v>
      </c>
      <c r="H1199" s="18">
        <f>E1199* 0.116642406598738</f>
        <v>2.332848132</v>
      </c>
    </row>
    <row r="1200" ht="15.75" hidden="1" customHeight="1">
      <c r="A1200" s="20" t="s">
        <v>105</v>
      </c>
      <c r="B1200" s="47" t="s">
        <v>111</v>
      </c>
      <c r="C1200" s="47"/>
      <c r="D1200" s="19" t="s">
        <v>21</v>
      </c>
      <c r="E1200" s="23">
        <v>38.0</v>
      </c>
      <c r="F1200" s="18">
        <f>E1200* 0.999513766486355</f>
        <v>37.98152313</v>
      </c>
      <c r="G1200" s="18">
        <f>E1200* 0.0000243116756822464</f>
        <v>0.0009238436759</v>
      </c>
      <c r="H1200" s="18">
        <f>E1200* 0.00034036345955145</f>
        <v>0.01293381146</v>
      </c>
    </row>
    <row r="1201" ht="15.75" hidden="1" customHeight="1">
      <c r="A1201" s="20" t="s">
        <v>105</v>
      </c>
      <c r="B1201" s="47" t="s">
        <v>111</v>
      </c>
      <c r="C1201" s="47"/>
      <c r="D1201" s="19" t="s">
        <v>28</v>
      </c>
      <c r="E1201" s="23">
        <v>5.0</v>
      </c>
      <c r="F1201" s="18">
        <f>E1201* 0.00094876660341556</f>
        <v>0.004743833017</v>
      </c>
      <c r="G1201" s="18">
        <f>E1201* 0.999051233396584</f>
        <v>4.995256167</v>
      </c>
      <c r="H1201" s="20">
        <v>0.0</v>
      </c>
    </row>
    <row r="1202" ht="15.75" hidden="1" customHeight="1">
      <c r="A1202" s="20" t="s">
        <v>105</v>
      </c>
      <c r="B1202" s="47" t="s">
        <v>111</v>
      </c>
      <c r="C1202" s="47"/>
      <c r="D1202" s="19" t="s">
        <v>12</v>
      </c>
      <c r="E1202" s="23">
        <v>48.0</v>
      </c>
      <c r="F1202" s="18">
        <f>E1202* 0.843786808009423</f>
        <v>40.50176678</v>
      </c>
      <c r="G1202" s="18">
        <f>E1202* 0.0740675304279545</f>
        <v>3.555241461</v>
      </c>
      <c r="H1202" s="18">
        <f>E1202* 0.0820965842167256</f>
        <v>3.940636042</v>
      </c>
    </row>
    <row r="1203" ht="15.75" hidden="1" customHeight="1">
      <c r="A1203" s="20" t="s">
        <v>105</v>
      </c>
      <c r="B1203" s="20"/>
      <c r="C1203" s="20"/>
      <c r="D1203" s="46"/>
      <c r="E1203" s="35"/>
    </row>
    <row r="1204" ht="15.75" hidden="1" customHeight="1">
      <c r="A1204" s="20" t="s">
        <v>105</v>
      </c>
      <c r="B1204" s="47" t="s">
        <v>112</v>
      </c>
      <c r="C1204" s="12" t="str">
        <f>B1204&amp;"_"&amp;A1204</f>
        <v>Bolívar_Cochabamba</v>
      </c>
      <c r="D1204" s="20"/>
      <c r="E1204" s="45">
        <v>3.0</v>
      </c>
      <c r="F1204" s="14">
        <f t="shared" ref="F1204:H1204" si="106">SUM(F1205:F1207)</f>
        <v>1.923816999</v>
      </c>
      <c r="G1204" s="14">
        <f t="shared" si="106"/>
        <v>0.9335371882</v>
      </c>
      <c r="H1204" s="14">
        <f t="shared" si="106"/>
        <v>0.1422137413</v>
      </c>
    </row>
    <row r="1205" ht="15.75" hidden="1" customHeight="1">
      <c r="A1205" s="20" t="s">
        <v>105</v>
      </c>
      <c r="B1205" s="47" t="s">
        <v>112</v>
      </c>
      <c r="C1205" s="47"/>
      <c r="D1205" s="19" t="s">
        <v>15</v>
      </c>
      <c r="E1205" s="23">
        <v>1.0</v>
      </c>
      <c r="F1205" s="18">
        <f>E1205* 0.932775698199239</f>
        <v>0.9327756982</v>
      </c>
      <c r="G1205" s="18">
        <f>E1205* 0.00808724987291465</f>
        <v>0.008087249873</v>
      </c>
      <c r="H1205" s="18">
        <f>E1205* 0.0590600305004852</f>
        <v>0.0590600305</v>
      </c>
    </row>
    <row r="1206" ht="15.75" hidden="1" customHeight="1">
      <c r="A1206" s="20" t="s">
        <v>105</v>
      </c>
      <c r="B1206" s="47" t="s">
        <v>112</v>
      </c>
      <c r="C1206" s="47"/>
      <c r="D1206" s="19" t="s">
        <v>11</v>
      </c>
      <c r="E1206" s="23">
        <v>1.0</v>
      </c>
      <c r="F1206" s="18">
        <f>E1206* 0.150611071171819</f>
        <v>0.1506110712</v>
      </c>
      <c r="G1206" s="18">
        <f>E1206* 0.847699496764917</f>
        <v>0.8476994968</v>
      </c>
      <c r="H1206" s="18">
        <f>E1206* 0.00136592379583034</f>
        <v>0.001365923796</v>
      </c>
    </row>
    <row r="1207" ht="15.75" hidden="1" customHeight="1">
      <c r="A1207" s="20" t="s">
        <v>105</v>
      </c>
      <c r="B1207" s="47" t="s">
        <v>112</v>
      </c>
      <c r="C1207" s="47"/>
      <c r="D1207" s="19" t="s">
        <v>17</v>
      </c>
      <c r="E1207" s="23">
        <v>1.0</v>
      </c>
      <c r="F1207" s="18">
        <f>E1207* 0.840430229624022</f>
        <v>0.8404302296</v>
      </c>
      <c r="G1207" s="18">
        <f>E1207* 0.0777504415846581</f>
        <v>0.07775044158</v>
      </c>
      <c r="H1207" s="18">
        <f>E1207* 0.0817877870300278</f>
        <v>0.08178778703</v>
      </c>
    </row>
    <row r="1208" ht="15.75" hidden="1" customHeight="1">
      <c r="A1208" s="20" t="s">
        <v>105</v>
      </c>
      <c r="B1208" s="20"/>
      <c r="C1208" s="20"/>
      <c r="D1208" s="46"/>
      <c r="E1208" s="35"/>
    </row>
    <row r="1209" ht="15.75" hidden="1" customHeight="1">
      <c r="A1209" s="20" t="s">
        <v>105</v>
      </c>
      <c r="B1209" s="47" t="s">
        <v>113</v>
      </c>
      <c r="C1209" s="12" t="str">
        <f>B1209&amp;"_"&amp;A1209</f>
        <v>Capinota_Cochabamba</v>
      </c>
      <c r="D1209" s="20"/>
      <c r="E1209" s="45">
        <v>3728.0</v>
      </c>
      <c r="F1209" s="14">
        <f t="shared" ref="F1209:H1209" si="107">SUM(F1210:F1222)</f>
        <v>3151.621371</v>
      </c>
      <c r="G1209" s="14">
        <f t="shared" si="107"/>
        <v>509.67561</v>
      </c>
      <c r="H1209" s="14">
        <f t="shared" si="107"/>
        <v>66.25572649</v>
      </c>
    </row>
    <row r="1210" ht="15.75" hidden="1" customHeight="1">
      <c r="A1210" s="20" t="s">
        <v>105</v>
      </c>
      <c r="B1210" s="47" t="s">
        <v>113</v>
      </c>
      <c r="C1210" s="47"/>
      <c r="D1210" s="29" t="s">
        <v>414</v>
      </c>
      <c r="E1210" s="23">
        <v>5.0</v>
      </c>
      <c r="F1210" s="20">
        <v>0.0</v>
      </c>
      <c r="G1210" s="24">
        <f>E1210</f>
        <v>5</v>
      </c>
      <c r="H1210" s="20">
        <v>0.0</v>
      </c>
    </row>
    <row r="1211" ht="15.75" hidden="1" customHeight="1">
      <c r="A1211" s="20" t="s">
        <v>105</v>
      </c>
      <c r="B1211" s="47" t="s">
        <v>113</v>
      </c>
      <c r="C1211" s="47"/>
      <c r="D1211" s="19" t="s">
        <v>15</v>
      </c>
      <c r="E1211" s="23">
        <v>94.0</v>
      </c>
      <c r="F1211" s="18">
        <f>E1211* 0.932775698199239</f>
        <v>87.68091563</v>
      </c>
      <c r="G1211" s="18">
        <f>E1211* 0.00808724987291465</f>
        <v>0.7602014881</v>
      </c>
      <c r="H1211" s="18">
        <f>E1211* 0.0590600305004852</f>
        <v>5.551642867</v>
      </c>
    </row>
    <row r="1212" ht="15.75" hidden="1" customHeight="1">
      <c r="A1212" s="20" t="s">
        <v>105</v>
      </c>
      <c r="B1212" s="47" t="s">
        <v>113</v>
      </c>
      <c r="C1212" s="47"/>
      <c r="D1212" s="29" t="s">
        <v>415</v>
      </c>
      <c r="E1212" s="23">
        <v>6.0</v>
      </c>
      <c r="F1212" s="18">
        <f>E1212* 0.0803212851405623</f>
        <v>0.4819277108</v>
      </c>
      <c r="G1212" s="18">
        <f>E1212* 0.913367756741251</f>
        <v>5.48020654</v>
      </c>
      <c r="H1212" s="18">
        <f>E1212* 0.0057372346528973</f>
        <v>0.03442340792</v>
      </c>
    </row>
    <row r="1213" ht="15.75" hidden="1" customHeight="1">
      <c r="A1213" s="20" t="s">
        <v>105</v>
      </c>
      <c r="B1213" s="47" t="s">
        <v>113</v>
      </c>
      <c r="C1213" s="47"/>
      <c r="D1213" s="19" t="s">
        <v>11</v>
      </c>
      <c r="E1213" s="23">
        <v>341.0</v>
      </c>
      <c r="F1213" s="18">
        <f>E1213* 0.150611071171819</f>
        <v>51.35837527</v>
      </c>
      <c r="G1213" s="18">
        <f>E1213* 0.847699496764917</f>
        <v>289.0655284</v>
      </c>
      <c r="H1213" s="18">
        <f>E1213* 0.00136592379583034</f>
        <v>0.4657800144</v>
      </c>
    </row>
    <row r="1214" ht="15.75" hidden="1" customHeight="1">
      <c r="A1214" s="20" t="s">
        <v>105</v>
      </c>
      <c r="B1214" s="47" t="s">
        <v>113</v>
      </c>
      <c r="C1214" s="47"/>
      <c r="D1214" s="19" t="s">
        <v>17</v>
      </c>
      <c r="E1214" s="23">
        <v>135.0</v>
      </c>
      <c r="F1214" s="18">
        <f>E1214* 0.840430229624022</f>
        <v>113.458081</v>
      </c>
      <c r="G1214" s="18">
        <f>E1214* 0.0777504415846581</f>
        <v>10.49630961</v>
      </c>
      <c r="H1214" s="18">
        <f>E1214* 0.0817877870300278</f>
        <v>11.04135125</v>
      </c>
    </row>
    <row r="1215" ht="15.75" hidden="1" customHeight="1">
      <c r="A1215" s="20" t="s">
        <v>105</v>
      </c>
      <c r="B1215" s="47" t="s">
        <v>113</v>
      </c>
      <c r="C1215" s="47"/>
      <c r="D1215" s="19" t="s">
        <v>31</v>
      </c>
      <c r="E1215" s="23">
        <v>4.0</v>
      </c>
      <c r="F1215" s="18">
        <f>E1215* 0.901975683890578</f>
        <v>3.607902736</v>
      </c>
      <c r="G1215" s="18">
        <f>E1215* 0.0364741641337386</f>
        <v>0.1458966565</v>
      </c>
      <c r="H1215" s="18">
        <f>E1215* 0.0615501519756839</f>
        <v>0.2462006079</v>
      </c>
    </row>
    <row r="1216" ht="15.75" hidden="1" customHeight="1">
      <c r="A1216" s="20" t="s">
        <v>105</v>
      </c>
      <c r="B1216" s="47" t="s">
        <v>113</v>
      </c>
      <c r="C1216" s="47"/>
      <c r="D1216" s="19" t="s">
        <v>18</v>
      </c>
      <c r="E1216" s="23">
        <v>28.0</v>
      </c>
      <c r="F1216" s="18">
        <f>E1216* 0.932934264493959</f>
        <v>26.12215941</v>
      </c>
      <c r="G1216" s="18">
        <f>E1216* 0.0585300964416362</f>
        <v>1.6388427</v>
      </c>
      <c r="H1216" s="18">
        <f>E1216* 0.00853563906440528</f>
        <v>0.2389978938</v>
      </c>
    </row>
    <row r="1217" ht="15.75" hidden="1" customHeight="1">
      <c r="A1217" s="20" t="s">
        <v>105</v>
      </c>
      <c r="B1217" s="47" t="s">
        <v>113</v>
      </c>
      <c r="C1217" s="47"/>
      <c r="D1217" s="19" t="s">
        <v>19</v>
      </c>
      <c r="E1217" s="23">
        <v>5.0</v>
      </c>
      <c r="F1217" s="18">
        <f>E1217* 0.290681971640783</f>
        <v>1.453409858</v>
      </c>
      <c r="G1217" s="18">
        <f>E1217* 0.694125590817016</f>
        <v>3.470627954</v>
      </c>
      <c r="H1217" s="18">
        <f>E1217* 0.0151924375422012</f>
        <v>0.07596218771</v>
      </c>
    </row>
    <row r="1218" ht="15.75" hidden="1" customHeight="1">
      <c r="A1218" s="20" t="s">
        <v>105</v>
      </c>
      <c r="B1218" s="47" t="s">
        <v>113</v>
      </c>
      <c r="C1218" s="47"/>
      <c r="D1218" s="19" t="s">
        <v>20</v>
      </c>
      <c r="E1218" s="23">
        <v>50.0</v>
      </c>
      <c r="F1218" s="18">
        <f>E1218* 0.686268801552644</f>
        <v>34.31344008</v>
      </c>
      <c r="G1218" s="18">
        <f>E1218* 0.196991751576904</f>
        <v>9.849587579</v>
      </c>
      <c r="H1218" s="18">
        <f>E1218* 0.116642406598738</f>
        <v>5.83212033</v>
      </c>
    </row>
    <row r="1219" ht="15.75" hidden="1" customHeight="1">
      <c r="A1219" s="20" t="s">
        <v>105</v>
      </c>
      <c r="B1219" s="47" t="s">
        <v>113</v>
      </c>
      <c r="C1219" s="47"/>
      <c r="D1219" s="19" t="s">
        <v>21</v>
      </c>
      <c r="E1219" s="23">
        <v>2403.0</v>
      </c>
      <c r="F1219" s="18">
        <f>E1219* 0.999513766486355</f>
        <v>2401.831581</v>
      </c>
      <c r="G1219" s="18">
        <f>E1219* 0.0000243116756822464</f>
        <v>0.05842095666</v>
      </c>
      <c r="H1219" s="18">
        <f>E1219* 0.00034036345955145</f>
        <v>0.8178933933</v>
      </c>
    </row>
    <row r="1220" ht="15.75" hidden="1" customHeight="1">
      <c r="A1220" s="20" t="s">
        <v>105</v>
      </c>
      <c r="B1220" s="47" t="s">
        <v>113</v>
      </c>
      <c r="C1220" s="47"/>
      <c r="D1220" s="19" t="s">
        <v>36</v>
      </c>
      <c r="E1220" s="23">
        <v>0.0</v>
      </c>
      <c r="F1220" s="24">
        <f>E1220</f>
        <v>0</v>
      </c>
      <c r="G1220" s="20">
        <v>0.0</v>
      </c>
      <c r="H1220" s="20">
        <v>0.0</v>
      </c>
    </row>
    <row r="1221" ht="15.75" hidden="1" customHeight="1">
      <c r="A1221" s="20" t="s">
        <v>105</v>
      </c>
      <c r="B1221" s="47" t="s">
        <v>113</v>
      </c>
      <c r="C1221" s="47"/>
      <c r="D1221" s="19" t="s">
        <v>28</v>
      </c>
      <c r="E1221" s="23">
        <v>146.0</v>
      </c>
      <c r="F1221" s="18">
        <f>E1221* 0.00094876660341556</f>
        <v>0.1385199241</v>
      </c>
      <c r="G1221" s="18">
        <f>E1221* 0.999051233396584</f>
        <v>145.8614801</v>
      </c>
      <c r="H1221" s="20">
        <v>0.0</v>
      </c>
    </row>
    <row r="1222" ht="15.75" hidden="1" customHeight="1">
      <c r="A1222" s="20" t="s">
        <v>105</v>
      </c>
      <c r="B1222" s="47" t="s">
        <v>113</v>
      </c>
      <c r="C1222" s="47"/>
      <c r="D1222" s="19" t="s">
        <v>12</v>
      </c>
      <c r="E1222" s="23">
        <v>511.0</v>
      </c>
      <c r="F1222" s="18">
        <f>E1222* 0.843786808009423</f>
        <v>431.1750589</v>
      </c>
      <c r="G1222" s="18">
        <f>E1222* 0.0740675304279545</f>
        <v>37.84850805</v>
      </c>
      <c r="H1222" s="18">
        <f>E1222* 0.0820965842167256</f>
        <v>41.95135453</v>
      </c>
    </row>
    <row r="1223" ht="15.75" hidden="1" customHeight="1">
      <c r="A1223" s="20" t="s">
        <v>105</v>
      </c>
      <c r="B1223" s="20"/>
      <c r="C1223" s="20"/>
      <c r="D1223" s="46"/>
      <c r="E1223" s="35"/>
    </row>
    <row r="1224" ht="15.75" hidden="1" customHeight="1">
      <c r="A1224" s="20" t="s">
        <v>105</v>
      </c>
      <c r="B1224" s="47" t="s">
        <v>114</v>
      </c>
      <c r="C1224" s="12" t="str">
        <f>B1224&amp;"_"&amp;A1224</f>
        <v>Chimoré_Cochabamba</v>
      </c>
      <c r="D1224" s="20"/>
      <c r="E1224" s="45">
        <v>3474.0</v>
      </c>
      <c r="F1224" s="14">
        <f t="shared" ref="F1224:H1224" si="108">SUM(F1225:F1237)</f>
        <v>3278.294617</v>
      </c>
      <c r="G1224" s="14">
        <f t="shared" si="108"/>
        <v>139.6087019</v>
      </c>
      <c r="H1224" s="14">
        <f t="shared" si="108"/>
        <v>55.71344322</v>
      </c>
    </row>
    <row r="1225" ht="15.75" hidden="1" customHeight="1">
      <c r="A1225" s="20" t="s">
        <v>105</v>
      </c>
      <c r="B1225" s="47" t="s">
        <v>114</v>
      </c>
      <c r="C1225" s="47"/>
      <c r="D1225" s="29" t="s">
        <v>416</v>
      </c>
      <c r="E1225" s="23">
        <v>4.0</v>
      </c>
      <c r="F1225" s="20">
        <v>0.0</v>
      </c>
      <c r="G1225" s="24">
        <f>E1225</f>
        <v>4</v>
      </c>
      <c r="H1225" s="20">
        <v>0.0</v>
      </c>
    </row>
    <row r="1226" ht="15.75" hidden="1" customHeight="1">
      <c r="A1226" s="20" t="s">
        <v>105</v>
      </c>
      <c r="B1226" s="47" t="s">
        <v>114</v>
      </c>
      <c r="C1226" s="47"/>
      <c r="D1226" s="19" t="s">
        <v>15</v>
      </c>
      <c r="E1226" s="23">
        <v>21.0</v>
      </c>
      <c r="F1226" s="18">
        <f>E1226* 0.932775698199239</f>
        <v>19.58828966</v>
      </c>
      <c r="G1226" s="18">
        <f>E1226* 0.00808724987291465</f>
        <v>0.1698322473</v>
      </c>
      <c r="H1226" s="18">
        <f>E1226* 0.0590600305004852</f>
        <v>1.240260641</v>
      </c>
    </row>
    <row r="1227" ht="15.75" hidden="1" customHeight="1">
      <c r="A1227" s="20" t="s">
        <v>105</v>
      </c>
      <c r="B1227" s="47" t="s">
        <v>114</v>
      </c>
      <c r="C1227" s="47"/>
      <c r="D1227" s="29" t="s">
        <v>417</v>
      </c>
      <c r="E1227" s="23">
        <v>3.0</v>
      </c>
      <c r="F1227" s="18">
        <f>E1227* 0.0803212851405623</f>
        <v>0.2409638554</v>
      </c>
      <c r="G1227" s="18">
        <f>E1227* 0.913367756741251</f>
        <v>2.74010327</v>
      </c>
      <c r="H1227" s="18">
        <f>E1227* 0.0057372346528973</f>
        <v>0.01721170396</v>
      </c>
    </row>
    <row r="1228" ht="15.75" hidden="1" customHeight="1">
      <c r="A1228" s="20" t="s">
        <v>105</v>
      </c>
      <c r="B1228" s="47" t="s">
        <v>114</v>
      </c>
      <c r="C1228" s="47"/>
      <c r="D1228" s="19" t="s">
        <v>11</v>
      </c>
      <c r="E1228" s="23">
        <v>60.0</v>
      </c>
      <c r="F1228" s="18">
        <f>E1228* 0.150611071171819</f>
        <v>9.03666427</v>
      </c>
      <c r="G1228" s="18">
        <f>E1228* 0.847699496764917</f>
        <v>50.86196981</v>
      </c>
      <c r="H1228" s="18">
        <f>E1228* 0.00136592379583034</f>
        <v>0.08195542775</v>
      </c>
    </row>
    <row r="1229" ht="15.75" hidden="1" customHeight="1">
      <c r="A1229" s="20" t="s">
        <v>105</v>
      </c>
      <c r="B1229" s="47" t="s">
        <v>114</v>
      </c>
      <c r="C1229" s="47"/>
      <c r="D1229" s="19" t="s">
        <v>17</v>
      </c>
      <c r="E1229" s="23">
        <v>70.0</v>
      </c>
      <c r="F1229" s="18">
        <f>E1229* 0.840430229624022</f>
        <v>58.83011607</v>
      </c>
      <c r="G1229" s="18">
        <f>E1229* 0.0777504415846581</f>
        <v>5.442530911</v>
      </c>
      <c r="H1229" s="18">
        <f>E1229* 0.0817877870300278</f>
        <v>5.725145092</v>
      </c>
    </row>
    <row r="1230" ht="15.75" hidden="1" customHeight="1">
      <c r="A1230" s="20" t="s">
        <v>105</v>
      </c>
      <c r="B1230" s="47" t="s">
        <v>114</v>
      </c>
      <c r="C1230" s="47"/>
      <c r="D1230" s="19" t="s">
        <v>31</v>
      </c>
      <c r="E1230" s="23">
        <v>3.0</v>
      </c>
      <c r="F1230" s="18">
        <f>E1230* 0.901975683890578</f>
        <v>2.705927052</v>
      </c>
      <c r="G1230" s="18">
        <f>E1230* 0.0364741641337386</f>
        <v>0.1094224924</v>
      </c>
      <c r="H1230" s="18">
        <f>E1230* 0.0615501519756839</f>
        <v>0.1846504559</v>
      </c>
    </row>
    <row r="1231" ht="15.75" hidden="1" customHeight="1">
      <c r="A1231" s="20" t="s">
        <v>105</v>
      </c>
      <c r="B1231" s="47" t="s">
        <v>114</v>
      </c>
      <c r="C1231" s="47"/>
      <c r="D1231" s="19" t="s">
        <v>18</v>
      </c>
      <c r="E1231" s="23">
        <v>3.0</v>
      </c>
      <c r="F1231" s="18">
        <f>E1231* 0.932934264493959</f>
        <v>2.798802793</v>
      </c>
      <c r="G1231" s="18">
        <f>E1231* 0.0585300964416362</f>
        <v>0.1755902893</v>
      </c>
      <c r="H1231" s="18">
        <f>E1231* 0.00853563906440528</f>
        <v>0.02560691719</v>
      </c>
    </row>
    <row r="1232" ht="15.75" hidden="1" customHeight="1">
      <c r="A1232" s="20" t="s">
        <v>105</v>
      </c>
      <c r="B1232" s="47" t="s">
        <v>114</v>
      </c>
      <c r="C1232" s="47"/>
      <c r="D1232" s="19" t="s">
        <v>418</v>
      </c>
      <c r="E1232" s="23">
        <v>7.0</v>
      </c>
      <c r="F1232" s="20">
        <v>0.0</v>
      </c>
      <c r="G1232" s="24">
        <f>E1232</f>
        <v>7</v>
      </c>
      <c r="H1232" s="20">
        <v>0.0</v>
      </c>
    </row>
    <row r="1233" ht="15.75" hidden="1" customHeight="1">
      <c r="A1233" s="20" t="s">
        <v>105</v>
      </c>
      <c r="B1233" s="47" t="s">
        <v>114</v>
      </c>
      <c r="C1233" s="47"/>
      <c r="D1233" s="19" t="s">
        <v>19</v>
      </c>
      <c r="E1233" s="23">
        <v>6.0</v>
      </c>
      <c r="F1233" s="18">
        <f>E1233* 0.290681971640783</f>
        <v>1.74409183</v>
      </c>
      <c r="G1233" s="18">
        <f>E1233* 0.694125590817016</f>
        <v>4.164753545</v>
      </c>
      <c r="H1233" s="18">
        <f>E1233* 0.0151924375422012</f>
        <v>0.09115462525</v>
      </c>
    </row>
    <row r="1234" ht="15.75" hidden="1" customHeight="1">
      <c r="A1234" s="20" t="s">
        <v>105</v>
      </c>
      <c r="B1234" s="47" t="s">
        <v>114</v>
      </c>
      <c r="C1234" s="47"/>
      <c r="D1234" s="19" t="s">
        <v>20</v>
      </c>
      <c r="E1234" s="23">
        <v>23.0</v>
      </c>
      <c r="F1234" s="18">
        <f>E1234* 0.686268801552644</f>
        <v>15.78418244</v>
      </c>
      <c r="G1234" s="18">
        <f>E1234* 0.196991751576904</f>
        <v>4.530810286</v>
      </c>
      <c r="H1234" s="18">
        <f>E1234* 0.116642406598738</f>
        <v>2.682775352</v>
      </c>
    </row>
    <row r="1235" ht="15.75" hidden="1" customHeight="1">
      <c r="A1235" s="20" t="s">
        <v>105</v>
      </c>
      <c r="B1235" s="47" t="s">
        <v>114</v>
      </c>
      <c r="C1235" s="47"/>
      <c r="D1235" s="19" t="s">
        <v>21</v>
      </c>
      <c r="E1235" s="23">
        <v>2709.0</v>
      </c>
      <c r="F1235" s="18">
        <f>E1235* 0.999513766486355</f>
        <v>2707.682793</v>
      </c>
      <c r="G1235" s="18">
        <f>E1235* 0.0000243116756822464</f>
        <v>0.06586032942</v>
      </c>
      <c r="H1235" s="18">
        <f>E1235* 0.00034036345955145</f>
        <v>0.9220446119</v>
      </c>
    </row>
    <row r="1236" ht="15.75" hidden="1" customHeight="1">
      <c r="A1236" s="20" t="s">
        <v>105</v>
      </c>
      <c r="B1236" s="47" t="s">
        <v>114</v>
      </c>
      <c r="C1236" s="47"/>
      <c r="D1236" s="19" t="s">
        <v>28</v>
      </c>
      <c r="E1236" s="23">
        <v>20.0</v>
      </c>
      <c r="F1236" s="18">
        <f>E1236* 0.00094876660341556</f>
        <v>0.01897533207</v>
      </c>
      <c r="G1236" s="18">
        <f>E1236* 0.999051233396584</f>
        <v>19.98102467</v>
      </c>
      <c r="H1236" s="20">
        <v>0.0</v>
      </c>
    </row>
    <row r="1237" ht="15.75" hidden="1" customHeight="1">
      <c r="A1237" s="20" t="s">
        <v>105</v>
      </c>
      <c r="B1237" s="47" t="s">
        <v>114</v>
      </c>
      <c r="C1237" s="47"/>
      <c r="D1237" s="19" t="s">
        <v>12</v>
      </c>
      <c r="E1237" s="23">
        <v>545.0</v>
      </c>
      <c r="F1237" s="18">
        <f>E1237* 0.843786808009423</f>
        <v>459.8638104</v>
      </c>
      <c r="G1237" s="18">
        <f>E1237* 0.0740675304279545</f>
        <v>40.36680408</v>
      </c>
      <c r="H1237" s="18">
        <f>E1237* 0.0820965842167256</f>
        <v>44.7426384</v>
      </c>
    </row>
    <row r="1238" ht="15.75" hidden="1" customHeight="1">
      <c r="A1238" s="20" t="s">
        <v>105</v>
      </c>
      <c r="B1238" s="20"/>
      <c r="C1238" s="20"/>
      <c r="D1238" s="46"/>
      <c r="E1238" s="35"/>
    </row>
    <row r="1239" ht="15.75" hidden="1" customHeight="1">
      <c r="A1239" s="20" t="s">
        <v>105</v>
      </c>
      <c r="B1239" s="47" t="s">
        <v>116</v>
      </c>
      <c r="C1239" s="12" t="str">
        <f>B1239&amp;"_"&amp;A1239</f>
        <v>Cliza_Cochabamba</v>
      </c>
      <c r="D1239" s="20"/>
      <c r="E1239" s="45">
        <v>4265.0</v>
      </c>
      <c r="F1239" s="14">
        <f t="shared" ref="F1239:H1239" si="109">SUM(F1240:F1253)</f>
        <v>3285.619604</v>
      </c>
      <c r="G1239" s="14">
        <f t="shared" si="109"/>
        <v>738.5411216</v>
      </c>
      <c r="H1239" s="14">
        <f t="shared" si="109"/>
        <v>240.4282645</v>
      </c>
    </row>
    <row r="1240" ht="15.75" hidden="1" customHeight="1">
      <c r="A1240" s="20" t="s">
        <v>105</v>
      </c>
      <c r="B1240" s="47" t="s">
        <v>116</v>
      </c>
      <c r="C1240" s="47"/>
      <c r="D1240" s="29" t="s">
        <v>419</v>
      </c>
      <c r="E1240" s="23">
        <v>0.0</v>
      </c>
      <c r="F1240" s="20">
        <v>0.0</v>
      </c>
      <c r="G1240" s="24">
        <f>E1240</f>
        <v>0</v>
      </c>
      <c r="H1240" s="20">
        <v>0.0</v>
      </c>
    </row>
    <row r="1241" ht="15.75" hidden="1" customHeight="1">
      <c r="A1241" s="20" t="s">
        <v>105</v>
      </c>
      <c r="B1241" s="47" t="s">
        <v>116</v>
      </c>
      <c r="C1241" s="47"/>
      <c r="D1241" s="19" t="s">
        <v>15</v>
      </c>
      <c r="E1241" s="23">
        <v>1046.0</v>
      </c>
      <c r="F1241" s="18">
        <f>E1241* 0.932775698199239</f>
        <v>975.6833803</v>
      </c>
      <c r="G1241" s="18">
        <f>E1241* 0.00808724987291465</f>
        <v>8.459263367</v>
      </c>
      <c r="H1241" s="18">
        <f>E1241* 0.0590600305004852</f>
        <v>61.7767919</v>
      </c>
    </row>
    <row r="1242" ht="15.75" hidden="1" customHeight="1">
      <c r="A1242" s="20" t="s">
        <v>105</v>
      </c>
      <c r="B1242" s="47" t="s">
        <v>116</v>
      </c>
      <c r="C1242" s="47"/>
      <c r="D1242" s="29" t="s">
        <v>420</v>
      </c>
      <c r="E1242" s="23">
        <v>9.0</v>
      </c>
      <c r="F1242" s="18">
        <f>E1242* 0.0803212851405623</f>
        <v>0.7228915663</v>
      </c>
      <c r="G1242" s="18">
        <f>E1242* 0.913367756741251</f>
        <v>8.220309811</v>
      </c>
      <c r="H1242" s="18">
        <f>E1242* 0.0057372346528973</f>
        <v>0.05163511188</v>
      </c>
    </row>
    <row r="1243" ht="15.75" hidden="1" customHeight="1">
      <c r="A1243" s="20" t="s">
        <v>105</v>
      </c>
      <c r="B1243" s="47" t="s">
        <v>116</v>
      </c>
      <c r="C1243" s="47"/>
      <c r="D1243" s="19" t="s">
        <v>11</v>
      </c>
      <c r="E1243" s="23">
        <v>501.0</v>
      </c>
      <c r="F1243" s="18">
        <f>E1243* 0.150611071171819</f>
        <v>75.45614666</v>
      </c>
      <c r="G1243" s="18">
        <f>E1243* 0.847699496764917</f>
        <v>424.6974479</v>
      </c>
      <c r="H1243" s="18">
        <f>E1243* 0.00136592379583034</f>
        <v>0.6843278217</v>
      </c>
    </row>
    <row r="1244" ht="15.75" hidden="1" customHeight="1">
      <c r="A1244" s="20" t="s">
        <v>105</v>
      </c>
      <c r="B1244" s="47" t="s">
        <v>116</v>
      </c>
      <c r="C1244" s="47"/>
      <c r="D1244" s="19" t="s">
        <v>17</v>
      </c>
      <c r="E1244" s="23">
        <v>418.0</v>
      </c>
      <c r="F1244" s="18">
        <f>E1244* 0.840430229624022</f>
        <v>351.299836</v>
      </c>
      <c r="G1244" s="18">
        <f>E1244* 0.0777504415846581</f>
        <v>32.49968458</v>
      </c>
      <c r="H1244" s="18">
        <f>E1244* 0.0817877870300278</f>
        <v>34.18729498</v>
      </c>
    </row>
    <row r="1245" ht="15.75" hidden="1" customHeight="1">
      <c r="A1245" s="20" t="s">
        <v>105</v>
      </c>
      <c r="B1245" s="47" t="s">
        <v>116</v>
      </c>
      <c r="C1245" s="47"/>
      <c r="D1245" s="19" t="s">
        <v>31</v>
      </c>
      <c r="E1245" s="23">
        <v>34.0</v>
      </c>
      <c r="F1245" s="18">
        <f>E1245* 0.901975683890578</f>
        <v>30.66717325</v>
      </c>
      <c r="G1245" s="18">
        <f>E1245* 0.0364741641337386</f>
        <v>1.240121581</v>
      </c>
      <c r="H1245" s="18">
        <f>E1245* 0.0615501519756839</f>
        <v>2.092705167</v>
      </c>
    </row>
    <row r="1246" ht="15.75" hidden="1" customHeight="1">
      <c r="A1246" s="20" t="s">
        <v>105</v>
      </c>
      <c r="B1246" s="47" t="s">
        <v>116</v>
      </c>
      <c r="C1246" s="47"/>
      <c r="D1246" s="19" t="s">
        <v>18</v>
      </c>
      <c r="E1246" s="23">
        <v>45.0</v>
      </c>
      <c r="F1246" s="18">
        <f>E1246* 0.932934264493959</f>
        <v>41.9820419</v>
      </c>
      <c r="G1246" s="18">
        <f>E1246* 0.0585300964416362</f>
        <v>2.63385434</v>
      </c>
      <c r="H1246" s="18">
        <f>E1246* 0.00853563906440528</f>
        <v>0.3841037579</v>
      </c>
    </row>
    <row r="1247" ht="15.75" hidden="1" customHeight="1">
      <c r="A1247" s="20" t="s">
        <v>105</v>
      </c>
      <c r="B1247" s="47" t="s">
        <v>116</v>
      </c>
      <c r="C1247" s="47"/>
      <c r="D1247" s="19" t="s">
        <v>421</v>
      </c>
      <c r="E1247" s="23">
        <v>9.0</v>
      </c>
      <c r="F1247" s="20">
        <v>0.0</v>
      </c>
      <c r="G1247" s="24">
        <f>E1247</f>
        <v>9</v>
      </c>
      <c r="H1247" s="20">
        <v>0.0</v>
      </c>
    </row>
    <row r="1248" ht="15.75" hidden="1" customHeight="1">
      <c r="A1248" s="20" t="s">
        <v>105</v>
      </c>
      <c r="B1248" s="47" t="s">
        <v>116</v>
      </c>
      <c r="C1248" s="47"/>
      <c r="D1248" s="19" t="s">
        <v>19</v>
      </c>
      <c r="E1248" s="23">
        <v>61.0</v>
      </c>
      <c r="F1248" s="18">
        <f>E1248* 0.290681971640783</f>
        <v>17.73160027</v>
      </c>
      <c r="G1248" s="18">
        <f>E1248* 0.694125590817016</f>
        <v>42.34166104</v>
      </c>
      <c r="H1248" s="18">
        <f>E1248* 0.0151924375422012</f>
        <v>0.9267386901</v>
      </c>
    </row>
    <row r="1249" ht="15.75" hidden="1" customHeight="1">
      <c r="A1249" s="20" t="s">
        <v>105</v>
      </c>
      <c r="B1249" s="47" t="s">
        <v>116</v>
      </c>
      <c r="C1249" s="47"/>
      <c r="D1249" s="19" t="s">
        <v>20</v>
      </c>
      <c r="E1249" s="23">
        <v>262.0</v>
      </c>
      <c r="F1249" s="18">
        <f>E1249* 0.686268801552644</f>
        <v>179.802426</v>
      </c>
      <c r="G1249" s="18">
        <f>E1249* 0.196991751576904</f>
        <v>51.61183891</v>
      </c>
      <c r="H1249" s="18">
        <f>E1249* 0.116642406598738</f>
        <v>30.56031053</v>
      </c>
    </row>
    <row r="1250" ht="15.75" hidden="1" customHeight="1">
      <c r="A1250" s="20" t="s">
        <v>105</v>
      </c>
      <c r="B1250" s="47" t="s">
        <v>116</v>
      </c>
      <c r="C1250" s="47"/>
      <c r="D1250" s="19" t="s">
        <v>21</v>
      </c>
      <c r="E1250" s="23">
        <v>486.0</v>
      </c>
      <c r="F1250" s="18">
        <f>E1250* 0.999513766486355</f>
        <v>485.7636905</v>
      </c>
      <c r="G1250" s="18">
        <f>E1250* 0.0000243116756822464</f>
        <v>0.01181547438</v>
      </c>
      <c r="H1250" s="18">
        <f>E1250* 0.00034036345955145</f>
        <v>0.1654166413</v>
      </c>
    </row>
    <row r="1251" ht="15.75" hidden="1" customHeight="1">
      <c r="A1251" s="20" t="s">
        <v>105</v>
      </c>
      <c r="B1251" s="47" t="s">
        <v>116</v>
      </c>
      <c r="C1251" s="47"/>
      <c r="D1251" s="19" t="s">
        <v>37</v>
      </c>
      <c r="E1251" s="23">
        <v>1.0</v>
      </c>
      <c r="F1251" s="20">
        <v>0.0</v>
      </c>
      <c r="G1251" s="24">
        <f>E1251</f>
        <v>1</v>
      </c>
      <c r="H1251" s="20">
        <v>0.0</v>
      </c>
    </row>
    <row r="1252" ht="15.75" hidden="1" customHeight="1">
      <c r="A1252" s="20" t="s">
        <v>105</v>
      </c>
      <c r="B1252" s="47" t="s">
        <v>116</v>
      </c>
      <c r="C1252" s="47"/>
      <c r="D1252" s="19" t="s">
        <v>28</v>
      </c>
      <c r="E1252" s="23">
        <v>58.0</v>
      </c>
      <c r="F1252" s="18">
        <f>E1252* 0.00094876660341556</f>
        <v>0.055028463</v>
      </c>
      <c r="G1252" s="18">
        <f>E1252* 0.999051233396584</f>
        <v>57.94497154</v>
      </c>
      <c r="H1252" s="20">
        <v>0.0</v>
      </c>
    </row>
    <row r="1253" ht="15.75" hidden="1" customHeight="1">
      <c r="A1253" s="20" t="s">
        <v>105</v>
      </c>
      <c r="B1253" s="47" t="s">
        <v>116</v>
      </c>
      <c r="C1253" s="47"/>
      <c r="D1253" s="19" t="s">
        <v>12</v>
      </c>
      <c r="E1253" s="23">
        <v>1335.0</v>
      </c>
      <c r="F1253" s="18">
        <f>E1253* 0.843786808009423</f>
        <v>1126.455389</v>
      </c>
      <c r="G1253" s="18">
        <f>E1253* 0.0740675304279545</f>
        <v>98.88015312</v>
      </c>
      <c r="H1253" s="18">
        <f>E1253* 0.0820965842167256</f>
        <v>109.5989399</v>
      </c>
    </row>
    <row r="1254" ht="15.75" hidden="1" customHeight="1">
      <c r="A1254" s="20" t="s">
        <v>105</v>
      </c>
      <c r="B1254" s="20"/>
      <c r="C1254" s="20"/>
      <c r="D1254" s="46"/>
      <c r="E1254" s="35"/>
    </row>
    <row r="1255" ht="15.75" hidden="1" customHeight="1">
      <c r="A1255" s="20" t="s">
        <v>105</v>
      </c>
      <c r="B1255" s="47" t="s">
        <v>117</v>
      </c>
      <c r="C1255" s="12" t="str">
        <f>B1255&amp;"_"&amp;A1255</f>
        <v>Cocapata_Cochabamba</v>
      </c>
      <c r="D1255" s="20"/>
      <c r="E1255" s="45">
        <v>640.0</v>
      </c>
      <c r="F1255" s="14">
        <f t="shared" ref="F1255:H1255" si="110">SUM(F1256:F1267)</f>
        <v>440.5355675</v>
      </c>
      <c r="G1255" s="14">
        <f t="shared" si="110"/>
        <v>182.5031609</v>
      </c>
      <c r="H1255" s="14">
        <f t="shared" si="110"/>
        <v>16.87472866</v>
      </c>
    </row>
    <row r="1256" ht="15.75" hidden="1" customHeight="1">
      <c r="A1256" s="20" t="s">
        <v>105</v>
      </c>
      <c r="B1256" s="47" t="s">
        <v>117</v>
      </c>
      <c r="C1256" s="47"/>
      <c r="D1256" s="29" t="s">
        <v>422</v>
      </c>
      <c r="E1256" s="23">
        <v>9.0</v>
      </c>
      <c r="F1256" s="20">
        <v>0.0</v>
      </c>
      <c r="G1256" s="24">
        <f>E1256</f>
        <v>9</v>
      </c>
      <c r="H1256" s="20">
        <v>0.0</v>
      </c>
    </row>
    <row r="1257" ht="15.75" hidden="1" customHeight="1">
      <c r="A1257" s="20" t="s">
        <v>105</v>
      </c>
      <c r="B1257" s="47" t="s">
        <v>117</v>
      </c>
      <c r="C1257" s="47"/>
      <c r="D1257" s="19" t="s">
        <v>15</v>
      </c>
      <c r="E1257" s="23">
        <v>10.0</v>
      </c>
      <c r="F1257" s="18">
        <f>E1257* 0.932775698199239</f>
        <v>9.327756982</v>
      </c>
      <c r="G1257" s="18">
        <f>E1257* 0.00808724987291465</f>
        <v>0.08087249873</v>
      </c>
      <c r="H1257" s="18">
        <f>E1257* 0.0590600305004852</f>
        <v>0.590600305</v>
      </c>
    </row>
    <row r="1258" ht="15.75" hidden="1" customHeight="1">
      <c r="A1258" s="20" t="s">
        <v>105</v>
      </c>
      <c r="B1258" s="47" t="s">
        <v>117</v>
      </c>
      <c r="C1258" s="47"/>
      <c r="D1258" s="29" t="s">
        <v>423</v>
      </c>
      <c r="E1258" s="23">
        <v>23.0</v>
      </c>
      <c r="F1258" s="18">
        <f>E1258* 0.0803212851405623</f>
        <v>1.847389558</v>
      </c>
      <c r="G1258" s="18">
        <f>E1258* 0.913367756741251</f>
        <v>21.00745841</v>
      </c>
      <c r="H1258" s="18">
        <f>E1258* 0.0057372346528973</f>
        <v>0.131956397</v>
      </c>
    </row>
    <row r="1259" ht="15.75" hidden="1" customHeight="1">
      <c r="A1259" s="20" t="s">
        <v>105</v>
      </c>
      <c r="B1259" s="47" t="s">
        <v>117</v>
      </c>
      <c r="C1259" s="47"/>
      <c r="D1259" s="19" t="s">
        <v>11</v>
      </c>
      <c r="E1259" s="23">
        <v>89.0</v>
      </c>
      <c r="F1259" s="18">
        <f>E1259* 0.150611071171819</f>
        <v>13.40438533</v>
      </c>
      <c r="G1259" s="18">
        <f>E1259* 0.847699496764917</f>
        <v>75.44525521</v>
      </c>
      <c r="H1259" s="18">
        <f>E1259* 0.00136592379583034</f>
        <v>0.1215672178</v>
      </c>
    </row>
    <row r="1260" ht="15.75" hidden="1" customHeight="1">
      <c r="A1260" s="20" t="s">
        <v>105</v>
      </c>
      <c r="B1260" s="47" t="s">
        <v>117</v>
      </c>
      <c r="C1260" s="47"/>
      <c r="D1260" s="19" t="s">
        <v>17</v>
      </c>
      <c r="E1260" s="23">
        <v>35.0</v>
      </c>
      <c r="F1260" s="18">
        <f>E1260* 0.840430229624022</f>
        <v>29.41505804</v>
      </c>
      <c r="G1260" s="18">
        <f>E1260* 0.0777504415846581</f>
        <v>2.721265455</v>
      </c>
      <c r="H1260" s="18">
        <f>E1260* 0.0817877870300278</f>
        <v>2.862572546</v>
      </c>
    </row>
    <row r="1261" ht="15.75" hidden="1" customHeight="1">
      <c r="A1261" s="20" t="s">
        <v>105</v>
      </c>
      <c r="B1261" s="47" t="s">
        <v>117</v>
      </c>
      <c r="C1261" s="47"/>
      <c r="D1261" s="19" t="s">
        <v>31</v>
      </c>
      <c r="E1261" s="23">
        <v>5.0</v>
      </c>
      <c r="F1261" s="18">
        <f>E1261* 0.901975683890578</f>
        <v>4.509878419</v>
      </c>
      <c r="G1261" s="18">
        <f>E1261* 0.0364741641337386</f>
        <v>0.1823708207</v>
      </c>
      <c r="H1261" s="18">
        <f>E1261* 0.0615501519756839</f>
        <v>0.3077507599</v>
      </c>
    </row>
    <row r="1262" ht="15.75" hidden="1" customHeight="1">
      <c r="A1262" s="20" t="s">
        <v>105</v>
      </c>
      <c r="B1262" s="47" t="s">
        <v>117</v>
      </c>
      <c r="C1262" s="47"/>
      <c r="D1262" s="19" t="s">
        <v>18</v>
      </c>
      <c r="E1262" s="23">
        <v>9.0</v>
      </c>
      <c r="F1262" s="18">
        <f>E1262* 0.932934264493959</f>
        <v>8.39640838</v>
      </c>
      <c r="G1262" s="18">
        <f>E1262* 0.0585300964416362</f>
        <v>0.526770868</v>
      </c>
      <c r="H1262" s="18">
        <f>E1262* 0.00853563906440528</f>
        <v>0.07682075158</v>
      </c>
    </row>
    <row r="1263" ht="15.75" hidden="1" customHeight="1">
      <c r="A1263" s="20" t="s">
        <v>105</v>
      </c>
      <c r="B1263" s="47" t="s">
        <v>117</v>
      </c>
      <c r="C1263" s="47"/>
      <c r="D1263" s="19" t="s">
        <v>19</v>
      </c>
      <c r="E1263" s="23">
        <v>12.0</v>
      </c>
      <c r="F1263" s="18">
        <f>E1263* 0.290681971640783</f>
        <v>3.48818366</v>
      </c>
      <c r="G1263" s="18">
        <f>E1263* 0.694125590817016</f>
        <v>8.32950709</v>
      </c>
      <c r="H1263" s="18">
        <f>E1263* 0.0151924375422012</f>
        <v>0.1823092505</v>
      </c>
    </row>
    <row r="1264" ht="15.75" hidden="1" customHeight="1">
      <c r="A1264" s="20" t="s">
        <v>105</v>
      </c>
      <c r="B1264" s="47" t="s">
        <v>117</v>
      </c>
      <c r="C1264" s="47"/>
      <c r="D1264" s="19" t="s">
        <v>20</v>
      </c>
      <c r="E1264" s="23">
        <v>65.0</v>
      </c>
      <c r="F1264" s="18">
        <f>E1264* 0.686268801552644</f>
        <v>44.6074721</v>
      </c>
      <c r="G1264" s="18">
        <f>E1264* 0.196991751576904</f>
        <v>12.80446385</v>
      </c>
      <c r="H1264" s="18">
        <f>E1264* 0.116642406598738</f>
        <v>7.581756429</v>
      </c>
    </row>
    <row r="1265" ht="15.75" hidden="1" customHeight="1">
      <c r="A1265" s="20" t="s">
        <v>105</v>
      </c>
      <c r="B1265" s="47" t="s">
        <v>117</v>
      </c>
      <c r="C1265" s="47"/>
      <c r="D1265" s="19" t="s">
        <v>21</v>
      </c>
      <c r="E1265" s="23">
        <v>275.0</v>
      </c>
      <c r="F1265" s="18">
        <f>E1265* 0.999513766486355</f>
        <v>274.8662858</v>
      </c>
      <c r="G1265" s="18">
        <f>E1265* 0.0000243116756822464</f>
        <v>0.006685710813</v>
      </c>
      <c r="H1265" s="18">
        <f>E1265* 0.00034036345955145</f>
        <v>0.09359995138</v>
      </c>
    </row>
    <row r="1266" ht="15.75" hidden="1" customHeight="1">
      <c r="A1266" s="20" t="s">
        <v>105</v>
      </c>
      <c r="B1266" s="47" t="s">
        <v>117</v>
      </c>
      <c r="C1266" s="47"/>
      <c r="D1266" s="19" t="s">
        <v>28</v>
      </c>
      <c r="E1266" s="23">
        <v>48.0</v>
      </c>
      <c r="F1266" s="18">
        <f>E1266* 0.00094876660341556</f>
        <v>0.04554079696</v>
      </c>
      <c r="G1266" s="18">
        <f>E1266* 0.999051233396584</f>
        <v>47.9544592</v>
      </c>
      <c r="H1266" s="20">
        <v>0.0</v>
      </c>
    </row>
    <row r="1267" ht="15.75" hidden="1" customHeight="1">
      <c r="A1267" s="20" t="s">
        <v>105</v>
      </c>
      <c r="B1267" s="47" t="s">
        <v>117</v>
      </c>
      <c r="C1267" s="47"/>
      <c r="D1267" s="19" t="s">
        <v>12</v>
      </c>
      <c r="E1267" s="23">
        <v>60.0</v>
      </c>
      <c r="F1267" s="18">
        <f>E1267* 0.843786808009423</f>
        <v>50.62720848</v>
      </c>
      <c r="G1267" s="18">
        <f>E1267* 0.0740675304279545</f>
        <v>4.444051826</v>
      </c>
      <c r="H1267" s="18">
        <f>E1267* 0.0820965842167256</f>
        <v>4.925795053</v>
      </c>
    </row>
    <row r="1268" ht="15.75" hidden="1" customHeight="1">
      <c r="A1268" s="20" t="s">
        <v>105</v>
      </c>
      <c r="B1268" s="20"/>
      <c r="C1268" s="20"/>
      <c r="D1268" s="46"/>
      <c r="E1268" s="35"/>
    </row>
    <row r="1269" ht="15.75" hidden="1" customHeight="1">
      <c r="A1269" s="20" t="s">
        <v>105</v>
      </c>
      <c r="B1269" s="47" t="s">
        <v>105</v>
      </c>
      <c r="C1269" s="12" t="str">
        <f>B1269&amp;"_"&amp;A1269</f>
        <v>Cochabamba_Cochabamba</v>
      </c>
      <c r="D1269" s="20"/>
      <c r="E1269" s="45">
        <v>305332.0</v>
      </c>
      <c r="F1269" s="14">
        <f t="shared" ref="F1269:H1269" si="111">SUM(F1270:F1285)</f>
        <v>274949.6018</v>
      </c>
      <c r="G1269" s="14">
        <f t="shared" si="111"/>
        <v>18685.12838</v>
      </c>
      <c r="H1269" s="14">
        <f t="shared" si="111"/>
        <v>11669.07894</v>
      </c>
    </row>
    <row r="1270" ht="15.75" hidden="1" customHeight="1">
      <c r="A1270" s="20" t="s">
        <v>105</v>
      </c>
      <c r="B1270" s="47" t="s">
        <v>105</v>
      </c>
      <c r="C1270" s="47"/>
      <c r="D1270" s="29" t="s">
        <v>424</v>
      </c>
      <c r="E1270" s="23">
        <v>75.0</v>
      </c>
      <c r="F1270" s="20">
        <v>0.0</v>
      </c>
      <c r="G1270" s="24">
        <f>E1270</f>
        <v>75</v>
      </c>
      <c r="H1270" s="20">
        <v>0.0</v>
      </c>
    </row>
    <row r="1271" ht="15.75" hidden="1" customHeight="1">
      <c r="A1271" s="20" t="s">
        <v>105</v>
      </c>
      <c r="B1271" s="47" t="s">
        <v>105</v>
      </c>
      <c r="C1271" s="47"/>
      <c r="D1271" s="19" t="s">
        <v>15</v>
      </c>
      <c r="E1271" s="23">
        <v>54591.0</v>
      </c>
      <c r="F1271" s="18">
        <f>E1271* 0.932775698199239</f>
        <v>50921.15814</v>
      </c>
      <c r="G1271" s="18">
        <f>E1271* 0.00808724987291465</f>
        <v>441.4910578</v>
      </c>
      <c r="H1271" s="18">
        <f>E1271* 0.0590600305004852</f>
        <v>3224.146125</v>
      </c>
    </row>
    <row r="1272" ht="15.75" hidden="1" customHeight="1">
      <c r="A1272" s="20" t="s">
        <v>105</v>
      </c>
      <c r="B1272" s="47" t="s">
        <v>105</v>
      </c>
      <c r="C1272" s="47"/>
      <c r="D1272" s="29" t="s">
        <v>425</v>
      </c>
      <c r="E1272" s="23">
        <v>587.0</v>
      </c>
      <c r="F1272" s="18">
        <f>E1272* 0.0803212851405623</f>
        <v>47.14859438</v>
      </c>
      <c r="G1272" s="18">
        <f>E1272* 0.913367756741251</f>
        <v>536.1468732</v>
      </c>
      <c r="H1272" s="18">
        <f>E1272* 0.0057372346528973</f>
        <v>3.367756741</v>
      </c>
    </row>
    <row r="1273" ht="15.75" hidden="1" customHeight="1">
      <c r="A1273" s="20" t="s">
        <v>105</v>
      </c>
      <c r="B1273" s="47" t="s">
        <v>105</v>
      </c>
      <c r="C1273" s="47"/>
      <c r="D1273" s="19" t="s">
        <v>11</v>
      </c>
      <c r="E1273" s="23">
        <v>9265.0</v>
      </c>
      <c r="F1273" s="18">
        <f>E1273* 0.150611071171819</f>
        <v>1395.411574</v>
      </c>
      <c r="G1273" s="18">
        <f>E1273* 0.847699496764917</f>
        <v>7853.935838</v>
      </c>
      <c r="H1273" s="18">
        <f>E1273* 0.00136592379583034</f>
        <v>12.65528397</v>
      </c>
    </row>
    <row r="1274" ht="15.75" hidden="1" customHeight="1">
      <c r="A1274" s="20" t="s">
        <v>105</v>
      </c>
      <c r="B1274" s="47" t="s">
        <v>105</v>
      </c>
      <c r="C1274" s="47"/>
      <c r="D1274" s="19" t="s">
        <v>17</v>
      </c>
      <c r="E1274" s="23">
        <v>24701.0</v>
      </c>
      <c r="F1274" s="18">
        <f>E1274* 0.840430229624022</f>
        <v>20759.4671</v>
      </c>
      <c r="G1274" s="18">
        <f>E1274* 0.0777504415846581</f>
        <v>1920.513658</v>
      </c>
      <c r="H1274" s="18">
        <f>E1274* 0.0817877870300278</f>
        <v>2020.240127</v>
      </c>
    </row>
    <row r="1275" ht="15.75" hidden="1" customHeight="1">
      <c r="A1275" s="20" t="s">
        <v>105</v>
      </c>
      <c r="B1275" s="47" t="s">
        <v>105</v>
      </c>
      <c r="C1275" s="47"/>
      <c r="D1275" s="19" t="s">
        <v>31</v>
      </c>
      <c r="E1275" s="23">
        <v>1505.0</v>
      </c>
      <c r="F1275" s="18">
        <f>E1275* 0.901975683890578</f>
        <v>1357.473404</v>
      </c>
      <c r="G1275" s="18">
        <f>E1275* 0.0364741641337386</f>
        <v>54.89361702</v>
      </c>
      <c r="H1275" s="18">
        <f>E1275* 0.0615501519756839</f>
        <v>92.63297872</v>
      </c>
    </row>
    <row r="1276" ht="15.75" hidden="1" customHeight="1">
      <c r="A1276" s="20" t="s">
        <v>105</v>
      </c>
      <c r="B1276" s="47" t="s">
        <v>105</v>
      </c>
      <c r="C1276" s="47"/>
      <c r="D1276" s="19" t="s">
        <v>18</v>
      </c>
      <c r="E1276" s="23">
        <v>6764.0</v>
      </c>
      <c r="F1276" s="18">
        <f>E1276* 0.932934264493959</f>
        <v>6310.367365</v>
      </c>
      <c r="G1276" s="18">
        <f>E1276* 0.0585300964416362</f>
        <v>395.8975723</v>
      </c>
      <c r="H1276" s="18">
        <f>E1276* 0.00853563906440528</f>
        <v>57.73506263</v>
      </c>
    </row>
    <row r="1277" ht="15.75" hidden="1" customHeight="1">
      <c r="A1277" s="20" t="s">
        <v>105</v>
      </c>
      <c r="B1277" s="47" t="s">
        <v>105</v>
      </c>
      <c r="C1277" s="47"/>
      <c r="D1277" s="29" t="s">
        <v>426</v>
      </c>
      <c r="E1277" s="23">
        <v>16.0</v>
      </c>
      <c r="F1277" s="20">
        <v>0.0</v>
      </c>
      <c r="G1277" s="24">
        <f>E1277</f>
        <v>16</v>
      </c>
      <c r="H1277" s="20">
        <v>0.0</v>
      </c>
    </row>
    <row r="1278" ht="15.75" hidden="1" customHeight="1">
      <c r="A1278" s="20" t="s">
        <v>105</v>
      </c>
      <c r="B1278" s="47" t="s">
        <v>105</v>
      </c>
      <c r="C1278" s="47"/>
      <c r="D1278" s="19" t="s">
        <v>19</v>
      </c>
      <c r="E1278" s="23">
        <v>1144.0</v>
      </c>
      <c r="F1278" s="18">
        <f>E1278* 0.290681971640783</f>
        <v>332.5401756</v>
      </c>
      <c r="G1278" s="18">
        <f>E1278* 0.694125590817016</f>
        <v>794.0796759</v>
      </c>
      <c r="H1278" s="18">
        <f>E1278* 0.0151924375422012</f>
        <v>17.38014855</v>
      </c>
    </row>
    <row r="1279" ht="15.75" hidden="1" customHeight="1">
      <c r="A1279" s="20" t="s">
        <v>105</v>
      </c>
      <c r="B1279" s="47" t="s">
        <v>105</v>
      </c>
      <c r="C1279" s="47"/>
      <c r="D1279" s="19" t="s">
        <v>20</v>
      </c>
      <c r="E1279" s="23">
        <v>4158.0</v>
      </c>
      <c r="F1279" s="18">
        <f>E1279* 0.686268801552644</f>
        <v>2853.505677</v>
      </c>
      <c r="G1279" s="18">
        <f>E1279* 0.196991751576904</f>
        <v>819.0917031</v>
      </c>
      <c r="H1279" s="18">
        <f>E1279* 0.116642406598738</f>
        <v>484.9991266</v>
      </c>
    </row>
    <row r="1280" ht="15.75" hidden="1" customHeight="1">
      <c r="A1280" s="20" t="s">
        <v>105</v>
      </c>
      <c r="B1280" s="47" t="s">
        <v>105</v>
      </c>
      <c r="C1280" s="47"/>
      <c r="D1280" s="19" t="s">
        <v>21</v>
      </c>
      <c r="E1280" s="23">
        <v>132081.0</v>
      </c>
      <c r="F1280" s="18">
        <f>E1280* 0.999513766486355</f>
        <v>132016.7778</v>
      </c>
      <c r="G1280" s="18">
        <f>E1280* 0.0000243116756822464</f>
        <v>3.211110436</v>
      </c>
      <c r="H1280" s="18">
        <f>E1280* 0.00034036345955145</f>
        <v>44.9555461</v>
      </c>
    </row>
    <row r="1281" ht="15.75" hidden="1" customHeight="1">
      <c r="A1281" s="20" t="s">
        <v>105</v>
      </c>
      <c r="B1281" s="47" t="s">
        <v>105</v>
      </c>
      <c r="C1281" s="47"/>
      <c r="D1281" s="19" t="s">
        <v>36</v>
      </c>
      <c r="E1281" s="23">
        <v>258.0</v>
      </c>
      <c r="F1281" s="24">
        <f>E1281</f>
        <v>258</v>
      </c>
      <c r="G1281" s="20">
        <v>0.0</v>
      </c>
      <c r="H1281" s="20">
        <v>0.0</v>
      </c>
    </row>
    <row r="1282" ht="15.75" hidden="1" customHeight="1">
      <c r="A1282" s="20" t="s">
        <v>105</v>
      </c>
      <c r="B1282" s="47" t="s">
        <v>105</v>
      </c>
      <c r="C1282" s="47"/>
      <c r="D1282" s="19" t="s">
        <v>37</v>
      </c>
      <c r="E1282" s="23">
        <v>13.0</v>
      </c>
      <c r="F1282" s="20">
        <v>0.0</v>
      </c>
      <c r="G1282" s="24">
        <f>E1282</f>
        <v>13</v>
      </c>
      <c r="H1282" s="20">
        <v>0.0</v>
      </c>
    </row>
    <row r="1283" ht="15.75" hidden="1" customHeight="1">
      <c r="A1283" s="20" t="s">
        <v>105</v>
      </c>
      <c r="B1283" s="47" t="s">
        <v>105</v>
      </c>
      <c r="C1283" s="47"/>
      <c r="D1283" s="19" t="s">
        <v>28</v>
      </c>
      <c r="E1283" s="23">
        <v>597.0</v>
      </c>
      <c r="F1283" s="18">
        <f>E1283* 0.00094876660341556</f>
        <v>0.5664136622</v>
      </c>
      <c r="G1283" s="18">
        <f>E1283* 0.999051233396584</f>
        <v>596.4335863</v>
      </c>
      <c r="H1283" s="20">
        <v>0.0</v>
      </c>
    </row>
    <row r="1284" ht="15.75" hidden="1" customHeight="1">
      <c r="A1284" s="20" t="s">
        <v>105</v>
      </c>
      <c r="B1284" s="47" t="s">
        <v>105</v>
      </c>
      <c r="C1284" s="47"/>
      <c r="D1284" s="19" t="s">
        <v>84</v>
      </c>
      <c r="E1284" s="23">
        <v>13.0</v>
      </c>
      <c r="F1284" s="20">
        <v>0.0</v>
      </c>
      <c r="G1284" s="24">
        <f>E1284</f>
        <v>13</v>
      </c>
      <c r="H1284" s="20">
        <v>0.0</v>
      </c>
    </row>
    <row r="1285" ht="15.75" hidden="1" customHeight="1">
      <c r="A1285" s="20" t="s">
        <v>105</v>
      </c>
      <c r="B1285" s="47" t="s">
        <v>105</v>
      </c>
      <c r="C1285" s="47"/>
      <c r="D1285" s="19" t="s">
        <v>12</v>
      </c>
      <c r="E1285" s="23">
        <v>69564.0</v>
      </c>
      <c r="F1285" s="18">
        <f>E1285* 0.843786808009423</f>
        <v>58697.18551</v>
      </c>
      <c r="G1285" s="18">
        <f>E1285* 0.0740675304279545</f>
        <v>5152.433687</v>
      </c>
      <c r="H1285" s="18">
        <f>E1285* 0.0820965842167256</f>
        <v>5710.966784</v>
      </c>
    </row>
    <row r="1286" ht="15.75" hidden="1" customHeight="1">
      <c r="A1286" s="20" t="s">
        <v>105</v>
      </c>
      <c r="B1286" s="20"/>
      <c r="C1286" s="20"/>
      <c r="D1286" s="46"/>
      <c r="E1286" s="35"/>
    </row>
    <row r="1287" ht="15.75" hidden="1" customHeight="1">
      <c r="A1287" s="20" t="s">
        <v>105</v>
      </c>
      <c r="B1287" s="47" t="s">
        <v>118</v>
      </c>
      <c r="C1287" s="12" t="str">
        <f>B1287&amp;"_"&amp;A1287</f>
        <v>Colcapirhua_Cochabamba</v>
      </c>
      <c r="D1287" s="20"/>
      <c r="E1287" s="45">
        <v>13085.0</v>
      </c>
      <c r="F1287" s="14">
        <f t="shared" ref="F1287:H1287" si="112">SUM(F1288:F1302)</f>
        <v>9872.535221</v>
      </c>
      <c r="G1287" s="14">
        <f t="shared" si="112"/>
        <v>2462.935189</v>
      </c>
      <c r="H1287" s="14">
        <f t="shared" si="112"/>
        <v>748.2417946</v>
      </c>
    </row>
    <row r="1288" ht="15.75" hidden="1" customHeight="1">
      <c r="A1288" s="20" t="s">
        <v>105</v>
      </c>
      <c r="B1288" s="47" t="s">
        <v>118</v>
      </c>
      <c r="C1288" s="47"/>
      <c r="D1288" s="29" t="s">
        <v>427</v>
      </c>
      <c r="E1288" s="23">
        <v>5.0</v>
      </c>
      <c r="F1288" s="20">
        <v>0.0</v>
      </c>
      <c r="G1288" s="24">
        <f>E1288</f>
        <v>5</v>
      </c>
      <c r="H1288" s="20">
        <v>0.0</v>
      </c>
    </row>
    <row r="1289" ht="15.75" hidden="1" customHeight="1">
      <c r="A1289" s="20" t="s">
        <v>105</v>
      </c>
      <c r="B1289" s="47" t="s">
        <v>118</v>
      </c>
      <c r="C1289" s="47"/>
      <c r="D1289" s="19" t="s">
        <v>15</v>
      </c>
      <c r="E1289" s="23">
        <v>1795.0</v>
      </c>
      <c r="F1289" s="18">
        <f>E1289* 0.932775698199239</f>
        <v>1674.332378</v>
      </c>
      <c r="G1289" s="18">
        <f>E1289* 0.00808724987291465</f>
        <v>14.51661352</v>
      </c>
      <c r="H1289" s="18">
        <f>E1289* 0.0590600305004852</f>
        <v>106.0127547</v>
      </c>
    </row>
    <row r="1290" ht="15.75" hidden="1" customHeight="1">
      <c r="A1290" s="20" t="s">
        <v>105</v>
      </c>
      <c r="B1290" s="47" t="s">
        <v>118</v>
      </c>
      <c r="C1290" s="47"/>
      <c r="D1290" s="29" t="s">
        <v>428</v>
      </c>
      <c r="E1290" s="23">
        <v>38.0</v>
      </c>
      <c r="F1290" s="18">
        <f>E1290* 0.0803212851405623</f>
        <v>3.052208835</v>
      </c>
      <c r="G1290" s="18">
        <f>E1290* 0.913367756741251</f>
        <v>34.70797476</v>
      </c>
      <c r="H1290" s="18">
        <f>E1290* 0.0057372346528973</f>
        <v>0.2180149168</v>
      </c>
    </row>
    <row r="1291" ht="15.75" hidden="1" customHeight="1">
      <c r="A1291" s="20" t="s">
        <v>105</v>
      </c>
      <c r="B1291" s="47" t="s">
        <v>118</v>
      </c>
      <c r="C1291" s="47"/>
      <c r="D1291" s="19" t="s">
        <v>11</v>
      </c>
      <c r="E1291" s="23">
        <v>1455.0</v>
      </c>
      <c r="F1291" s="18">
        <f>E1291* 0.150611071171819</f>
        <v>219.1391086</v>
      </c>
      <c r="G1291" s="18">
        <f>E1291* 0.847699496764917</f>
        <v>1233.402768</v>
      </c>
      <c r="H1291" s="18">
        <f>E1291* 0.00136592379583034</f>
        <v>1.987419123</v>
      </c>
    </row>
    <row r="1292" ht="15.75" hidden="1" customHeight="1">
      <c r="A1292" s="20" t="s">
        <v>105</v>
      </c>
      <c r="B1292" s="47" t="s">
        <v>118</v>
      </c>
      <c r="C1292" s="47"/>
      <c r="D1292" s="19" t="s">
        <v>17</v>
      </c>
      <c r="E1292" s="23">
        <v>1415.0</v>
      </c>
      <c r="F1292" s="18">
        <f>E1292* 0.840430229624022</f>
        <v>1189.208775</v>
      </c>
      <c r="G1292" s="18">
        <f>E1292* 0.0777504415846581</f>
        <v>110.0168748</v>
      </c>
      <c r="H1292" s="18">
        <f>E1292* 0.0817877870300278</f>
        <v>115.7297186</v>
      </c>
    </row>
    <row r="1293" ht="15.75" hidden="1" customHeight="1">
      <c r="A1293" s="20" t="s">
        <v>105</v>
      </c>
      <c r="B1293" s="47" t="s">
        <v>118</v>
      </c>
      <c r="C1293" s="47"/>
      <c r="D1293" s="19" t="s">
        <v>31</v>
      </c>
      <c r="E1293" s="23">
        <v>97.0</v>
      </c>
      <c r="F1293" s="18">
        <f>E1293* 0.901975683890578</f>
        <v>87.49164134</v>
      </c>
      <c r="G1293" s="18">
        <f>E1293* 0.0364741641337386</f>
        <v>3.537993921</v>
      </c>
      <c r="H1293" s="18">
        <f>E1293* 0.0615501519756839</f>
        <v>5.970364742</v>
      </c>
    </row>
    <row r="1294" ht="15.75" hidden="1" customHeight="1">
      <c r="A1294" s="20" t="s">
        <v>105</v>
      </c>
      <c r="B1294" s="47" t="s">
        <v>118</v>
      </c>
      <c r="C1294" s="47"/>
      <c r="D1294" s="19" t="s">
        <v>18</v>
      </c>
      <c r="E1294" s="23">
        <v>225.0</v>
      </c>
      <c r="F1294" s="18">
        <f>E1294* 0.932934264493959</f>
        <v>209.9102095</v>
      </c>
      <c r="G1294" s="18">
        <f>E1294* 0.0585300964416362</f>
        <v>13.1692717</v>
      </c>
      <c r="H1294" s="18">
        <f>E1294* 0.00853563906440528</f>
        <v>1.920518789</v>
      </c>
    </row>
    <row r="1295" ht="15.75" hidden="1" customHeight="1">
      <c r="A1295" s="20" t="s">
        <v>105</v>
      </c>
      <c r="B1295" s="47" t="s">
        <v>118</v>
      </c>
      <c r="C1295" s="47"/>
      <c r="D1295" s="29" t="s">
        <v>429</v>
      </c>
      <c r="E1295" s="23">
        <v>6.0</v>
      </c>
      <c r="F1295" s="20">
        <v>0.0</v>
      </c>
      <c r="G1295" s="24">
        <f>E1295</f>
        <v>6</v>
      </c>
      <c r="H1295" s="20">
        <v>0.0</v>
      </c>
    </row>
    <row r="1296" ht="15.75" hidden="1" customHeight="1">
      <c r="A1296" s="20" t="s">
        <v>105</v>
      </c>
      <c r="B1296" s="47" t="s">
        <v>118</v>
      </c>
      <c r="C1296" s="47"/>
      <c r="D1296" s="19" t="s">
        <v>19</v>
      </c>
      <c r="E1296" s="23">
        <v>64.0</v>
      </c>
      <c r="F1296" s="18">
        <f>E1296* 0.290681971640783</f>
        <v>18.60364619</v>
      </c>
      <c r="G1296" s="18">
        <f>E1296* 0.694125590817016</f>
        <v>44.42403781</v>
      </c>
      <c r="H1296" s="18">
        <f>E1296* 0.0151924375422012</f>
        <v>0.9723160027</v>
      </c>
    </row>
    <row r="1297" ht="15.75" hidden="1" customHeight="1">
      <c r="A1297" s="20" t="s">
        <v>105</v>
      </c>
      <c r="B1297" s="47" t="s">
        <v>118</v>
      </c>
      <c r="C1297" s="47"/>
      <c r="D1297" s="19" t="s">
        <v>20</v>
      </c>
      <c r="E1297" s="23">
        <v>1810.0</v>
      </c>
      <c r="F1297" s="18">
        <f>E1297* 0.686268801552644</f>
        <v>1242.146531</v>
      </c>
      <c r="G1297" s="18">
        <f>E1297* 0.196991751576904</f>
        <v>356.5550704</v>
      </c>
      <c r="H1297" s="18">
        <f>E1297* 0.116642406598738</f>
        <v>211.1227559</v>
      </c>
    </row>
    <row r="1298" ht="15.75" hidden="1" customHeight="1">
      <c r="A1298" s="20" t="s">
        <v>105</v>
      </c>
      <c r="B1298" s="47" t="s">
        <v>118</v>
      </c>
      <c r="C1298" s="47"/>
      <c r="D1298" s="19" t="s">
        <v>21</v>
      </c>
      <c r="E1298" s="23">
        <v>2100.0</v>
      </c>
      <c r="F1298" s="18">
        <f>E1298* 0.999513766486355</f>
        <v>2098.97891</v>
      </c>
      <c r="G1298" s="18">
        <f>E1298* 0.0000243116756822464</f>
        <v>0.05105451893</v>
      </c>
      <c r="H1298" s="18">
        <f>E1298* 0.00034036345955145</f>
        <v>0.7147632651</v>
      </c>
    </row>
    <row r="1299" ht="15.75" hidden="1" customHeight="1">
      <c r="A1299" s="20" t="s">
        <v>105</v>
      </c>
      <c r="B1299" s="47" t="s">
        <v>118</v>
      </c>
      <c r="C1299" s="47"/>
      <c r="D1299" s="19" t="s">
        <v>36</v>
      </c>
      <c r="E1299" s="23">
        <v>9.0</v>
      </c>
      <c r="F1299" s="24">
        <f>E1299</f>
        <v>9</v>
      </c>
      <c r="G1299" s="20">
        <v>0.0</v>
      </c>
      <c r="H1299" s="20">
        <v>0.0</v>
      </c>
    </row>
    <row r="1300" ht="15.75" hidden="1" customHeight="1">
      <c r="A1300" s="20" t="s">
        <v>105</v>
      </c>
      <c r="B1300" s="47" t="s">
        <v>118</v>
      </c>
      <c r="C1300" s="47"/>
      <c r="D1300" s="19" t="s">
        <v>37</v>
      </c>
      <c r="E1300" s="23">
        <v>1.0</v>
      </c>
      <c r="F1300" s="20">
        <v>0.0</v>
      </c>
      <c r="G1300" s="24">
        <f>E1300</f>
        <v>1</v>
      </c>
      <c r="H1300" s="20">
        <v>0.0</v>
      </c>
    </row>
    <row r="1301" ht="15.75" hidden="1" customHeight="1">
      <c r="A1301" s="20" t="s">
        <v>105</v>
      </c>
      <c r="B1301" s="47" t="s">
        <v>118</v>
      </c>
      <c r="C1301" s="47"/>
      <c r="D1301" s="19" t="s">
        <v>28</v>
      </c>
      <c r="E1301" s="23">
        <v>367.0</v>
      </c>
      <c r="F1301" s="18">
        <f>E1301* 0.00094876660341556</f>
        <v>0.3481973435</v>
      </c>
      <c r="G1301" s="18">
        <f>E1301* 0.999051233396584</f>
        <v>366.6518027</v>
      </c>
      <c r="H1301" s="20">
        <v>0.0</v>
      </c>
    </row>
    <row r="1302" ht="15.75" hidden="1" customHeight="1">
      <c r="A1302" s="20" t="s">
        <v>105</v>
      </c>
      <c r="B1302" s="47" t="s">
        <v>118</v>
      </c>
      <c r="C1302" s="47"/>
      <c r="D1302" s="19" t="s">
        <v>12</v>
      </c>
      <c r="E1302" s="23">
        <v>3698.0</v>
      </c>
      <c r="F1302" s="18">
        <f>E1302* 0.843786808009423</f>
        <v>3120.323616</v>
      </c>
      <c r="G1302" s="18">
        <f>E1302* 0.0740675304279545</f>
        <v>273.9017275</v>
      </c>
      <c r="H1302" s="18">
        <f>E1302* 0.0820965842167256</f>
        <v>303.5931684</v>
      </c>
    </row>
    <row r="1303" ht="15.75" hidden="1" customHeight="1">
      <c r="A1303" s="20" t="s">
        <v>105</v>
      </c>
      <c r="B1303" s="20"/>
      <c r="C1303" s="20"/>
      <c r="D1303" s="46"/>
      <c r="E1303" s="35"/>
    </row>
    <row r="1304" ht="15.75" hidden="1" customHeight="1">
      <c r="A1304" s="20" t="s">
        <v>105</v>
      </c>
      <c r="B1304" s="47" t="s">
        <v>119</v>
      </c>
      <c r="C1304" s="12" t="str">
        <f>B1304&amp;"_"&amp;A1304</f>
        <v>Colomi_Cochabamba</v>
      </c>
      <c r="D1304" s="20"/>
      <c r="E1304" s="45">
        <v>1332.0</v>
      </c>
      <c r="F1304" s="14">
        <f t="shared" ref="F1304:H1304" si="113">SUM(F1305:F1317)</f>
        <v>1055.973055</v>
      </c>
      <c r="G1304" s="14">
        <f t="shared" si="113"/>
        <v>231.8503832</v>
      </c>
      <c r="H1304" s="14">
        <f t="shared" si="113"/>
        <v>44.01706605</v>
      </c>
    </row>
    <row r="1305" ht="15.75" hidden="1" customHeight="1">
      <c r="A1305" s="20" t="s">
        <v>105</v>
      </c>
      <c r="B1305" s="47" t="s">
        <v>119</v>
      </c>
      <c r="C1305" s="47"/>
      <c r="D1305" s="29" t="s">
        <v>430</v>
      </c>
      <c r="E1305" s="23">
        <v>0.0</v>
      </c>
      <c r="F1305" s="20">
        <v>0.0</v>
      </c>
      <c r="G1305" s="24">
        <f>E1305</f>
        <v>0</v>
      </c>
      <c r="H1305" s="20">
        <v>0.0</v>
      </c>
    </row>
    <row r="1306" ht="15.75" hidden="1" customHeight="1">
      <c r="A1306" s="20" t="s">
        <v>105</v>
      </c>
      <c r="B1306" s="47" t="s">
        <v>119</v>
      </c>
      <c r="C1306" s="47"/>
      <c r="D1306" s="19" t="s">
        <v>15</v>
      </c>
      <c r="E1306" s="23">
        <v>102.0</v>
      </c>
      <c r="F1306" s="18">
        <f>E1306* 0.932775698199239</f>
        <v>95.14312122</v>
      </c>
      <c r="G1306" s="18">
        <f>E1306* 0.00808724987291465</f>
        <v>0.824899487</v>
      </c>
      <c r="H1306" s="18">
        <f>E1306* 0.0590600305004852</f>
        <v>6.024123111</v>
      </c>
    </row>
    <row r="1307" ht="15.75" hidden="1" customHeight="1">
      <c r="A1307" s="20" t="s">
        <v>105</v>
      </c>
      <c r="B1307" s="47" t="s">
        <v>119</v>
      </c>
      <c r="C1307" s="47"/>
      <c r="D1307" s="29" t="s">
        <v>431</v>
      </c>
      <c r="E1307" s="23">
        <v>4.0</v>
      </c>
      <c r="F1307" s="18">
        <f>E1307* 0.0803212851405623</f>
        <v>0.3212851406</v>
      </c>
      <c r="G1307" s="18">
        <f>E1307* 0.913367756741251</f>
        <v>3.653471027</v>
      </c>
      <c r="H1307" s="18">
        <f>E1307* 0.0057372346528973</f>
        <v>0.02294893861</v>
      </c>
    </row>
    <row r="1308" ht="15.75" hidden="1" customHeight="1">
      <c r="A1308" s="20" t="s">
        <v>105</v>
      </c>
      <c r="B1308" s="47" t="s">
        <v>119</v>
      </c>
      <c r="C1308" s="47"/>
      <c r="D1308" s="19" t="s">
        <v>11</v>
      </c>
      <c r="E1308" s="23">
        <v>192.0</v>
      </c>
      <c r="F1308" s="18">
        <f>E1308* 0.150611071171819</f>
        <v>28.91732566</v>
      </c>
      <c r="G1308" s="18">
        <f>E1308* 0.847699496764917</f>
        <v>162.7583034</v>
      </c>
      <c r="H1308" s="18">
        <f>E1308* 0.00136592379583034</f>
        <v>0.2622573688</v>
      </c>
    </row>
    <row r="1309" ht="15.75" hidden="1" customHeight="1">
      <c r="A1309" s="20" t="s">
        <v>105</v>
      </c>
      <c r="B1309" s="47" t="s">
        <v>119</v>
      </c>
      <c r="C1309" s="47"/>
      <c r="D1309" s="19" t="s">
        <v>17</v>
      </c>
      <c r="E1309" s="23">
        <v>98.0</v>
      </c>
      <c r="F1309" s="18">
        <f>E1309* 0.840430229624022</f>
        <v>82.3621625</v>
      </c>
      <c r="G1309" s="18">
        <f>E1309* 0.0777504415846581</f>
        <v>7.619543275</v>
      </c>
      <c r="H1309" s="18">
        <f>E1309* 0.0817877870300278</f>
        <v>8.015203129</v>
      </c>
    </row>
    <row r="1310" ht="15.75" hidden="1" customHeight="1">
      <c r="A1310" s="20" t="s">
        <v>105</v>
      </c>
      <c r="B1310" s="47" t="s">
        <v>119</v>
      </c>
      <c r="C1310" s="47"/>
      <c r="D1310" s="19" t="s">
        <v>31</v>
      </c>
      <c r="E1310" s="23">
        <v>5.0</v>
      </c>
      <c r="F1310" s="18">
        <f>E1310* 0.901975683890578</f>
        <v>4.509878419</v>
      </c>
      <c r="G1310" s="18">
        <f>E1310* 0.0364741641337386</f>
        <v>0.1823708207</v>
      </c>
      <c r="H1310" s="18">
        <f>E1310* 0.0615501519756839</f>
        <v>0.3077507599</v>
      </c>
    </row>
    <row r="1311" ht="15.75" hidden="1" customHeight="1">
      <c r="A1311" s="20" t="s">
        <v>105</v>
      </c>
      <c r="B1311" s="47" t="s">
        <v>119</v>
      </c>
      <c r="C1311" s="47"/>
      <c r="D1311" s="19" t="s">
        <v>18</v>
      </c>
      <c r="E1311" s="23">
        <v>11.0</v>
      </c>
      <c r="F1311" s="18">
        <f>E1311* 0.932934264493959</f>
        <v>10.26227691</v>
      </c>
      <c r="G1311" s="18">
        <f>E1311* 0.0585300964416362</f>
        <v>0.6438310609</v>
      </c>
      <c r="H1311" s="18">
        <f>E1311* 0.00853563906440528</f>
        <v>0.09389202971</v>
      </c>
    </row>
    <row r="1312" ht="15.75" hidden="1" customHeight="1">
      <c r="A1312" s="20" t="s">
        <v>105</v>
      </c>
      <c r="B1312" s="47" t="s">
        <v>119</v>
      </c>
      <c r="C1312" s="47"/>
      <c r="D1312" s="19" t="s">
        <v>19</v>
      </c>
      <c r="E1312" s="23">
        <v>6.0</v>
      </c>
      <c r="F1312" s="18">
        <f>E1312* 0.290681971640783</f>
        <v>1.74409183</v>
      </c>
      <c r="G1312" s="18">
        <f>E1312* 0.694125590817016</f>
        <v>4.164753545</v>
      </c>
      <c r="H1312" s="18">
        <f>E1312* 0.0151924375422012</f>
        <v>0.09115462525</v>
      </c>
    </row>
    <row r="1313" ht="15.75" hidden="1" customHeight="1">
      <c r="A1313" s="20" t="s">
        <v>105</v>
      </c>
      <c r="B1313" s="47" t="s">
        <v>119</v>
      </c>
      <c r="C1313" s="47"/>
      <c r="D1313" s="19" t="s">
        <v>20</v>
      </c>
      <c r="E1313" s="23">
        <v>20.0</v>
      </c>
      <c r="F1313" s="18">
        <f>E1313* 0.686268801552644</f>
        <v>13.72537603</v>
      </c>
      <c r="G1313" s="18">
        <f>E1313* 0.196991751576904</f>
        <v>3.939835032</v>
      </c>
      <c r="H1313" s="18">
        <f>E1313* 0.116642406598738</f>
        <v>2.332848132</v>
      </c>
    </row>
    <row r="1314" ht="15.75" hidden="1" customHeight="1">
      <c r="A1314" s="20" t="s">
        <v>105</v>
      </c>
      <c r="B1314" s="47" t="s">
        <v>119</v>
      </c>
      <c r="C1314" s="47"/>
      <c r="D1314" s="19" t="s">
        <v>21</v>
      </c>
      <c r="E1314" s="23">
        <v>545.0</v>
      </c>
      <c r="F1314" s="18">
        <f>E1314* 0.999513766486355</f>
        <v>544.7350027</v>
      </c>
      <c r="G1314" s="18">
        <f>E1314* 0.0000243116756822464</f>
        <v>0.01324986325</v>
      </c>
      <c r="H1314" s="18">
        <f>E1314* 0.00034036345955145</f>
        <v>0.1854980855</v>
      </c>
    </row>
    <row r="1315" ht="15.75" hidden="1" customHeight="1">
      <c r="A1315" s="20" t="s">
        <v>105</v>
      </c>
      <c r="B1315" s="47" t="s">
        <v>119</v>
      </c>
      <c r="C1315" s="47"/>
      <c r="D1315" s="19" t="s">
        <v>37</v>
      </c>
      <c r="E1315" s="23">
        <v>1.0</v>
      </c>
      <c r="F1315" s="20">
        <v>0.0</v>
      </c>
      <c r="G1315" s="24">
        <f>E1315</f>
        <v>1</v>
      </c>
      <c r="H1315" s="20">
        <v>0.0</v>
      </c>
    </row>
    <row r="1316" ht="15.75" hidden="1" customHeight="1">
      <c r="A1316" s="20" t="s">
        <v>105</v>
      </c>
      <c r="B1316" s="47" t="s">
        <v>119</v>
      </c>
      <c r="C1316" s="47"/>
      <c r="D1316" s="19" t="s">
        <v>28</v>
      </c>
      <c r="E1316" s="23">
        <v>23.0</v>
      </c>
      <c r="F1316" s="18">
        <f>E1316* 0.00094876660341556</f>
        <v>0.02182163188</v>
      </c>
      <c r="G1316" s="18">
        <f>E1316* 0.999051233396584</f>
        <v>22.97817837</v>
      </c>
      <c r="H1316" s="20">
        <v>0.0</v>
      </c>
    </row>
    <row r="1317" ht="15.75" hidden="1" customHeight="1">
      <c r="A1317" s="20" t="s">
        <v>105</v>
      </c>
      <c r="B1317" s="47" t="s">
        <v>119</v>
      </c>
      <c r="C1317" s="47"/>
      <c r="D1317" s="19" t="s">
        <v>12</v>
      </c>
      <c r="E1317" s="23">
        <v>325.0</v>
      </c>
      <c r="F1317" s="18">
        <f>E1317* 0.843786808009423</f>
        <v>274.2307126</v>
      </c>
      <c r="G1317" s="18">
        <f>E1317* 0.0740675304279545</f>
        <v>24.07194739</v>
      </c>
      <c r="H1317" s="18">
        <f>E1317* 0.0820965842167256</f>
        <v>26.68138987</v>
      </c>
    </row>
    <row r="1318" ht="15.75" hidden="1" customHeight="1">
      <c r="A1318" s="20" t="s">
        <v>105</v>
      </c>
      <c r="B1318" s="20"/>
      <c r="C1318" s="20"/>
      <c r="D1318" s="46"/>
      <c r="E1318" s="35"/>
    </row>
    <row r="1319" ht="15.75" hidden="1" customHeight="1">
      <c r="A1319" s="20" t="s">
        <v>105</v>
      </c>
      <c r="B1319" s="47" t="s">
        <v>120</v>
      </c>
      <c r="C1319" s="12" t="str">
        <f>B1319&amp;"_"&amp;A1319</f>
        <v>Entre Ríos_Cochabamba</v>
      </c>
      <c r="D1319" s="20"/>
      <c r="E1319" s="45">
        <v>3688.0</v>
      </c>
      <c r="F1319" s="14">
        <f t="shared" ref="F1319:H1319" si="114">SUM(F1320:F1331)</f>
        <v>3215.135834</v>
      </c>
      <c r="G1319" s="14">
        <f t="shared" si="114"/>
        <v>332.2138174</v>
      </c>
      <c r="H1319" s="14">
        <f t="shared" si="114"/>
        <v>140.2751871</v>
      </c>
    </row>
    <row r="1320" ht="15.75" hidden="1" customHeight="1">
      <c r="A1320" s="20" t="s">
        <v>105</v>
      </c>
      <c r="B1320" s="47" t="s">
        <v>120</v>
      </c>
      <c r="C1320" s="47"/>
      <c r="D1320" s="29" t="s">
        <v>432</v>
      </c>
      <c r="E1320" s="23">
        <v>5.0</v>
      </c>
      <c r="F1320" s="20">
        <v>0.0</v>
      </c>
      <c r="G1320" s="24">
        <f>E1320</f>
        <v>5</v>
      </c>
      <c r="H1320" s="20">
        <v>0.0</v>
      </c>
    </row>
    <row r="1321" ht="15.75" hidden="1" customHeight="1">
      <c r="A1321" s="20" t="s">
        <v>105</v>
      </c>
      <c r="B1321" s="47" t="s">
        <v>120</v>
      </c>
      <c r="C1321" s="47"/>
      <c r="D1321" s="19" t="s">
        <v>15</v>
      </c>
      <c r="E1321" s="23">
        <v>57.0</v>
      </c>
      <c r="F1321" s="18">
        <f>E1321* 0.932775698199239</f>
        <v>53.1682148</v>
      </c>
      <c r="G1321" s="18">
        <f>E1321* 0.00808724987291465</f>
        <v>0.4609732428</v>
      </c>
      <c r="H1321" s="18">
        <f>E1321* 0.0590600305004852</f>
        <v>3.366421739</v>
      </c>
    </row>
    <row r="1322" ht="15.75" hidden="1" customHeight="1">
      <c r="A1322" s="20" t="s">
        <v>105</v>
      </c>
      <c r="B1322" s="47" t="s">
        <v>120</v>
      </c>
      <c r="C1322" s="47"/>
      <c r="D1322" s="29" t="s">
        <v>433</v>
      </c>
      <c r="E1322" s="23">
        <v>24.0</v>
      </c>
      <c r="F1322" s="18">
        <f>E1322* 0.0803212851405623</f>
        <v>1.927710843</v>
      </c>
      <c r="G1322" s="18">
        <f>E1322* 0.913367756741251</f>
        <v>21.92082616</v>
      </c>
      <c r="H1322" s="18">
        <f>E1322* 0.0057372346528973</f>
        <v>0.1376936317</v>
      </c>
    </row>
    <row r="1323" ht="15.75" hidden="1" customHeight="1">
      <c r="A1323" s="20" t="s">
        <v>105</v>
      </c>
      <c r="B1323" s="47" t="s">
        <v>120</v>
      </c>
      <c r="C1323" s="47"/>
      <c r="D1323" s="19" t="s">
        <v>11</v>
      </c>
      <c r="E1323" s="23">
        <v>157.0</v>
      </c>
      <c r="F1323" s="18">
        <f>E1323* 0.150611071171819</f>
        <v>23.64593817</v>
      </c>
      <c r="G1323" s="18">
        <f>E1323* 0.847699496764917</f>
        <v>133.088821</v>
      </c>
      <c r="H1323" s="18">
        <f>E1323* 0.00136592379583034</f>
        <v>0.2144500359</v>
      </c>
    </row>
    <row r="1324" ht="15.75" hidden="1" customHeight="1">
      <c r="A1324" s="20" t="s">
        <v>105</v>
      </c>
      <c r="B1324" s="47" t="s">
        <v>120</v>
      </c>
      <c r="C1324" s="47"/>
      <c r="D1324" s="19" t="s">
        <v>17</v>
      </c>
      <c r="E1324" s="23">
        <v>60.0</v>
      </c>
      <c r="F1324" s="18">
        <f>E1324* 0.840430229624022</f>
        <v>50.42581378</v>
      </c>
      <c r="G1324" s="18">
        <f>E1324* 0.0777504415846581</f>
        <v>4.665026495</v>
      </c>
      <c r="H1324" s="18">
        <f>E1324* 0.0817877870300278</f>
        <v>4.907267222</v>
      </c>
    </row>
    <row r="1325" ht="15.75" hidden="1" customHeight="1">
      <c r="A1325" s="20" t="s">
        <v>105</v>
      </c>
      <c r="B1325" s="47" t="s">
        <v>120</v>
      </c>
      <c r="C1325" s="47"/>
      <c r="D1325" s="19" t="s">
        <v>31</v>
      </c>
      <c r="E1325" s="23">
        <v>14.0</v>
      </c>
      <c r="F1325" s="18">
        <f>E1325* 0.901975683890578</f>
        <v>12.62765957</v>
      </c>
      <c r="G1325" s="18">
        <f>E1325* 0.0364741641337386</f>
        <v>0.5106382979</v>
      </c>
      <c r="H1325" s="18">
        <f>E1325* 0.0615501519756839</f>
        <v>0.8617021277</v>
      </c>
    </row>
    <row r="1326" ht="15.75" hidden="1" customHeight="1">
      <c r="A1326" s="20" t="s">
        <v>105</v>
      </c>
      <c r="B1326" s="47" t="s">
        <v>120</v>
      </c>
      <c r="C1326" s="47"/>
      <c r="D1326" s="19" t="s">
        <v>18</v>
      </c>
      <c r="E1326" s="23">
        <v>3.0</v>
      </c>
      <c r="F1326" s="18">
        <f>E1326* 0.932934264493959</f>
        <v>2.798802793</v>
      </c>
      <c r="G1326" s="18">
        <f>E1326* 0.0585300964416362</f>
        <v>0.1755902893</v>
      </c>
      <c r="H1326" s="18">
        <f>E1326* 0.00853563906440528</f>
        <v>0.02560691719</v>
      </c>
    </row>
    <row r="1327" ht="15.75" hidden="1" customHeight="1">
      <c r="A1327" s="20" t="s">
        <v>105</v>
      </c>
      <c r="B1327" s="47" t="s">
        <v>120</v>
      </c>
      <c r="C1327" s="47"/>
      <c r="D1327" s="19" t="s">
        <v>19</v>
      </c>
      <c r="E1327" s="23">
        <v>4.0</v>
      </c>
      <c r="F1327" s="18">
        <f>E1327* 0.290681971640783</f>
        <v>1.162727887</v>
      </c>
      <c r="G1327" s="18">
        <f>E1327* 0.694125590817016</f>
        <v>2.776502363</v>
      </c>
      <c r="H1327" s="18">
        <f>E1327* 0.0151924375422012</f>
        <v>0.06076975017</v>
      </c>
    </row>
    <row r="1328" ht="15.75" hidden="1" customHeight="1">
      <c r="A1328" s="20" t="s">
        <v>105</v>
      </c>
      <c r="B1328" s="47" t="s">
        <v>120</v>
      </c>
      <c r="C1328" s="47"/>
      <c r="D1328" s="19" t="s">
        <v>20</v>
      </c>
      <c r="E1328" s="23">
        <v>177.0</v>
      </c>
      <c r="F1328" s="18">
        <f>E1328* 0.686268801552644</f>
        <v>121.4695779</v>
      </c>
      <c r="G1328" s="18">
        <f>E1328* 0.196991751576904</f>
        <v>34.86754003</v>
      </c>
      <c r="H1328" s="18">
        <f>E1328* 0.116642406598738</f>
        <v>20.64570597</v>
      </c>
    </row>
    <row r="1329" ht="15.75" hidden="1" customHeight="1">
      <c r="A1329" s="20" t="s">
        <v>105</v>
      </c>
      <c r="B1329" s="47" t="s">
        <v>120</v>
      </c>
      <c r="C1329" s="47"/>
      <c r="D1329" s="19" t="s">
        <v>21</v>
      </c>
      <c r="E1329" s="23">
        <v>1824.0</v>
      </c>
      <c r="F1329" s="18">
        <f>E1329* 0.999513766486355</f>
        <v>1823.11311</v>
      </c>
      <c r="G1329" s="18">
        <f>E1329* 0.0000243116756822464</f>
        <v>0.04434449644</v>
      </c>
      <c r="H1329" s="18">
        <f>E1329* 0.00034036345955145</f>
        <v>0.6208229502</v>
      </c>
    </row>
    <row r="1330" ht="15.75" hidden="1" customHeight="1">
      <c r="A1330" s="20" t="s">
        <v>105</v>
      </c>
      <c r="B1330" s="47" t="s">
        <v>120</v>
      </c>
      <c r="C1330" s="47"/>
      <c r="D1330" s="19" t="s">
        <v>28</v>
      </c>
      <c r="E1330" s="23">
        <v>30.0</v>
      </c>
      <c r="F1330" s="18">
        <f>E1330* 0.00094876660341556</f>
        <v>0.0284629981</v>
      </c>
      <c r="G1330" s="18">
        <f>E1330* 0.999051233396584</f>
        <v>29.971537</v>
      </c>
      <c r="H1330" s="20">
        <v>0.0</v>
      </c>
    </row>
    <row r="1331" ht="15.75" hidden="1" customHeight="1">
      <c r="A1331" s="20" t="s">
        <v>105</v>
      </c>
      <c r="B1331" s="47" t="s">
        <v>120</v>
      </c>
      <c r="C1331" s="47"/>
      <c r="D1331" s="19" t="s">
        <v>12</v>
      </c>
      <c r="E1331" s="23">
        <v>1333.0</v>
      </c>
      <c r="F1331" s="18">
        <f>E1331* 0.843786808009423</f>
        <v>1124.767815</v>
      </c>
      <c r="G1331" s="18">
        <f>E1331* 0.0740675304279545</f>
        <v>98.73201806</v>
      </c>
      <c r="H1331" s="18">
        <f>E1331* 0.0820965842167256</f>
        <v>109.4347468</v>
      </c>
    </row>
    <row r="1332" ht="15.75" hidden="1" customHeight="1">
      <c r="A1332" s="20" t="s">
        <v>105</v>
      </c>
      <c r="B1332" s="20"/>
      <c r="C1332" s="20"/>
      <c r="D1332" s="46"/>
      <c r="E1332" s="35"/>
    </row>
    <row r="1333" ht="15.75" hidden="1" customHeight="1">
      <c r="A1333" s="20" t="s">
        <v>105</v>
      </c>
      <c r="B1333" s="47" t="s">
        <v>121</v>
      </c>
      <c r="C1333" s="12" t="str">
        <f>B1333&amp;"_"&amp;A1333</f>
        <v>Independencia (Ayopaya)_Cochabamba</v>
      </c>
      <c r="D1333" s="20"/>
      <c r="E1333" s="45">
        <v>109.0</v>
      </c>
      <c r="F1333" s="14">
        <f t="shared" ref="F1333:H1333" si="115">SUM(F1334:F1344)</f>
        <v>47.67971457</v>
      </c>
      <c r="G1333" s="14">
        <f t="shared" si="115"/>
        <v>58.43562331</v>
      </c>
      <c r="H1333" s="14">
        <f t="shared" si="115"/>
        <v>2.863154506</v>
      </c>
    </row>
    <row r="1334" ht="15.75" hidden="1" customHeight="1">
      <c r="A1334" s="20" t="s">
        <v>105</v>
      </c>
      <c r="B1334" s="47" t="s">
        <v>121</v>
      </c>
      <c r="C1334" s="47"/>
      <c r="D1334" s="29" t="s">
        <v>434</v>
      </c>
      <c r="E1334" s="23">
        <v>0.0</v>
      </c>
      <c r="F1334" s="20">
        <v>0.0</v>
      </c>
      <c r="G1334" s="24">
        <f>E1334</f>
        <v>0</v>
      </c>
      <c r="H1334" s="20">
        <v>0.0</v>
      </c>
    </row>
    <row r="1335" ht="15.75" hidden="1" customHeight="1">
      <c r="A1335" s="20" t="s">
        <v>105</v>
      </c>
      <c r="B1335" s="47" t="s">
        <v>121</v>
      </c>
      <c r="C1335" s="47"/>
      <c r="D1335" s="19" t="s">
        <v>15</v>
      </c>
      <c r="E1335" s="23">
        <v>1.0</v>
      </c>
      <c r="F1335" s="18">
        <f>E1335* 0.932775698199239</f>
        <v>0.9327756982</v>
      </c>
      <c r="G1335" s="18">
        <f>E1335* 0.00808724987291465</f>
        <v>0.008087249873</v>
      </c>
      <c r="H1335" s="18">
        <f>E1335* 0.0590600305004852</f>
        <v>0.0590600305</v>
      </c>
    </row>
    <row r="1336" ht="15.75" hidden="1" customHeight="1">
      <c r="A1336" s="20" t="s">
        <v>105</v>
      </c>
      <c r="B1336" s="47" t="s">
        <v>121</v>
      </c>
      <c r="C1336" s="47"/>
      <c r="D1336" s="29" t="s">
        <v>435</v>
      </c>
      <c r="E1336" s="23">
        <v>3.0</v>
      </c>
      <c r="F1336" s="18">
        <f>E1336* 0.0803212851405623</f>
        <v>0.2409638554</v>
      </c>
      <c r="G1336" s="18">
        <f>E1336* 0.913367756741251</f>
        <v>2.74010327</v>
      </c>
      <c r="H1336" s="18">
        <f>E1336* 0.0057372346528973</f>
        <v>0.01721170396</v>
      </c>
    </row>
    <row r="1337" ht="15.75" hidden="1" customHeight="1">
      <c r="A1337" s="20" t="s">
        <v>105</v>
      </c>
      <c r="B1337" s="47" t="s">
        <v>121</v>
      </c>
      <c r="C1337" s="47"/>
      <c r="D1337" s="19" t="s">
        <v>11</v>
      </c>
      <c r="E1337" s="23">
        <v>52.0</v>
      </c>
      <c r="F1337" s="18">
        <f>E1337* 0.150611071171819</f>
        <v>7.831775701</v>
      </c>
      <c r="G1337" s="18">
        <f>E1337* 0.847699496764917</f>
        <v>44.08037383</v>
      </c>
      <c r="H1337" s="18">
        <f>E1337* 0.00136592379583034</f>
        <v>0.07102803738</v>
      </c>
    </row>
    <row r="1338" ht="15.75" hidden="1" customHeight="1">
      <c r="A1338" s="20" t="s">
        <v>105</v>
      </c>
      <c r="B1338" s="47" t="s">
        <v>121</v>
      </c>
      <c r="C1338" s="47"/>
      <c r="D1338" s="19" t="s">
        <v>17</v>
      </c>
      <c r="E1338" s="23">
        <v>9.0</v>
      </c>
      <c r="F1338" s="18">
        <f>E1338* 0.840430229624022</f>
        <v>7.563872067</v>
      </c>
      <c r="G1338" s="18">
        <f>E1338* 0.0777504415846581</f>
        <v>0.6997539743</v>
      </c>
      <c r="H1338" s="18">
        <f>E1338* 0.0817877870300278</f>
        <v>0.7360900833</v>
      </c>
    </row>
    <row r="1339" ht="15.75" hidden="1" customHeight="1">
      <c r="A1339" s="20" t="s">
        <v>105</v>
      </c>
      <c r="B1339" s="47" t="s">
        <v>121</v>
      </c>
      <c r="C1339" s="47"/>
      <c r="D1339" s="19" t="s">
        <v>31</v>
      </c>
      <c r="E1339" s="23">
        <v>1.0</v>
      </c>
      <c r="F1339" s="18">
        <f>E1339* 0.901975683890578</f>
        <v>0.9019756839</v>
      </c>
      <c r="G1339" s="18">
        <f>E1339* 0.0364741641337386</f>
        <v>0.03647416413</v>
      </c>
      <c r="H1339" s="18">
        <f>E1339* 0.0615501519756839</f>
        <v>0.06155015198</v>
      </c>
    </row>
    <row r="1340" ht="15.75" hidden="1" customHeight="1">
      <c r="A1340" s="20" t="s">
        <v>105</v>
      </c>
      <c r="B1340" s="47" t="s">
        <v>121</v>
      </c>
      <c r="C1340" s="47"/>
      <c r="D1340" s="19" t="s">
        <v>18</v>
      </c>
      <c r="E1340" s="23">
        <v>3.0</v>
      </c>
      <c r="F1340" s="18">
        <f>E1340* 0.932934264493959</f>
        <v>2.798802793</v>
      </c>
      <c r="G1340" s="18">
        <f>E1340* 0.0585300964416362</f>
        <v>0.1755902893</v>
      </c>
      <c r="H1340" s="18">
        <f>E1340* 0.00853563906440528</f>
        <v>0.02560691719</v>
      </c>
    </row>
    <row r="1341" ht="15.75" hidden="1" customHeight="1">
      <c r="A1341" s="20" t="s">
        <v>105</v>
      </c>
      <c r="B1341" s="47" t="s">
        <v>121</v>
      </c>
      <c r="C1341" s="47"/>
      <c r="D1341" s="19" t="s">
        <v>19</v>
      </c>
      <c r="E1341" s="23">
        <v>12.0</v>
      </c>
      <c r="F1341" s="18">
        <f>E1341* 0.290681971640783</f>
        <v>3.48818366</v>
      </c>
      <c r="G1341" s="18">
        <f>E1341* 0.694125590817016</f>
        <v>8.32950709</v>
      </c>
      <c r="H1341" s="18">
        <f>E1341* 0.0151924375422012</f>
        <v>0.1823092505</v>
      </c>
    </row>
    <row r="1342" ht="15.75" hidden="1" customHeight="1">
      <c r="A1342" s="20" t="s">
        <v>105</v>
      </c>
      <c r="B1342" s="47" t="s">
        <v>121</v>
      </c>
      <c r="C1342" s="47"/>
      <c r="D1342" s="19" t="s">
        <v>20</v>
      </c>
      <c r="E1342" s="23">
        <v>9.0</v>
      </c>
      <c r="F1342" s="18">
        <f>E1342* 0.686268801552644</f>
        <v>6.176419214</v>
      </c>
      <c r="G1342" s="18">
        <f>E1342* 0.196991751576904</f>
        <v>1.772925764</v>
      </c>
      <c r="H1342" s="18">
        <f>E1342* 0.116642406598738</f>
        <v>1.049781659</v>
      </c>
    </row>
    <row r="1343" ht="15.75" hidden="1" customHeight="1">
      <c r="A1343" s="20" t="s">
        <v>105</v>
      </c>
      <c r="B1343" s="47" t="s">
        <v>121</v>
      </c>
      <c r="C1343" s="47"/>
      <c r="D1343" s="19" t="s">
        <v>21</v>
      </c>
      <c r="E1343" s="23">
        <v>11.0</v>
      </c>
      <c r="F1343" s="18">
        <f>E1343* 0.999513766486355</f>
        <v>10.99465143</v>
      </c>
      <c r="G1343" s="18">
        <f>E1343* 0.0000243116756822464</f>
        <v>0.0002674284325</v>
      </c>
      <c r="H1343" s="18">
        <f>E1343* 0.00034036345955145</f>
        <v>0.003743998055</v>
      </c>
    </row>
    <row r="1344" ht="15.75" hidden="1" customHeight="1">
      <c r="A1344" s="20" t="s">
        <v>105</v>
      </c>
      <c r="B1344" s="47" t="s">
        <v>121</v>
      </c>
      <c r="C1344" s="47"/>
      <c r="D1344" s="19" t="s">
        <v>12</v>
      </c>
      <c r="E1344" s="23">
        <v>8.0</v>
      </c>
      <c r="F1344" s="18">
        <f>E1344* 0.843786808009423</f>
        <v>6.750294464</v>
      </c>
      <c r="G1344" s="18">
        <f>E1344* 0.0740675304279545</f>
        <v>0.5925402434</v>
      </c>
      <c r="H1344" s="18">
        <f>E1344* 0.0820965842167256</f>
        <v>0.6567726737</v>
      </c>
    </row>
    <row r="1345" ht="15.75" hidden="1" customHeight="1">
      <c r="A1345" s="20" t="s">
        <v>105</v>
      </c>
      <c r="B1345" s="20"/>
      <c r="C1345" s="20"/>
      <c r="D1345" s="46"/>
      <c r="E1345" s="35"/>
    </row>
    <row r="1346" ht="15.75" hidden="1" customHeight="1">
      <c r="A1346" s="20" t="s">
        <v>105</v>
      </c>
      <c r="B1346" s="47" t="s">
        <v>122</v>
      </c>
      <c r="C1346" s="12" t="str">
        <f>B1346&amp;"_"&amp;A1346</f>
        <v>Mizque_Cochabamba</v>
      </c>
      <c r="D1346" s="20"/>
      <c r="E1346" s="45">
        <v>392.0</v>
      </c>
      <c r="F1346" s="14">
        <f t="shared" ref="F1346:H1346" si="116">SUM(F1347:F1359)</f>
        <v>340.6888445</v>
      </c>
      <c r="G1346" s="14">
        <f t="shared" si="116"/>
        <v>44.66763304</v>
      </c>
      <c r="H1346" s="14">
        <f t="shared" si="116"/>
        <v>6.593729351</v>
      </c>
    </row>
    <row r="1347" ht="15.75" hidden="1" customHeight="1">
      <c r="A1347" s="20" t="s">
        <v>105</v>
      </c>
      <c r="B1347" s="47" t="s">
        <v>122</v>
      </c>
      <c r="C1347" s="47"/>
      <c r="D1347" s="29" t="s">
        <v>436</v>
      </c>
      <c r="E1347" s="23">
        <v>4.0</v>
      </c>
      <c r="F1347" s="20">
        <v>0.0</v>
      </c>
      <c r="G1347" s="24">
        <f>E1347</f>
        <v>4</v>
      </c>
      <c r="H1347" s="20">
        <v>0.0</v>
      </c>
    </row>
    <row r="1348" ht="15.75" hidden="1" customHeight="1">
      <c r="A1348" s="20" t="s">
        <v>105</v>
      </c>
      <c r="B1348" s="47" t="s">
        <v>122</v>
      </c>
      <c r="C1348" s="47"/>
      <c r="D1348" s="19" t="s">
        <v>15</v>
      </c>
      <c r="E1348" s="23">
        <v>16.0</v>
      </c>
      <c r="F1348" s="18">
        <f>E1348* 0.932775698199239</f>
        <v>14.92441117</v>
      </c>
      <c r="G1348" s="18">
        <f>E1348* 0.00808724987291465</f>
        <v>0.129395998</v>
      </c>
      <c r="H1348" s="18">
        <f>E1348* 0.0590600305004852</f>
        <v>0.944960488</v>
      </c>
    </row>
    <row r="1349" ht="15.75" hidden="1" customHeight="1">
      <c r="A1349" s="20" t="s">
        <v>105</v>
      </c>
      <c r="B1349" s="47" t="s">
        <v>122</v>
      </c>
      <c r="C1349" s="47"/>
      <c r="D1349" s="29" t="s">
        <v>437</v>
      </c>
      <c r="E1349" s="23">
        <v>4.0</v>
      </c>
      <c r="F1349" s="18">
        <f>E1349* 0.0803212851405623</f>
        <v>0.3212851406</v>
      </c>
      <c r="G1349" s="18">
        <f>E1349* 0.913367756741251</f>
        <v>3.653471027</v>
      </c>
      <c r="H1349" s="18">
        <f>E1349* 0.0057372346528973</f>
        <v>0.02294893861</v>
      </c>
    </row>
    <row r="1350" ht="15.75" hidden="1" customHeight="1">
      <c r="A1350" s="20" t="s">
        <v>105</v>
      </c>
      <c r="B1350" s="47" t="s">
        <v>122</v>
      </c>
      <c r="C1350" s="47"/>
      <c r="D1350" s="19" t="s">
        <v>11</v>
      </c>
      <c r="E1350" s="23">
        <v>34.0</v>
      </c>
      <c r="F1350" s="18">
        <f>E1350* 0.150611071171819</f>
        <v>5.12077642</v>
      </c>
      <c r="G1350" s="18">
        <f>E1350* 0.847699496764917</f>
        <v>28.82178289</v>
      </c>
      <c r="H1350" s="18">
        <f>E1350* 0.00136592379583034</f>
        <v>0.04644140906</v>
      </c>
    </row>
    <row r="1351" ht="15.75" hidden="1" customHeight="1">
      <c r="A1351" s="20" t="s">
        <v>105</v>
      </c>
      <c r="B1351" s="47" t="s">
        <v>122</v>
      </c>
      <c r="C1351" s="47"/>
      <c r="D1351" s="19" t="s">
        <v>17</v>
      </c>
      <c r="E1351" s="23">
        <v>24.0</v>
      </c>
      <c r="F1351" s="18">
        <f>E1351* 0.840430229624022</f>
        <v>20.17032551</v>
      </c>
      <c r="G1351" s="18">
        <f>E1351* 0.0777504415846581</f>
        <v>1.866010598</v>
      </c>
      <c r="H1351" s="18">
        <f>E1351* 0.0817877870300278</f>
        <v>1.962906889</v>
      </c>
    </row>
    <row r="1352" ht="15.75" hidden="1" customHeight="1">
      <c r="A1352" s="20" t="s">
        <v>105</v>
      </c>
      <c r="B1352" s="47" t="s">
        <v>122</v>
      </c>
      <c r="C1352" s="47"/>
      <c r="D1352" s="19" t="s">
        <v>31</v>
      </c>
      <c r="E1352" s="23">
        <v>1.0</v>
      </c>
      <c r="F1352" s="18">
        <f>E1352* 0.901975683890578</f>
        <v>0.9019756839</v>
      </c>
      <c r="G1352" s="18">
        <f>E1352* 0.0364741641337386</f>
        <v>0.03647416413</v>
      </c>
      <c r="H1352" s="18">
        <f>E1352* 0.0615501519756839</f>
        <v>0.06155015198</v>
      </c>
    </row>
    <row r="1353" ht="15.75" hidden="1" customHeight="1">
      <c r="A1353" s="20" t="s">
        <v>105</v>
      </c>
      <c r="B1353" s="47" t="s">
        <v>122</v>
      </c>
      <c r="C1353" s="47"/>
      <c r="D1353" s="19" t="s">
        <v>18</v>
      </c>
      <c r="E1353" s="23">
        <v>4.0</v>
      </c>
      <c r="F1353" s="18">
        <f>E1353* 0.932934264493959</f>
        <v>3.731737058</v>
      </c>
      <c r="G1353" s="18">
        <f>E1353* 0.0585300964416362</f>
        <v>0.2341203858</v>
      </c>
      <c r="H1353" s="18">
        <f>E1353* 0.00853563906440528</f>
        <v>0.03414255626</v>
      </c>
    </row>
    <row r="1354" ht="15.75" hidden="1" customHeight="1">
      <c r="A1354" s="20" t="s">
        <v>105</v>
      </c>
      <c r="B1354" s="47" t="s">
        <v>122</v>
      </c>
      <c r="C1354" s="47"/>
      <c r="D1354" s="29" t="s">
        <v>438</v>
      </c>
      <c r="E1354" s="23">
        <v>1.0</v>
      </c>
      <c r="F1354" s="20">
        <v>0.0</v>
      </c>
      <c r="G1354" s="24">
        <f>E1354</f>
        <v>1</v>
      </c>
      <c r="H1354" s="20">
        <v>0.0</v>
      </c>
    </row>
    <row r="1355" ht="15.75" hidden="1" customHeight="1">
      <c r="A1355" s="20" t="s">
        <v>105</v>
      </c>
      <c r="B1355" s="47" t="s">
        <v>122</v>
      </c>
      <c r="C1355" s="47"/>
      <c r="D1355" s="19" t="s">
        <v>19</v>
      </c>
      <c r="E1355" s="35"/>
      <c r="F1355" s="18">
        <f>E1355* 0.290681971640783</f>
        <v>0</v>
      </c>
      <c r="G1355" s="18">
        <f>E1355* 0.694125590817016</f>
        <v>0</v>
      </c>
      <c r="H1355" s="18">
        <f>E1355* 0.0151924375422012</f>
        <v>0</v>
      </c>
    </row>
    <row r="1356" ht="15.75" hidden="1" customHeight="1">
      <c r="A1356" s="20" t="s">
        <v>105</v>
      </c>
      <c r="B1356" s="47" t="s">
        <v>122</v>
      </c>
      <c r="C1356" s="47"/>
      <c r="D1356" s="19" t="s">
        <v>20</v>
      </c>
      <c r="E1356" s="23">
        <v>9.0</v>
      </c>
      <c r="F1356" s="18">
        <f>E1356* 0.686268801552644</f>
        <v>6.176419214</v>
      </c>
      <c r="G1356" s="18">
        <f>E1356* 0.196991751576904</f>
        <v>1.772925764</v>
      </c>
      <c r="H1356" s="18">
        <f>E1356* 0.116642406598738</f>
        <v>1.049781659</v>
      </c>
    </row>
    <row r="1357" ht="15.75" hidden="1" customHeight="1">
      <c r="A1357" s="20" t="s">
        <v>105</v>
      </c>
      <c r="B1357" s="47" t="s">
        <v>122</v>
      </c>
      <c r="C1357" s="47"/>
      <c r="D1357" s="19" t="s">
        <v>21</v>
      </c>
      <c r="E1357" s="23">
        <v>265.0</v>
      </c>
      <c r="F1357" s="18">
        <f>E1357* 0.999513766486355</f>
        <v>264.8711481</v>
      </c>
      <c r="G1357" s="18">
        <f>E1357* 0.0000243116756822464</f>
        <v>0.006442594056</v>
      </c>
      <c r="H1357" s="18">
        <f>E1357* 0.00034036345955145</f>
        <v>0.09019631678</v>
      </c>
    </row>
    <row r="1358" ht="15.75" hidden="1" customHeight="1">
      <c r="A1358" s="20" t="s">
        <v>105</v>
      </c>
      <c r="B1358" s="47" t="s">
        <v>122</v>
      </c>
      <c r="C1358" s="47"/>
      <c r="D1358" s="19" t="s">
        <v>28</v>
      </c>
      <c r="E1358" s="23">
        <v>1.0</v>
      </c>
      <c r="F1358" s="18">
        <f>E1358* 0.00094876660341556</f>
        <v>0.0009487666034</v>
      </c>
      <c r="G1358" s="18">
        <f>E1358* 0.999051233396584</f>
        <v>0.9990512334</v>
      </c>
      <c r="H1358" s="20">
        <v>0.0</v>
      </c>
    </row>
    <row r="1359" ht="15.75" hidden="1" customHeight="1">
      <c r="A1359" s="20" t="s">
        <v>105</v>
      </c>
      <c r="B1359" s="47" t="s">
        <v>122</v>
      </c>
      <c r="C1359" s="47"/>
      <c r="D1359" s="19" t="s">
        <v>12</v>
      </c>
      <c r="E1359" s="23">
        <v>29.0</v>
      </c>
      <c r="F1359" s="18">
        <f>E1359* 0.843786808009423</f>
        <v>24.46981743</v>
      </c>
      <c r="G1359" s="18">
        <f>E1359* 0.0740675304279545</f>
        <v>2.147958382</v>
      </c>
      <c r="H1359" s="18">
        <f>E1359* 0.0820965842167256</f>
        <v>2.380800942</v>
      </c>
    </row>
    <row r="1360" ht="15.75" hidden="1" customHeight="1">
      <c r="A1360" s="20" t="s">
        <v>105</v>
      </c>
      <c r="B1360" s="20"/>
      <c r="C1360" s="20"/>
      <c r="D1360" s="46"/>
      <c r="E1360" s="35"/>
    </row>
    <row r="1361" ht="15.75" hidden="1" customHeight="1">
      <c r="A1361" s="20" t="s">
        <v>105</v>
      </c>
      <c r="B1361" s="47" t="s">
        <v>123</v>
      </c>
      <c r="C1361" s="12" t="str">
        <f>B1361&amp;"_"&amp;A1361</f>
        <v>Morochata_Cochabamba</v>
      </c>
      <c r="D1361" s="20"/>
      <c r="E1361" s="45">
        <v>113.0</v>
      </c>
      <c r="F1361" s="14">
        <f t="shared" ref="F1361:H1361" si="117">SUM(F1362:F1373)</f>
        <v>93.43883143</v>
      </c>
      <c r="G1361" s="14">
        <f t="shared" si="117"/>
        <v>16.98968327</v>
      </c>
      <c r="H1361" s="14">
        <f t="shared" si="117"/>
        <v>2.556531327</v>
      </c>
    </row>
    <row r="1362" ht="15.75" hidden="1" customHeight="1">
      <c r="A1362" s="20" t="s">
        <v>105</v>
      </c>
      <c r="B1362" s="47" t="s">
        <v>123</v>
      </c>
      <c r="C1362" s="47"/>
      <c r="D1362" s="29" t="s">
        <v>439</v>
      </c>
      <c r="E1362" s="23">
        <v>0.0</v>
      </c>
      <c r="F1362" s="20">
        <v>0.0</v>
      </c>
      <c r="G1362" s="24">
        <f>E1362</f>
        <v>0</v>
      </c>
      <c r="H1362" s="20">
        <v>0.0</v>
      </c>
    </row>
    <row r="1363" ht="15.75" hidden="1" customHeight="1">
      <c r="A1363" s="20" t="s">
        <v>105</v>
      </c>
      <c r="B1363" s="47" t="s">
        <v>123</v>
      </c>
      <c r="C1363" s="47"/>
      <c r="D1363" s="19" t="s">
        <v>15</v>
      </c>
      <c r="E1363" s="23">
        <v>1.0</v>
      </c>
      <c r="F1363" s="18">
        <f>E1363* 0.932775698199239</f>
        <v>0.9327756982</v>
      </c>
      <c r="G1363" s="18">
        <f>E1363* 0.00808724987291465</f>
        <v>0.008087249873</v>
      </c>
      <c r="H1363" s="18">
        <f>E1363* 0.0590600305004852</f>
        <v>0.0590600305</v>
      </c>
    </row>
    <row r="1364" ht="15.75" hidden="1" customHeight="1">
      <c r="A1364" s="20" t="s">
        <v>105</v>
      </c>
      <c r="B1364" s="47" t="s">
        <v>123</v>
      </c>
      <c r="C1364" s="47"/>
      <c r="D1364" s="29" t="s">
        <v>440</v>
      </c>
      <c r="E1364" s="23">
        <v>4.0</v>
      </c>
      <c r="F1364" s="18">
        <f>E1364* 0.0803212851405623</f>
        <v>0.3212851406</v>
      </c>
      <c r="G1364" s="18">
        <f>E1364* 0.913367756741251</f>
        <v>3.653471027</v>
      </c>
      <c r="H1364" s="18">
        <f>E1364* 0.0057372346528973</f>
        <v>0.02294893861</v>
      </c>
    </row>
    <row r="1365" ht="15.75" hidden="1" customHeight="1">
      <c r="A1365" s="20" t="s">
        <v>105</v>
      </c>
      <c r="B1365" s="47" t="s">
        <v>123</v>
      </c>
      <c r="C1365" s="47"/>
      <c r="D1365" s="19" t="s">
        <v>11</v>
      </c>
      <c r="E1365" s="23">
        <v>10.0</v>
      </c>
      <c r="F1365" s="18">
        <f>E1365* 0.150611071171819</f>
        <v>1.506110712</v>
      </c>
      <c r="G1365" s="18">
        <f>E1365* 0.847699496764917</f>
        <v>8.476994968</v>
      </c>
      <c r="H1365" s="18">
        <f>E1365* 0.00136592379583034</f>
        <v>0.01365923796</v>
      </c>
    </row>
    <row r="1366" ht="15.75" hidden="1" customHeight="1">
      <c r="A1366" s="20" t="s">
        <v>105</v>
      </c>
      <c r="B1366" s="47" t="s">
        <v>123</v>
      </c>
      <c r="C1366" s="47"/>
      <c r="D1366" s="19" t="s">
        <v>17</v>
      </c>
      <c r="E1366" s="23">
        <v>4.0</v>
      </c>
      <c r="F1366" s="18">
        <f>E1366* 0.840430229624022</f>
        <v>3.361720918</v>
      </c>
      <c r="G1366" s="18">
        <f>E1366* 0.0777504415846581</f>
        <v>0.3110017663</v>
      </c>
      <c r="H1366" s="18">
        <f>E1366* 0.0817877870300278</f>
        <v>0.3271511481</v>
      </c>
    </row>
    <row r="1367" ht="15.75" hidden="1" customHeight="1">
      <c r="A1367" s="20" t="s">
        <v>105</v>
      </c>
      <c r="B1367" s="47" t="s">
        <v>123</v>
      </c>
      <c r="C1367" s="47"/>
      <c r="D1367" s="19" t="s">
        <v>31</v>
      </c>
      <c r="E1367" s="23">
        <v>1.0</v>
      </c>
      <c r="F1367" s="18">
        <f>E1367* 0.901975683890578</f>
        <v>0.9019756839</v>
      </c>
      <c r="G1367" s="18">
        <f>E1367* 0.0364741641337386</f>
        <v>0.03647416413</v>
      </c>
      <c r="H1367" s="18">
        <f>E1367* 0.0615501519756839</f>
        <v>0.06155015198</v>
      </c>
    </row>
    <row r="1368" ht="15.75" hidden="1" customHeight="1">
      <c r="A1368" s="20" t="s">
        <v>105</v>
      </c>
      <c r="B1368" s="47" t="s">
        <v>123</v>
      </c>
      <c r="C1368" s="47"/>
      <c r="D1368" s="19" t="s">
        <v>18</v>
      </c>
      <c r="E1368" s="23">
        <v>3.0</v>
      </c>
      <c r="F1368" s="18">
        <f>E1368* 0.932934264493959</f>
        <v>2.798802793</v>
      </c>
      <c r="G1368" s="18">
        <f>E1368* 0.0585300964416362</f>
        <v>0.1755902893</v>
      </c>
      <c r="H1368" s="18">
        <f>E1368* 0.00853563906440528</f>
        <v>0.02560691719</v>
      </c>
    </row>
    <row r="1369" ht="15.75" hidden="1" customHeight="1">
      <c r="A1369" s="20" t="s">
        <v>105</v>
      </c>
      <c r="B1369" s="47" t="s">
        <v>123</v>
      </c>
      <c r="C1369" s="47"/>
      <c r="D1369" s="19" t="s">
        <v>19</v>
      </c>
      <c r="E1369" s="23">
        <v>3.0</v>
      </c>
      <c r="F1369" s="18">
        <f>E1369* 0.290681971640783</f>
        <v>0.8720459149</v>
      </c>
      <c r="G1369" s="18">
        <f>E1369* 0.694125590817016</f>
        <v>2.082376772</v>
      </c>
      <c r="H1369" s="18">
        <f>E1369* 0.0151924375422012</f>
        <v>0.04557731263</v>
      </c>
    </row>
    <row r="1370" ht="15.75" hidden="1" customHeight="1">
      <c r="A1370" s="20" t="s">
        <v>105</v>
      </c>
      <c r="B1370" s="47" t="s">
        <v>123</v>
      </c>
      <c r="C1370" s="47"/>
      <c r="D1370" s="19" t="s">
        <v>20</v>
      </c>
      <c r="E1370" s="23">
        <v>5.0</v>
      </c>
      <c r="F1370" s="18">
        <f>E1370* 0.686268801552644</f>
        <v>3.431344008</v>
      </c>
      <c r="G1370" s="18">
        <f>E1370* 0.196991751576904</f>
        <v>0.9849587579</v>
      </c>
      <c r="H1370" s="18">
        <f>E1370* 0.116642406598738</f>
        <v>0.583212033</v>
      </c>
    </row>
    <row r="1371" ht="15.75" hidden="1" customHeight="1">
      <c r="A1371" s="20" t="s">
        <v>105</v>
      </c>
      <c r="B1371" s="47" t="s">
        <v>123</v>
      </c>
      <c r="C1371" s="47"/>
      <c r="D1371" s="19" t="s">
        <v>21</v>
      </c>
      <c r="E1371" s="23">
        <v>65.0</v>
      </c>
      <c r="F1371" s="18">
        <f>E1371* 0.999513766486355</f>
        <v>64.96839482</v>
      </c>
      <c r="G1371" s="18">
        <f>E1371* 0.0000243116756822464</f>
        <v>0.001580258919</v>
      </c>
      <c r="H1371" s="18">
        <f>E1371* 0.00034036345955145</f>
        <v>0.02212362487</v>
      </c>
    </row>
    <row r="1372" ht="15.75" hidden="1" customHeight="1">
      <c r="A1372" s="20" t="s">
        <v>105</v>
      </c>
      <c r="B1372" s="47" t="s">
        <v>123</v>
      </c>
      <c r="C1372" s="47"/>
      <c r="D1372" s="19" t="s">
        <v>28</v>
      </c>
      <c r="E1372" s="23">
        <v>0.0</v>
      </c>
      <c r="F1372" s="18">
        <f>E1372* 0.00094876660341556</f>
        <v>0</v>
      </c>
      <c r="G1372" s="18">
        <f>E1372* 0.999051233396584</f>
        <v>0</v>
      </c>
      <c r="H1372" s="20">
        <v>0.0</v>
      </c>
    </row>
    <row r="1373" ht="15.75" hidden="1" customHeight="1">
      <c r="A1373" s="20" t="s">
        <v>105</v>
      </c>
      <c r="B1373" s="47" t="s">
        <v>123</v>
      </c>
      <c r="C1373" s="47"/>
      <c r="D1373" s="19" t="s">
        <v>12</v>
      </c>
      <c r="E1373" s="23">
        <v>17.0</v>
      </c>
      <c r="F1373" s="18">
        <f>E1373* 0.843786808009423</f>
        <v>14.34437574</v>
      </c>
      <c r="G1373" s="18">
        <f>E1373* 0.0740675304279545</f>
        <v>1.259148017</v>
      </c>
      <c r="H1373" s="18">
        <f>E1373* 0.0820965842167256</f>
        <v>1.395641932</v>
      </c>
    </row>
    <row r="1374" ht="15.75" hidden="1" customHeight="1">
      <c r="A1374" s="20" t="s">
        <v>105</v>
      </c>
      <c r="B1374" s="20"/>
      <c r="C1374" s="20"/>
      <c r="D1374" s="46"/>
      <c r="E1374" s="35"/>
    </row>
    <row r="1375" ht="15.75" hidden="1" customHeight="1">
      <c r="A1375" s="20" t="s">
        <v>105</v>
      </c>
      <c r="B1375" s="47" t="s">
        <v>124</v>
      </c>
      <c r="C1375" s="12" t="str">
        <f>B1375&amp;"_"&amp;A1375</f>
        <v>Omereque_Cochabamba</v>
      </c>
      <c r="D1375" s="20"/>
      <c r="E1375" s="45">
        <v>111.0</v>
      </c>
      <c r="F1375" s="14">
        <f t="shared" ref="F1375:H1375" si="118">SUM(F1376:F1384)</f>
        <v>81.59552534</v>
      </c>
      <c r="G1375" s="14">
        <f t="shared" si="118"/>
        <v>26.87665913</v>
      </c>
      <c r="H1375" s="14">
        <f t="shared" si="118"/>
        <v>2.510317259</v>
      </c>
    </row>
    <row r="1376" ht="15.75" hidden="1" customHeight="1">
      <c r="A1376" s="20" t="s">
        <v>105</v>
      </c>
      <c r="B1376" s="47" t="s">
        <v>124</v>
      </c>
      <c r="C1376" s="47"/>
      <c r="D1376" s="19" t="s">
        <v>15</v>
      </c>
      <c r="E1376" s="23">
        <v>1.0</v>
      </c>
      <c r="F1376" s="18">
        <f>E1376* 0.932775698199239</f>
        <v>0.9327756982</v>
      </c>
      <c r="G1376" s="18">
        <f>E1376* 0.00808724987291465</f>
        <v>0.008087249873</v>
      </c>
      <c r="H1376" s="18">
        <f>E1376* 0.0590600305004852</f>
        <v>0.0590600305</v>
      </c>
    </row>
    <row r="1377" ht="15.75" hidden="1" customHeight="1">
      <c r="A1377" s="20" t="s">
        <v>105</v>
      </c>
      <c r="B1377" s="47" t="s">
        <v>124</v>
      </c>
      <c r="C1377" s="47"/>
      <c r="D1377" s="29" t="s">
        <v>441</v>
      </c>
      <c r="E1377" s="23">
        <v>2.0</v>
      </c>
      <c r="F1377" s="18">
        <f>E1377* 0.0803212851405623</f>
        <v>0.1606425703</v>
      </c>
      <c r="G1377" s="18">
        <f>E1377* 0.913367756741251</f>
        <v>1.826735513</v>
      </c>
      <c r="H1377" s="18">
        <f>E1377* 0.0057372346528973</f>
        <v>0.01147446931</v>
      </c>
    </row>
    <row r="1378" ht="15.75" hidden="1" customHeight="1">
      <c r="A1378" s="20" t="s">
        <v>105</v>
      </c>
      <c r="B1378" s="47" t="s">
        <v>124</v>
      </c>
      <c r="C1378" s="47"/>
      <c r="D1378" s="19" t="s">
        <v>11</v>
      </c>
      <c r="E1378" s="23">
        <v>23.0</v>
      </c>
      <c r="F1378" s="18">
        <f>E1378* 0.150611071171819</f>
        <v>3.464054637</v>
      </c>
      <c r="G1378" s="18">
        <f>E1378* 0.847699496764917</f>
        <v>19.49708843</v>
      </c>
      <c r="H1378" s="18">
        <f>E1378* 0.00136592379583034</f>
        <v>0.0314162473</v>
      </c>
    </row>
    <row r="1379" ht="15.75" hidden="1" customHeight="1">
      <c r="A1379" s="20" t="s">
        <v>105</v>
      </c>
      <c r="B1379" s="47" t="s">
        <v>124</v>
      </c>
      <c r="C1379" s="47"/>
      <c r="D1379" s="19" t="s">
        <v>17</v>
      </c>
      <c r="E1379" s="23">
        <v>1.0</v>
      </c>
      <c r="F1379" s="18">
        <f>E1379* 0.840430229624022</f>
        <v>0.8404302296</v>
      </c>
      <c r="G1379" s="18">
        <f>E1379* 0.0777504415846581</f>
        <v>0.07775044158</v>
      </c>
      <c r="H1379" s="18">
        <f>E1379* 0.0817877870300278</f>
        <v>0.08178778703</v>
      </c>
    </row>
    <row r="1380" ht="15.75" hidden="1" customHeight="1">
      <c r="A1380" s="20" t="s">
        <v>105</v>
      </c>
      <c r="B1380" s="47" t="s">
        <v>124</v>
      </c>
      <c r="C1380" s="47"/>
      <c r="D1380" s="19" t="s">
        <v>18</v>
      </c>
      <c r="E1380" s="23">
        <v>2.0</v>
      </c>
      <c r="F1380" s="18">
        <f>E1380* 0.932934264493959</f>
        <v>1.865868529</v>
      </c>
      <c r="G1380" s="18">
        <f>E1380* 0.0585300964416362</f>
        <v>0.1170601929</v>
      </c>
      <c r="H1380" s="18">
        <f>E1380* 0.00853563906440528</f>
        <v>0.01707127813</v>
      </c>
    </row>
    <row r="1381" ht="15.75" hidden="1" customHeight="1">
      <c r="A1381" s="20" t="s">
        <v>105</v>
      </c>
      <c r="B1381" s="47" t="s">
        <v>124</v>
      </c>
      <c r="C1381" s="47"/>
      <c r="D1381" s="19" t="s">
        <v>20</v>
      </c>
      <c r="E1381" s="23">
        <v>14.0</v>
      </c>
      <c r="F1381" s="18">
        <f>E1381* 0.686268801552644</f>
        <v>9.607763222</v>
      </c>
      <c r="G1381" s="18">
        <f>E1381* 0.196991751576904</f>
        <v>2.757884522</v>
      </c>
      <c r="H1381" s="18">
        <f>E1381* 0.116642406598738</f>
        <v>1.632993692</v>
      </c>
    </row>
    <row r="1382" ht="15.75" hidden="1" customHeight="1">
      <c r="A1382" s="20" t="s">
        <v>105</v>
      </c>
      <c r="B1382" s="47" t="s">
        <v>124</v>
      </c>
      <c r="C1382" s="47"/>
      <c r="D1382" s="19" t="s">
        <v>21</v>
      </c>
      <c r="E1382" s="23">
        <v>58.0</v>
      </c>
      <c r="F1382" s="18">
        <f>E1382* 0.999513766486355</f>
        <v>57.97179846</v>
      </c>
      <c r="G1382" s="18">
        <f>E1382* 0.0000243116756822464</f>
        <v>0.00141007719</v>
      </c>
      <c r="H1382" s="18">
        <f>E1382* 0.00034036345955145</f>
        <v>0.01974108065</v>
      </c>
    </row>
    <row r="1383" ht="15.75" hidden="1" customHeight="1">
      <c r="A1383" s="20" t="s">
        <v>105</v>
      </c>
      <c r="B1383" s="47" t="s">
        <v>124</v>
      </c>
      <c r="C1383" s="47"/>
      <c r="D1383" s="19" t="s">
        <v>28</v>
      </c>
      <c r="E1383" s="23">
        <v>2.0</v>
      </c>
      <c r="F1383" s="18">
        <f>E1383* 0.00094876660341556</f>
        <v>0.001897533207</v>
      </c>
      <c r="G1383" s="18">
        <f>E1383* 0.999051233396584</f>
        <v>1.998102467</v>
      </c>
      <c r="H1383" s="20">
        <v>0.0</v>
      </c>
    </row>
    <row r="1384" ht="15.75" hidden="1" customHeight="1">
      <c r="A1384" s="20" t="s">
        <v>105</v>
      </c>
      <c r="B1384" s="47" t="s">
        <v>124</v>
      </c>
      <c r="C1384" s="47"/>
      <c r="D1384" s="19" t="s">
        <v>12</v>
      </c>
      <c r="E1384" s="23">
        <v>8.0</v>
      </c>
      <c r="F1384" s="18">
        <f>E1384* 0.843786808009423</f>
        <v>6.750294464</v>
      </c>
      <c r="G1384" s="18">
        <f>E1384* 0.0740675304279545</f>
        <v>0.5925402434</v>
      </c>
      <c r="H1384" s="18">
        <f>E1384* 0.0820965842167256</f>
        <v>0.6567726737</v>
      </c>
    </row>
    <row r="1385" ht="15.75" hidden="1" customHeight="1">
      <c r="A1385" s="20" t="s">
        <v>105</v>
      </c>
      <c r="B1385" s="20"/>
      <c r="C1385" s="20"/>
      <c r="D1385" s="46"/>
      <c r="E1385" s="35"/>
    </row>
    <row r="1386" ht="15.75" hidden="1" customHeight="1">
      <c r="A1386" s="20" t="s">
        <v>105</v>
      </c>
      <c r="B1386" s="47" t="s">
        <v>125</v>
      </c>
      <c r="C1386" s="12" t="str">
        <f>B1386&amp;"_"&amp;A1386</f>
        <v>Pasorapa_Cochabamba</v>
      </c>
      <c r="D1386" s="20"/>
      <c r="E1386" s="45">
        <v>1.0</v>
      </c>
      <c r="F1386" s="14">
        <f t="shared" ref="F1386:H1386" si="119">F1387</f>
        <v>0.8404302296</v>
      </c>
      <c r="G1386" s="14">
        <f t="shared" si="119"/>
        <v>0.07775044158</v>
      </c>
      <c r="H1386" s="14">
        <f t="shared" si="119"/>
        <v>0.08178778703</v>
      </c>
    </row>
    <row r="1387" ht="15.75" hidden="1" customHeight="1">
      <c r="A1387" s="20" t="s">
        <v>105</v>
      </c>
      <c r="B1387" s="47" t="s">
        <v>125</v>
      </c>
      <c r="C1387" s="47"/>
      <c r="D1387" s="19" t="s">
        <v>17</v>
      </c>
      <c r="E1387" s="23">
        <v>1.0</v>
      </c>
      <c r="F1387" s="18">
        <f>E1387* 0.840430229624022</f>
        <v>0.8404302296</v>
      </c>
      <c r="G1387" s="18">
        <f>E1387* 0.0777504415846581</f>
        <v>0.07775044158</v>
      </c>
      <c r="H1387" s="18">
        <f>E1387* 0.0817877870300278</f>
        <v>0.08178778703</v>
      </c>
    </row>
    <row r="1388" ht="15.75" hidden="1" customHeight="1">
      <c r="A1388" s="20" t="s">
        <v>105</v>
      </c>
      <c r="B1388" s="20"/>
      <c r="C1388" s="20"/>
      <c r="D1388" s="46"/>
      <c r="E1388" s="35"/>
    </row>
    <row r="1389" ht="15.75" hidden="1" customHeight="1">
      <c r="A1389" s="20" t="s">
        <v>105</v>
      </c>
      <c r="B1389" s="47" t="s">
        <v>126</v>
      </c>
      <c r="C1389" s="12" t="str">
        <f>B1389&amp;"_"&amp;A1389</f>
        <v>Pocona_Cochabamba</v>
      </c>
      <c r="D1389" s="20"/>
      <c r="E1389" s="45">
        <v>65.0</v>
      </c>
      <c r="F1389" s="14">
        <f t="shared" ref="F1389:H1389" si="120">SUM(F1390:F1398)</f>
        <v>21.17544118</v>
      </c>
      <c r="G1389" s="14">
        <f t="shared" si="120"/>
        <v>42.62433308</v>
      </c>
      <c r="H1389" s="14">
        <f t="shared" si="120"/>
        <v>1.183476395</v>
      </c>
    </row>
    <row r="1390" ht="15.75" hidden="1" customHeight="1">
      <c r="A1390" s="20" t="s">
        <v>105</v>
      </c>
      <c r="B1390" s="47" t="s">
        <v>126</v>
      </c>
      <c r="C1390" s="47"/>
      <c r="D1390" s="19" t="s">
        <v>15</v>
      </c>
      <c r="E1390" s="23">
        <v>1.0</v>
      </c>
      <c r="F1390" s="18">
        <f>E1390* 0.932775698199239</f>
        <v>0.9327756982</v>
      </c>
      <c r="G1390" s="18">
        <f>E1390* 0.00808724987291465</f>
        <v>0.008087249873</v>
      </c>
      <c r="H1390" s="18">
        <f>E1390* 0.0590600305004852</f>
        <v>0.0590600305</v>
      </c>
    </row>
    <row r="1391" ht="15.75" hidden="1" customHeight="1">
      <c r="A1391" s="20" t="s">
        <v>105</v>
      </c>
      <c r="B1391" s="47" t="s">
        <v>126</v>
      </c>
      <c r="C1391" s="47"/>
      <c r="D1391" s="29" t="s">
        <v>442</v>
      </c>
      <c r="E1391" s="23">
        <v>1.0</v>
      </c>
      <c r="F1391" s="18">
        <f>E1391* 0.0803212851405623</f>
        <v>0.08032128514</v>
      </c>
      <c r="G1391" s="18">
        <f>E1391* 0.913367756741251</f>
        <v>0.9133677567</v>
      </c>
      <c r="H1391" s="18">
        <f>E1391* 0.0057372346528973</f>
        <v>0.005737234653</v>
      </c>
    </row>
    <row r="1392" ht="15.75" hidden="1" customHeight="1">
      <c r="A1392" s="20" t="s">
        <v>105</v>
      </c>
      <c r="B1392" s="47" t="s">
        <v>126</v>
      </c>
      <c r="C1392" s="47"/>
      <c r="D1392" s="19" t="s">
        <v>11</v>
      </c>
      <c r="E1392" s="23">
        <v>48.0</v>
      </c>
      <c r="F1392" s="18">
        <f>E1392* 0.150611071171819</f>
        <v>7.229331416</v>
      </c>
      <c r="G1392" s="18">
        <f>E1392* 0.847699496764917</f>
        <v>40.68957584</v>
      </c>
      <c r="H1392" s="18">
        <f>E1392* 0.00136592379583034</f>
        <v>0.0655643422</v>
      </c>
    </row>
    <row r="1393" ht="15.75" hidden="1" customHeight="1">
      <c r="A1393" s="20" t="s">
        <v>105</v>
      </c>
      <c r="B1393" s="47" t="s">
        <v>126</v>
      </c>
      <c r="C1393" s="47"/>
      <c r="D1393" s="19" t="s">
        <v>17</v>
      </c>
      <c r="E1393" s="23">
        <v>8.0</v>
      </c>
      <c r="F1393" s="18">
        <f>E1393* 0.840430229624022</f>
        <v>6.723441837</v>
      </c>
      <c r="G1393" s="18">
        <f>E1393* 0.0777504415846581</f>
        <v>0.6220035327</v>
      </c>
      <c r="H1393" s="18">
        <f>E1393* 0.0817877870300278</f>
        <v>0.6543022962</v>
      </c>
    </row>
    <row r="1394" ht="15.75" hidden="1" customHeight="1">
      <c r="A1394" s="20" t="s">
        <v>105</v>
      </c>
      <c r="B1394" s="47" t="s">
        <v>126</v>
      </c>
      <c r="C1394" s="47"/>
      <c r="D1394" s="19" t="s">
        <v>31</v>
      </c>
      <c r="E1394" s="23">
        <v>1.0</v>
      </c>
      <c r="F1394" s="18">
        <f>E1394* 0.901975683890578</f>
        <v>0.9019756839</v>
      </c>
      <c r="G1394" s="18">
        <f>E1394* 0.0364741641337386</f>
        <v>0.03647416413</v>
      </c>
      <c r="H1394" s="18">
        <f>E1394* 0.0615501519756839</f>
        <v>0.06155015198</v>
      </c>
    </row>
    <row r="1395" ht="15.75" hidden="1" customHeight="1">
      <c r="A1395" s="20" t="s">
        <v>105</v>
      </c>
      <c r="B1395" s="47" t="s">
        <v>126</v>
      </c>
      <c r="C1395" s="47"/>
      <c r="D1395" s="19" t="s">
        <v>18</v>
      </c>
      <c r="E1395" s="23">
        <v>1.0</v>
      </c>
      <c r="F1395" s="18">
        <f>E1395* 0.932934264493959</f>
        <v>0.9329342645</v>
      </c>
      <c r="G1395" s="18">
        <f>E1395* 0.0585300964416362</f>
        <v>0.05853009644</v>
      </c>
      <c r="H1395" s="18">
        <f>E1395* 0.00853563906440528</f>
        <v>0.008535639064</v>
      </c>
    </row>
    <row r="1396" ht="15.75" hidden="1" customHeight="1">
      <c r="A1396" s="20" t="s">
        <v>105</v>
      </c>
      <c r="B1396" s="47" t="s">
        <v>126</v>
      </c>
      <c r="C1396" s="47"/>
      <c r="D1396" s="19" t="s">
        <v>21</v>
      </c>
      <c r="E1396" s="23">
        <v>1.0</v>
      </c>
      <c r="F1396" s="18">
        <f>E1396* 0.999513766486355</f>
        <v>0.9995137665</v>
      </c>
      <c r="G1396" s="18">
        <f>E1396* 0.0000243116756822464</f>
        <v>0.00002431167568</v>
      </c>
      <c r="H1396" s="18">
        <f>E1396* 0.00034036345955145</f>
        <v>0.0003403634596</v>
      </c>
    </row>
    <row r="1397" ht="15.75" hidden="1" customHeight="1">
      <c r="A1397" s="20" t="s">
        <v>105</v>
      </c>
      <c r="B1397" s="47" t="s">
        <v>126</v>
      </c>
      <c r="C1397" s="47"/>
      <c r="D1397" s="19" t="s">
        <v>19</v>
      </c>
      <c r="E1397" s="35"/>
      <c r="F1397" s="18">
        <f>E1397* 0.290681971640783</f>
        <v>0</v>
      </c>
      <c r="G1397" s="18">
        <f>E1397* 0.694125590817016</f>
        <v>0</v>
      </c>
      <c r="H1397" s="18">
        <f>E1397* 0.0151924375422012</f>
        <v>0</v>
      </c>
    </row>
    <row r="1398" ht="15.75" hidden="1" customHeight="1">
      <c r="A1398" s="20" t="s">
        <v>105</v>
      </c>
      <c r="B1398" s="47" t="s">
        <v>126</v>
      </c>
      <c r="C1398" s="47"/>
      <c r="D1398" s="19" t="s">
        <v>12</v>
      </c>
      <c r="E1398" s="23">
        <v>4.0</v>
      </c>
      <c r="F1398" s="18">
        <f>E1398* 0.843786808009423</f>
        <v>3.375147232</v>
      </c>
      <c r="G1398" s="18">
        <f>E1398* 0.0740675304279545</f>
        <v>0.2962701217</v>
      </c>
      <c r="H1398" s="18">
        <f>E1398* 0.0820965842167256</f>
        <v>0.3283863369</v>
      </c>
    </row>
    <row r="1399" ht="15.75" hidden="1" customHeight="1">
      <c r="A1399" s="20" t="s">
        <v>105</v>
      </c>
      <c r="B1399" s="20"/>
      <c r="C1399" s="20"/>
      <c r="D1399" s="46"/>
      <c r="E1399" s="35"/>
    </row>
    <row r="1400" ht="15.75" hidden="1" customHeight="1">
      <c r="A1400" s="20" t="s">
        <v>105</v>
      </c>
      <c r="B1400" s="47" t="s">
        <v>127</v>
      </c>
      <c r="C1400" s="12" t="str">
        <f>B1400&amp;"_"&amp;A1400</f>
        <v>Pojo_Cochabamba</v>
      </c>
      <c r="D1400" s="20"/>
      <c r="E1400" s="45">
        <v>62.0</v>
      </c>
      <c r="F1400" s="14">
        <f t="shared" ref="F1400:H1400" si="121">SUM(F1401:F1408)</f>
        <v>43.2748023</v>
      </c>
      <c r="G1400" s="14">
        <f t="shared" si="121"/>
        <v>16.96786925</v>
      </c>
      <c r="H1400" s="14">
        <f t="shared" si="121"/>
        <v>1.747533859</v>
      </c>
    </row>
    <row r="1401" ht="15.75" hidden="1" customHeight="1">
      <c r="A1401" s="20" t="s">
        <v>105</v>
      </c>
      <c r="B1401" s="47" t="s">
        <v>127</v>
      </c>
      <c r="C1401" s="47"/>
      <c r="D1401" s="19" t="s">
        <v>15</v>
      </c>
      <c r="E1401" s="23">
        <v>1.0</v>
      </c>
      <c r="F1401" s="18">
        <f>E1401* 0.932775698199239</f>
        <v>0.9327756982</v>
      </c>
      <c r="G1401" s="18">
        <f>E1401* 0.00808724987291465</f>
        <v>0.008087249873</v>
      </c>
      <c r="H1401" s="18">
        <f>E1401* 0.0590600305004852</f>
        <v>0.0590600305</v>
      </c>
    </row>
    <row r="1402" ht="15.75" hidden="1" customHeight="1">
      <c r="A1402" s="20" t="s">
        <v>105</v>
      </c>
      <c r="B1402" s="47" t="s">
        <v>127</v>
      </c>
      <c r="C1402" s="47"/>
      <c r="D1402" s="29" t="s">
        <v>443</v>
      </c>
      <c r="E1402" s="23">
        <v>2.0</v>
      </c>
      <c r="F1402" s="18">
        <f>E1402* 0.0803212851405623</f>
        <v>0.1606425703</v>
      </c>
      <c r="G1402" s="18">
        <f>E1402* 0.913367756741251</f>
        <v>1.826735513</v>
      </c>
      <c r="H1402" s="18">
        <f>E1402* 0.0057372346528973</f>
        <v>0.01147446931</v>
      </c>
    </row>
    <row r="1403" ht="15.75" hidden="1" customHeight="1">
      <c r="A1403" s="20" t="s">
        <v>105</v>
      </c>
      <c r="B1403" s="47" t="s">
        <v>127</v>
      </c>
      <c r="C1403" s="47"/>
      <c r="D1403" s="19" t="s">
        <v>11</v>
      </c>
      <c r="E1403" s="23">
        <v>16.0</v>
      </c>
      <c r="F1403" s="18">
        <f>E1403* 0.150611071171819</f>
        <v>2.409777139</v>
      </c>
      <c r="G1403" s="18">
        <f>E1403* 0.847699496764917</f>
        <v>13.56319195</v>
      </c>
      <c r="H1403" s="18">
        <f>E1403* 0.00136592379583034</f>
        <v>0.02185478073</v>
      </c>
    </row>
    <row r="1404" ht="15.75" hidden="1" customHeight="1">
      <c r="A1404" s="20" t="s">
        <v>105</v>
      </c>
      <c r="B1404" s="47" t="s">
        <v>127</v>
      </c>
      <c r="C1404" s="47"/>
      <c r="D1404" s="19" t="s">
        <v>17</v>
      </c>
      <c r="E1404" s="23">
        <v>8.0</v>
      </c>
      <c r="F1404" s="18">
        <f>E1404* 0.840430229624022</f>
        <v>6.723441837</v>
      </c>
      <c r="G1404" s="18">
        <f>E1404* 0.0777504415846581</f>
        <v>0.6220035327</v>
      </c>
      <c r="H1404" s="18">
        <f>E1404* 0.0817877870300278</f>
        <v>0.6543022962</v>
      </c>
    </row>
    <row r="1405" ht="15.75" hidden="1" customHeight="1">
      <c r="A1405" s="20" t="s">
        <v>105</v>
      </c>
      <c r="B1405" s="47" t="s">
        <v>127</v>
      </c>
      <c r="C1405" s="47"/>
      <c r="D1405" s="19" t="s">
        <v>18</v>
      </c>
      <c r="E1405" s="23">
        <v>1.0</v>
      </c>
      <c r="F1405" s="18">
        <f>E1405* 0.932934264493959</f>
        <v>0.9329342645</v>
      </c>
      <c r="G1405" s="18">
        <f>E1405* 0.0585300964416362</f>
        <v>0.05853009644</v>
      </c>
      <c r="H1405" s="18">
        <f>E1405* 0.00853563906440528</f>
        <v>0.008535639064</v>
      </c>
    </row>
    <row r="1406" ht="15.75" hidden="1" customHeight="1">
      <c r="A1406" s="20" t="s">
        <v>105</v>
      </c>
      <c r="B1406" s="47" t="s">
        <v>127</v>
      </c>
      <c r="C1406" s="47"/>
      <c r="D1406" s="19" t="s">
        <v>21</v>
      </c>
      <c r="E1406" s="23">
        <v>21.0</v>
      </c>
      <c r="F1406" s="18">
        <f>E1406* 0.999513766486355</f>
        <v>20.9897891</v>
      </c>
      <c r="G1406" s="18">
        <f>E1406* 0.0000243116756822464</f>
        <v>0.0005105451893</v>
      </c>
      <c r="H1406" s="18">
        <f>E1406* 0.00034036345955145</f>
        <v>0.007147632651</v>
      </c>
    </row>
    <row r="1407" ht="15.75" hidden="1" customHeight="1">
      <c r="A1407" s="20" t="s">
        <v>105</v>
      </c>
      <c r="B1407" s="47" t="s">
        <v>127</v>
      </c>
      <c r="C1407" s="47"/>
      <c r="D1407" s="19" t="s">
        <v>36</v>
      </c>
      <c r="E1407" s="23">
        <v>1.0</v>
      </c>
      <c r="F1407" s="24">
        <f>E1407</f>
        <v>1</v>
      </c>
      <c r="G1407" s="20">
        <v>0.0</v>
      </c>
      <c r="H1407" s="20">
        <v>0.0</v>
      </c>
    </row>
    <row r="1408" ht="15.75" hidden="1" customHeight="1">
      <c r="A1408" s="20" t="s">
        <v>105</v>
      </c>
      <c r="B1408" s="47" t="s">
        <v>127</v>
      </c>
      <c r="C1408" s="47"/>
      <c r="D1408" s="19" t="s">
        <v>12</v>
      </c>
      <c r="E1408" s="23">
        <v>12.0</v>
      </c>
      <c r="F1408" s="18">
        <f>E1408* 0.843786808009423</f>
        <v>10.1254417</v>
      </c>
      <c r="G1408" s="18">
        <f>E1408* 0.0740675304279545</f>
        <v>0.8888103651</v>
      </c>
      <c r="H1408" s="18">
        <f>E1408* 0.0820965842167256</f>
        <v>0.9851590106</v>
      </c>
    </row>
    <row r="1409" ht="15.75" hidden="1" customHeight="1">
      <c r="A1409" s="20" t="s">
        <v>105</v>
      </c>
      <c r="B1409" s="20"/>
      <c r="C1409" s="20"/>
      <c r="D1409" s="46"/>
      <c r="E1409" s="35"/>
    </row>
    <row r="1410" ht="15.75" hidden="1" customHeight="1">
      <c r="A1410" s="20" t="s">
        <v>105</v>
      </c>
      <c r="B1410" s="47" t="s">
        <v>128</v>
      </c>
      <c r="C1410" s="12" t="str">
        <f>B1410&amp;"_"&amp;A1410</f>
        <v>Puerto Villarroel_Cochabamba</v>
      </c>
      <c r="D1410" s="20"/>
      <c r="E1410" s="45">
        <v>15132.0</v>
      </c>
      <c r="F1410" s="14">
        <f t="shared" ref="F1410:H1410" si="122">SUM(F1411:F1423)</f>
        <v>14322.74408</v>
      </c>
      <c r="G1410" s="14">
        <f t="shared" si="122"/>
        <v>589.5616352</v>
      </c>
      <c r="H1410" s="14">
        <f t="shared" si="122"/>
        <v>217.9262711</v>
      </c>
    </row>
    <row r="1411" ht="15.75" hidden="1" customHeight="1">
      <c r="A1411" s="20" t="s">
        <v>105</v>
      </c>
      <c r="B1411" s="47" t="s">
        <v>128</v>
      </c>
      <c r="C1411" s="47"/>
      <c r="D1411" s="29" t="s">
        <v>444</v>
      </c>
      <c r="E1411" s="23">
        <v>6.0</v>
      </c>
      <c r="F1411" s="20">
        <v>0.0</v>
      </c>
      <c r="G1411" s="24">
        <f>E1411</f>
        <v>6</v>
      </c>
      <c r="H1411" s="20">
        <v>0.0</v>
      </c>
    </row>
    <row r="1412" ht="15.75" hidden="1" customHeight="1">
      <c r="A1412" s="20" t="s">
        <v>105</v>
      </c>
      <c r="B1412" s="47" t="s">
        <v>128</v>
      </c>
      <c r="C1412" s="47"/>
      <c r="D1412" s="19" t="s">
        <v>15</v>
      </c>
      <c r="E1412" s="23">
        <v>46.0</v>
      </c>
      <c r="F1412" s="18">
        <f>E1412* 0.932775698199239</f>
        <v>42.90768212</v>
      </c>
      <c r="G1412" s="18">
        <f>E1412* 0.00808724987291465</f>
        <v>0.3720134942</v>
      </c>
      <c r="H1412" s="18">
        <f>E1412* 0.0590600305004852</f>
        <v>2.716761403</v>
      </c>
    </row>
    <row r="1413" ht="15.75" hidden="1" customHeight="1">
      <c r="A1413" s="20" t="s">
        <v>105</v>
      </c>
      <c r="B1413" s="47" t="s">
        <v>128</v>
      </c>
      <c r="C1413" s="47"/>
      <c r="D1413" s="29" t="s">
        <v>445</v>
      </c>
      <c r="E1413" s="23">
        <v>82.0</v>
      </c>
      <c r="F1413" s="18">
        <f>E1413* 0.0803212851405623</f>
        <v>6.586345382</v>
      </c>
      <c r="G1413" s="18">
        <f>E1413* 0.913367756741251</f>
        <v>74.89615605</v>
      </c>
      <c r="H1413" s="18">
        <f>E1413* 0.0057372346528973</f>
        <v>0.4704532415</v>
      </c>
    </row>
    <row r="1414" ht="15.75" hidden="1" customHeight="1">
      <c r="A1414" s="20" t="s">
        <v>105</v>
      </c>
      <c r="B1414" s="47" t="s">
        <v>128</v>
      </c>
      <c r="C1414" s="47"/>
      <c r="D1414" s="19" t="s">
        <v>11</v>
      </c>
      <c r="E1414" s="23">
        <v>312.0</v>
      </c>
      <c r="F1414" s="18">
        <f>E1414* 0.150611071171819</f>
        <v>46.99065421</v>
      </c>
      <c r="G1414" s="18">
        <f>E1414* 0.847699496764917</f>
        <v>264.482243</v>
      </c>
      <c r="H1414" s="18">
        <f>E1414* 0.00136592379583034</f>
        <v>0.4261682243</v>
      </c>
    </row>
    <row r="1415" ht="15.75" hidden="1" customHeight="1">
      <c r="A1415" s="20" t="s">
        <v>105</v>
      </c>
      <c r="B1415" s="47" t="s">
        <v>128</v>
      </c>
      <c r="C1415" s="47"/>
      <c r="D1415" s="19" t="s">
        <v>17</v>
      </c>
      <c r="E1415" s="23">
        <v>65.0</v>
      </c>
      <c r="F1415" s="18">
        <f>E1415* 0.840430229624022</f>
        <v>54.62796493</v>
      </c>
      <c r="G1415" s="18">
        <f>E1415* 0.0777504415846581</f>
        <v>5.053778703</v>
      </c>
      <c r="H1415" s="18">
        <f>E1415* 0.0817877870300278</f>
        <v>5.316206157</v>
      </c>
    </row>
    <row r="1416" ht="15.75" hidden="1" customHeight="1">
      <c r="A1416" s="20" t="s">
        <v>105</v>
      </c>
      <c r="B1416" s="47" t="s">
        <v>128</v>
      </c>
      <c r="C1416" s="47"/>
      <c r="D1416" s="19" t="s">
        <v>31</v>
      </c>
      <c r="E1416" s="23">
        <v>51.0</v>
      </c>
      <c r="F1416" s="18">
        <f>E1416* 0.901975683890578</f>
        <v>46.00075988</v>
      </c>
      <c r="G1416" s="18">
        <f>E1416* 0.0364741641337386</f>
        <v>1.860182371</v>
      </c>
      <c r="H1416" s="18">
        <f>E1416* 0.0615501519756839</f>
        <v>3.139057751</v>
      </c>
    </row>
    <row r="1417" ht="15.75" hidden="1" customHeight="1">
      <c r="A1417" s="20" t="s">
        <v>105</v>
      </c>
      <c r="B1417" s="47" t="s">
        <v>128</v>
      </c>
      <c r="C1417" s="47"/>
      <c r="D1417" s="19" t="s">
        <v>18</v>
      </c>
      <c r="E1417" s="23">
        <v>11.0</v>
      </c>
      <c r="F1417" s="18">
        <f>E1417* 0.932934264493959</f>
        <v>10.26227691</v>
      </c>
      <c r="G1417" s="18">
        <f>E1417* 0.0585300964416362</f>
        <v>0.6438310609</v>
      </c>
      <c r="H1417" s="18">
        <f>E1417* 0.00853563906440528</f>
        <v>0.09389202971</v>
      </c>
    </row>
    <row r="1418" ht="15.75" hidden="1" customHeight="1">
      <c r="A1418" s="20" t="s">
        <v>105</v>
      </c>
      <c r="B1418" s="47" t="s">
        <v>128</v>
      </c>
      <c r="C1418" s="47"/>
      <c r="D1418" s="19" t="s">
        <v>19</v>
      </c>
      <c r="E1418" s="23">
        <v>14.0</v>
      </c>
      <c r="F1418" s="18">
        <f>E1418* 0.290681971640783</f>
        <v>4.069547603</v>
      </c>
      <c r="G1418" s="18">
        <f>E1418* 0.694125590817016</f>
        <v>9.717758271</v>
      </c>
      <c r="H1418" s="18">
        <f>E1418* 0.0151924375422012</f>
        <v>0.2126941256</v>
      </c>
    </row>
    <row r="1419" ht="15.75" hidden="1" customHeight="1">
      <c r="A1419" s="20" t="s">
        <v>105</v>
      </c>
      <c r="B1419" s="47" t="s">
        <v>128</v>
      </c>
      <c r="C1419" s="47"/>
      <c r="D1419" s="19" t="s">
        <v>20</v>
      </c>
      <c r="E1419" s="23">
        <v>333.0</v>
      </c>
      <c r="F1419" s="18">
        <f>E1419* 0.686268801552644</f>
        <v>228.5275109</v>
      </c>
      <c r="G1419" s="18">
        <f>E1419* 0.196991751576904</f>
        <v>65.59825328</v>
      </c>
      <c r="H1419" s="18">
        <f>E1419* 0.116642406598738</f>
        <v>38.8419214</v>
      </c>
    </row>
    <row r="1420" ht="15.75" hidden="1" customHeight="1">
      <c r="A1420" s="20" t="s">
        <v>105</v>
      </c>
      <c r="B1420" s="47" t="s">
        <v>128</v>
      </c>
      <c r="C1420" s="47"/>
      <c r="D1420" s="19" t="s">
        <v>21</v>
      </c>
      <c r="E1420" s="23">
        <v>12216.0</v>
      </c>
      <c r="F1420" s="18">
        <f>E1420* 0.999513766486355</f>
        <v>12210.06017</v>
      </c>
      <c r="G1420" s="18">
        <f>E1420* 0.0000243116756822464</f>
        <v>0.2969914301</v>
      </c>
      <c r="H1420" s="18">
        <f>E1420* 0.00034036345955145</f>
        <v>4.157880022</v>
      </c>
    </row>
    <row r="1421" ht="15.75" hidden="1" customHeight="1">
      <c r="A1421" s="20" t="s">
        <v>105</v>
      </c>
      <c r="B1421" s="47" t="s">
        <v>128</v>
      </c>
      <c r="C1421" s="47"/>
      <c r="D1421" s="19" t="s">
        <v>36</v>
      </c>
      <c r="E1421" s="23">
        <v>2.0</v>
      </c>
      <c r="F1421" s="24">
        <f>E1421</f>
        <v>2</v>
      </c>
      <c r="G1421" s="20">
        <v>0.0</v>
      </c>
      <c r="H1421" s="20">
        <v>0.0</v>
      </c>
    </row>
    <row r="1422" ht="15.75" hidden="1" customHeight="1">
      <c r="A1422" s="20" t="s">
        <v>105</v>
      </c>
      <c r="B1422" s="47" t="s">
        <v>128</v>
      </c>
      <c r="C1422" s="47"/>
      <c r="D1422" s="19" t="s">
        <v>28</v>
      </c>
      <c r="E1422" s="23">
        <v>14.0</v>
      </c>
      <c r="F1422" s="18">
        <f>E1422* 0.00094876660341556</f>
        <v>0.01328273245</v>
      </c>
      <c r="G1422" s="18">
        <f>E1422* 0.999051233396584</f>
        <v>13.98671727</v>
      </c>
      <c r="H1422" s="20">
        <v>0.0</v>
      </c>
    </row>
    <row r="1423" ht="15.75" hidden="1" customHeight="1">
      <c r="A1423" s="20" t="s">
        <v>105</v>
      </c>
      <c r="B1423" s="47" t="s">
        <v>128</v>
      </c>
      <c r="C1423" s="47"/>
      <c r="D1423" s="19" t="s">
        <v>12</v>
      </c>
      <c r="E1423" s="23">
        <v>1980.0</v>
      </c>
      <c r="F1423" s="18">
        <f>E1423* 0.843786808009423</f>
        <v>1670.69788</v>
      </c>
      <c r="G1423" s="18">
        <f>E1423* 0.0740675304279545</f>
        <v>146.6537102</v>
      </c>
      <c r="H1423" s="18">
        <f>E1423* 0.0820965842167256</f>
        <v>162.5512367</v>
      </c>
    </row>
    <row r="1424" ht="15.75" hidden="1" customHeight="1">
      <c r="A1424" s="20" t="s">
        <v>105</v>
      </c>
      <c r="B1424" s="20"/>
      <c r="C1424" s="20"/>
      <c r="D1424" s="46"/>
      <c r="E1424" s="35"/>
    </row>
    <row r="1425" ht="15.75" hidden="1" customHeight="1">
      <c r="A1425" s="20" t="s">
        <v>105</v>
      </c>
      <c r="B1425" s="47" t="s">
        <v>129</v>
      </c>
      <c r="C1425" s="12" t="str">
        <f>B1425&amp;"_"&amp;A1425</f>
        <v>Punata_Cochabamba</v>
      </c>
      <c r="D1425" s="20"/>
      <c r="E1425" s="45">
        <v>7871.0</v>
      </c>
      <c r="F1425" s="14">
        <f t="shared" ref="F1425:H1425" si="123">SUM(F1426:F1438)</f>
        <v>6502.889625</v>
      </c>
      <c r="G1425" s="14">
        <f t="shared" si="123"/>
        <v>931.1924941</v>
      </c>
      <c r="H1425" s="14">
        <f t="shared" si="123"/>
        <v>436.2282255</v>
      </c>
    </row>
    <row r="1426" ht="15.75" hidden="1" customHeight="1">
      <c r="A1426" s="20" t="s">
        <v>105</v>
      </c>
      <c r="B1426" s="47" t="s">
        <v>129</v>
      </c>
      <c r="C1426" s="47"/>
      <c r="D1426" s="29" t="s">
        <v>446</v>
      </c>
      <c r="E1426" s="23">
        <v>6.0</v>
      </c>
      <c r="F1426" s="20">
        <v>0.0</v>
      </c>
      <c r="G1426" s="24">
        <f>E1426</f>
        <v>6</v>
      </c>
      <c r="H1426" s="20">
        <v>0.0</v>
      </c>
    </row>
    <row r="1427" ht="15.75" hidden="1" customHeight="1">
      <c r="A1427" s="20" t="s">
        <v>105</v>
      </c>
      <c r="B1427" s="47" t="s">
        <v>129</v>
      </c>
      <c r="C1427" s="47"/>
      <c r="D1427" s="19" t="s">
        <v>15</v>
      </c>
      <c r="E1427" s="23">
        <v>1175.0</v>
      </c>
      <c r="F1427" s="18">
        <f>E1427* 0.932775698199239</f>
        <v>1096.011445</v>
      </c>
      <c r="G1427" s="18">
        <f>E1427* 0.00808724987291465</f>
        <v>9.502518601</v>
      </c>
      <c r="H1427" s="18">
        <f>E1427* 0.0590600305004852</f>
        <v>69.39553584</v>
      </c>
    </row>
    <row r="1428" ht="15.75" hidden="1" customHeight="1">
      <c r="A1428" s="20" t="s">
        <v>105</v>
      </c>
      <c r="B1428" s="47" t="s">
        <v>129</v>
      </c>
      <c r="C1428" s="47"/>
      <c r="D1428" s="29" t="s">
        <v>447</v>
      </c>
      <c r="E1428" s="23">
        <v>19.0</v>
      </c>
      <c r="F1428" s="18">
        <f>E1428* 0.0803212851405623</f>
        <v>1.526104418</v>
      </c>
      <c r="G1428" s="18">
        <f>E1428* 0.913367756741251</f>
        <v>17.35398738</v>
      </c>
      <c r="H1428" s="18">
        <f>E1428* 0.0057372346528973</f>
        <v>0.1090074584</v>
      </c>
    </row>
    <row r="1429" ht="15.75" hidden="1" customHeight="1">
      <c r="A1429" s="20" t="s">
        <v>105</v>
      </c>
      <c r="B1429" s="47" t="s">
        <v>129</v>
      </c>
      <c r="C1429" s="47"/>
      <c r="D1429" s="19" t="s">
        <v>11</v>
      </c>
      <c r="E1429" s="23">
        <v>529.0</v>
      </c>
      <c r="F1429" s="18">
        <f>E1429* 0.150611071171819</f>
        <v>79.67325665</v>
      </c>
      <c r="G1429" s="18">
        <f>E1429* 0.847699496764917</f>
        <v>448.4330338</v>
      </c>
      <c r="H1429" s="18">
        <f>E1429* 0.00136592379583034</f>
        <v>0.722573688</v>
      </c>
    </row>
    <row r="1430" ht="15.75" hidden="1" customHeight="1">
      <c r="A1430" s="20" t="s">
        <v>105</v>
      </c>
      <c r="B1430" s="47" t="s">
        <v>129</v>
      </c>
      <c r="C1430" s="47"/>
      <c r="D1430" s="19" t="s">
        <v>17</v>
      </c>
      <c r="E1430" s="23">
        <v>567.0</v>
      </c>
      <c r="F1430" s="18">
        <f>E1430* 0.840430229624022</f>
        <v>476.5239402</v>
      </c>
      <c r="G1430" s="18">
        <f>E1430* 0.0777504415846581</f>
        <v>44.08450038</v>
      </c>
      <c r="H1430" s="18">
        <f>E1430* 0.0817877870300278</f>
        <v>46.37367525</v>
      </c>
    </row>
    <row r="1431" ht="15.75" hidden="1" customHeight="1">
      <c r="A1431" s="20" t="s">
        <v>105</v>
      </c>
      <c r="B1431" s="47" t="s">
        <v>129</v>
      </c>
      <c r="C1431" s="47"/>
      <c r="D1431" s="19" t="s">
        <v>31</v>
      </c>
      <c r="E1431" s="23">
        <v>57.0</v>
      </c>
      <c r="F1431" s="18">
        <f>E1431* 0.901975683890578</f>
        <v>51.41261398</v>
      </c>
      <c r="G1431" s="18">
        <f>E1431* 0.0364741641337386</f>
        <v>2.079027356</v>
      </c>
      <c r="H1431" s="18">
        <f>E1431* 0.0615501519756839</f>
        <v>3.508358663</v>
      </c>
    </row>
    <row r="1432" ht="15.75" hidden="1" customHeight="1">
      <c r="A1432" s="20" t="s">
        <v>105</v>
      </c>
      <c r="B1432" s="47" t="s">
        <v>129</v>
      </c>
      <c r="C1432" s="47"/>
      <c r="D1432" s="19" t="s">
        <v>18</v>
      </c>
      <c r="E1432" s="23">
        <v>86.0</v>
      </c>
      <c r="F1432" s="18">
        <f>E1432* 0.932934264493959</f>
        <v>80.23234675</v>
      </c>
      <c r="G1432" s="18">
        <f>E1432* 0.0585300964416362</f>
        <v>5.033588294</v>
      </c>
      <c r="H1432" s="18">
        <f>E1432* 0.00853563906440528</f>
        <v>0.7340649595</v>
      </c>
    </row>
    <row r="1433" ht="15.75" hidden="1" customHeight="1">
      <c r="A1433" s="20" t="s">
        <v>105</v>
      </c>
      <c r="B1433" s="47" t="s">
        <v>129</v>
      </c>
      <c r="C1433" s="47"/>
      <c r="D1433" s="19" t="s">
        <v>19</v>
      </c>
      <c r="E1433" s="23">
        <v>72.0</v>
      </c>
      <c r="F1433" s="18">
        <f>E1433* 0.290681971640783</f>
        <v>20.92910196</v>
      </c>
      <c r="G1433" s="18">
        <f>E1433* 0.694125590817016</f>
        <v>49.97704254</v>
      </c>
      <c r="H1433" s="18">
        <f>E1433* 0.0151924375422012</f>
        <v>1.093855503</v>
      </c>
    </row>
    <row r="1434" ht="15.75" hidden="1" customHeight="1">
      <c r="A1434" s="20" t="s">
        <v>105</v>
      </c>
      <c r="B1434" s="47" t="s">
        <v>129</v>
      </c>
      <c r="C1434" s="47"/>
      <c r="D1434" s="19" t="s">
        <v>20</v>
      </c>
      <c r="E1434" s="23">
        <v>367.0</v>
      </c>
      <c r="F1434" s="18">
        <f>E1434* 0.686268801552644</f>
        <v>251.8606502</v>
      </c>
      <c r="G1434" s="18">
        <f>E1434* 0.196991751576904</f>
        <v>72.29597283</v>
      </c>
      <c r="H1434" s="18">
        <f>E1434* 0.116642406598738</f>
        <v>42.80776322</v>
      </c>
    </row>
    <row r="1435" ht="15.75" hidden="1" customHeight="1">
      <c r="A1435" s="20" t="s">
        <v>105</v>
      </c>
      <c r="B1435" s="47" t="s">
        <v>129</v>
      </c>
      <c r="C1435" s="47"/>
      <c r="D1435" s="19" t="s">
        <v>21</v>
      </c>
      <c r="E1435" s="23">
        <v>1659.0</v>
      </c>
      <c r="F1435" s="18">
        <f>E1435* 0.999513766486355</f>
        <v>1658.193339</v>
      </c>
      <c r="G1435" s="18">
        <f>E1435* 0.0000243116756822464</f>
        <v>0.04033306996</v>
      </c>
      <c r="H1435" s="18">
        <f>E1435* 0.00034036345955145</f>
        <v>0.5646629794</v>
      </c>
    </row>
    <row r="1436" ht="15.75" hidden="1" customHeight="1">
      <c r="A1436" s="20" t="s">
        <v>105</v>
      </c>
      <c r="B1436" s="47" t="s">
        <v>129</v>
      </c>
      <c r="C1436" s="47"/>
      <c r="D1436" s="19" t="s">
        <v>36</v>
      </c>
      <c r="E1436" s="23">
        <v>2.0</v>
      </c>
      <c r="F1436" s="24">
        <f>E1436</f>
        <v>2</v>
      </c>
      <c r="G1436" s="20">
        <v>0.0</v>
      </c>
      <c r="H1436" s="20">
        <v>0.0</v>
      </c>
    </row>
    <row r="1437" ht="15.75" hidden="1" customHeight="1">
      <c r="A1437" s="20" t="s">
        <v>105</v>
      </c>
      <c r="B1437" s="47" t="s">
        <v>129</v>
      </c>
      <c r="C1437" s="47"/>
      <c r="D1437" s="19" t="s">
        <v>28</v>
      </c>
      <c r="E1437" s="23">
        <v>32.0</v>
      </c>
      <c r="F1437" s="18">
        <f>E1437* 0.00094876660341556</f>
        <v>0.03036053131</v>
      </c>
      <c r="G1437" s="18">
        <f>E1437* 0.999051233396584</f>
        <v>31.96963947</v>
      </c>
      <c r="H1437" s="20">
        <v>0.0</v>
      </c>
    </row>
    <row r="1438" ht="15.75" hidden="1" customHeight="1">
      <c r="A1438" s="20" t="s">
        <v>105</v>
      </c>
      <c r="B1438" s="47" t="s">
        <v>129</v>
      </c>
      <c r="C1438" s="47"/>
      <c r="D1438" s="19" t="s">
        <v>12</v>
      </c>
      <c r="E1438" s="23">
        <v>3300.0</v>
      </c>
      <c r="F1438" s="18">
        <f>E1438* 0.843786808009423</f>
        <v>2784.496466</v>
      </c>
      <c r="G1438" s="18">
        <f>E1438* 0.0740675304279545</f>
        <v>244.4228504</v>
      </c>
      <c r="H1438" s="18">
        <f>E1438* 0.0820965842167256</f>
        <v>270.9187279</v>
      </c>
    </row>
    <row r="1439" ht="15.75" hidden="1" customHeight="1">
      <c r="A1439" s="20" t="s">
        <v>105</v>
      </c>
      <c r="B1439" s="20"/>
      <c r="C1439" s="20"/>
      <c r="D1439" s="46"/>
      <c r="E1439" s="35"/>
    </row>
    <row r="1440" ht="15.75" hidden="1" customHeight="1">
      <c r="A1440" s="20" t="s">
        <v>105</v>
      </c>
      <c r="B1440" s="47" t="s">
        <v>130</v>
      </c>
      <c r="C1440" s="12" t="str">
        <f>B1440&amp;"_"&amp;A1440</f>
        <v>Quillacollo_Cochabamba</v>
      </c>
      <c r="D1440" s="20"/>
      <c r="E1440" s="45">
        <v>69591.0</v>
      </c>
      <c r="F1440" s="14">
        <f t="shared" ref="F1440:H1440" si="124">SUM(F1441:F1454)</f>
        <v>51715.75549</v>
      </c>
      <c r="G1440" s="14">
        <f t="shared" si="124"/>
        <v>14256.41965</v>
      </c>
      <c r="H1440" s="14">
        <f t="shared" si="124"/>
        <v>3612.089257</v>
      </c>
    </row>
    <row r="1441" ht="15.75" hidden="1" customHeight="1">
      <c r="A1441" s="20" t="s">
        <v>105</v>
      </c>
      <c r="B1441" s="47" t="s">
        <v>130</v>
      </c>
      <c r="C1441" s="47"/>
      <c r="D1441" s="29" t="s">
        <v>448</v>
      </c>
      <c r="E1441" s="23">
        <v>21.0</v>
      </c>
      <c r="F1441" s="20">
        <v>0.0</v>
      </c>
      <c r="G1441" s="24">
        <f>E1441</f>
        <v>21</v>
      </c>
      <c r="H1441" s="20">
        <v>0.0</v>
      </c>
    </row>
    <row r="1442" ht="15.75" hidden="1" customHeight="1">
      <c r="A1442" s="20" t="s">
        <v>105</v>
      </c>
      <c r="B1442" s="47" t="s">
        <v>130</v>
      </c>
      <c r="C1442" s="47"/>
      <c r="D1442" s="19" t="s">
        <v>15</v>
      </c>
      <c r="E1442" s="23">
        <v>11628.0</v>
      </c>
      <c r="F1442" s="18">
        <f>E1442* 0.932775698199239</f>
        <v>10846.31582</v>
      </c>
      <c r="G1442" s="18">
        <f>E1442* 0.00808724987291465</f>
        <v>94.03854152</v>
      </c>
      <c r="H1442" s="18">
        <f>E1442* 0.0590600305004852</f>
        <v>686.7500347</v>
      </c>
    </row>
    <row r="1443" ht="15.75" hidden="1" customHeight="1">
      <c r="A1443" s="20" t="s">
        <v>105</v>
      </c>
      <c r="B1443" s="47" t="s">
        <v>130</v>
      </c>
      <c r="C1443" s="47"/>
      <c r="D1443" s="29" t="s">
        <v>449</v>
      </c>
      <c r="E1443" s="23">
        <v>321.0</v>
      </c>
      <c r="F1443" s="18">
        <f>E1443* 0.0803212851405623</f>
        <v>25.78313253</v>
      </c>
      <c r="G1443" s="18">
        <f>E1443* 0.913367756741251</f>
        <v>293.1910499</v>
      </c>
      <c r="H1443" s="18">
        <f>E1443* 0.0057372346528973</f>
        <v>1.841652324</v>
      </c>
    </row>
    <row r="1444" ht="15.75" hidden="1" customHeight="1">
      <c r="A1444" s="20" t="s">
        <v>105</v>
      </c>
      <c r="B1444" s="47" t="s">
        <v>130</v>
      </c>
      <c r="C1444" s="47"/>
      <c r="D1444" s="19" t="s">
        <v>11</v>
      </c>
      <c r="E1444" s="23">
        <v>8417.0</v>
      </c>
      <c r="F1444" s="18">
        <f>E1444* 0.150611071171819</f>
        <v>1267.693386</v>
      </c>
      <c r="G1444" s="18">
        <f>E1444* 0.847699496764917</f>
        <v>7135.086664</v>
      </c>
      <c r="H1444" s="18">
        <f>E1444* 0.00136592379583034</f>
        <v>11.49698059</v>
      </c>
    </row>
    <row r="1445" ht="15.75" hidden="1" customHeight="1">
      <c r="A1445" s="20" t="s">
        <v>105</v>
      </c>
      <c r="B1445" s="47" t="s">
        <v>130</v>
      </c>
      <c r="C1445" s="47"/>
      <c r="D1445" s="19" t="s">
        <v>17</v>
      </c>
      <c r="E1445" s="23">
        <v>7385.0</v>
      </c>
      <c r="F1445" s="18">
        <f>E1445* 0.840430229624022</f>
        <v>6206.577246</v>
      </c>
      <c r="G1445" s="18">
        <f>E1445* 0.0777504415846581</f>
        <v>574.1870111</v>
      </c>
      <c r="H1445" s="18">
        <f>E1445* 0.0817877870300278</f>
        <v>604.0028072</v>
      </c>
    </row>
    <row r="1446" ht="15.75" hidden="1" customHeight="1">
      <c r="A1446" s="20" t="s">
        <v>105</v>
      </c>
      <c r="B1446" s="47" t="s">
        <v>130</v>
      </c>
      <c r="C1446" s="47"/>
      <c r="D1446" s="19" t="s">
        <v>31</v>
      </c>
      <c r="E1446" s="23">
        <v>333.0</v>
      </c>
      <c r="F1446" s="18">
        <f>E1446* 0.901975683890578</f>
        <v>300.3579027</v>
      </c>
      <c r="G1446" s="18">
        <f>E1446* 0.0364741641337386</f>
        <v>12.14589666</v>
      </c>
      <c r="H1446" s="18">
        <f>E1446* 0.0615501519756839</f>
        <v>20.49620061</v>
      </c>
    </row>
    <row r="1447" ht="15.75" hidden="1" customHeight="1">
      <c r="A1447" s="20" t="s">
        <v>105</v>
      </c>
      <c r="B1447" s="47" t="s">
        <v>130</v>
      </c>
      <c r="C1447" s="47"/>
      <c r="D1447" s="19" t="s">
        <v>18</v>
      </c>
      <c r="E1447" s="23">
        <v>1626.0</v>
      </c>
      <c r="F1447" s="18">
        <f>E1447* 0.932934264493959</f>
        <v>1516.951114</v>
      </c>
      <c r="G1447" s="18">
        <f>E1447* 0.0585300964416362</f>
        <v>95.16993681</v>
      </c>
      <c r="H1447" s="18">
        <f>E1447* 0.00853563906440528</f>
        <v>13.87894912</v>
      </c>
    </row>
    <row r="1448" ht="15.75" hidden="1" customHeight="1">
      <c r="A1448" s="20" t="s">
        <v>105</v>
      </c>
      <c r="B1448" s="47" t="s">
        <v>130</v>
      </c>
      <c r="C1448" s="47"/>
      <c r="D1448" s="19" t="s">
        <v>19</v>
      </c>
      <c r="E1448" s="23">
        <v>687.0</v>
      </c>
      <c r="F1448" s="18">
        <f>E1448* 0.290681971640783</f>
        <v>199.6985145</v>
      </c>
      <c r="G1448" s="18">
        <f>E1448* 0.694125590817016</f>
        <v>476.8642809</v>
      </c>
      <c r="H1448" s="18">
        <f>E1448* 0.0151924375422012</f>
        <v>10.43720459</v>
      </c>
    </row>
    <row r="1449" ht="15.75" hidden="1" customHeight="1">
      <c r="A1449" s="20" t="s">
        <v>105</v>
      </c>
      <c r="B1449" s="47" t="s">
        <v>130</v>
      </c>
      <c r="C1449" s="47"/>
      <c r="D1449" s="19" t="s">
        <v>20</v>
      </c>
      <c r="E1449" s="23">
        <v>4095.0</v>
      </c>
      <c r="F1449" s="18">
        <f>E1449* 0.686268801552644</f>
        <v>2810.270742</v>
      </c>
      <c r="G1449" s="18">
        <f>E1449* 0.196991751576904</f>
        <v>806.6812227</v>
      </c>
      <c r="H1449" s="18">
        <f>E1449* 0.116642406598738</f>
        <v>477.650655</v>
      </c>
    </row>
    <row r="1450" ht="15.75" hidden="1" customHeight="1">
      <c r="A1450" s="20" t="s">
        <v>105</v>
      </c>
      <c r="B1450" s="47" t="s">
        <v>130</v>
      </c>
      <c r="C1450" s="47"/>
      <c r="D1450" s="19" t="s">
        <v>21</v>
      </c>
      <c r="E1450" s="23">
        <v>10178.0</v>
      </c>
      <c r="F1450" s="18">
        <f>E1450* 0.999513766486355</f>
        <v>10173.05112</v>
      </c>
      <c r="G1450" s="18">
        <f>E1450* 0.0000243116756822464</f>
        <v>0.2474442351</v>
      </c>
      <c r="H1450" s="18">
        <f>E1450* 0.00034036345955145</f>
        <v>3.464219291</v>
      </c>
    </row>
    <row r="1451" ht="15.75" hidden="1" customHeight="1">
      <c r="A1451" s="20" t="s">
        <v>105</v>
      </c>
      <c r="B1451" s="47" t="s">
        <v>130</v>
      </c>
      <c r="C1451" s="47"/>
      <c r="D1451" s="19" t="s">
        <v>36</v>
      </c>
      <c r="E1451" s="23">
        <v>50.0</v>
      </c>
      <c r="F1451" s="24">
        <f>E1451</f>
        <v>50</v>
      </c>
      <c r="G1451" s="20">
        <v>0.0</v>
      </c>
      <c r="H1451" s="20">
        <v>0.0</v>
      </c>
    </row>
    <row r="1452" ht="15.75" hidden="1" customHeight="1">
      <c r="A1452" s="20" t="s">
        <v>105</v>
      </c>
      <c r="B1452" s="47" t="s">
        <v>130</v>
      </c>
      <c r="C1452" s="47"/>
      <c r="D1452" s="19" t="s">
        <v>37</v>
      </c>
      <c r="E1452" s="23">
        <v>6.0</v>
      </c>
      <c r="F1452" s="20">
        <v>0.0</v>
      </c>
      <c r="G1452" s="24">
        <f>E1452</f>
        <v>6</v>
      </c>
      <c r="H1452" s="20">
        <v>0.0</v>
      </c>
    </row>
    <row r="1453" ht="15.75" hidden="1" customHeight="1">
      <c r="A1453" s="20" t="s">
        <v>105</v>
      </c>
      <c r="B1453" s="47" t="s">
        <v>130</v>
      </c>
      <c r="C1453" s="47"/>
      <c r="D1453" s="19" t="s">
        <v>28</v>
      </c>
      <c r="E1453" s="23">
        <v>3137.0</v>
      </c>
      <c r="F1453" s="18">
        <f>E1453* 0.00094876660341556</f>
        <v>2.976280835</v>
      </c>
      <c r="G1453" s="18">
        <f>E1453* 0.999051233396584</f>
        <v>3134.023719</v>
      </c>
      <c r="H1453" s="20">
        <v>0.0</v>
      </c>
    </row>
    <row r="1454" ht="15.75" hidden="1" customHeight="1">
      <c r="A1454" s="20" t="s">
        <v>105</v>
      </c>
      <c r="B1454" s="47" t="s">
        <v>130</v>
      </c>
      <c r="C1454" s="47"/>
      <c r="D1454" s="19" t="s">
        <v>12</v>
      </c>
      <c r="E1454" s="23">
        <v>21707.0</v>
      </c>
      <c r="F1454" s="18">
        <f>E1454* 0.843786808009423</f>
        <v>18316.08024</v>
      </c>
      <c r="G1454" s="18">
        <f>E1454* 0.0740675304279545</f>
        <v>1607.783883</v>
      </c>
      <c r="H1454" s="18">
        <f>E1454* 0.0820965842167256</f>
        <v>1782.070554</v>
      </c>
    </row>
    <row r="1455" ht="15.75" hidden="1" customHeight="1">
      <c r="A1455" s="20" t="s">
        <v>105</v>
      </c>
      <c r="B1455" s="20"/>
      <c r="C1455" s="20"/>
      <c r="D1455" s="46"/>
      <c r="E1455" s="35"/>
    </row>
    <row r="1456" ht="15.75" hidden="1" customHeight="1">
      <c r="A1456" s="20" t="s">
        <v>105</v>
      </c>
      <c r="B1456" s="47" t="s">
        <v>131</v>
      </c>
      <c r="C1456" s="12" t="str">
        <f>B1456&amp;"_"&amp;A1456</f>
        <v>Sacaba_Cochabamba</v>
      </c>
      <c r="D1456" s="20"/>
      <c r="E1456" s="45">
        <v>53392.0</v>
      </c>
      <c r="F1456" s="14">
        <f t="shared" ref="F1456:H1456" si="125">SUM(F1457:F1472)</f>
        <v>40724.07191</v>
      </c>
      <c r="G1456" s="14">
        <f t="shared" si="125"/>
        <v>10223.82362</v>
      </c>
      <c r="H1456" s="14">
        <f t="shared" si="125"/>
        <v>2438.28494</v>
      </c>
    </row>
    <row r="1457" ht="15.75" hidden="1" customHeight="1">
      <c r="A1457" s="20" t="s">
        <v>105</v>
      </c>
      <c r="B1457" s="47" t="s">
        <v>131</v>
      </c>
      <c r="C1457" s="47"/>
      <c r="D1457" s="29" t="s">
        <v>450</v>
      </c>
      <c r="E1457" s="23">
        <v>19.0</v>
      </c>
      <c r="F1457" s="20">
        <v>0.0</v>
      </c>
      <c r="G1457" s="24">
        <f>E1457</f>
        <v>19</v>
      </c>
      <c r="H1457" s="20">
        <v>0.0</v>
      </c>
    </row>
    <row r="1458" ht="15.75" hidden="1" customHeight="1">
      <c r="A1458" s="20" t="s">
        <v>105</v>
      </c>
      <c r="B1458" s="47" t="s">
        <v>131</v>
      </c>
      <c r="C1458" s="47"/>
      <c r="D1458" s="19" t="s">
        <v>15</v>
      </c>
      <c r="E1458" s="23">
        <v>6132.0</v>
      </c>
      <c r="F1458" s="18">
        <f>E1458* 0.932775698199239</f>
        <v>5719.780581</v>
      </c>
      <c r="G1458" s="18">
        <f>E1458* 0.00808724987291465</f>
        <v>49.59101622</v>
      </c>
      <c r="H1458" s="18">
        <f>E1458* 0.0590600305004852</f>
        <v>362.156107</v>
      </c>
    </row>
    <row r="1459" ht="15.75" hidden="1" customHeight="1">
      <c r="A1459" s="20" t="s">
        <v>105</v>
      </c>
      <c r="B1459" s="47" t="s">
        <v>131</v>
      </c>
      <c r="C1459" s="47"/>
      <c r="D1459" s="29" t="s">
        <v>451</v>
      </c>
      <c r="E1459" s="23">
        <v>343.0</v>
      </c>
      <c r="F1459" s="18">
        <f>E1459* 0.0803212851405623</f>
        <v>27.5502008</v>
      </c>
      <c r="G1459" s="18">
        <f>E1459* 0.913367756741251</f>
        <v>313.2851406</v>
      </c>
      <c r="H1459" s="18">
        <f>E1459* 0.0057372346528973</f>
        <v>1.967871486</v>
      </c>
    </row>
    <row r="1460" ht="15.75" hidden="1" customHeight="1">
      <c r="A1460" s="20" t="s">
        <v>105</v>
      </c>
      <c r="B1460" s="47" t="s">
        <v>131</v>
      </c>
      <c r="C1460" s="47"/>
      <c r="D1460" s="19" t="s">
        <v>11</v>
      </c>
      <c r="E1460" s="23">
        <v>6260.0</v>
      </c>
      <c r="F1460" s="18">
        <f>E1460* 0.150611071171819</f>
        <v>942.8253055</v>
      </c>
      <c r="G1460" s="18">
        <f>E1460* 0.847699496764917</f>
        <v>5306.59885</v>
      </c>
      <c r="H1460" s="18">
        <f>E1460* 0.00136592379583034</f>
        <v>8.550682962</v>
      </c>
    </row>
    <row r="1461" ht="15.75" hidden="1" customHeight="1">
      <c r="A1461" s="20" t="s">
        <v>105</v>
      </c>
      <c r="B1461" s="47" t="s">
        <v>131</v>
      </c>
      <c r="C1461" s="47"/>
      <c r="D1461" s="19" t="s">
        <v>17</v>
      </c>
      <c r="E1461" s="23">
        <v>4587.0</v>
      </c>
      <c r="F1461" s="18">
        <f>E1461* 0.840430229624022</f>
        <v>3855.053463</v>
      </c>
      <c r="G1461" s="18">
        <f>E1461* 0.0777504415846581</f>
        <v>356.6412755</v>
      </c>
      <c r="H1461" s="18">
        <f>E1461* 0.0817877870300278</f>
        <v>375.1605791</v>
      </c>
    </row>
    <row r="1462" ht="15.75" hidden="1" customHeight="1">
      <c r="A1462" s="20" t="s">
        <v>105</v>
      </c>
      <c r="B1462" s="47" t="s">
        <v>131</v>
      </c>
      <c r="C1462" s="47"/>
      <c r="D1462" s="19" t="s">
        <v>31</v>
      </c>
      <c r="E1462" s="23">
        <v>208.0</v>
      </c>
      <c r="F1462" s="18">
        <f>E1462* 0.901975683890578</f>
        <v>187.6109422</v>
      </c>
      <c r="G1462" s="18">
        <f>E1462* 0.0364741641337386</f>
        <v>7.58662614</v>
      </c>
      <c r="H1462" s="18">
        <f>E1462* 0.0615501519756839</f>
        <v>12.80243161</v>
      </c>
    </row>
    <row r="1463" ht="15.75" hidden="1" customHeight="1">
      <c r="A1463" s="20" t="s">
        <v>105</v>
      </c>
      <c r="B1463" s="47" t="s">
        <v>131</v>
      </c>
      <c r="C1463" s="47"/>
      <c r="D1463" s="19" t="s">
        <v>18</v>
      </c>
      <c r="E1463" s="23">
        <v>734.0</v>
      </c>
      <c r="F1463" s="18">
        <f>E1463* 0.932934264493959</f>
        <v>684.7737501</v>
      </c>
      <c r="G1463" s="18">
        <f>E1463* 0.0585300964416362</f>
        <v>42.96109079</v>
      </c>
      <c r="H1463" s="18">
        <f>E1463* 0.00853563906440528</f>
        <v>6.265159073</v>
      </c>
    </row>
    <row r="1464" ht="15.75" hidden="1" customHeight="1">
      <c r="A1464" s="20" t="s">
        <v>105</v>
      </c>
      <c r="B1464" s="47" t="s">
        <v>131</v>
      </c>
      <c r="C1464" s="47"/>
      <c r="D1464" s="29" t="s">
        <v>452</v>
      </c>
      <c r="E1464" s="23">
        <v>1.0</v>
      </c>
      <c r="F1464" s="20">
        <v>0.0</v>
      </c>
      <c r="G1464" s="24">
        <f>E1464</f>
        <v>1</v>
      </c>
      <c r="H1464" s="20">
        <v>0.0</v>
      </c>
    </row>
    <row r="1465" ht="15.75" hidden="1" customHeight="1">
      <c r="A1465" s="20" t="s">
        <v>105</v>
      </c>
      <c r="B1465" s="47" t="s">
        <v>131</v>
      </c>
      <c r="C1465" s="47"/>
      <c r="D1465" s="19" t="s">
        <v>19</v>
      </c>
      <c r="E1465" s="23">
        <v>307.0</v>
      </c>
      <c r="F1465" s="18">
        <f>E1465* 0.290681971640783</f>
        <v>89.23936529</v>
      </c>
      <c r="G1465" s="18">
        <f>E1465* 0.694125590817016</f>
        <v>213.0965564</v>
      </c>
      <c r="H1465" s="18">
        <f>E1465* 0.0151924375422012</f>
        <v>4.664078325</v>
      </c>
    </row>
    <row r="1466" ht="15.75" hidden="1" customHeight="1">
      <c r="A1466" s="20" t="s">
        <v>105</v>
      </c>
      <c r="B1466" s="47" t="s">
        <v>131</v>
      </c>
      <c r="C1466" s="47"/>
      <c r="D1466" s="19" t="s">
        <v>20</v>
      </c>
      <c r="E1466" s="23">
        <v>5726.0</v>
      </c>
      <c r="F1466" s="18">
        <f>E1466* 0.686268801552644</f>
        <v>3929.575158</v>
      </c>
      <c r="G1466" s="18">
        <f>E1466* 0.196991751576904</f>
        <v>1127.97477</v>
      </c>
      <c r="H1466" s="18">
        <f>E1466* 0.116642406598738</f>
        <v>667.8944202</v>
      </c>
    </row>
    <row r="1467" ht="15.75" hidden="1" customHeight="1">
      <c r="A1467" s="20" t="s">
        <v>105</v>
      </c>
      <c r="B1467" s="47" t="s">
        <v>131</v>
      </c>
      <c r="C1467" s="47"/>
      <c r="D1467" s="19" t="s">
        <v>21</v>
      </c>
      <c r="E1467" s="23">
        <v>15062.0</v>
      </c>
      <c r="F1467" s="18">
        <f>E1467* 0.999513766486355</f>
        <v>15054.67635</v>
      </c>
      <c r="G1467" s="18">
        <f>E1467* 0.0000243116756822464</f>
        <v>0.3661824591</v>
      </c>
      <c r="H1467" s="18">
        <f>E1467* 0.00034036345955145</f>
        <v>5.126554428</v>
      </c>
    </row>
    <row r="1468" ht="15.75" hidden="1" customHeight="1">
      <c r="A1468" s="20" t="s">
        <v>105</v>
      </c>
      <c r="B1468" s="47" t="s">
        <v>131</v>
      </c>
      <c r="C1468" s="47"/>
      <c r="D1468" s="19" t="s">
        <v>36</v>
      </c>
      <c r="E1468" s="23">
        <v>18.0</v>
      </c>
      <c r="F1468" s="24">
        <f>E1468</f>
        <v>18</v>
      </c>
      <c r="G1468" s="20">
        <v>0.0</v>
      </c>
      <c r="H1468" s="20">
        <v>0.0</v>
      </c>
    </row>
    <row r="1469" ht="15.75" hidden="1" customHeight="1">
      <c r="A1469" s="20" t="s">
        <v>105</v>
      </c>
      <c r="B1469" s="47" t="s">
        <v>131</v>
      </c>
      <c r="C1469" s="47"/>
      <c r="D1469" s="19" t="s">
        <v>37</v>
      </c>
      <c r="E1469" s="23">
        <v>2.0</v>
      </c>
      <c r="F1469" s="20">
        <v>0.0</v>
      </c>
      <c r="G1469" s="24">
        <f>E1469</f>
        <v>2</v>
      </c>
      <c r="H1469" s="20">
        <v>0.0</v>
      </c>
    </row>
    <row r="1470" ht="15.75" hidden="1" customHeight="1">
      <c r="A1470" s="20" t="s">
        <v>105</v>
      </c>
      <c r="B1470" s="47" t="s">
        <v>131</v>
      </c>
      <c r="C1470" s="47"/>
      <c r="D1470" s="19" t="s">
        <v>28</v>
      </c>
      <c r="E1470" s="23">
        <v>1888.0</v>
      </c>
      <c r="F1470" s="18">
        <f>E1470* 0.00094876660341556</f>
        <v>1.791271347</v>
      </c>
      <c r="G1470" s="18">
        <f>E1470* 0.999051233396584</f>
        <v>1886.208729</v>
      </c>
      <c r="H1470" s="20">
        <v>0.0</v>
      </c>
    </row>
    <row r="1471" ht="15.75" hidden="1" customHeight="1">
      <c r="A1471" s="20" t="s">
        <v>105</v>
      </c>
      <c r="B1471" s="47" t="s">
        <v>131</v>
      </c>
      <c r="C1471" s="47"/>
      <c r="D1471" s="19" t="s">
        <v>84</v>
      </c>
      <c r="E1471" s="23">
        <v>1.0</v>
      </c>
      <c r="F1471" s="20">
        <v>0.0</v>
      </c>
      <c r="G1471" s="24">
        <f>E1471</f>
        <v>1</v>
      </c>
      <c r="H1471" s="20">
        <v>0.0</v>
      </c>
    </row>
    <row r="1472" ht="15.75" hidden="1" customHeight="1">
      <c r="A1472" s="20" t="s">
        <v>105</v>
      </c>
      <c r="B1472" s="47" t="s">
        <v>131</v>
      </c>
      <c r="C1472" s="47"/>
      <c r="D1472" s="19" t="s">
        <v>12</v>
      </c>
      <c r="E1472" s="23">
        <v>12104.0</v>
      </c>
      <c r="F1472" s="18">
        <f>E1472* 0.843786808009423</f>
        <v>10213.19552</v>
      </c>
      <c r="G1472" s="18">
        <f>E1472* 0.0740675304279545</f>
        <v>896.5133883</v>
      </c>
      <c r="H1472" s="18">
        <f>E1472* 0.0820965842167256</f>
        <v>993.6970554</v>
      </c>
    </row>
    <row r="1473" ht="15.75" hidden="1" customHeight="1">
      <c r="A1473" s="20" t="s">
        <v>105</v>
      </c>
      <c r="B1473" s="20"/>
      <c r="C1473" s="20"/>
      <c r="D1473" s="46"/>
      <c r="E1473" s="35"/>
    </row>
    <row r="1474" ht="15.75" hidden="1" customHeight="1">
      <c r="A1474" s="20" t="s">
        <v>105</v>
      </c>
      <c r="B1474" s="47" t="s">
        <v>132</v>
      </c>
      <c r="C1474" s="12" t="str">
        <f>B1474&amp;"_"&amp;A1474</f>
        <v>Sacabamba_Cochabamba</v>
      </c>
      <c r="D1474" s="20"/>
      <c r="E1474" s="45">
        <v>6.0</v>
      </c>
      <c r="F1474" s="14">
        <f t="shared" ref="F1474:H1474" si="126">SUM(F1475:F1478)</f>
        <v>4.121181035</v>
      </c>
      <c r="G1474" s="14">
        <f t="shared" si="126"/>
        <v>1.697374594</v>
      </c>
      <c r="H1474" s="14">
        <f t="shared" si="126"/>
        <v>0.1808146623</v>
      </c>
    </row>
    <row r="1475" ht="15.75" hidden="1" customHeight="1">
      <c r="A1475" s="20" t="s">
        <v>105</v>
      </c>
      <c r="B1475" s="47" t="s">
        <v>132</v>
      </c>
      <c r="C1475" s="47"/>
      <c r="D1475" s="19" t="s">
        <v>11</v>
      </c>
      <c r="E1475" s="23">
        <v>1.0</v>
      </c>
      <c r="F1475" s="18">
        <f>E1475* 0.150611071171819</f>
        <v>0.1506110712</v>
      </c>
      <c r="G1475" s="18">
        <f>E1475* 0.847699496764917</f>
        <v>0.8476994968</v>
      </c>
      <c r="H1475" s="18">
        <f>E1475* 0.00136592379583034</f>
        <v>0.001365923796</v>
      </c>
    </row>
    <row r="1476" ht="15.75" hidden="1" customHeight="1">
      <c r="A1476" s="20" t="s">
        <v>105</v>
      </c>
      <c r="B1476" s="47" t="s">
        <v>132</v>
      </c>
      <c r="C1476" s="47"/>
      <c r="D1476" s="19" t="s">
        <v>17</v>
      </c>
      <c r="E1476" s="23">
        <v>2.0</v>
      </c>
      <c r="F1476" s="18">
        <f>E1476* 0.840430229624022</f>
        <v>1.680860459</v>
      </c>
      <c r="G1476" s="18">
        <f>E1476* 0.0777504415846581</f>
        <v>0.1555008832</v>
      </c>
      <c r="H1476" s="18">
        <f>E1476* 0.0817877870300278</f>
        <v>0.1635755741</v>
      </c>
    </row>
    <row r="1477" ht="15.75" hidden="1" customHeight="1">
      <c r="A1477" s="20" t="s">
        <v>105</v>
      </c>
      <c r="B1477" s="47" t="s">
        <v>132</v>
      </c>
      <c r="C1477" s="47"/>
      <c r="D1477" s="19" t="s">
        <v>19</v>
      </c>
      <c r="E1477" s="23">
        <v>1.0</v>
      </c>
      <c r="F1477" s="18">
        <f>E1477* 0.290681971640783</f>
        <v>0.2906819716</v>
      </c>
      <c r="G1477" s="18">
        <f>E1477* 0.694125590817016</f>
        <v>0.6941255908</v>
      </c>
      <c r="H1477" s="18">
        <f>E1477* 0.0151924375422012</f>
        <v>0.01519243754</v>
      </c>
    </row>
    <row r="1478" ht="15.75" hidden="1" customHeight="1">
      <c r="A1478" s="20" t="s">
        <v>105</v>
      </c>
      <c r="B1478" s="47" t="s">
        <v>132</v>
      </c>
      <c r="C1478" s="47"/>
      <c r="D1478" s="19" t="s">
        <v>21</v>
      </c>
      <c r="E1478" s="23">
        <v>2.0</v>
      </c>
      <c r="F1478" s="18">
        <f>E1478* 0.999513766486355</f>
        <v>1.999027533</v>
      </c>
      <c r="G1478" s="18">
        <f>E1478* 0.0000243116756822464</f>
        <v>0.00004862335136</v>
      </c>
      <c r="H1478" s="18">
        <f>E1478* 0.00034036345955145</f>
        <v>0.0006807269191</v>
      </c>
    </row>
    <row r="1479" ht="15.75" hidden="1" customHeight="1">
      <c r="A1479" s="20" t="s">
        <v>105</v>
      </c>
      <c r="B1479" s="20"/>
      <c r="C1479" s="20"/>
      <c r="D1479" s="46"/>
      <c r="E1479" s="35"/>
    </row>
    <row r="1480" ht="15.75" hidden="1" customHeight="1">
      <c r="A1480" s="20" t="s">
        <v>105</v>
      </c>
      <c r="B1480" s="47" t="s">
        <v>133</v>
      </c>
      <c r="C1480" s="12" t="str">
        <f>B1480&amp;"_"&amp;A1480</f>
        <v>San Benito_Cochabamba</v>
      </c>
      <c r="D1480" s="20"/>
      <c r="E1480" s="45">
        <v>1441.0</v>
      </c>
      <c r="F1480" s="14">
        <f t="shared" ref="F1480:H1480" si="127">SUM(F1481:F1491)</f>
        <v>1094.475789</v>
      </c>
      <c r="G1480" s="14">
        <f t="shared" si="127"/>
        <v>257.8753494</v>
      </c>
      <c r="H1480" s="14">
        <f t="shared" si="127"/>
        <v>88.50320108</v>
      </c>
    </row>
    <row r="1481" ht="15.75" hidden="1" customHeight="1">
      <c r="A1481" s="20" t="s">
        <v>105</v>
      </c>
      <c r="B1481" s="47" t="s">
        <v>133</v>
      </c>
      <c r="C1481" s="47"/>
      <c r="D1481" s="29" t="s">
        <v>453</v>
      </c>
      <c r="E1481" s="23">
        <v>5.0</v>
      </c>
      <c r="F1481" s="20">
        <v>0.0</v>
      </c>
      <c r="G1481" s="24">
        <f>E1481</f>
        <v>5</v>
      </c>
      <c r="H1481" s="20">
        <v>0.0</v>
      </c>
    </row>
    <row r="1482" ht="15.75" hidden="1" customHeight="1">
      <c r="A1482" s="20" t="s">
        <v>105</v>
      </c>
      <c r="B1482" s="47" t="s">
        <v>133</v>
      </c>
      <c r="C1482" s="47"/>
      <c r="D1482" s="19" t="s">
        <v>15</v>
      </c>
      <c r="E1482" s="23">
        <v>148.0</v>
      </c>
      <c r="F1482" s="18">
        <f>E1482* 0.932775698199239</f>
        <v>138.0508033</v>
      </c>
      <c r="G1482" s="18">
        <f>E1482* 0.00808724987291465</f>
        <v>1.196912981</v>
      </c>
      <c r="H1482" s="18">
        <f>E1482* 0.0590600305004852</f>
        <v>8.740884514</v>
      </c>
    </row>
    <row r="1483" ht="15.75" hidden="1" customHeight="1">
      <c r="A1483" s="20" t="s">
        <v>105</v>
      </c>
      <c r="B1483" s="47" t="s">
        <v>133</v>
      </c>
      <c r="C1483" s="47"/>
      <c r="D1483" s="29" t="s">
        <v>454</v>
      </c>
      <c r="E1483" s="23">
        <v>1.0</v>
      </c>
      <c r="F1483" s="18">
        <f>E1483* 0.0803212851405623</f>
        <v>0.08032128514</v>
      </c>
      <c r="G1483" s="18">
        <f>E1483* 0.913367756741251</f>
        <v>0.9133677567</v>
      </c>
      <c r="H1483" s="18">
        <f>E1483* 0.0057372346528973</f>
        <v>0.005737234653</v>
      </c>
    </row>
    <row r="1484" ht="15.75" hidden="1" customHeight="1">
      <c r="A1484" s="20" t="s">
        <v>105</v>
      </c>
      <c r="B1484" s="47" t="s">
        <v>133</v>
      </c>
      <c r="C1484" s="47"/>
      <c r="D1484" s="19" t="s">
        <v>11</v>
      </c>
      <c r="E1484" s="23">
        <v>154.0</v>
      </c>
      <c r="F1484" s="18">
        <f>E1484* 0.150611071171819</f>
        <v>23.19410496</v>
      </c>
      <c r="G1484" s="18">
        <f>E1484* 0.847699496764917</f>
        <v>130.5457225</v>
      </c>
      <c r="H1484" s="18">
        <f>E1484* 0.00136592379583034</f>
        <v>0.2103522646</v>
      </c>
    </row>
    <row r="1485" ht="15.75" hidden="1" customHeight="1">
      <c r="A1485" s="20" t="s">
        <v>105</v>
      </c>
      <c r="B1485" s="47" t="s">
        <v>133</v>
      </c>
      <c r="C1485" s="47"/>
      <c r="D1485" s="19" t="s">
        <v>17</v>
      </c>
      <c r="E1485" s="23">
        <v>136.0</v>
      </c>
      <c r="F1485" s="18">
        <f>E1485* 0.840430229624022</f>
        <v>114.2985112</v>
      </c>
      <c r="G1485" s="18">
        <f>E1485* 0.0777504415846581</f>
        <v>10.57406006</v>
      </c>
      <c r="H1485" s="18">
        <f>E1485* 0.0817877870300278</f>
        <v>11.12313904</v>
      </c>
    </row>
    <row r="1486" ht="15.75" hidden="1" customHeight="1">
      <c r="A1486" s="20" t="s">
        <v>105</v>
      </c>
      <c r="B1486" s="47" t="s">
        <v>133</v>
      </c>
      <c r="C1486" s="47"/>
      <c r="D1486" s="19" t="s">
        <v>31</v>
      </c>
      <c r="E1486" s="23">
        <v>8.0</v>
      </c>
      <c r="F1486" s="18">
        <f>E1486* 0.901975683890578</f>
        <v>7.215805471</v>
      </c>
      <c r="G1486" s="18">
        <f>E1486* 0.0364741641337386</f>
        <v>0.2917933131</v>
      </c>
      <c r="H1486" s="18">
        <f>E1486* 0.0615501519756839</f>
        <v>0.4924012158</v>
      </c>
    </row>
    <row r="1487" ht="15.75" hidden="1" customHeight="1">
      <c r="A1487" s="20" t="s">
        <v>105</v>
      </c>
      <c r="B1487" s="47" t="s">
        <v>133</v>
      </c>
      <c r="C1487" s="47"/>
      <c r="D1487" s="19" t="s">
        <v>18</v>
      </c>
      <c r="E1487" s="23">
        <v>9.0</v>
      </c>
      <c r="F1487" s="18">
        <f>E1487* 0.932934264493959</f>
        <v>8.39640838</v>
      </c>
      <c r="G1487" s="18">
        <f>E1487* 0.0585300964416362</f>
        <v>0.526770868</v>
      </c>
      <c r="H1487" s="18">
        <f>E1487* 0.00853563906440528</f>
        <v>0.07682075158</v>
      </c>
    </row>
    <row r="1488" ht="15.75" hidden="1" customHeight="1">
      <c r="A1488" s="20" t="s">
        <v>105</v>
      </c>
      <c r="B1488" s="47" t="s">
        <v>133</v>
      </c>
      <c r="C1488" s="47"/>
      <c r="D1488" s="19" t="s">
        <v>20</v>
      </c>
      <c r="E1488" s="23">
        <v>291.0</v>
      </c>
      <c r="F1488" s="18">
        <f>E1488* 0.686268801552644</f>
        <v>199.7042213</v>
      </c>
      <c r="G1488" s="18">
        <f>E1488* 0.196991751576904</f>
        <v>57.32459971</v>
      </c>
      <c r="H1488" s="18">
        <f>E1488* 0.116642406598738</f>
        <v>33.94294032</v>
      </c>
    </row>
    <row r="1489" ht="15.75" hidden="1" customHeight="1">
      <c r="A1489" s="20" t="s">
        <v>105</v>
      </c>
      <c r="B1489" s="47" t="s">
        <v>133</v>
      </c>
      <c r="C1489" s="47"/>
      <c r="D1489" s="19" t="s">
        <v>21</v>
      </c>
      <c r="E1489" s="23">
        <v>256.0</v>
      </c>
      <c r="F1489" s="18">
        <f>E1489* 0.999513766486355</f>
        <v>255.8755242</v>
      </c>
      <c r="G1489" s="18">
        <f>E1489* 0.0000243116756822464</f>
        <v>0.006223788975</v>
      </c>
      <c r="H1489" s="18">
        <f>E1489* 0.00034036345955145</f>
        <v>0.08713304565</v>
      </c>
    </row>
    <row r="1490" ht="15.75" hidden="1" customHeight="1">
      <c r="A1490" s="20" t="s">
        <v>105</v>
      </c>
      <c r="B1490" s="47" t="s">
        <v>133</v>
      </c>
      <c r="C1490" s="47"/>
      <c r="D1490" s="19" t="s">
        <v>28</v>
      </c>
      <c r="E1490" s="23">
        <v>21.0</v>
      </c>
      <c r="F1490" s="18">
        <f>E1490* 0.00094876660341556</f>
        <v>0.01992409867</v>
      </c>
      <c r="G1490" s="18">
        <f>E1490* 0.999051233396584</f>
        <v>20.9800759</v>
      </c>
      <c r="H1490" s="20">
        <v>0.0</v>
      </c>
    </row>
    <row r="1491" ht="15.75" hidden="1" customHeight="1">
      <c r="A1491" s="20" t="s">
        <v>105</v>
      </c>
      <c r="B1491" s="47" t="s">
        <v>133</v>
      </c>
      <c r="C1491" s="47"/>
      <c r="D1491" s="19" t="s">
        <v>12</v>
      </c>
      <c r="E1491" s="23">
        <v>412.0</v>
      </c>
      <c r="F1491" s="18">
        <f>E1491* 0.843786808009423</f>
        <v>347.6401649</v>
      </c>
      <c r="G1491" s="18">
        <f>E1491* 0.0740675304279545</f>
        <v>30.51582254</v>
      </c>
      <c r="H1491" s="18">
        <f>E1491* 0.0820965842167256</f>
        <v>33.8237927</v>
      </c>
    </row>
    <row r="1492" ht="15.75" hidden="1" customHeight="1">
      <c r="A1492" s="20" t="s">
        <v>105</v>
      </c>
      <c r="B1492" s="20"/>
      <c r="C1492" s="20"/>
      <c r="D1492" s="46"/>
      <c r="E1492" s="35"/>
    </row>
    <row r="1493" ht="15.75" hidden="1" customHeight="1">
      <c r="A1493" s="20" t="s">
        <v>105</v>
      </c>
      <c r="B1493" s="47" t="s">
        <v>134</v>
      </c>
      <c r="C1493" s="12" t="str">
        <f>B1493&amp;"_"&amp;A1493</f>
        <v>Santiváñez_Cochabamba</v>
      </c>
      <c r="D1493" s="20"/>
      <c r="E1493" s="45">
        <v>339.0</v>
      </c>
      <c r="F1493" s="14">
        <f t="shared" ref="F1493:H1493" si="128">SUM(F1494:F1504)</f>
        <v>250.6297834</v>
      </c>
      <c r="G1493" s="14">
        <f t="shared" si="128"/>
        <v>75.3461652</v>
      </c>
      <c r="H1493" s="14">
        <f t="shared" si="128"/>
        <v>12.98287654</v>
      </c>
    </row>
    <row r="1494" ht="15.75" hidden="1" customHeight="1">
      <c r="A1494" s="20" t="s">
        <v>105</v>
      </c>
      <c r="B1494" s="47" t="s">
        <v>134</v>
      </c>
      <c r="C1494" s="47"/>
      <c r="D1494" s="29" t="s">
        <v>455</v>
      </c>
      <c r="E1494" s="23">
        <v>3.0</v>
      </c>
      <c r="F1494" s="20">
        <v>0.0</v>
      </c>
      <c r="G1494" s="24">
        <f>E1494</f>
        <v>3</v>
      </c>
      <c r="H1494" s="20">
        <v>0.0</v>
      </c>
    </row>
    <row r="1495" ht="15.75" hidden="1" customHeight="1">
      <c r="A1495" s="20" t="s">
        <v>105</v>
      </c>
      <c r="B1495" s="47" t="s">
        <v>134</v>
      </c>
      <c r="C1495" s="47"/>
      <c r="D1495" s="19" t="s">
        <v>15</v>
      </c>
      <c r="E1495" s="23">
        <v>31.0</v>
      </c>
      <c r="F1495" s="18">
        <f>E1495* 0.932775698199239</f>
        <v>28.91604664</v>
      </c>
      <c r="G1495" s="18">
        <f>E1495* 0.00808724987291465</f>
        <v>0.2507047461</v>
      </c>
      <c r="H1495" s="18">
        <f>E1495* 0.0590600305004852</f>
        <v>1.830860946</v>
      </c>
    </row>
    <row r="1496" ht="15.75" hidden="1" customHeight="1">
      <c r="A1496" s="20" t="s">
        <v>105</v>
      </c>
      <c r="B1496" s="47" t="s">
        <v>134</v>
      </c>
      <c r="C1496" s="47"/>
      <c r="D1496" s="19" t="s">
        <v>11</v>
      </c>
      <c r="E1496" s="23">
        <v>58.0</v>
      </c>
      <c r="F1496" s="18">
        <f>E1496* 0.150611071171819</f>
        <v>8.735442128</v>
      </c>
      <c r="G1496" s="18">
        <f>E1496* 0.847699496764917</f>
        <v>49.16657081</v>
      </c>
      <c r="H1496" s="18">
        <f>E1496* 0.00136592379583034</f>
        <v>0.07922358016</v>
      </c>
    </row>
    <row r="1497" ht="15.75" hidden="1" customHeight="1">
      <c r="A1497" s="20" t="s">
        <v>105</v>
      </c>
      <c r="B1497" s="47" t="s">
        <v>134</v>
      </c>
      <c r="C1497" s="47"/>
      <c r="D1497" s="19" t="s">
        <v>17</v>
      </c>
      <c r="E1497" s="23">
        <v>18.0</v>
      </c>
      <c r="F1497" s="18">
        <f>E1497* 0.840430229624022</f>
        <v>15.12774413</v>
      </c>
      <c r="G1497" s="18">
        <f>E1497* 0.0777504415846581</f>
        <v>1.399507949</v>
      </c>
      <c r="H1497" s="18">
        <f>E1497* 0.0817877870300278</f>
        <v>1.472180167</v>
      </c>
    </row>
    <row r="1498" ht="15.75" hidden="1" customHeight="1">
      <c r="A1498" s="20" t="s">
        <v>105</v>
      </c>
      <c r="B1498" s="47" t="s">
        <v>134</v>
      </c>
      <c r="C1498" s="47"/>
      <c r="D1498" s="19" t="s">
        <v>31</v>
      </c>
      <c r="E1498" s="23">
        <v>4.0</v>
      </c>
      <c r="F1498" s="18">
        <f>E1498* 0.901975683890578</f>
        <v>3.607902736</v>
      </c>
      <c r="G1498" s="18">
        <f>E1498* 0.0364741641337386</f>
        <v>0.1458966565</v>
      </c>
      <c r="H1498" s="18">
        <f>E1498* 0.0615501519756839</f>
        <v>0.2462006079</v>
      </c>
    </row>
    <row r="1499" ht="15.75" hidden="1" customHeight="1">
      <c r="A1499" s="20" t="s">
        <v>105</v>
      </c>
      <c r="B1499" s="47" t="s">
        <v>134</v>
      </c>
      <c r="C1499" s="47"/>
      <c r="D1499" s="19" t="s">
        <v>18</v>
      </c>
      <c r="E1499" s="23">
        <v>2.0</v>
      </c>
      <c r="F1499" s="18">
        <f>E1499* 0.932934264493959</f>
        <v>1.865868529</v>
      </c>
      <c r="G1499" s="18">
        <f>E1499* 0.0585300964416362</f>
        <v>0.1170601929</v>
      </c>
      <c r="H1499" s="18">
        <f>E1499* 0.00853563906440528</f>
        <v>0.01707127813</v>
      </c>
    </row>
    <row r="1500" ht="15.75" hidden="1" customHeight="1">
      <c r="A1500" s="20" t="s">
        <v>105</v>
      </c>
      <c r="B1500" s="47" t="s">
        <v>134</v>
      </c>
      <c r="C1500" s="47"/>
      <c r="D1500" s="19" t="s">
        <v>19</v>
      </c>
      <c r="E1500" s="23">
        <v>1.0</v>
      </c>
      <c r="F1500" s="18">
        <f>E1500* 0.290681971640783</f>
        <v>0.2906819716</v>
      </c>
      <c r="G1500" s="18">
        <f>E1500* 0.694125590817016</f>
        <v>0.6941255908</v>
      </c>
      <c r="H1500" s="18">
        <f>E1500* 0.0151924375422012</f>
        <v>0.01519243754</v>
      </c>
    </row>
    <row r="1501" ht="15.75" hidden="1" customHeight="1">
      <c r="A1501" s="20" t="s">
        <v>105</v>
      </c>
      <c r="B1501" s="47" t="s">
        <v>134</v>
      </c>
      <c r="C1501" s="47"/>
      <c r="D1501" s="19" t="s">
        <v>20</v>
      </c>
      <c r="E1501" s="23">
        <v>24.0</v>
      </c>
      <c r="F1501" s="18">
        <f>E1501* 0.686268801552644</f>
        <v>16.47045124</v>
      </c>
      <c r="G1501" s="18">
        <f>E1501* 0.196991751576904</f>
        <v>4.727802038</v>
      </c>
      <c r="H1501" s="18">
        <f>E1501* 0.116642406598738</f>
        <v>2.799417758</v>
      </c>
    </row>
    <row r="1502" ht="15.75" hidden="1" customHeight="1">
      <c r="A1502" s="20" t="s">
        <v>105</v>
      </c>
      <c r="B1502" s="47" t="s">
        <v>134</v>
      </c>
      <c r="C1502" s="47"/>
      <c r="D1502" s="19" t="s">
        <v>21</v>
      </c>
      <c r="E1502" s="23">
        <v>109.0</v>
      </c>
      <c r="F1502" s="18">
        <f>E1502* 0.999513766486355</f>
        <v>108.9470005</v>
      </c>
      <c r="G1502" s="18">
        <f>E1502* 0.0000243116756822464</f>
        <v>0.002649972649</v>
      </c>
      <c r="H1502" s="18">
        <f>E1502* 0.00034036345955145</f>
        <v>0.03709961709</v>
      </c>
    </row>
    <row r="1503" ht="15.75" hidden="1" customHeight="1">
      <c r="A1503" s="20" t="s">
        <v>105</v>
      </c>
      <c r="B1503" s="47" t="s">
        <v>134</v>
      </c>
      <c r="C1503" s="47"/>
      <c r="D1503" s="19" t="s">
        <v>28</v>
      </c>
      <c r="E1503" s="23">
        <v>10.0</v>
      </c>
      <c r="F1503" s="18">
        <f>E1503* 0.00094876660341556</f>
        <v>0.009487666034</v>
      </c>
      <c r="G1503" s="18">
        <f>E1503* 0.999051233396584</f>
        <v>9.990512334</v>
      </c>
      <c r="H1503" s="20">
        <v>0.0</v>
      </c>
    </row>
    <row r="1504" ht="15.75" hidden="1" customHeight="1">
      <c r="A1504" s="20" t="s">
        <v>105</v>
      </c>
      <c r="B1504" s="47" t="s">
        <v>134</v>
      </c>
      <c r="C1504" s="47"/>
      <c r="D1504" s="19" t="s">
        <v>12</v>
      </c>
      <c r="E1504" s="23">
        <v>79.0</v>
      </c>
      <c r="F1504" s="18">
        <f>E1504* 0.843786808009423</f>
        <v>66.65915783</v>
      </c>
      <c r="G1504" s="18">
        <f>E1504* 0.0740675304279545</f>
        <v>5.851334904</v>
      </c>
      <c r="H1504" s="18">
        <f>E1504* 0.0820965842167256</f>
        <v>6.485630153</v>
      </c>
    </row>
    <row r="1505" ht="15.75" hidden="1" customHeight="1">
      <c r="A1505" s="20" t="s">
        <v>105</v>
      </c>
      <c r="B1505" s="20"/>
      <c r="C1505" s="20"/>
      <c r="D1505" s="46"/>
      <c r="E1505" s="35"/>
    </row>
    <row r="1506" ht="15.75" hidden="1" customHeight="1">
      <c r="A1506" s="20" t="s">
        <v>105</v>
      </c>
      <c r="B1506" s="47" t="s">
        <v>135</v>
      </c>
      <c r="C1506" s="12" t="str">
        <f>B1506&amp;"_"&amp;A1506</f>
        <v>Shinahota_Cochabamba</v>
      </c>
      <c r="D1506" s="20"/>
      <c r="E1506" s="45">
        <v>3692.0</v>
      </c>
      <c r="F1506" s="14">
        <f t="shared" ref="F1506:H1506" si="129">SUM(F1507:F1519)</f>
        <v>3560.922691</v>
      </c>
      <c r="G1506" s="14">
        <f t="shared" si="129"/>
        <v>87.41021927</v>
      </c>
      <c r="H1506" s="14">
        <f t="shared" si="129"/>
        <v>43.24568931</v>
      </c>
    </row>
    <row r="1507" ht="15.75" hidden="1" customHeight="1">
      <c r="A1507" s="20" t="s">
        <v>105</v>
      </c>
      <c r="B1507" s="47" t="s">
        <v>135</v>
      </c>
      <c r="C1507" s="47"/>
      <c r="D1507" s="29" t="s">
        <v>456</v>
      </c>
      <c r="E1507" s="23">
        <v>2.0</v>
      </c>
      <c r="F1507" s="20">
        <v>0.0</v>
      </c>
      <c r="G1507" s="24">
        <f>E1507</f>
        <v>2</v>
      </c>
      <c r="H1507" s="20">
        <v>0.0</v>
      </c>
    </row>
    <row r="1508" ht="15.75" hidden="1" customHeight="1">
      <c r="A1508" s="20" t="s">
        <v>105</v>
      </c>
      <c r="B1508" s="47" t="s">
        <v>135</v>
      </c>
      <c r="C1508" s="47"/>
      <c r="D1508" s="19" t="s">
        <v>15</v>
      </c>
      <c r="E1508" s="23">
        <v>18.0</v>
      </c>
      <c r="F1508" s="18">
        <f>E1508* 0.932775698199239</f>
        <v>16.78996257</v>
      </c>
      <c r="G1508" s="18">
        <f>E1508* 0.00808724987291465</f>
        <v>0.1455704977</v>
      </c>
      <c r="H1508" s="18">
        <f>E1508* 0.0590600305004852</f>
        <v>1.063080549</v>
      </c>
    </row>
    <row r="1509" ht="15.75" hidden="1" customHeight="1">
      <c r="A1509" s="20" t="s">
        <v>105</v>
      </c>
      <c r="B1509" s="47" t="s">
        <v>135</v>
      </c>
      <c r="C1509" s="47"/>
      <c r="D1509" s="29" t="s">
        <v>457</v>
      </c>
      <c r="E1509" s="23">
        <v>3.0</v>
      </c>
      <c r="F1509" s="18">
        <f>E1509* 0.0803212851405623</f>
        <v>0.2409638554</v>
      </c>
      <c r="G1509" s="18">
        <f>E1509* 0.913367756741251</f>
        <v>2.74010327</v>
      </c>
      <c r="H1509" s="18">
        <f>E1509* 0.0057372346528973</f>
        <v>0.01721170396</v>
      </c>
    </row>
    <row r="1510" ht="15.75" hidden="1" customHeight="1">
      <c r="A1510" s="20" t="s">
        <v>105</v>
      </c>
      <c r="B1510" s="47" t="s">
        <v>135</v>
      </c>
      <c r="C1510" s="47"/>
      <c r="D1510" s="19" t="s">
        <v>11</v>
      </c>
      <c r="E1510" s="23">
        <v>43.0</v>
      </c>
      <c r="F1510" s="18">
        <f>E1510* 0.150611071171819</f>
        <v>6.47627606</v>
      </c>
      <c r="G1510" s="18">
        <f>E1510* 0.847699496764917</f>
        <v>36.45107836</v>
      </c>
      <c r="H1510" s="18">
        <f>E1510* 0.00136592379583034</f>
        <v>0.05873472322</v>
      </c>
    </row>
    <row r="1511" ht="15.75" hidden="1" customHeight="1">
      <c r="A1511" s="20" t="s">
        <v>105</v>
      </c>
      <c r="B1511" s="47" t="s">
        <v>135</v>
      </c>
      <c r="C1511" s="47"/>
      <c r="D1511" s="19" t="s">
        <v>17</v>
      </c>
      <c r="E1511" s="23">
        <v>30.0</v>
      </c>
      <c r="F1511" s="18">
        <f>E1511* 0.840430229624022</f>
        <v>25.21290689</v>
      </c>
      <c r="G1511" s="18">
        <f>E1511* 0.0777504415846581</f>
        <v>2.332513248</v>
      </c>
      <c r="H1511" s="18">
        <f>E1511* 0.0817877870300278</f>
        <v>2.453633611</v>
      </c>
    </row>
    <row r="1512" ht="15.75" hidden="1" customHeight="1">
      <c r="A1512" s="20" t="s">
        <v>105</v>
      </c>
      <c r="B1512" s="47" t="s">
        <v>135</v>
      </c>
      <c r="C1512" s="47"/>
      <c r="D1512" s="19" t="s">
        <v>31</v>
      </c>
      <c r="E1512" s="23">
        <v>11.0</v>
      </c>
      <c r="F1512" s="18">
        <f>E1512* 0.901975683890578</f>
        <v>9.921732523</v>
      </c>
      <c r="G1512" s="18">
        <f>E1512* 0.0364741641337386</f>
        <v>0.4012158055</v>
      </c>
      <c r="H1512" s="18">
        <f>E1512* 0.0615501519756839</f>
        <v>0.6770516717</v>
      </c>
    </row>
    <row r="1513" ht="15.75" hidden="1" customHeight="1">
      <c r="A1513" s="20" t="s">
        <v>105</v>
      </c>
      <c r="B1513" s="47" t="s">
        <v>135</v>
      </c>
      <c r="C1513" s="47"/>
      <c r="D1513" s="19" t="s">
        <v>18</v>
      </c>
      <c r="E1513" s="23">
        <v>7.0</v>
      </c>
      <c r="F1513" s="18">
        <f>E1513* 0.932934264493959</f>
        <v>6.530539851</v>
      </c>
      <c r="G1513" s="18">
        <f>E1513* 0.0585300964416362</f>
        <v>0.4097106751</v>
      </c>
      <c r="H1513" s="18">
        <f>E1513* 0.00853563906440528</f>
        <v>0.05974947345</v>
      </c>
    </row>
    <row r="1514" ht="15.75" hidden="1" customHeight="1">
      <c r="A1514" s="20" t="s">
        <v>105</v>
      </c>
      <c r="B1514" s="47" t="s">
        <v>135</v>
      </c>
      <c r="C1514" s="47"/>
      <c r="D1514" s="19" t="s">
        <v>19</v>
      </c>
      <c r="E1514" s="23">
        <v>5.0</v>
      </c>
      <c r="F1514" s="18">
        <f>E1514* 0.290681971640783</f>
        <v>1.453409858</v>
      </c>
      <c r="G1514" s="18">
        <f>E1514* 0.694125590817016</f>
        <v>3.470627954</v>
      </c>
      <c r="H1514" s="18">
        <f>E1514* 0.0151924375422012</f>
        <v>0.07596218771</v>
      </c>
    </row>
    <row r="1515" ht="15.75" hidden="1" customHeight="1">
      <c r="A1515" s="20" t="s">
        <v>105</v>
      </c>
      <c r="B1515" s="47" t="s">
        <v>135</v>
      </c>
      <c r="C1515" s="47"/>
      <c r="D1515" s="19" t="s">
        <v>20</v>
      </c>
      <c r="E1515" s="23">
        <v>36.0</v>
      </c>
      <c r="F1515" s="18">
        <f>E1515* 0.686268801552644</f>
        <v>24.70567686</v>
      </c>
      <c r="G1515" s="18">
        <f>E1515* 0.196991751576904</f>
        <v>7.091703057</v>
      </c>
      <c r="H1515" s="18">
        <f>E1515* 0.116642406598738</f>
        <v>4.199126638</v>
      </c>
    </row>
    <row r="1516" ht="15.75" hidden="1" customHeight="1">
      <c r="A1516" s="20" t="s">
        <v>105</v>
      </c>
      <c r="B1516" s="47" t="s">
        <v>135</v>
      </c>
      <c r="C1516" s="47"/>
      <c r="D1516" s="19" t="s">
        <v>21</v>
      </c>
      <c r="E1516" s="23">
        <v>3125.0</v>
      </c>
      <c r="F1516" s="18">
        <f>E1516* 0.999513766486355</f>
        <v>3123.48052</v>
      </c>
      <c r="G1516" s="18">
        <f>E1516* 0.0000243116756822464</f>
        <v>0.07597398651</v>
      </c>
      <c r="H1516" s="18">
        <f>E1516* 0.00034036345955145</f>
        <v>1.063635811</v>
      </c>
    </row>
    <row r="1517" ht="15.75" hidden="1" customHeight="1">
      <c r="A1517" s="20" t="s">
        <v>105</v>
      </c>
      <c r="B1517" s="47" t="s">
        <v>135</v>
      </c>
      <c r="C1517" s="47"/>
      <c r="D1517" s="19" t="s">
        <v>36</v>
      </c>
      <c r="E1517" s="23">
        <v>1.0</v>
      </c>
      <c r="F1517" s="24">
        <f>E1517</f>
        <v>1</v>
      </c>
      <c r="G1517" s="20">
        <v>0.0</v>
      </c>
      <c r="H1517" s="20">
        <v>0.0</v>
      </c>
    </row>
    <row r="1518" ht="15.75" hidden="1" customHeight="1">
      <c r="A1518" s="20" t="s">
        <v>105</v>
      </c>
      <c r="B1518" s="47" t="s">
        <v>135</v>
      </c>
      <c r="C1518" s="47"/>
      <c r="D1518" s="19" t="s">
        <v>28</v>
      </c>
      <c r="E1518" s="23">
        <v>2.0</v>
      </c>
      <c r="F1518" s="18">
        <f>E1518* 0.00094876660341556</f>
        <v>0.001897533207</v>
      </c>
      <c r="G1518" s="18">
        <f>E1518* 0.999051233396584</f>
        <v>1.998102467</v>
      </c>
      <c r="H1518" s="20">
        <v>0.0</v>
      </c>
    </row>
    <row r="1519" ht="15.75" hidden="1" customHeight="1">
      <c r="A1519" s="20" t="s">
        <v>105</v>
      </c>
      <c r="B1519" s="47" t="s">
        <v>135</v>
      </c>
      <c r="C1519" s="47"/>
      <c r="D1519" s="19" t="s">
        <v>12</v>
      </c>
      <c r="E1519" s="23">
        <v>409.0</v>
      </c>
      <c r="F1519" s="18">
        <f>E1519* 0.843786808009423</f>
        <v>345.1088045</v>
      </c>
      <c r="G1519" s="18">
        <f>E1519* 0.0740675304279545</f>
        <v>30.29361995</v>
      </c>
      <c r="H1519" s="18">
        <f>E1519* 0.0820965842167256</f>
        <v>33.57750294</v>
      </c>
    </row>
    <row r="1520" ht="15.75" hidden="1" customHeight="1">
      <c r="A1520" s="20" t="s">
        <v>105</v>
      </c>
      <c r="B1520" s="20"/>
      <c r="C1520" s="20"/>
      <c r="D1520" s="46"/>
      <c r="E1520" s="35"/>
    </row>
    <row r="1521" ht="15.75" hidden="1" customHeight="1">
      <c r="A1521" s="20" t="s">
        <v>105</v>
      </c>
      <c r="B1521" s="47" t="s">
        <v>136</v>
      </c>
      <c r="C1521" s="12" t="str">
        <f>B1521&amp;"_"&amp;A1521</f>
        <v>Sipe Sipe_Cochabamba</v>
      </c>
      <c r="D1521" s="20"/>
      <c r="E1521" s="45">
        <v>4331.0</v>
      </c>
      <c r="F1521" s="14">
        <f t="shared" ref="F1521:H1521" si="130">SUM(F1522:F1534)</f>
        <v>3076.295048</v>
      </c>
      <c r="G1521" s="14">
        <f t="shared" si="130"/>
        <v>1033.657032</v>
      </c>
      <c r="H1521" s="14">
        <f t="shared" si="130"/>
        <v>220.5888534</v>
      </c>
    </row>
    <row r="1522" ht="15.75" hidden="1" customHeight="1">
      <c r="A1522" s="20" t="s">
        <v>105</v>
      </c>
      <c r="B1522" s="47" t="s">
        <v>136</v>
      </c>
      <c r="C1522" s="47"/>
      <c r="D1522" s="29" t="s">
        <v>458</v>
      </c>
      <c r="E1522" s="23">
        <v>0.0</v>
      </c>
      <c r="F1522" s="20">
        <v>0.0</v>
      </c>
      <c r="G1522" s="24">
        <f>E1522</f>
        <v>0</v>
      </c>
      <c r="H1522" s="20">
        <v>0.0</v>
      </c>
    </row>
    <row r="1523" ht="15.75" hidden="1" customHeight="1">
      <c r="A1523" s="20" t="s">
        <v>105</v>
      </c>
      <c r="B1523" s="47" t="s">
        <v>136</v>
      </c>
      <c r="C1523" s="47"/>
      <c r="D1523" s="19" t="s">
        <v>15</v>
      </c>
      <c r="E1523" s="23">
        <v>659.0</v>
      </c>
      <c r="F1523" s="18">
        <f>E1523* 0.932775698199239</f>
        <v>614.6991851</v>
      </c>
      <c r="G1523" s="18">
        <f>E1523* 0.00808724987291465</f>
        <v>5.329497666</v>
      </c>
      <c r="H1523" s="18">
        <f>E1523* 0.0590600305004852</f>
        <v>38.9205601</v>
      </c>
    </row>
    <row r="1524" ht="15.75" hidden="1" customHeight="1">
      <c r="A1524" s="20" t="s">
        <v>105</v>
      </c>
      <c r="B1524" s="47" t="s">
        <v>136</v>
      </c>
      <c r="C1524" s="47"/>
      <c r="D1524" s="29" t="s">
        <v>459</v>
      </c>
      <c r="E1524" s="23">
        <v>44.0</v>
      </c>
      <c r="F1524" s="18">
        <f>E1524* 0.0803212851405623</f>
        <v>3.534136546</v>
      </c>
      <c r="G1524" s="18">
        <f>E1524* 0.913367756741251</f>
        <v>40.1881813</v>
      </c>
      <c r="H1524" s="18">
        <f>E1524* 0.0057372346528973</f>
        <v>0.2524383247</v>
      </c>
    </row>
    <row r="1525" ht="15.75" hidden="1" customHeight="1">
      <c r="A1525" s="20" t="s">
        <v>105</v>
      </c>
      <c r="B1525" s="47" t="s">
        <v>136</v>
      </c>
      <c r="C1525" s="47"/>
      <c r="D1525" s="19" t="s">
        <v>11</v>
      </c>
      <c r="E1525" s="23">
        <v>629.0</v>
      </c>
      <c r="F1525" s="18">
        <f>E1525* 0.150611071171819</f>
        <v>94.73436377</v>
      </c>
      <c r="G1525" s="18">
        <f>E1525* 0.847699496764917</f>
        <v>533.2029835</v>
      </c>
      <c r="H1525" s="18">
        <f>E1525* 0.00136592379583034</f>
        <v>0.8591660676</v>
      </c>
    </row>
    <row r="1526" ht="15.75" hidden="1" customHeight="1">
      <c r="A1526" s="20" t="s">
        <v>105</v>
      </c>
      <c r="B1526" s="47" t="s">
        <v>136</v>
      </c>
      <c r="C1526" s="47"/>
      <c r="D1526" s="19" t="s">
        <v>17</v>
      </c>
      <c r="E1526" s="23">
        <v>500.0</v>
      </c>
      <c r="F1526" s="18">
        <f>E1526* 0.840430229624022</f>
        <v>420.2151148</v>
      </c>
      <c r="G1526" s="18">
        <f>E1526* 0.0777504415846581</f>
        <v>38.87522079</v>
      </c>
      <c r="H1526" s="18">
        <f>E1526* 0.0817877870300278</f>
        <v>40.89389352</v>
      </c>
    </row>
    <row r="1527" ht="15.75" hidden="1" customHeight="1">
      <c r="A1527" s="20" t="s">
        <v>105</v>
      </c>
      <c r="B1527" s="47" t="s">
        <v>136</v>
      </c>
      <c r="C1527" s="47"/>
      <c r="D1527" s="19" t="s">
        <v>31</v>
      </c>
      <c r="E1527" s="23">
        <v>26.0</v>
      </c>
      <c r="F1527" s="18">
        <f>E1527* 0.901975683890578</f>
        <v>23.45136778</v>
      </c>
      <c r="G1527" s="18">
        <f>E1527* 0.0364741641337386</f>
        <v>0.9483282675</v>
      </c>
      <c r="H1527" s="18">
        <f>E1527* 0.0615501519756839</f>
        <v>1.600303951</v>
      </c>
    </row>
    <row r="1528" ht="15.75" hidden="1" customHeight="1">
      <c r="A1528" s="20" t="s">
        <v>105</v>
      </c>
      <c r="B1528" s="47" t="s">
        <v>136</v>
      </c>
      <c r="C1528" s="47"/>
      <c r="D1528" s="19" t="s">
        <v>18</v>
      </c>
      <c r="E1528" s="23">
        <v>94.0</v>
      </c>
      <c r="F1528" s="18">
        <f>E1528* 0.932934264493959</f>
        <v>87.69582086</v>
      </c>
      <c r="G1528" s="18">
        <f>E1528* 0.0585300964416362</f>
        <v>5.501829066</v>
      </c>
      <c r="H1528" s="18">
        <f>E1528* 0.00853563906440528</f>
        <v>0.8023500721</v>
      </c>
    </row>
    <row r="1529" ht="15.75" hidden="1" customHeight="1">
      <c r="A1529" s="20" t="s">
        <v>105</v>
      </c>
      <c r="B1529" s="47" t="s">
        <v>136</v>
      </c>
      <c r="C1529" s="47"/>
      <c r="D1529" s="19" t="s">
        <v>19</v>
      </c>
      <c r="E1529" s="23">
        <v>28.0</v>
      </c>
      <c r="F1529" s="18">
        <f>E1529* 0.290681971640783</f>
        <v>8.139095206</v>
      </c>
      <c r="G1529" s="18">
        <f>E1529* 0.694125590817016</f>
        <v>19.43551654</v>
      </c>
      <c r="H1529" s="18">
        <f>E1529* 0.0151924375422012</f>
        <v>0.4253882512</v>
      </c>
    </row>
    <row r="1530" ht="15.75" hidden="1" customHeight="1">
      <c r="A1530" s="20" t="s">
        <v>105</v>
      </c>
      <c r="B1530" s="47" t="s">
        <v>136</v>
      </c>
      <c r="C1530" s="47"/>
      <c r="D1530" s="19" t="s">
        <v>20</v>
      </c>
      <c r="E1530" s="23">
        <v>350.0</v>
      </c>
      <c r="F1530" s="18">
        <f>E1530* 0.686268801552644</f>
        <v>240.1940805</v>
      </c>
      <c r="G1530" s="18">
        <f>E1530* 0.196991751576904</f>
        <v>68.94711305</v>
      </c>
      <c r="H1530" s="18">
        <f>E1530* 0.116642406598738</f>
        <v>40.82484231</v>
      </c>
    </row>
    <row r="1531" ht="15.75" hidden="1" customHeight="1">
      <c r="A1531" s="20" t="s">
        <v>105</v>
      </c>
      <c r="B1531" s="47" t="s">
        <v>136</v>
      </c>
      <c r="C1531" s="47"/>
      <c r="D1531" s="19" t="s">
        <v>21</v>
      </c>
      <c r="E1531" s="23">
        <v>597.0</v>
      </c>
      <c r="F1531" s="18">
        <f>E1531* 0.999513766486355</f>
        <v>596.7097186</v>
      </c>
      <c r="G1531" s="18">
        <f>E1531* 0.0000243116756822464</f>
        <v>0.01451407038</v>
      </c>
      <c r="H1531" s="18">
        <f>E1531* 0.00034036345955145</f>
        <v>0.2031969854</v>
      </c>
    </row>
    <row r="1532" ht="15.75" hidden="1" customHeight="1">
      <c r="A1532" s="20" t="s">
        <v>105</v>
      </c>
      <c r="B1532" s="47" t="s">
        <v>136</v>
      </c>
      <c r="C1532" s="47"/>
      <c r="D1532" s="19" t="s">
        <v>36</v>
      </c>
      <c r="E1532" s="23">
        <v>2.0</v>
      </c>
      <c r="F1532" s="24">
        <f>E1532</f>
        <v>2</v>
      </c>
      <c r="G1532" s="20">
        <v>0.0</v>
      </c>
      <c r="H1532" s="20">
        <v>0.0</v>
      </c>
    </row>
    <row r="1533" ht="15.75" hidden="1" customHeight="1">
      <c r="A1533" s="20" t="s">
        <v>105</v>
      </c>
      <c r="B1533" s="47" t="s">
        <v>136</v>
      </c>
      <c r="C1533" s="47"/>
      <c r="D1533" s="19" t="s">
        <v>28</v>
      </c>
      <c r="E1533" s="23">
        <v>235.0</v>
      </c>
      <c r="F1533" s="18">
        <f>E1533* 0.00094876660341556</f>
        <v>0.2229601518</v>
      </c>
      <c r="G1533" s="18">
        <f>E1533* 0.999051233396584</f>
        <v>234.7770398</v>
      </c>
      <c r="H1533" s="20">
        <v>0.0</v>
      </c>
    </row>
    <row r="1534" ht="15.75" hidden="1" customHeight="1">
      <c r="A1534" s="20" t="s">
        <v>105</v>
      </c>
      <c r="B1534" s="47" t="s">
        <v>136</v>
      </c>
      <c r="C1534" s="47"/>
      <c r="D1534" s="19" t="s">
        <v>12</v>
      </c>
      <c r="E1534" s="23">
        <v>1167.0</v>
      </c>
      <c r="F1534" s="18">
        <f>E1534* 0.843786808009423</f>
        <v>984.6992049</v>
      </c>
      <c r="G1534" s="18">
        <f>E1534* 0.0740675304279545</f>
        <v>86.43680801</v>
      </c>
      <c r="H1534" s="18">
        <f>E1534* 0.0820965842167256</f>
        <v>95.80671378</v>
      </c>
    </row>
    <row r="1535" ht="15.75" hidden="1" customHeight="1">
      <c r="A1535" s="20" t="s">
        <v>105</v>
      </c>
      <c r="B1535" s="20"/>
      <c r="C1535" s="20"/>
      <c r="D1535" s="46"/>
      <c r="E1535" s="35"/>
    </row>
    <row r="1536" ht="15.75" hidden="1" customHeight="1">
      <c r="A1536" s="20" t="s">
        <v>105</v>
      </c>
      <c r="B1536" s="47" t="s">
        <v>137</v>
      </c>
      <c r="C1536" s="12" t="str">
        <f>B1536&amp;"_"&amp;A1536</f>
        <v>Tacopaya_Cochabamba</v>
      </c>
      <c r="D1536" s="20"/>
      <c r="E1536" s="45">
        <v>272.0</v>
      </c>
      <c r="F1536" s="14">
        <f t="shared" ref="F1536:H1536" si="131">SUM(F1537:F1547)</f>
        <v>209.2136088</v>
      </c>
      <c r="G1536" s="14">
        <f t="shared" si="131"/>
        <v>49.92572453</v>
      </c>
      <c r="H1536" s="14">
        <f t="shared" si="131"/>
        <v>12.83101458</v>
      </c>
    </row>
    <row r="1537" ht="15.75" hidden="1" customHeight="1">
      <c r="A1537" s="20" t="s">
        <v>105</v>
      </c>
      <c r="B1537" s="47" t="s">
        <v>137</v>
      </c>
      <c r="C1537" s="47"/>
      <c r="D1537" s="19" t="s">
        <v>15</v>
      </c>
      <c r="E1537" s="23">
        <v>34.0</v>
      </c>
      <c r="F1537" s="18">
        <f>E1537* 0.932775698199239</f>
        <v>31.71437374</v>
      </c>
      <c r="G1537" s="18">
        <f>E1537* 0.00808724987291465</f>
        <v>0.2749664957</v>
      </c>
      <c r="H1537" s="18">
        <f>E1537* 0.0590600305004852</f>
        <v>2.008041037</v>
      </c>
    </row>
    <row r="1538" ht="15.75" hidden="1" customHeight="1">
      <c r="A1538" s="20" t="s">
        <v>105</v>
      </c>
      <c r="B1538" s="47" t="s">
        <v>137</v>
      </c>
      <c r="C1538" s="47"/>
      <c r="D1538" s="29" t="s">
        <v>460</v>
      </c>
      <c r="E1538" s="23">
        <v>2.0</v>
      </c>
      <c r="F1538" s="18">
        <f>E1538* 0.0803212851405623</f>
        <v>0.1606425703</v>
      </c>
      <c r="G1538" s="18">
        <f>E1538* 0.913367756741251</f>
        <v>1.826735513</v>
      </c>
      <c r="H1538" s="18">
        <f>E1538* 0.0057372346528973</f>
        <v>0.01147446931</v>
      </c>
    </row>
    <row r="1539" ht="15.75" hidden="1" customHeight="1">
      <c r="A1539" s="20" t="s">
        <v>105</v>
      </c>
      <c r="B1539" s="47" t="s">
        <v>137</v>
      </c>
      <c r="C1539" s="47"/>
      <c r="D1539" s="19" t="s">
        <v>11</v>
      </c>
      <c r="E1539" s="23">
        <v>35.0</v>
      </c>
      <c r="F1539" s="18">
        <f>E1539* 0.150611071171819</f>
        <v>5.271387491</v>
      </c>
      <c r="G1539" s="18">
        <f>E1539* 0.847699496764917</f>
        <v>29.66948239</v>
      </c>
      <c r="H1539" s="18">
        <f>E1539* 0.00136592379583034</f>
        <v>0.04780733285</v>
      </c>
    </row>
    <row r="1540" ht="15.75" hidden="1" customHeight="1">
      <c r="A1540" s="20" t="s">
        <v>105</v>
      </c>
      <c r="B1540" s="47" t="s">
        <v>137</v>
      </c>
      <c r="C1540" s="47"/>
      <c r="D1540" s="19" t="s">
        <v>17</v>
      </c>
      <c r="E1540" s="23">
        <v>31.0</v>
      </c>
      <c r="F1540" s="18">
        <f>E1540* 0.840430229624022</f>
        <v>26.05333712</v>
      </c>
      <c r="G1540" s="18">
        <f>E1540* 0.0777504415846581</f>
        <v>2.410263689</v>
      </c>
      <c r="H1540" s="18">
        <f>E1540* 0.0817877870300278</f>
        <v>2.535421398</v>
      </c>
    </row>
    <row r="1541" ht="15.75" hidden="1" customHeight="1">
      <c r="A1541" s="20" t="s">
        <v>105</v>
      </c>
      <c r="B1541" s="47" t="s">
        <v>137</v>
      </c>
      <c r="C1541" s="47"/>
      <c r="D1541" s="19" t="s">
        <v>31</v>
      </c>
      <c r="E1541" s="23">
        <v>1.0</v>
      </c>
      <c r="F1541" s="18">
        <f>E1541* 0.901975683890578</f>
        <v>0.9019756839</v>
      </c>
      <c r="G1541" s="18">
        <f>E1541* 0.0364741641337386</f>
        <v>0.03647416413</v>
      </c>
      <c r="H1541" s="18">
        <f>E1541* 0.0615501519756839</f>
        <v>0.06155015198</v>
      </c>
    </row>
    <row r="1542" ht="15.75" hidden="1" customHeight="1">
      <c r="A1542" s="20" t="s">
        <v>105</v>
      </c>
      <c r="B1542" s="47" t="s">
        <v>137</v>
      </c>
      <c r="C1542" s="47"/>
      <c r="D1542" s="19" t="s">
        <v>18</v>
      </c>
      <c r="E1542" s="23">
        <v>5.0</v>
      </c>
      <c r="F1542" s="18">
        <f>E1542* 0.932934264493959</f>
        <v>4.664671322</v>
      </c>
      <c r="G1542" s="18">
        <f>E1542* 0.0585300964416362</f>
        <v>0.2926504822</v>
      </c>
      <c r="H1542" s="18">
        <f>E1542* 0.00853563906440528</f>
        <v>0.04267819532</v>
      </c>
    </row>
    <row r="1543" ht="15.75" hidden="1" customHeight="1">
      <c r="A1543" s="20" t="s">
        <v>105</v>
      </c>
      <c r="B1543" s="47" t="s">
        <v>137</v>
      </c>
      <c r="C1543" s="47"/>
      <c r="D1543" s="19" t="s">
        <v>19</v>
      </c>
      <c r="E1543" s="23">
        <v>8.0</v>
      </c>
      <c r="F1543" s="18">
        <f>E1543* 0.290681971640783</f>
        <v>2.325455773</v>
      </c>
      <c r="G1543" s="18">
        <f>E1543* 0.694125590817016</f>
        <v>5.553004727</v>
      </c>
      <c r="H1543" s="18">
        <f>E1543* 0.0151924375422012</f>
        <v>0.1215395003</v>
      </c>
    </row>
    <row r="1544" ht="15.75" hidden="1" customHeight="1">
      <c r="A1544" s="20" t="s">
        <v>105</v>
      </c>
      <c r="B1544" s="47" t="s">
        <v>137</v>
      </c>
      <c r="C1544" s="47"/>
      <c r="D1544" s="19" t="s">
        <v>20</v>
      </c>
      <c r="E1544" s="23">
        <v>29.0</v>
      </c>
      <c r="F1544" s="18">
        <f>E1544* 0.686268801552644</f>
        <v>19.90179525</v>
      </c>
      <c r="G1544" s="18">
        <f>E1544* 0.196991751576904</f>
        <v>5.712760796</v>
      </c>
      <c r="H1544" s="18">
        <f>E1544* 0.116642406598738</f>
        <v>3.382629791</v>
      </c>
    </row>
    <row r="1545" ht="15.75" hidden="1" customHeight="1">
      <c r="A1545" s="20" t="s">
        <v>105</v>
      </c>
      <c r="B1545" s="47" t="s">
        <v>137</v>
      </c>
      <c r="C1545" s="47"/>
      <c r="D1545" s="19" t="s">
        <v>21</v>
      </c>
      <c r="E1545" s="23">
        <v>66.0</v>
      </c>
      <c r="F1545" s="18">
        <f>E1545* 0.999513766486355</f>
        <v>65.96790859</v>
      </c>
      <c r="G1545" s="18">
        <f>E1545* 0.0000243116756822464</f>
        <v>0.001604570595</v>
      </c>
      <c r="H1545" s="18">
        <f>E1545* 0.00034036345955145</f>
        <v>0.02246398833</v>
      </c>
    </row>
    <row r="1546" ht="15.75" hidden="1" customHeight="1">
      <c r="A1546" s="20" t="s">
        <v>105</v>
      </c>
      <c r="B1546" s="47" t="s">
        <v>137</v>
      </c>
      <c r="C1546" s="47"/>
      <c r="D1546" s="19" t="s">
        <v>36</v>
      </c>
      <c r="E1546" s="23">
        <v>5.0</v>
      </c>
      <c r="F1546" s="24">
        <f>E1546</f>
        <v>5</v>
      </c>
      <c r="G1546" s="20">
        <v>0.0</v>
      </c>
      <c r="H1546" s="20">
        <v>0.0</v>
      </c>
    </row>
    <row r="1547" ht="15.75" hidden="1" customHeight="1">
      <c r="A1547" s="20" t="s">
        <v>105</v>
      </c>
      <c r="B1547" s="47" t="s">
        <v>137</v>
      </c>
      <c r="C1547" s="47"/>
      <c r="D1547" s="19" t="s">
        <v>12</v>
      </c>
      <c r="E1547" s="23">
        <v>56.0</v>
      </c>
      <c r="F1547" s="18">
        <f>E1547* 0.843786808009423</f>
        <v>47.25206125</v>
      </c>
      <c r="G1547" s="18">
        <f>E1547* 0.0740675304279545</f>
        <v>4.147781704</v>
      </c>
      <c r="H1547" s="18">
        <f>E1547* 0.0820965842167256</f>
        <v>4.597408716</v>
      </c>
    </row>
    <row r="1548" ht="15.75" hidden="1" customHeight="1">
      <c r="A1548" s="20" t="s">
        <v>105</v>
      </c>
      <c r="B1548" s="20"/>
      <c r="C1548" s="20"/>
      <c r="D1548" s="46"/>
      <c r="E1548" s="35"/>
    </row>
    <row r="1549" ht="15.75" hidden="1" customHeight="1">
      <c r="A1549" s="20" t="s">
        <v>105</v>
      </c>
      <c r="B1549" s="47" t="s">
        <v>138</v>
      </c>
      <c r="C1549" s="12" t="str">
        <f>B1549&amp;"_"&amp;A1549</f>
        <v>Tapacarí_Cochabamba</v>
      </c>
      <c r="D1549" s="20"/>
      <c r="E1549" s="45">
        <v>233.0</v>
      </c>
      <c r="F1549" s="14">
        <f t="shared" ref="F1549:H1549" si="132">SUM(F1550:F1561)</f>
        <v>159.4566474</v>
      </c>
      <c r="G1549" s="14">
        <f t="shared" si="132"/>
        <v>58.16148604</v>
      </c>
      <c r="H1549" s="14">
        <f t="shared" si="132"/>
        <v>15.35833962</v>
      </c>
    </row>
    <row r="1550" ht="15.75" hidden="1" customHeight="1">
      <c r="A1550" s="20" t="s">
        <v>105</v>
      </c>
      <c r="B1550" s="47" t="s">
        <v>138</v>
      </c>
      <c r="C1550" s="47"/>
      <c r="D1550" s="29" t="s">
        <v>461</v>
      </c>
      <c r="E1550" s="23">
        <v>0.0</v>
      </c>
      <c r="F1550" s="20">
        <v>0.0</v>
      </c>
      <c r="G1550" s="24">
        <f>E1550</f>
        <v>0</v>
      </c>
      <c r="H1550" s="20">
        <v>0.0</v>
      </c>
    </row>
    <row r="1551" ht="15.75" hidden="1" customHeight="1">
      <c r="A1551" s="20" t="s">
        <v>105</v>
      </c>
      <c r="B1551" s="47" t="s">
        <v>138</v>
      </c>
      <c r="C1551" s="47"/>
      <c r="D1551" s="19" t="s">
        <v>15</v>
      </c>
      <c r="E1551" s="23">
        <v>2.0</v>
      </c>
      <c r="F1551" s="18">
        <f>E1551* 0.932775698199239</f>
        <v>1.865551396</v>
      </c>
      <c r="G1551" s="18">
        <f>E1551* 0.00808724987291465</f>
        <v>0.01617449975</v>
      </c>
      <c r="H1551" s="18">
        <f>E1551* 0.0590600305004852</f>
        <v>0.118120061</v>
      </c>
    </row>
    <row r="1552" ht="15.75" hidden="1" customHeight="1">
      <c r="A1552" s="20" t="s">
        <v>105</v>
      </c>
      <c r="B1552" s="47" t="s">
        <v>138</v>
      </c>
      <c r="C1552" s="47"/>
      <c r="D1552" s="29" t="s">
        <v>462</v>
      </c>
      <c r="E1552" s="23">
        <v>4.0</v>
      </c>
      <c r="F1552" s="18">
        <f>E1552* 0.0803212851405623</f>
        <v>0.3212851406</v>
      </c>
      <c r="G1552" s="18">
        <f>E1552* 0.913367756741251</f>
        <v>3.653471027</v>
      </c>
      <c r="H1552" s="18">
        <f>E1552* 0.0057372346528973</f>
        <v>0.02294893861</v>
      </c>
    </row>
    <row r="1553" ht="15.75" hidden="1" customHeight="1">
      <c r="A1553" s="20" t="s">
        <v>105</v>
      </c>
      <c r="B1553" s="47" t="s">
        <v>138</v>
      </c>
      <c r="C1553" s="47"/>
      <c r="D1553" s="19" t="s">
        <v>11</v>
      </c>
      <c r="E1553" s="23">
        <v>18.0</v>
      </c>
      <c r="F1553" s="18">
        <f>E1553* 0.150611071171819</f>
        <v>2.710999281</v>
      </c>
      <c r="G1553" s="18">
        <f>E1553* 0.847699496764917</f>
        <v>15.25859094</v>
      </c>
      <c r="H1553" s="18">
        <f>E1553* 0.00136592379583034</f>
        <v>0.02458662832</v>
      </c>
    </row>
    <row r="1554" ht="15.75" hidden="1" customHeight="1">
      <c r="A1554" s="20" t="s">
        <v>105</v>
      </c>
      <c r="B1554" s="47" t="s">
        <v>138</v>
      </c>
      <c r="C1554" s="47"/>
      <c r="D1554" s="19" t="s">
        <v>17</v>
      </c>
      <c r="E1554" s="23">
        <v>15.0</v>
      </c>
      <c r="F1554" s="18">
        <f>E1554* 0.840430229624022</f>
        <v>12.60645344</v>
      </c>
      <c r="G1554" s="18">
        <f>E1554* 0.0777504415846581</f>
        <v>1.166256624</v>
      </c>
      <c r="H1554" s="18">
        <f>E1554* 0.0817877870300278</f>
        <v>1.226816805</v>
      </c>
    </row>
    <row r="1555" ht="15.75" hidden="1" customHeight="1">
      <c r="A1555" s="20" t="s">
        <v>105</v>
      </c>
      <c r="B1555" s="47" t="s">
        <v>138</v>
      </c>
      <c r="C1555" s="47"/>
      <c r="D1555" s="19" t="s">
        <v>31</v>
      </c>
      <c r="E1555" s="23">
        <v>2.0</v>
      </c>
      <c r="F1555" s="18">
        <f>E1555* 0.901975683890578</f>
        <v>1.803951368</v>
      </c>
      <c r="G1555" s="18">
        <f>E1555* 0.0364741641337386</f>
        <v>0.07294832827</v>
      </c>
      <c r="H1555" s="18">
        <f>E1555* 0.0615501519756839</f>
        <v>0.123100304</v>
      </c>
    </row>
    <row r="1556" ht="15.75" hidden="1" customHeight="1">
      <c r="A1556" s="20" t="s">
        <v>105</v>
      </c>
      <c r="B1556" s="47" t="s">
        <v>138</v>
      </c>
      <c r="C1556" s="47"/>
      <c r="D1556" s="19" t="s">
        <v>18</v>
      </c>
      <c r="E1556" s="23">
        <v>4.0</v>
      </c>
      <c r="F1556" s="18">
        <f>E1556* 0.932934264493959</f>
        <v>3.731737058</v>
      </c>
      <c r="G1556" s="18">
        <f>E1556* 0.0585300964416362</f>
        <v>0.2341203858</v>
      </c>
      <c r="H1556" s="18">
        <f>E1556* 0.00853563906440528</f>
        <v>0.03414255626</v>
      </c>
    </row>
    <row r="1557" ht="15.75" hidden="1" customHeight="1">
      <c r="A1557" s="20" t="s">
        <v>105</v>
      </c>
      <c r="B1557" s="47" t="s">
        <v>138</v>
      </c>
      <c r="C1557" s="47"/>
      <c r="D1557" s="19" t="s">
        <v>19</v>
      </c>
      <c r="E1557" s="23">
        <v>24.0</v>
      </c>
      <c r="F1557" s="18">
        <f>E1557* 0.290681971640783</f>
        <v>6.976367319</v>
      </c>
      <c r="G1557" s="18">
        <f>E1557* 0.694125590817016</f>
        <v>16.65901418</v>
      </c>
      <c r="H1557" s="18">
        <f>E1557* 0.0151924375422012</f>
        <v>0.364618501</v>
      </c>
    </row>
    <row r="1558" ht="15.75" hidden="1" customHeight="1">
      <c r="A1558" s="20" t="s">
        <v>105</v>
      </c>
      <c r="B1558" s="47" t="s">
        <v>138</v>
      </c>
      <c r="C1558" s="47"/>
      <c r="D1558" s="19" t="s">
        <v>20</v>
      </c>
      <c r="E1558" s="23">
        <v>87.0</v>
      </c>
      <c r="F1558" s="18">
        <f>E1558* 0.686268801552644</f>
        <v>59.70538574</v>
      </c>
      <c r="G1558" s="18">
        <f>E1558* 0.196991751576904</f>
        <v>17.13828239</v>
      </c>
      <c r="H1558" s="18">
        <f>E1558* 0.116642406598738</f>
        <v>10.14788937</v>
      </c>
    </row>
    <row r="1559" ht="15.75" hidden="1" customHeight="1">
      <c r="A1559" s="20" t="s">
        <v>105</v>
      </c>
      <c r="B1559" s="47" t="s">
        <v>138</v>
      </c>
      <c r="C1559" s="47"/>
      <c r="D1559" s="19" t="s">
        <v>21</v>
      </c>
      <c r="E1559" s="23">
        <v>36.0</v>
      </c>
      <c r="F1559" s="18">
        <f>E1559* 0.999513766486355</f>
        <v>35.98249559</v>
      </c>
      <c r="G1559" s="18">
        <f>E1559* 0.0000243116756822464</f>
        <v>0.0008752203246</v>
      </c>
      <c r="H1559" s="18">
        <f>E1559* 0.00034036345955145</f>
        <v>0.01225308454</v>
      </c>
    </row>
    <row r="1560" ht="15.75" hidden="1" customHeight="1">
      <c r="A1560" s="20" t="s">
        <v>105</v>
      </c>
      <c r="B1560" s="47" t="s">
        <v>138</v>
      </c>
      <c r="C1560" s="47"/>
      <c r="D1560" s="19" t="s">
        <v>28</v>
      </c>
      <c r="E1560" s="23">
        <v>1.0</v>
      </c>
      <c r="F1560" s="18">
        <f>E1560* 0.00094876660341556</f>
        <v>0.0009487666034</v>
      </c>
      <c r="G1560" s="18">
        <f>E1560* 0.999051233396584</f>
        <v>0.9990512334</v>
      </c>
      <c r="H1560" s="20">
        <v>0.0</v>
      </c>
    </row>
    <row r="1561" ht="15.75" hidden="1" customHeight="1">
      <c r="A1561" s="20" t="s">
        <v>105</v>
      </c>
      <c r="B1561" s="47" t="s">
        <v>138</v>
      </c>
      <c r="C1561" s="47"/>
      <c r="D1561" s="19" t="s">
        <v>12</v>
      </c>
      <c r="E1561" s="23">
        <v>40.0</v>
      </c>
      <c r="F1561" s="18">
        <f>E1561* 0.843786808009423</f>
        <v>33.75147232</v>
      </c>
      <c r="G1561" s="18">
        <f>E1561* 0.0740675304279545</f>
        <v>2.962701217</v>
      </c>
      <c r="H1561" s="18">
        <f>E1561* 0.0820965842167256</f>
        <v>3.283863369</v>
      </c>
    </row>
    <row r="1562" ht="15.75" hidden="1" customHeight="1">
      <c r="A1562" s="20" t="s">
        <v>105</v>
      </c>
      <c r="B1562" s="20"/>
      <c r="C1562" s="20"/>
      <c r="D1562" s="46"/>
      <c r="E1562" s="35"/>
    </row>
    <row r="1563" ht="15.75" hidden="1" customHeight="1">
      <c r="A1563" s="20" t="s">
        <v>105</v>
      </c>
      <c r="B1563" s="47" t="s">
        <v>139</v>
      </c>
      <c r="C1563" s="12" t="str">
        <f>B1563&amp;"_"&amp;A1563</f>
        <v>Tarata_Cochabamba</v>
      </c>
      <c r="D1563" s="20"/>
      <c r="E1563" s="45">
        <v>700.0</v>
      </c>
      <c r="F1563" s="14">
        <f t="shared" ref="F1563:H1563" si="133">SUM(F1564:F1574)</f>
        <v>585.2980912</v>
      </c>
      <c r="G1563" s="14">
        <f t="shared" si="133"/>
        <v>66.94345142</v>
      </c>
      <c r="H1563" s="14">
        <f t="shared" si="133"/>
        <v>47.70565282</v>
      </c>
    </row>
    <row r="1564" ht="15.75" hidden="1" customHeight="1">
      <c r="A1564" s="20" t="s">
        <v>105</v>
      </c>
      <c r="B1564" s="47" t="s">
        <v>139</v>
      </c>
      <c r="C1564" s="47"/>
      <c r="D1564" s="29" t="s">
        <v>463</v>
      </c>
      <c r="E1564" s="23">
        <v>0.0</v>
      </c>
      <c r="F1564" s="20">
        <v>0.0</v>
      </c>
      <c r="G1564" s="24">
        <f>E1564</f>
        <v>0</v>
      </c>
      <c r="H1564" s="20">
        <v>0.0</v>
      </c>
    </row>
    <row r="1565" ht="15.75" hidden="1" customHeight="1">
      <c r="A1565" s="20" t="s">
        <v>105</v>
      </c>
      <c r="B1565" s="47" t="s">
        <v>139</v>
      </c>
      <c r="C1565" s="47"/>
      <c r="D1565" s="19" t="s">
        <v>15</v>
      </c>
      <c r="E1565" s="23">
        <v>126.0</v>
      </c>
      <c r="F1565" s="18">
        <f>E1565* 0.932775698199239</f>
        <v>117.529738</v>
      </c>
      <c r="G1565" s="18">
        <f>E1565* 0.00808724987291465</f>
        <v>1.018993484</v>
      </c>
      <c r="H1565" s="18">
        <f>E1565* 0.0590600305004852</f>
        <v>7.441563843</v>
      </c>
    </row>
    <row r="1566" ht="15.75" hidden="1" customHeight="1">
      <c r="A1566" s="20" t="s">
        <v>105</v>
      </c>
      <c r="B1566" s="47" t="s">
        <v>139</v>
      </c>
      <c r="C1566" s="47"/>
      <c r="D1566" s="29" t="s">
        <v>464</v>
      </c>
      <c r="E1566" s="23">
        <v>1.0</v>
      </c>
      <c r="F1566" s="18">
        <f>E1566* 0.0803212851405623</f>
        <v>0.08032128514</v>
      </c>
      <c r="G1566" s="18">
        <f>E1566* 0.913367756741251</f>
        <v>0.9133677567</v>
      </c>
      <c r="H1566" s="18">
        <f>E1566* 0.0057372346528973</f>
        <v>0.005737234653</v>
      </c>
    </row>
    <row r="1567" ht="15.75" hidden="1" customHeight="1">
      <c r="A1567" s="20" t="s">
        <v>105</v>
      </c>
      <c r="B1567" s="47" t="s">
        <v>139</v>
      </c>
      <c r="C1567" s="47"/>
      <c r="D1567" s="19" t="s">
        <v>11</v>
      </c>
      <c r="E1567" s="23">
        <v>23.0</v>
      </c>
      <c r="F1567" s="18">
        <f>E1567* 0.150611071171819</f>
        <v>3.464054637</v>
      </c>
      <c r="G1567" s="18">
        <f>E1567* 0.847699496764917</f>
        <v>19.49708843</v>
      </c>
      <c r="H1567" s="18">
        <f>E1567* 0.00136592379583034</f>
        <v>0.0314162473</v>
      </c>
    </row>
    <row r="1568" ht="15.75" hidden="1" customHeight="1">
      <c r="A1568" s="20" t="s">
        <v>105</v>
      </c>
      <c r="B1568" s="47" t="s">
        <v>139</v>
      </c>
      <c r="C1568" s="47"/>
      <c r="D1568" s="19" t="s">
        <v>17</v>
      </c>
      <c r="E1568" s="23">
        <v>54.0</v>
      </c>
      <c r="F1568" s="18">
        <f>E1568* 0.840430229624022</f>
        <v>45.3832324</v>
      </c>
      <c r="G1568" s="18">
        <f>E1568* 0.0777504415846581</f>
        <v>4.198523846</v>
      </c>
      <c r="H1568" s="18">
        <f>E1568* 0.0817877870300278</f>
        <v>4.4165405</v>
      </c>
    </row>
    <row r="1569" ht="15.75" hidden="1" customHeight="1">
      <c r="A1569" s="20" t="s">
        <v>105</v>
      </c>
      <c r="B1569" s="47" t="s">
        <v>139</v>
      </c>
      <c r="C1569" s="47"/>
      <c r="D1569" s="19" t="s">
        <v>31</v>
      </c>
      <c r="E1569" s="23">
        <v>11.0</v>
      </c>
      <c r="F1569" s="18">
        <f>E1569* 0.901975683890578</f>
        <v>9.921732523</v>
      </c>
      <c r="G1569" s="18">
        <f>E1569* 0.0364741641337386</f>
        <v>0.4012158055</v>
      </c>
      <c r="H1569" s="18">
        <f>E1569* 0.0615501519756839</f>
        <v>0.6770516717</v>
      </c>
    </row>
    <row r="1570" ht="15.75" hidden="1" customHeight="1">
      <c r="A1570" s="20" t="s">
        <v>105</v>
      </c>
      <c r="B1570" s="47" t="s">
        <v>139</v>
      </c>
      <c r="C1570" s="47"/>
      <c r="D1570" s="19" t="s">
        <v>18</v>
      </c>
      <c r="E1570" s="23">
        <v>7.0</v>
      </c>
      <c r="F1570" s="18">
        <f>E1570* 0.932934264493959</f>
        <v>6.530539851</v>
      </c>
      <c r="G1570" s="18">
        <f>E1570* 0.0585300964416362</f>
        <v>0.4097106751</v>
      </c>
      <c r="H1570" s="18">
        <f>E1570* 0.00853563906440528</f>
        <v>0.05974947345</v>
      </c>
    </row>
    <row r="1571" ht="15.75" hidden="1" customHeight="1">
      <c r="A1571" s="20" t="s">
        <v>105</v>
      </c>
      <c r="B1571" s="47" t="s">
        <v>139</v>
      </c>
      <c r="C1571" s="47"/>
      <c r="D1571" s="19" t="s">
        <v>19</v>
      </c>
      <c r="E1571" s="23">
        <v>2.0</v>
      </c>
      <c r="F1571" s="18">
        <f>E1571* 0.290681971640783</f>
        <v>0.5813639433</v>
      </c>
      <c r="G1571" s="18">
        <f>E1571* 0.694125590817016</f>
        <v>1.388251182</v>
      </c>
      <c r="H1571" s="18">
        <f>E1571* 0.0151924375422012</f>
        <v>0.03038487508</v>
      </c>
    </row>
    <row r="1572" ht="15.75" hidden="1" customHeight="1">
      <c r="A1572" s="20" t="s">
        <v>105</v>
      </c>
      <c r="B1572" s="47" t="s">
        <v>139</v>
      </c>
      <c r="C1572" s="47"/>
      <c r="D1572" s="19" t="s">
        <v>20</v>
      </c>
      <c r="E1572" s="23">
        <v>82.0</v>
      </c>
      <c r="F1572" s="18">
        <f>E1572* 0.686268801552644</f>
        <v>56.27404173</v>
      </c>
      <c r="G1572" s="18">
        <f>E1572* 0.196991751576904</f>
        <v>16.15332363</v>
      </c>
      <c r="H1572" s="18">
        <f>E1572* 0.116642406598738</f>
        <v>9.564677341</v>
      </c>
    </row>
    <row r="1573" ht="15.75" hidden="1" customHeight="1">
      <c r="A1573" s="20" t="s">
        <v>105</v>
      </c>
      <c r="B1573" s="47" t="s">
        <v>139</v>
      </c>
      <c r="C1573" s="47"/>
      <c r="D1573" s="19" t="s">
        <v>21</v>
      </c>
      <c r="E1573" s="23">
        <v>84.0</v>
      </c>
      <c r="F1573" s="18">
        <f>E1573* 0.999513766486355</f>
        <v>83.95915638</v>
      </c>
      <c r="G1573" s="18">
        <f>E1573* 0.0000243116756822464</f>
        <v>0.002042180757</v>
      </c>
      <c r="H1573" s="18">
        <f>E1573* 0.00034036345955145</f>
        <v>0.0285905306</v>
      </c>
    </row>
    <row r="1574" ht="15.75" hidden="1" customHeight="1">
      <c r="A1574" s="20" t="s">
        <v>105</v>
      </c>
      <c r="B1574" s="47" t="s">
        <v>139</v>
      </c>
      <c r="C1574" s="47"/>
      <c r="D1574" s="19" t="s">
        <v>12</v>
      </c>
      <c r="E1574" s="23">
        <v>310.0</v>
      </c>
      <c r="F1574" s="18">
        <f>E1574* 0.843786808009423</f>
        <v>261.5739105</v>
      </c>
      <c r="G1574" s="18">
        <f>E1574* 0.0740675304279545</f>
        <v>22.96093443</v>
      </c>
      <c r="H1574" s="18">
        <f>E1574* 0.0820965842167256</f>
        <v>25.44994111</v>
      </c>
    </row>
    <row r="1575" ht="15.75" hidden="1" customHeight="1">
      <c r="A1575" s="20" t="s">
        <v>105</v>
      </c>
      <c r="B1575" s="20"/>
      <c r="C1575" s="20"/>
      <c r="D1575" s="46"/>
      <c r="E1575" s="35"/>
    </row>
    <row r="1576" ht="15.75" hidden="1" customHeight="1">
      <c r="A1576" s="20" t="s">
        <v>105</v>
      </c>
      <c r="B1576" s="47" t="s">
        <v>140</v>
      </c>
      <c r="C1576" s="12" t="str">
        <f>B1576&amp;"_"&amp;A1576</f>
        <v>Tiquipaya_Cochabamba</v>
      </c>
      <c r="D1576" s="20"/>
      <c r="E1576" s="45">
        <v>17345.0</v>
      </c>
      <c r="F1576" s="14">
        <f t="shared" ref="F1576:H1576" si="134">SUM(F1577:F1589)</f>
        <v>14554.1136</v>
      </c>
      <c r="G1576" s="14">
        <f t="shared" si="134"/>
        <v>1924.346868</v>
      </c>
      <c r="H1576" s="14">
        <f t="shared" si="134"/>
        <v>865.0247149</v>
      </c>
    </row>
    <row r="1577" ht="15.75" hidden="1" customHeight="1">
      <c r="A1577" s="20" t="s">
        <v>105</v>
      </c>
      <c r="B1577" s="47" t="s">
        <v>140</v>
      </c>
      <c r="C1577" s="47"/>
      <c r="D1577" s="29" t="s">
        <v>465</v>
      </c>
      <c r="E1577" s="23">
        <v>6.0</v>
      </c>
      <c r="F1577" s="20">
        <v>0.0</v>
      </c>
      <c r="G1577" s="24">
        <f>E1577</f>
        <v>6</v>
      </c>
      <c r="H1577" s="20">
        <v>0.0</v>
      </c>
    </row>
    <row r="1578" ht="15.75" hidden="1" customHeight="1">
      <c r="A1578" s="20" t="s">
        <v>105</v>
      </c>
      <c r="B1578" s="47" t="s">
        <v>140</v>
      </c>
      <c r="C1578" s="47"/>
      <c r="D1578" s="19" t="s">
        <v>15</v>
      </c>
      <c r="E1578" s="23">
        <v>2546.0</v>
      </c>
      <c r="F1578" s="18">
        <f>E1578* 0.932775698199239</f>
        <v>2374.846928</v>
      </c>
      <c r="G1578" s="18">
        <f>E1578* 0.00808724987291465</f>
        <v>20.59013818</v>
      </c>
      <c r="H1578" s="18">
        <f>E1578* 0.0590600305004852</f>
        <v>150.3668377</v>
      </c>
    </row>
    <row r="1579" ht="15.75" hidden="1" customHeight="1">
      <c r="A1579" s="20" t="s">
        <v>105</v>
      </c>
      <c r="B1579" s="47" t="s">
        <v>140</v>
      </c>
      <c r="C1579" s="47"/>
      <c r="D1579" s="29" t="s">
        <v>466</v>
      </c>
      <c r="E1579" s="23">
        <v>81.0</v>
      </c>
      <c r="F1579" s="18">
        <f>E1579* 0.0803212851405623</f>
        <v>6.506024096</v>
      </c>
      <c r="G1579" s="18">
        <f>E1579* 0.913367756741251</f>
        <v>73.9827883</v>
      </c>
      <c r="H1579" s="18">
        <f>E1579* 0.0057372346528973</f>
        <v>0.4647160069</v>
      </c>
    </row>
    <row r="1580" ht="15.75" hidden="1" customHeight="1">
      <c r="A1580" s="20" t="s">
        <v>105</v>
      </c>
      <c r="B1580" s="47" t="s">
        <v>140</v>
      </c>
      <c r="C1580" s="47"/>
      <c r="D1580" s="19" t="s">
        <v>11</v>
      </c>
      <c r="E1580" s="23">
        <v>864.0</v>
      </c>
      <c r="F1580" s="18">
        <f>E1580* 0.150611071171819</f>
        <v>130.1279655</v>
      </c>
      <c r="G1580" s="18">
        <f>E1580* 0.847699496764917</f>
        <v>732.4123652</v>
      </c>
      <c r="H1580" s="18">
        <f>E1580* 0.00136592379583034</f>
        <v>1.18015816</v>
      </c>
    </row>
    <row r="1581" ht="15.75" hidden="1" customHeight="1">
      <c r="A1581" s="20" t="s">
        <v>105</v>
      </c>
      <c r="B1581" s="47" t="s">
        <v>140</v>
      </c>
      <c r="C1581" s="47"/>
      <c r="D1581" s="19" t="s">
        <v>17</v>
      </c>
      <c r="E1581" s="23">
        <v>2010.0</v>
      </c>
      <c r="F1581" s="18">
        <f>E1581* 0.840430229624022</f>
        <v>1689.264762</v>
      </c>
      <c r="G1581" s="18">
        <f>E1581* 0.0777504415846581</f>
        <v>156.2783876</v>
      </c>
      <c r="H1581" s="18">
        <f>E1581* 0.0817877870300278</f>
        <v>164.3934519</v>
      </c>
    </row>
    <row r="1582" ht="15.75" hidden="1" customHeight="1">
      <c r="A1582" s="20" t="s">
        <v>105</v>
      </c>
      <c r="B1582" s="47" t="s">
        <v>140</v>
      </c>
      <c r="C1582" s="47"/>
      <c r="D1582" s="19" t="s">
        <v>31</v>
      </c>
      <c r="E1582" s="23">
        <v>106.0</v>
      </c>
      <c r="F1582" s="18">
        <f>E1582* 0.901975683890578</f>
        <v>95.60942249</v>
      </c>
      <c r="G1582" s="18">
        <f>E1582* 0.0364741641337386</f>
        <v>3.866261398</v>
      </c>
      <c r="H1582" s="18">
        <f>E1582* 0.0615501519756839</f>
        <v>6.524316109</v>
      </c>
    </row>
    <row r="1583" ht="15.75" hidden="1" customHeight="1">
      <c r="A1583" s="20" t="s">
        <v>105</v>
      </c>
      <c r="B1583" s="47" t="s">
        <v>140</v>
      </c>
      <c r="C1583" s="47"/>
      <c r="D1583" s="19" t="s">
        <v>18</v>
      </c>
      <c r="E1583" s="23">
        <v>352.0</v>
      </c>
      <c r="F1583" s="18">
        <f>E1583* 0.932934264493959</f>
        <v>328.3928611</v>
      </c>
      <c r="G1583" s="18">
        <f>E1583* 0.0585300964416362</f>
        <v>20.60259395</v>
      </c>
      <c r="H1583" s="18">
        <f>E1583* 0.00853563906440528</f>
        <v>3.004544951</v>
      </c>
    </row>
    <row r="1584" ht="15.75" hidden="1" customHeight="1">
      <c r="A1584" s="20" t="s">
        <v>105</v>
      </c>
      <c r="B1584" s="47" t="s">
        <v>140</v>
      </c>
      <c r="C1584" s="47"/>
      <c r="D1584" s="19" t="s">
        <v>19</v>
      </c>
      <c r="E1584" s="23">
        <v>48.0</v>
      </c>
      <c r="F1584" s="18">
        <f>E1584* 0.290681971640783</f>
        <v>13.95273464</v>
      </c>
      <c r="G1584" s="18">
        <f>E1584* 0.694125590817016</f>
        <v>33.31802836</v>
      </c>
      <c r="H1584" s="18">
        <f>E1584* 0.0151924375422012</f>
        <v>0.729237002</v>
      </c>
    </row>
    <row r="1585" ht="15.75" hidden="1" customHeight="1">
      <c r="A1585" s="20" t="s">
        <v>105</v>
      </c>
      <c r="B1585" s="47" t="s">
        <v>140</v>
      </c>
      <c r="C1585" s="47"/>
      <c r="D1585" s="19" t="s">
        <v>20</v>
      </c>
      <c r="E1585" s="23">
        <v>831.0</v>
      </c>
      <c r="F1585" s="18">
        <f>E1585* 0.686268801552644</f>
        <v>570.2893741</v>
      </c>
      <c r="G1585" s="18">
        <f>E1585* 0.196991751576904</f>
        <v>163.7001456</v>
      </c>
      <c r="H1585" s="18">
        <f>E1585* 0.116642406598738</f>
        <v>96.92983988</v>
      </c>
    </row>
    <row r="1586" ht="15.75" hidden="1" customHeight="1">
      <c r="A1586" s="20" t="s">
        <v>105</v>
      </c>
      <c r="B1586" s="47" t="s">
        <v>140</v>
      </c>
      <c r="C1586" s="47"/>
      <c r="D1586" s="19" t="s">
        <v>21</v>
      </c>
      <c r="E1586" s="23">
        <v>4819.0</v>
      </c>
      <c r="F1586" s="18">
        <f>E1586* 0.999513766486355</f>
        <v>4816.656841</v>
      </c>
      <c r="G1586" s="18">
        <f>E1586* 0.0000243116756822464</f>
        <v>0.1171579651</v>
      </c>
      <c r="H1586" s="18">
        <f>E1586* 0.00034036345955145</f>
        <v>1.640211512</v>
      </c>
    </row>
    <row r="1587" ht="15.75" hidden="1" customHeight="1">
      <c r="A1587" s="20" t="s">
        <v>105</v>
      </c>
      <c r="B1587" s="47" t="s">
        <v>140</v>
      </c>
      <c r="C1587" s="47"/>
      <c r="D1587" s="19" t="s">
        <v>36</v>
      </c>
      <c r="E1587" s="23">
        <v>8.0</v>
      </c>
      <c r="F1587" s="24">
        <f>E1587</f>
        <v>8</v>
      </c>
      <c r="G1587" s="20">
        <v>0.0</v>
      </c>
      <c r="H1587" s="20">
        <v>0.0</v>
      </c>
    </row>
    <row r="1588" ht="15.75" hidden="1" customHeight="1">
      <c r="A1588" s="20" t="s">
        <v>105</v>
      </c>
      <c r="B1588" s="47" t="s">
        <v>140</v>
      </c>
      <c r="C1588" s="47"/>
      <c r="D1588" s="19" t="s">
        <v>28</v>
      </c>
      <c r="E1588" s="23">
        <v>317.0</v>
      </c>
      <c r="F1588" s="18">
        <f>E1588* 0.00094876660341556</f>
        <v>0.3007590133</v>
      </c>
      <c r="G1588" s="18">
        <f>E1588* 0.999051233396584</f>
        <v>316.699241</v>
      </c>
      <c r="H1588" s="20">
        <v>0.0</v>
      </c>
    </row>
    <row r="1589" ht="15.75" hidden="1" customHeight="1">
      <c r="A1589" s="20" t="s">
        <v>105</v>
      </c>
      <c r="B1589" s="47" t="s">
        <v>140</v>
      </c>
      <c r="C1589" s="47"/>
      <c r="D1589" s="19" t="s">
        <v>12</v>
      </c>
      <c r="E1589" s="23">
        <v>5357.0</v>
      </c>
      <c r="F1589" s="18">
        <f>E1589* 0.843786808009423</f>
        <v>4520.165931</v>
      </c>
      <c r="G1589" s="18">
        <f>E1589* 0.0740675304279545</f>
        <v>396.7797605</v>
      </c>
      <c r="H1589" s="18">
        <f>E1589* 0.0820965842167256</f>
        <v>439.7914016</v>
      </c>
    </row>
    <row r="1590" ht="15.75" hidden="1" customHeight="1">
      <c r="A1590" s="20" t="s">
        <v>105</v>
      </c>
      <c r="B1590" s="20"/>
      <c r="C1590" s="20"/>
      <c r="D1590" s="46"/>
      <c r="E1590" s="35"/>
    </row>
    <row r="1591" ht="15.75" hidden="1" customHeight="1">
      <c r="A1591" s="20" t="s">
        <v>105</v>
      </c>
      <c r="B1591" s="47" t="s">
        <v>141</v>
      </c>
      <c r="C1591" s="12" t="str">
        <f>B1591&amp;"_"&amp;A1591</f>
        <v>Tiraque_Cochabamba</v>
      </c>
      <c r="D1591" s="20"/>
      <c r="E1591" s="45">
        <v>3405.0</v>
      </c>
      <c r="F1591" s="14">
        <f t="shared" ref="F1591:H1591" si="135">SUM(F1592:F1604)</f>
        <v>2530.06001</v>
      </c>
      <c r="G1591" s="14">
        <f t="shared" si="135"/>
        <v>753.9677266</v>
      </c>
      <c r="H1591" s="14">
        <f t="shared" si="135"/>
        <v>120.5688175</v>
      </c>
    </row>
    <row r="1592" ht="15.75" hidden="1" customHeight="1">
      <c r="A1592" s="20" t="s">
        <v>105</v>
      </c>
      <c r="B1592" s="47" t="s">
        <v>141</v>
      </c>
      <c r="C1592" s="47"/>
      <c r="D1592" s="29" t="s">
        <v>467</v>
      </c>
      <c r="E1592" s="23">
        <v>4.0</v>
      </c>
      <c r="F1592" s="20">
        <v>0.0</v>
      </c>
      <c r="G1592" s="24">
        <f>E1592</f>
        <v>4</v>
      </c>
      <c r="H1592" s="20">
        <v>0.0</v>
      </c>
    </row>
    <row r="1593" ht="15.75" hidden="1" customHeight="1">
      <c r="A1593" s="20" t="s">
        <v>105</v>
      </c>
      <c r="B1593" s="47" t="s">
        <v>141</v>
      </c>
      <c r="C1593" s="47"/>
      <c r="D1593" s="19" t="s">
        <v>15</v>
      </c>
      <c r="E1593" s="23">
        <v>205.0</v>
      </c>
      <c r="F1593" s="18">
        <f>E1593* 0.932775698199239</f>
        <v>191.2190181</v>
      </c>
      <c r="G1593" s="18">
        <f>E1593* 0.00808724987291465</f>
        <v>1.657886224</v>
      </c>
      <c r="H1593" s="18">
        <f>E1593* 0.0590600305004852</f>
        <v>12.10730625</v>
      </c>
    </row>
    <row r="1594" ht="15.75" hidden="1" customHeight="1">
      <c r="A1594" s="20" t="s">
        <v>105</v>
      </c>
      <c r="B1594" s="47" t="s">
        <v>141</v>
      </c>
      <c r="C1594" s="47"/>
      <c r="D1594" s="29" t="s">
        <v>468</v>
      </c>
      <c r="E1594" s="23">
        <v>21.0</v>
      </c>
      <c r="F1594" s="18">
        <f>E1594* 0.0803212851405623</f>
        <v>1.686746988</v>
      </c>
      <c r="G1594" s="18">
        <f>E1594* 0.913367756741251</f>
        <v>19.18072289</v>
      </c>
      <c r="H1594" s="18">
        <f>E1594* 0.0057372346528973</f>
        <v>0.1204819277</v>
      </c>
    </row>
    <row r="1595" ht="15.75" hidden="1" customHeight="1">
      <c r="A1595" s="20" t="s">
        <v>105</v>
      </c>
      <c r="B1595" s="47" t="s">
        <v>141</v>
      </c>
      <c r="C1595" s="47"/>
      <c r="D1595" s="19" t="s">
        <v>11</v>
      </c>
      <c r="E1595" s="23">
        <v>522.0</v>
      </c>
      <c r="F1595" s="18">
        <f>E1595* 0.150611071171819</f>
        <v>78.61897915</v>
      </c>
      <c r="G1595" s="18">
        <f>E1595* 0.847699496764917</f>
        <v>442.4991373</v>
      </c>
      <c r="H1595" s="18">
        <f>E1595* 0.00136592379583034</f>
        <v>0.7130122214</v>
      </c>
    </row>
    <row r="1596" ht="15.75" hidden="1" customHeight="1">
      <c r="A1596" s="20" t="s">
        <v>105</v>
      </c>
      <c r="B1596" s="47" t="s">
        <v>141</v>
      </c>
      <c r="C1596" s="47"/>
      <c r="D1596" s="19" t="s">
        <v>17</v>
      </c>
      <c r="E1596" s="23">
        <v>171.0</v>
      </c>
      <c r="F1596" s="18">
        <f>E1596* 0.840430229624022</f>
        <v>143.7135693</v>
      </c>
      <c r="G1596" s="18">
        <f>E1596* 0.0777504415846581</f>
        <v>13.29532551</v>
      </c>
      <c r="H1596" s="18">
        <f>E1596* 0.0817877870300278</f>
        <v>13.98571158</v>
      </c>
    </row>
    <row r="1597" ht="15.75" hidden="1" customHeight="1">
      <c r="A1597" s="20" t="s">
        <v>105</v>
      </c>
      <c r="B1597" s="47" t="s">
        <v>141</v>
      </c>
      <c r="C1597" s="47"/>
      <c r="D1597" s="19" t="s">
        <v>31</v>
      </c>
      <c r="E1597" s="23">
        <v>4.0</v>
      </c>
      <c r="F1597" s="18">
        <f>E1597* 0.901975683890578</f>
        <v>3.607902736</v>
      </c>
      <c r="G1597" s="18">
        <f>E1597* 0.0364741641337386</f>
        <v>0.1458966565</v>
      </c>
      <c r="H1597" s="18">
        <f>E1597* 0.0615501519756839</f>
        <v>0.2462006079</v>
      </c>
    </row>
    <row r="1598" ht="15.75" hidden="1" customHeight="1">
      <c r="A1598" s="20" t="s">
        <v>105</v>
      </c>
      <c r="B1598" s="47" t="s">
        <v>141</v>
      </c>
      <c r="C1598" s="47"/>
      <c r="D1598" s="19" t="s">
        <v>18</v>
      </c>
      <c r="E1598" s="23">
        <v>25.0</v>
      </c>
      <c r="F1598" s="18">
        <f>E1598* 0.932934264493959</f>
        <v>23.32335661</v>
      </c>
      <c r="G1598" s="18">
        <f>E1598* 0.0585300964416362</f>
        <v>1.463252411</v>
      </c>
      <c r="H1598" s="18">
        <f>E1598* 0.00853563906440528</f>
        <v>0.2133909766</v>
      </c>
    </row>
    <row r="1599" ht="15.75" hidden="1" customHeight="1">
      <c r="A1599" s="20" t="s">
        <v>105</v>
      </c>
      <c r="B1599" s="47" t="s">
        <v>141</v>
      </c>
      <c r="C1599" s="47"/>
      <c r="D1599" s="19" t="s">
        <v>19</v>
      </c>
      <c r="E1599" s="23">
        <v>14.0</v>
      </c>
      <c r="F1599" s="18">
        <f>E1599* 0.290681971640783</f>
        <v>4.069547603</v>
      </c>
      <c r="G1599" s="18">
        <f>E1599* 0.694125590817016</f>
        <v>9.717758271</v>
      </c>
      <c r="H1599" s="18">
        <f>E1599* 0.0151924375422012</f>
        <v>0.2126941256</v>
      </c>
    </row>
    <row r="1600" ht="15.75" hidden="1" customHeight="1">
      <c r="A1600" s="20" t="s">
        <v>105</v>
      </c>
      <c r="B1600" s="47" t="s">
        <v>141</v>
      </c>
      <c r="C1600" s="47"/>
      <c r="D1600" s="19" t="s">
        <v>20</v>
      </c>
      <c r="E1600" s="23">
        <v>94.0</v>
      </c>
      <c r="F1600" s="18">
        <f>E1600* 0.686268801552644</f>
        <v>64.50926735</v>
      </c>
      <c r="G1600" s="18">
        <f>E1600* 0.196991751576904</f>
        <v>18.51722465</v>
      </c>
      <c r="H1600" s="18">
        <f>E1600* 0.116642406598738</f>
        <v>10.96438622</v>
      </c>
    </row>
    <row r="1601" ht="15.75" hidden="1" customHeight="1">
      <c r="A1601" s="20" t="s">
        <v>105</v>
      </c>
      <c r="B1601" s="47" t="s">
        <v>141</v>
      </c>
      <c r="C1601" s="47"/>
      <c r="D1601" s="19" t="s">
        <v>21</v>
      </c>
      <c r="E1601" s="23">
        <v>1180.0</v>
      </c>
      <c r="F1601" s="18">
        <f>E1601* 0.999513766486355</f>
        <v>1179.426244</v>
      </c>
      <c r="G1601" s="18">
        <f>E1601* 0.0000243116756822464</f>
        <v>0.02868777731</v>
      </c>
      <c r="H1601" s="18">
        <f>E1601* 0.00034036345955145</f>
        <v>0.4016288823</v>
      </c>
    </row>
    <row r="1602" ht="15.75" hidden="1" customHeight="1">
      <c r="A1602" s="20" t="s">
        <v>105</v>
      </c>
      <c r="B1602" s="47" t="s">
        <v>141</v>
      </c>
      <c r="C1602" s="47"/>
      <c r="D1602" s="19" t="s">
        <v>36</v>
      </c>
      <c r="E1602" s="23">
        <v>1.0</v>
      </c>
      <c r="F1602" s="24">
        <f>E1602</f>
        <v>1</v>
      </c>
      <c r="G1602" s="20">
        <v>0.0</v>
      </c>
      <c r="H1602" s="20">
        <v>0.0</v>
      </c>
    </row>
    <row r="1603" ht="15.75" hidden="1" customHeight="1">
      <c r="A1603" s="20" t="s">
        <v>105</v>
      </c>
      <c r="B1603" s="47" t="s">
        <v>141</v>
      </c>
      <c r="C1603" s="47"/>
      <c r="D1603" s="19" t="s">
        <v>28</v>
      </c>
      <c r="E1603" s="23">
        <v>170.0</v>
      </c>
      <c r="F1603" s="18">
        <f>E1603* 0.00094876660341556</f>
        <v>0.1612903226</v>
      </c>
      <c r="G1603" s="18">
        <f>E1603* 0.999051233396584</f>
        <v>169.8387097</v>
      </c>
      <c r="H1603" s="20">
        <v>0.0</v>
      </c>
    </row>
    <row r="1604" ht="15.75" hidden="1" customHeight="1">
      <c r="A1604" s="20" t="s">
        <v>105</v>
      </c>
      <c r="B1604" s="47" t="s">
        <v>141</v>
      </c>
      <c r="C1604" s="47"/>
      <c r="D1604" s="19" t="s">
        <v>12</v>
      </c>
      <c r="E1604" s="23">
        <v>994.0</v>
      </c>
      <c r="F1604" s="18">
        <f>E1604* 0.843786808009423</f>
        <v>838.7240872</v>
      </c>
      <c r="G1604" s="18">
        <f>E1604* 0.0740675304279545</f>
        <v>73.62312525</v>
      </c>
      <c r="H1604" s="18">
        <f>E1604* 0.0820965842167256</f>
        <v>81.60400471</v>
      </c>
    </row>
    <row r="1605" ht="15.75" hidden="1" customHeight="1">
      <c r="A1605" s="20" t="s">
        <v>105</v>
      </c>
      <c r="B1605" s="20"/>
      <c r="C1605" s="20"/>
      <c r="D1605" s="46"/>
      <c r="E1605" s="35"/>
    </row>
    <row r="1606" ht="15.75" hidden="1" customHeight="1">
      <c r="A1606" s="20" t="s">
        <v>105</v>
      </c>
      <c r="B1606" s="47" t="s">
        <v>142</v>
      </c>
      <c r="C1606" s="12" t="str">
        <f>B1606&amp;"_"&amp;A1606</f>
        <v>Toco_Cochabamba</v>
      </c>
      <c r="D1606" s="20"/>
      <c r="E1606" s="45">
        <v>108.0</v>
      </c>
      <c r="F1606" s="14">
        <f t="shared" ref="F1606:H1606" si="136">SUM(F1607:F1615)</f>
        <v>84.86043871</v>
      </c>
      <c r="G1606" s="14">
        <f t="shared" si="136"/>
        <v>18.94049406</v>
      </c>
      <c r="H1606" s="14">
        <f t="shared" si="136"/>
        <v>4.186668467</v>
      </c>
    </row>
    <row r="1607" ht="15.75" hidden="1" customHeight="1">
      <c r="A1607" s="20" t="s">
        <v>105</v>
      </c>
      <c r="B1607" s="47" t="s">
        <v>142</v>
      </c>
      <c r="C1607" s="47"/>
      <c r="D1607" s="19" t="s">
        <v>15</v>
      </c>
      <c r="E1607" s="23">
        <v>9.0</v>
      </c>
      <c r="F1607" s="18">
        <f>E1607* 0.932775698199239</f>
        <v>8.394981284</v>
      </c>
      <c r="G1607" s="18">
        <f>E1607* 0.00808724987291465</f>
        <v>0.07278524886</v>
      </c>
      <c r="H1607" s="18">
        <f>E1607* 0.0590600305004852</f>
        <v>0.5315402745</v>
      </c>
    </row>
    <row r="1608" ht="15.75" hidden="1" customHeight="1">
      <c r="A1608" s="20" t="s">
        <v>105</v>
      </c>
      <c r="B1608" s="47" t="s">
        <v>142</v>
      </c>
      <c r="C1608" s="47"/>
      <c r="D1608" s="19" t="s">
        <v>11</v>
      </c>
      <c r="E1608" s="23">
        <v>17.0</v>
      </c>
      <c r="F1608" s="18">
        <f>E1608* 0.150611071171819</f>
        <v>2.56038821</v>
      </c>
      <c r="G1608" s="18">
        <f>E1608* 0.847699496764917</f>
        <v>14.41089145</v>
      </c>
      <c r="H1608" s="18">
        <f>E1608* 0.00136592379583034</f>
        <v>0.02322070453</v>
      </c>
    </row>
    <row r="1609" ht="15.75" hidden="1" customHeight="1">
      <c r="A1609" s="20" t="s">
        <v>105</v>
      </c>
      <c r="B1609" s="47" t="s">
        <v>142</v>
      </c>
      <c r="C1609" s="47"/>
      <c r="D1609" s="19" t="s">
        <v>17</v>
      </c>
      <c r="E1609" s="23">
        <v>9.0</v>
      </c>
      <c r="F1609" s="18">
        <f>E1609* 0.840430229624022</f>
        <v>7.563872067</v>
      </c>
      <c r="G1609" s="18">
        <f>E1609* 0.0777504415846581</f>
        <v>0.6997539743</v>
      </c>
      <c r="H1609" s="18">
        <f>E1609* 0.0817877870300278</f>
        <v>0.7360900833</v>
      </c>
    </row>
    <row r="1610" ht="15.75" hidden="1" customHeight="1">
      <c r="A1610" s="20" t="s">
        <v>105</v>
      </c>
      <c r="B1610" s="47" t="s">
        <v>142</v>
      </c>
      <c r="C1610" s="47"/>
      <c r="D1610" s="19" t="s">
        <v>31</v>
      </c>
      <c r="E1610" s="23">
        <v>2.0</v>
      </c>
      <c r="F1610" s="18">
        <f>E1610* 0.901975683890578</f>
        <v>1.803951368</v>
      </c>
      <c r="G1610" s="18">
        <f>E1610* 0.0364741641337386</f>
        <v>0.07294832827</v>
      </c>
      <c r="H1610" s="18">
        <f>E1610* 0.0615501519756839</f>
        <v>0.123100304</v>
      </c>
    </row>
    <row r="1611" ht="15.75" hidden="1" customHeight="1">
      <c r="A1611" s="20" t="s">
        <v>105</v>
      </c>
      <c r="B1611" s="47" t="s">
        <v>142</v>
      </c>
      <c r="C1611" s="47"/>
      <c r="D1611" s="19" t="s">
        <v>18</v>
      </c>
      <c r="E1611" s="23">
        <v>2.0</v>
      </c>
      <c r="F1611" s="18">
        <f>E1611* 0.932934264493959</f>
        <v>1.865868529</v>
      </c>
      <c r="G1611" s="18">
        <f>E1611* 0.0585300964416362</f>
        <v>0.1170601929</v>
      </c>
      <c r="H1611" s="18">
        <f>E1611* 0.00853563906440528</f>
        <v>0.01707127813</v>
      </c>
    </row>
    <row r="1612" ht="15.75" hidden="1" customHeight="1">
      <c r="A1612" s="20" t="s">
        <v>105</v>
      </c>
      <c r="B1612" s="47" t="s">
        <v>142</v>
      </c>
      <c r="C1612" s="47"/>
      <c r="D1612" s="19" t="s">
        <v>20</v>
      </c>
      <c r="E1612" s="23">
        <v>1.0</v>
      </c>
      <c r="F1612" s="18">
        <f>E1612* 0.686268801552644</f>
        <v>0.6862688016</v>
      </c>
      <c r="G1612" s="18">
        <f>E1612* 0.196991751576904</f>
        <v>0.1969917516</v>
      </c>
      <c r="H1612" s="18">
        <f>E1612* 0.116642406598738</f>
        <v>0.1166424066</v>
      </c>
    </row>
    <row r="1613" ht="15.75" hidden="1" customHeight="1">
      <c r="A1613" s="20" t="s">
        <v>105</v>
      </c>
      <c r="B1613" s="47" t="s">
        <v>142</v>
      </c>
      <c r="C1613" s="47"/>
      <c r="D1613" s="19" t="s">
        <v>21</v>
      </c>
      <c r="E1613" s="23">
        <v>35.0</v>
      </c>
      <c r="F1613" s="18">
        <f>E1613* 0.999513766486355</f>
        <v>34.98298183</v>
      </c>
      <c r="G1613" s="18">
        <f>E1613* 0.0000243116756822464</f>
        <v>0.0008509086489</v>
      </c>
      <c r="H1613" s="18">
        <f>E1613* 0.00034036345955145</f>
        <v>0.01191272108</v>
      </c>
    </row>
    <row r="1614" ht="15.75" hidden="1" customHeight="1">
      <c r="A1614" s="20" t="s">
        <v>105</v>
      </c>
      <c r="B1614" s="47" t="s">
        <v>142</v>
      </c>
      <c r="C1614" s="47"/>
      <c r="D1614" s="19" t="s">
        <v>28</v>
      </c>
      <c r="E1614" s="23">
        <v>1.0</v>
      </c>
      <c r="F1614" s="18">
        <f>E1614* 0.00094876660341556</f>
        <v>0.0009487666034</v>
      </c>
      <c r="G1614" s="18">
        <f>E1614* 0.999051233396584</f>
        <v>0.9990512334</v>
      </c>
      <c r="H1614" s="20">
        <v>0.0</v>
      </c>
    </row>
    <row r="1615" ht="15.75" hidden="1" customHeight="1">
      <c r="A1615" s="20" t="s">
        <v>105</v>
      </c>
      <c r="B1615" s="47" t="s">
        <v>142</v>
      </c>
      <c r="C1615" s="47"/>
      <c r="D1615" s="19" t="s">
        <v>12</v>
      </c>
      <c r="E1615" s="23">
        <v>32.0</v>
      </c>
      <c r="F1615" s="18">
        <f>E1615* 0.843786808009423</f>
        <v>27.00117786</v>
      </c>
      <c r="G1615" s="18">
        <f>E1615* 0.0740675304279545</f>
        <v>2.370160974</v>
      </c>
      <c r="H1615" s="18">
        <f>E1615* 0.0820965842167256</f>
        <v>2.627090695</v>
      </c>
    </row>
    <row r="1616" ht="15.75" hidden="1" customHeight="1">
      <c r="A1616" s="20" t="s">
        <v>105</v>
      </c>
      <c r="B1616" s="20"/>
      <c r="C1616" s="20"/>
      <c r="D1616" s="46"/>
      <c r="E1616" s="35"/>
    </row>
    <row r="1617" ht="15.75" hidden="1" customHeight="1">
      <c r="A1617" s="20" t="s">
        <v>105</v>
      </c>
      <c r="B1617" s="47" t="s">
        <v>143</v>
      </c>
      <c r="C1617" s="12" t="str">
        <f>B1617&amp;"_"&amp;A1617</f>
        <v>Tolata_Cochabamba</v>
      </c>
      <c r="D1617" s="20"/>
      <c r="E1617" s="45">
        <v>315.0</v>
      </c>
      <c r="F1617" s="14">
        <f t="shared" ref="F1617:H1617" si="137">SUM(F1618:F1628)</f>
        <v>250.5374254</v>
      </c>
      <c r="G1617" s="14">
        <f t="shared" si="137"/>
        <v>47.70354998</v>
      </c>
      <c r="H1617" s="14">
        <f t="shared" si="137"/>
        <v>16.72954641</v>
      </c>
    </row>
    <row r="1618" ht="15.75" hidden="1" customHeight="1">
      <c r="A1618" s="20" t="s">
        <v>105</v>
      </c>
      <c r="B1618" s="47" t="s">
        <v>143</v>
      </c>
      <c r="C1618" s="47"/>
      <c r="D1618" s="29" t="s">
        <v>469</v>
      </c>
      <c r="E1618" s="23">
        <v>3.0</v>
      </c>
      <c r="F1618" s="20">
        <v>0.0</v>
      </c>
      <c r="G1618" s="24">
        <f>E1618</f>
        <v>3</v>
      </c>
      <c r="H1618" s="20">
        <v>0.0</v>
      </c>
    </row>
    <row r="1619" ht="15.75" hidden="1" customHeight="1">
      <c r="A1619" s="20" t="s">
        <v>105</v>
      </c>
      <c r="B1619" s="47" t="s">
        <v>143</v>
      </c>
      <c r="C1619" s="47"/>
      <c r="D1619" s="19" t="s">
        <v>15</v>
      </c>
      <c r="E1619" s="23">
        <v>34.0</v>
      </c>
      <c r="F1619" s="18">
        <f>E1619* 0.932775698199239</f>
        <v>31.71437374</v>
      </c>
      <c r="G1619" s="18">
        <f>E1619* 0.00808724987291465</f>
        <v>0.2749664957</v>
      </c>
      <c r="H1619" s="18">
        <f>E1619* 0.0590600305004852</f>
        <v>2.008041037</v>
      </c>
    </row>
    <row r="1620" ht="15.75" hidden="1" customHeight="1">
      <c r="A1620" s="20" t="s">
        <v>105</v>
      </c>
      <c r="B1620" s="47" t="s">
        <v>143</v>
      </c>
      <c r="C1620" s="47"/>
      <c r="D1620" s="29" t="s">
        <v>470</v>
      </c>
      <c r="E1620" s="23">
        <v>2.0</v>
      </c>
      <c r="F1620" s="18">
        <f>E1620* 0.0803212851405623</f>
        <v>0.1606425703</v>
      </c>
      <c r="G1620" s="18">
        <f>E1620* 0.913367756741251</f>
        <v>1.826735513</v>
      </c>
      <c r="H1620" s="18">
        <f>E1620* 0.0057372346528973</f>
        <v>0.01147446931</v>
      </c>
    </row>
    <row r="1621" ht="15.75" hidden="1" customHeight="1">
      <c r="A1621" s="20" t="s">
        <v>105</v>
      </c>
      <c r="B1621" s="47" t="s">
        <v>143</v>
      </c>
      <c r="C1621" s="47"/>
      <c r="D1621" s="19" t="s">
        <v>11</v>
      </c>
      <c r="E1621" s="23">
        <v>32.0</v>
      </c>
      <c r="F1621" s="18">
        <f>E1621* 0.150611071171819</f>
        <v>4.819554277</v>
      </c>
      <c r="G1621" s="18">
        <f>E1621* 0.847699496764917</f>
        <v>27.1263839</v>
      </c>
      <c r="H1621" s="18">
        <f>E1621* 0.00136592379583034</f>
        <v>0.04370956147</v>
      </c>
    </row>
    <row r="1622" ht="15.75" hidden="1" customHeight="1">
      <c r="A1622" s="20" t="s">
        <v>105</v>
      </c>
      <c r="B1622" s="47" t="s">
        <v>143</v>
      </c>
      <c r="C1622" s="47"/>
      <c r="D1622" s="19" t="s">
        <v>17</v>
      </c>
      <c r="E1622" s="23">
        <v>53.0</v>
      </c>
      <c r="F1622" s="18">
        <f>E1622* 0.840430229624022</f>
        <v>44.54280217</v>
      </c>
      <c r="G1622" s="18">
        <f>E1622* 0.0777504415846581</f>
        <v>4.120773404</v>
      </c>
      <c r="H1622" s="18">
        <f>E1622* 0.0817877870300278</f>
        <v>4.334752713</v>
      </c>
    </row>
    <row r="1623" ht="15.75" hidden="1" customHeight="1">
      <c r="A1623" s="20" t="s">
        <v>105</v>
      </c>
      <c r="B1623" s="47" t="s">
        <v>143</v>
      </c>
      <c r="C1623" s="47"/>
      <c r="D1623" s="19" t="s">
        <v>31</v>
      </c>
      <c r="E1623" s="23">
        <v>2.0</v>
      </c>
      <c r="F1623" s="18">
        <f>E1623* 0.901975683890578</f>
        <v>1.803951368</v>
      </c>
      <c r="G1623" s="18">
        <f>E1623* 0.0364741641337386</f>
        <v>0.07294832827</v>
      </c>
      <c r="H1623" s="18">
        <f>E1623* 0.0615501519756839</f>
        <v>0.123100304</v>
      </c>
    </row>
    <row r="1624" ht="15.75" hidden="1" customHeight="1">
      <c r="A1624" s="20" t="s">
        <v>105</v>
      </c>
      <c r="B1624" s="47" t="s">
        <v>143</v>
      </c>
      <c r="C1624" s="47"/>
      <c r="D1624" s="19" t="s">
        <v>18</v>
      </c>
      <c r="E1624" s="23">
        <v>7.0</v>
      </c>
      <c r="F1624" s="18">
        <f>E1624* 0.932934264493959</f>
        <v>6.530539851</v>
      </c>
      <c r="G1624" s="18">
        <f>E1624* 0.0585300964416362</f>
        <v>0.4097106751</v>
      </c>
      <c r="H1624" s="18">
        <f>E1624* 0.00853563906440528</f>
        <v>0.05974947345</v>
      </c>
    </row>
    <row r="1625" ht="15.75" hidden="1" customHeight="1">
      <c r="A1625" s="20" t="s">
        <v>105</v>
      </c>
      <c r="B1625" s="47" t="s">
        <v>143</v>
      </c>
      <c r="C1625" s="47"/>
      <c r="D1625" s="19" t="s">
        <v>20</v>
      </c>
      <c r="E1625" s="23">
        <v>8.0</v>
      </c>
      <c r="F1625" s="18">
        <f>E1625* 0.686268801552644</f>
        <v>5.490150412</v>
      </c>
      <c r="G1625" s="18">
        <f>E1625* 0.196991751576904</f>
        <v>1.575934013</v>
      </c>
      <c r="H1625" s="18">
        <f>E1625* 0.116642406598738</f>
        <v>0.9331392528</v>
      </c>
    </row>
    <row r="1626" ht="15.75" hidden="1" customHeight="1">
      <c r="A1626" s="20" t="s">
        <v>105</v>
      </c>
      <c r="B1626" s="47" t="s">
        <v>143</v>
      </c>
      <c r="C1626" s="47"/>
      <c r="D1626" s="19" t="s">
        <v>21</v>
      </c>
      <c r="E1626" s="23">
        <v>61.0</v>
      </c>
      <c r="F1626" s="18">
        <f>E1626* 0.999513766486355</f>
        <v>60.97033976</v>
      </c>
      <c r="G1626" s="18">
        <f>E1626* 0.0000243116756822464</f>
        <v>0.001483012217</v>
      </c>
      <c r="H1626" s="18">
        <f>E1626* 0.00034036345955145</f>
        <v>0.02076217103</v>
      </c>
    </row>
    <row r="1627" ht="15.75" hidden="1" customHeight="1">
      <c r="A1627" s="20" t="s">
        <v>105</v>
      </c>
      <c r="B1627" s="47" t="s">
        <v>143</v>
      </c>
      <c r="C1627" s="47"/>
      <c r="D1627" s="19" t="s">
        <v>28</v>
      </c>
      <c r="E1627" s="23">
        <v>1.0</v>
      </c>
      <c r="F1627" s="18">
        <f>E1627* 0.00094876660341556</f>
        <v>0.0009487666034</v>
      </c>
      <c r="G1627" s="18">
        <f>E1627* 0.999051233396584</f>
        <v>0.9990512334</v>
      </c>
      <c r="H1627" s="20">
        <v>0.0</v>
      </c>
    </row>
    <row r="1628" ht="15.75" hidden="1" customHeight="1">
      <c r="A1628" s="20" t="s">
        <v>105</v>
      </c>
      <c r="B1628" s="47" t="s">
        <v>143</v>
      </c>
      <c r="C1628" s="47"/>
      <c r="D1628" s="19" t="s">
        <v>12</v>
      </c>
      <c r="E1628" s="23">
        <v>112.0</v>
      </c>
      <c r="F1628" s="18">
        <f>E1628* 0.843786808009423</f>
        <v>94.5041225</v>
      </c>
      <c r="G1628" s="18">
        <f>E1628* 0.0740675304279545</f>
        <v>8.295563408</v>
      </c>
      <c r="H1628" s="18">
        <f>E1628* 0.0820965842167256</f>
        <v>9.194817432</v>
      </c>
    </row>
    <row r="1629" ht="15.75" hidden="1" customHeight="1">
      <c r="A1629" s="20" t="s">
        <v>105</v>
      </c>
      <c r="B1629" s="20"/>
      <c r="C1629" s="20"/>
      <c r="D1629" s="46"/>
      <c r="E1629" s="35"/>
    </row>
    <row r="1630" ht="15.75" hidden="1" customHeight="1">
      <c r="A1630" s="20" t="s">
        <v>105</v>
      </c>
      <c r="B1630" s="47" t="s">
        <v>144</v>
      </c>
      <c r="C1630" s="12" t="str">
        <f>B1630&amp;"_"&amp;A1630</f>
        <v>Totora_Cochabamba</v>
      </c>
      <c r="D1630" s="20"/>
      <c r="E1630" s="45">
        <v>179.0</v>
      </c>
      <c r="F1630" s="14">
        <f t="shared" ref="F1630:H1630" si="138">SUM(F1631:F1641)</f>
        <v>101.5375387</v>
      </c>
      <c r="G1630" s="14">
        <f t="shared" si="138"/>
        <v>71.00874598</v>
      </c>
      <c r="H1630" s="14">
        <f t="shared" si="138"/>
        <v>6.42276173</v>
      </c>
    </row>
    <row r="1631" ht="15.75" hidden="1" customHeight="1">
      <c r="A1631" s="20" t="s">
        <v>105</v>
      </c>
      <c r="B1631" s="47" t="s">
        <v>144</v>
      </c>
      <c r="C1631" s="47"/>
      <c r="D1631" s="29" t="s">
        <v>471</v>
      </c>
      <c r="E1631" s="23">
        <v>0.0</v>
      </c>
      <c r="F1631" s="20">
        <v>0.0</v>
      </c>
      <c r="G1631" s="24">
        <f>E1631</f>
        <v>0</v>
      </c>
      <c r="H1631" s="20">
        <v>0.0</v>
      </c>
    </row>
    <row r="1632" ht="15.75" hidden="1" customHeight="1">
      <c r="A1632" s="20" t="s">
        <v>105</v>
      </c>
      <c r="B1632" s="47" t="s">
        <v>144</v>
      </c>
      <c r="C1632" s="47"/>
      <c r="D1632" s="19" t="s">
        <v>15</v>
      </c>
      <c r="E1632" s="32">
        <v>7.0</v>
      </c>
      <c r="F1632" s="18">
        <f>E1632* 0.932775698199239</f>
        <v>6.529429887</v>
      </c>
      <c r="G1632" s="18">
        <f>E1632* 0.00808724987291465</f>
        <v>0.05661074911</v>
      </c>
      <c r="H1632" s="18">
        <f>E1632* 0.0590600305004852</f>
        <v>0.4134202135</v>
      </c>
    </row>
    <row r="1633" ht="15.75" hidden="1" customHeight="1">
      <c r="A1633" s="20" t="s">
        <v>105</v>
      </c>
      <c r="B1633" s="47" t="s">
        <v>144</v>
      </c>
      <c r="C1633" s="47"/>
      <c r="D1633" s="29" t="s">
        <v>472</v>
      </c>
      <c r="E1633" s="23">
        <v>0.0</v>
      </c>
      <c r="F1633" s="18">
        <f>E1633* 0.0803212851405623</f>
        <v>0</v>
      </c>
      <c r="G1633" s="18">
        <f>E1633* 0.913367756741251</f>
        <v>0</v>
      </c>
      <c r="H1633" s="18">
        <f>E1633* 0.0057372346528973</f>
        <v>0</v>
      </c>
    </row>
    <row r="1634" ht="15.75" hidden="1" customHeight="1">
      <c r="A1634" s="20" t="s">
        <v>105</v>
      </c>
      <c r="B1634" s="47" t="s">
        <v>144</v>
      </c>
      <c r="C1634" s="47"/>
      <c r="D1634" s="19" t="s">
        <v>11</v>
      </c>
      <c r="E1634" s="23">
        <v>74.0</v>
      </c>
      <c r="F1634" s="18">
        <f>E1634* 0.150611071171819</f>
        <v>11.14521927</v>
      </c>
      <c r="G1634" s="18">
        <f>E1634* 0.847699496764917</f>
        <v>62.72976276</v>
      </c>
      <c r="H1634" s="18">
        <f>E1634* 0.00136592379583034</f>
        <v>0.1010783609</v>
      </c>
    </row>
    <row r="1635" ht="15.75" hidden="1" customHeight="1">
      <c r="A1635" s="20" t="s">
        <v>105</v>
      </c>
      <c r="B1635" s="47" t="s">
        <v>144</v>
      </c>
      <c r="C1635" s="47"/>
      <c r="D1635" s="19" t="s">
        <v>17</v>
      </c>
      <c r="E1635" s="32">
        <v>12.0</v>
      </c>
      <c r="F1635" s="18">
        <f>E1635* 0.840430229624022</f>
        <v>10.08516276</v>
      </c>
      <c r="G1635" s="18">
        <f>E1635* 0.0777504415846581</f>
        <v>0.933005299</v>
      </c>
      <c r="H1635" s="18">
        <f>E1635* 0.0817877870300278</f>
        <v>0.9814534444</v>
      </c>
    </row>
    <row r="1636" ht="15.75" hidden="1" customHeight="1">
      <c r="A1636" s="20" t="s">
        <v>105</v>
      </c>
      <c r="B1636" s="47" t="s">
        <v>144</v>
      </c>
      <c r="C1636" s="47"/>
      <c r="D1636" s="19" t="s">
        <v>18</v>
      </c>
      <c r="E1636" s="32">
        <v>5.0</v>
      </c>
      <c r="F1636" s="18">
        <f>E1636* 0.932934264493959</f>
        <v>4.664671322</v>
      </c>
      <c r="G1636" s="18">
        <f>E1636* 0.0585300964416362</f>
        <v>0.2926504822</v>
      </c>
      <c r="H1636" s="18">
        <f>E1636* 0.00853563906440528</f>
        <v>0.04267819532</v>
      </c>
    </row>
    <row r="1637" ht="15.75" hidden="1" customHeight="1">
      <c r="A1637" s="20" t="s">
        <v>105</v>
      </c>
      <c r="B1637" s="47" t="s">
        <v>144</v>
      </c>
      <c r="C1637" s="47"/>
      <c r="D1637" s="19" t="s">
        <v>19</v>
      </c>
      <c r="E1637" s="32">
        <v>1.0</v>
      </c>
      <c r="F1637" s="18">
        <f>E1637* 0.290681971640783</f>
        <v>0.2906819716</v>
      </c>
      <c r="G1637" s="18">
        <f>E1637* 0.694125590817016</f>
        <v>0.6941255908</v>
      </c>
      <c r="H1637" s="18">
        <f>E1637* 0.0151924375422012</f>
        <v>0.01519243754</v>
      </c>
    </row>
    <row r="1638" ht="15.75" hidden="1" customHeight="1">
      <c r="A1638" s="20" t="s">
        <v>105</v>
      </c>
      <c r="B1638" s="47" t="s">
        <v>144</v>
      </c>
      <c r="C1638" s="47"/>
      <c r="D1638" s="19" t="s">
        <v>20</v>
      </c>
      <c r="E1638" s="32">
        <v>10.0</v>
      </c>
      <c r="F1638" s="18">
        <f>E1638* 0.686268801552644</f>
        <v>6.862688016</v>
      </c>
      <c r="G1638" s="18">
        <f>E1638* 0.196991751576904</f>
        <v>1.969917516</v>
      </c>
      <c r="H1638" s="18">
        <f>E1638* 0.116642406598738</f>
        <v>1.166424066</v>
      </c>
    </row>
    <row r="1639" ht="15.75" hidden="1" customHeight="1">
      <c r="A1639" s="20" t="s">
        <v>105</v>
      </c>
      <c r="B1639" s="47" t="s">
        <v>144</v>
      </c>
      <c r="C1639" s="47"/>
      <c r="D1639" s="19" t="s">
        <v>21</v>
      </c>
      <c r="E1639" s="32">
        <v>24.0</v>
      </c>
      <c r="F1639" s="18">
        <f>E1639* 0.999513766486355</f>
        <v>23.9883304</v>
      </c>
      <c r="G1639" s="18">
        <f>E1639* 0.0000243116756822464</f>
        <v>0.0005834802164</v>
      </c>
      <c r="H1639" s="18">
        <f>E1639* 0.00034036345955145</f>
        <v>0.008168723029</v>
      </c>
    </row>
    <row r="1640" ht="15.75" hidden="1" customHeight="1">
      <c r="A1640" s="20" t="s">
        <v>105</v>
      </c>
      <c r="B1640" s="47" t="s">
        <v>144</v>
      </c>
      <c r="C1640" s="47"/>
      <c r="D1640" s="19" t="s">
        <v>28</v>
      </c>
      <c r="E1640" s="32">
        <v>1.0</v>
      </c>
      <c r="F1640" s="18">
        <f>E1640* 0.00094876660341556</f>
        <v>0.0009487666034</v>
      </c>
      <c r="G1640" s="18">
        <f>E1640* 0.999051233396584</f>
        <v>0.9990512334</v>
      </c>
      <c r="H1640" s="20">
        <v>0.0</v>
      </c>
    </row>
    <row r="1641" ht="15.75" hidden="1" customHeight="1">
      <c r="A1641" s="20" t="s">
        <v>105</v>
      </c>
      <c r="B1641" s="47" t="s">
        <v>144</v>
      </c>
      <c r="C1641" s="47"/>
      <c r="D1641" s="19" t="s">
        <v>12</v>
      </c>
      <c r="E1641" s="32">
        <v>45.0</v>
      </c>
      <c r="F1641" s="18">
        <f>E1641* 0.843786808009423</f>
        <v>37.97040636</v>
      </c>
      <c r="G1641" s="18">
        <f>E1641* 0.0740675304279545</f>
        <v>3.333038869</v>
      </c>
      <c r="H1641" s="18">
        <f>E1641* 0.0820965842167256</f>
        <v>3.69434629</v>
      </c>
    </row>
    <row r="1642" ht="15.75" hidden="1" customHeight="1">
      <c r="A1642" s="20" t="s">
        <v>105</v>
      </c>
      <c r="B1642" s="20"/>
      <c r="C1642" s="20"/>
      <c r="D1642" s="46"/>
      <c r="E1642" s="35"/>
    </row>
    <row r="1643" ht="15.75" hidden="1" customHeight="1">
      <c r="A1643" s="20" t="s">
        <v>105</v>
      </c>
      <c r="B1643" s="47" t="s">
        <v>145</v>
      </c>
      <c r="C1643" s="12" t="str">
        <f>B1643&amp;"_"&amp;A1643</f>
        <v>Vacas_Cochabamba</v>
      </c>
      <c r="D1643" s="20"/>
      <c r="E1643" s="45">
        <v>137.0</v>
      </c>
      <c r="F1643" s="14">
        <f t="shared" ref="F1643:H1643" si="139">SUM(F1644:F1651)</f>
        <v>97.22346391</v>
      </c>
      <c r="G1643" s="14">
        <f t="shared" si="139"/>
        <v>31.41221349</v>
      </c>
      <c r="H1643" s="14">
        <f t="shared" si="139"/>
        <v>8.350307485</v>
      </c>
    </row>
    <row r="1644" ht="15.75" hidden="1" customHeight="1">
      <c r="A1644" s="20" t="s">
        <v>105</v>
      </c>
      <c r="B1644" s="47" t="s">
        <v>145</v>
      </c>
      <c r="C1644" s="47"/>
      <c r="D1644" s="29" t="s">
        <v>473</v>
      </c>
      <c r="E1644" s="23">
        <v>4.0</v>
      </c>
      <c r="F1644" s="20">
        <v>0.0</v>
      </c>
      <c r="G1644" s="24">
        <f>E1644</f>
        <v>4</v>
      </c>
      <c r="H1644" s="20">
        <v>0.0</v>
      </c>
    </row>
    <row r="1645" ht="15.75" hidden="1" customHeight="1">
      <c r="A1645" s="20" t="s">
        <v>105</v>
      </c>
      <c r="B1645" s="47" t="s">
        <v>145</v>
      </c>
      <c r="C1645" s="47"/>
      <c r="D1645" s="19" t="s">
        <v>15</v>
      </c>
      <c r="E1645" s="23">
        <v>3.0</v>
      </c>
      <c r="F1645" s="18">
        <f>E1645* 0.932775698199239</f>
        <v>2.798327095</v>
      </c>
      <c r="G1645" s="18">
        <f>E1645* 0.00808724987291465</f>
        <v>0.02426174962</v>
      </c>
      <c r="H1645" s="18">
        <f>E1645* 0.0590600305004852</f>
        <v>0.1771800915</v>
      </c>
    </row>
    <row r="1646" ht="15.75" hidden="1" customHeight="1">
      <c r="A1646" s="20" t="s">
        <v>105</v>
      </c>
      <c r="B1646" s="47" t="s">
        <v>145</v>
      </c>
      <c r="C1646" s="47"/>
      <c r="D1646" s="29" t="s">
        <v>474</v>
      </c>
      <c r="E1646" s="23">
        <v>1.0</v>
      </c>
      <c r="F1646" s="18">
        <f>E1646* 0.0803212851405623</f>
        <v>0.08032128514</v>
      </c>
      <c r="G1646" s="18">
        <f>E1646* 0.913367756741251</f>
        <v>0.9133677567</v>
      </c>
      <c r="H1646" s="18">
        <f>E1646* 0.0057372346528973</f>
        <v>0.005737234653</v>
      </c>
    </row>
    <row r="1647" ht="15.75" hidden="1" customHeight="1">
      <c r="A1647" s="20" t="s">
        <v>105</v>
      </c>
      <c r="B1647" s="47" t="s">
        <v>145</v>
      </c>
      <c r="C1647" s="47"/>
      <c r="D1647" s="19" t="s">
        <v>11</v>
      </c>
      <c r="E1647" s="23">
        <v>22.0</v>
      </c>
      <c r="F1647" s="18">
        <f>E1647* 0.150611071171819</f>
        <v>3.313443566</v>
      </c>
      <c r="G1647" s="18">
        <f>E1647* 0.847699496764917</f>
        <v>18.64938893</v>
      </c>
      <c r="H1647" s="18">
        <f>E1647* 0.00136592379583034</f>
        <v>0.03005032351</v>
      </c>
    </row>
    <row r="1648" ht="15.75" hidden="1" customHeight="1">
      <c r="A1648" s="20" t="s">
        <v>105</v>
      </c>
      <c r="B1648" s="47" t="s">
        <v>145</v>
      </c>
      <c r="C1648" s="47"/>
      <c r="D1648" s="19" t="s">
        <v>17</v>
      </c>
      <c r="E1648" s="23">
        <v>7.0</v>
      </c>
      <c r="F1648" s="18">
        <f>E1648* 0.840430229624022</f>
        <v>5.883011607</v>
      </c>
      <c r="G1648" s="18">
        <f>E1648* 0.0777504415846581</f>
        <v>0.5442530911</v>
      </c>
      <c r="H1648" s="18">
        <f>E1648* 0.0817877870300278</f>
        <v>0.5725145092</v>
      </c>
    </row>
    <row r="1649" ht="15.75" hidden="1" customHeight="1">
      <c r="A1649" s="20" t="s">
        <v>105</v>
      </c>
      <c r="B1649" s="47" t="s">
        <v>145</v>
      </c>
      <c r="C1649" s="47"/>
      <c r="D1649" s="19" t="s">
        <v>20</v>
      </c>
      <c r="E1649" s="23">
        <v>5.0</v>
      </c>
      <c r="F1649" s="18">
        <f>E1649* 0.686268801552644</f>
        <v>3.431344008</v>
      </c>
      <c r="G1649" s="18">
        <f>E1649* 0.196991751576904</f>
        <v>0.9849587579</v>
      </c>
      <c r="H1649" s="18">
        <f>E1649* 0.116642406598738</f>
        <v>0.583212033</v>
      </c>
    </row>
    <row r="1650" ht="15.75" hidden="1" customHeight="1">
      <c r="A1650" s="20" t="s">
        <v>105</v>
      </c>
      <c r="B1650" s="47" t="s">
        <v>145</v>
      </c>
      <c r="C1650" s="47"/>
      <c r="D1650" s="19" t="s">
        <v>21</v>
      </c>
      <c r="E1650" s="23">
        <v>10.0</v>
      </c>
      <c r="F1650" s="18">
        <f>E1650* 0.999513766486355</f>
        <v>9.995137665</v>
      </c>
      <c r="G1650" s="18">
        <f>E1650* 0.0000243116756822464</f>
        <v>0.0002431167568</v>
      </c>
      <c r="H1650" s="18">
        <f>E1650* 0.00034036345955145</f>
        <v>0.003403634596</v>
      </c>
    </row>
    <row r="1651" ht="15.75" hidden="1" customHeight="1">
      <c r="A1651" s="20" t="s">
        <v>105</v>
      </c>
      <c r="B1651" s="47" t="s">
        <v>145</v>
      </c>
      <c r="C1651" s="47"/>
      <c r="D1651" s="19" t="s">
        <v>12</v>
      </c>
      <c r="E1651" s="23">
        <v>85.0</v>
      </c>
      <c r="F1651" s="18">
        <f>E1651* 0.843786808009423</f>
        <v>71.72187868</v>
      </c>
      <c r="G1651" s="18">
        <f>E1651* 0.0740675304279545</f>
        <v>6.295740086</v>
      </c>
      <c r="H1651" s="18">
        <f>E1651* 0.0820965842167256</f>
        <v>6.978209658</v>
      </c>
    </row>
    <row r="1652" ht="15.75" hidden="1" customHeight="1">
      <c r="A1652" s="20" t="s">
        <v>105</v>
      </c>
      <c r="B1652" s="20"/>
      <c r="C1652" s="20"/>
      <c r="D1652" s="46"/>
      <c r="E1652" s="35"/>
    </row>
    <row r="1653" ht="15.75" hidden="1" customHeight="1">
      <c r="A1653" s="20" t="s">
        <v>105</v>
      </c>
      <c r="B1653" s="47" t="s">
        <v>146</v>
      </c>
      <c r="C1653" s="12" t="str">
        <f>B1653&amp;"_"&amp;A1653</f>
        <v>Vila Vila_Cochabamba</v>
      </c>
      <c r="D1653" s="20"/>
      <c r="E1653" s="45">
        <v>1.0</v>
      </c>
      <c r="F1653" s="14">
        <f t="shared" ref="F1653:H1653" si="140">SUM(F1654:F1655)</f>
        <v>0.9995137665</v>
      </c>
      <c r="G1653" s="14">
        <f t="shared" si="140"/>
        <v>0.00002431167568</v>
      </c>
      <c r="H1653" s="14">
        <f t="shared" si="140"/>
        <v>0.0003403634596</v>
      </c>
    </row>
    <row r="1654" ht="15.75" hidden="1" customHeight="1">
      <c r="A1654" s="20" t="s">
        <v>105</v>
      </c>
      <c r="B1654" s="47" t="s">
        <v>146</v>
      </c>
      <c r="C1654" s="47"/>
      <c r="D1654" s="19" t="s">
        <v>21</v>
      </c>
      <c r="E1654" s="23">
        <v>1.0</v>
      </c>
      <c r="F1654" s="18">
        <f>E1654* 0.999513766486355</f>
        <v>0.9995137665</v>
      </c>
      <c r="G1654" s="18">
        <f>E1654* 0.0000243116756822464</f>
        <v>0.00002431167568</v>
      </c>
      <c r="H1654" s="18">
        <f>E1654* 0.00034036345955145</f>
        <v>0.0003403634596</v>
      </c>
    </row>
    <row r="1655" ht="15.75" hidden="1" customHeight="1">
      <c r="A1655" s="20" t="s">
        <v>105</v>
      </c>
      <c r="B1655" s="47" t="s">
        <v>146</v>
      </c>
      <c r="C1655" s="47"/>
      <c r="D1655" s="19" t="s">
        <v>12</v>
      </c>
      <c r="E1655" s="35"/>
      <c r="F1655" s="18">
        <f>E1655* 0.843786808009423</f>
        <v>0</v>
      </c>
      <c r="G1655" s="18">
        <f>E1655* 0.0740675304279545</f>
        <v>0</v>
      </c>
      <c r="H1655" s="18">
        <f>E1655* 0.0820965842167256</f>
        <v>0</v>
      </c>
    </row>
    <row r="1656" ht="15.75" hidden="1" customHeight="1">
      <c r="A1656" s="20" t="s">
        <v>105</v>
      </c>
      <c r="B1656" s="20"/>
      <c r="C1656" s="20"/>
      <c r="D1656" s="46"/>
      <c r="E1656" s="35"/>
    </row>
    <row r="1657" ht="15.75" hidden="1" customHeight="1">
      <c r="A1657" s="20" t="s">
        <v>105</v>
      </c>
      <c r="B1657" s="47" t="s">
        <v>147</v>
      </c>
      <c r="C1657" s="12" t="str">
        <f>B1657&amp;"_"&amp;A1657</f>
        <v>Villa Rivero_Cochabamba</v>
      </c>
      <c r="D1657" s="20"/>
      <c r="E1657" s="45">
        <v>407.0</v>
      </c>
      <c r="F1657" s="14">
        <f t="shared" ref="F1657:H1657" si="141">SUM(F1658:F1668)</f>
        <v>341.6638718</v>
      </c>
      <c r="G1657" s="14">
        <f t="shared" si="141"/>
        <v>42.51280707</v>
      </c>
      <c r="H1657" s="14">
        <f t="shared" si="141"/>
        <v>22.78961352</v>
      </c>
    </row>
    <row r="1658" ht="15.75" hidden="1" customHeight="1">
      <c r="A1658" s="20" t="s">
        <v>105</v>
      </c>
      <c r="B1658" s="47" t="s">
        <v>147</v>
      </c>
      <c r="C1658" s="47"/>
      <c r="D1658" s="29" t="s">
        <v>475</v>
      </c>
      <c r="E1658" s="23">
        <v>7.0</v>
      </c>
      <c r="F1658" s="20">
        <v>0.0</v>
      </c>
      <c r="G1658" s="24">
        <f>E1658</f>
        <v>7</v>
      </c>
      <c r="H1658" s="20">
        <v>0.0</v>
      </c>
    </row>
    <row r="1659" ht="15.75" hidden="1" customHeight="1">
      <c r="A1659" s="20" t="s">
        <v>105</v>
      </c>
      <c r="B1659" s="47" t="s">
        <v>147</v>
      </c>
      <c r="C1659" s="47"/>
      <c r="D1659" s="19" t="s">
        <v>15</v>
      </c>
      <c r="E1659" s="23">
        <v>38.0</v>
      </c>
      <c r="F1659" s="18">
        <f>E1659* 0.932775698199239</f>
        <v>35.44547653</v>
      </c>
      <c r="G1659" s="18">
        <f>E1659* 0.00808724987291465</f>
        <v>0.3073154952</v>
      </c>
      <c r="H1659" s="18">
        <f>E1659* 0.0590600305004852</f>
        <v>2.244281159</v>
      </c>
    </row>
    <row r="1660" ht="15.75" hidden="1" customHeight="1">
      <c r="A1660" s="20" t="s">
        <v>105</v>
      </c>
      <c r="B1660" s="47" t="s">
        <v>147</v>
      </c>
      <c r="C1660" s="47"/>
      <c r="D1660" s="19" t="s">
        <v>11</v>
      </c>
      <c r="E1660" s="23">
        <v>14.0</v>
      </c>
      <c r="F1660" s="18">
        <f>E1660* 0.150611071171819</f>
        <v>2.108554996</v>
      </c>
      <c r="G1660" s="18">
        <f>E1660* 0.847699496764917</f>
        <v>11.86779295</v>
      </c>
      <c r="H1660" s="18">
        <f>E1660* 0.00136592379583034</f>
        <v>0.01912293314</v>
      </c>
    </row>
    <row r="1661" ht="15.75" hidden="1" customHeight="1">
      <c r="A1661" s="20" t="s">
        <v>105</v>
      </c>
      <c r="B1661" s="47" t="s">
        <v>147</v>
      </c>
      <c r="C1661" s="47"/>
      <c r="D1661" s="19" t="s">
        <v>17</v>
      </c>
      <c r="E1661" s="23">
        <v>17.0</v>
      </c>
      <c r="F1661" s="18">
        <f>E1661* 0.840430229624022</f>
        <v>14.2873139</v>
      </c>
      <c r="G1661" s="18">
        <f>E1661* 0.0777504415846581</f>
        <v>1.321757507</v>
      </c>
      <c r="H1661" s="18">
        <f>E1661* 0.0817877870300278</f>
        <v>1.39039238</v>
      </c>
    </row>
    <row r="1662" ht="15.75" hidden="1" customHeight="1">
      <c r="A1662" s="20" t="s">
        <v>105</v>
      </c>
      <c r="B1662" s="47" t="s">
        <v>147</v>
      </c>
      <c r="C1662" s="47"/>
      <c r="D1662" s="19" t="s">
        <v>31</v>
      </c>
      <c r="E1662" s="23">
        <v>9.0</v>
      </c>
      <c r="F1662" s="18">
        <f>E1662* 0.901975683890578</f>
        <v>8.117781155</v>
      </c>
      <c r="G1662" s="18">
        <f>E1662* 0.0364741641337386</f>
        <v>0.3282674772</v>
      </c>
      <c r="H1662" s="18">
        <f>E1662* 0.0615501519756839</f>
        <v>0.5539513678</v>
      </c>
    </row>
    <row r="1663" ht="15.75" hidden="1" customHeight="1">
      <c r="A1663" s="20" t="s">
        <v>105</v>
      </c>
      <c r="B1663" s="47" t="s">
        <v>147</v>
      </c>
      <c r="C1663" s="47"/>
      <c r="D1663" s="19" t="s">
        <v>18</v>
      </c>
      <c r="E1663" s="23">
        <v>2.0</v>
      </c>
      <c r="F1663" s="18">
        <f>E1663* 0.932934264493959</f>
        <v>1.865868529</v>
      </c>
      <c r="G1663" s="18">
        <f>E1663* 0.0585300964416362</f>
        <v>0.1170601929</v>
      </c>
      <c r="H1663" s="18">
        <f>E1663* 0.00853563906440528</f>
        <v>0.01707127813</v>
      </c>
    </row>
    <row r="1664" ht="15.75" hidden="1" customHeight="1">
      <c r="A1664" s="20" t="s">
        <v>105</v>
      </c>
      <c r="B1664" s="47" t="s">
        <v>147</v>
      </c>
      <c r="C1664" s="47"/>
      <c r="D1664" s="19" t="s">
        <v>19</v>
      </c>
      <c r="E1664" s="23">
        <v>0.0</v>
      </c>
      <c r="F1664" s="18">
        <f>E1664* 0.290681971640783</f>
        <v>0</v>
      </c>
      <c r="G1664" s="18">
        <f>E1664* 0.694125590817016</f>
        <v>0</v>
      </c>
      <c r="H1664" s="18">
        <f>E1664* 0.0151924375422012</f>
        <v>0</v>
      </c>
    </row>
    <row r="1665" ht="15.75" hidden="1" customHeight="1">
      <c r="A1665" s="20" t="s">
        <v>105</v>
      </c>
      <c r="B1665" s="47" t="s">
        <v>147</v>
      </c>
      <c r="C1665" s="47"/>
      <c r="D1665" s="19" t="s">
        <v>20</v>
      </c>
      <c r="E1665" s="23">
        <v>42.0</v>
      </c>
      <c r="F1665" s="18">
        <f>E1665* 0.686268801552644</f>
        <v>28.82328967</v>
      </c>
      <c r="G1665" s="18">
        <f>E1665* 0.196991751576904</f>
        <v>8.273653566</v>
      </c>
      <c r="H1665" s="18">
        <f>E1665* 0.116642406598738</f>
        <v>4.898981077</v>
      </c>
    </row>
    <row r="1666" ht="15.75" hidden="1" customHeight="1">
      <c r="A1666" s="20" t="s">
        <v>105</v>
      </c>
      <c r="B1666" s="47" t="s">
        <v>147</v>
      </c>
      <c r="C1666" s="47"/>
      <c r="D1666" s="19" t="s">
        <v>21</v>
      </c>
      <c r="E1666" s="23">
        <v>111.0</v>
      </c>
      <c r="F1666" s="18">
        <f>E1666* 0.999513766486355</f>
        <v>110.9460281</v>
      </c>
      <c r="G1666" s="18">
        <f>E1666* 0.0000243116756822464</f>
        <v>0.002698596001</v>
      </c>
      <c r="H1666" s="18">
        <f>E1666* 0.00034036345955145</f>
        <v>0.03778034401</v>
      </c>
    </row>
    <row r="1667" ht="15.75" hidden="1" customHeight="1">
      <c r="A1667" s="20" t="s">
        <v>105</v>
      </c>
      <c r="B1667" s="47" t="s">
        <v>147</v>
      </c>
      <c r="C1667" s="47"/>
      <c r="D1667" s="19" t="s">
        <v>148</v>
      </c>
      <c r="E1667" s="23">
        <v>1.0</v>
      </c>
      <c r="F1667" s="18">
        <f>E1667* 0.00094876660341556</f>
        <v>0.0009487666034</v>
      </c>
      <c r="G1667" s="18">
        <f>E1667* 0.999051233396584</f>
        <v>0.9990512334</v>
      </c>
      <c r="H1667" s="20">
        <v>0.0</v>
      </c>
    </row>
    <row r="1668" ht="15.75" hidden="1" customHeight="1">
      <c r="A1668" s="20" t="s">
        <v>105</v>
      </c>
      <c r="B1668" s="47" t="s">
        <v>147</v>
      </c>
      <c r="C1668" s="47"/>
      <c r="D1668" s="19" t="s">
        <v>12</v>
      </c>
      <c r="E1668" s="23">
        <v>166.0</v>
      </c>
      <c r="F1668" s="18">
        <f>E1668* 0.843786808009423</f>
        <v>140.0686101</v>
      </c>
      <c r="G1668" s="18">
        <f>E1668* 0.0740675304279545</f>
        <v>12.29521005</v>
      </c>
      <c r="H1668" s="18">
        <f>E1668* 0.0820965842167256</f>
        <v>13.62803298</v>
      </c>
    </row>
    <row r="1669" ht="15.75" hidden="1" customHeight="1">
      <c r="A1669" s="20" t="s">
        <v>105</v>
      </c>
      <c r="B1669" s="20"/>
      <c r="C1669" s="20"/>
      <c r="D1669" s="46"/>
      <c r="E1669" s="35"/>
    </row>
    <row r="1670" ht="15.75" hidden="1" customHeight="1">
      <c r="A1670" s="20" t="s">
        <v>105</v>
      </c>
      <c r="B1670" s="47" t="s">
        <v>149</v>
      </c>
      <c r="C1670" s="12" t="str">
        <f>B1670&amp;"_"&amp;A1670</f>
        <v>Villa Tunari_Cochabamba</v>
      </c>
      <c r="D1670" s="20"/>
      <c r="E1670" s="45">
        <v>6267.0</v>
      </c>
      <c r="F1670" s="14">
        <f t="shared" ref="F1670:H1670" si="142">SUM(F1671:F1684)</f>
        <v>5588.642348</v>
      </c>
      <c r="G1670" s="14">
        <f t="shared" si="142"/>
        <v>468.2660297</v>
      </c>
      <c r="H1670" s="14">
        <f t="shared" si="142"/>
        <v>209.4470893</v>
      </c>
    </row>
    <row r="1671" ht="15.75" hidden="1" customHeight="1">
      <c r="A1671" s="20" t="s">
        <v>105</v>
      </c>
      <c r="B1671" s="47" t="s">
        <v>149</v>
      </c>
      <c r="C1671" s="47"/>
      <c r="D1671" s="29" t="s">
        <v>476</v>
      </c>
      <c r="E1671" s="23">
        <v>6.0</v>
      </c>
      <c r="F1671" s="20">
        <v>0.0</v>
      </c>
      <c r="G1671" s="24">
        <f>E1671</f>
        <v>6</v>
      </c>
      <c r="H1671" s="20">
        <v>0.0</v>
      </c>
    </row>
    <row r="1672" ht="15.75" hidden="1" customHeight="1">
      <c r="A1672" s="20" t="s">
        <v>105</v>
      </c>
      <c r="B1672" s="47" t="s">
        <v>149</v>
      </c>
      <c r="C1672" s="47"/>
      <c r="D1672" s="19" t="s">
        <v>15</v>
      </c>
      <c r="E1672" s="23">
        <v>98.0</v>
      </c>
      <c r="F1672" s="18">
        <f>E1672* 0.932775698199239</f>
        <v>91.41201842</v>
      </c>
      <c r="G1672" s="18">
        <f>E1672* 0.00808724987291465</f>
        <v>0.7925504875</v>
      </c>
      <c r="H1672" s="18">
        <f>E1672* 0.0590600305004852</f>
        <v>5.787882989</v>
      </c>
    </row>
    <row r="1673" ht="15.75" hidden="1" customHeight="1">
      <c r="A1673" s="20" t="s">
        <v>105</v>
      </c>
      <c r="B1673" s="47" t="s">
        <v>149</v>
      </c>
      <c r="C1673" s="47"/>
      <c r="D1673" s="29" t="s">
        <v>477</v>
      </c>
      <c r="E1673" s="23">
        <v>3.0</v>
      </c>
      <c r="F1673" s="18">
        <f>E1673* 0.0803212851405623</f>
        <v>0.2409638554</v>
      </c>
      <c r="G1673" s="18">
        <f>E1673* 0.913367756741251</f>
        <v>2.74010327</v>
      </c>
      <c r="H1673" s="18">
        <f>E1673* 0.0057372346528973</f>
        <v>0.01721170396</v>
      </c>
    </row>
    <row r="1674" ht="15.75" hidden="1" customHeight="1">
      <c r="A1674" s="20" t="s">
        <v>105</v>
      </c>
      <c r="B1674" s="47" t="s">
        <v>149</v>
      </c>
      <c r="C1674" s="47"/>
      <c r="D1674" s="19" t="s">
        <v>11</v>
      </c>
      <c r="E1674" s="23">
        <v>273.0</v>
      </c>
      <c r="F1674" s="18">
        <f>E1674* 0.150611071171819</f>
        <v>41.11682243</v>
      </c>
      <c r="G1674" s="18">
        <f>E1674* 0.847699496764917</f>
        <v>231.4219626</v>
      </c>
      <c r="H1674" s="18">
        <f>E1674* 0.00136592379583034</f>
        <v>0.3728971963</v>
      </c>
    </row>
    <row r="1675" ht="15.75" hidden="1" customHeight="1">
      <c r="A1675" s="20" t="s">
        <v>105</v>
      </c>
      <c r="B1675" s="47" t="s">
        <v>149</v>
      </c>
      <c r="C1675" s="47"/>
      <c r="D1675" s="19" t="s">
        <v>17</v>
      </c>
      <c r="E1675" s="23">
        <v>184.0</v>
      </c>
      <c r="F1675" s="18">
        <f>E1675* 0.840430229624022</f>
        <v>154.6391623</v>
      </c>
      <c r="G1675" s="18">
        <f>E1675* 0.0777504415846581</f>
        <v>14.30608125</v>
      </c>
      <c r="H1675" s="18">
        <f>E1675* 0.0817877870300278</f>
        <v>15.04895281</v>
      </c>
    </row>
    <row r="1676" ht="15.75" hidden="1" customHeight="1">
      <c r="A1676" s="20" t="s">
        <v>105</v>
      </c>
      <c r="B1676" s="47" t="s">
        <v>149</v>
      </c>
      <c r="C1676" s="47"/>
      <c r="D1676" s="19" t="s">
        <v>31</v>
      </c>
      <c r="E1676" s="23">
        <v>18.0</v>
      </c>
      <c r="F1676" s="18">
        <f>E1676* 0.901975683890578</f>
        <v>16.23556231</v>
      </c>
      <c r="G1676" s="18">
        <f>E1676* 0.0364741641337386</f>
        <v>0.6565349544</v>
      </c>
      <c r="H1676" s="18">
        <f>E1676* 0.0615501519756839</f>
        <v>1.107902736</v>
      </c>
    </row>
    <row r="1677" ht="15.75" hidden="1" customHeight="1">
      <c r="A1677" s="20" t="s">
        <v>105</v>
      </c>
      <c r="B1677" s="47" t="s">
        <v>149</v>
      </c>
      <c r="C1677" s="47"/>
      <c r="D1677" s="19" t="s">
        <v>18</v>
      </c>
      <c r="E1677" s="23">
        <v>20.0</v>
      </c>
      <c r="F1677" s="18">
        <f>E1677* 0.932934264493959</f>
        <v>18.65868529</v>
      </c>
      <c r="G1677" s="18">
        <f>E1677* 0.0585300964416362</f>
        <v>1.170601929</v>
      </c>
      <c r="H1677" s="18">
        <f>E1677* 0.00853563906440528</f>
        <v>0.1707127813</v>
      </c>
    </row>
    <row r="1678" ht="15.75" hidden="1" customHeight="1">
      <c r="A1678" s="20" t="s">
        <v>105</v>
      </c>
      <c r="B1678" s="47" t="s">
        <v>149</v>
      </c>
      <c r="C1678" s="47"/>
      <c r="D1678" s="19" t="s">
        <v>19</v>
      </c>
      <c r="E1678" s="23">
        <v>7.0</v>
      </c>
      <c r="F1678" s="18">
        <f>E1678* 0.290681971640783</f>
        <v>2.034773801</v>
      </c>
      <c r="G1678" s="18">
        <f>E1678* 0.694125590817016</f>
        <v>4.858879136</v>
      </c>
      <c r="H1678" s="18">
        <f>E1678* 0.0151924375422012</f>
        <v>0.1063470628</v>
      </c>
    </row>
    <row r="1679" ht="15.75" hidden="1" customHeight="1">
      <c r="A1679" s="20" t="s">
        <v>105</v>
      </c>
      <c r="B1679" s="47" t="s">
        <v>149</v>
      </c>
      <c r="C1679" s="47"/>
      <c r="D1679" s="19" t="s">
        <v>20</v>
      </c>
      <c r="E1679" s="23">
        <v>248.0</v>
      </c>
      <c r="F1679" s="18">
        <f>E1679* 0.686268801552644</f>
        <v>170.1946628</v>
      </c>
      <c r="G1679" s="18">
        <f>E1679* 0.196991751576904</f>
        <v>48.85395439</v>
      </c>
      <c r="H1679" s="18">
        <f>E1679* 0.116642406598738</f>
        <v>28.92731684</v>
      </c>
    </row>
    <row r="1680" ht="15.75" hidden="1" customHeight="1">
      <c r="A1680" s="20" t="s">
        <v>105</v>
      </c>
      <c r="B1680" s="47" t="s">
        <v>149</v>
      </c>
      <c r="C1680" s="47"/>
      <c r="D1680" s="19" t="s">
        <v>21</v>
      </c>
      <c r="E1680" s="23">
        <v>3483.0</v>
      </c>
      <c r="F1680" s="18">
        <f>E1680* 0.999513766486355</f>
        <v>3481.306449</v>
      </c>
      <c r="G1680" s="18">
        <f>E1680* 0.0000243116756822464</f>
        <v>0.0846775664</v>
      </c>
      <c r="H1680" s="18">
        <f>E1680* 0.00034036345955145</f>
        <v>1.18548593</v>
      </c>
    </row>
    <row r="1681" ht="15.75" hidden="1" customHeight="1">
      <c r="A1681" s="20" t="s">
        <v>105</v>
      </c>
      <c r="B1681" s="47" t="s">
        <v>149</v>
      </c>
      <c r="C1681" s="47"/>
      <c r="D1681" s="19" t="s">
        <v>36</v>
      </c>
      <c r="E1681" s="23">
        <v>2.0</v>
      </c>
      <c r="F1681" s="24">
        <f>E1681</f>
        <v>2</v>
      </c>
      <c r="G1681" s="20">
        <v>0.0</v>
      </c>
      <c r="H1681" s="20">
        <v>0.0</v>
      </c>
    </row>
    <row r="1682" ht="15.75" hidden="1" customHeight="1">
      <c r="A1682" s="20" t="s">
        <v>105</v>
      </c>
      <c r="B1682" s="47" t="s">
        <v>149</v>
      </c>
      <c r="C1682" s="47"/>
      <c r="D1682" s="19" t="s">
        <v>148</v>
      </c>
      <c r="E1682" s="23">
        <v>15.0</v>
      </c>
      <c r="F1682" s="18">
        <f>E1682* 0.00094876660341556</f>
        <v>0.01423149905</v>
      </c>
      <c r="G1682" s="18">
        <f>E1682* 0.999051233396584</f>
        <v>14.9857685</v>
      </c>
      <c r="H1682" s="20">
        <v>0.0</v>
      </c>
    </row>
    <row r="1683" ht="15.75" hidden="1" customHeight="1">
      <c r="A1683" s="20" t="s">
        <v>105</v>
      </c>
      <c r="B1683" s="47" t="s">
        <v>149</v>
      </c>
      <c r="C1683" s="47"/>
      <c r="D1683" s="19" t="s">
        <v>84</v>
      </c>
      <c r="E1683" s="23">
        <v>1.0</v>
      </c>
      <c r="F1683" s="20">
        <v>0.0</v>
      </c>
      <c r="G1683" s="24">
        <f>E1683</f>
        <v>1</v>
      </c>
      <c r="H1683" s="20">
        <v>0.0</v>
      </c>
    </row>
    <row r="1684" ht="15.75" hidden="1" customHeight="1">
      <c r="A1684" s="20" t="s">
        <v>105</v>
      </c>
      <c r="B1684" s="47" t="s">
        <v>149</v>
      </c>
      <c r="C1684" s="47"/>
      <c r="D1684" s="19" t="s">
        <v>12</v>
      </c>
      <c r="E1684" s="23">
        <v>1909.0</v>
      </c>
      <c r="F1684" s="18">
        <f>E1684* 0.843786808009423</f>
        <v>1610.789016</v>
      </c>
      <c r="G1684" s="18">
        <f>E1684* 0.0740675304279545</f>
        <v>141.3949156</v>
      </c>
      <c r="H1684" s="18">
        <f>E1684* 0.0820965842167256</f>
        <v>156.7223793</v>
      </c>
    </row>
    <row r="1685" ht="15.75" hidden="1" customHeight="1">
      <c r="A1685" s="20" t="s">
        <v>105</v>
      </c>
      <c r="B1685" s="20"/>
      <c r="C1685" s="20"/>
      <c r="D1685" s="46"/>
      <c r="E1685" s="35"/>
    </row>
    <row r="1686" ht="15.75" hidden="1" customHeight="1">
      <c r="A1686" s="20" t="s">
        <v>105</v>
      </c>
      <c r="B1686" s="47" t="s">
        <v>150</v>
      </c>
      <c r="C1686" s="12" t="str">
        <f>B1686&amp;"_"&amp;A1686</f>
        <v>Vinto_Cochabamba</v>
      </c>
      <c r="D1686" s="20"/>
      <c r="E1686" s="45">
        <v>16884.0</v>
      </c>
      <c r="F1686" s="14">
        <f t="shared" ref="F1686:H1686" si="143">SUM(F1687:F1700)</f>
        <v>11167.69546</v>
      </c>
      <c r="G1686" s="14">
        <f t="shared" si="143"/>
        <v>4978.737764</v>
      </c>
      <c r="H1686" s="14">
        <f t="shared" si="143"/>
        <v>735.6329934</v>
      </c>
    </row>
    <row r="1687" ht="15.75" hidden="1" customHeight="1">
      <c r="A1687" s="20" t="s">
        <v>105</v>
      </c>
      <c r="B1687" s="47" t="s">
        <v>150</v>
      </c>
      <c r="C1687" s="47"/>
      <c r="D1687" s="29" t="s">
        <v>478</v>
      </c>
      <c r="E1687" s="23">
        <v>0.0</v>
      </c>
      <c r="F1687" s="20">
        <v>0.0</v>
      </c>
      <c r="G1687" s="24">
        <f>E1687</f>
        <v>0</v>
      </c>
      <c r="H1687" s="20">
        <v>0.0</v>
      </c>
    </row>
    <row r="1688" ht="15.75" hidden="1" customHeight="1">
      <c r="A1688" s="20" t="s">
        <v>105</v>
      </c>
      <c r="B1688" s="47" t="s">
        <v>150</v>
      </c>
      <c r="C1688" s="47"/>
      <c r="D1688" s="19" t="s">
        <v>15</v>
      </c>
      <c r="E1688" s="23">
        <v>2005.0</v>
      </c>
      <c r="F1688" s="18">
        <f>E1688* 0.932775698199239</f>
        <v>1870.215275</v>
      </c>
      <c r="G1688" s="18">
        <f>E1688* 0.00808724987291465</f>
        <v>16.214936</v>
      </c>
      <c r="H1688" s="18">
        <f>E1688* 0.0590600305004852</f>
        <v>118.4153612</v>
      </c>
    </row>
    <row r="1689" ht="15.75" hidden="1" customHeight="1">
      <c r="A1689" s="20" t="s">
        <v>105</v>
      </c>
      <c r="B1689" s="47" t="s">
        <v>150</v>
      </c>
      <c r="C1689" s="47"/>
      <c r="D1689" s="29" t="s">
        <v>479</v>
      </c>
      <c r="E1689" s="23">
        <v>256.0</v>
      </c>
      <c r="F1689" s="18">
        <f>E1689* 0.0803212851405623</f>
        <v>20.562249</v>
      </c>
      <c r="G1689" s="18">
        <f>E1689* 0.913367756741251</f>
        <v>233.8221457</v>
      </c>
      <c r="H1689" s="18">
        <f>E1689* 0.0057372346528973</f>
        <v>1.468732071</v>
      </c>
    </row>
    <row r="1690" ht="15.75" hidden="1" customHeight="1">
      <c r="A1690" s="20" t="s">
        <v>105</v>
      </c>
      <c r="B1690" s="47" t="s">
        <v>150</v>
      </c>
      <c r="C1690" s="47"/>
      <c r="D1690" s="19" t="s">
        <v>11</v>
      </c>
      <c r="E1690" s="23">
        <v>2876.0</v>
      </c>
      <c r="F1690" s="18">
        <f>E1690* 0.150611071171819</f>
        <v>433.1574407</v>
      </c>
      <c r="G1690" s="18">
        <f>E1690* 0.847699496764917</f>
        <v>2437.983753</v>
      </c>
      <c r="H1690" s="18">
        <f>E1690* 0.00136592379583034</f>
        <v>3.928396837</v>
      </c>
    </row>
    <row r="1691" ht="15.75" hidden="1" customHeight="1">
      <c r="A1691" s="20" t="s">
        <v>105</v>
      </c>
      <c r="B1691" s="47" t="s">
        <v>150</v>
      </c>
      <c r="C1691" s="47"/>
      <c r="D1691" s="19" t="s">
        <v>17</v>
      </c>
      <c r="E1691" s="23">
        <v>1807.0</v>
      </c>
      <c r="F1691" s="18">
        <f>E1691* 0.840430229624022</f>
        <v>1518.657425</v>
      </c>
      <c r="G1691" s="18">
        <f>E1691* 0.0777504415846581</f>
        <v>140.4950479</v>
      </c>
      <c r="H1691" s="18">
        <f>E1691* 0.0817877870300278</f>
        <v>147.7905312</v>
      </c>
    </row>
    <row r="1692" ht="15.75" hidden="1" customHeight="1">
      <c r="A1692" s="20" t="s">
        <v>105</v>
      </c>
      <c r="B1692" s="47" t="s">
        <v>150</v>
      </c>
      <c r="C1692" s="47"/>
      <c r="D1692" s="19" t="s">
        <v>31</v>
      </c>
      <c r="E1692" s="23">
        <v>95.0</v>
      </c>
      <c r="F1692" s="18">
        <f>E1692* 0.901975683890578</f>
        <v>85.68768997</v>
      </c>
      <c r="G1692" s="18">
        <f>E1692* 0.0364741641337386</f>
        <v>3.465045593</v>
      </c>
      <c r="H1692" s="18">
        <f>E1692* 0.0615501519756839</f>
        <v>5.847264438</v>
      </c>
    </row>
    <row r="1693" ht="15.75" hidden="1" customHeight="1">
      <c r="A1693" s="20" t="s">
        <v>105</v>
      </c>
      <c r="B1693" s="47" t="s">
        <v>150</v>
      </c>
      <c r="C1693" s="47"/>
      <c r="D1693" s="19" t="s">
        <v>18</v>
      </c>
      <c r="E1693" s="23">
        <v>322.0</v>
      </c>
      <c r="F1693" s="18">
        <f>E1693* 0.932934264493959</f>
        <v>300.4048332</v>
      </c>
      <c r="G1693" s="18">
        <f>E1693* 0.0585300964416362</f>
        <v>18.84669105</v>
      </c>
      <c r="H1693" s="18">
        <f>E1693* 0.00853563906440528</f>
        <v>2.748475779</v>
      </c>
    </row>
    <row r="1694" ht="15.75" hidden="1" customHeight="1">
      <c r="A1694" s="20" t="s">
        <v>105</v>
      </c>
      <c r="B1694" s="47" t="s">
        <v>150</v>
      </c>
      <c r="C1694" s="47"/>
      <c r="D1694" s="19" t="s">
        <v>19</v>
      </c>
      <c r="E1694" s="23">
        <v>86.0</v>
      </c>
      <c r="F1694" s="18">
        <f>E1694* 0.290681971640783</f>
        <v>24.99864956</v>
      </c>
      <c r="G1694" s="18">
        <f>E1694* 0.694125590817016</f>
        <v>59.69480081</v>
      </c>
      <c r="H1694" s="18">
        <f>E1694* 0.0151924375422012</f>
        <v>1.306549629</v>
      </c>
    </row>
    <row r="1695" ht="15.75" hidden="1" customHeight="1">
      <c r="A1695" s="20" t="s">
        <v>105</v>
      </c>
      <c r="B1695" s="47" t="s">
        <v>150</v>
      </c>
      <c r="C1695" s="47"/>
      <c r="D1695" s="19" t="s">
        <v>20</v>
      </c>
      <c r="E1695" s="23">
        <v>1131.0</v>
      </c>
      <c r="F1695" s="18">
        <f>E1695* 0.686268801552644</f>
        <v>776.1700146</v>
      </c>
      <c r="G1695" s="18">
        <f>E1695* 0.196991751576904</f>
        <v>222.797671</v>
      </c>
      <c r="H1695" s="18">
        <f>E1695* 0.116642406598738</f>
        <v>131.9225619</v>
      </c>
    </row>
    <row r="1696" ht="15.75" hidden="1" customHeight="1">
      <c r="A1696" s="20" t="s">
        <v>105</v>
      </c>
      <c r="B1696" s="47" t="s">
        <v>150</v>
      </c>
      <c r="C1696" s="47"/>
      <c r="D1696" s="19" t="s">
        <v>21</v>
      </c>
      <c r="E1696" s="23">
        <v>2824.0</v>
      </c>
      <c r="F1696" s="18">
        <f>E1696* 0.999513766486355</f>
        <v>2822.626877</v>
      </c>
      <c r="G1696" s="18">
        <f>E1696* 0.0000243116756822464</f>
        <v>0.06865617213</v>
      </c>
      <c r="H1696" s="18">
        <f>E1696* 0.00034036345955145</f>
        <v>0.9611864098</v>
      </c>
    </row>
    <row r="1697" ht="15.75" hidden="1" customHeight="1">
      <c r="A1697" s="20" t="s">
        <v>105</v>
      </c>
      <c r="B1697" s="47" t="s">
        <v>150</v>
      </c>
      <c r="C1697" s="47"/>
      <c r="D1697" s="19" t="s">
        <v>36</v>
      </c>
      <c r="E1697" s="23">
        <v>12.0</v>
      </c>
      <c r="F1697" s="24">
        <f>E1697</f>
        <v>12</v>
      </c>
      <c r="G1697" s="20">
        <v>0.0</v>
      </c>
      <c r="H1697" s="20">
        <v>0.0</v>
      </c>
    </row>
    <row r="1698" ht="15.75" hidden="1" customHeight="1">
      <c r="A1698" s="20" t="s">
        <v>105</v>
      </c>
      <c r="B1698" s="47" t="s">
        <v>150</v>
      </c>
      <c r="C1698" s="47"/>
      <c r="D1698" s="19" t="s">
        <v>37</v>
      </c>
      <c r="E1698" s="23">
        <v>0.0</v>
      </c>
      <c r="F1698" s="20">
        <v>0.0</v>
      </c>
      <c r="G1698" s="24">
        <f>E1698</f>
        <v>0</v>
      </c>
      <c r="H1698" s="20">
        <v>0.0</v>
      </c>
    </row>
    <row r="1699" ht="15.75" hidden="1" customHeight="1">
      <c r="A1699" s="20" t="s">
        <v>105</v>
      </c>
      <c r="B1699" s="47" t="s">
        <v>150</v>
      </c>
      <c r="C1699" s="47"/>
      <c r="D1699" s="19" t="s">
        <v>148</v>
      </c>
      <c r="E1699" s="23">
        <v>1557.0</v>
      </c>
      <c r="F1699" s="18">
        <f>E1699* 0.00094876660341556</f>
        <v>1.477229602</v>
      </c>
      <c r="G1699" s="18">
        <f>E1699* 0.999051233396584</f>
        <v>1555.52277</v>
      </c>
      <c r="H1699" s="20">
        <v>0.0</v>
      </c>
    </row>
    <row r="1700" ht="15.75" hidden="1" customHeight="1">
      <c r="A1700" s="20" t="s">
        <v>105</v>
      </c>
      <c r="B1700" s="47" t="s">
        <v>150</v>
      </c>
      <c r="C1700" s="47"/>
      <c r="D1700" s="50" t="s">
        <v>12</v>
      </c>
      <c r="E1700" s="27">
        <v>3913.0</v>
      </c>
      <c r="F1700" s="18">
        <f>E1700* 0.843786808009423</f>
        <v>3301.73778</v>
      </c>
      <c r="G1700" s="18">
        <f>E1700* 0.0740675304279545</f>
        <v>289.8262466</v>
      </c>
      <c r="H1700" s="18">
        <f>E1700* 0.0820965842167256</f>
        <v>321.243934</v>
      </c>
    </row>
    <row r="1701" ht="15.75" customHeight="1">
      <c r="A1701" s="20" t="s">
        <v>151</v>
      </c>
      <c r="B1701" s="47" t="s">
        <v>480</v>
      </c>
      <c r="C1701" s="12" t="str">
        <f>B1701&amp;"_"&amp;A1701</f>
        <v>Antequera_Oruro</v>
      </c>
      <c r="D1701" s="20"/>
      <c r="E1701" s="45">
        <v>722.0</v>
      </c>
      <c r="F1701" s="14">
        <f t="shared" ref="F1701:H1701" si="144">SUM(F1702:F1712)</f>
        <v>607.6135258</v>
      </c>
      <c r="G1701" s="14">
        <f t="shared" si="144"/>
        <v>75.54065049</v>
      </c>
      <c r="H1701" s="14">
        <f t="shared" si="144"/>
        <v>38.82503836</v>
      </c>
    </row>
    <row r="1702" ht="15.75" hidden="1" customHeight="1">
      <c r="A1702" s="20" t="s">
        <v>151</v>
      </c>
      <c r="B1702" s="47" t="s">
        <v>480</v>
      </c>
      <c r="C1702" s="47"/>
      <c r="D1702" s="19" t="s">
        <v>15</v>
      </c>
      <c r="E1702" s="23">
        <v>49.0</v>
      </c>
      <c r="F1702" s="18">
        <f>E1702* 0.929012779104059</f>
        <v>45.52162618</v>
      </c>
      <c r="G1702" s="18">
        <f>E1702* 0.00947900575761831</f>
        <v>0.4644712821</v>
      </c>
      <c r="H1702" s="18">
        <f>E1702* 0.0614380002808594</f>
        <v>3.010462014</v>
      </c>
    </row>
    <row r="1703" ht="15.75" hidden="1" customHeight="1">
      <c r="A1703" s="20" t="s">
        <v>151</v>
      </c>
      <c r="B1703" s="47" t="s">
        <v>480</v>
      </c>
      <c r="C1703" s="47"/>
      <c r="D1703" s="29" t="s">
        <v>481</v>
      </c>
      <c r="E1703" s="23">
        <v>3.0</v>
      </c>
      <c r="F1703" s="18">
        <f>E1703* 0.0624390243902439</f>
        <v>0.1873170732</v>
      </c>
      <c r="G1703" s="18">
        <f>E1703* 0.936585365853659</f>
        <v>2.809756098</v>
      </c>
      <c r="H1703" s="20">
        <v>0.0</v>
      </c>
    </row>
    <row r="1704" ht="15.75" hidden="1" customHeight="1">
      <c r="A1704" s="20" t="s">
        <v>151</v>
      </c>
      <c r="B1704" s="47" t="s">
        <v>480</v>
      </c>
      <c r="C1704" s="47"/>
      <c r="D1704" s="19" t="s">
        <v>11</v>
      </c>
      <c r="E1704" s="23">
        <v>29.0</v>
      </c>
      <c r="F1704" s="18">
        <f>E1704* 0.080360592401803</f>
        <v>2.33045718</v>
      </c>
      <c r="G1704" s="18">
        <f>E1704* 0.917192530585963</f>
        <v>26.59858339</v>
      </c>
      <c r="H1704" s="18">
        <f>E1704* 0.00218931101094656</f>
        <v>0.06349001932</v>
      </c>
    </row>
    <row r="1705" ht="15.75" hidden="1" customHeight="1">
      <c r="A1705" s="20" t="s">
        <v>151</v>
      </c>
      <c r="B1705" s="47" t="s">
        <v>480</v>
      </c>
      <c r="C1705" s="47"/>
      <c r="D1705" s="19" t="s">
        <v>17</v>
      </c>
      <c r="E1705" s="23">
        <v>125.0</v>
      </c>
      <c r="F1705" s="18">
        <f>E1705* 0.836035451794207</f>
        <v>104.5044315</v>
      </c>
      <c r="G1705" s="18">
        <f>E1705* 0.0583657587548638</f>
        <v>7.295719844</v>
      </c>
      <c r="H1705" s="18">
        <f>E1705* 0.10559878945093</f>
        <v>13.19984868</v>
      </c>
    </row>
    <row r="1706" ht="15.75" hidden="1" customHeight="1">
      <c r="A1706" s="20" t="s">
        <v>151</v>
      </c>
      <c r="B1706" s="47" t="s">
        <v>480</v>
      </c>
      <c r="C1706" s="47"/>
      <c r="D1706" s="19" t="s">
        <v>31</v>
      </c>
      <c r="E1706" s="23">
        <v>4.0</v>
      </c>
      <c r="F1706" s="18">
        <f>E1706* 0.872611464968153</f>
        <v>3.49044586</v>
      </c>
      <c r="G1706" s="18">
        <f>E1706* 0.0764331210191083</f>
        <v>0.3057324841</v>
      </c>
      <c r="H1706" s="18">
        <f>E1706* 0.0509554140127389</f>
        <v>0.2038216561</v>
      </c>
    </row>
    <row r="1707" ht="15.75" hidden="1" customHeight="1">
      <c r="A1707" s="20" t="s">
        <v>151</v>
      </c>
      <c r="B1707" s="47" t="s">
        <v>480</v>
      </c>
      <c r="C1707" s="47"/>
      <c r="D1707" s="19" t="s">
        <v>18</v>
      </c>
      <c r="E1707" s="23">
        <v>2.0</v>
      </c>
      <c r="F1707" s="18">
        <f>E1707* 0.920270974465868</f>
        <v>1.840541949</v>
      </c>
      <c r="G1707" s="18">
        <f>E1707* 0.0703491401771756</f>
        <v>0.1406982804</v>
      </c>
      <c r="H1707" s="18">
        <f>E1707* 0.00937988535695675</f>
        <v>0.01875977071</v>
      </c>
    </row>
    <row r="1708" ht="15.75" hidden="1" customHeight="1">
      <c r="A1708" s="20" t="s">
        <v>151</v>
      </c>
      <c r="B1708" s="47" t="s">
        <v>480</v>
      </c>
      <c r="C1708" s="47"/>
      <c r="D1708" s="19" t="s">
        <v>19</v>
      </c>
      <c r="E1708" s="23">
        <v>3.0</v>
      </c>
      <c r="F1708" s="18">
        <f>E1708* 0.223420647149461</f>
        <v>0.6702619414</v>
      </c>
      <c r="G1708" s="18">
        <f>E1708* 0.773497688751926</f>
        <v>2.320493066</v>
      </c>
      <c r="H1708" s="18">
        <f>E1708* 0.00308166409861325</f>
        <v>0.009244992296</v>
      </c>
    </row>
    <row r="1709" ht="15.75" hidden="1" customHeight="1">
      <c r="A1709" s="20" t="s">
        <v>151</v>
      </c>
      <c r="B1709" s="47" t="s">
        <v>480</v>
      </c>
      <c r="C1709" s="47"/>
      <c r="D1709" s="19" t="s">
        <v>20</v>
      </c>
      <c r="E1709" s="23">
        <v>58.0</v>
      </c>
      <c r="F1709" s="18">
        <f>E1709* 0.61531089014017</f>
        <v>35.68803163</v>
      </c>
      <c r="G1709" s="18">
        <f>E1709* 0.298190966814424</f>
        <v>17.29507608</v>
      </c>
      <c r="H1709" s="18">
        <f>E1709* 0.086378339523182</f>
        <v>5.009943692</v>
      </c>
    </row>
    <row r="1710" ht="15.75" hidden="1" customHeight="1">
      <c r="A1710" s="20" t="s">
        <v>151</v>
      </c>
      <c r="B1710" s="47" t="s">
        <v>480</v>
      </c>
      <c r="C1710" s="47"/>
      <c r="D1710" s="19" t="s">
        <v>21</v>
      </c>
      <c r="E1710" s="23">
        <v>241.0</v>
      </c>
      <c r="F1710" s="18">
        <f>E1710* 0.999801370543252</f>
        <v>240.9521303</v>
      </c>
      <c r="G1710" s="18">
        <f>E1710* 0.0000993147283742179</f>
        <v>0.02393484954</v>
      </c>
      <c r="H1710" s="18">
        <f>E1710* 0.0000993147283742179</f>
        <v>0.02393484954</v>
      </c>
    </row>
    <row r="1711" ht="15.75" hidden="1" customHeight="1">
      <c r="A1711" s="20" t="s">
        <v>151</v>
      </c>
      <c r="B1711" s="47" t="s">
        <v>480</v>
      </c>
      <c r="C1711" s="47"/>
      <c r="D1711" s="19" t="s">
        <v>28</v>
      </c>
      <c r="E1711" s="23">
        <v>5.0</v>
      </c>
      <c r="F1711" s="20">
        <v>0.0</v>
      </c>
      <c r="G1711" s="18">
        <f>E1711* 0.99904671115348</f>
        <v>4.995233556</v>
      </c>
      <c r="H1711" s="18">
        <f>E1711* 0.000953288846520496</f>
        <v>0.004766444233</v>
      </c>
    </row>
    <row r="1712" ht="15.75" hidden="1" customHeight="1">
      <c r="A1712" s="20" t="s">
        <v>151</v>
      </c>
      <c r="B1712" s="47" t="s">
        <v>480</v>
      </c>
      <c r="C1712" s="47"/>
      <c r="D1712" s="19" t="s">
        <v>12</v>
      </c>
      <c r="E1712" s="23">
        <v>203.0</v>
      </c>
      <c r="F1712" s="18">
        <f>E1712* 0.849400404921352</f>
        <v>172.4282822</v>
      </c>
      <c r="G1712" s="18">
        <f>E1712* 0.0654726678087525</f>
        <v>13.29095157</v>
      </c>
      <c r="H1712" s="18">
        <f>E1712* 0.0851269272698957</f>
        <v>17.28076624</v>
      </c>
    </row>
    <row r="1713" ht="15.75" hidden="1" customHeight="1">
      <c r="A1713" s="20" t="s">
        <v>151</v>
      </c>
      <c r="B1713" s="20"/>
      <c r="C1713" s="20"/>
      <c r="D1713" s="46"/>
      <c r="E1713" s="35"/>
    </row>
    <row r="1714" ht="15.75" customHeight="1">
      <c r="A1714" s="20" t="s">
        <v>151</v>
      </c>
      <c r="B1714" s="47" t="s">
        <v>153</v>
      </c>
      <c r="C1714" s="12" t="str">
        <f>B1714&amp;"_"&amp;A1714</f>
        <v>Belén de Andamarca_Oruro</v>
      </c>
      <c r="D1714" s="20"/>
      <c r="E1714" s="45">
        <v>45.0</v>
      </c>
      <c r="F1714" s="14">
        <f t="shared" ref="F1714:H1714" si="145">SUM(F1715:F1723)</f>
        <v>35.65652262</v>
      </c>
      <c r="G1714" s="14">
        <f t="shared" si="145"/>
        <v>6.453517928</v>
      </c>
      <c r="H1714" s="14">
        <f t="shared" si="145"/>
        <v>2.887559869</v>
      </c>
    </row>
    <row r="1715" ht="15.75" hidden="1" customHeight="1">
      <c r="A1715" s="20" t="s">
        <v>151</v>
      </c>
      <c r="B1715" s="47" t="s">
        <v>153</v>
      </c>
      <c r="C1715" s="47"/>
      <c r="D1715" s="19" t="s">
        <v>15</v>
      </c>
      <c r="E1715" s="23">
        <v>1.0</v>
      </c>
      <c r="F1715" s="18">
        <f>E1715* 0.929012779104059</f>
        <v>0.9290127791</v>
      </c>
      <c r="G1715" s="18">
        <f>E1715* 0.00947900575761831</f>
        <v>0.009479005758</v>
      </c>
      <c r="H1715" s="18">
        <f>E1715* 0.0614380002808594</f>
        <v>0.06143800028</v>
      </c>
    </row>
    <row r="1716" ht="15.75" hidden="1" customHeight="1">
      <c r="A1716" s="20" t="s">
        <v>151</v>
      </c>
      <c r="B1716" s="47" t="s">
        <v>153</v>
      </c>
      <c r="C1716" s="47"/>
      <c r="D1716" s="29" t="s">
        <v>482</v>
      </c>
      <c r="E1716" s="23">
        <v>1.0</v>
      </c>
      <c r="F1716" s="18">
        <f>E1716* 0.0624390243902439</f>
        <v>0.06243902439</v>
      </c>
      <c r="G1716" s="18">
        <f>E1716* 0.936585365853659</f>
        <v>0.9365853659</v>
      </c>
      <c r="H1716" s="20">
        <v>0.0</v>
      </c>
    </row>
    <row r="1717" ht="15.75" hidden="1" customHeight="1">
      <c r="A1717" s="20" t="s">
        <v>151</v>
      </c>
      <c r="B1717" s="47" t="s">
        <v>153</v>
      </c>
      <c r="C1717" s="47"/>
      <c r="D1717" s="19" t="s">
        <v>11</v>
      </c>
      <c r="E1717" s="23">
        <v>2.0</v>
      </c>
      <c r="F1717" s="18">
        <f>E1717* 0.080360592401803</f>
        <v>0.1607211848</v>
      </c>
      <c r="G1717" s="18">
        <f>E1717* 0.917192530585963</f>
        <v>1.834385061</v>
      </c>
      <c r="H1717" s="18">
        <f>E1717* 0.00218931101094656</f>
        <v>0.004378622022</v>
      </c>
    </row>
    <row r="1718" ht="15.75" hidden="1" customHeight="1">
      <c r="A1718" s="20" t="s">
        <v>151</v>
      </c>
      <c r="B1718" s="47" t="s">
        <v>153</v>
      </c>
      <c r="C1718" s="47"/>
      <c r="D1718" s="19" t="s">
        <v>17</v>
      </c>
      <c r="E1718" s="23">
        <v>8.0</v>
      </c>
      <c r="F1718" s="18">
        <f>E1718* 0.836035451794207</f>
        <v>6.688283614</v>
      </c>
      <c r="G1718" s="18">
        <f>E1718* 0.0583657587548638</f>
        <v>0.46692607</v>
      </c>
      <c r="H1718" s="18">
        <f>E1718* 0.10559878945093</f>
        <v>0.8447903156</v>
      </c>
    </row>
    <row r="1719" ht="15.75" hidden="1" customHeight="1">
      <c r="A1719" s="20" t="s">
        <v>151</v>
      </c>
      <c r="B1719" s="47" t="s">
        <v>153</v>
      </c>
      <c r="C1719" s="47"/>
      <c r="D1719" s="19" t="s">
        <v>31</v>
      </c>
      <c r="E1719" s="23">
        <v>0.0</v>
      </c>
      <c r="F1719" s="18">
        <f>E1719* 0.872611464968153</f>
        <v>0</v>
      </c>
      <c r="G1719" s="18">
        <f>E1719* 0.0764331210191083</f>
        <v>0</v>
      </c>
      <c r="H1719" s="18">
        <f>E1719* 0.0509554140127389</f>
        <v>0</v>
      </c>
    </row>
    <row r="1720" ht="15.75" hidden="1" customHeight="1">
      <c r="A1720" s="20" t="s">
        <v>151</v>
      </c>
      <c r="B1720" s="47" t="s">
        <v>153</v>
      </c>
      <c r="C1720" s="47"/>
      <c r="D1720" s="19" t="s">
        <v>18</v>
      </c>
      <c r="E1720" s="23">
        <v>1.0</v>
      </c>
      <c r="F1720" s="18">
        <f>E1720* 0.920270974465868</f>
        <v>0.9202709745</v>
      </c>
      <c r="G1720" s="18">
        <f>E1720* 0.0703491401771756</f>
        <v>0.07034914018</v>
      </c>
      <c r="H1720" s="18">
        <f>E1720* 0.00937988535695675</f>
        <v>0.009379885357</v>
      </c>
    </row>
    <row r="1721" ht="15.75" hidden="1" customHeight="1">
      <c r="A1721" s="20" t="s">
        <v>151</v>
      </c>
      <c r="B1721" s="47" t="s">
        <v>153</v>
      </c>
      <c r="C1721" s="47"/>
      <c r="D1721" s="19" t="s">
        <v>20</v>
      </c>
      <c r="E1721" s="23">
        <v>7.0</v>
      </c>
      <c r="F1721" s="18">
        <f>E1721* 0.61531089014017</f>
        <v>4.307176231</v>
      </c>
      <c r="G1721" s="18">
        <f>E1721* 0.298190966814424</f>
        <v>2.087336768</v>
      </c>
      <c r="H1721" s="18">
        <f>E1721* 0.086378339523182</f>
        <v>0.6046483767</v>
      </c>
    </row>
    <row r="1722" ht="15.75" hidden="1" customHeight="1">
      <c r="A1722" s="20" t="s">
        <v>151</v>
      </c>
      <c r="B1722" s="47" t="s">
        <v>153</v>
      </c>
      <c r="C1722" s="47"/>
      <c r="D1722" s="19" t="s">
        <v>21</v>
      </c>
      <c r="E1722" s="23">
        <v>9.0</v>
      </c>
      <c r="F1722" s="18">
        <f>E1722* 0.999801370543252</f>
        <v>8.998212335</v>
      </c>
      <c r="G1722" s="18">
        <f>E1722* 0.0000993147283742179</f>
        <v>0.0008938325554</v>
      </c>
      <c r="H1722" s="18">
        <f>E1722* 0.0000993147283742179</f>
        <v>0.0008938325554</v>
      </c>
    </row>
    <row r="1723" ht="15.75" hidden="1" customHeight="1">
      <c r="A1723" s="20" t="s">
        <v>151</v>
      </c>
      <c r="B1723" s="47" t="s">
        <v>153</v>
      </c>
      <c r="C1723" s="47"/>
      <c r="D1723" s="19" t="s">
        <v>12</v>
      </c>
      <c r="E1723" s="23">
        <v>16.0</v>
      </c>
      <c r="F1723" s="18">
        <f>E1723* 0.849400404921352</f>
        <v>13.59040648</v>
      </c>
      <c r="G1723" s="18">
        <f>E1723* 0.0654726678087525</f>
        <v>1.047562685</v>
      </c>
      <c r="H1723" s="18">
        <f>E1723* 0.0851269272698957</f>
        <v>1.362030836</v>
      </c>
    </row>
    <row r="1724" ht="15.75" hidden="1" customHeight="1">
      <c r="A1724" s="20" t="s">
        <v>151</v>
      </c>
      <c r="B1724" s="20"/>
      <c r="C1724" s="20"/>
      <c r="D1724" s="46"/>
      <c r="E1724" s="35"/>
    </row>
    <row r="1725" ht="15.75" customHeight="1">
      <c r="A1725" s="20" t="s">
        <v>151</v>
      </c>
      <c r="B1725" s="47" t="s">
        <v>154</v>
      </c>
      <c r="C1725" s="12" t="str">
        <f>B1725&amp;"_"&amp;A1725</f>
        <v>Caracollo_Oruro</v>
      </c>
      <c r="D1725" s="20"/>
      <c r="E1725" s="45">
        <v>1093.0</v>
      </c>
      <c r="F1725" s="14">
        <f t="shared" ref="F1725:H1725" si="146">SUM(F1726:F1738)</f>
        <v>829.0116279</v>
      </c>
      <c r="G1725" s="14">
        <f t="shared" si="146"/>
        <v>197.8641726</v>
      </c>
      <c r="H1725" s="14">
        <f t="shared" si="146"/>
        <v>66.06613496</v>
      </c>
    </row>
    <row r="1726" ht="15.75" hidden="1" customHeight="1">
      <c r="A1726" s="20" t="s">
        <v>151</v>
      </c>
      <c r="B1726" s="47" t="s">
        <v>154</v>
      </c>
      <c r="C1726" s="47"/>
      <c r="D1726" s="29" t="s">
        <v>483</v>
      </c>
      <c r="E1726" s="23">
        <v>4.0</v>
      </c>
      <c r="F1726" s="20">
        <v>0.0</v>
      </c>
      <c r="G1726" s="24">
        <f>E1726</f>
        <v>4</v>
      </c>
      <c r="H1726" s="20">
        <v>0.0</v>
      </c>
    </row>
    <row r="1727" ht="15.75" hidden="1" customHeight="1">
      <c r="A1727" s="20" t="s">
        <v>151</v>
      </c>
      <c r="B1727" s="47" t="s">
        <v>154</v>
      </c>
      <c r="C1727" s="47"/>
      <c r="D1727" s="19" t="s">
        <v>15</v>
      </c>
      <c r="E1727" s="23">
        <v>180.0</v>
      </c>
      <c r="F1727" s="18">
        <f>E1727* 0.929012779104059</f>
        <v>167.2223002</v>
      </c>
      <c r="G1727" s="18">
        <f>E1727* 0.00947900575761831</f>
        <v>1.706221036</v>
      </c>
      <c r="H1727" s="18">
        <f>E1727* 0.0614380002808594</f>
        <v>11.05884005</v>
      </c>
    </row>
    <row r="1728" ht="15.75" hidden="1" customHeight="1">
      <c r="A1728" s="20" t="s">
        <v>151</v>
      </c>
      <c r="B1728" s="47" t="s">
        <v>154</v>
      </c>
      <c r="C1728" s="47"/>
      <c r="D1728" s="29" t="s">
        <v>484</v>
      </c>
      <c r="E1728" s="23">
        <v>3.0</v>
      </c>
      <c r="F1728" s="18">
        <f>E1728* 0.0624390243902439</f>
        <v>0.1873170732</v>
      </c>
      <c r="G1728" s="18">
        <f>E1728* 0.936585365853659</f>
        <v>2.809756098</v>
      </c>
      <c r="H1728" s="20">
        <v>0.0</v>
      </c>
    </row>
    <row r="1729" ht="15.75" hidden="1" customHeight="1">
      <c r="A1729" s="20" t="s">
        <v>151</v>
      </c>
      <c r="B1729" s="47" t="s">
        <v>154</v>
      </c>
      <c r="C1729" s="47"/>
      <c r="D1729" s="19" t="s">
        <v>11</v>
      </c>
      <c r="E1729" s="23">
        <v>105.0</v>
      </c>
      <c r="F1729" s="18">
        <f>E1729* 0.080360592401803</f>
        <v>8.437862202</v>
      </c>
      <c r="G1729" s="18">
        <f>E1729* 0.917192530585963</f>
        <v>96.30521571</v>
      </c>
      <c r="H1729" s="18">
        <f>E1729* 0.00218931101094656</f>
        <v>0.2298776561</v>
      </c>
    </row>
    <row r="1730" ht="15.75" hidden="1" customHeight="1">
      <c r="A1730" s="20" t="s">
        <v>151</v>
      </c>
      <c r="B1730" s="47" t="s">
        <v>154</v>
      </c>
      <c r="C1730" s="47"/>
      <c r="D1730" s="19" t="s">
        <v>17</v>
      </c>
      <c r="E1730" s="23">
        <v>90.0</v>
      </c>
      <c r="F1730" s="18">
        <f>E1730* 0.836035451794207</f>
        <v>75.24319066</v>
      </c>
      <c r="G1730" s="18">
        <f>E1730* 0.0583657587548638</f>
        <v>5.252918288</v>
      </c>
      <c r="H1730" s="18">
        <f>E1730* 0.10559878945093</f>
        <v>9.503891051</v>
      </c>
    </row>
    <row r="1731" ht="15.75" hidden="1" customHeight="1">
      <c r="A1731" s="20" t="s">
        <v>151</v>
      </c>
      <c r="B1731" s="47" t="s">
        <v>154</v>
      </c>
      <c r="C1731" s="47"/>
      <c r="D1731" s="19" t="s">
        <v>31</v>
      </c>
      <c r="E1731" s="23">
        <v>9.0</v>
      </c>
      <c r="F1731" s="18">
        <f>E1731* 0.872611464968153</f>
        <v>7.853503185</v>
      </c>
      <c r="G1731" s="18">
        <f>E1731* 0.0764331210191083</f>
        <v>0.6878980892</v>
      </c>
      <c r="H1731" s="18">
        <f>E1731* 0.0509554140127389</f>
        <v>0.4585987261</v>
      </c>
    </row>
    <row r="1732" ht="15.75" hidden="1" customHeight="1">
      <c r="A1732" s="20" t="s">
        <v>151</v>
      </c>
      <c r="B1732" s="47" t="s">
        <v>154</v>
      </c>
      <c r="C1732" s="47"/>
      <c r="D1732" s="19" t="s">
        <v>18</v>
      </c>
      <c r="E1732" s="23">
        <v>18.0</v>
      </c>
      <c r="F1732" s="18">
        <f>E1732* 0.920270974465868</f>
        <v>16.56487754</v>
      </c>
      <c r="G1732" s="18">
        <f>E1732* 0.0703491401771756</f>
        <v>1.266284523</v>
      </c>
      <c r="H1732" s="18">
        <f>E1732* 0.00937988535695675</f>
        <v>0.1688379364</v>
      </c>
    </row>
    <row r="1733" ht="15.75" hidden="1" customHeight="1">
      <c r="A1733" s="20" t="s">
        <v>151</v>
      </c>
      <c r="B1733" s="47" t="s">
        <v>154</v>
      </c>
      <c r="C1733" s="47"/>
      <c r="D1733" s="19" t="s">
        <v>19</v>
      </c>
      <c r="E1733" s="23">
        <v>6.0</v>
      </c>
      <c r="F1733" s="18">
        <f>E1733* 0.223420647149461</f>
        <v>1.340523883</v>
      </c>
      <c r="G1733" s="18">
        <f>E1733* 0.773497688751926</f>
        <v>4.640986133</v>
      </c>
      <c r="H1733" s="18">
        <f>E1733* 0.00308166409861325</f>
        <v>0.01848998459</v>
      </c>
    </row>
    <row r="1734" ht="15.75" hidden="1" customHeight="1">
      <c r="A1734" s="20" t="s">
        <v>151</v>
      </c>
      <c r="B1734" s="47" t="s">
        <v>154</v>
      </c>
      <c r="C1734" s="47"/>
      <c r="D1734" s="19" t="s">
        <v>20</v>
      </c>
      <c r="E1734" s="23">
        <v>129.0</v>
      </c>
      <c r="F1734" s="18">
        <f>E1734* 0.61531089014017</f>
        <v>79.37510483</v>
      </c>
      <c r="G1734" s="18">
        <f>E1734* 0.298190966814424</f>
        <v>38.46663472</v>
      </c>
      <c r="H1734" s="18">
        <f>E1734* 0.086378339523182</f>
        <v>11.1428058</v>
      </c>
    </row>
    <row r="1735" ht="15.75" hidden="1" customHeight="1">
      <c r="A1735" s="20" t="s">
        <v>151</v>
      </c>
      <c r="B1735" s="47" t="s">
        <v>154</v>
      </c>
      <c r="C1735" s="47"/>
      <c r="D1735" s="19" t="s">
        <v>21</v>
      </c>
      <c r="E1735" s="23">
        <v>138.0</v>
      </c>
      <c r="F1735" s="18">
        <f>E1735* 0.999801370543252</f>
        <v>137.9725891</v>
      </c>
      <c r="G1735" s="18">
        <f>E1735* 0.0000993147283742179</f>
        <v>0.01370543252</v>
      </c>
      <c r="H1735" s="18">
        <f>E1735* 0.0000993147283742179</f>
        <v>0.01370543252</v>
      </c>
    </row>
    <row r="1736" ht="15.75" hidden="1" customHeight="1">
      <c r="A1736" s="20" t="s">
        <v>151</v>
      </c>
      <c r="B1736" s="47" t="s">
        <v>154</v>
      </c>
      <c r="C1736" s="47"/>
      <c r="D1736" s="19" t="s">
        <v>36</v>
      </c>
      <c r="E1736" s="23">
        <v>1.0</v>
      </c>
      <c r="F1736" s="24">
        <f>E1736</f>
        <v>1</v>
      </c>
      <c r="G1736" s="20">
        <v>0.0</v>
      </c>
      <c r="H1736" s="20">
        <v>0.0</v>
      </c>
    </row>
    <row r="1737" ht="15.75" hidden="1" customHeight="1">
      <c r="A1737" s="20" t="s">
        <v>151</v>
      </c>
      <c r="B1737" s="47" t="s">
        <v>154</v>
      </c>
      <c r="C1737" s="47"/>
      <c r="D1737" s="19" t="s">
        <v>28</v>
      </c>
      <c r="E1737" s="23">
        <v>17.0</v>
      </c>
      <c r="F1737" s="20">
        <v>0.0</v>
      </c>
      <c r="G1737" s="18">
        <f>E1737* 0.99904671115348</f>
        <v>16.98379409</v>
      </c>
      <c r="H1737" s="18">
        <f>E1737* 0.000953288846520496</f>
        <v>0.01620591039</v>
      </c>
    </row>
    <row r="1738" ht="15.75" hidden="1" customHeight="1">
      <c r="A1738" s="20" t="s">
        <v>151</v>
      </c>
      <c r="B1738" s="47" t="s">
        <v>154</v>
      </c>
      <c r="C1738" s="47"/>
      <c r="D1738" s="19" t="s">
        <v>12</v>
      </c>
      <c r="E1738" s="23">
        <v>393.0</v>
      </c>
      <c r="F1738" s="18">
        <f>E1738* 0.849400404921352</f>
        <v>333.8143591</v>
      </c>
      <c r="G1738" s="18">
        <f>E1738* 0.0654726678087525</f>
        <v>25.73075845</v>
      </c>
      <c r="H1738" s="18">
        <f>E1738* 0.0851269272698957</f>
        <v>33.45488242</v>
      </c>
    </row>
    <row r="1739" ht="15.75" hidden="1" customHeight="1">
      <c r="A1739" s="20" t="s">
        <v>151</v>
      </c>
      <c r="B1739" s="20"/>
      <c r="C1739" s="20"/>
      <c r="D1739" s="46"/>
      <c r="E1739" s="35"/>
    </row>
    <row r="1740" ht="15.75" customHeight="1">
      <c r="A1740" s="20" t="s">
        <v>151</v>
      </c>
      <c r="B1740" s="47" t="s">
        <v>155</v>
      </c>
      <c r="C1740" s="12" t="str">
        <f>B1740&amp;"_"&amp;A1740</f>
        <v>Carangas_Oruro</v>
      </c>
      <c r="D1740" s="20"/>
      <c r="E1740" s="45">
        <v>2130.0</v>
      </c>
      <c r="F1740" s="14">
        <f t="shared" ref="F1740:H1740" si="147">SUM(F1741:F1753)</f>
        <v>1654.879458</v>
      </c>
      <c r="G1740" s="14">
        <f t="shared" si="147"/>
        <v>374.0578482</v>
      </c>
      <c r="H1740" s="14">
        <f t="shared" si="147"/>
        <v>100.9644815</v>
      </c>
    </row>
    <row r="1741" ht="15.75" hidden="1" customHeight="1">
      <c r="A1741" s="20" t="s">
        <v>151</v>
      </c>
      <c r="B1741" s="47" t="s">
        <v>155</v>
      </c>
      <c r="C1741" s="47"/>
      <c r="D1741" s="29" t="s">
        <v>485</v>
      </c>
      <c r="E1741" s="23">
        <v>3.0</v>
      </c>
      <c r="F1741" s="20">
        <v>0.0</v>
      </c>
      <c r="G1741" s="24">
        <f>E1741</f>
        <v>3</v>
      </c>
      <c r="H1741" s="20">
        <v>0.0</v>
      </c>
    </row>
    <row r="1742" ht="15.75" hidden="1" customHeight="1">
      <c r="A1742" s="20" t="s">
        <v>151</v>
      </c>
      <c r="B1742" s="47" t="s">
        <v>155</v>
      </c>
      <c r="C1742" s="47"/>
      <c r="D1742" s="19" t="s">
        <v>15</v>
      </c>
      <c r="E1742" s="23">
        <v>145.0</v>
      </c>
      <c r="F1742" s="18">
        <f>E1742* 0.929012779104059</f>
        <v>134.706853</v>
      </c>
      <c r="G1742" s="18">
        <f>E1742* 0.00947900575761831</f>
        <v>1.374455835</v>
      </c>
      <c r="H1742" s="18">
        <f>E1742* 0.0614380002808594</f>
        <v>8.908510041</v>
      </c>
    </row>
    <row r="1743" ht="15.75" hidden="1" customHeight="1">
      <c r="A1743" s="20" t="s">
        <v>151</v>
      </c>
      <c r="B1743" s="47" t="s">
        <v>155</v>
      </c>
      <c r="C1743" s="47"/>
      <c r="D1743" s="29" t="s">
        <v>486</v>
      </c>
      <c r="E1743" s="23">
        <v>5.0</v>
      </c>
      <c r="F1743" s="18">
        <f>E1743* 0.0624390243902439</f>
        <v>0.312195122</v>
      </c>
      <c r="G1743" s="18">
        <f>E1743* 0.936585365853659</f>
        <v>4.682926829</v>
      </c>
      <c r="H1743" s="20">
        <v>0.0</v>
      </c>
    </row>
    <row r="1744" ht="15.75" hidden="1" customHeight="1">
      <c r="A1744" s="20" t="s">
        <v>151</v>
      </c>
      <c r="B1744" s="47" t="s">
        <v>155</v>
      </c>
      <c r="C1744" s="47"/>
      <c r="D1744" s="19" t="s">
        <v>11</v>
      </c>
      <c r="E1744" s="23">
        <v>194.0</v>
      </c>
      <c r="F1744" s="18">
        <f>E1744* 0.080360592401803</f>
        <v>15.58995493</v>
      </c>
      <c r="G1744" s="18">
        <f>E1744* 0.917192530585963</f>
        <v>177.9353509</v>
      </c>
      <c r="H1744" s="18">
        <f>E1744* 0.00218931101094656</f>
        <v>0.4247263361</v>
      </c>
    </row>
    <row r="1745" ht="15.75" hidden="1" customHeight="1">
      <c r="A1745" s="20" t="s">
        <v>151</v>
      </c>
      <c r="B1745" s="47" t="s">
        <v>155</v>
      </c>
      <c r="C1745" s="47"/>
      <c r="D1745" s="19" t="s">
        <v>17</v>
      </c>
      <c r="E1745" s="23">
        <v>169.0</v>
      </c>
      <c r="F1745" s="18">
        <f>E1745* 0.836035451794207</f>
        <v>141.2899914</v>
      </c>
      <c r="G1745" s="18">
        <f>E1745* 0.0583657587548638</f>
        <v>9.86381323</v>
      </c>
      <c r="H1745" s="18">
        <f>E1745* 0.10559878945093</f>
        <v>17.84619542</v>
      </c>
    </row>
    <row r="1746" ht="15.75" hidden="1" customHeight="1">
      <c r="A1746" s="20" t="s">
        <v>151</v>
      </c>
      <c r="B1746" s="47" t="s">
        <v>155</v>
      </c>
      <c r="C1746" s="47"/>
      <c r="D1746" s="19" t="s">
        <v>31</v>
      </c>
      <c r="E1746" s="23">
        <v>37.0</v>
      </c>
      <c r="F1746" s="18">
        <f>E1746* 0.872611464968153</f>
        <v>32.2866242</v>
      </c>
      <c r="G1746" s="18">
        <f>E1746* 0.0764331210191083</f>
        <v>2.828025478</v>
      </c>
      <c r="H1746" s="18">
        <f>E1746* 0.0509554140127389</f>
        <v>1.885350318</v>
      </c>
    </row>
    <row r="1747" ht="15.75" hidden="1" customHeight="1">
      <c r="A1747" s="20" t="s">
        <v>151</v>
      </c>
      <c r="B1747" s="47" t="s">
        <v>155</v>
      </c>
      <c r="C1747" s="47"/>
      <c r="D1747" s="19" t="s">
        <v>18</v>
      </c>
      <c r="E1747" s="23">
        <v>10.0</v>
      </c>
      <c r="F1747" s="18">
        <f>E1747* 0.920270974465868</f>
        <v>9.202709745</v>
      </c>
      <c r="G1747" s="18">
        <f>E1747* 0.0703491401771756</f>
        <v>0.7034914018</v>
      </c>
      <c r="H1747" s="18">
        <f>E1747* 0.00937988535695675</f>
        <v>0.09379885357</v>
      </c>
    </row>
    <row r="1748" ht="15.75" hidden="1" customHeight="1">
      <c r="A1748" s="20" t="s">
        <v>151</v>
      </c>
      <c r="B1748" s="47" t="s">
        <v>155</v>
      </c>
      <c r="C1748" s="47"/>
      <c r="D1748" s="29" t="s">
        <v>487</v>
      </c>
      <c r="E1748" s="23">
        <v>3.0</v>
      </c>
      <c r="F1748" s="20">
        <v>0.0</v>
      </c>
      <c r="G1748" s="24">
        <f>E1748</f>
        <v>3</v>
      </c>
      <c r="H1748" s="20">
        <v>0.0</v>
      </c>
    </row>
    <row r="1749" ht="15.75" hidden="1" customHeight="1">
      <c r="A1749" s="20" t="s">
        <v>151</v>
      </c>
      <c r="B1749" s="47" t="s">
        <v>155</v>
      </c>
      <c r="C1749" s="47"/>
      <c r="D1749" s="19" t="s">
        <v>19</v>
      </c>
      <c r="E1749" s="23">
        <v>3.0</v>
      </c>
      <c r="F1749" s="18">
        <f>E1749* 0.223420647149461</f>
        <v>0.6702619414</v>
      </c>
      <c r="G1749" s="18">
        <f>E1749* 0.773497688751926</f>
        <v>2.320493066</v>
      </c>
      <c r="H1749" s="18">
        <f>E1749* 0.00308166409861325</f>
        <v>0.009244992296</v>
      </c>
    </row>
    <row r="1750" ht="15.75" hidden="1" customHeight="1">
      <c r="A1750" s="20" t="s">
        <v>151</v>
      </c>
      <c r="B1750" s="47" t="s">
        <v>155</v>
      </c>
      <c r="C1750" s="47"/>
      <c r="D1750" s="19" t="s">
        <v>20</v>
      </c>
      <c r="E1750" s="23">
        <v>277.0</v>
      </c>
      <c r="F1750" s="18">
        <f>E1750* 0.61531089014017</f>
        <v>170.4411166</v>
      </c>
      <c r="G1750" s="18">
        <f>E1750* 0.298190966814424</f>
        <v>82.59889781</v>
      </c>
      <c r="H1750" s="18">
        <f>E1750* 0.086378339523182</f>
        <v>23.92680005</v>
      </c>
    </row>
    <row r="1751" ht="15.75" hidden="1" customHeight="1">
      <c r="A1751" s="20" t="s">
        <v>151</v>
      </c>
      <c r="B1751" s="47" t="s">
        <v>155</v>
      </c>
      <c r="C1751" s="47"/>
      <c r="D1751" s="19" t="s">
        <v>21</v>
      </c>
      <c r="E1751" s="23">
        <v>674.0</v>
      </c>
      <c r="F1751" s="18">
        <f>E1751* 0.999801370543252</f>
        <v>673.8661237</v>
      </c>
      <c r="G1751" s="18">
        <f>E1751* 0.0000993147283742179</f>
        <v>0.06693812692</v>
      </c>
      <c r="H1751" s="18">
        <f>E1751* 0.0000993147283742179</f>
        <v>0.06693812692</v>
      </c>
    </row>
    <row r="1752" ht="15.75" hidden="1" customHeight="1">
      <c r="A1752" s="20" t="s">
        <v>151</v>
      </c>
      <c r="B1752" s="47" t="s">
        <v>155</v>
      </c>
      <c r="C1752" s="47"/>
      <c r="D1752" s="19" t="s">
        <v>28</v>
      </c>
      <c r="E1752" s="23">
        <v>49.0</v>
      </c>
      <c r="F1752" s="20">
        <v>0.0</v>
      </c>
      <c r="G1752" s="18">
        <f>E1752* 0.99904671115348</f>
        <v>48.95328885</v>
      </c>
      <c r="H1752" s="18">
        <f>E1752* 0.000953288846520496</f>
        <v>0.04671115348</v>
      </c>
    </row>
    <row r="1753" ht="15.75" hidden="1" customHeight="1">
      <c r="A1753" s="20" t="s">
        <v>151</v>
      </c>
      <c r="B1753" s="47" t="s">
        <v>155</v>
      </c>
      <c r="C1753" s="47"/>
      <c r="D1753" s="19" t="s">
        <v>12</v>
      </c>
      <c r="E1753" s="23">
        <v>561.0</v>
      </c>
      <c r="F1753" s="18">
        <f>E1753* 0.849400404921352</f>
        <v>476.5136272</v>
      </c>
      <c r="G1753" s="18">
        <f>E1753* 0.0654726678087525</f>
        <v>36.73016664</v>
      </c>
      <c r="H1753" s="18">
        <f>E1753* 0.0851269272698957</f>
        <v>47.7562062</v>
      </c>
    </row>
    <row r="1754" ht="15.75" hidden="1" customHeight="1">
      <c r="A1754" s="20" t="s">
        <v>151</v>
      </c>
      <c r="B1754" s="20"/>
      <c r="C1754" s="20"/>
      <c r="D1754" s="46"/>
      <c r="E1754" s="35"/>
    </row>
    <row r="1755" ht="15.75" customHeight="1">
      <c r="A1755" s="20" t="s">
        <v>151</v>
      </c>
      <c r="B1755" s="47" t="s">
        <v>156</v>
      </c>
      <c r="C1755" s="12" t="str">
        <f>B1755&amp;"_"&amp;A1755</f>
        <v>Challapata_Oruro</v>
      </c>
      <c r="D1755" s="20"/>
      <c r="E1755" s="45">
        <v>2499.0</v>
      </c>
      <c r="F1755" s="14">
        <f t="shared" ref="F1755:H1755" si="148">SUM(F1756:F1769)</f>
        <v>1762.507756</v>
      </c>
      <c r="G1755" s="14">
        <f t="shared" si="148"/>
        <v>592.1162873</v>
      </c>
      <c r="H1755" s="14">
        <f t="shared" si="148"/>
        <v>144.2077845</v>
      </c>
    </row>
    <row r="1756" ht="15.75" hidden="1" customHeight="1">
      <c r="A1756" s="20" t="s">
        <v>151</v>
      </c>
      <c r="B1756" s="47" t="s">
        <v>156</v>
      </c>
      <c r="C1756" s="47"/>
      <c r="D1756" s="29" t="s">
        <v>488</v>
      </c>
      <c r="E1756" s="23">
        <v>4.0</v>
      </c>
      <c r="F1756" s="20">
        <v>0.0</v>
      </c>
      <c r="G1756" s="24">
        <f>E1756</f>
        <v>4</v>
      </c>
      <c r="H1756" s="20">
        <v>0.0</v>
      </c>
    </row>
    <row r="1757" ht="15.75" hidden="1" customHeight="1">
      <c r="A1757" s="20" t="s">
        <v>151</v>
      </c>
      <c r="B1757" s="47" t="s">
        <v>156</v>
      </c>
      <c r="C1757" s="47"/>
      <c r="D1757" s="19" t="s">
        <v>15</v>
      </c>
      <c r="E1757" s="23">
        <v>119.0</v>
      </c>
      <c r="F1757" s="18">
        <f>E1757* 0.929012779104059</f>
        <v>110.5525207</v>
      </c>
      <c r="G1757" s="18">
        <f>E1757* 0.00947900575761831</f>
        <v>1.128001685</v>
      </c>
      <c r="H1757" s="18">
        <f>E1757* 0.0614380002808594</f>
        <v>7.311122033</v>
      </c>
    </row>
    <row r="1758" ht="15.75" hidden="1" customHeight="1">
      <c r="A1758" s="20" t="s">
        <v>151</v>
      </c>
      <c r="B1758" s="47" t="s">
        <v>156</v>
      </c>
      <c r="C1758" s="47"/>
      <c r="D1758" s="29" t="s">
        <v>489</v>
      </c>
      <c r="E1758" s="23">
        <v>26.0</v>
      </c>
      <c r="F1758" s="18">
        <f>E1758* 0.0624390243902439</f>
        <v>1.623414634</v>
      </c>
      <c r="G1758" s="18">
        <f>E1758* 0.936585365853659</f>
        <v>24.35121951</v>
      </c>
      <c r="H1758" s="20">
        <v>0.0</v>
      </c>
    </row>
    <row r="1759" ht="15.75" hidden="1" customHeight="1">
      <c r="A1759" s="20" t="s">
        <v>151</v>
      </c>
      <c r="B1759" s="47" t="s">
        <v>156</v>
      </c>
      <c r="C1759" s="47"/>
      <c r="D1759" s="19" t="s">
        <v>11</v>
      </c>
      <c r="E1759" s="23">
        <v>402.0</v>
      </c>
      <c r="F1759" s="18">
        <f>E1759* 0.080360592401803</f>
        <v>32.30495815</v>
      </c>
      <c r="G1759" s="18">
        <f>E1759* 0.917192530585963</f>
        <v>368.7113973</v>
      </c>
      <c r="H1759" s="18">
        <f>E1759* 0.00218931101094656</f>
        <v>0.8801030264</v>
      </c>
    </row>
    <row r="1760" ht="15.75" hidden="1" customHeight="1">
      <c r="A1760" s="20" t="s">
        <v>151</v>
      </c>
      <c r="B1760" s="47" t="s">
        <v>156</v>
      </c>
      <c r="C1760" s="47"/>
      <c r="D1760" s="19" t="s">
        <v>17</v>
      </c>
      <c r="E1760" s="23">
        <v>334.0</v>
      </c>
      <c r="F1760" s="18">
        <f>E1760* 0.836035451794207</f>
        <v>279.2358409</v>
      </c>
      <c r="G1760" s="18">
        <f>E1760* 0.0583657587548638</f>
        <v>19.49416342</v>
      </c>
      <c r="H1760" s="18">
        <f>E1760* 0.10559878945093</f>
        <v>35.26999568</v>
      </c>
    </row>
    <row r="1761" ht="15.75" hidden="1" customHeight="1">
      <c r="A1761" s="20" t="s">
        <v>151</v>
      </c>
      <c r="B1761" s="47" t="s">
        <v>156</v>
      </c>
      <c r="C1761" s="47"/>
      <c r="D1761" s="19" t="s">
        <v>31</v>
      </c>
      <c r="E1761" s="23">
        <v>9.0</v>
      </c>
      <c r="F1761" s="18">
        <f>E1761* 0.872611464968153</f>
        <v>7.853503185</v>
      </c>
      <c r="G1761" s="18">
        <f>E1761* 0.0764331210191083</f>
        <v>0.6878980892</v>
      </c>
      <c r="H1761" s="18">
        <f>E1761* 0.0509554140127389</f>
        <v>0.4585987261</v>
      </c>
    </row>
    <row r="1762" ht="15.75" hidden="1" customHeight="1">
      <c r="A1762" s="20" t="s">
        <v>151</v>
      </c>
      <c r="B1762" s="47" t="s">
        <v>156</v>
      </c>
      <c r="C1762" s="47"/>
      <c r="D1762" s="19" t="s">
        <v>18</v>
      </c>
      <c r="E1762" s="23">
        <v>67.0</v>
      </c>
      <c r="F1762" s="18">
        <f>E1762* 0.920270974465868</f>
        <v>61.65815529</v>
      </c>
      <c r="G1762" s="18">
        <f>E1762* 0.0703491401771756</f>
        <v>4.713392392</v>
      </c>
      <c r="H1762" s="18">
        <f>E1762* 0.00937988535695675</f>
        <v>0.6284523189</v>
      </c>
    </row>
    <row r="1763" ht="15.75" hidden="1" customHeight="1">
      <c r="A1763" s="20" t="s">
        <v>151</v>
      </c>
      <c r="B1763" s="47" t="s">
        <v>156</v>
      </c>
      <c r="C1763" s="47"/>
      <c r="D1763" s="19" t="s">
        <v>19</v>
      </c>
      <c r="E1763" s="23">
        <v>6.0</v>
      </c>
      <c r="F1763" s="18">
        <f>E1763* 0.223420647149461</f>
        <v>1.340523883</v>
      </c>
      <c r="G1763" s="18">
        <f>E1763* 0.773497688751926</f>
        <v>4.640986133</v>
      </c>
      <c r="H1763" s="18">
        <f>E1763* 0.00308166409861325</f>
        <v>0.01848998459</v>
      </c>
    </row>
    <row r="1764" ht="15.75" hidden="1" customHeight="1">
      <c r="A1764" s="20" t="s">
        <v>151</v>
      </c>
      <c r="B1764" s="47" t="s">
        <v>156</v>
      </c>
      <c r="C1764" s="47"/>
      <c r="D1764" s="19" t="s">
        <v>20</v>
      </c>
      <c r="E1764" s="23">
        <v>258.0</v>
      </c>
      <c r="F1764" s="18">
        <f>E1764* 0.61531089014017</f>
        <v>158.7502097</v>
      </c>
      <c r="G1764" s="18">
        <f>E1764* 0.298190966814424</f>
        <v>76.93326944</v>
      </c>
      <c r="H1764" s="18">
        <f>E1764* 0.086378339523182</f>
        <v>22.2856116</v>
      </c>
    </row>
    <row r="1765" ht="15.75" hidden="1" customHeight="1">
      <c r="A1765" s="20" t="s">
        <v>151</v>
      </c>
      <c r="B1765" s="47" t="s">
        <v>156</v>
      </c>
      <c r="C1765" s="47"/>
      <c r="D1765" s="19" t="s">
        <v>21</v>
      </c>
      <c r="E1765" s="23">
        <v>337.0</v>
      </c>
      <c r="F1765" s="18">
        <f>E1765* 0.999801370543252</f>
        <v>336.9330619</v>
      </c>
      <c r="G1765" s="18">
        <f>E1765* 0.0000993147283742179</f>
        <v>0.03346906346</v>
      </c>
      <c r="H1765" s="18">
        <f>E1765* 0.0000993147283742179</f>
        <v>0.03346906346</v>
      </c>
    </row>
    <row r="1766" ht="15.75" hidden="1" customHeight="1">
      <c r="A1766" s="20" t="s">
        <v>151</v>
      </c>
      <c r="B1766" s="47" t="s">
        <v>156</v>
      </c>
      <c r="C1766" s="47"/>
      <c r="D1766" s="19" t="s">
        <v>36</v>
      </c>
      <c r="E1766" s="23">
        <v>1.0</v>
      </c>
      <c r="F1766" s="24">
        <f>E1766</f>
        <v>1</v>
      </c>
      <c r="G1766" s="20">
        <v>0.0</v>
      </c>
      <c r="H1766" s="20">
        <v>0.0</v>
      </c>
    </row>
    <row r="1767" ht="15.75" hidden="1" customHeight="1">
      <c r="A1767" s="20" t="s">
        <v>151</v>
      </c>
      <c r="B1767" s="47" t="s">
        <v>156</v>
      </c>
      <c r="C1767" s="47"/>
      <c r="D1767" s="19" t="s">
        <v>37</v>
      </c>
      <c r="E1767" s="23">
        <v>0.0</v>
      </c>
      <c r="F1767" s="20">
        <v>0.0</v>
      </c>
      <c r="G1767" s="24">
        <f>E1767</f>
        <v>0</v>
      </c>
      <c r="H1767" s="20">
        <v>0.0</v>
      </c>
    </row>
    <row r="1768" ht="15.75" hidden="1" customHeight="1">
      <c r="A1768" s="20" t="s">
        <v>151</v>
      </c>
      <c r="B1768" s="47" t="s">
        <v>156</v>
      </c>
      <c r="C1768" s="47"/>
      <c r="D1768" s="19" t="s">
        <v>28</v>
      </c>
      <c r="E1768" s="23">
        <v>28.0</v>
      </c>
      <c r="F1768" s="20">
        <v>0.0</v>
      </c>
      <c r="G1768" s="18">
        <f>E1768* 0.99904671115348</f>
        <v>27.97330791</v>
      </c>
      <c r="H1768" s="18">
        <f>E1768* 0.000953288846520496</f>
        <v>0.0266920877</v>
      </c>
    </row>
    <row r="1769" ht="15.75" hidden="1" customHeight="1">
      <c r="A1769" s="20" t="s">
        <v>151</v>
      </c>
      <c r="B1769" s="47" t="s">
        <v>156</v>
      </c>
      <c r="C1769" s="47"/>
      <c r="D1769" s="19" t="s">
        <v>12</v>
      </c>
      <c r="E1769" s="23">
        <v>908.0</v>
      </c>
      <c r="F1769" s="18">
        <f>E1769* 0.849400404921352</f>
        <v>771.2555677</v>
      </c>
      <c r="G1769" s="18">
        <f>E1769* 0.0654726678087525</f>
        <v>59.44918237</v>
      </c>
      <c r="H1769" s="18">
        <f>E1769* 0.0851269272698957</f>
        <v>77.29524996</v>
      </c>
    </row>
    <row r="1770" ht="15.75" hidden="1" customHeight="1">
      <c r="A1770" s="20" t="s">
        <v>151</v>
      </c>
      <c r="B1770" s="20"/>
      <c r="C1770" s="20"/>
      <c r="D1770" s="46"/>
      <c r="E1770" s="35"/>
    </row>
    <row r="1771" ht="15.75" customHeight="1">
      <c r="A1771" s="20" t="s">
        <v>151</v>
      </c>
      <c r="B1771" s="47" t="s">
        <v>157</v>
      </c>
      <c r="C1771" s="12" t="str">
        <f>B1771&amp;"_"&amp;A1771</f>
        <v>Chipaya_Oruro</v>
      </c>
      <c r="D1771" s="20"/>
      <c r="E1771" s="45">
        <v>1.0</v>
      </c>
      <c r="F1771" s="14">
        <f t="shared" ref="F1771:H1771" si="149">F1772</f>
        <v>0.0803605924</v>
      </c>
      <c r="G1771" s="14">
        <f t="shared" si="149"/>
        <v>0.9171925306</v>
      </c>
      <c r="H1771" s="14">
        <f t="shared" si="149"/>
        <v>0.002189311011</v>
      </c>
    </row>
    <row r="1772" ht="15.75" hidden="1" customHeight="1">
      <c r="A1772" s="20" t="s">
        <v>151</v>
      </c>
      <c r="B1772" s="47" t="s">
        <v>157</v>
      </c>
      <c r="C1772" s="47"/>
      <c r="D1772" s="19" t="s">
        <v>11</v>
      </c>
      <c r="E1772" s="23">
        <v>1.0</v>
      </c>
      <c r="F1772" s="18">
        <f>E1772* 0.080360592401803</f>
        <v>0.0803605924</v>
      </c>
      <c r="G1772" s="18">
        <f>E1772* 0.917192530585963</f>
        <v>0.9171925306</v>
      </c>
      <c r="H1772" s="18">
        <f>E1772* 0.00218931101094656</f>
        <v>0.002189311011</v>
      </c>
    </row>
    <row r="1773" ht="15.75" hidden="1" customHeight="1">
      <c r="A1773" s="20" t="s">
        <v>151</v>
      </c>
      <c r="B1773" s="20"/>
      <c r="C1773" s="20"/>
      <c r="D1773" s="46"/>
      <c r="E1773" s="35"/>
    </row>
    <row r="1774" ht="15.75" customHeight="1">
      <c r="A1774" s="20" t="s">
        <v>151</v>
      </c>
      <c r="B1774" s="47" t="s">
        <v>490</v>
      </c>
      <c r="C1774" s="12" t="str">
        <f>B1774&amp;"_"&amp;A1774</f>
        <v>Choqueota_Oruro</v>
      </c>
      <c r="D1774" s="20"/>
      <c r="E1774" s="45">
        <v>186.0</v>
      </c>
      <c r="F1774" s="14">
        <f t="shared" ref="F1774:H1774" si="150">SUM(F1775:F1785)</f>
        <v>133.197462</v>
      </c>
      <c r="G1774" s="14">
        <f t="shared" si="150"/>
        <v>41.37181151</v>
      </c>
      <c r="H1774" s="14">
        <f t="shared" si="150"/>
        <v>11.42025812</v>
      </c>
    </row>
    <row r="1775" ht="15.75" hidden="1" customHeight="1">
      <c r="A1775" s="20" t="s">
        <v>151</v>
      </c>
      <c r="B1775" s="47" t="s">
        <v>490</v>
      </c>
      <c r="C1775" s="47"/>
      <c r="D1775" s="19" t="s">
        <v>15</v>
      </c>
      <c r="E1775" s="23">
        <v>26.0</v>
      </c>
      <c r="F1775" s="18">
        <f>E1775* 0.929012779104059</f>
        <v>24.15433226</v>
      </c>
      <c r="G1775" s="18">
        <f>E1775* 0.00947900575761831</f>
        <v>0.2464541497</v>
      </c>
      <c r="H1775" s="18">
        <f>E1775* 0.0614380002808594</f>
        <v>1.597388007</v>
      </c>
    </row>
    <row r="1776" ht="15.75" hidden="1" customHeight="1">
      <c r="A1776" s="20" t="s">
        <v>151</v>
      </c>
      <c r="B1776" s="47" t="s">
        <v>490</v>
      </c>
      <c r="C1776" s="47"/>
      <c r="D1776" s="29" t="s">
        <v>491</v>
      </c>
      <c r="E1776" s="23">
        <v>1.0</v>
      </c>
      <c r="F1776" s="18">
        <f>E1776* 0.0624390243902439</f>
        <v>0.06243902439</v>
      </c>
      <c r="G1776" s="18">
        <f>E1776* 0.936585365853659</f>
        <v>0.9365853659</v>
      </c>
      <c r="H1776" s="20">
        <v>0.0</v>
      </c>
    </row>
    <row r="1777" ht="15.75" hidden="1" customHeight="1">
      <c r="A1777" s="20" t="s">
        <v>151</v>
      </c>
      <c r="B1777" s="47" t="s">
        <v>490</v>
      </c>
      <c r="C1777" s="47"/>
      <c r="D1777" s="19" t="s">
        <v>11</v>
      </c>
      <c r="E1777" s="23">
        <v>20.0</v>
      </c>
      <c r="F1777" s="18">
        <f>E1777* 0.080360592401803</f>
        <v>1.607211848</v>
      </c>
      <c r="G1777" s="18">
        <f>E1777* 0.917192530585963</f>
        <v>18.34385061</v>
      </c>
      <c r="H1777" s="18">
        <f>E1777* 0.00218931101094656</f>
        <v>0.04378622022</v>
      </c>
    </row>
    <row r="1778" ht="15.75" hidden="1" customHeight="1">
      <c r="A1778" s="20" t="s">
        <v>151</v>
      </c>
      <c r="B1778" s="47" t="s">
        <v>490</v>
      </c>
      <c r="C1778" s="47"/>
      <c r="D1778" s="19" t="s">
        <v>17</v>
      </c>
      <c r="E1778" s="23">
        <v>23.0</v>
      </c>
      <c r="F1778" s="18">
        <f>E1778* 0.836035451794207</f>
        <v>19.22881539</v>
      </c>
      <c r="G1778" s="18">
        <f>E1778* 0.0583657587548638</f>
        <v>1.342412451</v>
      </c>
      <c r="H1778" s="18">
        <f>E1778* 0.10559878945093</f>
        <v>2.428772157</v>
      </c>
    </row>
    <row r="1779" ht="15.75" hidden="1" customHeight="1">
      <c r="A1779" s="20" t="s">
        <v>151</v>
      </c>
      <c r="B1779" s="47" t="s">
        <v>490</v>
      </c>
      <c r="C1779" s="47"/>
      <c r="D1779" s="19" t="s">
        <v>31</v>
      </c>
      <c r="E1779" s="23">
        <v>2.0</v>
      </c>
      <c r="F1779" s="18">
        <f>E1779* 0.872611464968153</f>
        <v>1.74522293</v>
      </c>
      <c r="G1779" s="18">
        <f>E1779* 0.0764331210191083</f>
        <v>0.152866242</v>
      </c>
      <c r="H1779" s="18">
        <f>E1779* 0.0509554140127389</f>
        <v>0.101910828</v>
      </c>
    </row>
    <row r="1780" ht="15.75" hidden="1" customHeight="1">
      <c r="A1780" s="20" t="s">
        <v>151</v>
      </c>
      <c r="B1780" s="47" t="s">
        <v>490</v>
      </c>
      <c r="C1780" s="47"/>
      <c r="D1780" s="19" t="s">
        <v>18</v>
      </c>
      <c r="E1780" s="23">
        <v>6.0</v>
      </c>
      <c r="F1780" s="18">
        <f>E1780* 0.920270974465868</f>
        <v>5.521625847</v>
      </c>
      <c r="G1780" s="18">
        <f>E1780* 0.0703491401771756</f>
        <v>0.4220948411</v>
      </c>
      <c r="H1780" s="18">
        <f>E1780* 0.00937988535695675</f>
        <v>0.05627931214</v>
      </c>
    </row>
    <row r="1781" ht="15.75" hidden="1" customHeight="1">
      <c r="A1781" s="20" t="s">
        <v>151</v>
      </c>
      <c r="B1781" s="47" t="s">
        <v>490</v>
      </c>
      <c r="C1781" s="47"/>
      <c r="D1781" s="19" t="s">
        <v>19</v>
      </c>
      <c r="E1781" s="23">
        <v>2.0</v>
      </c>
      <c r="F1781" s="18">
        <f>E1781* 0.223420647149461</f>
        <v>0.4468412943</v>
      </c>
      <c r="G1781" s="18">
        <f>E1781* 0.773497688751926</f>
        <v>1.546995378</v>
      </c>
      <c r="H1781" s="18">
        <f>E1781* 0.00308166409861325</f>
        <v>0.006163328197</v>
      </c>
    </row>
    <row r="1782" ht="15.75" hidden="1" customHeight="1">
      <c r="A1782" s="20" t="s">
        <v>151</v>
      </c>
      <c r="B1782" s="47" t="s">
        <v>490</v>
      </c>
      <c r="C1782" s="47"/>
      <c r="D1782" s="19" t="s">
        <v>20</v>
      </c>
      <c r="E1782" s="23">
        <v>21.0</v>
      </c>
      <c r="F1782" s="18">
        <f>E1782* 0.61531089014017</f>
        <v>12.92152869</v>
      </c>
      <c r="G1782" s="18">
        <f>E1782* 0.298190966814424</f>
        <v>6.262010303</v>
      </c>
      <c r="H1782" s="18">
        <f>E1782* 0.086378339523182</f>
        <v>1.81394513</v>
      </c>
    </row>
    <row r="1783" ht="15.75" hidden="1" customHeight="1">
      <c r="A1783" s="20" t="s">
        <v>151</v>
      </c>
      <c r="B1783" s="47" t="s">
        <v>490</v>
      </c>
      <c r="C1783" s="47"/>
      <c r="D1783" s="19" t="s">
        <v>21</v>
      </c>
      <c r="E1783" s="23">
        <v>14.0</v>
      </c>
      <c r="F1783" s="18">
        <f>E1783* 0.999801370543252</f>
        <v>13.99721919</v>
      </c>
      <c r="G1783" s="18">
        <f>E1783* 0.0000993147283742179</f>
        <v>0.001390406197</v>
      </c>
      <c r="H1783" s="18">
        <f>E1783* 0.0000993147283742179</f>
        <v>0.001390406197</v>
      </c>
    </row>
    <row r="1784" ht="15.75" hidden="1" customHeight="1">
      <c r="A1784" s="20" t="s">
        <v>151</v>
      </c>
      <c r="B1784" s="47" t="s">
        <v>490</v>
      </c>
      <c r="C1784" s="47"/>
      <c r="D1784" s="19" t="s">
        <v>28</v>
      </c>
      <c r="E1784" s="23">
        <v>8.0</v>
      </c>
      <c r="F1784" s="20">
        <v>0.0</v>
      </c>
      <c r="G1784" s="18">
        <f>E1784* 0.99904671115348</f>
        <v>7.992373689</v>
      </c>
      <c r="H1784" s="18">
        <f>E1784* 0.000953288846520496</f>
        <v>0.007626310772</v>
      </c>
    </row>
    <row r="1785" ht="15.75" hidden="1" customHeight="1">
      <c r="A1785" s="20" t="s">
        <v>151</v>
      </c>
      <c r="B1785" s="47" t="s">
        <v>490</v>
      </c>
      <c r="C1785" s="47"/>
      <c r="D1785" s="19" t="s">
        <v>12</v>
      </c>
      <c r="E1785" s="23">
        <v>63.0</v>
      </c>
      <c r="F1785" s="18">
        <f>E1785* 0.849400404921352</f>
        <v>53.51222551</v>
      </c>
      <c r="G1785" s="18">
        <f>E1785* 0.0654726678087525</f>
        <v>4.124778072</v>
      </c>
      <c r="H1785" s="18">
        <f>E1785* 0.0851269272698957</f>
        <v>5.362996418</v>
      </c>
    </row>
    <row r="1786" ht="15.75" hidden="1" customHeight="1">
      <c r="A1786" s="20" t="s">
        <v>151</v>
      </c>
      <c r="B1786" s="20"/>
      <c r="C1786" s="20"/>
      <c r="D1786" s="46"/>
      <c r="E1786" s="35"/>
    </row>
    <row r="1787" ht="15.75" customHeight="1">
      <c r="A1787" s="20" t="s">
        <v>151</v>
      </c>
      <c r="B1787" s="47" t="s">
        <v>158</v>
      </c>
      <c r="C1787" s="12" t="str">
        <f>B1787&amp;"_"&amp;A1787</f>
        <v>Coipasa_Oruro</v>
      </c>
      <c r="D1787" s="20"/>
      <c r="E1787" s="45">
        <v>2488.0</v>
      </c>
      <c r="F1787" s="14">
        <f t="shared" ref="F1787:H1787" si="151">SUM(F1788:F1800)</f>
        <v>1891.275008</v>
      </c>
      <c r="G1787" s="14">
        <f t="shared" si="151"/>
        <v>477.6096179</v>
      </c>
      <c r="H1787" s="14">
        <f t="shared" si="151"/>
        <v>118.9743138</v>
      </c>
    </row>
    <row r="1788" ht="15.75" hidden="1" customHeight="1">
      <c r="A1788" s="20" t="s">
        <v>151</v>
      </c>
      <c r="B1788" s="47" t="s">
        <v>158</v>
      </c>
      <c r="C1788" s="47"/>
      <c r="D1788" s="29" t="s">
        <v>492</v>
      </c>
      <c r="E1788" s="23">
        <v>2.0</v>
      </c>
      <c r="F1788" s="20">
        <v>0.0</v>
      </c>
      <c r="G1788" s="24">
        <f>E1788</f>
        <v>2</v>
      </c>
      <c r="H1788" s="20">
        <v>0.0</v>
      </c>
    </row>
    <row r="1789" ht="15.75" hidden="1" customHeight="1">
      <c r="A1789" s="20" t="s">
        <v>151</v>
      </c>
      <c r="B1789" s="47" t="s">
        <v>158</v>
      </c>
      <c r="C1789" s="47"/>
      <c r="D1789" s="19" t="s">
        <v>15</v>
      </c>
      <c r="E1789" s="23">
        <v>154.0</v>
      </c>
      <c r="F1789" s="18">
        <f>E1789* 0.929012779104059</f>
        <v>143.067968</v>
      </c>
      <c r="G1789" s="18">
        <f>E1789* 0.00947900575761831</f>
        <v>1.459766887</v>
      </c>
      <c r="H1789" s="18">
        <f>E1789* 0.0614380002808594</f>
        <v>9.461452043</v>
      </c>
    </row>
    <row r="1790" ht="15.75" hidden="1" customHeight="1">
      <c r="A1790" s="20" t="s">
        <v>151</v>
      </c>
      <c r="B1790" s="47" t="s">
        <v>158</v>
      </c>
      <c r="C1790" s="47"/>
      <c r="D1790" s="29" t="s">
        <v>493</v>
      </c>
      <c r="E1790" s="23">
        <v>16.0</v>
      </c>
      <c r="F1790" s="18">
        <f>E1790* 0.0624390243902439</f>
        <v>0.9990243902</v>
      </c>
      <c r="G1790" s="18">
        <f>E1790* 0.936585365853659</f>
        <v>14.98536585</v>
      </c>
      <c r="H1790" s="20">
        <v>0.0</v>
      </c>
    </row>
    <row r="1791" ht="15.75" hidden="1" customHeight="1">
      <c r="A1791" s="20" t="s">
        <v>151</v>
      </c>
      <c r="B1791" s="47" t="s">
        <v>158</v>
      </c>
      <c r="C1791" s="47"/>
      <c r="D1791" s="19" t="s">
        <v>11</v>
      </c>
      <c r="E1791" s="23">
        <v>226.0</v>
      </c>
      <c r="F1791" s="18">
        <f>E1791* 0.080360592401803</f>
        <v>18.16149388</v>
      </c>
      <c r="G1791" s="18">
        <f>E1791* 0.917192530585963</f>
        <v>207.2855119</v>
      </c>
      <c r="H1791" s="18">
        <f>E1791* 0.00218931101094656</f>
        <v>0.4947842885</v>
      </c>
    </row>
    <row r="1792" ht="15.75" hidden="1" customHeight="1">
      <c r="A1792" s="20" t="s">
        <v>151</v>
      </c>
      <c r="B1792" s="47" t="s">
        <v>158</v>
      </c>
      <c r="C1792" s="47"/>
      <c r="D1792" s="19" t="s">
        <v>17</v>
      </c>
      <c r="E1792" s="23">
        <v>186.0</v>
      </c>
      <c r="F1792" s="18">
        <f>E1792* 0.836035451794207</f>
        <v>155.502594</v>
      </c>
      <c r="G1792" s="18">
        <f>E1792* 0.0583657587548638</f>
        <v>10.85603113</v>
      </c>
      <c r="H1792" s="18">
        <f>E1792* 0.10559878945093</f>
        <v>19.64137484</v>
      </c>
    </row>
    <row r="1793" ht="15.75" hidden="1" customHeight="1">
      <c r="A1793" s="20" t="s">
        <v>151</v>
      </c>
      <c r="B1793" s="47" t="s">
        <v>158</v>
      </c>
      <c r="C1793" s="47"/>
      <c r="D1793" s="19" t="s">
        <v>31</v>
      </c>
      <c r="E1793" s="23">
        <v>32.0</v>
      </c>
      <c r="F1793" s="18">
        <f>E1793* 0.872611464968153</f>
        <v>27.92356688</v>
      </c>
      <c r="G1793" s="18">
        <f>E1793* 0.0764331210191083</f>
        <v>2.445859873</v>
      </c>
      <c r="H1793" s="18">
        <f>E1793* 0.0509554140127389</f>
        <v>1.630573248</v>
      </c>
    </row>
    <row r="1794" ht="15.75" hidden="1" customHeight="1">
      <c r="A1794" s="20" t="s">
        <v>151</v>
      </c>
      <c r="B1794" s="47" t="s">
        <v>158</v>
      </c>
      <c r="C1794" s="47"/>
      <c r="D1794" s="19" t="s">
        <v>18</v>
      </c>
      <c r="E1794" s="23">
        <v>11.0</v>
      </c>
      <c r="F1794" s="18">
        <f>E1794* 0.920270974465868</f>
        <v>10.12298072</v>
      </c>
      <c r="G1794" s="18">
        <f>E1794* 0.0703491401771756</f>
        <v>0.7738405419</v>
      </c>
      <c r="H1794" s="18">
        <f>E1794* 0.00937988535695675</f>
        <v>0.1031787389</v>
      </c>
    </row>
    <row r="1795" ht="15.75" hidden="1" customHeight="1">
      <c r="A1795" s="20" t="s">
        <v>151</v>
      </c>
      <c r="B1795" s="47" t="s">
        <v>158</v>
      </c>
      <c r="C1795" s="47"/>
      <c r="D1795" s="29" t="s">
        <v>494</v>
      </c>
      <c r="E1795" s="23">
        <v>4.0</v>
      </c>
      <c r="F1795" s="20">
        <v>0.0</v>
      </c>
      <c r="G1795" s="24">
        <f>E1795</f>
        <v>4</v>
      </c>
      <c r="H1795" s="20">
        <v>0.0</v>
      </c>
    </row>
    <row r="1796" ht="15.75" hidden="1" customHeight="1">
      <c r="A1796" s="20" t="s">
        <v>151</v>
      </c>
      <c r="B1796" s="47" t="s">
        <v>158</v>
      </c>
      <c r="C1796" s="47"/>
      <c r="D1796" s="19" t="s">
        <v>19</v>
      </c>
      <c r="E1796" s="23">
        <v>3.0</v>
      </c>
      <c r="F1796" s="18">
        <f>E1796* 0.223420647149461</f>
        <v>0.6702619414</v>
      </c>
      <c r="G1796" s="18">
        <f>E1796* 0.773497688751926</f>
        <v>2.320493066</v>
      </c>
      <c r="H1796" s="18">
        <f>E1796* 0.00308166409861325</f>
        <v>0.009244992296</v>
      </c>
    </row>
    <row r="1797" ht="15.75" hidden="1" customHeight="1">
      <c r="A1797" s="20" t="s">
        <v>151</v>
      </c>
      <c r="B1797" s="47" t="s">
        <v>158</v>
      </c>
      <c r="C1797" s="47"/>
      <c r="D1797" s="19" t="s">
        <v>20</v>
      </c>
      <c r="E1797" s="23">
        <v>471.0</v>
      </c>
      <c r="F1797" s="18">
        <f>E1797* 0.61531089014017</f>
        <v>289.8114293</v>
      </c>
      <c r="G1797" s="18">
        <f>E1797* 0.298190966814424</f>
        <v>140.4479454</v>
      </c>
      <c r="H1797" s="18">
        <f>E1797* 0.086378339523182</f>
        <v>40.68419792</v>
      </c>
    </row>
    <row r="1798" ht="15.75" hidden="1" customHeight="1">
      <c r="A1798" s="20" t="s">
        <v>151</v>
      </c>
      <c r="B1798" s="47" t="s">
        <v>158</v>
      </c>
      <c r="C1798" s="47"/>
      <c r="D1798" s="19" t="s">
        <v>21</v>
      </c>
      <c r="E1798" s="23">
        <v>778.0</v>
      </c>
      <c r="F1798" s="18">
        <f>E1798* 0.999801370543252</f>
        <v>777.8454663</v>
      </c>
      <c r="G1798" s="18">
        <f>E1798* 0.0000993147283742179</f>
        <v>0.07726685868</v>
      </c>
      <c r="H1798" s="18">
        <f>E1798* 0.0000993147283742179</f>
        <v>0.07726685868</v>
      </c>
    </row>
    <row r="1799" ht="15.75" hidden="1" customHeight="1">
      <c r="A1799" s="20" t="s">
        <v>151</v>
      </c>
      <c r="B1799" s="47" t="s">
        <v>158</v>
      </c>
      <c r="C1799" s="47"/>
      <c r="D1799" s="19" t="s">
        <v>28</v>
      </c>
      <c r="E1799" s="23">
        <v>55.0</v>
      </c>
      <c r="F1799" s="20">
        <v>0.0</v>
      </c>
      <c r="G1799" s="18">
        <f>E1799* 0.99904671115348</f>
        <v>54.94756911</v>
      </c>
      <c r="H1799" s="18">
        <f>E1799* 0.000953288846520496</f>
        <v>0.05243088656</v>
      </c>
    </row>
    <row r="1800" ht="15.75" hidden="1" customHeight="1">
      <c r="A1800" s="20" t="s">
        <v>151</v>
      </c>
      <c r="B1800" s="47" t="s">
        <v>158</v>
      </c>
      <c r="C1800" s="47"/>
      <c r="D1800" s="19" t="s">
        <v>12</v>
      </c>
      <c r="E1800" s="23">
        <v>550.0</v>
      </c>
      <c r="F1800" s="18">
        <f>E1800* 0.849400404921352</f>
        <v>467.1702227</v>
      </c>
      <c r="G1800" s="18">
        <f>E1800* 0.0654726678087525</f>
        <v>36.00996729</v>
      </c>
      <c r="H1800" s="18">
        <f>E1800* 0.0851269272698957</f>
        <v>46.81981</v>
      </c>
    </row>
    <row r="1801" ht="15.75" hidden="1" customHeight="1">
      <c r="A1801" s="20" t="s">
        <v>151</v>
      </c>
      <c r="B1801" s="20"/>
      <c r="C1801" s="20"/>
      <c r="D1801" s="46"/>
      <c r="E1801" s="35"/>
    </row>
    <row r="1802" ht="15.75" customHeight="1">
      <c r="A1802" s="20" t="s">
        <v>151</v>
      </c>
      <c r="B1802" s="47" t="s">
        <v>159</v>
      </c>
      <c r="C1802" s="12" t="str">
        <f>B1802&amp;"_"&amp;A1802</f>
        <v>Corque_Oruro</v>
      </c>
      <c r="D1802" s="20"/>
      <c r="E1802" s="45">
        <v>416.0</v>
      </c>
      <c r="F1802" s="14">
        <f t="shared" ref="F1802:H1802" si="152">SUM(F1803:F1815)</f>
        <v>328.310554</v>
      </c>
      <c r="G1802" s="14">
        <f t="shared" si="152"/>
        <v>70.5200198</v>
      </c>
      <c r="H1802" s="14">
        <f t="shared" si="152"/>
        <v>17.15268858</v>
      </c>
    </row>
    <row r="1803" ht="15.75" hidden="1" customHeight="1">
      <c r="A1803" s="20" t="s">
        <v>151</v>
      </c>
      <c r="B1803" s="47" t="s">
        <v>159</v>
      </c>
      <c r="C1803" s="47"/>
      <c r="D1803" s="29" t="s">
        <v>495</v>
      </c>
      <c r="E1803" s="23">
        <v>0.0</v>
      </c>
      <c r="F1803" s="20">
        <v>0.0</v>
      </c>
      <c r="G1803" s="24">
        <f>E1803</f>
        <v>0</v>
      </c>
      <c r="H1803" s="20">
        <v>0.0</v>
      </c>
    </row>
    <row r="1804" ht="15.75" hidden="1" customHeight="1">
      <c r="A1804" s="20" t="s">
        <v>151</v>
      </c>
      <c r="B1804" s="47" t="s">
        <v>159</v>
      </c>
      <c r="C1804" s="47"/>
      <c r="D1804" s="19" t="s">
        <v>15</v>
      </c>
      <c r="E1804" s="23">
        <v>13.0</v>
      </c>
      <c r="F1804" s="18">
        <f>E1804* 0.929012779104059</f>
        <v>12.07716613</v>
      </c>
      <c r="G1804" s="18">
        <f>E1804* 0.00947900575761831</f>
        <v>0.1232270748</v>
      </c>
      <c r="H1804" s="18">
        <f>E1804* 0.0614380002808594</f>
        <v>0.7986940037</v>
      </c>
    </row>
    <row r="1805" ht="15.75" hidden="1" customHeight="1">
      <c r="A1805" s="20" t="s">
        <v>151</v>
      </c>
      <c r="B1805" s="47" t="s">
        <v>159</v>
      </c>
      <c r="C1805" s="47"/>
      <c r="D1805" s="29" t="s">
        <v>496</v>
      </c>
      <c r="E1805" s="23">
        <v>1.0</v>
      </c>
      <c r="F1805" s="18">
        <f>E1805* 0.0624390243902439</f>
        <v>0.06243902439</v>
      </c>
      <c r="G1805" s="18">
        <f>E1805* 0.936585365853659</f>
        <v>0.9365853659</v>
      </c>
      <c r="H1805" s="20">
        <v>0.0</v>
      </c>
    </row>
    <row r="1806" ht="15.75" hidden="1" customHeight="1">
      <c r="A1806" s="20" t="s">
        <v>151</v>
      </c>
      <c r="B1806" s="47" t="s">
        <v>159</v>
      </c>
      <c r="C1806" s="47"/>
      <c r="D1806" s="19" t="s">
        <v>11</v>
      </c>
      <c r="E1806" s="23">
        <v>33.0</v>
      </c>
      <c r="F1806" s="18">
        <f>E1806* 0.080360592401803</f>
        <v>2.651899549</v>
      </c>
      <c r="G1806" s="18">
        <f>E1806* 0.917192530585963</f>
        <v>30.26735351</v>
      </c>
      <c r="H1806" s="18">
        <f>E1806* 0.00218931101094656</f>
        <v>0.07224726336</v>
      </c>
    </row>
    <row r="1807" ht="15.75" hidden="1" customHeight="1">
      <c r="A1807" s="20" t="s">
        <v>151</v>
      </c>
      <c r="B1807" s="47" t="s">
        <v>159</v>
      </c>
      <c r="C1807" s="47"/>
      <c r="D1807" s="19" t="s">
        <v>17</v>
      </c>
      <c r="E1807" s="23">
        <v>34.0</v>
      </c>
      <c r="F1807" s="18">
        <f>E1807* 0.836035451794207</f>
        <v>28.42520536</v>
      </c>
      <c r="G1807" s="18">
        <f>E1807* 0.0583657587548638</f>
        <v>1.984435798</v>
      </c>
      <c r="H1807" s="18">
        <f>E1807* 0.10559878945093</f>
        <v>3.590358841</v>
      </c>
    </row>
    <row r="1808" ht="15.75" hidden="1" customHeight="1">
      <c r="A1808" s="20" t="s">
        <v>151</v>
      </c>
      <c r="B1808" s="47" t="s">
        <v>159</v>
      </c>
      <c r="C1808" s="47"/>
      <c r="D1808" s="19" t="s">
        <v>31</v>
      </c>
      <c r="E1808" s="23">
        <v>6.0</v>
      </c>
      <c r="F1808" s="18">
        <f>E1808* 0.872611464968153</f>
        <v>5.23566879</v>
      </c>
      <c r="G1808" s="18">
        <f>E1808* 0.0764331210191083</f>
        <v>0.4585987261</v>
      </c>
      <c r="H1808" s="18">
        <f>E1808* 0.0509554140127389</f>
        <v>0.3057324841</v>
      </c>
    </row>
    <row r="1809" ht="15.75" hidden="1" customHeight="1">
      <c r="A1809" s="20" t="s">
        <v>151</v>
      </c>
      <c r="B1809" s="47" t="s">
        <v>159</v>
      </c>
      <c r="C1809" s="47"/>
      <c r="D1809" s="19" t="s">
        <v>18</v>
      </c>
      <c r="E1809" s="23">
        <v>3.0</v>
      </c>
      <c r="F1809" s="18">
        <f>E1809* 0.920270974465868</f>
        <v>2.760812923</v>
      </c>
      <c r="G1809" s="18">
        <f>E1809* 0.0703491401771756</f>
        <v>0.2110474205</v>
      </c>
      <c r="H1809" s="18">
        <f>E1809* 0.00937988535695675</f>
        <v>0.02813965607</v>
      </c>
    </row>
    <row r="1810" ht="15.75" hidden="1" customHeight="1">
      <c r="A1810" s="20" t="s">
        <v>151</v>
      </c>
      <c r="B1810" s="47" t="s">
        <v>159</v>
      </c>
      <c r="C1810" s="47"/>
      <c r="D1810" s="19" t="s">
        <v>19</v>
      </c>
      <c r="E1810" s="23">
        <v>1.0</v>
      </c>
      <c r="F1810" s="18">
        <f>E1810* 0.223420647149461</f>
        <v>0.2234206471</v>
      </c>
      <c r="G1810" s="18">
        <f>E1810* 0.773497688751926</f>
        <v>0.7734976888</v>
      </c>
      <c r="H1810" s="18">
        <f>E1810* 0.00308166409861325</f>
        <v>0.003081664099</v>
      </c>
    </row>
    <row r="1811" ht="15.75" hidden="1" customHeight="1">
      <c r="A1811" s="20" t="s">
        <v>151</v>
      </c>
      <c r="B1811" s="47" t="s">
        <v>159</v>
      </c>
      <c r="C1811" s="47"/>
      <c r="D1811" s="19" t="s">
        <v>20</v>
      </c>
      <c r="E1811" s="23">
        <v>53.0</v>
      </c>
      <c r="F1811" s="18">
        <f>E1811* 0.61531089014017</f>
        <v>32.61147718</v>
      </c>
      <c r="G1811" s="18">
        <f>E1811* 0.298190966814424</f>
        <v>15.80412124</v>
      </c>
      <c r="H1811" s="18">
        <f>E1811* 0.086378339523182</f>
        <v>4.578051995</v>
      </c>
    </row>
    <row r="1812" ht="15.75" hidden="1" customHeight="1">
      <c r="A1812" s="20" t="s">
        <v>151</v>
      </c>
      <c r="B1812" s="47" t="s">
        <v>159</v>
      </c>
      <c r="C1812" s="47"/>
      <c r="D1812" s="19" t="s">
        <v>21</v>
      </c>
      <c r="E1812" s="23">
        <v>166.0</v>
      </c>
      <c r="F1812" s="18">
        <f>E1812* 0.999801370543252</f>
        <v>165.9670275</v>
      </c>
      <c r="G1812" s="18">
        <f>E1812* 0.0000993147283742179</f>
        <v>0.01648624491</v>
      </c>
      <c r="H1812" s="18">
        <f>E1812* 0.0000993147283742179</f>
        <v>0.01648624491</v>
      </c>
    </row>
    <row r="1813" ht="15.75" hidden="1" customHeight="1">
      <c r="A1813" s="20" t="s">
        <v>151</v>
      </c>
      <c r="B1813" s="47" t="s">
        <v>159</v>
      </c>
      <c r="C1813" s="47"/>
      <c r="D1813" s="19" t="s">
        <v>36</v>
      </c>
      <c r="E1813" s="23">
        <v>1.0</v>
      </c>
      <c r="F1813" s="24">
        <f>E1813</f>
        <v>1</v>
      </c>
      <c r="G1813" s="20">
        <v>0.0</v>
      </c>
      <c r="H1813" s="20">
        <v>0.0</v>
      </c>
    </row>
    <row r="1814" ht="15.75" hidden="1" customHeight="1">
      <c r="A1814" s="20" t="s">
        <v>151</v>
      </c>
      <c r="B1814" s="47" t="s">
        <v>159</v>
      </c>
      <c r="C1814" s="47"/>
      <c r="D1814" s="19" t="s">
        <v>28</v>
      </c>
      <c r="E1814" s="23">
        <v>14.0</v>
      </c>
      <c r="F1814" s="20">
        <v>0.0</v>
      </c>
      <c r="G1814" s="18">
        <f>E1814* 0.99904671115348</f>
        <v>13.98665396</v>
      </c>
      <c r="H1814" s="18">
        <f>E1814* 0.000953288846520496</f>
        <v>0.01334604385</v>
      </c>
    </row>
    <row r="1815" ht="15.75" hidden="1" customHeight="1">
      <c r="A1815" s="20" t="s">
        <v>151</v>
      </c>
      <c r="B1815" s="47" t="s">
        <v>159</v>
      </c>
      <c r="C1815" s="47"/>
      <c r="D1815" s="19" t="s">
        <v>12</v>
      </c>
      <c r="E1815" s="23">
        <v>91.0</v>
      </c>
      <c r="F1815" s="18">
        <f>E1815* 0.849400404921352</f>
        <v>77.29543685</v>
      </c>
      <c r="G1815" s="18">
        <f>E1815* 0.0654726678087525</f>
        <v>5.958012771</v>
      </c>
      <c r="H1815" s="18">
        <f>E1815* 0.0851269272698957</f>
        <v>7.746550382</v>
      </c>
    </row>
    <row r="1816" ht="15.75" hidden="1" customHeight="1">
      <c r="A1816" s="20" t="s">
        <v>151</v>
      </c>
      <c r="B1816" s="20"/>
      <c r="C1816" s="20"/>
      <c r="D1816" s="46"/>
      <c r="E1816" s="35"/>
    </row>
    <row r="1817" ht="15.75" customHeight="1">
      <c r="A1817" s="20" t="s">
        <v>151</v>
      </c>
      <c r="B1817" s="47" t="s">
        <v>160</v>
      </c>
      <c r="C1817" s="12" t="str">
        <f>B1817&amp;"_"&amp;A1817</f>
        <v>Cruz de Machamarca_Oruro</v>
      </c>
      <c r="D1817" s="20"/>
      <c r="E1817" s="45">
        <v>1190.0</v>
      </c>
      <c r="F1817" s="14">
        <f t="shared" ref="F1817:H1817" si="153">SUM(F1818:F1829)</f>
        <v>834.1050123</v>
      </c>
      <c r="G1817" s="14">
        <f t="shared" si="153"/>
        <v>303.5584115</v>
      </c>
      <c r="H1817" s="14">
        <f t="shared" si="153"/>
        <v>52.25217927</v>
      </c>
    </row>
    <row r="1818" ht="15.75" hidden="1" customHeight="1">
      <c r="A1818" s="20" t="s">
        <v>151</v>
      </c>
      <c r="B1818" s="47" t="s">
        <v>160</v>
      </c>
      <c r="C1818" s="47"/>
      <c r="D1818" s="29" t="s">
        <v>497</v>
      </c>
      <c r="E1818" s="23">
        <v>3.0</v>
      </c>
      <c r="F1818" s="20">
        <v>0.0</v>
      </c>
      <c r="G1818" s="24">
        <f>E1818</f>
        <v>3</v>
      </c>
      <c r="H1818" s="20">
        <v>0.0</v>
      </c>
    </row>
    <row r="1819" ht="15.75" hidden="1" customHeight="1">
      <c r="A1819" s="20" t="s">
        <v>151</v>
      </c>
      <c r="B1819" s="47" t="s">
        <v>160</v>
      </c>
      <c r="C1819" s="47"/>
      <c r="D1819" s="19" t="s">
        <v>15</v>
      </c>
      <c r="E1819" s="23">
        <v>86.0</v>
      </c>
      <c r="F1819" s="18">
        <f>E1819* 0.929012779104059</f>
        <v>79.895099</v>
      </c>
      <c r="G1819" s="18">
        <f>E1819* 0.00947900575761831</f>
        <v>0.8151944952</v>
      </c>
      <c r="H1819" s="18">
        <f>E1819* 0.0614380002808594</f>
        <v>5.283668024</v>
      </c>
    </row>
    <row r="1820" ht="15.75" hidden="1" customHeight="1">
      <c r="A1820" s="20" t="s">
        <v>151</v>
      </c>
      <c r="B1820" s="47" t="s">
        <v>160</v>
      </c>
      <c r="C1820" s="47"/>
      <c r="D1820" s="29" t="s">
        <v>498</v>
      </c>
      <c r="E1820" s="23">
        <v>3.0</v>
      </c>
      <c r="F1820" s="18">
        <f>E1820* 0.0624390243902439</f>
        <v>0.1873170732</v>
      </c>
      <c r="G1820" s="18">
        <f>E1820* 0.936585365853659</f>
        <v>2.809756098</v>
      </c>
      <c r="H1820" s="20">
        <v>0.0</v>
      </c>
    </row>
    <row r="1821" ht="15.75" hidden="1" customHeight="1">
      <c r="A1821" s="20" t="s">
        <v>151</v>
      </c>
      <c r="B1821" s="47" t="s">
        <v>160</v>
      </c>
      <c r="C1821" s="47"/>
      <c r="D1821" s="19" t="s">
        <v>11</v>
      </c>
      <c r="E1821" s="23">
        <v>231.0</v>
      </c>
      <c r="F1821" s="18">
        <f>E1821* 0.080360592401803</f>
        <v>18.56329684</v>
      </c>
      <c r="G1821" s="18">
        <f>E1821* 0.917192530585963</f>
        <v>211.8714746</v>
      </c>
      <c r="H1821" s="18">
        <f>E1821* 0.00218931101094656</f>
        <v>0.5057308435</v>
      </c>
    </row>
    <row r="1822" ht="15.75" hidden="1" customHeight="1">
      <c r="A1822" s="20" t="s">
        <v>151</v>
      </c>
      <c r="B1822" s="47" t="s">
        <v>160</v>
      </c>
      <c r="C1822" s="47"/>
      <c r="D1822" s="19" t="s">
        <v>17</v>
      </c>
      <c r="E1822" s="23">
        <v>112.0</v>
      </c>
      <c r="F1822" s="18">
        <f>E1822* 0.836035451794207</f>
        <v>93.6359706</v>
      </c>
      <c r="G1822" s="18">
        <f>E1822* 0.0583657587548638</f>
        <v>6.536964981</v>
      </c>
      <c r="H1822" s="18">
        <f>E1822* 0.10559878945093</f>
        <v>11.82706442</v>
      </c>
    </row>
    <row r="1823" ht="15.75" hidden="1" customHeight="1">
      <c r="A1823" s="20" t="s">
        <v>151</v>
      </c>
      <c r="B1823" s="47" t="s">
        <v>160</v>
      </c>
      <c r="C1823" s="47"/>
      <c r="D1823" s="19" t="s">
        <v>31</v>
      </c>
      <c r="E1823" s="23">
        <v>15.0</v>
      </c>
      <c r="F1823" s="18">
        <f>E1823* 0.872611464968153</f>
        <v>13.08917197</v>
      </c>
      <c r="G1823" s="18">
        <f>E1823* 0.0764331210191083</f>
        <v>1.146496815</v>
      </c>
      <c r="H1823" s="18">
        <f>E1823* 0.0509554140127389</f>
        <v>0.7643312102</v>
      </c>
    </row>
    <row r="1824" ht="15.75" hidden="1" customHeight="1">
      <c r="A1824" s="20" t="s">
        <v>151</v>
      </c>
      <c r="B1824" s="47" t="s">
        <v>160</v>
      </c>
      <c r="C1824" s="47"/>
      <c r="D1824" s="19" t="s">
        <v>18</v>
      </c>
      <c r="E1824" s="23">
        <v>12.0</v>
      </c>
      <c r="F1824" s="18">
        <f>E1824* 0.920270974465868</f>
        <v>11.04325169</v>
      </c>
      <c r="G1824" s="18">
        <f>E1824* 0.0703491401771756</f>
        <v>0.8441896821</v>
      </c>
      <c r="H1824" s="18">
        <f>E1824* 0.00937988535695675</f>
        <v>0.1125586243</v>
      </c>
    </row>
    <row r="1825" ht="15.75" hidden="1" customHeight="1">
      <c r="A1825" s="20" t="s">
        <v>151</v>
      </c>
      <c r="B1825" s="47" t="s">
        <v>160</v>
      </c>
      <c r="C1825" s="47"/>
      <c r="D1825" s="19" t="s">
        <v>19</v>
      </c>
      <c r="E1825" s="23">
        <v>1.0</v>
      </c>
      <c r="F1825" s="18">
        <f>E1825* 0.223420647149461</f>
        <v>0.2234206471</v>
      </c>
      <c r="G1825" s="18">
        <f>E1825* 0.773497688751926</f>
        <v>0.7734976888</v>
      </c>
      <c r="H1825" s="18">
        <f>E1825* 0.00308166409861325</f>
        <v>0.003081664099</v>
      </c>
    </row>
    <row r="1826" ht="15.75" hidden="1" customHeight="1">
      <c r="A1826" s="20" t="s">
        <v>151</v>
      </c>
      <c r="B1826" s="47" t="s">
        <v>160</v>
      </c>
      <c r="C1826" s="47"/>
      <c r="D1826" s="19" t="s">
        <v>20</v>
      </c>
      <c r="E1826" s="23">
        <v>133.0</v>
      </c>
      <c r="F1826" s="18">
        <f>E1826* 0.61531089014017</f>
        <v>81.83634839</v>
      </c>
      <c r="G1826" s="18">
        <f>E1826* 0.298190966814424</f>
        <v>39.65939859</v>
      </c>
      <c r="H1826" s="18">
        <f>E1826* 0.086378339523182</f>
        <v>11.48831916</v>
      </c>
    </row>
    <row r="1827" ht="15.75" hidden="1" customHeight="1">
      <c r="A1827" s="20" t="s">
        <v>151</v>
      </c>
      <c r="B1827" s="47" t="s">
        <v>160</v>
      </c>
      <c r="C1827" s="47"/>
      <c r="D1827" s="19" t="s">
        <v>21</v>
      </c>
      <c r="E1827" s="23">
        <v>314.0</v>
      </c>
      <c r="F1827" s="18">
        <f>E1827* 0.999801370543252</f>
        <v>313.9376304</v>
      </c>
      <c r="G1827" s="18">
        <f>E1827* 0.0000993147283742179</f>
        <v>0.03118482471</v>
      </c>
      <c r="H1827" s="18">
        <f>E1827* 0.0000993147283742179</f>
        <v>0.03118482471</v>
      </c>
    </row>
    <row r="1828" ht="15.75" hidden="1" customHeight="1">
      <c r="A1828" s="20" t="s">
        <v>151</v>
      </c>
      <c r="B1828" s="47" t="s">
        <v>160</v>
      </c>
      <c r="C1828" s="47"/>
      <c r="D1828" s="19" t="s">
        <v>28</v>
      </c>
      <c r="E1828" s="23">
        <v>19.0</v>
      </c>
      <c r="F1828" s="20">
        <v>0.0</v>
      </c>
      <c r="G1828" s="18">
        <f>E1828* 0.99904671115348</f>
        <v>18.98188751</v>
      </c>
      <c r="H1828" s="18">
        <f>E1828* 0.000953288846520496</f>
        <v>0.01811248808</v>
      </c>
    </row>
    <row r="1829" ht="15.75" hidden="1" customHeight="1">
      <c r="A1829" s="20" t="s">
        <v>151</v>
      </c>
      <c r="B1829" s="47" t="s">
        <v>160</v>
      </c>
      <c r="C1829" s="47"/>
      <c r="D1829" s="19" t="s">
        <v>12</v>
      </c>
      <c r="E1829" s="23">
        <v>261.0</v>
      </c>
      <c r="F1829" s="18">
        <f>E1829* 0.849400404921352</f>
        <v>221.6935057</v>
      </c>
      <c r="G1829" s="18">
        <f>E1829* 0.0654726678087525</f>
        <v>17.0883663</v>
      </c>
      <c r="H1829" s="18">
        <f>E1829* 0.0851269272698957</f>
        <v>22.21812802</v>
      </c>
    </row>
    <row r="1830" ht="15.75" hidden="1" customHeight="1">
      <c r="A1830" s="20" t="s">
        <v>151</v>
      </c>
      <c r="B1830" s="20"/>
      <c r="C1830" s="20"/>
      <c r="D1830" s="46"/>
      <c r="E1830" s="35"/>
    </row>
    <row r="1831" ht="15.75" customHeight="1">
      <c r="A1831" s="20" t="s">
        <v>151</v>
      </c>
      <c r="B1831" s="47" t="s">
        <v>161</v>
      </c>
      <c r="C1831" s="12" t="str">
        <f>B1831&amp;"_"&amp;A1831</f>
        <v>Curahuara de Carangas_Oruro</v>
      </c>
      <c r="D1831" s="20"/>
      <c r="E1831" s="45">
        <v>28.0</v>
      </c>
      <c r="F1831" s="14">
        <f t="shared" ref="F1831:H1831" si="154">SUM(F1832:F1836)</f>
        <v>18.23532773</v>
      </c>
      <c r="G1831" s="14">
        <f t="shared" si="154"/>
        <v>7.499558578</v>
      </c>
      <c r="H1831" s="14">
        <f t="shared" si="154"/>
        <v>2.262340254</v>
      </c>
    </row>
    <row r="1832" ht="15.75" hidden="1" customHeight="1">
      <c r="A1832" s="20" t="s">
        <v>151</v>
      </c>
      <c r="B1832" s="47" t="s">
        <v>161</v>
      </c>
      <c r="C1832" s="47"/>
      <c r="D1832" s="19" t="s">
        <v>11</v>
      </c>
      <c r="E1832" s="23">
        <v>1.0</v>
      </c>
      <c r="F1832" s="18">
        <f>E1832* 0.080360592401803</f>
        <v>0.0803605924</v>
      </c>
      <c r="G1832" s="18">
        <f>E1832* 0.917192530585963</f>
        <v>0.9171925306</v>
      </c>
      <c r="H1832" s="18">
        <f>E1832* 0.00218931101094656</f>
        <v>0.002189311011</v>
      </c>
    </row>
    <row r="1833" ht="15.75" hidden="1" customHeight="1">
      <c r="A1833" s="20" t="s">
        <v>151</v>
      </c>
      <c r="B1833" s="47" t="s">
        <v>161</v>
      </c>
      <c r="C1833" s="47"/>
      <c r="D1833" s="19" t="s">
        <v>17</v>
      </c>
      <c r="E1833" s="23">
        <v>1.0</v>
      </c>
      <c r="F1833" s="18">
        <f>E1833* 0.836035451794207</f>
        <v>0.8360354518</v>
      </c>
      <c r="G1833" s="18">
        <f>E1833* 0.0583657587548638</f>
        <v>0.05836575875</v>
      </c>
      <c r="H1833" s="18">
        <f>E1833* 0.10559878945093</f>
        <v>0.1055987895</v>
      </c>
    </row>
    <row r="1834" ht="15.75" hidden="1" customHeight="1">
      <c r="A1834" s="20" t="s">
        <v>151</v>
      </c>
      <c r="B1834" s="47" t="s">
        <v>161</v>
      </c>
      <c r="C1834" s="47"/>
      <c r="D1834" s="19" t="s">
        <v>20</v>
      </c>
      <c r="E1834" s="23">
        <v>21.0</v>
      </c>
      <c r="F1834" s="18">
        <f>E1834* 0.61531089014017</f>
        <v>12.92152869</v>
      </c>
      <c r="G1834" s="18">
        <f>E1834* 0.298190966814424</f>
        <v>6.262010303</v>
      </c>
      <c r="H1834" s="18">
        <f>E1834* 0.086378339523182</f>
        <v>1.81394513</v>
      </c>
    </row>
    <row r="1835" ht="15.75" hidden="1" customHeight="1">
      <c r="A1835" s="20" t="s">
        <v>151</v>
      </c>
      <c r="B1835" s="47" t="s">
        <v>161</v>
      </c>
      <c r="C1835" s="47"/>
      <c r="D1835" s="19" t="s">
        <v>21</v>
      </c>
      <c r="E1835" s="23">
        <v>1.0</v>
      </c>
      <c r="F1835" s="18">
        <f>E1835* 0.999801370543252</f>
        <v>0.9998013705</v>
      </c>
      <c r="G1835" s="18">
        <f>E1835* 0.0000993147283742179</f>
        <v>0.00009931472837</v>
      </c>
      <c r="H1835" s="18">
        <f>E1835* 0.0000993147283742179</f>
        <v>0.00009931472837</v>
      </c>
    </row>
    <row r="1836" ht="15.75" hidden="1" customHeight="1">
      <c r="A1836" s="20" t="s">
        <v>151</v>
      </c>
      <c r="B1836" s="47" t="s">
        <v>161</v>
      </c>
      <c r="C1836" s="47"/>
      <c r="D1836" s="19" t="s">
        <v>12</v>
      </c>
      <c r="E1836" s="23">
        <v>4.0</v>
      </c>
      <c r="F1836" s="18">
        <f>E1836* 0.849400404921352</f>
        <v>3.39760162</v>
      </c>
      <c r="G1836" s="18">
        <f>E1836* 0.0654726678087525</f>
        <v>0.2618906712</v>
      </c>
      <c r="H1836" s="18">
        <f>E1836* 0.0851269272698957</f>
        <v>0.3405077091</v>
      </c>
    </row>
    <row r="1837" ht="15.75" hidden="1" customHeight="1">
      <c r="A1837" s="20" t="s">
        <v>151</v>
      </c>
      <c r="B1837" s="20"/>
      <c r="C1837" s="20"/>
      <c r="D1837" s="46"/>
      <c r="E1837" s="35"/>
    </row>
    <row r="1838" ht="15.75" customHeight="1">
      <c r="A1838" s="20" t="s">
        <v>151</v>
      </c>
      <c r="B1838" s="47" t="s">
        <v>499</v>
      </c>
      <c r="C1838" s="12" t="str">
        <f>B1838&amp;"_"&amp;A1838</f>
        <v>El Choro_Oruro</v>
      </c>
      <c r="D1838" s="20"/>
      <c r="E1838" s="45">
        <v>1154.0</v>
      </c>
      <c r="F1838" s="14">
        <f t="shared" ref="F1838:H1838" si="155">SUM(F1839:F1849)</f>
        <v>863.301355</v>
      </c>
      <c r="G1838" s="14">
        <f t="shared" si="155"/>
        <v>211.327057</v>
      </c>
      <c r="H1838" s="14">
        <f t="shared" si="155"/>
        <v>79.31243452</v>
      </c>
    </row>
    <row r="1839" ht="15.75" hidden="1" customHeight="1">
      <c r="A1839" s="20" t="s">
        <v>151</v>
      </c>
      <c r="B1839" s="47" t="s">
        <v>499</v>
      </c>
      <c r="C1839" s="47"/>
      <c r="D1839" s="19" t="s">
        <v>15</v>
      </c>
      <c r="E1839" s="23">
        <v>174.0</v>
      </c>
      <c r="F1839" s="18">
        <f>E1839* 0.929012779104059</f>
        <v>161.6482236</v>
      </c>
      <c r="G1839" s="18">
        <f>E1839* 0.00947900575761831</f>
        <v>1.649347002</v>
      </c>
      <c r="H1839" s="18">
        <f>E1839* 0.0614380002808594</f>
        <v>10.69021205</v>
      </c>
    </row>
    <row r="1840" ht="15.75" hidden="1" customHeight="1">
      <c r="A1840" s="20" t="s">
        <v>151</v>
      </c>
      <c r="B1840" s="47" t="s">
        <v>499</v>
      </c>
      <c r="C1840" s="47"/>
      <c r="D1840" s="29" t="s">
        <v>500</v>
      </c>
      <c r="E1840" s="23">
        <v>10.0</v>
      </c>
      <c r="F1840" s="18">
        <f>E1840* 0.0624390243902439</f>
        <v>0.6243902439</v>
      </c>
      <c r="G1840" s="18">
        <f>E1840* 0.936585365853659</f>
        <v>9.365853659</v>
      </c>
      <c r="H1840" s="20">
        <v>0.0</v>
      </c>
    </row>
    <row r="1841" ht="15.75" hidden="1" customHeight="1">
      <c r="A1841" s="20" t="s">
        <v>151</v>
      </c>
      <c r="B1841" s="47" t="s">
        <v>499</v>
      </c>
      <c r="C1841" s="47"/>
      <c r="D1841" s="19" t="s">
        <v>11</v>
      </c>
      <c r="E1841" s="23">
        <v>89.0</v>
      </c>
      <c r="F1841" s="18">
        <f>E1841* 0.080360592401803</f>
        <v>7.152092724</v>
      </c>
      <c r="G1841" s="18">
        <f>E1841* 0.917192530585963</f>
        <v>81.63013522</v>
      </c>
      <c r="H1841" s="18">
        <f>E1841* 0.00218931101094656</f>
        <v>0.19484868</v>
      </c>
    </row>
    <row r="1842" ht="15.75" hidden="1" customHeight="1">
      <c r="A1842" s="20" t="s">
        <v>151</v>
      </c>
      <c r="B1842" s="47" t="s">
        <v>499</v>
      </c>
      <c r="C1842" s="47"/>
      <c r="D1842" s="19" t="s">
        <v>17</v>
      </c>
      <c r="E1842" s="23">
        <v>136.0</v>
      </c>
      <c r="F1842" s="18">
        <f>E1842* 0.836035451794207</f>
        <v>113.7008214</v>
      </c>
      <c r="G1842" s="18">
        <f>E1842* 0.0583657587548638</f>
        <v>7.937743191</v>
      </c>
      <c r="H1842" s="18">
        <f>E1842* 0.10559878945093</f>
        <v>14.36143537</v>
      </c>
    </row>
    <row r="1843" ht="15.75" hidden="1" customHeight="1">
      <c r="A1843" s="20" t="s">
        <v>151</v>
      </c>
      <c r="B1843" s="47" t="s">
        <v>499</v>
      </c>
      <c r="C1843" s="47"/>
      <c r="D1843" s="19" t="s">
        <v>31</v>
      </c>
      <c r="E1843" s="23">
        <v>11.0</v>
      </c>
      <c r="F1843" s="18">
        <f>E1843* 0.872611464968153</f>
        <v>9.598726115</v>
      </c>
      <c r="G1843" s="18">
        <f>E1843* 0.0764331210191083</f>
        <v>0.8407643312</v>
      </c>
      <c r="H1843" s="18">
        <f>E1843* 0.0509554140127389</f>
        <v>0.5605095541</v>
      </c>
    </row>
    <row r="1844" ht="15.75" hidden="1" customHeight="1">
      <c r="A1844" s="20" t="s">
        <v>151</v>
      </c>
      <c r="B1844" s="47" t="s">
        <v>499</v>
      </c>
      <c r="C1844" s="47"/>
      <c r="D1844" s="19" t="s">
        <v>18</v>
      </c>
      <c r="E1844" s="23">
        <v>11.0</v>
      </c>
      <c r="F1844" s="18">
        <f>E1844* 0.920270974465868</f>
        <v>10.12298072</v>
      </c>
      <c r="G1844" s="18">
        <f>E1844* 0.0703491401771756</f>
        <v>0.7738405419</v>
      </c>
      <c r="H1844" s="18">
        <f>E1844* 0.00937988535695675</f>
        <v>0.1031787389</v>
      </c>
    </row>
    <row r="1845" ht="15.75" hidden="1" customHeight="1">
      <c r="A1845" s="20" t="s">
        <v>151</v>
      </c>
      <c r="B1845" s="47" t="s">
        <v>499</v>
      </c>
      <c r="C1845" s="47"/>
      <c r="D1845" s="19" t="s">
        <v>19</v>
      </c>
      <c r="E1845" s="23">
        <v>2.0</v>
      </c>
      <c r="F1845" s="18">
        <f>E1845* 0.223420647149461</f>
        <v>0.4468412943</v>
      </c>
      <c r="G1845" s="18">
        <f>E1845* 0.773497688751926</f>
        <v>1.546995378</v>
      </c>
      <c r="H1845" s="18">
        <f>E1845* 0.00308166409861325</f>
        <v>0.006163328197</v>
      </c>
    </row>
    <row r="1846" ht="15.75" hidden="1" customHeight="1">
      <c r="A1846" s="20" t="s">
        <v>151</v>
      </c>
      <c r="B1846" s="47" t="s">
        <v>499</v>
      </c>
      <c r="C1846" s="47"/>
      <c r="D1846" s="19" t="s">
        <v>20</v>
      </c>
      <c r="E1846" s="23">
        <v>119.0</v>
      </c>
      <c r="F1846" s="18">
        <f>E1846* 0.61531089014017</f>
        <v>73.22199593</v>
      </c>
      <c r="G1846" s="18">
        <f>E1846* 0.298190966814424</f>
        <v>35.48472505</v>
      </c>
      <c r="H1846" s="18">
        <f>E1846* 0.086378339523182</f>
        <v>10.2790224</v>
      </c>
    </row>
    <row r="1847" ht="15.75" hidden="1" customHeight="1">
      <c r="A1847" s="20" t="s">
        <v>151</v>
      </c>
      <c r="B1847" s="47" t="s">
        <v>499</v>
      </c>
      <c r="C1847" s="47"/>
      <c r="D1847" s="19" t="s">
        <v>21</v>
      </c>
      <c r="E1847" s="23">
        <v>57.0</v>
      </c>
      <c r="F1847" s="18">
        <f>E1847* 0.999801370543252</f>
        <v>56.98867812</v>
      </c>
      <c r="G1847" s="18">
        <f>E1847* 0.0000993147283742179</f>
        <v>0.005660939517</v>
      </c>
      <c r="H1847" s="18">
        <f>E1847* 0.0000993147283742179</f>
        <v>0.005660939517</v>
      </c>
    </row>
    <row r="1848" ht="15.75" hidden="1" customHeight="1">
      <c r="A1848" s="20" t="s">
        <v>151</v>
      </c>
      <c r="B1848" s="47" t="s">
        <v>499</v>
      </c>
      <c r="C1848" s="47"/>
      <c r="D1848" s="19" t="s">
        <v>28</v>
      </c>
      <c r="E1848" s="23">
        <v>39.0</v>
      </c>
      <c r="F1848" s="20">
        <v>0.0</v>
      </c>
      <c r="G1848" s="18">
        <f>E1848* 0.99904671115348</f>
        <v>38.96282173</v>
      </c>
      <c r="H1848" s="18">
        <f>E1848* 0.000953288846520496</f>
        <v>0.03717826501</v>
      </c>
    </row>
    <row r="1849" ht="15.75" hidden="1" customHeight="1">
      <c r="A1849" s="20" t="s">
        <v>151</v>
      </c>
      <c r="B1849" s="47" t="s">
        <v>499</v>
      </c>
      <c r="C1849" s="47"/>
      <c r="D1849" s="19" t="s">
        <v>12</v>
      </c>
      <c r="E1849" s="23">
        <v>506.0</v>
      </c>
      <c r="F1849" s="18">
        <f>E1849* 0.849400404921352</f>
        <v>429.7966049</v>
      </c>
      <c r="G1849" s="18">
        <f>E1849* 0.0654726678087525</f>
        <v>33.12916991</v>
      </c>
      <c r="H1849" s="18">
        <f>E1849* 0.0851269272698957</f>
        <v>43.0742252</v>
      </c>
    </row>
    <row r="1850" ht="15.75" hidden="1" customHeight="1">
      <c r="A1850" s="20" t="s">
        <v>151</v>
      </c>
      <c r="B1850" s="20"/>
      <c r="C1850" s="20"/>
      <c r="D1850" s="46"/>
      <c r="E1850" s="35"/>
    </row>
    <row r="1851" ht="15.75" customHeight="1">
      <c r="A1851" s="20" t="s">
        <v>151</v>
      </c>
      <c r="B1851" s="47" t="s">
        <v>162</v>
      </c>
      <c r="C1851" s="12" t="str">
        <f>B1851&amp;"_"&amp;A1851</f>
        <v>Escara_Oruro</v>
      </c>
      <c r="D1851" s="20"/>
      <c r="E1851" s="45">
        <v>3259.0</v>
      </c>
      <c r="F1851" s="14">
        <f t="shared" ref="F1851:H1851" si="156">SUM(F1852:F1864)</f>
        <v>2587.350226</v>
      </c>
      <c r="G1851" s="14">
        <f t="shared" si="156"/>
        <v>468.9481941</v>
      </c>
      <c r="H1851" s="14">
        <f t="shared" si="156"/>
        <v>202.5552739</v>
      </c>
    </row>
    <row r="1852" ht="15.75" hidden="1" customHeight="1">
      <c r="A1852" s="20" t="s">
        <v>151</v>
      </c>
      <c r="B1852" s="47" t="s">
        <v>162</v>
      </c>
      <c r="C1852" s="47"/>
      <c r="D1852" s="29" t="s">
        <v>501</v>
      </c>
      <c r="E1852" s="23">
        <v>8.0</v>
      </c>
      <c r="F1852" s="20">
        <v>0.0</v>
      </c>
      <c r="G1852" s="24">
        <f>E1852</f>
        <v>8</v>
      </c>
      <c r="H1852" s="20">
        <v>0.0</v>
      </c>
    </row>
    <row r="1853" ht="15.75" hidden="1" customHeight="1">
      <c r="A1853" s="20" t="s">
        <v>151</v>
      </c>
      <c r="B1853" s="47" t="s">
        <v>162</v>
      </c>
      <c r="C1853" s="47"/>
      <c r="D1853" s="19" t="s">
        <v>15</v>
      </c>
      <c r="E1853" s="23">
        <v>614.0</v>
      </c>
      <c r="F1853" s="18">
        <f>E1853* 0.929012779104059</f>
        <v>570.4138464</v>
      </c>
      <c r="G1853" s="18">
        <f>E1853* 0.00947900575761831</f>
        <v>5.820109535</v>
      </c>
      <c r="H1853" s="18">
        <f>E1853* 0.0614380002808594</f>
        <v>37.72293217</v>
      </c>
    </row>
    <row r="1854" ht="15.75" hidden="1" customHeight="1">
      <c r="A1854" s="20" t="s">
        <v>151</v>
      </c>
      <c r="B1854" s="47" t="s">
        <v>162</v>
      </c>
      <c r="C1854" s="47"/>
      <c r="D1854" s="29" t="s">
        <v>502</v>
      </c>
      <c r="E1854" s="23">
        <v>25.0</v>
      </c>
      <c r="F1854" s="18">
        <f>E1854* 0.0624390243902439</f>
        <v>1.56097561</v>
      </c>
      <c r="G1854" s="18">
        <f>E1854* 0.936585365853659</f>
        <v>23.41463415</v>
      </c>
      <c r="H1854" s="20">
        <v>0.0</v>
      </c>
    </row>
    <row r="1855" ht="15.75" hidden="1" customHeight="1">
      <c r="A1855" s="20" t="s">
        <v>151</v>
      </c>
      <c r="B1855" s="47" t="s">
        <v>162</v>
      </c>
      <c r="C1855" s="47"/>
      <c r="D1855" s="19" t="s">
        <v>11</v>
      </c>
      <c r="E1855" s="23">
        <v>212.0</v>
      </c>
      <c r="F1855" s="18">
        <f>E1855* 0.080360592401803</f>
        <v>17.03644559</v>
      </c>
      <c r="G1855" s="18">
        <f>E1855* 0.917192530585963</f>
        <v>194.4448165</v>
      </c>
      <c r="H1855" s="18">
        <f>E1855* 0.00218931101094656</f>
        <v>0.4641339343</v>
      </c>
    </row>
    <row r="1856" ht="15.75" hidden="1" customHeight="1">
      <c r="A1856" s="20" t="s">
        <v>151</v>
      </c>
      <c r="B1856" s="47" t="s">
        <v>162</v>
      </c>
      <c r="C1856" s="47"/>
      <c r="D1856" s="19" t="s">
        <v>17</v>
      </c>
      <c r="E1856" s="23">
        <v>282.0</v>
      </c>
      <c r="F1856" s="18">
        <f>E1856* 0.836035451794207</f>
        <v>235.7619974</v>
      </c>
      <c r="G1856" s="18">
        <f>E1856* 0.0583657587548638</f>
        <v>16.45914397</v>
      </c>
      <c r="H1856" s="18">
        <f>E1856* 0.10559878945093</f>
        <v>29.77885863</v>
      </c>
    </row>
    <row r="1857" ht="15.75" hidden="1" customHeight="1">
      <c r="A1857" s="20" t="s">
        <v>151</v>
      </c>
      <c r="B1857" s="47" t="s">
        <v>162</v>
      </c>
      <c r="C1857" s="47"/>
      <c r="D1857" s="19" t="s">
        <v>31</v>
      </c>
      <c r="E1857" s="23">
        <v>14.0</v>
      </c>
      <c r="F1857" s="18">
        <f>E1857* 0.872611464968153</f>
        <v>12.21656051</v>
      </c>
      <c r="G1857" s="18">
        <f>E1857* 0.0764331210191083</f>
        <v>1.070063694</v>
      </c>
      <c r="H1857" s="18">
        <f>E1857* 0.0509554140127389</f>
        <v>0.7133757962</v>
      </c>
    </row>
    <row r="1858" ht="15.75" hidden="1" customHeight="1">
      <c r="A1858" s="20" t="s">
        <v>151</v>
      </c>
      <c r="B1858" s="47" t="s">
        <v>162</v>
      </c>
      <c r="C1858" s="47"/>
      <c r="D1858" s="19" t="s">
        <v>18</v>
      </c>
      <c r="E1858" s="23">
        <v>27.0</v>
      </c>
      <c r="F1858" s="18">
        <f>E1858* 0.920270974465868</f>
        <v>24.84731631</v>
      </c>
      <c r="G1858" s="18">
        <f>E1858* 0.0703491401771756</f>
        <v>1.899426785</v>
      </c>
      <c r="H1858" s="18">
        <f>E1858* 0.00937988535695675</f>
        <v>0.2532569046</v>
      </c>
    </row>
    <row r="1859" ht="15.75" hidden="1" customHeight="1">
      <c r="A1859" s="20" t="s">
        <v>151</v>
      </c>
      <c r="B1859" s="47" t="s">
        <v>162</v>
      </c>
      <c r="C1859" s="47"/>
      <c r="D1859" s="19" t="s">
        <v>19</v>
      </c>
      <c r="E1859" s="23">
        <v>16.0</v>
      </c>
      <c r="F1859" s="18">
        <f>E1859* 0.223420647149461</f>
        <v>3.574730354</v>
      </c>
      <c r="G1859" s="18">
        <f>E1859* 0.773497688751926</f>
        <v>12.37596302</v>
      </c>
      <c r="H1859" s="18">
        <f>E1859* 0.00308166409861325</f>
        <v>0.04930662558</v>
      </c>
    </row>
    <row r="1860" ht="15.75" hidden="1" customHeight="1">
      <c r="A1860" s="20" t="s">
        <v>151</v>
      </c>
      <c r="B1860" s="47" t="s">
        <v>162</v>
      </c>
      <c r="C1860" s="47"/>
      <c r="D1860" s="19" t="s">
        <v>20</v>
      </c>
      <c r="E1860" s="23">
        <v>202.0</v>
      </c>
      <c r="F1860" s="18">
        <f>E1860* 0.61531089014017</f>
        <v>124.2927998</v>
      </c>
      <c r="G1860" s="18">
        <f>E1860* 0.298190966814424</f>
        <v>60.2345753</v>
      </c>
      <c r="H1860" s="18">
        <f>E1860* 0.086378339523182</f>
        <v>17.44842458</v>
      </c>
    </row>
    <row r="1861" ht="15.75" hidden="1" customHeight="1">
      <c r="A1861" s="20" t="s">
        <v>151</v>
      </c>
      <c r="B1861" s="47" t="s">
        <v>162</v>
      </c>
      <c r="C1861" s="47"/>
      <c r="D1861" s="19" t="s">
        <v>21</v>
      </c>
      <c r="E1861" s="23">
        <v>439.0</v>
      </c>
      <c r="F1861" s="18">
        <f>E1861* 0.999801370543252</f>
        <v>438.9128017</v>
      </c>
      <c r="G1861" s="18">
        <f>E1861* 0.0000993147283742179</f>
        <v>0.04359916576</v>
      </c>
      <c r="H1861" s="18">
        <f>E1861* 0.0000993147283742179</f>
        <v>0.04359916576</v>
      </c>
    </row>
    <row r="1862" ht="15.75" hidden="1" customHeight="1">
      <c r="A1862" s="20" t="s">
        <v>151</v>
      </c>
      <c r="B1862" s="47" t="s">
        <v>162</v>
      </c>
      <c r="C1862" s="47"/>
      <c r="D1862" s="19" t="s">
        <v>36</v>
      </c>
      <c r="E1862" s="23">
        <v>1.0</v>
      </c>
      <c r="F1862" s="24">
        <f>E1862</f>
        <v>1</v>
      </c>
      <c r="G1862" s="20">
        <v>0.0</v>
      </c>
      <c r="H1862" s="20">
        <v>0.0</v>
      </c>
    </row>
    <row r="1863" ht="15.75" hidden="1" customHeight="1">
      <c r="A1863" s="20" t="s">
        <v>151</v>
      </c>
      <c r="B1863" s="47" t="s">
        <v>162</v>
      </c>
      <c r="C1863" s="47"/>
      <c r="D1863" s="19" t="s">
        <v>28</v>
      </c>
      <c r="E1863" s="23">
        <v>56.0</v>
      </c>
      <c r="F1863" s="20">
        <v>0.0</v>
      </c>
      <c r="G1863" s="18">
        <f>E1863* 0.99904671115348</f>
        <v>55.94661582</v>
      </c>
      <c r="H1863" s="18">
        <f>E1863* 0.000953288846520496</f>
        <v>0.05338417541</v>
      </c>
    </row>
    <row r="1864" ht="15.75" hidden="1" customHeight="1">
      <c r="A1864" s="20" t="s">
        <v>151</v>
      </c>
      <c r="B1864" s="47" t="s">
        <v>162</v>
      </c>
      <c r="C1864" s="47"/>
      <c r="D1864" s="19" t="s">
        <v>12</v>
      </c>
      <c r="E1864" s="23">
        <v>1363.0</v>
      </c>
      <c r="F1864" s="18">
        <f>E1864* 0.849400404921352</f>
        <v>1157.732752</v>
      </c>
      <c r="G1864" s="18">
        <f>E1864* 0.0654726678087525</f>
        <v>89.23924622</v>
      </c>
      <c r="H1864" s="18">
        <f>E1864* 0.0851269272698957</f>
        <v>116.0280019</v>
      </c>
    </row>
    <row r="1865" ht="15.75" hidden="1" customHeight="1">
      <c r="A1865" s="20" t="s">
        <v>151</v>
      </c>
      <c r="B1865" s="20"/>
      <c r="C1865" s="20"/>
      <c r="D1865" s="46"/>
      <c r="E1865" s="35"/>
    </row>
    <row r="1866" ht="15.75" customHeight="1">
      <c r="A1866" s="20" t="s">
        <v>151</v>
      </c>
      <c r="B1866" s="47" t="s">
        <v>163</v>
      </c>
      <c r="C1866" s="12" t="str">
        <f>B1866&amp;"_"&amp;A1866</f>
        <v>Esmeralda_Oruro</v>
      </c>
      <c r="D1866" s="20"/>
      <c r="E1866" s="45">
        <v>1365.0</v>
      </c>
      <c r="F1866" s="14">
        <f t="shared" ref="F1866:H1866" si="157">SUM(F1867:F1880)</f>
        <v>940.5140418</v>
      </c>
      <c r="G1866" s="14">
        <f t="shared" si="157"/>
        <v>350.8001338</v>
      </c>
      <c r="H1866" s="14">
        <f t="shared" si="157"/>
        <v>73.5966799</v>
      </c>
    </row>
    <row r="1867" ht="15.75" hidden="1" customHeight="1">
      <c r="A1867" s="20" t="s">
        <v>151</v>
      </c>
      <c r="B1867" s="47" t="s">
        <v>163</v>
      </c>
      <c r="C1867" s="47"/>
      <c r="D1867" s="29" t="s">
        <v>503</v>
      </c>
      <c r="E1867" s="23">
        <v>7.0</v>
      </c>
      <c r="F1867" s="20">
        <v>0.0</v>
      </c>
      <c r="G1867" s="24">
        <f>E1867</f>
        <v>7</v>
      </c>
      <c r="H1867" s="20">
        <v>0.0</v>
      </c>
    </row>
    <row r="1868" ht="15.75" hidden="1" customHeight="1">
      <c r="A1868" s="20" t="s">
        <v>151</v>
      </c>
      <c r="B1868" s="47" t="s">
        <v>163</v>
      </c>
      <c r="C1868" s="47"/>
      <c r="D1868" s="19" t="s">
        <v>15</v>
      </c>
      <c r="E1868" s="23">
        <v>139.0</v>
      </c>
      <c r="F1868" s="18">
        <f>E1868* 0.929012779104059</f>
        <v>129.1327763</v>
      </c>
      <c r="G1868" s="18">
        <f>E1868* 0.00947900575761831</f>
        <v>1.3175818</v>
      </c>
      <c r="H1868" s="18">
        <f>E1868* 0.0614380002808594</f>
        <v>8.539882039</v>
      </c>
    </row>
    <row r="1869" ht="15.75" hidden="1" customHeight="1">
      <c r="A1869" s="20" t="s">
        <v>151</v>
      </c>
      <c r="B1869" s="47" t="s">
        <v>163</v>
      </c>
      <c r="C1869" s="47"/>
      <c r="D1869" s="29" t="s">
        <v>504</v>
      </c>
      <c r="E1869" s="23">
        <v>24.0</v>
      </c>
      <c r="F1869" s="18">
        <f>E1869* 0.0624390243902439</f>
        <v>1.498536585</v>
      </c>
      <c r="G1869" s="18">
        <f>E1869* 0.936585365853659</f>
        <v>22.47804878</v>
      </c>
      <c r="H1869" s="20">
        <v>0.0</v>
      </c>
    </row>
    <row r="1870" ht="15.75" hidden="1" customHeight="1">
      <c r="A1870" s="20" t="s">
        <v>151</v>
      </c>
      <c r="B1870" s="47" t="s">
        <v>163</v>
      </c>
      <c r="C1870" s="47"/>
      <c r="D1870" s="19" t="s">
        <v>11</v>
      </c>
      <c r="E1870" s="23">
        <v>188.0</v>
      </c>
      <c r="F1870" s="18">
        <f>E1870* 0.080360592401803</f>
        <v>15.10779137</v>
      </c>
      <c r="G1870" s="18">
        <f>E1870* 0.917192530585963</f>
        <v>172.4321958</v>
      </c>
      <c r="H1870" s="18">
        <f>E1870* 0.00218931101094656</f>
        <v>0.4115904701</v>
      </c>
    </row>
    <row r="1871" ht="15.75" hidden="1" customHeight="1">
      <c r="A1871" s="20" t="s">
        <v>151</v>
      </c>
      <c r="B1871" s="47" t="s">
        <v>163</v>
      </c>
      <c r="C1871" s="47"/>
      <c r="D1871" s="19" t="s">
        <v>17</v>
      </c>
      <c r="E1871" s="23">
        <v>219.0</v>
      </c>
      <c r="F1871" s="18">
        <f>E1871* 0.836035451794207</f>
        <v>183.0917639</v>
      </c>
      <c r="G1871" s="18">
        <f>E1871* 0.0583657587548638</f>
        <v>12.78210117</v>
      </c>
      <c r="H1871" s="18">
        <f>E1871* 0.10559878945093</f>
        <v>23.12613489</v>
      </c>
    </row>
    <row r="1872" ht="15.75" hidden="1" customHeight="1">
      <c r="A1872" s="20" t="s">
        <v>151</v>
      </c>
      <c r="B1872" s="47" t="s">
        <v>163</v>
      </c>
      <c r="C1872" s="47"/>
      <c r="D1872" s="19" t="s">
        <v>31</v>
      </c>
      <c r="E1872" s="23">
        <v>9.0</v>
      </c>
      <c r="F1872" s="18">
        <f>E1872* 0.872611464968153</f>
        <v>7.853503185</v>
      </c>
      <c r="G1872" s="18">
        <f>E1872* 0.0764331210191083</f>
        <v>0.6878980892</v>
      </c>
      <c r="H1872" s="18">
        <f>E1872* 0.0509554140127389</f>
        <v>0.4585987261</v>
      </c>
    </row>
    <row r="1873" ht="15.75" hidden="1" customHeight="1">
      <c r="A1873" s="20" t="s">
        <v>151</v>
      </c>
      <c r="B1873" s="47" t="s">
        <v>163</v>
      </c>
      <c r="C1873" s="47"/>
      <c r="D1873" s="19" t="s">
        <v>18</v>
      </c>
      <c r="E1873" s="23">
        <v>19.0</v>
      </c>
      <c r="F1873" s="18">
        <f>E1873* 0.920270974465868</f>
        <v>17.48514851</v>
      </c>
      <c r="G1873" s="18">
        <f>E1873* 0.0703491401771756</f>
        <v>1.336633663</v>
      </c>
      <c r="H1873" s="18">
        <f>E1873* 0.00937988535695675</f>
        <v>0.1782178218</v>
      </c>
    </row>
    <row r="1874" ht="15.75" hidden="1" customHeight="1">
      <c r="A1874" s="20" t="s">
        <v>151</v>
      </c>
      <c r="B1874" s="47" t="s">
        <v>163</v>
      </c>
      <c r="C1874" s="47"/>
      <c r="D1874" s="29" t="s">
        <v>505</v>
      </c>
      <c r="E1874" s="23">
        <v>1.0</v>
      </c>
      <c r="F1874" s="20">
        <v>0.0</v>
      </c>
      <c r="G1874" s="24">
        <f>E1874</f>
        <v>1</v>
      </c>
      <c r="H1874" s="20">
        <v>0.0</v>
      </c>
    </row>
    <row r="1875" ht="15.75" hidden="1" customHeight="1">
      <c r="A1875" s="20" t="s">
        <v>151</v>
      </c>
      <c r="B1875" s="47" t="s">
        <v>163</v>
      </c>
      <c r="C1875" s="47"/>
      <c r="D1875" s="19" t="s">
        <v>19</v>
      </c>
      <c r="E1875" s="23">
        <v>5.0</v>
      </c>
      <c r="F1875" s="18">
        <f>E1875* 0.223420647149461</f>
        <v>1.117103236</v>
      </c>
      <c r="G1875" s="18">
        <f>E1875* 0.773497688751926</f>
        <v>3.867488444</v>
      </c>
      <c r="H1875" s="18">
        <f>E1875* 0.00308166409861325</f>
        <v>0.01540832049</v>
      </c>
    </row>
    <row r="1876" ht="15.75" hidden="1" customHeight="1">
      <c r="A1876" s="20" t="s">
        <v>151</v>
      </c>
      <c r="B1876" s="47" t="s">
        <v>163</v>
      </c>
      <c r="C1876" s="47"/>
      <c r="D1876" s="19" t="s">
        <v>20</v>
      </c>
      <c r="E1876" s="23">
        <v>63.0</v>
      </c>
      <c r="F1876" s="18">
        <f>E1876* 0.61531089014017</f>
        <v>38.76458608</v>
      </c>
      <c r="G1876" s="18">
        <f>E1876* 0.298190966814424</f>
        <v>18.78603091</v>
      </c>
      <c r="H1876" s="18">
        <f>E1876* 0.086378339523182</f>
        <v>5.44183539</v>
      </c>
    </row>
    <row r="1877" ht="15.75" hidden="1" customHeight="1">
      <c r="A1877" s="20" t="s">
        <v>151</v>
      </c>
      <c r="B1877" s="47" t="s">
        <v>163</v>
      </c>
      <c r="C1877" s="47"/>
      <c r="D1877" s="19" t="s">
        <v>21</v>
      </c>
      <c r="E1877" s="23">
        <v>193.0</v>
      </c>
      <c r="F1877" s="18">
        <f>E1877* 0.999801370543252</f>
        <v>192.9616645</v>
      </c>
      <c r="G1877" s="18">
        <f>E1877* 0.0000993147283742179</f>
        <v>0.01916774258</v>
      </c>
      <c r="H1877" s="18">
        <f>E1877* 0.0000993147283742179</f>
        <v>0.01916774258</v>
      </c>
    </row>
    <row r="1878" ht="15.75" hidden="1" customHeight="1">
      <c r="A1878" s="20" t="s">
        <v>151</v>
      </c>
      <c r="B1878" s="47" t="s">
        <v>163</v>
      </c>
      <c r="C1878" s="47"/>
      <c r="D1878" s="19" t="s">
        <v>36</v>
      </c>
      <c r="E1878" s="23">
        <v>1.0</v>
      </c>
      <c r="F1878" s="24">
        <f>E1878</f>
        <v>1</v>
      </c>
      <c r="G1878" s="20">
        <v>0.0</v>
      </c>
      <c r="H1878" s="20">
        <v>0.0</v>
      </c>
    </row>
    <row r="1879" ht="15.75" hidden="1" customHeight="1">
      <c r="A1879" s="20" t="s">
        <v>151</v>
      </c>
      <c r="B1879" s="47" t="s">
        <v>163</v>
      </c>
      <c r="C1879" s="47"/>
      <c r="D1879" s="19" t="s">
        <v>28</v>
      </c>
      <c r="E1879" s="23">
        <v>82.0</v>
      </c>
      <c r="F1879" s="20">
        <v>0.0</v>
      </c>
      <c r="G1879" s="18">
        <f>E1879* 0.99904671115348</f>
        <v>81.92183031</v>
      </c>
      <c r="H1879" s="18">
        <f>E1879* 0.000953288846520496</f>
        <v>0.07816968541</v>
      </c>
    </row>
    <row r="1880" ht="15.75" hidden="1" customHeight="1">
      <c r="A1880" s="20" t="s">
        <v>151</v>
      </c>
      <c r="B1880" s="47" t="s">
        <v>163</v>
      </c>
      <c r="C1880" s="47"/>
      <c r="D1880" s="19" t="s">
        <v>12</v>
      </c>
      <c r="E1880" s="23">
        <v>415.0</v>
      </c>
      <c r="F1880" s="18">
        <f>E1880* 0.849400404921352</f>
        <v>352.501168</v>
      </c>
      <c r="G1880" s="18">
        <f>E1880* 0.0654726678087525</f>
        <v>27.17115714</v>
      </c>
      <c r="H1880" s="18">
        <f>E1880* 0.0851269272698957</f>
        <v>35.32767482</v>
      </c>
    </row>
    <row r="1881" ht="15.75" hidden="1" customHeight="1">
      <c r="A1881" s="20" t="s">
        <v>151</v>
      </c>
      <c r="B1881" s="20"/>
      <c r="C1881" s="20"/>
      <c r="D1881" s="46"/>
      <c r="E1881" s="35"/>
    </row>
    <row r="1882" ht="15.75" customHeight="1">
      <c r="A1882" s="20" t="s">
        <v>151</v>
      </c>
      <c r="B1882" s="47" t="s">
        <v>164</v>
      </c>
      <c r="C1882" s="12" t="str">
        <f>B1882&amp;"_"&amp;A1882</f>
        <v>Eucaliptus_Oruro</v>
      </c>
      <c r="D1882" s="20"/>
      <c r="E1882" s="45">
        <v>150.0</v>
      </c>
      <c r="F1882" s="14">
        <f t="shared" ref="F1882:H1882" si="158">SUM(F1883:F1892)</f>
        <v>108.6851435</v>
      </c>
      <c r="G1882" s="14">
        <f t="shared" si="158"/>
        <v>31.78691072</v>
      </c>
      <c r="H1882" s="14">
        <f t="shared" si="158"/>
        <v>9.515446474</v>
      </c>
    </row>
    <row r="1883" ht="15.75" hidden="1" customHeight="1">
      <c r="A1883" s="20" t="s">
        <v>151</v>
      </c>
      <c r="B1883" s="47" t="s">
        <v>164</v>
      </c>
      <c r="C1883" s="47"/>
      <c r="D1883" s="19" t="s">
        <v>15</v>
      </c>
      <c r="E1883" s="23">
        <v>24.0</v>
      </c>
      <c r="F1883" s="18">
        <f>E1883* 0.929012779104059</f>
        <v>22.2963067</v>
      </c>
      <c r="G1883" s="18">
        <f>E1883* 0.00947900575761831</f>
        <v>0.2274961382</v>
      </c>
      <c r="H1883" s="18">
        <f>E1883* 0.0614380002808594</f>
        <v>1.474512007</v>
      </c>
    </row>
    <row r="1884" ht="15.75" hidden="1" customHeight="1">
      <c r="A1884" s="20" t="s">
        <v>151</v>
      </c>
      <c r="B1884" s="47" t="s">
        <v>164</v>
      </c>
      <c r="C1884" s="47"/>
      <c r="D1884" s="29" t="s">
        <v>506</v>
      </c>
      <c r="E1884" s="23">
        <v>5.0</v>
      </c>
      <c r="F1884" s="18">
        <f>E1884* 0.0624390243902439</f>
        <v>0.312195122</v>
      </c>
      <c r="G1884" s="18">
        <f>E1884* 0.936585365853659</f>
        <v>4.682926829</v>
      </c>
      <c r="H1884" s="20">
        <v>0.0</v>
      </c>
    </row>
    <row r="1885" ht="15.75" hidden="1" customHeight="1">
      <c r="A1885" s="20" t="s">
        <v>151</v>
      </c>
      <c r="B1885" s="47" t="s">
        <v>164</v>
      </c>
      <c r="C1885" s="47"/>
      <c r="D1885" s="19" t="s">
        <v>11</v>
      </c>
      <c r="E1885" s="23">
        <v>17.0</v>
      </c>
      <c r="F1885" s="18">
        <f>E1885* 0.080360592401803</f>
        <v>1.366130071</v>
      </c>
      <c r="G1885" s="18">
        <f>E1885* 0.917192530585963</f>
        <v>15.59227302</v>
      </c>
      <c r="H1885" s="18">
        <f>E1885* 0.00218931101094656</f>
        <v>0.03721828719</v>
      </c>
    </row>
    <row r="1886" ht="15.75" hidden="1" customHeight="1">
      <c r="A1886" s="20" t="s">
        <v>151</v>
      </c>
      <c r="B1886" s="47" t="s">
        <v>164</v>
      </c>
      <c r="C1886" s="47"/>
      <c r="D1886" s="19" t="s">
        <v>17</v>
      </c>
      <c r="E1886" s="23">
        <v>14.0</v>
      </c>
      <c r="F1886" s="18">
        <f>E1886* 0.836035451794207</f>
        <v>11.70449633</v>
      </c>
      <c r="G1886" s="18">
        <f>E1886* 0.0583657587548638</f>
        <v>0.8171206226</v>
      </c>
      <c r="H1886" s="18">
        <f>E1886* 0.10559878945093</f>
        <v>1.478383052</v>
      </c>
    </row>
    <row r="1887" ht="15.75" hidden="1" customHeight="1">
      <c r="A1887" s="20" t="s">
        <v>151</v>
      </c>
      <c r="B1887" s="47" t="s">
        <v>164</v>
      </c>
      <c r="C1887" s="47"/>
      <c r="D1887" s="19" t="s">
        <v>31</v>
      </c>
      <c r="E1887" s="23">
        <v>5.0</v>
      </c>
      <c r="F1887" s="18">
        <f>E1887* 0.872611464968153</f>
        <v>4.363057325</v>
      </c>
      <c r="G1887" s="18">
        <f>E1887* 0.0764331210191083</f>
        <v>0.3821656051</v>
      </c>
      <c r="H1887" s="18">
        <f>E1887* 0.0509554140127389</f>
        <v>0.2547770701</v>
      </c>
    </row>
    <row r="1888" ht="15.75" hidden="1" customHeight="1">
      <c r="A1888" s="20" t="s">
        <v>151</v>
      </c>
      <c r="B1888" s="47" t="s">
        <v>164</v>
      </c>
      <c r="C1888" s="47"/>
      <c r="D1888" s="19" t="s">
        <v>18</v>
      </c>
      <c r="E1888" s="23">
        <v>4.0</v>
      </c>
      <c r="F1888" s="18">
        <f>E1888* 0.920270974465868</f>
        <v>3.681083898</v>
      </c>
      <c r="G1888" s="18">
        <f>E1888* 0.0703491401771756</f>
        <v>0.2813965607</v>
      </c>
      <c r="H1888" s="18">
        <f>E1888* 0.00937988535695675</f>
        <v>0.03751954143</v>
      </c>
    </row>
    <row r="1889" ht="15.75" hidden="1" customHeight="1">
      <c r="A1889" s="20" t="s">
        <v>151</v>
      </c>
      <c r="B1889" s="47" t="s">
        <v>164</v>
      </c>
      <c r="C1889" s="47"/>
      <c r="D1889" s="19" t="s">
        <v>20</v>
      </c>
      <c r="E1889" s="23">
        <v>13.0</v>
      </c>
      <c r="F1889" s="18">
        <f>E1889* 0.61531089014017</f>
        <v>7.999041572</v>
      </c>
      <c r="G1889" s="18">
        <f>E1889* 0.298190966814424</f>
        <v>3.876482569</v>
      </c>
      <c r="H1889" s="18">
        <f>E1889* 0.086378339523182</f>
        <v>1.122918414</v>
      </c>
    </row>
    <row r="1890" ht="15.75" hidden="1" customHeight="1">
      <c r="A1890" s="20" t="s">
        <v>151</v>
      </c>
      <c r="B1890" s="47" t="s">
        <v>164</v>
      </c>
      <c r="C1890" s="47"/>
      <c r="D1890" s="19" t="s">
        <v>21</v>
      </c>
      <c r="E1890" s="23">
        <v>6.0</v>
      </c>
      <c r="F1890" s="18">
        <f>E1890* 0.999801370543252</f>
        <v>5.998808223</v>
      </c>
      <c r="G1890" s="18">
        <f>E1890* 0.0000993147283742179</f>
        <v>0.0005958883702</v>
      </c>
      <c r="H1890" s="18">
        <f>E1890* 0.0000993147283742179</f>
        <v>0.0005958883702</v>
      </c>
    </row>
    <row r="1891" ht="15.75" hidden="1" customHeight="1">
      <c r="A1891" s="20" t="s">
        <v>151</v>
      </c>
      <c r="B1891" s="47" t="s">
        <v>164</v>
      </c>
      <c r="C1891" s="47"/>
      <c r="D1891" s="19" t="s">
        <v>28</v>
      </c>
      <c r="E1891" s="23">
        <v>2.0</v>
      </c>
      <c r="F1891" s="20">
        <v>0.0</v>
      </c>
      <c r="G1891" s="18">
        <f>E1891* 0.99904671115348</f>
        <v>1.998093422</v>
      </c>
      <c r="H1891" s="18">
        <f>E1891* 0.000953288846520496</f>
        <v>0.001906577693</v>
      </c>
    </row>
    <row r="1892" ht="15.75" hidden="1" customHeight="1">
      <c r="A1892" s="20" t="s">
        <v>151</v>
      </c>
      <c r="B1892" s="47" t="s">
        <v>164</v>
      </c>
      <c r="C1892" s="47"/>
      <c r="D1892" s="19" t="s">
        <v>12</v>
      </c>
      <c r="E1892" s="23">
        <v>60.0</v>
      </c>
      <c r="F1892" s="18">
        <f>E1892* 0.849400404921352</f>
        <v>50.9640243</v>
      </c>
      <c r="G1892" s="18">
        <f>E1892* 0.0654726678087525</f>
        <v>3.928360069</v>
      </c>
      <c r="H1892" s="18">
        <f>E1892* 0.0851269272698957</f>
        <v>5.107615636</v>
      </c>
    </row>
    <row r="1893" ht="15.75" hidden="1" customHeight="1">
      <c r="A1893" s="20" t="s">
        <v>151</v>
      </c>
      <c r="B1893" s="20"/>
      <c r="C1893" s="20"/>
      <c r="D1893" s="46"/>
      <c r="E1893" s="35"/>
    </row>
    <row r="1894" ht="15.75" customHeight="1">
      <c r="A1894" s="20" t="s">
        <v>151</v>
      </c>
      <c r="B1894" s="47" t="s">
        <v>166</v>
      </c>
      <c r="C1894" s="12" t="str">
        <f>B1894&amp;"_"&amp;A1894</f>
        <v>Huachacalla_Oruro</v>
      </c>
      <c r="D1894" s="20"/>
      <c r="E1894" s="45">
        <v>457.0</v>
      </c>
      <c r="F1894" s="14">
        <f t="shared" ref="F1894:H1894" si="159">SUM(F1895:F1905)</f>
        <v>328.5298657</v>
      </c>
      <c r="G1894" s="14">
        <f t="shared" si="159"/>
        <v>100.0700227</v>
      </c>
      <c r="H1894" s="14">
        <f t="shared" si="159"/>
        <v>28.37350537</v>
      </c>
    </row>
    <row r="1895" ht="15.75" hidden="1" customHeight="1">
      <c r="A1895" s="20" t="s">
        <v>151</v>
      </c>
      <c r="B1895" s="47" t="s">
        <v>166</v>
      </c>
      <c r="C1895" s="47"/>
      <c r="D1895" s="19" t="s">
        <v>15</v>
      </c>
      <c r="E1895" s="23">
        <v>57.0</v>
      </c>
      <c r="F1895" s="18">
        <f>E1895* 0.929012779104059</f>
        <v>52.95372841</v>
      </c>
      <c r="G1895" s="18">
        <f>E1895* 0.00947900575761831</f>
        <v>0.5403033282</v>
      </c>
      <c r="H1895" s="18">
        <f>E1895* 0.0614380002808594</f>
        <v>3.501966016</v>
      </c>
    </row>
    <row r="1896" ht="15.75" hidden="1" customHeight="1">
      <c r="A1896" s="20" t="s">
        <v>151</v>
      </c>
      <c r="B1896" s="47" t="s">
        <v>166</v>
      </c>
      <c r="C1896" s="47"/>
      <c r="D1896" s="29" t="s">
        <v>507</v>
      </c>
      <c r="E1896" s="23">
        <v>3.0</v>
      </c>
      <c r="F1896" s="18">
        <f>E1896* 0.0624390243902439</f>
        <v>0.1873170732</v>
      </c>
      <c r="G1896" s="18">
        <f>E1896* 0.936585365853659</f>
        <v>2.809756098</v>
      </c>
      <c r="H1896" s="20">
        <v>0.0</v>
      </c>
    </row>
    <row r="1897" ht="15.75" hidden="1" customHeight="1">
      <c r="A1897" s="20" t="s">
        <v>151</v>
      </c>
      <c r="B1897" s="47" t="s">
        <v>166</v>
      </c>
      <c r="C1897" s="47"/>
      <c r="D1897" s="19" t="s">
        <v>11</v>
      </c>
      <c r="E1897" s="23">
        <v>55.0</v>
      </c>
      <c r="F1897" s="18">
        <f>E1897* 0.080360592401803</f>
        <v>4.419832582</v>
      </c>
      <c r="G1897" s="18">
        <f>E1897* 0.917192530585963</f>
        <v>50.44558918</v>
      </c>
      <c r="H1897" s="18">
        <f>E1897* 0.00218931101094656</f>
        <v>0.1204121056</v>
      </c>
    </row>
    <row r="1898" ht="15.75" hidden="1" customHeight="1">
      <c r="A1898" s="20" t="s">
        <v>151</v>
      </c>
      <c r="B1898" s="47" t="s">
        <v>166</v>
      </c>
      <c r="C1898" s="47"/>
      <c r="D1898" s="19" t="s">
        <v>17</v>
      </c>
      <c r="E1898" s="23">
        <v>79.0</v>
      </c>
      <c r="F1898" s="18">
        <f>E1898* 0.836035451794207</f>
        <v>66.04680069</v>
      </c>
      <c r="G1898" s="18">
        <f>E1898* 0.0583657587548638</f>
        <v>4.610894942</v>
      </c>
      <c r="H1898" s="18">
        <f>E1898* 0.10559878945093</f>
        <v>8.342304367</v>
      </c>
    </row>
    <row r="1899" ht="15.75" hidden="1" customHeight="1">
      <c r="A1899" s="20" t="s">
        <v>151</v>
      </c>
      <c r="B1899" s="47" t="s">
        <v>166</v>
      </c>
      <c r="C1899" s="47"/>
      <c r="D1899" s="19" t="s">
        <v>31</v>
      </c>
      <c r="E1899" s="23">
        <v>8.0</v>
      </c>
      <c r="F1899" s="18">
        <f>E1899* 0.872611464968153</f>
        <v>6.98089172</v>
      </c>
      <c r="G1899" s="18">
        <f>E1899* 0.0764331210191083</f>
        <v>0.6114649682</v>
      </c>
      <c r="H1899" s="18">
        <f>E1899* 0.0509554140127389</f>
        <v>0.4076433121</v>
      </c>
    </row>
    <row r="1900" ht="15.75" hidden="1" customHeight="1">
      <c r="A1900" s="20" t="s">
        <v>151</v>
      </c>
      <c r="B1900" s="47" t="s">
        <v>166</v>
      </c>
      <c r="C1900" s="47"/>
      <c r="D1900" s="19" t="s">
        <v>18</v>
      </c>
      <c r="E1900" s="23">
        <v>9.0</v>
      </c>
      <c r="F1900" s="18">
        <f>E1900* 0.920270974465868</f>
        <v>8.28243877</v>
      </c>
      <c r="G1900" s="18">
        <f>E1900* 0.0703491401771756</f>
        <v>0.6331422616</v>
      </c>
      <c r="H1900" s="18">
        <f>E1900* 0.00937988535695675</f>
        <v>0.08441896821</v>
      </c>
    </row>
    <row r="1901" ht="15.75" hidden="1" customHeight="1">
      <c r="A1901" s="20" t="s">
        <v>151</v>
      </c>
      <c r="B1901" s="47" t="s">
        <v>166</v>
      </c>
      <c r="C1901" s="47"/>
      <c r="D1901" s="19" t="s">
        <v>19</v>
      </c>
      <c r="E1901" s="23">
        <v>2.0</v>
      </c>
      <c r="F1901" s="18">
        <f>E1901* 0.223420647149461</f>
        <v>0.4468412943</v>
      </c>
      <c r="G1901" s="18">
        <f>E1901* 0.773497688751926</f>
        <v>1.546995378</v>
      </c>
      <c r="H1901" s="18">
        <f>E1901* 0.00308166409861325</f>
        <v>0.006163328197</v>
      </c>
    </row>
    <row r="1902" ht="15.75" hidden="1" customHeight="1">
      <c r="A1902" s="20" t="s">
        <v>151</v>
      </c>
      <c r="B1902" s="47" t="s">
        <v>166</v>
      </c>
      <c r="C1902" s="47"/>
      <c r="D1902" s="19" t="s">
        <v>20</v>
      </c>
      <c r="E1902" s="23">
        <v>46.0</v>
      </c>
      <c r="F1902" s="18">
        <f>E1902* 0.61531089014017</f>
        <v>28.30430095</v>
      </c>
      <c r="G1902" s="18">
        <f>E1902* 0.298190966814424</f>
        <v>13.71678447</v>
      </c>
      <c r="H1902" s="18">
        <f>E1902* 0.086378339523182</f>
        <v>3.973403618</v>
      </c>
    </row>
    <row r="1903" ht="15.75" hidden="1" customHeight="1">
      <c r="A1903" s="20" t="s">
        <v>151</v>
      </c>
      <c r="B1903" s="47" t="s">
        <v>166</v>
      </c>
      <c r="C1903" s="47"/>
      <c r="D1903" s="19" t="s">
        <v>21</v>
      </c>
      <c r="E1903" s="23">
        <v>42.0</v>
      </c>
      <c r="F1903" s="18">
        <f>E1903* 0.999801370543252</f>
        <v>41.99165756</v>
      </c>
      <c r="G1903" s="18">
        <f>E1903* 0.0000993147283742179</f>
        <v>0.004171218592</v>
      </c>
      <c r="H1903" s="18">
        <f>E1903* 0.0000993147283742179</f>
        <v>0.004171218592</v>
      </c>
    </row>
    <row r="1904" ht="15.75" hidden="1" customHeight="1">
      <c r="A1904" s="20" t="s">
        <v>151</v>
      </c>
      <c r="B1904" s="47" t="s">
        <v>166</v>
      </c>
      <c r="C1904" s="47"/>
      <c r="D1904" s="19" t="s">
        <v>28</v>
      </c>
      <c r="E1904" s="23">
        <v>16.0</v>
      </c>
      <c r="F1904" s="20">
        <v>0.0</v>
      </c>
      <c r="G1904" s="18">
        <f>E1904* 0.99904671115348</f>
        <v>15.98474738</v>
      </c>
      <c r="H1904" s="18">
        <f>E1904* 0.000953288846520496</f>
        <v>0.01525262154</v>
      </c>
    </row>
    <row r="1905" ht="15.75" hidden="1" customHeight="1">
      <c r="A1905" s="20" t="s">
        <v>151</v>
      </c>
      <c r="B1905" s="47" t="s">
        <v>166</v>
      </c>
      <c r="C1905" s="47"/>
      <c r="D1905" s="19" t="s">
        <v>12</v>
      </c>
      <c r="E1905" s="23">
        <v>140.0</v>
      </c>
      <c r="F1905" s="18">
        <f>E1905* 0.849400404921352</f>
        <v>118.9160567</v>
      </c>
      <c r="G1905" s="18">
        <f>E1905* 0.0654726678087525</f>
        <v>9.166173493</v>
      </c>
      <c r="H1905" s="18">
        <f>E1905* 0.0851269272698957</f>
        <v>11.91776982</v>
      </c>
    </row>
    <row r="1906" ht="15.75" hidden="1" customHeight="1">
      <c r="A1906" s="20" t="s">
        <v>151</v>
      </c>
      <c r="B1906" s="20"/>
      <c r="C1906" s="20"/>
      <c r="D1906" s="46"/>
      <c r="E1906" s="35"/>
    </row>
    <row r="1907" ht="15.75" customHeight="1">
      <c r="A1907" s="20" t="s">
        <v>151</v>
      </c>
      <c r="B1907" s="47" t="s">
        <v>167</v>
      </c>
      <c r="C1907" s="12" t="str">
        <f>B1907&amp;"_"&amp;A1907</f>
        <v>La Riviera_Oruro</v>
      </c>
      <c r="D1907" s="20"/>
      <c r="E1907" s="45">
        <v>1942.0</v>
      </c>
      <c r="F1907" s="14">
        <f t="shared" ref="F1907:H1907" si="160">SUM(F1908:F1920)</f>
        <v>1424.120765</v>
      </c>
      <c r="G1907" s="14">
        <f t="shared" si="160"/>
        <v>427.9542883</v>
      </c>
      <c r="H1907" s="14">
        <f t="shared" si="160"/>
        <v>89.79816136</v>
      </c>
    </row>
    <row r="1908" ht="15.75" hidden="1" customHeight="1">
      <c r="A1908" s="20" t="s">
        <v>151</v>
      </c>
      <c r="B1908" s="47" t="s">
        <v>167</v>
      </c>
      <c r="C1908" s="47"/>
      <c r="D1908" s="29" t="s">
        <v>508</v>
      </c>
      <c r="E1908" s="23">
        <v>1.0</v>
      </c>
      <c r="F1908" s="20">
        <v>0.0</v>
      </c>
      <c r="G1908" s="24">
        <f>E1908</f>
        <v>1</v>
      </c>
      <c r="H1908" s="20">
        <v>0.0</v>
      </c>
    </row>
    <row r="1909" ht="15.75" hidden="1" customHeight="1">
      <c r="A1909" s="20" t="s">
        <v>151</v>
      </c>
      <c r="B1909" s="47" t="s">
        <v>167</v>
      </c>
      <c r="C1909" s="47"/>
      <c r="D1909" s="19" t="s">
        <v>15</v>
      </c>
      <c r="E1909" s="23">
        <v>121.0</v>
      </c>
      <c r="F1909" s="18">
        <f>E1909* 0.929012779104059</f>
        <v>112.4105463</v>
      </c>
      <c r="G1909" s="18">
        <f>E1909* 0.00947900575761831</f>
        <v>1.146959697</v>
      </c>
      <c r="H1909" s="18">
        <f>E1909* 0.0614380002808594</f>
        <v>7.433998034</v>
      </c>
    </row>
    <row r="1910" ht="15.75" hidden="1" customHeight="1">
      <c r="A1910" s="20" t="s">
        <v>151</v>
      </c>
      <c r="B1910" s="47" t="s">
        <v>167</v>
      </c>
      <c r="C1910" s="47"/>
      <c r="D1910" s="29" t="s">
        <v>509</v>
      </c>
      <c r="E1910" s="23">
        <v>25.0</v>
      </c>
      <c r="F1910" s="18">
        <f>E1910* 0.0624390243902439</f>
        <v>1.56097561</v>
      </c>
      <c r="G1910" s="18">
        <f>E1910* 0.936585365853659</f>
        <v>23.41463415</v>
      </c>
      <c r="H1910" s="20">
        <v>0.0</v>
      </c>
    </row>
    <row r="1911" ht="15.75" hidden="1" customHeight="1">
      <c r="A1911" s="20" t="s">
        <v>151</v>
      </c>
      <c r="B1911" s="47" t="s">
        <v>167</v>
      </c>
      <c r="C1911" s="47"/>
      <c r="D1911" s="19" t="s">
        <v>11</v>
      </c>
      <c r="E1911" s="23">
        <v>232.0</v>
      </c>
      <c r="F1911" s="18">
        <f>E1911* 0.080360592401803</f>
        <v>18.64365744</v>
      </c>
      <c r="G1911" s="18">
        <f>E1911* 0.917192530585963</f>
        <v>212.7886671</v>
      </c>
      <c r="H1911" s="18">
        <f>E1911* 0.00218931101094656</f>
        <v>0.5079201545</v>
      </c>
    </row>
    <row r="1912" ht="15.75" hidden="1" customHeight="1">
      <c r="A1912" s="20" t="s">
        <v>151</v>
      </c>
      <c r="B1912" s="47" t="s">
        <v>167</v>
      </c>
      <c r="C1912" s="47"/>
      <c r="D1912" s="19" t="s">
        <v>17</v>
      </c>
      <c r="E1912" s="23">
        <v>156.0</v>
      </c>
      <c r="F1912" s="18">
        <f>E1912* 0.836035451794207</f>
        <v>130.4215305</v>
      </c>
      <c r="G1912" s="18">
        <f>E1912* 0.0583657587548638</f>
        <v>9.105058366</v>
      </c>
      <c r="H1912" s="18">
        <f>E1912* 0.10559878945093</f>
        <v>16.47341115</v>
      </c>
    </row>
    <row r="1913" ht="15.75" hidden="1" customHeight="1">
      <c r="A1913" s="20" t="s">
        <v>151</v>
      </c>
      <c r="B1913" s="47" t="s">
        <v>167</v>
      </c>
      <c r="C1913" s="47"/>
      <c r="D1913" s="19" t="s">
        <v>31</v>
      </c>
      <c r="E1913" s="23">
        <v>36.0</v>
      </c>
      <c r="F1913" s="18">
        <f>E1913* 0.872611464968153</f>
        <v>31.41401274</v>
      </c>
      <c r="G1913" s="18">
        <f>E1913* 0.0764331210191083</f>
        <v>2.751592357</v>
      </c>
      <c r="H1913" s="18">
        <f>E1913* 0.0509554140127389</f>
        <v>1.834394904</v>
      </c>
    </row>
    <row r="1914" ht="15.75" hidden="1" customHeight="1">
      <c r="A1914" s="20" t="s">
        <v>151</v>
      </c>
      <c r="B1914" s="47" t="s">
        <v>167</v>
      </c>
      <c r="C1914" s="47"/>
      <c r="D1914" s="19" t="s">
        <v>18</v>
      </c>
      <c r="E1914" s="23">
        <v>18.0</v>
      </c>
      <c r="F1914" s="18">
        <f>E1914* 0.920270974465868</f>
        <v>16.56487754</v>
      </c>
      <c r="G1914" s="18">
        <f>E1914* 0.0703491401771756</f>
        <v>1.266284523</v>
      </c>
      <c r="H1914" s="18">
        <f>E1914* 0.00937988535695675</f>
        <v>0.1688379364</v>
      </c>
    </row>
    <row r="1915" ht="15.75" hidden="1" customHeight="1">
      <c r="A1915" s="20" t="s">
        <v>151</v>
      </c>
      <c r="B1915" s="47" t="s">
        <v>167</v>
      </c>
      <c r="C1915" s="47"/>
      <c r="D1915" s="29" t="s">
        <v>510</v>
      </c>
      <c r="E1915" s="23">
        <v>2.0</v>
      </c>
      <c r="F1915" s="20">
        <v>0.0</v>
      </c>
      <c r="G1915" s="24">
        <f>E1915</f>
        <v>2</v>
      </c>
      <c r="H1915" s="20">
        <v>0.0</v>
      </c>
    </row>
    <row r="1916" ht="15.75" hidden="1" customHeight="1">
      <c r="A1916" s="20" t="s">
        <v>151</v>
      </c>
      <c r="B1916" s="47" t="s">
        <v>167</v>
      </c>
      <c r="C1916" s="47"/>
      <c r="D1916" s="19" t="s">
        <v>19</v>
      </c>
      <c r="E1916" s="23">
        <v>1.0</v>
      </c>
      <c r="F1916" s="18">
        <f>E1916* 0.223420647149461</f>
        <v>0.2234206471</v>
      </c>
      <c r="G1916" s="18">
        <f>E1916* 0.773497688751926</f>
        <v>0.7734976888</v>
      </c>
      <c r="H1916" s="18">
        <f>E1916* 0.00308166409861325</f>
        <v>0.003081664099</v>
      </c>
    </row>
    <row r="1917" ht="15.75" hidden="1" customHeight="1">
      <c r="A1917" s="20" t="s">
        <v>151</v>
      </c>
      <c r="B1917" s="47" t="s">
        <v>167</v>
      </c>
      <c r="C1917" s="47"/>
      <c r="D1917" s="19" t="s">
        <v>20</v>
      </c>
      <c r="E1917" s="23">
        <v>285.0</v>
      </c>
      <c r="F1917" s="18">
        <f>E1917* 0.61531089014017</f>
        <v>175.3636037</v>
      </c>
      <c r="G1917" s="18">
        <f>E1917* 0.298190966814424</f>
        <v>84.98442554</v>
      </c>
      <c r="H1917" s="18">
        <f>E1917* 0.086378339523182</f>
        <v>24.61782676</v>
      </c>
    </row>
    <row r="1918" ht="15.75" hidden="1" customHeight="1">
      <c r="A1918" s="20" t="s">
        <v>151</v>
      </c>
      <c r="B1918" s="47" t="s">
        <v>167</v>
      </c>
      <c r="C1918" s="47"/>
      <c r="D1918" s="19" t="s">
        <v>21</v>
      </c>
      <c r="E1918" s="23">
        <v>552.0</v>
      </c>
      <c r="F1918" s="18">
        <f>E1918* 0.999801370543252</f>
        <v>551.8903565</v>
      </c>
      <c r="G1918" s="18">
        <f>E1918* 0.0000993147283742179</f>
        <v>0.05482173006</v>
      </c>
      <c r="H1918" s="18">
        <f>E1918* 0.0000993147283742179</f>
        <v>0.05482173006</v>
      </c>
    </row>
    <row r="1919" ht="15.75" hidden="1" customHeight="1">
      <c r="A1919" s="20" t="s">
        <v>151</v>
      </c>
      <c r="B1919" s="47" t="s">
        <v>167</v>
      </c>
      <c r="C1919" s="47"/>
      <c r="D1919" s="19" t="s">
        <v>28</v>
      </c>
      <c r="E1919" s="23">
        <v>59.0</v>
      </c>
      <c r="F1919" s="20">
        <v>0.0</v>
      </c>
      <c r="G1919" s="18">
        <f>E1919* 0.99904671115348</f>
        <v>58.94375596</v>
      </c>
      <c r="H1919" s="18">
        <f>E1919* 0.000953288846520496</f>
        <v>0.05624404194</v>
      </c>
    </row>
    <row r="1920" ht="15.75" hidden="1" customHeight="1">
      <c r="A1920" s="20" t="s">
        <v>151</v>
      </c>
      <c r="B1920" s="47" t="s">
        <v>167</v>
      </c>
      <c r="C1920" s="47"/>
      <c r="D1920" s="19" t="s">
        <v>12</v>
      </c>
      <c r="E1920" s="23">
        <v>454.0</v>
      </c>
      <c r="F1920" s="18">
        <f>E1920* 0.849400404921352</f>
        <v>385.6277838</v>
      </c>
      <c r="G1920" s="18">
        <f>E1920* 0.0654726678087525</f>
        <v>29.72459119</v>
      </c>
      <c r="H1920" s="18">
        <f>E1920* 0.0851269272698957</f>
        <v>38.64762498</v>
      </c>
    </row>
    <row r="1921" ht="15.75" hidden="1" customHeight="1">
      <c r="A1921" s="20" t="s">
        <v>151</v>
      </c>
      <c r="B1921" s="20"/>
      <c r="C1921" s="20"/>
      <c r="D1921" s="46"/>
      <c r="E1921" s="35"/>
    </row>
    <row r="1922" ht="15.75" customHeight="1">
      <c r="A1922" s="20" t="s">
        <v>151</v>
      </c>
      <c r="B1922" s="47" t="s">
        <v>168</v>
      </c>
      <c r="C1922" s="12" t="str">
        <f>B1922&amp;"_"&amp;A1922</f>
        <v>Machacamarca_Oruro</v>
      </c>
      <c r="D1922" s="20"/>
      <c r="E1922" s="45">
        <v>107.0</v>
      </c>
      <c r="F1922" s="14">
        <f t="shared" ref="F1922:H1922" si="161">SUM(F1923:F1932)</f>
        <v>79.15219727</v>
      </c>
      <c r="G1922" s="14">
        <f t="shared" si="161"/>
        <v>20.59820022</v>
      </c>
      <c r="H1922" s="14">
        <f t="shared" si="161"/>
        <v>7.243093784</v>
      </c>
    </row>
    <row r="1923" ht="15.75" hidden="1" customHeight="1">
      <c r="A1923" s="20" t="s">
        <v>151</v>
      </c>
      <c r="B1923" s="47" t="s">
        <v>168</v>
      </c>
      <c r="C1923" s="47"/>
      <c r="D1923" s="19" t="s">
        <v>15</v>
      </c>
      <c r="E1923" s="23">
        <v>19.0</v>
      </c>
      <c r="F1923" s="18">
        <f>E1923* 0.929012779104059</f>
        <v>17.6512428</v>
      </c>
      <c r="G1923" s="18">
        <f>E1923* 0.00947900575761831</f>
        <v>0.1801011094</v>
      </c>
      <c r="H1923" s="18">
        <f>E1923* 0.0614380002808594</f>
        <v>1.167322005</v>
      </c>
    </row>
    <row r="1924" ht="15.75" hidden="1" customHeight="1">
      <c r="A1924" s="20" t="s">
        <v>151</v>
      </c>
      <c r="B1924" s="47" t="s">
        <v>168</v>
      </c>
      <c r="C1924" s="47"/>
      <c r="D1924" s="29" t="s">
        <v>511</v>
      </c>
      <c r="E1924" s="23">
        <v>1.0</v>
      </c>
      <c r="F1924" s="18">
        <f>E1924* 0.0624390243902439</f>
        <v>0.06243902439</v>
      </c>
      <c r="G1924" s="18">
        <f>E1924* 0.936585365853659</f>
        <v>0.9365853659</v>
      </c>
      <c r="H1924" s="20">
        <v>0.0</v>
      </c>
    </row>
    <row r="1925" ht="15.75" hidden="1" customHeight="1">
      <c r="A1925" s="20" t="s">
        <v>151</v>
      </c>
      <c r="B1925" s="47" t="s">
        <v>168</v>
      </c>
      <c r="C1925" s="47"/>
      <c r="D1925" s="19" t="s">
        <v>11</v>
      </c>
      <c r="E1925" s="23">
        <v>7.0</v>
      </c>
      <c r="F1925" s="18">
        <f>E1925* 0.080360592401803</f>
        <v>0.5625241468</v>
      </c>
      <c r="G1925" s="18">
        <f>E1925* 0.917192530585963</f>
        <v>6.420347714</v>
      </c>
      <c r="H1925" s="18">
        <f>E1925* 0.00218931101094656</f>
        <v>0.01532517708</v>
      </c>
    </row>
    <row r="1926" ht="15.75" hidden="1" customHeight="1">
      <c r="A1926" s="20" t="s">
        <v>151</v>
      </c>
      <c r="B1926" s="47" t="s">
        <v>168</v>
      </c>
      <c r="C1926" s="47"/>
      <c r="D1926" s="19" t="s">
        <v>17</v>
      </c>
      <c r="E1926" s="23">
        <v>10.0</v>
      </c>
      <c r="F1926" s="18">
        <f>E1926* 0.836035451794207</f>
        <v>8.360354518</v>
      </c>
      <c r="G1926" s="18">
        <f>E1926* 0.0583657587548638</f>
        <v>0.5836575875</v>
      </c>
      <c r="H1926" s="18">
        <f>E1926* 0.10559878945093</f>
        <v>1.055987895</v>
      </c>
    </row>
    <row r="1927" ht="15.75" hidden="1" customHeight="1">
      <c r="A1927" s="20" t="s">
        <v>151</v>
      </c>
      <c r="B1927" s="47" t="s">
        <v>168</v>
      </c>
      <c r="C1927" s="47"/>
      <c r="D1927" s="19" t="s">
        <v>31</v>
      </c>
      <c r="E1927" s="23">
        <v>2.0</v>
      </c>
      <c r="F1927" s="18">
        <f>E1927* 0.872611464968153</f>
        <v>1.74522293</v>
      </c>
      <c r="G1927" s="18">
        <f>E1927* 0.0764331210191083</f>
        <v>0.152866242</v>
      </c>
      <c r="H1927" s="18">
        <f>E1927* 0.0509554140127389</f>
        <v>0.101910828</v>
      </c>
    </row>
    <row r="1928" ht="15.75" hidden="1" customHeight="1">
      <c r="A1928" s="20" t="s">
        <v>151</v>
      </c>
      <c r="B1928" s="47" t="s">
        <v>168</v>
      </c>
      <c r="C1928" s="47"/>
      <c r="D1928" s="19" t="s">
        <v>18</v>
      </c>
      <c r="E1928" s="23">
        <v>1.0</v>
      </c>
      <c r="F1928" s="18">
        <f>E1928* 0.920270974465868</f>
        <v>0.9202709745</v>
      </c>
      <c r="G1928" s="18">
        <f>E1928* 0.0703491401771756</f>
        <v>0.07034914018</v>
      </c>
      <c r="H1928" s="18">
        <f>E1928* 0.00937988535695675</f>
        <v>0.009379885357</v>
      </c>
    </row>
    <row r="1929" ht="15.75" hidden="1" customHeight="1">
      <c r="A1929" s="20" t="s">
        <v>151</v>
      </c>
      <c r="B1929" s="47" t="s">
        <v>168</v>
      </c>
      <c r="C1929" s="47"/>
      <c r="D1929" s="19" t="s">
        <v>19</v>
      </c>
      <c r="E1929" s="23">
        <v>5.0</v>
      </c>
      <c r="F1929" s="18">
        <f>E1929* 0.223420647149461</f>
        <v>1.117103236</v>
      </c>
      <c r="G1929" s="18">
        <f>E1929* 0.773497688751926</f>
        <v>3.867488444</v>
      </c>
      <c r="H1929" s="18">
        <f>E1929* 0.00308166409861325</f>
        <v>0.01540832049</v>
      </c>
    </row>
    <row r="1930" ht="15.75" hidden="1" customHeight="1">
      <c r="A1930" s="20" t="s">
        <v>151</v>
      </c>
      <c r="B1930" s="47" t="s">
        <v>168</v>
      </c>
      <c r="C1930" s="47"/>
      <c r="D1930" s="19" t="s">
        <v>20</v>
      </c>
      <c r="E1930" s="23">
        <v>20.0</v>
      </c>
      <c r="F1930" s="18">
        <f>E1930* 0.61531089014017</f>
        <v>12.3062178</v>
      </c>
      <c r="G1930" s="18">
        <f>E1930* 0.298190966814424</f>
        <v>5.963819336</v>
      </c>
      <c r="H1930" s="18">
        <f>E1930* 0.086378339523182</f>
        <v>1.72756679</v>
      </c>
    </row>
    <row r="1931" ht="15.75" hidden="1" customHeight="1">
      <c r="A1931" s="20" t="s">
        <v>151</v>
      </c>
      <c r="B1931" s="47" t="s">
        <v>168</v>
      </c>
      <c r="C1931" s="47"/>
      <c r="D1931" s="19" t="s">
        <v>21</v>
      </c>
      <c r="E1931" s="23">
        <v>5.0</v>
      </c>
      <c r="F1931" s="18">
        <f>E1931* 0.999801370543252</f>
        <v>4.999006853</v>
      </c>
      <c r="G1931" s="18">
        <f>E1931* 0.0000993147283742179</f>
        <v>0.0004965736419</v>
      </c>
      <c r="H1931" s="18">
        <f>E1931* 0.0000993147283742179</f>
        <v>0.0004965736419</v>
      </c>
    </row>
    <row r="1932" ht="15.75" hidden="1" customHeight="1">
      <c r="A1932" s="20" t="s">
        <v>151</v>
      </c>
      <c r="B1932" s="47" t="s">
        <v>168</v>
      </c>
      <c r="C1932" s="47"/>
      <c r="D1932" s="19" t="s">
        <v>12</v>
      </c>
      <c r="E1932" s="23">
        <v>37.0</v>
      </c>
      <c r="F1932" s="18">
        <f>E1932* 0.849400404921352</f>
        <v>31.42781498</v>
      </c>
      <c r="G1932" s="18">
        <f>E1932* 0.0654726678087525</f>
        <v>2.422488709</v>
      </c>
      <c r="H1932" s="18">
        <f>E1932* 0.0851269272698957</f>
        <v>3.149696309</v>
      </c>
    </row>
    <row r="1933" ht="15.75" hidden="1" customHeight="1">
      <c r="A1933" s="20" t="s">
        <v>151</v>
      </c>
      <c r="B1933" s="20"/>
      <c r="C1933" s="20"/>
      <c r="D1933" s="46"/>
      <c r="E1933" s="35"/>
    </row>
    <row r="1934" ht="15.75" customHeight="1">
      <c r="A1934" s="20" t="s">
        <v>151</v>
      </c>
      <c r="B1934" s="47" t="s">
        <v>151</v>
      </c>
      <c r="C1934" s="12" t="str">
        <f>B1934&amp;"_"&amp;A1934</f>
        <v>Oruro_Oruro</v>
      </c>
      <c r="D1934" s="20"/>
      <c r="E1934" s="45">
        <f t="shared" ref="E1934:H1934" si="162">SUM(E1935:E1949)</f>
        <v>96008</v>
      </c>
      <c r="F1934" s="14">
        <f t="shared" si="162"/>
        <v>76450.42834</v>
      </c>
      <c r="G1934" s="14">
        <f t="shared" si="162"/>
        <v>13731.50028</v>
      </c>
      <c r="H1934" s="14">
        <f t="shared" si="162"/>
        <v>5821.347287</v>
      </c>
    </row>
    <row r="1935" ht="15.75" hidden="1" customHeight="1">
      <c r="A1935" s="20" t="s">
        <v>151</v>
      </c>
      <c r="B1935" s="47" t="s">
        <v>151</v>
      </c>
      <c r="C1935" s="47"/>
      <c r="D1935" s="29" t="s">
        <v>512</v>
      </c>
      <c r="E1935" s="23">
        <v>70.0</v>
      </c>
      <c r="F1935" s="20">
        <v>0.0</v>
      </c>
      <c r="G1935" s="24">
        <f>E1935</f>
        <v>70</v>
      </c>
      <c r="H1935" s="20">
        <v>0.0</v>
      </c>
    </row>
    <row r="1936" ht="15.75" hidden="1" customHeight="1">
      <c r="A1936" s="20" t="s">
        <v>151</v>
      </c>
      <c r="B1936" s="47" t="s">
        <v>151</v>
      </c>
      <c r="C1936" s="47"/>
      <c r="D1936" s="19" t="s">
        <v>15</v>
      </c>
      <c r="E1936" s="23">
        <v>17209.0</v>
      </c>
      <c r="F1936" s="18">
        <f>E1936* 0.929012779104059</f>
        <v>15987.38092</v>
      </c>
      <c r="G1936" s="18">
        <f>E1936* 0.00947900575761831</f>
        <v>163.1242101</v>
      </c>
      <c r="H1936" s="18">
        <f>E1936* 0.0614380002808594</f>
        <v>1057.286547</v>
      </c>
    </row>
    <row r="1937" ht="15.75" hidden="1" customHeight="1">
      <c r="A1937" s="20" t="s">
        <v>151</v>
      </c>
      <c r="B1937" s="47" t="s">
        <v>151</v>
      </c>
      <c r="C1937" s="47"/>
      <c r="D1937" s="29" t="s">
        <v>513</v>
      </c>
      <c r="E1937" s="23">
        <v>808.0</v>
      </c>
      <c r="F1937" s="18">
        <f>E1937* 0.0624390243902439</f>
        <v>50.45073171</v>
      </c>
      <c r="G1937" s="18">
        <f>E1937* 0.936585365853659</f>
        <v>756.7609756</v>
      </c>
      <c r="H1937" s="20">
        <v>0.0</v>
      </c>
    </row>
    <row r="1938" ht="15.75" hidden="1" customHeight="1">
      <c r="A1938" s="20" t="s">
        <v>151</v>
      </c>
      <c r="B1938" s="47" t="s">
        <v>151</v>
      </c>
      <c r="C1938" s="47"/>
      <c r="D1938" s="19" t="s">
        <v>11</v>
      </c>
      <c r="E1938" s="23">
        <v>6339.0</v>
      </c>
      <c r="F1938" s="18">
        <f>E1938* 0.080360592401803</f>
        <v>509.4057952</v>
      </c>
      <c r="G1938" s="18">
        <f>E1938* 0.917192530585963</f>
        <v>5814.083451</v>
      </c>
      <c r="H1938" s="18">
        <f>E1938* 0.00218931101094656</f>
        <v>13.8780425</v>
      </c>
    </row>
    <row r="1939" ht="15.75" hidden="1" customHeight="1">
      <c r="A1939" s="20" t="s">
        <v>151</v>
      </c>
      <c r="B1939" s="47" t="s">
        <v>151</v>
      </c>
      <c r="C1939" s="47"/>
      <c r="D1939" s="19" t="s">
        <v>17</v>
      </c>
      <c r="E1939" s="23">
        <v>9611.0</v>
      </c>
      <c r="F1939" s="18">
        <f>E1939* 0.836035451794207</f>
        <v>8035.136727</v>
      </c>
      <c r="G1939" s="18">
        <f>E1939* 0.0583657587548638</f>
        <v>560.9533074</v>
      </c>
      <c r="H1939" s="18">
        <f>E1939* 0.10559878945093</f>
        <v>1014.909965</v>
      </c>
    </row>
    <row r="1940" ht="15.75" hidden="1" customHeight="1">
      <c r="A1940" s="20" t="s">
        <v>151</v>
      </c>
      <c r="B1940" s="47" t="s">
        <v>151</v>
      </c>
      <c r="C1940" s="47"/>
      <c r="D1940" s="19" t="s">
        <v>31</v>
      </c>
      <c r="E1940" s="23">
        <v>513.0</v>
      </c>
      <c r="F1940" s="18">
        <f>E1940* 0.872611464968153</f>
        <v>447.6496815</v>
      </c>
      <c r="G1940" s="18">
        <f>E1940* 0.0764331210191083</f>
        <v>39.21019108</v>
      </c>
      <c r="H1940" s="18">
        <f>E1940* 0.0509554140127389</f>
        <v>26.14012739</v>
      </c>
    </row>
    <row r="1941" ht="15.75" hidden="1" customHeight="1">
      <c r="A1941" s="20" t="s">
        <v>151</v>
      </c>
      <c r="B1941" s="47" t="s">
        <v>151</v>
      </c>
      <c r="C1941" s="47"/>
      <c r="D1941" s="19" t="s">
        <v>18</v>
      </c>
      <c r="E1941" s="23">
        <v>1827.0</v>
      </c>
      <c r="F1941" s="18">
        <f>E1941* 0.920270974465868</f>
        <v>1681.33507</v>
      </c>
      <c r="G1941" s="18">
        <f>E1941* 0.0703491401771756</f>
        <v>128.5278791</v>
      </c>
      <c r="H1941" s="18">
        <f>E1941* 0.00937988535695675</f>
        <v>17.13705055</v>
      </c>
    </row>
    <row r="1942" ht="15.75" hidden="1" customHeight="1">
      <c r="A1942" s="20" t="s">
        <v>151</v>
      </c>
      <c r="B1942" s="47" t="s">
        <v>151</v>
      </c>
      <c r="C1942" s="47"/>
      <c r="D1942" s="29" t="s">
        <v>514</v>
      </c>
      <c r="E1942" s="23">
        <v>3.0</v>
      </c>
      <c r="F1942" s="20">
        <v>0.0</v>
      </c>
      <c r="G1942" s="24">
        <f>E1942</f>
        <v>3</v>
      </c>
      <c r="H1942" s="20">
        <v>0.0</v>
      </c>
    </row>
    <row r="1943" ht="15.75" hidden="1" customHeight="1">
      <c r="A1943" s="20" t="s">
        <v>151</v>
      </c>
      <c r="B1943" s="47" t="s">
        <v>151</v>
      </c>
      <c r="C1943" s="47"/>
      <c r="D1943" s="19" t="s">
        <v>19</v>
      </c>
      <c r="E1943" s="23">
        <v>500.0</v>
      </c>
      <c r="F1943" s="18">
        <f>E1943* 0.223420647149461</f>
        <v>111.7103236</v>
      </c>
      <c r="G1943" s="18">
        <f>E1943* 0.773497688751926</f>
        <v>386.7488444</v>
      </c>
      <c r="H1943" s="18">
        <f>E1943* 0.00308166409861325</f>
        <v>1.540832049</v>
      </c>
    </row>
    <row r="1944" ht="15.75" hidden="1" customHeight="1">
      <c r="A1944" s="20" t="s">
        <v>151</v>
      </c>
      <c r="B1944" s="47" t="s">
        <v>151</v>
      </c>
      <c r="C1944" s="47"/>
      <c r="D1944" s="19" t="s">
        <v>20</v>
      </c>
      <c r="E1944" s="23">
        <v>9138.0</v>
      </c>
      <c r="F1944" s="18">
        <f>E1944* 0.61531089014017</f>
        <v>5622.710914</v>
      </c>
      <c r="G1944" s="18">
        <f>E1944* 0.298190966814424</f>
        <v>2724.869055</v>
      </c>
      <c r="H1944" s="18">
        <f>E1944* 0.086378339523182</f>
        <v>789.3252666</v>
      </c>
    </row>
    <row r="1945" ht="15.75" hidden="1" customHeight="1">
      <c r="A1945" s="20" t="s">
        <v>151</v>
      </c>
      <c r="B1945" s="47" t="s">
        <v>151</v>
      </c>
      <c r="C1945" s="47"/>
      <c r="D1945" s="19" t="s">
        <v>21</v>
      </c>
      <c r="E1945" s="23">
        <v>15022.0</v>
      </c>
      <c r="F1945" s="18">
        <f>E1945* 0.999801370543252</f>
        <v>15019.01619</v>
      </c>
      <c r="G1945" s="18">
        <f>E1945* 0.0000993147283742179</f>
        <v>1.49190585</v>
      </c>
      <c r="H1945" s="18">
        <f>E1945* 0.0000993147283742179</f>
        <v>1.49190585</v>
      </c>
    </row>
    <row r="1946" ht="15.75" hidden="1" customHeight="1">
      <c r="A1946" s="20" t="s">
        <v>151</v>
      </c>
      <c r="B1946" s="47" t="s">
        <v>151</v>
      </c>
      <c r="C1946" s="47"/>
      <c r="D1946" s="19" t="s">
        <v>36</v>
      </c>
      <c r="E1946" s="23">
        <v>61.0</v>
      </c>
      <c r="F1946" s="24">
        <f>E1946</f>
        <v>61</v>
      </c>
      <c r="G1946" s="20">
        <v>0.0</v>
      </c>
      <c r="H1946" s="20">
        <v>0.0</v>
      </c>
    </row>
    <row r="1947" ht="15.75" hidden="1" customHeight="1">
      <c r="A1947" s="20" t="s">
        <v>151</v>
      </c>
      <c r="B1947" s="47" t="s">
        <v>151</v>
      </c>
      <c r="C1947" s="47"/>
      <c r="D1947" s="19" t="s">
        <v>37</v>
      </c>
      <c r="E1947" s="23">
        <v>4.0</v>
      </c>
      <c r="F1947" s="20">
        <v>0.0</v>
      </c>
      <c r="G1947" s="24">
        <f>E1947</f>
        <v>4</v>
      </c>
      <c r="H1947" s="20">
        <v>0.0</v>
      </c>
    </row>
    <row r="1948" ht="15.75" hidden="1" customHeight="1">
      <c r="A1948" s="20" t="s">
        <v>151</v>
      </c>
      <c r="B1948" s="47" t="s">
        <v>151</v>
      </c>
      <c r="C1948" s="47"/>
      <c r="D1948" s="19" t="s">
        <v>28</v>
      </c>
      <c r="E1948" s="23">
        <v>850.0</v>
      </c>
      <c r="F1948" s="20">
        <v>0.0</v>
      </c>
      <c r="G1948" s="18">
        <f>E1948* 0.99904671115348</f>
        <v>849.1897045</v>
      </c>
      <c r="H1948" s="18">
        <f>E1948* 0.000953288846520496</f>
        <v>0.8102955195</v>
      </c>
    </row>
    <row r="1949" ht="15.75" hidden="1" customHeight="1">
      <c r="A1949" s="20" t="s">
        <v>151</v>
      </c>
      <c r="B1949" s="47" t="s">
        <v>151</v>
      </c>
      <c r="C1949" s="47"/>
      <c r="D1949" s="19" t="s">
        <v>12</v>
      </c>
      <c r="E1949" s="23">
        <v>34053.0</v>
      </c>
      <c r="F1949" s="18">
        <f>E1949* 0.849400404921352</f>
        <v>28924.63199</v>
      </c>
      <c r="G1949" s="18">
        <f>E1949* 0.0654726678087525</f>
        <v>2229.540757</v>
      </c>
      <c r="H1949" s="18">
        <f>E1949* 0.0851269272698957</f>
        <v>2898.827254</v>
      </c>
    </row>
    <row r="1950" ht="15.75" hidden="1" customHeight="1">
      <c r="A1950" s="20" t="s">
        <v>151</v>
      </c>
      <c r="B1950" s="20"/>
      <c r="C1950" s="20"/>
      <c r="D1950" s="46"/>
      <c r="E1950" s="35"/>
    </row>
    <row r="1951" ht="15.75" customHeight="1">
      <c r="A1951" s="20" t="s">
        <v>151</v>
      </c>
      <c r="B1951" s="47" t="s">
        <v>169</v>
      </c>
      <c r="C1951" s="12" t="str">
        <f>B1951&amp;"_"&amp;A1951</f>
        <v>Pampa Aullagas_Oruro</v>
      </c>
      <c r="D1951" s="20"/>
      <c r="E1951" s="45">
        <v>70.0</v>
      </c>
      <c r="F1951" s="14">
        <f t="shared" ref="F1951:H1951" si="163">SUM(F1952:F1961)</f>
        <v>43.37736719</v>
      </c>
      <c r="G1951" s="14">
        <f t="shared" si="163"/>
        <v>22.42977209</v>
      </c>
      <c r="H1951" s="14">
        <f t="shared" si="163"/>
        <v>4.186712116</v>
      </c>
    </row>
    <row r="1952" ht="15.75" hidden="1" customHeight="1">
      <c r="A1952" s="20" t="s">
        <v>151</v>
      </c>
      <c r="B1952" s="47" t="s">
        <v>169</v>
      </c>
      <c r="C1952" s="47"/>
      <c r="D1952" s="19" t="s">
        <v>15</v>
      </c>
      <c r="E1952" s="23">
        <v>5.0</v>
      </c>
      <c r="F1952" s="18">
        <f>E1952* 0.929012779104059</f>
        <v>4.645063896</v>
      </c>
      <c r="G1952" s="18">
        <f>E1952* 0.00947900575761831</f>
        <v>0.04739502879</v>
      </c>
      <c r="H1952" s="18">
        <f>E1952* 0.0614380002808594</f>
        <v>0.3071900014</v>
      </c>
    </row>
    <row r="1953" ht="15.75" hidden="1" customHeight="1">
      <c r="A1953" s="20" t="s">
        <v>151</v>
      </c>
      <c r="B1953" s="47" t="s">
        <v>169</v>
      </c>
      <c r="C1953" s="47"/>
      <c r="D1953" s="29" t="s">
        <v>413</v>
      </c>
      <c r="E1953" s="23">
        <v>1.0</v>
      </c>
      <c r="F1953" s="18">
        <f>E1953* 0.0624390243902439</f>
        <v>0.06243902439</v>
      </c>
      <c r="G1953" s="18">
        <f>E1953* 0.936585365853659</f>
        <v>0.9365853659</v>
      </c>
      <c r="H1953" s="20">
        <v>0.0</v>
      </c>
    </row>
    <row r="1954" ht="15.75" hidden="1" customHeight="1">
      <c r="A1954" s="20" t="s">
        <v>151</v>
      </c>
      <c r="B1954" s="47" t="s">
        <v>169</v>
      </c>
      <c r="C1954" s="47"/>
      <c r="D1954" s="19" t="s">
        <v>11</v>
      </c>
      <c r="E1954" s="23">
        <v>15.0</v>
      </c>
      <c r="F1954" s="18">
        <f>E1954* 0.080360592401803</f>
        <v>1.205408886</v>
      </c>
      <c r="G1954" s="18">
        <f>E1954* 0.917192530585963</f>
        <v>13.75788796</v>
      </c>
      <c r="H1954" s="18">
        <f>E1954* 0.00218931101094656</f>
        <v>0.03283966516</v>
      </c>
    </row>
    <row r="1955" ht="15.75" hidden="1" customHeight="1">
      <c r="A1955" s="20" t="s">
        <v>151</v>
      </c>
      <c r="B1955" s="47" t="s">
        <v>169</v>
      </c>
      <c r="C1955" s="47"/>
      <c r="D1955" s="19" t="s">
        <v>17</v>
      </c>
      <c r="E1955" s="23">
        <v>8.0</v>
      </c>
      <c r="F1955" s="18">
        <f>E1955* 0.836035451794207</f>
        <v>6.688283614</v>
      </c>
      <c r="G1955" s="18">
        <f>E1955* 0.0583657587548638</f>
        <v>0.46692607</v>
      </c>
      <c r="H1955" s="18">
        <f>E1955* 0.10559878945093</f>
        <v>0.8447903156</v>
      </c>
    </row>
    <row r="1956" ht="15.75" hidden="1" customHeight="1">
      <c r="A1956" s="20" t="s">
        <v>151</v>
      </c>
      <c r="B1956" s="47" t="s">
        <v>169</v>
      </c>
      <c r="C1956" s="47"/>
      <c r="D1956" s="19" t="s">
        <v>18</v>
      </c>
      <c r="E1956" s="23">
        <v>1.0</v>
      </c>
      <c r="F1956" s="18">
        <f>E1956* 0.920270974465868</f>
        <v>0.9202709745</v>
      </c>
      <c r="G1956" s="18">
        <f>E1956* 0.0703491401771756</f>
        <v>0.07034914018</v>
      </c>
      <c r="H1956" s="18">
        <f>E1956* 0.00937988535695675</f>
        <v>0.009379885357</v>
      </c>
    </row>
    <row r="1957" ht="15.75" hidden="1" customHeight="1">
      <c r="A1957" s="20" t="s">
        <v>151</v>
      </c>
      <c r="B1957" s="47" t="s">
        <v>169</v>
      </c>
      <c r="C1957" s="47"/>
      <c r="D1957" s="19" t="s">
        <v>19</v>
      </c>
      <c r="E1957" s="23">
        <v>0.0</v>
      </c>
      <c r="F1957" s="18">
        <f>E1957* 0.223420647149461</f>
        <v>0</v>
      </c>
      <c r="G1957" s="18">
        <f>E1957* 0.773497688751926</f>
        <v>0</v>
      </c>
      <c r="H1957" s="18">
        <f>E1957* 0.00308166409861325</f>
        <v>0</v>
      </c>
    </row>
    <row r="1958" ht="15.75" hidden="1" customHeight="1">
      <c r="A1958" s="20" t="s">
        <v>151</v>
      </c>
      <c r="B1958" s="47" t="s">
        <v>169</v>
      </c>
      <c r="C1958" s="47"/>
      <c r="D1958" s="19" t="s">
        <v>20</v>
      </c>
      <c r="E1958" s="23">
        <v>8.0</v>
      </c>
      <c r="F1958" s="18">
        <f>E1958* 0.61531089014017</f>
        <v>4.922487121</v>
      </c>
      <c r="G1958" s="18">
        <f>E1958* 0.298190966814424</f>
        <v>2.385527735</v>
      </c>
      <c r="H1958" s="18">
        <f>E1958* 0.086378339523182</f>
        <v>0.6910267162</v>
      </c>
    </row>
    <row r="1959" ht="15.75" hidden="1" customHeight="1">
      <c r="A1959" s="20" t="s">
        <v>151</v>
      </c>
      <c r="B1959" s="47" t="s">
        <v>169</v>
      </c>
      <c r="C1959" s="47"/>
      <c r="D1959" s="19" t="s">
        <v>21</v>
      </c>
      <c r="E1959" s="23">
        <v>2.0</v>
      </c>
      <c r="F1959" s="18">
        <f>E1959* 0.999801370543252</f>
        <v>1.999602741</v>
      </c>
      <c r="G1959" s="18">
        <f>E1959* 0.0000993147283742179</f>
        <v>0.0001986294567</v>
      </c>
      <c r="H1959" s="18">
        <f>E1959* 0.0000993147283742179</f>
        <v>0.0001986294567</v>
      </c>
    </row>
    <row r="1960" ht="15.75" hidden="1" customHeight="1">
      <c r="A1960" s="20" t="s">
        <v>151</v>
      </c>
      <c r="B1960" s="47" t="s">
        <v>169</v>
      </c>
      <c r="C1960" s="47"/>
      <c r="D1960" s="19" t="s">
        <v>28</v>
      </c>
      <c r="E1960" s="23">
        <v>3.0</v>
      </c>
      <c r="F1960" s="20">
        <v>0.0</v>
      </c>
      <c r="G1960" s="18">
        <f>E1960* 0.99904671115348</f>
        <v>2.997140133</v>
      </c>
      <c r="H1960" s="18">
        <f>E1960* 0.000953288846520496</f>
        <v>0.00285986654</v>
      </c>
    </row>
    <row r="1961" ht="15.75" hidden="1" customHeight="1">
      <c r="A1961" s="20" t="s">
        <v>151</v>
      </c>
      <c r="B1961" s="47" t="s">
        <v>169</v>
      </c>
      <c r="C1961" s="47"/>
      <c r="D1961" s="19" t="s">
        <v>12</v>
      </c>
      <c r="E1961" s="23">
        <v>27.0</v>
      </c>
      <c r="F1961" s="18">
        <f>E1961* 0.849400404921352</f>
        <v>22.93381093</v>
      </c>
      <c r="G1961" s="18">
        <f>E1961* 0.0654726678087525</f>
        <v>1.767762031</v>
      </c>
      <c r="H1961" s="18">
        <f>E1961* 0.0851269272698957</f>
        <v>2.298427036</v>
      </c>
    </row>
    <row r="1962" ht="15.75" hidden="1" customHeight="1">
      <c r="A1962" s="20" t="s">
        <v>151</v>
      </c>
      <c r="B1962" s="20"/>
      <c r="C1962" s="20"/>
      <c r="D1962" s="46"/>
      <c r="E1962" s="35"/>
    </row>
    <row r="1963" ht="15.75" customHeight="1">
      <c r="A1963" s="20" t="s">
        <v>151</v>
      </c>
      <c r="B1963" s="47" t="s">
        <v>170</v>
      </c>
      <c r="C1963" s="12" t="str">
        <f>B1963&amp;"_"&amp;A1963</f>
        <v>Pazña_Oruro</v>
      </c>
      <c r="D1963" s="20"/>
      <c r="E1963" s="51">
        <v>71.0</v>
      </c>
      <c r="F1963" s="14">
        <f t="shared" ref="F1963:H1963" si="164">SUM(F1964:F1971)</f>
        <v>55.42433211</v>
      </c>
      <c r="G1963" s="14">
        <f t="shared" si="164"/>
        <v>10.18018444</v>
      </c>
      <c r="H1963" s="14">
        <f t="shared" si="164"/>
        <v>5.393561017</v>
      </c>
    </row>
    <row r="1964" ht="15.75" hidden="1" customHeight="1">
      <c r="A1964" s="20" t="s">
        <v>151</v>
      </c>
      <c r="B1964" s="47" t="s">
        <v>170</v>
      </c>
      <c r="C1964" s="47"/>
      <c r="D1964" s="19" t="s">
        <v>15</v>
      </c>
      <c r="E1964" s="52">
        <v>11.0</v>
      </c>
      <c r="F1964" s="18">
        <f>E1964* 0.929012779104059</f>
        <v>10.21914057</v>
      </c>
      <c r="G1964" s="18">
        <f>E1964* 0.00947900575761831</f>
        <v>0.1042690633</v>
      </c>
      <c r="H1964" s="18">
        <f>E1964* 0.0614380002808594</f>
        <v>0.6758180031</v>
      </c>
    </row>
    <row r="1965" ht="15.75" hidden="1" customHeight="1">
      <c r="A1965" s="20" t="s">
        <v>151</v>
      </c>
      <c r="B1965" s="47" t="s">
        <v>170</v>
      </c>
      <c r="C1965" s="47"/>
      <c r="D1965" s="19" t="s">
        <v>11</v>
      </c>
      <c r="E1965" s="52">
        <v>4.0</v>
      </c>
      <c r="F1965" s="18">
        <f>E1965* 0.080360592401803</f>
        <v>0.3214423696</v>
      </c>
      <c r="G1965" s="18">
        <f>E1965* 0.917192530585963</f>
        <v>3.668770122</v>
      </c>
      <c r="H1965" s="18">
        <f>E1965* 0.00218931101094656</f>
        <v>0.008757244044</v>
      </c>
    </row>
    <row r="1966" ht="15.75" hidden="1" customHeight="1">
      <c r="A1966" s="20" t="s">
        <v>151</v>
      </c>
      <c r="B1966" s="47" t="s">
        <v>170</v>
      </c>
      <c r="C1966" s="47"/>
      <c r="D1966" s="19" t="s">
        <v>17</v>
      </c>
      <c r="E1966" s="53">
        <v>11.0</v>
      </c>
      <c r="F1966" s="18">
        <f>E1966* 0.836035451794207</f>
        <v>9.19638997</v>
      </c>
      <c r="G1966" s="18">
        <f>E1966* 0.0583657587548638</f>
        <v>0.6420233463</v>
      </c>
      <c r="H1966" s="18">
        <f>E1966* 0.10559878945093</f>
        <v>1.161586684</v>
      </c>
    </row>
    <row r="1967" ht="15.75" hidden="1" customHeight="1">
      <c r="A1967" s="20" t="s">
        <v>151</v>
      </c>
      <c r="B1967" s="47" t="s">
        <v>170</v>
      </c>
      <c r="C1967" s="47"/>
      <c r="D1967" s="19" t="s">
        <v>31</v>
      </c>
      <c r="E1967" s="53">
        <v>1.0</v>
      </c>
      <c r="F1967" s="18">
        <f>E1967* 0.872611464968153</f>
        <v>0.872611465</v>
      </c>
      <c r="G1967" s="18">
        <f>E1967* 0.0764331210191083</f>
        <v>0.07643312102</v>
      </c>
      <c r="H1967" s="18">
        <f>E1967* 0.0509554140127389</f>
        <v>0.05095541401</v>
      </c>
    </row>
    <row r="1968" ht="15.75" hidden="1" customHeight="1">
      <c r="A1968" s="20" t="s">
        <v>151</v>
      </c>
      <c r="B1968" s="47" t="s">
        <v>170</v>
      </c>
      <c r="C1968" s="47"/>
      <c r="D1968" s="19" t="s">
        <v>19</v>
      </c>
      <c r="E1968" s="52">
        <v>1.0</v>
      </c>
      <c r="F1968" s="18">
        <f>E1968* 0.223420647149461</f>
        <v>0.2234206471</v>
      </c>
      <c r="G1968" s="18">
        <f>E1968* 0.773497688751926</f>
        <v>0.7734976888</v>
      </c>
      <c r="H1968" s="18">
        <f>E1968* 0.00308166409861325</f>
        <v>0.003081664099</v>
      </c>
    </row>
    <row r="1969" ht="15.75" hidden="1" customHeight="1">
      <c r="A1969" s="20" t="s">
        <v>151</v>
      </c>
      <c r="B1969" s="47" t="s">
        <v>170</v>
      </c>
      <c r="C1969" s="47"/>
      <c r="D1969" s="19" t="s">
        <v>20</v>
      </c>
      <c r="E1969" s="53">
        <v>1.0</v>
      </c>
      <c r="F1969" s="18">
        <f>E1969* 0.61531089014017</f>
        <v>0.6153108901</v>
      </c>
      <c r="G1969" s="18">
        <f>E1969* 0.298190966814424</f>
        <v>0.2981909668</v>
      </c>
      <c r="H1969" s="18">
        <f>E1969* 0.086378339523182</f>
        <v>0.08637833952</v>
      </c>
    </row>
    <row r="1970" ht="15.75" hidden="1" customHeight="1">
      <c r="A1970" s="20" t="s">
        <v>151</v>
      </c>
      <c r="B1970" s="47" t="s">
        <v>170</v>
      </c>
      <c r="C1970" s="47"/>
      <c r="D1970" s="19" t="s">
        <v>28</v>
      </c>
      <c r="E1970" s="53">
        <v>2.0</v>
      </c>
      <c r="F1970" s="20">
        <v>0.0</v>
      </c>
      <c r="G1970" s="18">
        <f>E1970* 0.99904671115348</f>
        <v>1.998093422</v>
      </c>
      <c r="H1970" s="18">
        <f>E1970* 0.000953288846520496</f>
        <v>0.001906577693</v>
      </c>
    </row>
    <row r="1971" ht="15.75" hidden="1" customHeight="1">
      <c r="A1971" s="20" t="s">
        <v>151</v>
      </c>
      <c r="B1971" s="47" t="s">
        <v>170</v>
      </c>
      <c r="C1971" s="47"/>
      <c r="D1971" s="19" t="s">
        <v>12</v>
      </c>
      <c r="E1971" s="53">
        <v>40.0</v>
      </c>
      <c r="F1971" s="18">
        <f>E1971* 0.849400404921352</f>
        <v>33.9760162</v>
      </c>
      <c r="G1971" s="18">
        <f>E1971* 0.0654726678087525</f>
        <v>2.618906712</v>
      </c>
      <c r="H1971" s="18">
        <f>E1971* 0.0851269272698957</f>
        <v>3.405077091</v>
      </c>
    </row>
    <row r="1972" ht="15.75" hidden="1" customHeight="1">
      <c r="A1972" s="20" t="s">
        <v>151</v>
      </c>
      <c r="B1972" s="20"/>
      <c r="C1972" s="20"/>
      <c r="D1972" s="46"/>
      <c r="E1972" s="54"/>
    </row>
    <row r="1973" ht="15.75" customHeight="1">
      <c r="A1973" s="20" t="s">
        <v>151</v>
      </c>
      <c r="B1973" s="47" t="s">
        <v>171</v>
      </c>
      <c r="C1973" s="12" t="str">
        <f>B1973&amp;"_"&amp;A1973</f>
        <v>Poopo_Oruro</v>
      </c>
      <c r="D1973" s="20"/>
      <c r="E1973" s="45">
        <v>729.0</v>
      </c>
      <c r="F1973" s="14">
        <f t="shared" ref="F1973:H1973" si="165">SUM(F1974:F1985)</f>
        <v>543.257758</v>
      </c>
      <c r="G1973" s="14">
        <f t="shared" si="165"/>
        <v>138.5810646</v>
      </c>
      <c r="H1973" s="14">
        <f t="shared" si="165"/>
        <v>47.11982053</v>
      </c>
    </row>
    <row r="1974" ht="15.75" hidden="1" customHeight="1">
      <c r="A1974" s="20" t="s">
        <v>151</v>
      </c>
      <c r="B1974" s="47" t="s">
        <v>171</v>
      </c>
      <c r="C1974" s="47"/>
      <c r="D1974" s="19" t="s">
        <v>15</v>
      </c>
      <c r="E1974" s="23">
        <v>101.0</v>
      </c>
      <c r="F1974" s="18">
        <f>E1974* 0.929012779104059</f>
        <v>93.83029069</v>
      </c>
      <c r="G1974" s="18">
        <f>E1974* 0.00947900575761831</f>
        <v>0.9573795815</v>
      </c>
      <c r="H1974" s="18">
        <f>E1974* 0.0614380002808594</f>
        <v>6.205238028</v>
      </c>
    </row>
    <row r="1975" ht="15.75" hidden="1" customHeight="1">
      <c r="A1975" s="20" t="s">
        <v>151</v>
      </c>
      <c r="B1975" s="47" t="s">
        <v>171</v>
      </c>
      <c r="C1975" s="47"/>
      <c r="D1975" s="29" t="s">
        <v>515</v>
      </c>
      <c r="E1975" s="23">
        <v>5.0</v>
      </c>
      <c r="F1975" s="18">
        <f>E1975* 0.0624390243902439</f>
        <v>0.312195122</v>
      </c>
      <c r="G1975" s="18">
        <f>E1975* 0.936585365853659</f>
        <v>4.682926829</v>
      </c>
      <c r="H1975" s="20">
        <v>0.0</v>
      </c>
    </row>
    <row r="1976" ht="15.75" hidden="1" customHeight="1">
      <c r="A1976" s="20" t="s">
        <v>151</v>
      </c>
      <c r="B1976" s="47" t="s">
        <v>171</v>
      </c>
      <c r="C1976" s="47"/>
      <c r="D1976" s="19" t="s">
        <v>11</v>
      </c>
      <c r="E1976" s="23">
        <v>62.0</v>
      </c>
      <c r="F1976" s="18">
        <f>E1976* 0.080360592401803</f>
        <v>4.982356729</v>
      </c>
      <c r="G1976" s="18">
        <f>E1976* 0.917192530585963</f>
        <v>56.8659369</v>
      </c>
      <c r="H1976" s="18">
        <f>E1976* 0.00218931101094656</f>
        <v>0.1357372827</v>
      </c>
    </row>
    <row r="1977" ht="15.75" hidden="1" customHeight="1">
      <c r="A1977" s="20" t="s">
        <v>151</v>
      </c>
      <c r="B1977" s="47" t="s">
        <v>171</v>
      </c>
      <c r="C1977" s="47"/>
      <c r="D1977" s="19" t="s">
        <v>17</v>
      </c>
      <c r="E1977" s="23">
        <v>92.0</v>
      </c>
      <c r="F1977" s="18">
        <f>E1977* 0.836035451794207</f>
        <v>76.91526157</v>
      </c>
      <c r="G1977" s="18">
        <f>E1977* 0.0583657587548638</f>
        <v>5.369649805</v>
      </c>
      <c r="H1977" s="18">
        <f>E1977* 0.10559878945093</f>
        <v>9.715088629</v>
      </c>
    </row>
    <row r="1978" ht="15.75" hidden="1" customHeight="1">
      <c r="A1978" s="20" t="s">
        <v>151</v>
      </c>
      <c r="B1978" s="47" t="s">
        <v>171</v>
      </c>
      <c r="C1978" s="47"/>
      <c r="D1978" s="19" t="s">
        <v>31</v>
      </c>
      <c r="E1978" s="23">
        <v>12.0</v>
      </c>
      <c r="F1978" s="18">
        <f>E1978* 0.872611464968153</f>
        <v>10.47133758</v>
      </c>
      <c r="G1978" s="18">
        <f>E1978* 0.0764331210191083</f>
        <v>0.9171974522</v>
      </c>
      <c r="H1978" s="18">
        <f>E1978* 0.0509554140127389</f>
        <v>0.6114649682</v>
      </c>
    </row>
    <row r="1979" ht="15.75" hidden="1" customHeight="1">
      <c r="A1979" s="20" t="s">
        <v>151</v>
      </c>
      <c r="B1979" s="47" t="s">
        <v>171</v>
      </c>
      <c r="C1979" s="47"/>
      <c r="D1979" s="19" t="s">
        <v>18</v>
      </c>
      <c r="E1979" s="23">
        <v>7.0</v>
      </c>
      <c r="F1979" s="18">
        <f>E1979* 0.920270974465868</f>
        <v>6.441896821</v>
      </c>
      <c r="G1979" s="18">
        <f>E1979* 0.0703491401771756</f>
        <v>0.4924439812</v>
      </c>
      <c r="H1979" s="18">
        <f>E1979* 0.00937988535695675</f>
        <v>0.0656591975</v>
      </c>
    </row>
    <row r="1980" ht="15.75" hidden="1" customHeight="1">
      <c r="A1980" s="20" t="s">
        <v>151</v>
      </c>
      <c r="B1980" s="47" t="s">
        <v>171</v>
      </c>
      <c r="C1980" s="47"/>
      <c r="D1980" s="19" t="s">
        <v>19</v>
      </c>
      <c r="E1980" s="23">
        <v>0.0</v>
      </c>
      <c r="F1980" s="18">
        <f>E1980* 0.223420647149461</f>
        <v>0</v>
      </c>
      <c r="G1980" s="18">
        <f>E1980* 0.773497688751926</f>
        <v>0</v>
      </c>
      <c r="H1980" s="18">
        <f>E1980* 0.00308166409861325</f>
        <v>0</v>
      </c>
    </row>
    <row r="1981" ht="15.75" hidden="1" customHeight="1">
      <c r="A1981" s="20" t="s">
        <v>151</v>
      </c>
      <c r="B1981" s="47" t="s">
        <v>171</v>
      </c>
      <c r="C1981" s="47"/>
      <c r="D1981" s="19" t="s">
        <v>20</v>
      </c>
      <c r="E1981" s="23">
        <v>112.0</v>
      </c>
      <c r="F1981" s="18">
        <f>E1981* 0.61531089014017</f>
        <v>68.9148197</v>
      </c>
      <c r="G1981" s="18">
        <f>E1981* 0.298190966814424</f>
        <v>33.39738828</v>
      </c>
      <c r="H1981" s="18">
        <f>E1981* 0.086378339523182</f>
        <v>9.674374027</v>
      </c>
    </row>
    <row r="1982" ht="15.75" hidden="1" customHeight="1">
      <c r="A1982" s="20" t="s">
        <v>151</v>
      </c>
      <c r="B1982" s="47" t="s">
        <v>171</v>
      </c>
      <c r="C1982" s="47"/>
      <c r="D1982" s="19" t="s">
        <v>21</v>
      </c>
      <c r="E1982" s="23">
        <v>74.0</v>
      </c>
      <c r="F1982" s="18">
        <f>E1982* 0.999801370543252</f>
        <v>73.98530142</v>
      </c>
      <c r="G1982" s="18">
        <f>E1982* 0.0000993147283742179</f>
        <v>0.0073492899</v>
      </c>
      <c r="H1982" s="18">
        <f>E1982* 0.0000993147283742179</f>
        <v>0.0073492899</v>
      </c>
    </row>
    <row r="1983" ht="15.75" hidden="1" customHeight="1">
      <c r="A1983" s="20" t="s">
        <v>151</v>
      </c>
      <c r="B1983" s="47" t="s">
        <v>171</v>
      </c>
      <c r="C1983" s="47"/>
      <c r="D1983" s="19" t="s">
        <v>36</v>
      </c>
      <c r="E1983" s="23">
        <v>1.0</v>
      </c>
      <c r="F1983" s="24">
        <f>E1983</f>
        <v>1</v>
      </c>
      <c r="G1983" s="20">
        <v>0.0</v>
      </c>
      <c r="H1983" s="20">
        <v>0.0</v>
      </c>
    </row>
    <row r="1984" ht="15.75" hidden="1" customHeight="1">
      <c r="A1984" s="20" t="s">
        <v>151</v>
      </c>
      <c r="B1984" s="47" t="s">
        <v>171</v>
      </c>
      <c r="C1984" s="47"/>
      <c r="D1984" s="19" t="s">
        <v>28</v>
      </c>
      <c r="E1984" s="23">
        <v>20.0</v>
      </c>
      <c r="F1984" s="20">
        <v>0.0</v>
      </c>
      <c r="G1984" s="18">
        <f>E1984* 0.99904671115348</f>
        <v>19.98093422</v>
      </c>
      <c r="H1984" s="18">
        <f>E1984* 0.000953288846520496</f>
        <v>0.01906577693</v>
      </c>
    </row>
    <row r="1985" ht="15.75" hidden="1" customHeight="1">
      <c r="A1985" s="20" t="s">
        <v>151</v>
      </c>
      <c r="B1985" s="47" t="s">
        <v>171</v>
      </c>
      <c r="C1985" s="47"/>
      <c r="D1985" s="19" t="s">
        <v>12</v>
      </c>
      <c r="E1985" s="23">
        <v>243.0</v>
      </c>
      <c r="F1985" s="18">
        <f>E1985* 0.849400404921352</f>
        <v>206.4042984</v>
      </c>
      <c r="G1985" s="18">
        <f>E1985* 0.0654726678087525</f>
        <v>15.90985828</v>
      </c>
      <c r="H1985" s="18">
        <f>E1985* 0.0851269272698957</f>
        <v>20.68584333</v>
      </c>
    </row>
    <row r="1986" ht="15.75" hidden="1" customHeight="1">
      <c r="A1986" s="20" t="s">
        <v>151</v>
      </c>
      <c r="B1986" s="20"/>
      <c r="C1986" s="20"/>
      <c r="D1986" s="46"/>
      <c r="E1986" s="35"/>
    </row>
    <row r="1987" ht="15.75" customHeight="1">
      <c r="A1987" s="20" t="s">
        <v>151</v>
      </c>
      <c r="B1987" s="47" t="s">
        <v>172</v>
      </c>
      <c r="C1987" s="12" t="str">
        <f>B1987&amp;"_"&amp;A1987</f>
        <v>Quillacas_Oruro</v>
      </c>
      <c r="D1987" s="20"/>
      <c r="E1987" s="45">
        <v>0.0</v>
      </c>
      <c r="F1987" s="14">
        <f t="shared" ref="F1987:H1987" si="166">F1988</f>
        <v>0</v>
      </c>
      <c r="G1987" s="14">
        <f t="shared" si="166"/>
        <v>0</v>
      </c>
      <c r="H1987" s="14">
        <f t="shared" si="166"/>
        <v>0</v>
      </c>
    </row>
    <row r="1988" ht="15.75" hidden="1" customHeight="1">
      <c r="A1988" s="20" t="s">
        <v>151</v>
      </c>
      <c r="B1988" s="47" t="s">
        <v>172</v>
      </c>
      <c r="C1988" s="47"/>
      <c r="D1988" s="19" t="s">
        <v>20</v>
      </c>
      <c r="E1988" s="23">
        <v>0.0</v>
      </c>
      <c r="F1988" s="18">
        <f>E1988* 0.61531089014017</f>
        <v>0</v>
      </c>
      <c r="G1988" s="18">
        <f>E1988* 0.298190966814424</f>
        <v>0</v>
      </c>
      <c r="H1988" s="18">
        <f>E1988* 0.086378339523182</f>
        <v>0</v>
      </c>
    </row>
    <row r="1989" ht="15.75" hidden="1" customHeight="1">
      <c r="A1989" s="20" t="s">
        <v>151</v>
      </c>
      <c r="B1989" s="20"/>
      <c r="C1989" s="20"/>
      <c r="D1989" s="46"/>
      <c r="E1989" s="35"/>
    </row>
    <row r="1990" ht="15.75" customHeight="1">
      <c r="A1990" s="20" t="s">
        <v>151</v>
      </c>
      <c r="B1990" s="47" t="s">
        <v>173</v>
      </c>
      <c r="C1990" s="12" t="str">
        <f>B1990&amp;"_"&amp;A1990</f>
        <v>Sabaya_Oruro</v>
      </c>
      <c r="D1990" s="20"/>
      <c r="E1990" s="45">
        <v>772.0</v>
      </c>
      <c r="F1990" s="14">
        <f t="shared" ref="F1990:H1990" si="167">SUM(F1991:F2002)</f>
        <v>474.0916442</v>
      </c>
      <c r="G1990" s="14">
        <f t="shared" si="167"/>
        <v>249.5341875</v>
      </c>
      <c r="H1990" s="14">
        <f t="shared" si="167"/>
        <v>48.30594354</v>
      </c>
    </row>
    <row r="1991" ht="15.75" hidden="1" customHeight="1">
      <c r="A1991" s="20" t="s">
        <v>151</v>
      </c>
      <c r="B1991" s="47" t="s">
        <v>173</v>
      </c>
      <c r="C1991" s="47"/>
      <c r="D1991" s="29" t="s">
        <v>516</v>
      </c>
      <c r="E1991" s="23">
        <v>6.0</v>
      </c>
      <c r="F1991" s="20">
        <v>0.0</v>
      </c>
      <c r="G1991" s="24">
        <f>E1991</f>
        <v>6</v>
      </c>
      <c r="H1991" s="20">
        <v>0.0</v>
      </c>
    </row>
    <row r="1992" ht="15.75" hidden="1" customHeight="1">
      <c r="A1992" s="20" t="s">
        <v>151</v>
      </c>
      <c r="B1992" s="47" t="s">
        <v>173</v>
      </c>
      <c r="C1992" s="47"/>
      <c r="D1992" s="19" t="s">
        <v>15</v>
      </c>
      <c r="E1992" s="23">
        <v>52.0</v>
      </c>
      <c r="F1992" s="18">
        <f>E1992* 0.929012779104059</f>
        <v>48.30866451</v>
      </c>
      <c r="G1992" s="18">
        <f>E1992* 0.00947900575761831</f>
        <v>0.4929082994</v>
      </c>
      <c r="H1992" s="18">
        <f>E1992* 0.0614380002808594</f>
        <v>3.194776015</v>
      </c>
    </row>
    <row r="1993" ht="15.75" hidden="1" customHeight="1">
      <c r="A1993" s="20" t="s">
        <v>151</v>
      </c>
      <c r="B1993" s="47" t="s">
        <v>173</v>
      </c>
      <c r="C1993" s="47"/>
      <c r="D1993" s="29" t="s">
        <v>517</v>
      </c>
      <c r="E1993" s="23">
        <v>14.0</v>
      </c>
      <c r="F1993" s="18">
        <f>E1993* 0.0624390243902439</f>
        <v>0.8741463415</v>
      </c>
      <c r="G1993" s="18">
        <f>E1993* 0.936585365853659</f>
        <v>13.11219512</v>
      </c>
      <c r="H1993" s="20">
        <v>0.0</v>
      </c>
    </row>
    <row r="1994" ht="15.75" hidden="1" customHeight="1">
      <c r="A1994" s="20" t="s">
        <v>151</v>
      </c>
      <c r="B1994" s="47" t="s">
        <v>173</v>
      </c>
      <c r="C1994" s="47"/>
      <c r="D1994" s="19" t="s">
        <v>11</v>
      </c>
      <c r="E1994" s="23">
        <v>120.0</v>
      </c>
      <c r="F1994" s="18">
        <f>E1994* 0.080360592401803</f>
        <v>9.643271088</v>
      </c>
      <c r="G1994" s="18">
        <f>E1994* 0.917192530585963</f>
        <v>110.0631037</v>
      </c>
      <c r="H1994" s="18">
        <f>E1994* 0.00218931101094656</f>
        <v>0.2627173213</v>
      </c>
    </row>
    <row r="1995" ht="15.75" hidden="1" customHeight="1">
      <c r="A1995" s="20" t="s">
        <v>151</v>
      </c>
      <c r="B1995" s="47" t="s">
        <v>173</v>
      </c>
      <c r="C1995" s="47"/>
      <c r="D1995" s="19" t="s">
        <v>17</v>
      </c>
      <c r="E1995" s="23">
        <v>132.0</v>
      </c>
      <c r="F1995" s="18">
        <f>E1995* 0.836035451794207</f>
        <v>110.3566796</v>
      </c>
      <c r="G1995" s="18">
        <f>E1995* 0.0583657587548638</f>
        <v>7.704280156</v>
      </c>
      <c r="H1995" s="18">
        <f>E1995* 0.10559878945093</f>
        <v>13.93904021</v>
      </c>
    </row>
    <row r="1996" ht="15.75" hidden="1" customHeight="1">
      <c r="A1996" s="20" t="s">
        <v>151</v>
      </c>
      <c r="B1996" s="47" t="s">
        <v>173</v>
      </c>
      <c r="C1996" s="47"/>
      <c r="D1996" s="19" t="s">
        <v>31</v>
      </c>
      <c r="E1996" s="23">
        <v>7.0</v>
      </c>
      <c r="F1996" s="18">
        <f>E1996* 0.872611464968153</f>
        <v>6.108280255</v>
      </c>
      <c r="G1996" s="18">
        <f>E1996* 0.0764331210191083</f>
        <v>0.5350318471</v>
      </c>
      <c r="H1996" s="18">
        <f>E1996* 0.0509554140127389</f>
        <v>0.3566878981</v>
      </c>
    </row>
    <row r="1997" ht="15.75" hidden="1" customHeight="1">
      <c r="A1997" s="20" t="s">
        <v>151</v>
      </c>
      <c r="B1997" s="47" t="s">
        <v>173</v>
      </c>
      <c r="C1997" s="47"/>
      <c r="D1997" s="19" t="s">
        <v>18</v>
      </c>
      <c r="E1997" s="23">
        <v>8.0</v>
      </c>
      <c r="F1997" s="18">
        <f>E1997* 0.920270974465868</f>
        <v>7.362167796</v>
      </c>
      <c r="G1997" s="18">
        <f>E1997* 0.0703491401771756</f>
        <v>0.5627931214</v>
      </c>
      <c r="H1997" s="18">
        <f>E1997* 0.00937988535695675</f>
        <v>0.07503908286</v>
      </c>
    </row>
    <row r="1998" ht="15.75" hidden="1" customHeight="1">
      <c r="A1998" s="20" t="s">
        <v>151</v>
      </c>
      <c r="B1998" s="47" t="s">
        <v>173</v>
      </c>
      <c r="C1998" s="47"/>
      <c r="D1998" s="29" t="s">
        <v>518</v>
      </c>
      <c r="E1998" s="23">
        <v>1.0</v>
      </c>
      <c r="F1998" s="20">
        <v>0.0</v>
      </c>
      <c r="G1998" s="24">
        <f>E1998</f>
        <v>1</v>
      </c>
      <c r="H1998" s="20">
        <v>0.0</v>
      </c>
    </row>
    <row r="1999" ht="15.75" hidden="1" customHeight="1">
      <c r="A1999" s="20" t="s">
        <v>151</v>
      </c>
      <c r="B1999" s="47" t="s">
        <v>173</v>
      </c>
      <c r="C1999" s="47"/>
      <c r="D1999" s="19" t="s">
        <v>20</v>
      </c>
      <c r="E1999" s="23">
        <v>167.0</v>
      </c>
      <c r="F1999" s="18">
        <f>E1999* 0.61531089014017</f>
        <v>102.7569187</v>
      </c>
      <c r="G1999" s="18">
        <f>E1999* 0.298190966814424</f>
        <v>49.79789146</v>
      </c>
      <c r="H1999" s="18">
        <f>E1999* 0.086378339523182</f>
        <v>14.4251827</v>
      </c>
    </row>
    <row r="2000" ht="15.75" hidden="1" customHeight="1">
      <c r="A2000" s="20" t="s">
        <v>151</v>
      </c>
      <c r="B2000" s="47" t="s">
        <v>173</v>
      </c>
      <c r="C2000" s="47"/>
      <c r="D2000" s="19" t="s">
        <v>21</v>
      </c>
      <c r="E2000" s="23">
        <v>29.0</v>
      </c>
      <c r="F2000" s="18">
        <f>E2000* 0.999801370543252</f>
        <v>28.99423975</v>
      </c>
      <c r="G2000" s="18">
        <f>E2000* 0.0000993147283742179</f>
        <v>0.002880127123</v>
      </c>
      <c r="H2000" s="18">
        <f>E2000* 0.0000993147283742179</f>
        <v>0.002880127123</v>
      </c>
    </row>
    <row r="2001" ht="15.75" hidden="1" customHeight="1">
      <c r="A2001" s="20" t="s">
        <v>151</v>
      </c>
      <c r="B2001" s="47" t="s">
        <v>173</v>
      </c>
      <c r="C2001" s="47"/>
      <c r="D2001" s="19" t="s">
        <v>28</v>
      </c>
      <c r="E2001" s="23">
        <v>48.0</v>
      </c>
      <c r="F2001" s="20">
        <v>0.0</v>
      </c>
      <c r="G2001" s="18">
        <f>E2001* 0.99904671115348</f>
        <v>47.95424214</v>
      </c>
      <c r="H2001" s="18">
        <f>E2001* 0.000953288846520496</f>
        <v>0.04575786463</v>
      </c>
    </row>
    <row r="2002" ht="15.75" hidden="1" customHeight="1">
      <c r="A2002" s="20" t="s">
        <v>151</v>
      </c>
      <c r="B2002" s="47" t="s">
        <v>173</v>
      </c>
      <c r="C2002" s="47"/>
      <c r="D2002" s="19" t="s">
        <v>12</v>
      </c>
      <c r="E2002" s="23">
        <v>188.0</v>
      </c>
      <c r="F2002" s="18">
        <f>E2002* 0.849400404921352</f>
        <v>159.6872761</v>
      </c>
      <c r="G2002" s="18">
        <f>E2002* 0.0654726678087525</f>
        <v>12.30886155</v>
      </c>
      <c r="H2002" s="18">
        <f>E2002* 0.0851269272698957</f>
        <v>16.00386233</v>
      </c>
    </row>
    <row r="2003" ht="15.75" hidden="1" customHeight="1">
      <c r="A2003" s="20" t="s">
        <v>151</v>
      </c>
      <c r="B2003" s="20"/>
      <c r="C2003" s="20"/>
      <c r="D2003" s="46"/>
      <c r="E2003" s="35"/>
    </row>
    <row r="2004" ht="15.75" customHeight="1">
      <c r="A2004" s="20" t="s">
        <v>151</v>
      </c>
      <c r="B2004" s="47" t="s">
        <v>174</v>
      </c>
      <c r="C2004" s="12" t="str">
        <f>B2004&amp;"_"&amp;A2004</f>
        <v>Salinas de Garci Mendoza_Oruro</v>
      </c>
      <c r="D2004" s="20"/>
      <c r="E2004" s="45">
        <v>856.0</v>
      </c>
      <c r="F2004" s="14">
        <f t="shared" ref="F2004:H2004" si="168">SUM(F2005:F2017)</f>
        <v>757.3436782</v>
      </c>
      <c r="G2004" s="14">
        <f t="shared" si="168"/>
        <v>78.38115676</v>
      </c>
      <c r="H2004" s="14">
        <f t="shared" si="168"/>
        <v>20.25161324</v>
      </c>
    </row>
    <row r="2005" ht="15.75" hidden="1" customHeight="1">
      <c r="A2005" s="20" t="s">
        <v>151</v>
      </c>
      <c r="B2005" s="47" t="s">
        <v>174</v>
      </c>
      <c r="C2005" s="47"/>
      <c r="D2005" s="29" t="s">
        <v>519</v>
      </c>
      <c r="E2005" s="23">
        <v>1.0</v>
      </c>
      <c r="F2005" s="20">
        <v>0.0</v>
      </c>
      <c r="G2005" s="24">
        <f>E2005</f>
        <v>1</v>
      </c>
      <c r="H2005" s="20">
        <v>0.0</v>
      </c>
    </row>
    <row r="2006" ht="15.75" hidden="1" customHeight="1">
      <c r="A2006" s="20" t="s">
        <v>151</v>
      </c>
      <c r="B2006" s="47" t="s">
        <v>174</v>
      </c>
      <c r="C2006" s="47"/>
      <c r="D2006" s="19" t="s">
        <v>15</v>
      </c>
      <c r="E2006" s="23">
        <v>27.0</v>
      </c>
      <c r="F2006" s="18">
        <f>E2006* 0.929012779104059</f>
        <v>25.08334504</v>
      </c>
      <c r="G2006" s="18">
        <f>E2006* 0.00947900575761831</f>
        <v>0.2559331555</v>
      </c>
      <c r="H2006" s="18">
        <f>E2006* 0.0614380002808594</f>
        <v>1.658826008</v>
      </c>
    </row>
    <row r="2007" ht="15.75" hidden="1" customHeight="1">
      <c r="A2007" s="20" t="s">
        <v>151</v>
      </c>
      <c r="B2007" s="47" t="s">
        <v>174</v>
      </c>
      <c r="C2007" s="47"/>
      <c r="D2007" s="29" t="s">
        <v>520</v>
      </c>
      <c r="E2007" s="23">
        <v>5.0</v>
      </c>
      <c r="F2007" s="18">
        <f>E2007* 0.0624390243902439</f>
        <v>0.312195122</v>
      </c>
      <c r="G2007" s="18">
        <f>E2007* 0.936585365853659</f>
        <v>4.682926829</v>
      </c>
      <c r="H2007" s="20">
        <v>0.0</v>
      </c>
    </row>
    <row r="2008" ht="15.75" hidden="1" customHeight="1">
      <c r="A2008" s="20" t="s">
        <v>151</v>
      </c>
      <c r="B2008" s="47" t="s">
        <v>174</v>
      </c>
      <c r="C2008" s="47"/>
      <c r="D2008" s="19" t="s">
        <v>11</v>
      </c>
      <c r="E2008" s="23">
        <v>47.0</v>
      </c>
      <c r="F2008" s="18">
        <f>E2008* 0.080360592401803</f>
        <v>3.776947843</v>
      </c>
      <c r="G2008" s="18">
        <f>E2008* 0.917192530585963</f>
        <v>43.10804894</v>
      </c>
      <c r="H2008" s="18">
        <f>E2008* 0.00218931101094656</f>
        <v>0.1028976175</v>
      </c>
    </row>
    <row r="2009" ht="15.75" hidden="1" customHeight="1">
      <c r="A2009" s="20" t="s">
        <v>151</v>
      </c>
      <c r="B2009" s="47" t="s">
        <v>174</v>
      </c>
      <c r="C2009" s="47"/>
      <c r="D2009" s="19" t="s">
        <v>17</v>
      </c>
      <c r="E2009" s="23">
        <v>41.0</v>
      </c>
      <c r="F2009" s="18">
        <f>E2009* 0.836035451794207</f>
        <v>34.27745352</v>
      </c>
      <c r="G2009" s="18">
        <f>E2009* 0.0583657587548638</f>
        <v>2.392996109</v>
      </c>
      <c r="H2009" s="18">
        <f>E2009* 0.10559878945093</f>
        <v>4.329550367</v>
      </c>
    </row>
    <row r="2010" ht="15.75" hidden="1" customHeight="1">
      <c r="A2010" s="20" t="s">
        <v>151</v>
      </c>
      <c r="B2010" s="47" t="s">
        <v>174</v>
      </c>
      <c r="C2010" s="47"/>
      <c r="D2010" s="19" t="s">
        <v>31</v>
      </c>
      <c r="E2010" s="23">
        <v>3.0</v>
      </c>
      <c r="F2010" s="18">
        <f>E2010* 0.872611464968153</f>
        <v>2.617834395</v>
      </c>
      <c r="G2010" s="18">
        <f>E2010* 0.0764331210191083</f>
        <v>0.2292993631</v>
      </c>
      <c r="H2010" s="18">
        <f>E2010* 0.0509554140127389</f>
        <v>0.152866242</v>
      </c>
    </row>
    <row r="2011" ht="15.75" hidden="1" customHeight="1">
      <c r="A2011" s="20" t="s">
        <v>151</v>
      </c>
      <c r="B2011" s="47" t="s">
        <v>174</v>
      </c>
      <c r="C2011" s="47"/>
      <c r="D2011" s="19" t="s">
        <v>18</v>
      </c>
      <c r="E2011" s="23">
        <v>2.0</v>
      </c>
      <c r="F2011" s="18">
        <f>E2011* 0.920270974465868</f>
        <v>1.840541949</v>
      </c>
      <c r="G2011" s="18">
        <f>E2011* 0.0703491401771756</f>
        <v>0.1406982804</v>
      </c>
      <c r="H2011" s="18">
        <f>E2011* 0.00937988535695675</f>
        <v>0.01875977071</v>
      </c>
    </row>
    <row r="2012" ht="15.75" hidden="1" customHeight="1">
      <c r="A2012" s="20" t="s">
        <v>151</v>
      </c>
      <c r="B2012" s="47" t="s">
        <v>174</v>
      </c>
      <c r="C2012" s="47"/>
      <c r="D2012" s="19" t="s">
        <v>19</v>
      </c>
      <c r="E2012" s="23">
        <v>1.0</v>
      </c>
      <c r="F2012" s="18">
        <f>E2012* 0.223420647149461</f>
        <v>0.2234206471</v>
      </c>
      <c r="G2012" s="18">
        <f>E2012* 0.773497688751926</f>
        <v>0.7734976888</v>
      </c>
      <c r="H2012" s="18">
        <f>E2012* 0.00308166409861325</f>
        <v>0.003081664099</v>
      </c>
    </row>
    <row r="2013" ht="15.75" hidden="1" customHeight="1">
      <c r="A2013" s="20" t="s">
        <v>151</v>
      </c>
      <c r="B2013" s="47" t="s">
        <v>174</v>
      </c>
      <c r="C2013" s="47"/>
      <c r="D2013" s="19" t="s">
        <v>20</v>
      </c>
      <c r="E2013" s="23">
        <v>39.0</v>
      </c>
      <c r="F2013" s="18">
        <f>E2013* 0.61531089014017</f>
        <v>23.99712472</v>
      </c>
      <c r="G2013" s="18">
        <f>E2013* 0.298190966814424</f>
        <v>11.62944771</v>
      </c>
      <c r="H2013" s="18">
        <f>E2013* 0.086378339523182</f>
        <v>3.368755241</v>
      </c>
    </row>
    <row r="2014" ht="15.75" hidden="1" customHeight="1">
      <c r="A2014" s="20" t="s">
        <v>151</v>
      </c>
      <c r="B2014" s="47" t="s">
        <v>174</v>
      </c>
      <c r="C2014" s="47"/>
      <c r="D2014" s="19" t="s">
        <v>21</v>
      </c>
      <c r="E2014" s="23">
        <v>558.0</v>
      </c>
      <c r="F2014" s="18">
        <f>E2014* 0.999801370543252</f>
        <v>557.8891648</v>
      </c>
      <c r="G2014" s="18">
        <f>E2014* 0.0000993147283742179</f>
        <v>0.05541761843</v>
      </c>
      <c r="H2014" s="18">
        <f>E2014* 0.0000993147283742179</f>
        <v>0.05541761843</v>
      </c>
    </row>
    <row r="2015" ht="15.75" hidden="1" customHeight="1">
      <c r="A2015" s="20" t="s">
        <v>151</v>
      </c>
      <c r="B2015" s="47" t="s">
        <v>174</v>
      </c>
      <c r="C2015" s="47"/>
      <c r="D2015" s="19" t="s">
        <v>36</v>
      </c>
      <c r="E2015" s="23">
        <v>2.0</v>
      </c>
      <c r="F2015" s="24">
        <f>E2015</f>
        <v>2</v>
      </c>
      <c r="G2015" s="20">
        <v>0.0</v>
      </c>
      <c r="H2015" s="20">
        <v>0.0</v>
      </c>
    </row>
    <row r="2016" ht="15.75" hidden="1" customHeight="1">
      <c r="A2016" s="20" t="s">
        <v>151</v>
      </c>
      <c r="B2016" s="47" t="s">
        <v>174</v>
      </c>
      <c r="C2016" s="47"/>
      <c r="D2016" s="19" t="s">
        <v>28</v>
      </c>
      <c r="E2016" s="23">
        <v>6.0</v>
      </c>
      <c r="F2016" s="20">
        <v>0.0</v>
      </c>
      <c r="G2016" s="18">
        <f>E2016* 0.99904671115348</f>
        <v>5.994280267</v>
      </c>
      <c r="H2016" s="18">
        <f>E2016* 0.000953288846520496</f>
        <v>0.005719733079</v>
      </c>
    </row>
    <row r="2017" ht="15.75" hidden="1" customHeight="1">
      <c r="A2017" s="20" t="s">
        <v>151</v>
      </c>
      <c r="B2017" s="47" t="s">
        <v>174</v>
      </c>
      <c r="C2017" s="47"/>
      <c r="D2017" s="19" t="s">
        <v>12</v>
      </c>
      <c r="E2017" s="23">
        <v>124.0</v>
      </c>
      <c r="F2017" s="18">
        <f>E2017* 0.849400404921352</f>
        <v>105.3256502</v>
      </c>
      <c r="G2017" s="18">
        <f>E2017* 0.0654726678087525</f>
        <v>8.118610808</v>
      </c>
      <c r="H2017" s="18">
        <f>E2017* 0.0851269272698957</f>
        <v>10.55573898</v>
      </c>
    </row>
    <row r="2018" ht="15.75" hidden="1" customHeight="1">
      <c r="A2018" s="20" t="s">
        <v>151</v>
      </c>
      <c r="B2018" s="20"/>
      <c r="C2018" s="20"/>
      <c r="D2018" s="46"/>
      <c r="E2018" s="35"/>
    </row>
    <row r="2019" ht="15.75" customHeight="1">
      <c r="A2019" s="20" t="s">
        <v>151</v>
      </c>
      <c r="B2019" s="47" t="s">
        <v>175</v>
      </c>
      <c r="C2019" s="12" t="str">
        <f>B2019&amp;"_"&amp;A2019</f>
        <v>San Pedro de Totora_Oruro</v>
      </c>
      <c r="D2019" s="20"/>
      <c r="E2019" s="45">
        <v>2.0</v>
      </c>
      <c r="F2019" s="14">
        <f t="shared" ref="F2019:H2019" si="169">SUM(F2020:F2021)</f>
        <v>0.9163960442</v>
      </c>
      <c r="G2019" s="14">
        <f t="shared" si="169"/>
        <v>0.9755582893</v>
      </c>
      <c r="H2019" s="14">
        <f t="shared" si="169"/>
        <v>0.1077881005</v>
      </c>
    </row>
    <row r="2020" ht="15.75" hidden="1" customHeight="1">
      <c r="A2020" s="20" t="s">
        <v>151</v>
      </c>
      <c r="B2020" s="47" t="s">
        <v>175</v>
      </c>
      <c r="C2020" s="47"/>
      <c r="D2020" s="19" t="s">
        <v>11</v>
      </c>
      <c r="E2020" s="23">
        <v>1.0</v>
      </c>
      <c r="F2020" s="18">
        <f>E2020* 0.080360592401803</f>
        <v>0.0803605924</v>
      </c>
      <c r="G2020" s="18">
        <f>E2020* 0.917192530585963</f>
        <v>0.9171925306</v>
      </c>
      <c r="H2020" s="18">
        <f>E2020* 0.00218931101094656</f>
        <v>0.002189311011</v>
      </c>
    </row>
    <row r="2021" ht="15.75" hidden="1" customHeight="1">
      <c r="A2021" s="20" t="s">
        <v>151</v>
      </c>
      <c r="B2021" s="47" t="s">
        <v>175</v>
      </c>
      <c r="C2021" s="47"/>
      <c r="D2021" s="19" t="s">
        <v>17</v>
      </c>
      <c r="E2021" s="23">
        <v>1.0</v>
      </c>
      <c r="F2021" s="18">
        <f>E2021* 0.836035451794207</f>
        <v>0.8360354518</v>
      </c>
      <c r="G2021" s="18">
        <f>E2021* 0.0583657587548638</f>
        <v>0.05836575875</v>
      </c>
      <c r="H2021" s="18">
        <f>E2021* 0.10559878945093</f>
        <v>0.1055987895</v>
      </c>
    </row>
    <row r="2022" ht="15.75" hidden="1" customHeight="1">
      <c r="A2022" s="20" t="s">
        <v>151</v>
      </c>
      <c r="B2022" s="20"/>
      <c r="C2022" s="20"/>
      <c r="D2022" s="46"/>
      <c r="E2022" s="35"/>
    </row>
    <row r="2023" ht="15.75" customHeight="1">
      <c r="A2023" s="20" t="s">
        <v>151</v>
      </c>
      <c r="B2023" s="47" t="s">
        <v>176</v>
      </c>
      <c r="C2023" s="12" t="str">
        <f>B2023&amp;"_"&amp;A2023</f>
        <v>Santiago de Andamarca_Oruro</v>
      </c>
      <c r="D2023" s="20"/>
      <c r="E2023" s="45">
        <v>1069.0</v>
      </c>
      <c r="F2023" s="14">
        <f t="shared" ref="F2023:H2023" si="170">SUM(F2024:F2036)</f>
        <v>880.9041795</v>
      </c>
      <c r="G2023" s="14">
        <f t="shared" si="170"/>
        <v>136.1294526</v>
      </c>
      <c r="H2023" s="14">
        <f t="shared" si="170"/>
        <v>51.92601881</v>
      </c>
    </row>
    <row r="2024" ht="15.75" hidden="1" customHeight="1">
      <c r="A2024" s="20" t="s">
        <v>151</v>
      </c>
      <c r="B2024" s="47" t="s">
        <v>176</v>
      </c>
      <c r="C2024" s="47"/>
      <c r="D2024" s="29" t="s">
        <v>521</v>
      </c>
      <c r="E2024" s="23">
        <v>5.0</v>
      </c>
      <c r="F2024" s="20">
        <v>0.0</v>
      </c>
      <c r="G2024" s="24">
        <f>E2024</f>
        <v>5</v>
      </c>
      <c r="H2024" s="20">
        <v>0.0</v>
      </c>
    </row>
    <row r="2025" ht="15.75" hidden="1" customHeight="1">
      <c r="A2025" s="20" t="s">
        <v>151</v>
      </c>
      <c r="B2025" s="47" t="s">
        <v>176</v>
      </c>
      <c r="C2025" s="47"/>
      <c r="D2025" s="19" t="s">
        <v>15</v>
      </c>
      <c r="E2025" s="23">
        <v>122.0</v>
      </c>
      <c r="F2025" s="18">
        <f>E2025* 0.929012779104059</f>
        <v>113.3395591</v>
      </c>
      <c r="G2025" s="18">
        <f>E2025* 0.00947900575761831</f>
        <v>1.156438702</v>
      </c>
      <c r="H2025" s="18">
        <f>E2025* 0.0614380002808594</f>
        <v>7.495436034</v>
      </c>
    </row>
    <row r="2026" ht="15.75" hidden="1" customHeight="1">
      <c r="A2026" s="20" t="s">
        <v>151</v>
      </c>
      <c r="B2026" s="47" t="s">
        <v>176</v>
      </c>
      <c r="C2026" s="47"/>
      <c r="D2026" s="29" t="s">
        <v>522</v>
      </c>
      <c r="E2026" s="23">
        <v>8.0</v>
      </c>
      <c r="F2026" s="18">
        <f>E2026* 0.0624390243902439</f>
        <v>0.4995121951</v>
      </c>
      <c r="G2026" s="18">
        <f>E2026* 0.936585365853659</f>
        <v>7.492682927</v>
      </c>
      <c r="H2026" s="20">
        <v>0.0</v>
      </c>
    </row>
    <row r="2027" ht="15.75" hidden="1" customHeight="1">
      <c r="A2027" s="20" t="s">
        <v>151</v>
      </c>
      <c r="B2027" s="47" t="s">
        <v>176</v>
      </c>
      <c r="C2027" s="47"/>
      <c r="D2027" s="19" t="s">
        <v>11</v>
      </c>
      <c r="E2027" s="23">
        <v>61.0</v>
      </c>
      <c r="F2027" s="18">
        <f>E2027* 0.080360592401803</f>
        <v>4.901996137</v>
      </c>
      <c r="G2027" s="18">
        <f>E2027* 0.917192530585963</f>
        <v>55.94874437</v>
      </c>
      <c r="H2027" s="18">
        <f>E2027* 0.00218931101094656</f>
        <v>0.1335479717</v>
      </c>
    </row>
    <row r="2028" ht="15.75" hidden="1" customHeight="1">
      <c r="A2028" s="20" t="s">
        <v>151</v>
      </c>
      <c r="B2028" s="47" t="s">
        <v>176</v>
      </c>
      <c r="C2028" s="47"/>
      <c r="D2028" s="19" t="s">
        <v>17</v>
      </c>
      <c r="E2028" s="23">
        <v>71.0</v>
      </c>
      <c r="F2028" s="18">
        <f>E2028* 0.836035451794207</f>
        <v>59.35851708</v>
      </c>
      <c r="G2028" s="18">
        <f>E2028* 0.0583657587548638</f>
        <v>4.143968872</v>
      </c>
      <c r="H2028" s="18">
        <f>E2028* 0.10559878945093</f>
        <v>7.497514051</v>
      </c>
    </row>
    <row r="2029" ht="15.75" hidden="1" customHeight="1">
      <c r="A2029" s="20" t="s">
        <v>151</v>
      </c>
      <c r="B2029" s="47" t="s">
        <v>176</v>
      </c>
      <c r="C2029" s="47"/>
      <c r="D2029" s="19" t="s">
        <v>31</v>
      </c>
      <c r="E2029" s="23">
        <v>5.0</v>
      </c>
      <c r="F2029" s="18">
        <f>E2029* 0.872611464968153</f>
        <v>4.363057325</v>
      </c>
      <c r="G2029" s="18">
        <f>E2029* 0.0764331210191083</f>
        <v>0.3821656051</v>
      </c>
      <c r="H2029" s="18">
        <f>E2029* 0.0509554140127389</f>
        <v>0.2547770701</v>
      </c>
    </row>
    <row r="2030" ht="15.75" hidden="1" customHeight="1">
      <c r="A2030" s="20" t="s">
        <v>151</v>
      </c>
      <c r="B2030" s="47" t="s">
        <v>176</v>
      </c>
      <c r="C2030" s="47"/>
      <c r="D2030" s="19" t="s">
        <v>18</v>
      </c>
      <c r="E2030" s="23">
        <v>6.0</v>
      </c>
      <c r="F2030" s="18">
        <f>E2030* 0.920270974465868</f>
        <v>5.521625847</v>
      </c>
      <c r="G2030" s="18">
        <f>E2030* 0.0703491401771756</f>
        <v>0.4220948411</v>
      </c>
      <c r="H2030" s="18">
        <f>E2030* 0.00937988535695675</f>
        <v>0.05627931214</v>
      </c>
    </row>
    <row r="2031" ht="15.75" hidden="1" customHeight="1">
      <c r="A2031" s="20" t="s">
        <v>151</v>
      </c>
      <c r="B2031" s="47" t="s">
        <v>176</v>
      </c>
      <c r="C2031" s="47"/>
      <c r="D2031" s="29" t="s">
        <v>523</v>
      </c>
      <c r="E2031" s="23">
        <v>3.0</v>
      </c>
      <c r="F2031" s="20">
        <v>0.0</v>
      </c>
      <c r="G2031" s="24">
        <f>E2031</f>
        <v>3</v>
      </c>
      <c r="H2031" s="20">
        <v>0.0</v>
      </c>
    </row>
    <row r="2032" ht="15.75" hidden="1" customHeight="1">
      <c r="A2032" s="20" t="s">
        <v>151</v>
      </c>
      <c r="B2032" s="47" t="s">
        <v>176</v>
      </c>
      <c r="C2032" s="47"/>
      <c r="D2032" s="19" t="s">
        <v>19</v>
      </c>
      <c r="E2032" s="23">
        <v>2.0</v>
      </c>
      <c r="F2032" s="18">
        <f>E2032* 0.223420647149461</f>
        <v>0.4468412943</v>
      </c>
      <c r="G2032" s="18">
        <f>E2032* 0.773497688751926</f>
        <v>1.546995378</v>
      </c>
      <c r="H2032" s="18">
        <f>E2032* 0.00308166409861325</f>
        <v>0.006163328197</v>
      </c>
    </row>
    <row r="2033" ht="15.75" hidden="1" customHeight="1">
      <c r="A2033" s="20" t="s">
        <v>151</v>
      </c>
      <c r="B2033" s="47" t="s">
        <v>176</v>
      </c>
      <c r="C2033" s="47"/>
      <c r="D2033" s="19" t="s">
        <v>20</v>
      </c>
      <c r="E2033" s="23">
        <v>69.0</v>
      </c>
      <c r="F2033" s="18">
        <f>E2033* 0.61531089014017</f>
        <v>42.45645142</v>
      </c>
      <c r="G2033" s="18">
        <f>E2033* 0.298190966814424</f>
        <v>20.57517671</v>
      </c>
      <c r="H2033" s="18">
        <f>E2033* 0.086378339523182</f>
        <v>5.960105427</v>
      </c>
    </row>
    <row r="2034" ht="15.75" hidden="1" customHeight="1">
      <c r="A2034" s="20" t="s">
        <v>151</v>
      </c>
      <c r="B2034" s="47" t="s">
        <v>176</v>
      </c>
      <c r="C2034" s="47"/>
      <c r="D2034" s="19" t="s">
        <v>21</v>
      </c>
      <c r="E2034" s="23">
        <v>346.0</v>
      </c>
      <c r="F2034" s="18">
        <f>E2034* 0.999801370543252</f>
        <v>345.9312742</v>
      </c>
      <c r="G2034" s="18">
        <f>E2034* 0.0000993147283742179</f>
        <v>0.03436289602</v>
      </c>
      <c r="H2034" s="18">
        <f>E2034* 0.0000993147283742179</f>
        <v>0.03436289602</v>
      </c>
    </row>
    <row r="2035" ht="15.75" hidden="1" customHeight="1">
      <c r="A2035" s="20" t="s">
        <v>151</v>
      </c>
      <c r="B2035" s="47" t="s">
        <v>176</v>
      </c>
      <c r="C2035" s="47"/>
      <c r="D2035" s="19" t="s">
        <v>28</v>
      </c>
      <c r="E2035" s="23">
        <v>13.0</v>
      </c>
      <c r="F2035" s="20">
        <v>0.0</v>
      </c>
      <c r="G2035" s="18">
        <f>E2035* 0.99904671115348</f>
        <v>12.98760724</v>
      </c>
      <c r="H2035" s="18">
        <f>E2035* 0.000953288846520496</f>
        <v>0.012392755</v>
      </c>
    </row>
    <row r="2036" ht="15.75" hidden="1" customHeight="1">
      <c r="A2036" s="20" t="s">
        <v>151</v>
      </c>
      <c r="B2036" s="47" t="s">
        <v>176</v>
      </c>
      <c r="C2036" s="47"/>
      <c r="D2036" s="19" t="s">
        <v>12</v>
      </c>
      <c r="E2036" s="23">
        <v>358.0</v>
      </c>
      <c r="F2036" s="18">
        <f>E2036* 0.849400404921352</f>
        <v>304.085345</v>
      </c>
      <c r="G2036" s="18">
        <f>E2036* 0.0654726678087525</f>
        <v>23.43921508</v>
      </c>
      <c r="H2036" s="18">
        <f>E2036* 0.0851269272698957</f>
        <v>30.47543996</v>
      </c>
    </row>
    <row r="2037" ht="15.75" hidden="1" customHeight="1">
      <c r="A2037" s="20" t="s">
        <v>151</v>
      </c>
      <c r="B2037" s="20"/>
      <c r="C2037" s="20"/>
      <c r="D2037" s="46"/>
      <c r="E2037" s="35"/>
    </row>
    <row r="2038" ht="15.75" customHeight="1">
      <c r="A2038" s="20" t="s">
        <v>151</v>
      </c>
      <c r="B2038" s="47" t="s">
        <v>177</v>
      </c>
      <c r="C2038" s="12" t="str">
        <f>B2038&amp;"_"&amp;A2038</f>
        <v>Santiago de Huallamarca_Oruro</v>
      </c>
      <c r="D2038" s="20"/>
      <c r="E2038" s="45">
        <v>1.0</v>
      </c>
      <c r="F2038" s="14">
        <f t="shared" ref="F2038:H2038" si="171">F2039</f>
        <v>0.8360354518</v>
      </c>
      <c r="G2038" s="14">
        <f t="shared" si="171"/>
        <v>0.05836575875</v>
      </c>
      <c r="H2038" s="14">
        <f t="shared" si="171"/>
        <v>0.1055987895</v>
      </c>
    </row>
    <row r="2039" ht="15.75" hidden="1" customHeight="1">
      <c r="A2039" s="20" t="s">
        <v>151</v>
      </c>
      <c r="B2039" s="47" t="s">
        <v>177</v>
      </c>
      <c r="C2039" s="47"/>
      <c r="D2039" s="19" t="s">
        <v>17</v>
      </c>
      <c r="E2039" s="23">
        <v>1.0</v>
      </c>
      <c r="F2039" s="18">
        <f>E2039* 0.836035451794207</f>
        <v>0.8360354518</v>
      </c>
      <c r="G2039" s="18">
        <f>E2039* 0.0583657587548638</f>
        <v>0.05836575875</v>
      </c>
      <c r="H2039" s="18">
        <f>E2039* 0.10559878945093</f>
        <v>0.1055987895</v>
      </c>
    </row>
    <row r="2040" ht="15.75" hidden="1" customHeight="1">
      <c r="A2040" s="20" t="s">
        <v>151</v>
      </c>
      <c r="B2040" s="20"/>
      <c r="C2040" s="20"/>
      <c r="D2040" s="46"/>
      <c r="E2040" s="35"/>
    </row>
    <row r="2041" ht="15.75" customHeight="1">
      <c r="A2041" s="20" t="s">
        <v>151</v>
      </c>
      <c r="B2041" s="47" t="s">
        <v>524</v>
      </c>
      <c r="C2041" s="12" t="str">
        <f>B2041&amp;"_"&amp;A2041</f>
        <v>Santiago de Quillacas_Oruro</v>
      </c>
      <c r="D2041" s="20"/>
      <c r="E2041" s="45">
        <v>145.0</v>
      </c>
      <c r="F2041" s="14">
        <f t="shared" ref="F2041:H2041" si="172">SUM(F2042:F2052)</f>
        <v>110.600211</v>
      </c>
      <c r="G2041" s="14">
        <f t="shared" si="172"/>
        <v>24.31516138</v>
      </c>
      <c r="H2041" s="14">
        <f t="shared" si="172"/>
        <v>10.0766941</v>
      </c>
    </row>
    <row r="2042" ht="15.75" hidden="1" customHeight="1">
      <c r="A2042" s="20" t="s">
        <v>151</v>
      </c>
      <c r="B2042" s="47" t="s">
        <v>524</v>
      </c>
      <c r="C2042" s="47"/>
      <c r="D2042" s="19" t="s">
        <v>15</v>
      </c>
      <c r="E2042" s="23">
        <v>19.0</v>
      </c>
      <c r="F2042" s="18">
        <f>E2042* 0.929012779104059</f>
        <v>17.6512428</v>
      </c>
      <c r="G2042" s="18">
        <f>E2042* 0.00947900575761831</f>
        <v>0.1801011094</v>
      </c>
      <c r="H2042" s="18">
        <f>E2042* 0.0614380002808594</f>
        <v>1.167322005</v>
      </c>
    </row>
    <row r="2043" ht="15.75" hidden="1" customHeight="1">
      <c r="A2043" s="20" t="s">
        <v>151</v>
      </c>
      <c r="B2043" s="47" t="s">
        <v>524</v>
      </c>
      <c r="C2043" s="47"/>
      <c r="D2043" s="29" t="s">
        <v>525</v>
      </c>
      <c r="E2043" s="23">
        <v>2.0</v>
      </c>
      <c r="F2043" s="18">
        <f>E2043* 0.0624390243902439</f>
        <v>0.1248780488</v>
      </c>
      <c r="G2043" s="18">
        <f>E2043* 0.936585365853659</f>
        <v>1.873170732</v>
      </c>
      <c r="H2043" s="20">
        <v>0.0</v>
      </c>
    </row>
    <row r="2044" ht="15.75" hidden="1" customHeight="1">
      <c r="A2044" s="20" t="s">
        <v>151</v>
      </c>
      <c r="B2044" s="47" t="s">
        <v>524</v>
      </c>
      <c r="C2044" s="47"/>
      <c r="D2044" s="19" t="s">
        <v>11</v>
      </c>
      <c r="E2044" s="23">
        <v>12.0</v>
      </c>
      <c r="F2044" s="18">
        <f>E2044* 0.080360592401803</f>
        <v>0.9643271088</v>
      </c>
      <c r="G2044" s="18">
        <f>E2044* 0.917192530585963</f>
        <v>11.00631037</v>
      </c>
      <c r="H2044" s="18">
        <f>E2044* 0.00218931101094656</f>
        <v>0.02627173213</v>
      </c>
    </row>
    <row r="2045" ht="15.75" hidden="1" customHeight="1">
      <c r="A2045" s="20" t="s">
        <v>151</v>
      </c>
      <c r="B2045" s="47" t="s">
        <v>524</v>
      </c>
      <c r="C2045" s="47"/>
      <c r="D2045" s="19" t="s">
        <v>17</v>
      </c>
      <c r="E2045" s="23">
        <v>24.0</v>
      </c>
      <c r="F2045" s="18">
        <f>E2045* 0.836035451794207</f>
        <v>20.06485084</v>
      </c>
      <c r="G2045" s="18">
        <f>E2045* 0.0583657587548638</f>
        <v>1.40077821</v>
      </c>
      <c r="H2045" s="18">
        <f>E2045* 0.10559878945093</f>
        <v>2.534370947</v>
      </c>
    </row>
    <row r="2046" ht="15.75" hidden="1" customHeight="1">
      <c r="A2046" s="20" t="s">
        <v>151</v>
      </c>
      <c r="B2046" s="47" t="s">
        <v>524</v>
      </c>
      <c r="C2046" s="47"/>
      <c r="D2046" s="19" t="s">
        <v>31</v>
      </c>
      <c r="E2046" s="23">
        <v>0.0</v>
      </c>
      <c r="F2046" s="18">
        <f>E2046* 0.872611464968153</f>
        <v>0</v>
      </c>
      <c r="G2046" s="18">
        <f>E2046* 0.0764331210191083</f>
        <v>0</v>
      </c>
      <c r="H2046" s="18">
        <f>E2046* 0.0509554140127389</f>
        <v>0</v>
      </c>
    </row>
    <row r="2047" ht="15.75" hidden="1" customHeight="1">
      <c r="A2047" s="20" t="s">
        <v>151</v>
      </c>
      <c r="B2047" s="47" t="s">
        <v>524</v>
      </c>
      <c r="C2047" s="47"/>
      <c r="D2047" s="19" t="s">
        <v>18</v>
      </c>
      <c r="E2047" s="23">
        <v>3.0</v>
      </c>
      <c r="F2047" s="18">
        <f>E2047* 0.920270974465868</f>
        <v>2.760812923</v>
      </c>
      <c r="G2047" s="18">
        <f>E2047* 0.0703491401771756</f>
        <v>0.2110474205</v>
      </c>
      <c r="H2047" s="18">
        <f>E2047* 0.00937988535695675</f>
        <v>0.02813965607</v>
      </c>
    </row>
    <row r="2048" ht="15.75" hidden="1" customHeight="1">
      <c r="A2048" s="20" t="s">
        <v>151</v>
      </c>
      <c r="B2048" s="47" t="s">
        <v>524</v>
      </c>
      <c r="C2048" s="47"/>
      <c r="D2048" s="19" t="s">
        <v>19</v>
      </c>
      <c r="E2048" s="23">
        <v>1.0</v>
      </c>
      <c r="F2048" s="18">
        <f>E2048* 0.223420647149461</f>
        <v>0.2234206471</v>
      </c>
      <c r="G2048" s="18">
        <f>E2048* 0.773497688751926</f>
        <v>0.7734976888</v>
      </c>
      <c r="H2048" s="18">
        <f>E2048* 0.00308166409861325</f>
        <v>0.003081664099</v>
      </c>
    </row>
    <row r="2049" ht="15.75" hidden="1" customHeight="1">
      <c r="A2049" s="20" t="s">
        <v>151</v>
      </c>
      <c r="B2049" s="47" t="s">
        <v>524</v>
      </c>
      <c r="C2049" s="47"/>
      <c r="D2049" s="19" t="s">
        <v>20</v>
      </c>
      <c r="E2049" s="23">
        <v>13.0</v>
      </c>
      <c r="F2049" s="18">
        <f>E2049* 0.61531089014017</f>
        <v>7.999041572</v>
      </c>
      <c r="G2049" s="18">
        <f>E2049* 0.298190966814424</f>
        <v>3.876482569</v>
      </c>
      <c r="H2049" s="18">
        <f>E2049* 0.086378339523182</f>
        <v>1.122918414</v>
      </c>
    </row>
    <row r="2050" ht="15.75" hidden="1" customHeight="1">
      <c r="A2050" s="20" t="s">
        <v>151</v>
      </c>
      <c r="B2050" s="47" t="s">
        <v>524</v>
      </c>
      <c r="C2050" s="47"/>
      <c r="D2050" s="19" t="s">
        <v>21</v>
      </c>
      <c r="E2050" s="23">
        <v>9.0</v>
      </c>
      <c r="F2050" s="18">
        <f>E2050* 0.999801370543252</f>
        <v>8.998212335</v>
      </c>
      <c r="G2050" s="18">
        <f>E2050* 0.0000993147283742179</f>
        <v>0.0008938325554</v>
      </c>
      <c r="H2050" s="18">
        <f>E2050* 0.0000993147283742179</f>
        <v>0.0008938325554</v>
      </c>
    </row>
    <row r="2051" ht="15.75" hidden="1" customHeight="1">
      <c r="A2051" s="20" t="s">
        <v>151</v>
      </c>
      <c r="B2051" s="47" t="s">
        <v>524</v>
      </c>
      <c r="C2051" s="47"/>
      <c r="D2051" s="19" t="s">
        <v>28</v>
      </c>
      <c r="E2051" s="23">
        <v>1.0</v>
      </c>
      <c r="F2051" s="20">
        <v>0.0</v>
      </c>
      <c r="G2051" s="18">
        <f>E2051* 0.99904671115348</f>
        <v>0.9990467112</v>
      </c>
      <c r="H2051" s="18">
        <f>E2051* 0.000953288846520496</f>
        <v>0.0009532888465</v>
      </c>
    </row>
    <row r="2052" ht="15.75" hidden="1" customHeight="1">
      <c r="A2052" s="20" t="s">
        <v>151</v>
      </c>
      <c r="B2052" s="47" t="s">
        <v>524</v>
      </c>
      <c r="C2052" s="47"/>
      <c r="D2052" s="19" t="s">
        <v>12</v>
      </c>
      <c r="E2052" s="23">
        <v>61.0</v>
      </c>
      <c r="F2052" s="18">
        <f>E2052* 0.849400404921352</f>
        <v>51.8134247</v>
      </c>
      <c r="G2052" s="18">
        <f>E2052* 0.0654726678087525</f>
        <v>3.993832736</v>
      </c>
      <c r="H2052" s="18">
        <f>E2052* 0.0851269272698957</f>
        <v>5.192742563</v>
      </c>
    </row>
    <row r="2053" ht="15.75" hidden="1" customHeight="1">
      <c r="A2053" s="20" t="s">
        <v>151</v>
      </c>
      <c r="B2053" s="20"/>
      <c r="C2053" s="20"/>
      <c r="D2053" s="46"/>
      <c r="E2053" s="35"/>
    </row>
    <row r="2054" ht="15.75" customHeight="1">
      <c r="A2054" s="20" t="s">
        <v>151</v>
      </c>
      <c r="B2054" s="47" t="s">
        <v>178</v>
      </c>
      <c r="C2054" s="12" t="str">
        <f>B2054&amp;"_"&amp;A2054</f>
        <v>Santiago de Huari_Oruro</v>
      </c>
      <c r="D2054" s="20"/>
      <c r="E2054" s="45">
        <f t="shared" ref="E2054:H2054" si="173">SUM(E2055:E2065)</f>
        <v>131</v>
      </c>
      <c r="F2054" s="14">
        <f t="shared" si="173"/>
        <v>96.18691198</v>
      </c>
      <c r="G2054" s="14">
        <f t="shared" si="173"/>
        <v>25.92394115</v>
      </c>
      <c r="H2054" s="14">
        <f t="shared" si="173"/>
        <v>8.883974214</v>
      </c>
    </row>
    <row r="2055" ht="15.75" hidden="1" customHeight="1">
      <c r="A2055" s="20" t="s">
        <v>151</v>
      </c>
      <c r="B2055" s="47" t="s">
        <v>178</v>
      </c>
      <c r="C2055" s="47"/>
      <c r="D2055" s="29" t="s">
        <v>526</v>
      </c>
      <c r="E2055" s="23">
        <v>5.0</v>
      </c>
      <c r="F2055" s="20">
        <v>0.0</v>
      </c>
      <c r="G2055" s="24">
        <f>E2055</f>
        <v>5</v>
      </c>
      <c r="H2055" s="20">
        <v>0.0</v>
      </c>
    </row>
    <row r="2056" ht="15.75" hidden="1" customHeight="1">
      <c r="A2056" s="20" t="s">
        <v>151</v>
      </c>
      <c r="B2056" s="47" t="s">
        <v>178</v>
      </c>
      <c r="C2056" s="47"/>
      <c r="D2056" s="19" t="s">
        <v>15</v>
      </c>
      <c r="E2056" s="23">
        <v>16.0</v>
      </c>
      <c r="F2056" s="18">
        <f>E2056* 0.929012779104059</f>
        <v>14.86420447</v>
      </c>
      <c r="G2056" s="18">
        <f>E2056* 0.00947900575761831</f>
        <v>0.1516640921</v>
      </c>
      <c r="H2056" s="18">
        <f>E2056* 0.0614380002808594</f>
        <v>0.9830080045</v>
      </c>
    </row>
    <row r="2057" ht="15.75" hidden="1" customHeight="1">
      <c r="A2057" s="20" t="s">
        <v>151</v>
      </c>
      <c r="B2057" s="47" t="s">
        <v>178</v>
      </c>
      <c r="C2057" s="47"/>
      <c r="D2057" s="29" t="s">
        <v>527</v>
      </c>
      <c r="E2057" s="23">
        <v>0.0</v>
      </c>
      <c r="F2057" s="18">
        <f>E2057* 0.0624390243902439</f>
        <v>0</v>
      </c>
      <c r="G2057" s="18">
        <f>E2057* 0.936585365853659</f>
        <v>0</v>
      </c>
      <c r="H2057" s="20">
        <v>0.0</v>
      </c>
    </row>
    <row r="2058" ht="15.75" hidden="1" customHeight="1">
      <c r="A2058" s="20" t="s">
        <v>151</v>
      </c>
      <c r="B2058" s="47" t="s">
        <v>178</v>
      </c>
      <c r="C2058" s="47"/>
      <c r="D2058" s="19" t="s">
        <v>11</v>
      </c>
      <c r="E2058" s="32">
        <v>12.0</v>
      </c>
      <c r="F2058" s="18">
        <f>E2058* 0.080360592401803</f>
        <v>0.9643271088</v>
      </c>
      <c r="G2058" s="18">
        <f>E2058* 0.917192530585963</f>
        <v>11.00631037</v>
      </c>
      <c r="H2058" s="18">
        <f>E2058* 0.00218931101094656</f>
        <v>0.02627173213</v>
      </c>
    </row>
    <row r="2059" ht="15.75" hidden="1" customHeight="1">
      <c r="A2059" s="20" t="s">
        <v>151</v>
      </c>
      <c r="B2059" s="47" t="s">
        <v>178</v>
      </c>
      <c r="C2059" s="47"/>
      <c r="D2059" s="19" t="s">
        <v>17</v>
      </c>
      <c r="E2059" s="23">
        <v>20.0</v>
      </c>
      <c r="F2059" s="18">
        <f>E2059* 0.836035451794207</f>
        <v>16.72070904</v>
      </c>
      <c r="G2059" s="18">
        <f>E2059* 0.0583657587548638</f>
        <v>1.167315175</v>
      </c>
      <c r="H2059" s="18">
        <f>E2059* 0.10559878945093</f>
        <v>2.111975789</v>
      </c>
    </row>
    <row r="2060" ht="15.75" hidden="1" customHeight="1">
      <c r="A2060" s="20" t="s">
        <v>151</v>
      </c>
      <c r="B2060" s="47" t="s">
        <v>178</v>
      </c>
      <c r="C2060" s="47"/>
      <c r="D2060" s="19" t="s">
        <v>18</v>
      </c>
      <c r="E2060" s="23">
        <v>5.0</v>
      </c>
      <c r="F2060" s="18">
        <f>E2060* 0.920270974465868</f>
        <v>4.601354872</v>
      </c>
      <c r="G2060" s="18">
        <f>E2060* 0.0703491401771756</f>
        <v>0.3517457009</v>
      </c>
      <c r="H2060" s="18">
        <f>E2060* 0.00937988535695675</f>
        <v>0.04689942678</v>
      </c>
    </row>
    <row r="2061" ht="15.75" hidden="1" customHeight="1">
      <c r="A2061" s="20" t="s">
        <v>151</v>
      </c>
      <c r="B2061" s="47" t="s">
        <v>178</v>
      </c>
      <c r="C2061" s="47"/>
      <c r="D2061" s="19" t="s">
        <v>19</v>
      </c>
      <c r="E2061" s="23">
        <v>0.0</v>
      </c>
      <c r="F2061" s="18">
        <f>E2061* 0.223420647149461</f>
        <v>0</v>
      </c>
      <c r="G2061" s="18">
        <f>E2061* 0.773497688751926</f>
        <v>0</v>
      </c>
      <c r="H2061" s="18">
        <f>E2061* 0.00308166409861325</f>
        <v>0</v>
      </c>
    </row>
    <row r="2062" ht="15.75" hidden="1" customHeight="1">
      <c r="A2062" s="20" t="s">
        <v>151</v>
      </c>
      <c r="B2062" s="47" t="s">
        <v>178</v>
      </c>
      <c r="C2062" s="47"/>
      <c r="D2062" s="19" t="s">
        <v>20</v>
      </c>
      <c r="E2062" s="23">
        <v>8.0</v>
      </c>
      <c r="F2062" s="18">
        <f>E2062* 0.61531089014017</f>
        <v>4.922487121</v>
      </c>
      <c r="G2062" s="18">
        <f>E2062* 0.298190966814424</f>
        <v>2.385527735</v>
      </c>
      <c r="H2062" s="18">
        <f>E2062* 0.086378339523182</f>
        <v>0.6910267162</v>
      </c>
    </row>
    <row r="2063" ht="15.75" hidden="1" customHeight="1">
      <c r="A2063" s="20" t="s">
        <v>151</v>
      </c>
      <c r="B2063" s="47" t="s">
        <v>178</v>
      </c>
      <c r="C2063" s="47"/>
      <c r="D2063" s="19" t="s">
        <v>21</v>
      </c>
      <c r="E2063" s="23">
        <v>4.0</v>
      </c>
      <c r="F2063" s="18">
        <f>E2063* 0.999801370543252</f>
        <v>3.999205482</v>
      </c>
      <c r="G2063" s="18">
        <f>E2063* 0.0000993147283742179</f>
        <v>0.0003972589135</v>
      </c>
      <c r="H2063" s="18">
        <f>E2063* 0.0000993147283742179</f>
        <v>0.0003972589135</v>
      </c>
    </row>
    <row r="2064" ht="15.75" hidden="1" customHeight="1">
      <c r="A2064" s="20" t="s">
        <v>151</v>
      </c>
      <c r="B2064" s="47" t="s">
        <v>178</v>
      </c>
      <c r="C2064" s="47"/>
      <c r="D2064" s="19" t="s">
        <v>28</v>
      </c>
      <c r="E2064" s="23">
        <v>2.0</v>
      </c>
      <c r="F2064" s="20">
        <v>0.0</v>
      </c>
      <c r="G2064" s="18">
        <f>E2064* 0.99904671115348</f>
        <v>1.998093422</v>
      </c>
      <c r="H2064" s="18">
        <f>E2064* 0.000953288846520496</f>
        <v>0.001906577693</v>
      </c>
    </row>
    <row r="2065" ht="15.75" hidden="1" customHeight="1">
      <c r="A2065" s="20" t="s">
        <v>151</v>
      </c>
      <c r="B2065" s="47" t="s">
        <v>178</v>
      </c>
      <c r="C2065" s="47"/>
      <c r="D2065" s="19" t="s">
        <v>12</v>
      </c>
      <c r="E2065" s="23">
        <v>59.0</v>
      </c>
      <c r="F2065" s="18">
        <f>E2065* 0.849400404921352</f>
        <v>50.11462389</v>
      </c>
      <c r="G2065" s="18">
        <f>E2065* 0.0654726678087525</f>
        <v>3.862887401</v>
      </c>
      <c r="H2065" s="18">
        <f>E2065* 0.0851269272698957</f>
        <v>5.022488709</v>
      </c>
    </row>
    <row r="2066" ht="15.75" hidden="1" customHeight="1">
      <c r="A2066" s="20" t="s">
        <v>151</v>
      </c>
      <c r="B2066" s="20"/>
      <c r="C2066" s="20"/>
      <c r="D2066" s="46"/>
      <c r="E2066" s="35"/>
    </row>
    <row r="2067" ht="15.75" customHeight="1">
      <c r="A2067" s="20" t="s">
        <v>151</v>
      </c>
      <c r="B2067" s="47" t="s">
        <v>179</v>
      </c>
      <c r="C2067" s="12" t="str">
        <f>B2067&amp;"_"&amp;A2067</f>
        <v>Soracachi_Oruro</v>
      </c>
      <c r="D2067" s="20"/>
      <c r="E2067" s="45">
        <v>2377.0</v>
      </c>
      <c r="F2067" s="14">
        <f t="shared" ref="F2067:H2067" si="174">SUM(F2068:F2080)</f>
        <v>1846.497924</v>
      </c>
      <c r="G2067" s="14">
        <f t="shared" si="174"/>
        <v>370.4617271</v>
      </c>
      <c r="H2067" s="14">
        <f t="shared" si="174"/>
        <v>159.9228417</v>
      </c>
    </row>
    <row r="2068" ht="15.75" hidden="1" customHeight="1">
      <c r="A2068" s="20" t="s">
        <v>151</v>
      </c>
      <c r="B2068" s="47" t="s">
        <v>179</v>
      </c>
      <c r="C2068" s="47"/>
      <c r="D2068" s="29" t="s">
        <v>528</v>
      </c>
      <c r="E2068" s="23">
        <v>11.0</v>
      </c>
      <c r="F2068" s="20">
        <v>0.0</v>
      </c>
      <c r="G2068" s="24">
        <f>E2068</f>
        <v>11</v>
      </c>
      <c r="H2068" s="20">
        <v>0.0</v>
      </c>
    </row>
    <row r="2069" ht="15.75" hidden="1" customHeight="1">
      <c r="A2069" s="20" t="s">
        <v>151</v>
      </c>
      <c r="B2069" s="47" t="s">
        <v>179</v>
      </c>
      <c r="C2069" s="47"/>
      <c r="D2069" s="19" t="s">
        <v>15</v>
      </c>
      <c r="E2069" s="23">
        <v>438.0</v>
      </c>
      <c r="F2069" s="18">
        <f>E2069* 0.929012779104059</f>
        <v>406.9075972</v>
      </c>
      <c r="G2069" s="18">
        <f>E2069* 0.00947900575761831</f>
        <v>4.151804522</v>
      </c>
      <c r="H2069" s="18">
        <f>E2069* 0.0614380002808594</f>
        <v>26.90984412</v>
      </c>
    </row>
    <row r="2070" ht="15.75" hidden="1" customHeight="1">
      <c r="A2070" s="20" t="s">
        <v>151</v>
      </c>
      <c r="B2070" s="47" t="s">
        <v>179</v>
      </c>
      <c r="C2070" s="47"/>
      <c r="D2070" s="29" t="s">
        <v>529</v>
      </c>
      <c r="E2070" s="23">
        <v>24.0</v>
      </c>
      <c r="F2070" s="18">
        <f>E2070* 0.0624390243902439</f>
        <v>1.498536585</v>
      </c>
      <c r="G2070" s="18">
        <f>E2070* 0.936585365853659</f>
        <v>22.47804878</v>
      </c>
      <c r="H2070" s="20">
        <v>0.0</v>
      </c>
    </row>
    <row r="2071" ht="15.75" hidden="1" customHeight="1">
      <c r="A2071" s="20" t="s">
        <v>151</v>
      </c>
      <c r="B2071" s="47" t="s">
        <v>179</v>
      </c>
      <c r="C2071" s="47"/>
      <c r="D2071" s="19" t="s">
        <v>11</v>
      </c>
      <c r="E2071" s="23">
        <v>158.0</v>
      </c>
      <c r="F2071" s="18">
        <f>E2071* 0.080360592401803</f>
        <v>12.6969736</v>
      </c>
      <c r="G2071" s="18">
        <f>E2071* 0.917192530585963</f>
        <v>144.9164198</v>
      </c>
      <c r="H2071" s="18">
        <f>E2071* 0.00218931101094656</f>
        <v>0.3459111397</v>
      </c>
    </row>
    <row r="2072" ht="15.75" hidden="1" customHeight="1">
      <c r="A2072" s="20" t="s">
        <v>151</v>
      </c>
      <c r="B2072" s="47" t="s">
        <v>179</v>
      </c>
      <c r="C2072" s="47"/>
      <c r="D2072" s="19" t="s">
        <v>17</v>
      </c>
      <c r="E2072" s="23">
        <v>178.0</v>
      </c>
      <c r="F2072" s="18">
        <f>E2072* 0.836035451794207</f>
        <v>148.8143104</v>
      </c>
      <c r="G2072" s="18">
        <f>E2072* 0.0583657587548638</f>
        <v>10.38910506</v>
      </c>
      <c r="H2072" s="18">
        <f>E2072* 0.10559878945093</f>
        <v>18.79658452</v>
      </c>
    </row>
    <row r="2073" ht="15.75" hidden="1" customHeight="1">
      <c r="A2073" s="20" t="s">
        <v>151</v>
      </c>
      <c r="B2073" s="47" t="s">
        <v>179</v>
      </c>
      <c r="C2073" s="47"/>
      <c r="D2073" s="19" t="s">
        <v>31</v>
      </c>
      <c r="E2073" s="23">
        <v>15.0</v>
      </c>
      <c r="F2073" s="18">
        <f>E2073* 0.872611464968153</f>
        <v>13.08917197</v>
      </c>
      <c r="G2073" s="18">
        <f>E2073* 0.0764331210191083</f>
        <v>1.146496815</v>
      </c>
      <c r="H2073" s="18">
        <f>E2073* 0.0509554140127389</f>
        <v>0.7643312102</v>
      </c>
    </row>
    <row r="2074" ht="15.75" hidden="1" customHeight="1">
      <c r="A2074" s="20" t="s">
        <v>151</v>
      </c>
      <c r="B2074" s="47" t="s">
        <v>179</v>
      </c>
      <c r="C2074" s="47"/>
      <c r="D2074" s="19" t="s">
        <v>18</v>
      </c>
      <c r="E2074" s="23">
        <v>27.0</v>
      </c>
      <c r="F2074" s="18">
        <f>E2074* 0.920270974465868</f>
        <v>24.84731631</v>
      </c>
      <c r="G2074" s="18">
        <f>E2074* 0.0703491401771756</f>
        <v>1.899426785</v>
      </c>
      <c r="H2074" s="18">
        <f>E2074* 0.00937988535695675</f>
        <v>0.2532569046</v>
      </c>
    </row>
    <row r="2075" ht="15.75" hidden="1" customHeight="1">
      <c r="A2075" s="20" t="s">
        <v>151</v>
      </c>
      <c r="B2075" s="47" t="s">
        <v>179</v>
      </c>
      <c r="C2075" s="47"/>
      <c r="D2075" s="19" t="s">
        <v>19</v>
      </c>
      <c r="E2075" s="23">
        <v>9.0</v>
      </c>
      <c r="F2075" s="18">
        <f>E2075* 0.223420647149461</f>
        <v>2.010785824</v>
      </c>
      <c r="G2075" s="18">
        <f>E2075* 0.773497688751926</f>
        <v>6.961479199</v>
      </c>
      <c r="H2075" s="18">
        <f>E2075* 0.00308166409861325</f>
        <v>0.02773497689</v>
      </c>
    </row>
    <row r="2076" ht="15.75" hidden="1" customHeight="1">
      <c r="A2076" s="20" t="s">
        <v>151</v>
      </c>
      <c r="B2076" s="47" t="s">
        <v>179</v>
      </c>
      <c r="C2076" s="47"/>
      <c r="D2076" s="19" t="s">
        <v>20</v>
      </c>
      <c r="E2076" s="23">
        <v>189.0</v>
      </c>
      <c r="F2076" s="18">
        <f>E2076* 0.61531089014017</f>
        <v>116.2937582</v>
      </c>
      <c r="G2076" s="18">
        <f>E2076* 0.298190966814424</f>
        <v>56.35809273</v>
      </c>
      <c r="H2076" s="18">
        <f>E2076* 0.086378339523182</f>
        <v>16.32550617</v>
      </c>
    </row>
    <row r="2077" ht="15.75" hidden="1" customHeight="1">
      <c r="A2077" s="20" t="s">
        <v>151</v>
      </c>
      <c r="B2077" s="47" t="s">
        <v>179</v>
      </c>
      <c r="C2077" s="47"/>
      <c r="D2077" s="19" t="s">
        <v>21</v>
      </c>
      <c r="E2077" s="23">
        <v>157.0</v>
      </c>
      <c r="F2077" s="18">
        <f>E2077* 0.999801370543252</f>
        <v>156.9688152</v>
      </c>
      <c r="G2077" s="18">
        <f>E2077* 0.0000993147283742179</f>
        <v>0.01559241235</v>
      </c>
      <c r="H2077" s="18">
        <f>E2077* 0.0000993147283742179</f>
        <v>0.01559241235</v>
      </c>
    </row>
    <row r="2078" ht="15.75" hidden="1" customHeight="1">
      <c r="A2078" s="20" t="s">
        <v>151</v>
      </c>
      <c r="B2078" s="47" t="s">
        <v>179</v>
      </c>
      <c r="C2078" s="47"/>
      <c r="D2078" s="19" t="s">
        <v>36</v>
      </c>
      <c r="E2078" s="23">
        <v>1.0</v>
      </c>
      <c r="F2078" s="24">
        <f>E2078</f>
        <v>1</v>
      </c>
      <c r="G2078" s="20">
        <v>0.0</v>
      </c>
      <c r="H2078" s="20">
        <v>0.0</v>
      </c>
    </row>
    <row r="2079" ht="15.75" hidden="1" customHeight="1">
      <c r="A2079" s="20" t="s">
        <v>151</v>
      </c>
      <c r="B2079" s="47" t="s">
        <v>179</v>
      </c>
      <c r="C2079" s="47"/>
      <c r="D2079" s="19" t="s">
        <v>28</v>
      </c>
      <c r="E2079" s="23">
        <v>37.0</v>
      </c>
      <c r="F2079" s="20">
        <v>0.0</v>
      </c>
      <c r="G2079" s="18">
        <f>E2079* 0.99904671115348</f>
        <v>36.96472831</v>
      </c>
      <c r="H2079" s="18">
        <f>E2079* 0.000953288846520496</f>
        <v>0.03527168732</v>
      </c>
    </row>
    <row r="2080" ht="15.75" hidden="1" customHeight="1">
      <c r="A2080" s="20" t="s">
        <v>151</v>
      </c>
      <c r="B2080" s="47" t="s">
        <v>179</v>
      </c>
      <c r="C2080" s="47"/>
      <c r="D2080" s="19" t="s">
        <v>12</v>
      </c>
      <c r="E2080" s="23">
        <v>1133.0</v>
      </c>
      <c r="F2080" s="18">
        <f>E2080* 0.849400404921352</f>
        <v>962.3706588</v>
      </c>
      <c r="G2080" s="18">
        <f>E2080* 0.0654726678087525</f>
        <v>74.18053263</v>
      </c>
      <c r="H2080" s="18">
        <f>E2080* 0.0851269272698957</f>
        <v>96.4488086</v>
      </c>
    </row>
    <row r="2081" ht="15.75" hidden="1" customHeight="1">
      <c r="A2081" s="20" t="s">
        <v>151</v>
      </c>
      <c r="B2081" s="20"/>
      <c r="C2081" s="20"/>
      <c r="D2081" s="46"/>
      <c r="E2081" s="35"/>
    </row>
    <row r="2082" ht="15.75" customHeight="1">
      <c r="A2082" s="20" t="s">
        <v>151</v>
      </c>
      <c r="B2082" s="47" t="s">
        <v>530</v>
      </c>
      <c r="C2082" s="12" t="str">
        <f>B2082&amp;"_"&amp;A2082</f>
        <v>Todos Santos_Oruro</v>
      </c>
      <c r="D2082" s="20"/>
      <c r="E2082" s="45">
        <v>572.0</v>
      </c>
      <c r="F2082" s="14">
        <f t="shared" ref="F2082:H2082" si="175">SUM(F2083:F2091)</f>
        <v>535.1913546</v>
      </c>
      <c r="G2082" s="14">
        <f t="shared" si="175"/>
        <v>27.81537955</v>
      </c>
      <c r="H2082" s="14">
        <f t="shared" si="175"/>
        <v>8.983921962</v>
      </c>
    </row>
    <row r="2083" ht="15.75" hidden="1" customHeight="1">
      <c r="A2083" s="20" t="s">
        <v>151</v>
      </c>
      <c r="B2083" s="47" t="s">
        <v>530</v>
      </c>
      <c r="C2083" s="47"/>
      <c r="D2083" s="19" t="s">
        <v>15</v>
      </c>
      <c r="E2083" s="23">
        <v>21.0</v>
      </c>
      <c r="F2083" s="18">
        <f>E2083* 0.929012779104059</f>
        <v>19.50926836</v>
      </c>
      <c r="G2083" s="18">
        <f>E2083* 0.00947900575761831</f>
        <v>0.1990591209</v>
      </c>
      <c r="H2083" s="18">
        <f>E2083* 0.0614380002808594</f>
        <v>1.290198006</v>
      </c>
    </row>
    <row r="2084" ht="15.75" hidden="1" customHeight="1">
      <c r="A2084" s="20" t="s">
        <v>151</v>
      </c>
      <c r="B2084" s="47" t="s">
        <v>530</v>
      </c>
      <c r="C2084" s="47"/>
      <c r="D2084" s="29" t="s">
        <v>531</v>
      </c>
      <c r="E2084" s="23">
        <v>2.0</v>
      </c>
      <c r="F2084" s="18">
        <f>E2084* 0.0624390243902439</f>
        <v>0.1248780488</v>
      </c>
      <c r="G2084" s="18">
        <f>E2084* 0.936585365853659</f>
        <v>1.873170732</v>
      </c>
      <c r="H2084" s="20">
        <v>0.0</v>
      </c>
    </row>
    <row r="2085" ht="15.75" hidden="1" customHeight="1">
      <c r="A2085" s="20" t="s">
        <v>151</v>
      </c>
      <c r="B2085" s="47" t="s">
        <v>530</v>
      </c>
      <c r="C2085" s="47"/>
      <c r="D2085" s="19" t="s">
        <v>11</v>
      </c>
      <c r="E2085" s="23">
        <v>16.0</v>
      </c>
      <c r="F2085" s="18">
        <f>E2085* 0.080360592401803</f>
        <v>1.285769478</v>
      </c>
      <c r="G2085" s="18">
        <f>E2085* 0.917192530585963</f>
        <v>14.67508049</v>
      </c>
      <c r="H2085" s="18">
        <f>E2085* 0.00218931101094656</f>
        <v>0.03502897618</v>
      </c>
    </row>
    <row r="2086" ht="15.75" hidden="1" customHeight="1">
      <c r="A2086" s="20" t="s">
        <v>151</v>
      </c>
      <c r="B2086" s="47" t="s">
        <v>530</v>
      </c>
      <c r="C2086" s="47"/>
      <c r="D2086" s="19" t="s">
        <v>17</v>
      </c>
      <c r="E2086" s="23">
        <v>15.0</v>
      </c>
      <c r="F2086" s="18">
        <f>E2086* 0.836035451794207</f>
        <v>12.54053178</v>
      </c>
      <c r="G2086" s="18">
        <f>E2086* 0.0583657587548638</f>
        <v>0.8754863813</v>
      </c>
      <c r="H2086" s="18">
        <f>E2086* 0.10559878945093</f>
        <v>1.583981842</v>
      </c>
    </row>
    <row r="2087" ht="15.75" hidden="1" customHeight="1">
      <c r="A2087" s="20" t="s">
        <v>151</v>
      </c>
      <c r="B2087" s="47" t="s">
        <v>530</v>
      </c>
      <c r="C2087" s="47"/>
      <c r="D2087" s="19" t="s">
        <v>31</v>
      </c>
      <c r="E2087" s="23">
        <v>1.0</v>
      </c>
      <c r="F2087" s="18">
        <f>E2087* 0.872611464968153</f>
        <v>0.872611465</v>
      </c>
      <c r="G2087" s="18">
        <f>E2087* 0.0764331210191083</f>
        <v>0.07643312102</v>
      </c>
      <c r="H2087" s="18">
        <f>E2087* 0.0509554140127389</f>
        <v>0.05095541401</v>
      </c>
    </row>
    <row r="2088" ht="15.75" hidden="1" customHeight="1">
      <c r="A2088" s="20" t="s">
        <v>151</v>
      </c>
      <c r="B2088" s="47" t="s">
        <v>530</v>
      </c>
      <c r="C2088" s="47"/>
      <c r="D2088" s="19" t="s">
        <v>20</v>
      </c>
      <c r="E2088" s="23">
        <v>15.0</v>
      </c>
      <c r="F2088" s="18">
        <f>E2088* 0.61531089014017</f>
        <v>9.229663352</v>
      </c>
      <c r="G2088" s="18">
        <f>E2088* 0.298190966814424</f>
        <v>4.472864502</v>
      </c>
      <c r="H2088" s="18">
        <f>E2088* 0.086378339523182</f>
        <v>1.295675093</v>
      </c>
    </row>
    <row r="2089" ht="15.75" hidden="1" customHeight="1">
      <c r="A2089" s="20" t="s">
        <v>151</v>
      </c>
      <c r="B2089" s="47" t="s">
        <v>530</v>
      </c>
      <c r="C2089" s="47"/>
      <c r="D2089" s="19" t="s">
        <v>21</v>
      </c>
      <c r="E2089" s="23">
        <v>445.0</v>
      </c>
      <c r="F2089" s="18">
        <f>E2089* 0.999801370543252</f>
        <v>444.9116099</v>
      </c>
      <c r="G2089" s="18">
        <f>E2089* 0.0000993147283742179</f>
        <v>0.04419505413</v>
      </c>
      <c r="H2089" s="18">
        <f>E2089* 0.0000993147283742179</f>
        <v>0.04419505413</v>
      </c>
    </row>
    <row r="2090" ht="15.75" hidden="1" customHeight="1">
      <c r="A2090" s="20" t="s">
        <v>151</v>
      </c>
      <c r="B2090" s="47" t="s">
        <v>530</v>
      </c>
      <c r="C2090" s="47"/>
      <c r="D2090" s="19" t="s">
        <v>28</v>
      </c>
      <c r="E2090" s="23">
        <v>2.0</v>
      </c>
      <c r="F2090" s="20">
        <v>0.0</v>
      </c>
      <c r="G2090" s="18">
        <f>E2090* 0.99904671115348</f>
        <v>1.998093422</v>
      </c>
      <c r="H2090" s="18">
        <f>E2090* 0.000953288846520496</f>
        <v>0.001906577693</v>
      </c>
    </row>
    <row r="2091" ht="15.75" hidden="1" customHeight="1">
      <c r="A2091" s="20" t="s">
        <v>151</v>
      </c>
      <c r="B2091" s="47" t="s">
        <v>530</v>
      </c>
      <c r="C2091" s="47"/>
      <c r="D2091" s="19" t="s">
        <v>12</v>
      </c>
      <c r="E2091" s="23">
        <v>55.0</v>
      </c>
      <c r="F2091" s="18">
        <f>E2091* 0.849400404921352</f>
        <v>46.71702227</v>
      </c>
      <c r="G2091" s="18">
        <f>E2091* 0.0654726678087525</f>
        <v>3.600996729</v>
      </c>
      <c r="H2091" s="18">
        <f>E2091* 0.0851269272698957</f>
        <v>4.681981</v>
      </c>
    </row>
    <row r="2092" ht="15.75" hidden="1" customHeight="1">
      <c r="A2092" s="20" t="s">
        <v>151</v>
      </c>
      <c r="B2092" s="20"/>
      <c r="C2092" s="20"/>
      <c r="D2092" s="46"/>
      <c r="E2092" s="35"/>
    </row>
    <row r="2093" ht="15.75" customHeight="1">
      <c r="A2093" s="20" t="s">
        <v>151</v>
      </c>
      <c r="B2093" s="47" t="s">
        <v>180</v>
      </c>
      <c r="C2093" s="12" t="str">
        <f>B2093&amp;"_"&amp;A2093</f>
        <v>Toledo_Oruro</v>
      </c>
      <c r="D2093" s="20"/>
      <c r="E2093" s="45">
        <v>86.0</v>
      </c>
      <c r="F2093" s="14">
        <f t="shared" ref="F2093:H2093" si="176">SUM(F2094:F2102)</f>
        <v>69.04331284</v>
      </c>
      <c r="G2093" s="14">
        <f t="shared" si="176"/>
        <v>12.94090927</v>
      </c>
      <c r="H2093" s="14">
        <f t="shared" si="176"/>
        <v>4.012985197</v>
      </c>
    </row>
    <row r="2094" ht="15.75" hidden="1" customHeight="1">
      <c r="A2094" s="20" t="s">
        <v>151</v>
      </c>
      <c r="B2094" s="47" t="s">
        <v>180</v>
      </c>
      <c r="C2094" s="47"/>
      <c r="D2094" s="29" t="s">
        <v>532</v>
      </c>
      <c r="E2094" s="23">
        <v>4.0</v>
      </c>
      <c r="F2094" s="20">
        <v>0.0</v>
      </c>
      <c r="G2094" s="24">
        <f>E2094</f>
        <v>4</v>
      </c>
      <c r="H2094" s="20">
        <v>0.0</v>
      </c>
    </row>
    <row r="2095" ht="15.75" hidden="1" customHeight="1">
      <c r="A2095" s="20" t="s">
        <v>151</v>
      </c>
      <c r="B2095" s="47" t="s">
        <v>180</v>
      </c>
      <c r="C2095" s="47"/>
      <c r="D2095" s="19" t="s">
        <v>15</v>
      </c>
      <c r="E2095" s="23">
        <v>10.0</v>
      </c>
      <c r="F2095" s="18">
        <f>E2095* 0.929012779104059</f>
        <v>9.290127791</v>
      </c>
      <c r="G2095" s="18">
        <f>E2095* 0.00947900575761831</f>
        <v>0.09479005758</v>
      </c>
      <c r="H2095" s="18">
        <f>E2095* 0.0614380002808594</f>
        <v>0.6143800028</v>
      </c>
    </row>
    <row r="2096" ht="15.75" hidden="1" customHeight="1">
      <c r="A2096" s="20" t="s">
        <v>151</v>
      </c>
      <c r="B2096" s="47" t="s">
        <v>180</v>
      </c>
      <c r="C2096" s="47"/>
      <c r="D2096" s="19" t="s">
        <v>11</v>
      </c>
      <c r="E2096" s="23">
        <v>3.0</v>
      </c>
      <c r="F2096" s="18">
        <f>E2096* 0.080360592401803</f>
        <v>0.2410817772</v>
      </c>
      <c r="G2096" s="18">
        <f>E2096* 0.917192530585963</f>
        <v>2.751577592</v>
      </c>
      <c r="H2096" s="18">
        <f>E2096* 0.00218931101094656</f>
        <v>0.006567933033</v>
      </c>
    </row>
    <row r="2097" ht="15.75" hidden="1" customHeight="1">
      <c r="A2097" s="20" t="s">
        <v>151</v>
      </c>
      <c r="B2097" s="47" t="s">
        <v>180</v>
      </c>
      <c r="C2097" s="47"/>
      <c r="D2097" s="19" t="s">
        <v>17</v>
      </c>
      <c r="E2097" s="23">
        <v>6.0</v>
      </c>
      <c r="F2097" s="18">
        <f>E2097* 0.836035451794207</f>
        <v>5.016212711</v>
      </c>
      <c r="G2097" s="18">
        <f>E2097* 0.0583657587548638</f>
        <v>0.3501945525</v>
      </c>
      <c r="H2097" s="18">
        <f>E2097* 0.10559878945093</f>
        <v>0.6335927367</v>
      </c>
    </row>
    <row r="2098" ht="15.75" hidden="1" customHeight="1">
      <c r="A2098" s="20" t="s">
        <v>151</v>
      </c>
      <c r="B2098" s="47" t="s">
        <v>180</v>
      </c>
      <c r="C2098" s="47"/>
      <c r="D2098" s="19" t="s">
        <v>31</v>
      </c>
      <c r="E2098" s="23">
        <v>2.0</v>
      </c>
      <c r="F2098" s="18">
        <f>E2098* 0.872611464968153</f>
        <v>1.74522293</v>
      </c>
      <c r="G2098" s="18">
        <f>E2098* 0.0764331210191083</f>
        <v>0.152866242</v>
      </c>
      <c r="H2098" s="18">
        <f>E2098* 0.0509554140127389</f>
        <v>0.101910828</v>
      </c>
    </row>
    <row r="2099" ht="15.75" hidden="1" customHeight="1">
      <c r="A2099" s="20" t="s">
        <v>151</v>
      </c>
      <c r="B2099" s="47" t="s">
        <v>180</v>
      </c>
      <c r="C2099" s="47"/>
      <c r="D2099" s="19" t="s">
        <v>20</v>
      </c>
      <c r="E2099" s="23">
        <v>11.0</v>
      </c>
      <c r="F2099" s="18">
        <f>E2099* 0.61531089014017</f>
        <v>6.768419792</v>
      </c>
      <c r="G2099" s="18">
        <f>E2099* 0.298190966814424</f>
        <v>3.280100635</v>
      </c>
      <c r="H2099" s="18">
        <f>E2099* 0.086378339523182</f>
        <v>0.9501617348</v>
      </c>
    </row>
    <row r="2100" ht="15.75" hidden="1" customHeight="1">
      <c r="A2100" s="20" t="s">
        <v>151</v>
      </c>
      <c r="B2100" s="47" t="s">
        <v>180</v>
      </c>
      <c r="C2100" s="47"/>
      <c r="D2100" s="19" t="s">
        <v>21</v>
      </c>
      <c r="E2100" s="23">
        <v>29.0</v>
      </c>
      <c r="F2100" s="18">
        <f>E2100* 0.999801370543252</f>
        <v>28.99423975</v>
      </c>
      <c r="G2100" s="18">
        <f>E2100* 0.0000993147283742179</f>
        <v>0.002880127123</v>
      </c>
      <c r="H2100" s="18">
        <f>E2100* 0.0000993147283742179</f>
        <v>0.002880127123</v>
      </c>
    </row>
    <row r="2101" ht="15.75" hidden="1" customHeight="1">
      <c r="A2101" s="20" t="s">
        <v>151</v>
      </c>
      <c r="B2101" s="47" t="s">
        <v>180</v>
      </c>
      <c r="C2101" s="47"/>
      <c r="D2101" s="19" t="s">
        <v>28</v>
      </c>
      <c r="E2101" s="23">
        <v>1.0</v>
      </c>
      <c r="F2101" s="20">
        <v>0.0</v>
      </c>
      <c r="G2101" s="18">
        <f>E2101* 0.99904671115348</f>
        <v>0.9990467112</v>
      </c>
      <c r="H2101" s="18">
        <f>E2101* 0.000953288846520496</f>
        <v>0.0009532888465</v>
      </c>
    </row>
    <row r="2102" ht="15.75" hidden="1" customHeight="1">
      <c r="A2102" s="20" t="s">
        <v>151</v>
      </c>
      <c r="B2102" s="47" t="s">
        <v>180</v>
      </c>
      <c r="C2102" s="47"/>
      <c r="D2102" s="19" t="s">
        <v>12</v>
      </c>
      <c r="E2102" s="23">
        <v>20.0</v>
      </c>
      <c r="F2102" s="18">
        <f>E2102* 0.849400404921352</f>
        <v>16.9880081</v>
      </c>
      <c r="G2102" s="18">
        <f>E2102* 0.0654726678087525</f>
        <v>1.309453356</v>
      </c>
      <c r="H2102" s="18">
        <f>E2102* 0.0851269272698957</f>
        <v>1.702538545</v>
      </c>
    </row>
    <row r="2103" ht="15.75" hidden="1" customHeight="1">
      <c r="A2103" s="20" t="s">
        <v>151</v>
      </c>
      <c r="B2103" s="20"/>
      <c r="C2103" s="20"/>
      <c r="D2103" s="46"/>
      <c r="E2103" s="35"/>
    </row>
    <row r="2104" ht="15.75" customHeight="1">
      <c r="A2104" s="20" t="s">
        <v>151</v>
      </c>
      <c r="B2104" s="47" t="s">
        <v>181</v>
      </c>
      <c r="C2104" s="12" t="str">
        <f>B2104&amp;"_"&amp;A2104</f>
        <v>Turco_Oruro</v>
      </c>
      <c r="D2104" s="20"/>
      <c r="E2104" s="45">
        <v>400.0</v>
      </c>
      <c r="F2104" s="14">
        <f t="shared" ref="F2104:H2104" si="177">SUM(F2105:F2116)</f>
        <v>279.9612479</v>
      </c>
      <c r="G2104" s="14">
        <f t="shared" si="177"/>
        <v>94.33144176</v>
      </c>
      <c r="H2104" s="14">
        <f t="shared" si="177"/>
        <v>25.67655388</v>
      </c>
    </row>
    <row r="2105" ht="15.75" hidden="1" customHeight="1">
      <c r="A2105" s="20" t="s">
        <v>151</v>
      </c>
      <c r="B2105" s="47" t="s">
        <v>181</v>
      </c>
      <c r="C2105" s="47"/>
      <c r="D2105" s="29" t="s">
        <v>533</v>
      </c>
      <c r="E2105" s="23">
        <v>0.0</v>
      </c>
      <c r="F2105" s="20">
        <v>0.0</v>
      </c>
      <c r="G2105" s="24">
        <f>E2105</f>
        <v>0</v>
      </c>
      <c r="H2105" s="20">
        <v>0.0</v>
      </c>
    </row>
    <row r="2106" ht="15.75" hidden="1" customHeight="1">
      <c r="A2106" s="20" t="s">
        <v>151</v>
      </c>
      <c r="B2106" s="47" t="s">
        <v>181</v>
      </c>
      <c r="C2106" s="47"/>
      <c r="D2106" s="19" t="s">
        <v>15</v>
      </c>
      <c r="E2106" s="23">
        <v>66.0</v>
      </c>
      <c r="F2106" s="18">
        <f>E2106* 0.929012779104059</f>
        <v>61.31484342</v>
      </c>
      <c r="G2106" s="18">
        <f>E2106* 0.00947900575761831</f>
        <v>0.62561438</v>
      </c>
      <c r="H2106" s="18">
        <f>E2106* 0.0614380002808594</f>
        <v>4.054908019</v>
      </c>
    </row>
    <row r="2107" ht="15.75" hidden="1" customHeight="1">
      <c r="A2107" s="20" t="s">
        <v>151</v>
      </c>
      <c r="B2107" s="47" t="s">
        <v>181</v>
      </c>
      <c r="C2107" s="47"/>
      <c r="D2107" s="29" t="s">
        <v>534</v>
      </c>
      <c r="E2107" s="23">
        <v>8.0</v>
      </c>
      <c r="F2107" s="18">
        <f>E2107* 0.0624390243902439</f>
        <v>0.4995121951</v>
      </c>
      <c r="G2107" s="18">
        <f>E2107* 0.936585365853659</f>
        <v>7.492682927</v>
      </c>
      <c r="H2107" s="20">
        <v>0.0</v>
      </c>
    </row>
    <row r="2108" ht="15.75" hidden="1" customHeight="1">
      <c r="A2108" s="20" t="s">
        <v>151</v>
      </c>
      <c r="B2108" s="47" t="s">
        <v>181</v>
      </c>
      <c r="C2108" s="47"/>
      <c r="D2108" s="19" t="s">
        <v>11</v>
      </c>
      <c r="E2108" s="23">
        <v>46.0</v>
      </c>
      <c r="F2108" s="18">
        <f>E2108* 0.080360592401803</f>
        <v>3.69658725</v>
      </c>
      <c r="G2108" s="18">
        <f>E2108* 0.917192530585963</f>
        <v>42.19085641</v>
      </c>
      <c r="H2108" s="18">
        <f>E2108* 0.00218931101094656</f>
        <v>0.1007083065</v>
      </c>
    </row>
    <row r="2109" ht="15.75" hidden="1" customHeight="1">
      <c r="A2109" s="20" t="s">
        <v>151</v>
      </c>
      <c r="B2109" s="47" t="s">
        <v>181</v>
      </c>
      <c r="C2109" s="47"/>
      <c r="D2109" s="19" t="s">
        <v>17</v>
      </c>
      <c r="E2109" s="23">
        <v>45.0</v>
      </c>
      <c r="F2109" s="18">
        <f>E2109* 0.836035451794207</f>
        <v>37.62159533</v>
      </c>
      <c r="G2109" s="18">
        <f>E2109* 0.0583657587548638</f>
        <v>2.626459144</v>
      </c>
      <c r="H2109" s="18">
        <f>E2109* 0.10559878945093</f>
        <v>4.751945525</v>
      </c>
    </row>
    <row r="2110" ht="15.75" hidden="1" customHeight="1">
      <c r="A2110" s="20" t="s">
        <v>151</v>
      </c>
      <c r="B2110" s="47" t="s">
        <v>181</v>
      </c>
      <c r="C2110" s="47"/>
      <c r="D2110" s="19" t="s">
        <v>31</v>
      </c>
      <c r="E2110" s="23">
        <v>4.0</v>
      </c>
      <c r="F2110" s="18">
        <f>E2110* 0.872611464968153</f>
        <v>3.49044586</v>
      </c>
      <c r="G2110" s="18">
        <f>E2110* 0.0764331210191083</f>
        <v>0.3057324841</v>
      </c>
      <c r="H2110" s="18">
        <f>E2110* 0.0509554140127389</f>
        <v>0.2038216561</v>
      </c>
    </row>
    <row r="2111" ht="15.75" hidden="1" customHeight="1">
      <c r="A2111" s="20" t="s">
        <v>151</v>
      </c>
      <c r="B2111" s="47" t="s">
        <v>181</v>
      </c>
      <c r="C2111" s="47"/>
      <c r="D2111" s="19" t="s">
        <v>18</v>
      </c>
      <c r="E2111" s="23">
        <v>5.0</v>
      </c>
      <c r="F2111" s="18">
        <f>E2111* 0.920270974465868</f>
        <v>4.601354872</v>
      </c>
      <c r="G2111" s="18">
        <f>E2111* 0.0703491401771756</f>
        <v>0.3517457009</v>
      </c>
      <c r="H2111" s="18">
        <f>E2111* 0.00937988535695675</f>
        <v>0.04689942678</v>
      </c>
    </row>
    <row r="2112" ht="15.75" hidden="1" customHeight="1">
      <c r="A2112" s="20" t="s">
        <v>151</v>
      </c>
      <c r="B2112" s="47" t="s">
        <v>181</v>
      </c>
      <c r="C2112" s="47"/>
      <c r="D2112" s="19" t="s">
        <v>19</v>
      </c>
      <c r="E2112" s="23">
        <v>2.0</v>
      </c>
      <c r="F2112" s="18">
        <f>E2112* 0.223420647149461</f>
        <v>0.4468412943</v>
      </c>
      <c r="G2112" s="18">
        <f>E2112* 0.773497688751926</f>
        <v>1.546995378</v>
      </c>
      <c r="H2112" s="18">
        <f>E2112* 0.00308166409861325</f>
        <v>0.006163328197</v>
      </c>
    </row>
    <row r="2113" ht="15.75" hidden="1" customHeight="1">
      <c r="A2113" s="20" t="s">
        <v>151</v>
      </c>
      <c r="B2113" s="47" t="s">
        <v>181</v>
      </c>
      <c r="C2113" s="47"/>
      <c r="D2113" s="19" t="s">
        <v>20</v>
      </c>
      <c r="E2113" s="23">
        <v>54.0</v>
      </c>
      <c r="F2113" s="18">
        <f>E2113* 0.61531089014017</f>
        <v>33.22678807</v>
      </c>
      <c r="G2113" s="18">
        <f>E2113* 0.298190966814424</f>
        <v>16.10231221</v>
      </c>
      <c r="H2113" s="18">
        <f>E2113* 0.086378339523182</f>
        <v>4.664430334</v>
      </c>
    </row>
    <row r="2114" ht="15.75" hidden="1" customHeight="1">
      <c r="A2114" s="20" t="s">
        <v>151</v>
      </c>
      <c r="B2114" s="47" t="s">
        <v>181</v>
      </c>
      <c r="C2114" s="47"/>
      <c r="D2114" s="19" t="s">
        <v>21</v>
      </c>
      <c r="E2114" s="23">
        <v>17.0</v>
      </c>
      <c r="F2114" s="18">
        <f>E2114* 0.999801370543252</f>
        <v>16.9966233</v>
      </c>
      <c r="G2114" s="18">
        <f>E2114* 0.0000993147283742179</f>
        <v>0.001688350382</v>
      </c>
      <c r="H2114" s="18">
        <f>E2114* 0.0000993147283742179</f>
        <v>0.001688350382</v>
      </c>
    </row>
    <row r="2115" ht="15.75" hidden="1" customHeight="1">
      <c r="A2115" s="20" t="s">
        <v>151</v>
      </c>
      <c r="B2115" s="47" t="s">
        <v>181</v>
      </c>
      <c r="C2115" s="47"/>
      <c r="D2115" s="19" t="s">
        <v>28</v>
      </c>
      <c r="E2115" s="23">
        <v>14.0</v>
      </c>
      <c r="F2115" s="20">
        <v>0.0</v>
      </c>
      <c r="G2115" s="18">
        <f>E2115* 0.99904671115348</f>
        <v>13.98665396</v>
      </c>
      <c r="H2115" s="18">
        <f>E2115* 0.000953288846520496</f>
        <v>0.01334604385</v>
      </c>
    </row>
    <row r="2116" ht="15.75" hidden="1" customHeight="1">
      <c r="A2116" s="20" t="s">
        <v>151</v>
      </c>
      <c r="B2116" s="47" t="s">
        <v>181</v>
      </c>
      <c r="C2116" s="47"/>
      <c r="D2116" s="19" t="s">
        <v>12</v>
      </c>
      <c r="E2116" s="23">
        <v>139.0</v>
      </c>
      <c r="F2116" s="18">
        <f>E2116* 0.849400404921352</f>
        <v>118.0666563</v>
      </c>
      <c r="G2116" s="18">
        <f>E2116* 0.0654726678087525</f>
        <v>9.100700825</v>
      </c>
      <c r="H2116" s="18">
        <f>E2116* 0.0851269272698957</f>
        <v>11.83264289</v>
      </c>
    </row>
    <row r="2117" ht="15.75" hidden="1" customHeight="1">
      <c r="A2117" s="20" t="s">
        <v>151</v>
      </c>
      <c r="B2117" s="20"/>
      <c r="C2117" s="20"/>
      <c r="D2117" s="46"/>
      <c r="E2117" s="35"/>
    </row>
    <row r="2118" ht="15.75" customHeight="1">
      <c r="A2118" s="20" t="s">
        <v>151</v>
      </c>
      <c r="B2118" s="47" t="s">
        <v>182</v>
      </c>
      <c r="C2118" s="12" t="str">
        <f>B2118&amp;"_"&amp;A2118</f>
        <v>Villa Huanuni_Oruro</v>
      </c>
      <c r="D2118" s="20"/>
      <c r="E2118" s="45">
        <v>1158.0</v>
      </c>
      <c r="F2118" s="14">
        <f t="shared" ref="F2118:H2118" si="178">SUM(F2119:F2130)</f>
        <v>911.6537153</v>
      </c>
      <c r="G2118" s="14">
        <f t="shared" si="178"/>
        <v>177.1816184</v>
      </c>
      <c r="H2118" s="14">
        <f t="shared" si="178"/>
        <v>69.1072572</v>
      </c>
    </row>
    <row r="2119" ht="15.75" hidden="1" customHeight="1">
      <c r="A2119" s="20" t="s">
        <v>151</v>
      </c>
      <c r="B2119" s="47" t="s">
        <v>182</v>
      </c>
      <c r="C2119" s="47"/>
      <c r="D2119" s="29" t="s">
        <v>535</v>
      </c>
      <c r="E2119" s="23">
        <v>7.0</v>
      </c>
      <c r="F2119" s="20">
        <v>0.0</v>
      </c>
      <c r="G2119" s="24">
        <f>E2119</f>
        <v>7</v>
      </c>
      <c r="H2119" s="20">
        <v>0.0</v>
      </c>
    </row>
    <row r="2120" ht="15.75" hidden="1" customHeight="1">
      <c r="A2120" s="20" t="s">
        <v>151</v>
      </c>
      <c r="B2120" s="47" t="s">
        <v>182</v>
      </c>
      <c r="C2120" s="47"/>
      <c r="D2120" s="19" t="s">
        <v>15</v>
      </c>
      <c r="E2120" s="23">
        <v>156.0</v>
      </c>
      <c r="F2120" s="18">
        <f>E2120* 0.929012779104059</f>
        <v>144.9259935</v>
      </c>
      <c r="G2120" s="18">
        <f>E2120* 0.00947900575761831</f>
        <v>1.478724898</v>
      </c>
      <c r="H2120" s="18">
        <f>E2120* 0.0614380002808594</f>
        <v>9.584328044</v>
      </c>
    </row>
    <row r="2121" ht="15.75" hidden="1" customHeight="1">
      <c r="A2121" s="20" t="s">
        <v>151</v>
      </c>
      <c r="B2121" s="47" t="s">
        <v>182</v>
      </c>
      <c r="C2121" s="47"/>
      <c r="D2121" s="29" t="s">
        <v>536</v>
      </c>
      <c r="E2121" s="23">
        <v>12.0</v>
      </c>
      <c r="F2121" s="18">
        <f>E2121* 0.0624390243902439</f>
        <v>0.7492682927</v>
      </c>
      <c r="G2121" s="18">
        <f>E2121* 0.936585365853659</f>
        <v>11.23902439</v>
      </c>
      <c r="H2121" s="20">
        <v>0.0</v>
      </c>
    </row>
    <row r="2122" ht="15.75" hidden="1" customHeight="1">
      <c r="A2122" s="20" t="s">
        <v>151</v>
      </c>
      <c r="B2122" s="47" t="s">
        <v>182</v>
      </c>
      <c r="C2122" s="47"/>
      <c r="D2122" s="19" t="s">
        <v>11</v>
      </c>
      <c r="E2122" s="23">
        <v>67.0</v>
      </c>
      <c r="F2122" s="18">
        <f>E2122* 0.080360592401803</f>
        <v>5.384159691</v>
      </c>
      <c r="G2122" s="18">
        <f>E2122* 0.917192530585963</f>
        <v>61.45189955</v>
      </c>
      <c r="H2122" s="18">
        <f>E2122* 0.00218931101094656</f>
        <v>0.1466838377</v>
      </c>
    </row>
    <row r="2123" ht="15.75" hidden="1" customHeight="1">
      <c r="A2123" s="20" t="s">
        <v>151</v>
      </c>
      <c r="B2123" s="47" t="s">
        <v>182</v>
      </c>
      <c r="C2123" s="47"/>
      <c r="D2123" s="19" t="s">
        <v>17</v>
      </c>
      <c r="E2123" s="23">
        <v>66.0</v>
      </c>
      <c r="F2123" s="18">
        <f>E2123* 0.836035451794207</f>
        <v>55.17833982</v>
      </c>
      <c r="G2123" s="18">
        <f>E2123* 0.0583657587548638</f>
        <v>3.852140078</v>
      </c>
      <c r="H2123" s="18">
        <f>E2123* 0.10559878945093</f>
        <v>6.969520104</v>
      </c>
    </row>
    <row r="2124" ht="15.75" hidden="1" customHeight="1">
      <c r="A2124" s="20" t="s">
        <v>151</v>
      </c>
      <c r="B2124" s="47" t="s">
        <v>182</v>
      </c>
      <c r="C2124" s="47"/>
      <c r="D2124" s="19" t="s">
        <v>31</v>
      </c>
      <c r="E2124" s="23">
        <v>50.0</v>
      </c>
      <c r="F2124" s="18">
        <f>E2124* 0.872611464968153</f>
        <v>43.63057325</v>
      </c>
      <c r="G2124" s="18">
        <f>E2124* 0.0764331210191083</f>
        <v>3.821656051</v>
      </c>
      <c r="H2124" s="18">
        <f>E2124* 0.0509554140127389</f>
        <v>2.547770701</v>
      </c>
    </row>
    <row r="2125" ht="15.75" hidden="1" customHeight="1">
      <c r="A2125" s="20" t="s">
        <v>151</v>
      </c>
      <c r="B2125" s="47" t="s">
        <v>182</v>
      </c>
      <c r="C2125" s="47"/>
      <c r="D2125" s="19" t="s">
        <v>18</v>
      </c>
      <c r="E2125" s="23">
        <v>10.0</v>
      </c>
      <c r="F2125" s="18">
        <f>E2125* 0.920270974465868</f>
        <v>9.202709745</v>
      </c>
      <c r="G2125" s="18">
        <f>E2125* 0.0703491401771756</f>
        <v>0.7034914018</v>
      </c>
      <c r="H2125" s="18">
        <f>E2125* 0.00937988535695675</f>
        <v>0.09379885357</v>
      </c>
    </row>
    <row r="2126" ht="15.75" hidden="1" customHeight="1">
      <c r="A2126" s="20" t="s">
        <v>151</v>
      </c>
      <c r="B2126" s="47" t="s">
        <v>182</v>
      </c>
      <c r="C2126" s="47"/>
      <c r="D2126" s="19" t="s">
        <v>19</v>
      </c>
      <c r="E2126" s="23">
        <v>2.0</v>
      </c>
      <c r="F2126" s="18">
        <f>E2126* 0.223420647149461</f>
        <v>0.4468412943</v>
      </c>
      <c r="G2126" s="18">
        <f>E2126* 0.773497688751926</f>
        <v>1.546995378</v>
      </c>
      <c r="H2126" s="18">
        <f>E2126* 0.00308166409861325</f>
        <v>0.006163328197</v>
      </c>
    </row>
    <row r="2127" ht="15.75" hidden="1" customHeight="1">
      <c r="A2127" s="20" t="s">
        <v>151</v>
      </c>
      <c r="B2127" s="47" t="s">
        <v>182</v>
      </c>
      <c r="C2127" s="47"/>
      <c r="D2127" s="19" t="s">
        <v>20</v>
      </c>
      <c r="E2127" s="23">
        <v>146.0</v>
      </c>
      <c r="F2127" s="18">
        <f>E2127* 0.61531089014017</f>
        <v>89.83538996</v>
      </c>
      <c r="G2127" s="18">
        <f>E2127* 0.298190966814424</f>
        <v>43.53588115</v>
      </c>
      <c r="H2127" s="18">
        <f>E2127* 0.086378339523182</f>
        <v>12.61123757</v>
      </c>
    </row>
    <row r="2128" ht="15.75" hidden="1" customHeight="1">
      <c r="A2128" s="20" t="s">
        <v>151</v>
      </c>
      <c r="B2128" s="47" t="s">
        <v>182</v>
      </c>
      <c r="C2128" s="47"/>
      <c r="D2128" s="19" t="s">
        <v>21</v>
      </c>
      <c r="E2128" s="23">
        <v>192.0</v>
      </c>
      <c r="F2128" s="18">
        <f>E2128* 0.999801370543252</f>
        <v>191.9618631</v>
      </c>
      <c r="G2128" s="18">
        <f>E2128* 0.0000993147283742179</f>
        <v>0.01906842785</v>
      </c>
      <c r="H2128" s="18">
        <f>E2128* 0.0000993147283742179</f>
        <v>0.01906842785</v>
      </c>
    </row>
    <row r="2129" ht="15.75" hidden="1" customHeight="1">
      <c r="A2129" s="20" t="s">
        <v>151</v>
      </c>
      <c r="B2129" s="47" t="s">
        <v>182</v>
      </c>
      <c r="C2129" s="47"/>
      <c r="D2129" s="19" t="s">
        <v>28</v>
      </c>
      <c r="E2129" s="23">
        <v>14.0</v>
      </c>
      <c r="F2129" s="20">
        <v>0.0</v>
      </c>
      <c r="G2129" s="18">
        <f>E2129* 0.99904671115348</f>
        <v>13.98665396</v>
      </c>
      <c r="H2129" s="18">
        <f>E2129* 0.000953288846520496</f>
        <v>0.01334604385</v>
      </c>
    </row>
    <row r="2130" ht="15.75" hidden="1" customHeight="1">
      <c r="A2130" s="20" t="s">
        <v>151</v>
      </c>
      <c r="B2130" s="47" t="s">
        <v>182</v>
      </c>
      <c r="C2130" s="47"/>
      <c r="D2130" s="19" t="s">
        <v>12</v>
      </c>
      <c r="E2130" s="23">
        <v>436.0</v>
      </c>
      <c r="F2130" s="18">
        <f>E2130* 0.849400404921352</f>
        <v>370.3385765</v>
      </c>
      <c r="G2130" s="18">
        <f>E2130* 0.0654726678087525</f>
        <v>28.54608316</v>
      </c>
      <c r="H2130" s="18">
        <f>E2130* 0.0851269272698957</f>
        <v>37.11534029</v>
      </c>
    </row>
    <row r="2131" ht="15.75" hidden="1" customHeight="1">
      <c r="A2131" s="20" t="s">
        <v>151</v>
      </c>
      <c r="B2131" s="20"/>
      <c r="C2131" s="20"/>
      <c r="D2131" s="46"/>
      <c r="E2131" s="35"/>
    </row>
    <row r="2132" ht="15.75" customHeight="1">
      <c r="A2132" s="20" t="s">
        <v>151</v>
      </c>
      <c r="B2132" s="47" t="s">
        <v>537</v>
      </c>
      <c r="C2132" s="12" t="str">
        <f>B2132&amp;"_"&amp;A2132</f>
        <v>Yunguyo de Litoral_Oruro</v>
      </c>
      <c r="D2132" s="20"/>
      <c r="E2132" s="45">
        <v>329.0</v>
      </c>
      <c r="F2132" s="14">
        <f t="shared" ref="F2132:H2132" si="179">SUM(F2133:F2143)</f>
        <v>247.133151</v>
      </c>
      <c r="G2132" s="14">
        <f t="shared" si="179"/>
        <v>58.86564016</v>
      </c>
      <c r="H2132" s="14">
        <f t="shared" si="179"/>
        <v>22.98602071</v>
      </c>
    </row>
    <row r="2133" ht="15.75" hidden="1" customHeight="1">
      <c r="A2133" s="20" t="s">
        <v>151</v>
      </c>
      <c r="B2133" s="47" t="s">
        <v>537</v>
      </c>
      <c r="C2133" s="47"/>
      <c r="D2133" s="19" t="s">
        <v>15</v>
      </c>
      <c r="E2133" s="23">
        <v>37.0</v>
      </c>
      <c r="F2133" s="18">
        <f>E2133* 0.929012779104059</f>
        <v>34.37347283</v>
      </c>
      <c r="G2133" s="18">
        <f>E2133* 0.00947900575761831</f>
        <v>0.350723213</v>
      </c>
      <c r="H2133" s="18">
        <f>E2133* 0.0614380002808594</f>
        <v>2.27320601</v>
      </c>
    </row>
    <row r="2134" ht="15.75" hidden="1" customHeight="1">
      <c r="A2134" s="20" t="s">
        <v>151</v>
      </c>
      <c r="B2134" s="47" t="s">
        <v>537</v>
      </c>
      <c r="C2134" s="47"/>
      <c r="D2134" s="29" t="s">
        <v>413</v>
      </c>
      <c r="E2134" s="23">
        <v>1.0</v>
      </c>
      <c r="F2134" s="18">
        <f>E2134* 0.0624390243902439</f>
        <v>0.06243902439</v>
      </c>
      <c r="G2134" s="18">
        <f>E2134* 0.936585365853659</f>
        <v>0.9365853659</v>
      </c>
      <c r="H2134" s="20">
        <v>0.0</v>
      </c>
    </row>
    <row r="2135" ht="15.75" hidden="1" customHeight="1">
      <c r="A2135" s="20" t="s">
        <v>151</v>
      </c>
      <c r="B2135" s="47" t="s">
        <v>537</v>
      </c>
      <c r="C2135" s="47"/>
      <c r="D2135" s="19" t="s">
        <v>11</v>
      </c>
      <c r="E2135" s="23">
        <v>33.0</v>
      </c>
      <c r="F2135" s="18">
        <f>E2135* 0.080360592401803</f>
        <v>2.651899549</v>
      </c>
      <c r="G2135" s="18">
        <f>E2135* 0.917192530585963</f>
        <v>30.26735351</v>
      </c>
      <c r="H2135" s="18">
        <f>E2135* 0.00218931101094656</f>
        <v>0.07224726336</v>
      </c>
    </row>
    <row r="2136" ht="15.75" hidden="1" customHeight="1">
      <c r="A2136" s="20" t="s">
        <v>151</v>
      </c>
      <c r="B2136" s="47" t="s">
        <v>537</v>
      </c>
      <c r="C2136" s="47"/>
      <c r="D2136" s="19" t="s">
        <v>17</v>
      </c>
      <c r="E2136" s="23">
        <v>48.0</v>
      </c>
      <c r="F2136" s="18">
        <f>E2136* 0.836035451794207</f>
        <v>40.12970169</v>
      </c>
      <c r="G2136" s="18">
        <f>E2136* 0.0583657587548638</f>
        <v>2.80155642</v>
      </c>
      <c r="H2136" s="18">
        <f>E2136* 0.10559878945093</f>
        <v>5.068741894</v>
      </c>
    </row>
    <row r="2137" ht="15.75" hidden="1" customHeight="1">
      <c r="A2137" s="20" t="s">
        <v>151</v>
      </c>
      <c r="B2137" s="47" t="s">
        <v>537</v>
      </c>
      <c r="C2137" s="47"/>
      <c r="D2137" s="19" t="s">
        <v>31</v>
      </c>
      <c r="E2137" s="23">
        <v>3.0</v>
      </c>
      <c r="F2137" s="18">
        <f>E2137* 0.872611464968153</f>
        <v>2.617834395</v>
      </c>
      <c r="G2137" s="18">
        <f>E2137* 0.0764331210191083</f>
        <v>0.2292993631</v>
      </c>
      <c r="H2137" s="18">
        <f>E2137* 0.0509554140127389</f>
        <v>0.152866242</v>
      </c>
    </row>
    <row r="2138" ht="15.75" hidden="1" customHeight="1">
      <c r="A2138" s="20" t="s">
        <v>151</v>
      </c>
      <c r="B2138" s="47" t="s">
        <v>537</v>
      </c>
      <c r="C2138" s="47"/>
      <c r="D2138" s="19" t="s">
        <v>18</v>
      </c>
      <c r="E2138" s="23">
        <v>5.0</v>
      </c>
      <c r="F2138" s="18">
        <f>E2138* 0.920270974465868</f>
        <v>4.601354872</v>
      </c>
      <c r="G2138" s="18">
        <f>E2138* 0.0703491401771756</f>
        <v>0.3517457009</v>
      </c>
      <c r="H2138" s="18">
        <f>E2138* 0.00937988535695675</f>
        <v>0.04689942678</v>
      </c>
    </row>
    <row r="2139" ht="15.75" hidden="1" customHeight="1">
      <c r="A2139" s="20" t="s">
        <v>151</v>
      </c>
      <c r="B2139" s="47" t="s">
        <v>537</v>
      </c>
      <c r="C2139" s="47"/>
      <c r="D2139" s="19" t="s">
        <v>19</v>
      </c>
      <c r="E2139" s="23">
        <v>4.0</v>
      </c>
      <c r="F2139" s="18">
        <f>E2139* 0.223420647149461</f>
        <v>0.8936825886</v>
      </c>
      <c r="G2139" s="18">
        <f>E2139* 0.773497688751926</f>
        <v>3.093990755</v>
      </c>
      <c r="H2139" s="18">
        <f>E2139* 0.00308166409861325</f>
        <v>0.01232665639</v>
      </c>
    </row>
    <row r="2140" ht="15.75" hidden="1" customHeight="1">
      <c r="A2140" s="20" t="s">
        <v>151</v>
      </c>
      <c r="B2140" s="47" t="s">
        <v>537</v>
      </c>
      <c r="C2140" s="47"/>
      <c r="D2140" s="19" t="s">
        <v>20</v>
      </c>
      <c r="E2140" s="23">
        <v>26.0</v>
      </c>
      <c r="F2140" s="18">
        <f>E2140* 0.61531089014017</f>
        <v>15.99808314</v>
      </c>
      <c r="G2140" s="18">
        <f>E2140* 0.298190966814424</f>
        <v>7.752965137</v>
      </c>
      <c r="H2140" s="18">
        <f>E2140* 0.086378339523182</f>
        <v>2.245836828</v>
      </c>
    </row>
    <row r="2141" ht="15.75" hidden="1" customHeight="1">
      <c r="A2141" s="20" t="s">
        <v>151</v>
      </c>
      <c r="B2141" s="47" t="s">
        <v>537</v>
      </c>
      <c r="C2141" s="47"/>
      <c r="D2141" s="19" t="s">
        <v>21</v>
      </c>
      <c r="E2141" s="23">
        <v>15.0</v>
      </c>
      <c r="F2141" s="18">
        <f>E2141* 0.999801370543252</f>
        <v>14.99702056</v>
      </c>
      <c r="G2141" s="18">
        <f>E2141* 0.0000993147283742179</f>
        <v>0.001489720926</v>
      </c>
      <c r="H2141" s="18">
        <f>E2141* 0.0000993147283742179</f>
        <v>0.001489720926</v>
      </c>
    </row>
    <row r="2142" ht="15.75" hidden="1" customHeight="1">
      <c r="A2142" s="20" t="s">
        <v>151</v>
      </c>
      <c r="B2142" s="47" t="s">
        <v>537</v>
      </c>
      <c r="C2142" s="47"/>
      <c r="D2142" s="19" t="s">
        <v>28</v>
      </c>
      <c r="E2142" s="23">
        <v>3.0</v>
      </c>
      <c r="F2142" s="20">
        <v>0.0</v>
      </c>
      <c r="G2142" s="18">
        <f>E2142* 0.99904671115348</f>
        <v>2.997140133</v>
      </c>
      <c r="H2142" s="18">
        <f>E2142* 0.000953288846520496</f>
        <v>0.00285986654</v>
      </c>
    </row>
    <row r="2143" ht="15.75" hidden="1" customHeight="1">
      <c r="A2143" s="20" t="s">
        <v>151</v>
      </c>
      <c r="B2143" s="47" t="s">
        <v>537</v>
      </c>
      <c r="C2143" s="47"/>
      <c r="D2143" s="50" t="s">
        <v>12</v>
      </c>
      <c r="E2143" s="27">
        <v>154.0</v>
      </c>
      <c r="F2143" s="18">
        <f>E2143* 0.849400404921352</f>
        <v>130.8076624</v>
      </c>
      <c r="G2143" s="18">
        <f>E2143* 0.0654726678087525</f>
        <v>10.08279084</v>
      </c>
      <c r="H2143" s="18">
        <f>E2143* 0.0851269272698957</f>
        <v>13.1095468</v>
      </c>
    </row>
    <row r="2144" ht="15.75" hidden="1" customHeight="1">
      <c r="A2144" s="20" t="s">
        <v>183</v>
      </c>
      <c r="B2144" s="47" t="s">
        <v>184</v>
      </c>
      <c r="C2144" s="12" t="str">
        <f>B2144&amp;"_"&amp;A2144</f>
        <v>Acasio_Potosí</v>
      </c>
      <c r="D2144" s="20"/>
      <c r="E2144" s="45">
        <v>0.0</v>
      </c>
      <c r="F2144" s="14">
        <f t="shared" ref="F2144:H2144" si="180">F2145</f>
        <v>0</v>
      </c>
      <c r="G2144" s="14">
        <f t="shared" si="180"/>
        <v>0</v>
      </c>
      <c r="H2144" s="14">
        <f t="shared" si="180"/>
        <v>0</v>
      </c>
    </row>
    <row r="2145" ht="15.75" hidden="1" customHeight="1">
      <c r="A2145" s="20" t="s">
        <v>183</v>
      </c>
      <c r="B2145" s="47" t="s">
        <v>184</v>
      </c>
      <c r="C2145" s="47"/>
      <c r="D2145" s="46" t="s">
        <v>18</v>
      </c>
      <c r="E2145" s="32">
        <v>0.0</v>
      </c>
      <c r="F2145" s="18">
        <f>E2145* 0.941463414634146</f>
        <v>0</v>
      </c>
      <c r="G2145" s="18">
        <f>E2145* 0.0532833020637899</f>
        <v>0</v>
      </c>
      <c r="H2145" s="18">
        <f>E2145* 0.00487804878048781</f>
        <v>0</v>
      </c>
    </row>
    <row r="2146" ht="15.75" hidden="1" customHeight="1">
      <c r="A2146" s="20" t="s">
        <v>183</v>
      </c>
      <c r="B2146" s="20"/>
      <c r="C2146" s="20"/>
      <c r="D2146" s="46"/>
      <c r="E2146" s="35"/>
    </row>
    <row r="2147" ht="15.75" hidden="1" customHeight="1">
      <c r="A2147" s="20" t="s">
        <v>183</v>
      </c>
      <c r="B2147" s="47" t="s">
        <v>185</v>
      </c>
      <c r="C2147" s="12" t="str">
        <f>B2147&amp;"_"&amp;A2147</f>
        <v>Atocha_Potosí</v>
      </c>
      <c r="D2147" s="20"/>
      <c r="E2147" s="45">
        <v>200.0</v>
      </c>
      <c r="F2147" s="14">
        <f t="shared" ref="F2147:H2147" si="181">SUM(F2148:F2159)</f>
        <v>159.6977717</v>
      </c>
      <c r="G2147" s="14">
        <f t="shared" si="181"/>
        <v>36.03592923</v>
      </c>
      <c r="H2147" s="14">
        <f t="shared" si="181"/>
        <v>4.250707212</v>
      </c>
    </row>
    <row r="2148" ht="15.75" hidden="1" customHeight="1">
      <c r="A2148" s="20" t="s">
        <v>183</v>
      </c>
      <c r="B2148" s="47" t="s">
        <v>185</v>
      </c>
      <c r="C2148" s="47"/>
      <c r="D2148" s="46" t="s">
        <v>519</v>
      </c>
      <c r="E2148" s="32">
        <v>1.0</v>
      </c>
      <c r="F2148" s="20">
        <v>0.0</v>
      </c>
      <c r="G2148" s="24">
        <f>E2148</f>
        <v>1</v>
      </c>
      <c r="H2148" s="20">
        <v>0.0</v>
      </c>
    </row>
    <row r="2149" ht="15.75" hidden="1" customHeight="1">
      <c r="A2149" s="20" t="s">
        <v>183</v>
      </c>
      <c r="B2149" s="47" t="s">
        <v>185</v>
      </c>
      <c r="C2149" s="47"/>
      <c r="D2149" s="46" t="s">
        <v>15</v>
      </c>
      <c r="E2149" s="32">
        <v>3.0</v>
      </c>
      <c r="F2149" s="18">
        <f>E2149* 0.975464549882735</f>
        <v>2.92639365</v>
      </c>
      <c r="G2149" s="18">
        <f>E2149* 0.00487100847916291</f>
        <v>0.01461302544</v>
      </c>
      <c r="H2149" s="18">
        <f>E2149* 0.0195742377773769</f>
        <v>0.05872271333</v>
      </c>
    </row>
    <row r="2150" ht="15.75" hidden="1" customHeight="1">
      <c r="A2150" s="20" t="s">
        <v>183</v>
      </c>
      <c r="B2150" s="47" t="s">
        <v>185</v>
      </c>
      <c r="C2150" s="47"/>
      <c r="D2150" s="35" t="s">
        <v>538</v>
      </c>
      <c r="E2150" s="32">
        <v>2.0</v>
      </c>
      <c r="F2150" s="18">
        <f>E2150* 0.0607843137254902</f>
        <v>0.1215686275</v>
      </c>
      <c r="G2150" s="18">
        <f>E2150* 0.93921568627451</f>
        <v>1.878431373</v>
      </c>
      <c r="H2150" s="20">
        <v>0.0</v>
      </c>
    </row>
    <row r="2151" ht="15.75" hidden="1" customHeight="1">
      <c r="A2151" s="20" t="s">
        <v>183</v>
      </c>
      <c r="B2151" s="47" t="s">
        <v>185</v>
      </c>
      <c r="C2151" s="47"/>
      <c r="D2151" s="46" t="s">
        <v>11</v>
      </c>
      <c r="E2151" s="32">
        <v>20.0</v>
      </c>
      <c r="F2151" s="18">
        <f>E2151* 0.175725756639901</f>
        <v>3.514515133</v>
      </c>
      <c r="G2151" s="18">
        <f>E2151* 0.823656578134651</f>
        <v>16.47313156</v>
      </c>
      <c r="H2151" s="18">
        <f>E2151* 0.000617665225447807</f>
        <v>0.01235330451</v>
      </c>
    </row>
    <row r="2152" ht="15.75" hidden="1" customHeight="1">
      <c r="A2152" s="20" t="s">
        <v>183</v>
      </c>
      <c r="B2152" s="47" t="s">
        <v>185</v>
      </c>
      <c r="C2152" s="47"/>
      <c r="D2152" s="46" t="s">
        <v>17</v>
      </c>
      <c r="E2152" s="32">
        <v>27.0</v>
      </c>
      <c r="F2152" s="18">
        <f>E2152* 0.869679539852095</f>
        <v>23.48134758</v>
      </c>
      <c r="G2152" s="18">
        <f>E2152* 0.0695152013147083</f>
        <v>1.876910435</v>
      </c>
      <c r="H2152" s="18">
        <f>E2152* 0.0608052588331964</f>
        <v>1.641741988</v>
      </c>
    </row>
    <row r="2153" ht="15.75" hidden="1" customHeight="1">
      <c r="A2153" s="20" t="s">
        <v>183</v>
      </c>
      <c r="B2153" s="47" t="s">
        <v>185</v>
      </c>
      <c r="C2153" s="47"/>
      <c r="D2153" s="46" t="s">
        <v>18</v>
      </c>
      <c r="E2153" s="32">
        <v>12.0</v>
      </c>
      <c r="F2153" s="18">
        <f>E2153* 0.941463414634146</f>
        <v>11.29756098</v>
      </c>
      <c r="G2153" s="18">
        <f>E2153* 0.0532833020637899</f>
        <v>0.6393996248</v>
      </c>
      <c r="H2153" s="18">
        <f>E2153* 0.00487804878048781</f>
        <v>0.05853658537</v>
      </c>
    </row>
    <row r="2154" ht="15.75" hidden="1" customHeight="1">
      <c r="A2154" s="20" t="s">
        <v>183</v>
      </c>
      <c r="B2154" s="47" t="s">
        <v>185</v>
      </c>
      <c r="C2154" s="47"/>
      <c r="D2154" s="46" t="s">
        <v>539</v>
      </c>
      <c r="E2154" s="32">
        <v>3.0</v>
      </c>
      <c r="F2154" s="20">
        <v>0.0</v>
      </c>
      <c r="G2154" s="24">
        <f>E2154</f>
        <v>3</v>
      </c>
      <c r="H2154" s="20">
        <v>0.0</v>
      </c>
    </row>
    <row r="2155" ht="15.75" hidden="1" customHeight="1">
      <c r="A2155" s="20" t="s">
        <v>183</v>
      </c>
      <c r="B2155" s="47" t="s">
        <v>185</v>
      </c>
      <c r="C2155" s="47"/>
      <c r="D2155" s="46" t="s">
        <v>19</v>
      </c>
      <c r="E2155" s="32">
        <v>6.0</v>
      </c>
      <c r="F2155" s="18">
        <f>E2155* 0.0748299319727891</f>
        <v>0.4489795918</v>
      </c>
      <c r="G2155" s="18">
        <f>E2155* 0.924036281179138</f>
        <v>5.544217687</v>
      </c>
      <c r="H2155" s="18">
        <f>E2155* 0.00113378684807256</f>
        <v>0.006802721088</v>
      </c>
    </row>
    <row r="2156" ht="15.75" hidden="1" customHeight="1">
      <c r="A2156" s="20" t="s">
        <v>183</v>
      </c>
      <c r="B2156" s="47" t="s">
        <v>185</v>
      </c>
      <c r="C2156" s="47"/>
      <c r="D2156" s="46" t="s">
        <v>20</v>
      </c>
      <c r="E2156" s="32">
        <v>4.0</v>
      </c>
      <c r="F2156" s="18">
        <f>E2156* 0.799709724238026</f>
        <v>3.198838897</v>
      </c>
      <c r="G2156" s="18">
        <f>E2156* 0.150580551523948</f>
        <v>0.6023222061</v>
      </c>
      <c r="H2156" s="18">
        <f>E2156* 0.0493468795355588</f>
        <v>0.1973875181</v>
      </c>
    </row>
    <row r="2157" ht="15.75" hidden="1" customHeight="1">
      <c r="A2157" s="20" t="s">
        <v>183</v>
      </c>
      <c r="B2157" s="47" t="s">
        <v>185</v>
      </c>
      <c r="C2157" s="47"/>
      <c r="D2157" s="46" t="s">
        <v>21</v>
      </c>
      <c r="E2157" s="32">
        <v>62.0</v>
      </c>
      <c r="F2157" s="18">
        <f>E2157* 0.999328295549958</f>
        <v>61.95835432</v>
      </c>
      <c r="G2157" s="18">
        <f>E2157* 0.000335852225020991</f>
        <v>0.02082283795</v>
      </c>
      <c r="H2157" s="18">
        <f>E2157* 0.000335852225020991</f>
        <v>0.02082283795</v>
      </c>
    </row>
    <row r="2158" ht="15.75" hidden="1" customHeight="1">
      <c r="A2158" s="20" t="s">
        <v>183</v>
      </c>
      <c r="B2158" s="47" t="s">
        <v>185</v>
      </c>
      <c r="C2158" s="47"/>
      <c r="D2158" s="46" t="s">
        <v>28</v>
      </c>
      <c r="E2158" s="32">
        <v>1.0</v>
      </c>
      <c r="F2158" s="18">
        <f>E2158* 0.00116550116550117</f>
        <v>0.001165501166</v>
      </c>
      <c r="G2158" s="18">
        <f>E2158* 0.998834498834499</f>
        <v>0.9988344988</v>
      </c>
      <c r="H2158" s="20">
        <v>0.0</v>
      </c>
    </row>
    <row r="2159" ht="15.75" hidden="1" customHeight="1">
      <c r="A2159" s="20" t="s">
        <v>183</v>
      </c>
      <c r="B2159" s="47" t="s">
        <v>185</v>
      </c>
      <c r="C2159" s="47"/>
      <c r="D2159" s="46" t="s">
        <v>12</v>
      </c>
      <c r="E2159" s="32">
        <v>59.0</v>
      </c>
      <c r="F2159" s="18">
        <f>E2159* 0.894051651143099</f>
        <v>52.74904742</v>
      </c>
      <c r="G2159" s="18">
        <f>E2159* 0.0675804403048264</f>
        <v>3.987245978</v>
      </c>
      <c r="H2159" s="18">
        <f>E2159* 0.0382091447925487</f>
        <v>2.254339543</v>
      </c>
    </row>
    <row r="2160" ht="15.75" hidden="1" customHeight="1">
      <c r="A2160" s="20" t="s">
        <v>183</v>
      </c>
      <c r="B2160" s="20"/>
      <c r="C2160" s="20"/>
      <c r="D2160" s="46"/>
      <c r="E2160" s="35"/>
    </row>
    <row r="2161" ht="15.75" hidden="1" customHeight="1">
      <c r="A2161" s="20" t="s">
        <v>183</v>
      </c>
      <c r="B2161" s="47" t="s">
        <v>186</v>
      </c>
      <c r="C2161" s="12" t="str">
        <f>B2161&amp;"_"&amp;A2161</f>
        <v>Belen de Urmiri_Potosí</v>
      </c>
      <c r="D2161" s="20"/>
      <c r="E2161" s="45">
        <v>0.0</v>
      </c>
      <c r="F2161" s="14">
        <f t="shared" ref="F2161:H2161" si="182">SUM(F2162:F2163)</f>
        <v>0</v>
      </c>
      <c r="G2161" s="14">
        <f t="shared" si="182"/>
        <v>0</v>
      </c>
      <c r="H2161" s="14">
        <f t="shared" si="182"/>
        <v>0</v>
      </c>
    </row>
    <row r="2162" ht="15.75" hidden="1" customHeight="1">
      <c r="A2162" s="20" t="s">
        <v>183</v>
      </c>
      <c r="B2162" s="47" t="s">
        <v>186</v>
      </c>
      <c r="C2162" s="47"/>
      <c r="D2162" s="46" t="s">
        <v>17</v>
      </c>
      <c r="E2162" s="32">
        <v>0.0</v>
      </c>
      <c r="F2162" s="18">
        <f>E2162* 0.869679539852095</f>
        <v>0</v>
      </c>
      <c r="G2162" s="18">
        <f>E2162* 0.0695152013147083</f>
        <v>0</v>
      </c>
      <c r="H2162" s="18">
        <f>E2162* 0.0608052588331964</f>
        <v>0</v>
      </c>
    </row>
    <row r="2163" ht="15.75" hidden="1" customHeight="1">
      <c r="A2163" s="20" t="s">
        <v>183</v>
      </c>
      <c r="B2163" s="47" t="s">
        <v>186</v>
      </c>
      <c r="C2163" s="47"/>
      <c r="D2163" s="46" t="s">
        <v>18</v>
      </c>
      <c r="E2163" s="32">
        <v>0.0</v>
      </c>
      <c r="F2163" s="18">
        <f>E2163* 0.941463414634146</f>
        <v>0</v>
      </c>
      <c r="G2163" s="18">
        <f>E2163* 0.0532833020637899</f>
        <v>0</v>
      </c>
      <c r="H2163" s="18">
        <f>E2163* 0.00487804878048781</f>
        <v>0</v>
      </c>
    </row>
    <row r="2164" ht="15.75" hidden="1" customHeight="1">
      <c r="A2164" s="20" t="s">
        <v>183</v>
      </c>
      <c r="B2164" s="20"/>
      <c r="C2164" s="20"/>
      <c r="D2164" s="46"/>
      <c r="E2164" s="35"/>
    </row>
    <row r="2165" ht="15.75" hidden="1" customHeight="1">
      <c r="A2165" s="20" t="s">
        <v>183</v>
      </c>
      <c r="B2165" s="47" t="s">
        <v>187</v>
      </c>
      <c r="C2165" s="12" t="str">
        <f>B2165&amp;"_"&amp;A2165</f>
        <v>Betanzos_Potosí</v>
      </c>
      <c r="D2165" s="20"/>
      <c r="E2165" s="45">
        <v>305.0</v>
      </c>
      <c r="F2165" s="14">
        <f t="shared" ref="F2165:H2165" si="183">SUM(F2166:F2176)</f>
        <v>234.8392978</v>
      </c>
      <c r="G2165" s="14">
        <f t="shared" si="183"/>
        <v>63.81059463</v>
      </c>
      <c r="H2165" s="14">
        <f t="shared" si="183"/>
        <v>6.332942654</v>
      </c>
    </row>
    <row r="2166" ht="15.75" hidden="1" customHeight="1">
      <c r="A2166" s="20" t="s">
        <v>183</v>
      </c>
      <c r="B2166" s="47" t="s">
        <v>187</v>
      </c>
      <c r="C2166" s="47"/>
      <c r="D2166" s="46" t="s">
        <v>540</v>
      </c>
      <c r="E2166" s="32">
        <v>0.0</v>
      </c>
      <c r="F2166" s="20">
        <v>0.0</v>
      </c>
      <c r="G2166" s="24">
        <f>E2166</f>
        <v>0</v>
      </c>
      <c r="H2166" s="20">
        <v>0.0</v>
      </c>
    </row>
    <row r="2167" ht="15.75" hidden="1" customHeight="1">
      <c r="A2167" s="20" t="s">
        <v>183</v>
      </c>
      <c r="B2167" s="47" t="s">
        <v>187</v>
      </c>
      <c r="C2167" s="47"/>
      <c r="D2167" s="46" t="s">
        <v>15</v>
      </c>
      <c r="E2167" s="32">
        <v>19.0</v>
      </c>
      <c r="F2167" s="18">
        <f>E2167* 0.975464549882735</f>
        <v>18.53382645</v>
      </c>
      <c r="G2167" s="18">
        <f>E2167* 0.00487100847916291</f>
        <v>0.0925491611</v>
      </c>
      <c r="H2167" s="18">
        <f>E2167* 0.0195742377773769</f>
        <v>0.3719105178</v>
      </c>
    </row>
    <row r="2168" ht="15.75" hidden="1" customHeight="1">
      <c r="A2168" s="20" t="s">
        <v>183</v>
      </c>
      <c r="B2168" s="47" t="s">
        <v>187</v>
      </c>
      <c r="C2168" s="47"/>
      <c r="D2168" s="35" t="s">
        <v>541</v>
      </c>
      <c r="E2168" s="32">
        <v>2.0</v>
      </c>
      <c r="F2168" s="18">
        <f>E2168* 0.0607843137254902</f>
        <v>0.1215686275</v>
      </c>
      <c r="G2168" s="18">
        <f>E2168* 0.93921568627451</f>
        <v>1.878431373</v>
      </c>
      <c r="H2168" s="20">
        <v>0.0</v>
      </c>
    </row>
    <row r="2169" ht="15.75" hidden="1" customHeight="1">
      <c r="A2169" s="20" t="s">
        <v>183</v>
      </c>
      <c r="B2169" s="47" t="s">
        <v>187</v>
      </c>
      <c r="C2169" s="47"/>
      <c r="D2169" s="46" t="s">
        <v>11</v>
      </c>
      <c r="E2169" s="32">
        <v>59.0</v>
      </c>
      <c r="F2169" s="18">
        <f>E2169* 0.175725756639901</f>
        <v>10.36781964</v>
      </c>
      <c r="G2169" s="18">
        <f>E2169* 0.823656578134651</f>
        <v>48.59573811</v>
      </c>
      <c r="H2169" s="18">
        <f>E2169* 0.000617665225447807</f>
        <v>0.0364422483</v>
      </c>
    </row>
    <row r="2170" ht="15.75" hidden="1" customHeight="1">
      <c r="A2170" s="20" t="s">
        <v>183</v>
      </c>
      <c r="B2170" s="47" t="s">
        <v>187</v>
      </c>
      <c r="C2170" s="47"/>
      <c r="D2170" s="46" t="s">
        <v>17</v>
      </c>
      <c r="E2170" s="32">
        <v>51.0</v>
      </c>
      <c r="F2170" s="18">
        <f>E2170* 0.869679539852095</f>
        <v>44.35365653</v>
      </c>
      <c r="G2170" s="18">
        <f>E2170* 0.0695152013147083</f>
        <v>3.545275267</v>
      </c>
      <c r="H2170" s="18">
        <f>E2170* 0.0608052588331964</f>
        <v>3.1010682</v>
      </c>
    </row>
    <row r="2171" ht="15.75" hidden="1" customHeight="1">
      <c r="A2171" s="20" t="s">
        <v>183</v>
      </c>
      <c r="B2171" s="47" t="s">
        <v>187</v>
      </c>
      <c r="C2171" s="47"/>
      <c r="D2171" s="46" t="s">
        <v>18</v>
      </c>
      <c r="E2171" s="32">
        <v>6.0</v>
      </c>
      <c r="F2171" s="18">
        <f>E2171* 0.941463414634146</f>
        <v>5.648780488</v>
      </c>
      <c r="G2171" s="18">
        <f>E2171* 0.0532833020637899</f>
        <v>0.3196998124</v>
      </c>
      <c r="H2171" s="18">
        <f>E2171* 0.00487804878048781</f>
        <v>0.02926829268</v>
      </c>
    </row>
    <row r="2172" ht="15.75" hidden="1" customHeight="1">
      <c r="A2172" s="20" t="s">
        <v>183</v>
      </c>
      <c r="B2172" s="47" t="s">
        <v>187</v>
      </c>
      <c r="C2172" s="47"/>
      <c r="D2172" s="46" t="s">
        <v>19</v>
      </c>
      <c r="E2172" s="32">
        <v>3.0</v>
      </c>
      <c r="F2172" s="18">
        <f>E2172* 0.0748299319727891</f>
        <v>0.2244897959</v>
      </c>
      <c r="G2172" s="18">
        <f>E2172* 0.924036281179138</f>
        <v>2.772108844</v>
      </c>
      <c r="H2172" s="18">
        <f>E2172* 0.00113378684807256</f>
        <v>0.003401360544</v>
      </c>
    </row>
    <row r="2173" ht="15.75" hidden="1" customHeight="1">
      <c r="A2173" s="20" t="s">
        <v>183</v>
      </c>
      <c r="B2173" s="47" t="s">
        <v>187</v>
      </c>
      <c r="C2173" s="47"/>
      <c r="D2173" s="46" t="s">
        <v>20</v>
      </c>
      <c r="E2173" s="32">
        <v>11.0</v>
      </c>
      <c r="F2173" s="18">
        <f>E2173* 0.799709724238026</f>
        <v>8.796806967</v>
      </c>
      <c r="G2173" s="18">
        <f>E2173* 0.150580551523948</f>
        <v>1.656386067</v>
      </c>
      <c r="H2173" s="18">
        <f>E2173* 0.0493468795355588</f>
        <v>0.5428156749</v>
      </c>
    </row>
    <row r="2174" ht="15.75" hidden="1" customHeight="1">
      <c r="A2174" s="20" t="s">
        <v>183</v>
      </c>
      <c r="B2174" s="47" t="s">
        <v>187</v>
      </c>
      <c r="C2174" s="47"/>
      <c r="D2174" s="46" t="s">
        <v>21</v>
      </c>
      <c r="E2174" s="32">
        <v>95.0</v>
      </c>
      <c r="F2174" s="18">
        <f>E2174* 0.999328295549958</f>
        <v>94.93618808</v>
      </c>
      <c r="G2174" s="18">
        <f>E2174* 0.000335852225020991</f>
        <v>0.03190596138</v>
      </c>
      <c r="H2174" s="18">
        <f>E2174* 0.000335852225020991</f>
        <v>0.03190596138</v>
      </c>
    </row>
    <row r="2175" ht="15.75" hidden="1" customHeight="1">
      <c r="A2175" s="20" t="s">
        <v>183</v>
      </c>
      <c r="B2175" s="47" t="s">
        <v>187</v>
      </c>
      <c r="C2175" s="47"/>
      <c r="D2175" s="46" t="s">
        <v>28</v>
      </c>
      <c r="E2175" s="32">
        <v>1.0</v>
      </c>
      <c r="F2175" s="18">
        <f>E2175* 0.00116550116550117</f>
        <v>0.001165501166</v>
      </c>
      <c r="G2175" s="18">
        <f>E2175* 0.998834498834499</f>
        <v>0.9988344988</v>
      </c>
      <c r="H2175" s="20">
        <v>0.0</v>
      </c>
    </row>
    <row r="2176" ht="15.75" hidden="1" customHeight="1">
      <c r="A2176" s="20" t="s">
        <v>183</v>
      </c>
      <c r="B2176" s="47" t="s">
        <v>187</v>
      </c>
      <c r="C2176" s="47"/>
      <c r="D2176" s="46" t="s">
        <v>12</v>
      </c>
      <c r="E2176" s="32">
        <v>58.0</v>
      </c>
      <c r="F2176" s="18">
        <f>E2176* 0.894051651143099</f>
        <v>51.85499577</v>
      </c>
      <c r="G2176" s="18">
        <f>E2176* 0.0675804403048264</f>
        <v>3.919665538</v>
      </c>
      <c r="H2176" s="18">
        <f>E2176* 0.0382091447925487</f>
        <v>2.216130398</v>
      </c>
    </row>
    <row r="2177" ht="15.75" hidden="1" customHeight="1">
      <c r="A2177" s="20" t="s">
        <v>183</v>
      </c>
      <c r="B2177" s="20"/>
      <c r="C2177" s="20"/>
      <c r="D2177" s="46"/>
      <c r="E2177" s="35"/>
    </row>
    <row r="2178" ht="15.75" hidden="1" customHeight="1">
      <c r="A2178" s="20" t="s">
        <v>183</v>
      </c>
      <c r="B2178" s="47" t="s">
        <v>188</v>
      </c>
      <c r="C2178" s="12" t="str">
        <f>B2178&amp;"_"&amp;A2178</f>
        <v>Caiza_Potosí</v>
      </c>
      <c r="D2178" s="20"/>
      <c r="E2178" s="45">
        <v>15.0</v>
      </c>
      <c r="F2178" s="14">
        <f t="shared" ref="F2178:H2178" si="184">SUM(F2179:F2187)</f>
        <v>11.90994705</v>
      </c>
      <c r="G2178" s="14">
        <f t="shared" si="184"/>
        <v>2.583464889</v>
      </c>
      <c r="H2178" s="14">
        <f t="shared" si="184"/>
        <v>0.504774267</v>
      </c>
    </row>
    <row r="2179" ht="15.75" hidden="1" customHeight="1">
      <c r="A2179" s="20" t="s">
        <v>183</v>
      </c>
      <c r="B2179" s="47" t="s">
        <v>188</v>
      </c>
      <c r="C2179" s="47"/>
      <c r="D2179" s="46" t="s">
        <v>15</v>
      </c>
      <c r="E2179" s="32">
        <v>1.0</v>
      </c>
      <c r="F2179" s="18">
        <f>E2179* 0.975464549882735</f>
        <v>0.9754645499</v>
      </c>
      <c r="G2179" s="18">
        <f>E2179* 0.00487100847916291</f>
        <v>0.004871008479</v>
      </c>
      <c r="H2179" s="18">
        <f>E2179* 0.0195742377773769</f>
        <v>0.01957423778</v>
      </c>
    </row>
    <row r="2180" ht="15.75" hidden="1" customHeight="1">
      <c r="A2180" s="20" t="s">
        <v>183</v>
      </c>
      <c r="B2180" s="47" t="s">
        <v>188</v>
      </c>
      <c r="C2180" s="47"/>
      <c r="D2180" s="35" t="s">
        <v>542</v>
      </c>
      <c r="E2180" s="32">
        <v>0.0</v>
      </c>
      <c r="F2180" s="18">
        <f>E2180* 0.0607843137254902</f>
        <v>0</v>
      </c>
      <c r="G2180" s="18">
        <f>E2180* 0.93921568627451</f>
        <v>0</v>
      </c>
      <c r="H2180" s="20">
        <v>0.0</v>
      </c>
    </row>
    <row r="2181" ht="15.75" hidden="1" customHeight="1">
      <c r="A2181" s="20" t="s">
        <v>183</v>
      </c>
      <c r="B2181" s="47" t="s">
        <v>188</v>
      </c>
      <c r="C2181" s="47"/>
      <c r="D2181" s="46" t="s">
        <v>11</v>
      </c>
      <c r="E2181" s="32">
        <v>2.0</v>
      </c>
      <c r="F2181" s="18">
        <f>E2181* 0.175725756639901</f>
        <v>0.3514515133</v>
      </c>
      <c r="G2181" s="18">
        <f>E2181* 0.823656578134651</f>
        <v>1.647313156</v>
      </c>
      <c r="H2181" s="18">
        <f>E2181* 0.000617665225447807</f>
        <v>0.001235330451</v>
      </c>
    </row>
    <row r="2182" ht="15.75" hidden="1" customHeight="1">
      <c r="A2182" s="20" t="s">
        <v>183</v>
      </c>
      <c r="B2182" s="47" t="s">
        <v>188</v>
      </c>
      <c r="C2182" s="47"/>
      <c r="D2182" s="46" t="s">
        <v>17</v>
      </c>
      <c r="E2182" s="32">
        <v>3.0</v>
      </c>
      <c r="F2182" s="18">
        <f>E2182* 0.869679539852095</f>
        <v>2.60903862</v>
      </c>
      <c r="G2182" s="18">
        <f>E2182* 0.0695152013147083</f>
        <v>0.2085456039</v>
      </c>
      <c r="H2182" s="18">
        <f>E2182* 0.0608052588331964</f>
        <v>0.1824157765</v>
      </c>
    </row>
    <row r="2183" ht="15.75" hidden="1" customHeight="1">
      <c r="A2183" s="20" t="s">
        <v>183</v>
      </c>
      <c r="B2183" s="47" t="s">
        <v>188</v>
      </c>
      <c r="C2183" s="47"/>
      <c r="D2183" s="46" t="s">
        <v>18</v>
      </c>
      <c r="E2183" s="32">
        <v>0.0</v>
      </c>
      <c r="F2183" s="18">
        <f>E2183* 0.941463414634146</f>
        <v>0</v>
      </c>
      <c r="G2183" s="18">
        <f>E2183* 0.0532833020637899</f>
        <v>0</v>
      </c>
      <c r="H2183" s="18">
        <f>E2183* 0.00487804878048781</f>
        <v>0</v>
      </c>
    </row>
    <row r="2184" ht="15.75" hidden="1" customHeight="1">
      <c r="A2184" s="20" t="s">
        <v>183</v>
      </c>
      <c r="B2184" s="47" t="s">
        <v>188</v>
      </c>
      <c r="C2184" s="47"/>
      <c r="D2184" s="46" t="s">
        <v>19</v>
      </c>
      <c r="E2184" s="32">
        <v>0.0</v>
      </c>
      <c r="F2184" s="18">
        <f>E2184* 0.0748299319727891</f>
        <v>0</v>
      </c>
      <c r="G2184" s="18">
        <f>E2184* 0.924036281179138</f>
        <v>0</v>
      </c>
      <c r="H2184" s="18">
        <f>E2184* 0.00113378684807256</f>
        <v>0</v>
      </c>
    </row>
    <row r="2185" ht="15.75" hidden="1" customHeight="1">
      <c r="A2185" s="20" t="s">
        <v>183</v>
      </c>
      <c r="B2185" s="47" t="s">
        <v>188</v>
      </c>
      <c r="C2185" s="47"/>
      <c r="D2185" s="46" t="s">
        <v>20</v>
      </c>
      <c r="E2185" s="32">
        <v>3.0</v>
      </c>
      <c r="F2185" s="18">
        <f>E2185* 0.799709724238026</f>
        <v>2.399129173</v>
      </c>
      <c r="G2185" s="18">
        <f>E2185* 0.150580551523948</f>
        <v>0.4517416546</v>
      </c>
      <c r="H2185" s="18">
        <f>E2185* 0.0493468795355588</f>
        <v>0.1480406386</v>
      </c>
    </row>
    <row r="2186" ht="15.75" hidden="1" customHeight="1">
      <c r="A2186" s="20" t="s">
        <v>183</v>
      </c>
      <c r="B2186" s="47" t="s">
        <v>188</v>
      </c>
      <c r="C2186" s="47"/>
      <c r="D2186" s="46" t="s">
        <v>21</v>
      </c>
      <c r="E2186" s="32">
        <v>2.0</v>
      </c>
      <c r="F2186" s="18">
        <f>E2186* 0.999328295549958</f>
        <v>1.998656591</v>
      </c>
      <c r="G2186" s="18">
        <f>E2186* 0.000335852225020991</f>
        <v>0.00067170445</v>
      </c>
      <c r="H2186" s="18">
        <f>E2186* 0.000335852225020991</f>
        <v>0.00067170445</v>
      </c>
    </row>
    <row r="2187" ht="15.75" hidden="1" customHeight="1">
      <c r="A2187" s="20" t="s">
        <v>183</v>
      </c>
      <c r="B2187" s="47" t="s">
        <v>188</v>
      </c>
      <c r="C2187" s="47"/>
      <c r="D2187" s="46" t="s">
        <v>12</v>
      </c>
      <c r="E2187" s="32">
        <v>4.0</v>
      </c>
      <c r="F2187" s="18">
        <f>E2187* 0.894051651143099</f>
        <v>3.576206605</v>
      </c>
      <c r="G2187" s="18">
        <f>E2187* 0.0675804403048264</f>
        <v>0.2703217612</v>
      </c>
      <c r="H2187" s="18">
        <f>E2187* 0.0382091447925487</f>
        <v>0.1528365792</v>
      </c>
    </row>
    <row r="2188" ht="15.75" hidden="1" customHeight="1">
      <c r="A2188" s="20" t="s">
        <v>183</v>
      </c>
      <c r="B2188" s="20"/>
      <c r="C2188" s="20"/>
      <c r="D2188" s="46"/>
      <c r="E2188" s="35"/>
    </row>
    <row r="2189" ht="15.75" hidden="1" customHeight="1">
      <c r="A2189" s="20" t="s">
        <v>183</v>
      </c>
      <c r="B2189" s="47" t="s">
        <v>189</v>
      </c>
      <c r="C2189" s="12" t="str">
        <f>B2189&amp;"_"&amp;A2189</f>
        <v>Caripuyo_Potosí</v>
      </c>
      <c r="D2189" s="20"/>
      <c r="E2189" s="45">
        <v>2.0</v>
      </c>
      <c r="F2189" s="14">
        <f t="shared" ref="F2189:H2189" si="185">SUM(F2190:F2191)</f>
        <v>1.869007835</v>
      </c>
      <c r="G2189" s="14">
        <f t="shared" si="185"/>
        <v>0.06985105354</v>
      </c>
      <c r="H2189" s="14">
        <f t="shared" si="185"/>
        <v>0.06114111106</v>
      </c>
    </row>
    <row r="2190" ht="15.75" hidden="1" customHeight="1">
      <c r="A2190" s="20" t="s">
        <v>183</v>
      </c>
      <c r="B2190" s="47" t="s">
        <v>189</v>
      </c>
      <c r="C2190" s="47"/>
      <c r="D2190" s="46" t="s">
        <v>17</v>
      </c>
      <c r="E2190" s="32">
        <v>1.0</v>
      </c>
      <c r="F2190" s="18">
        <f>E2190* 0.869679539852095</f>
        <v>0.8696795399</v>
      </c>
      <c r="G2190" s="18">
        <f>E2190* 0.0695152013147083</f>
        <v>0.06951520131</v>
      </c>
      <c r="H2190" s="18">
        <f>E2190* 0.0608052588331964</f>
        <v>0.06080525883</v>
      </c>
    </row>
    <row r="2191" ht="15.75" hidden="1" customHeight="1">
      <c r="A2191" s="20" t="s">
        <v>183</v>
      </c>
      <c r="B2191" s="47" t="s">
        <v>189</v>
      </c>
      <c r="C2191" s="47"/>
      <c r="D2191" s="46" t="s">
        <v>21</v>
      </c>
      <c r="E2191" s="32">
        <v>1.0</v>
      </c>
      <c r="F2191" s="18">
        <f>E2191* 0.999328295549958</f>
        <v>0.9993282955</v>
      </c>
      <c r="G2191" s="18">
        <f>E2191* 0.000335852225020991</f>
        <v>0.000335852225</v>
      </c>
      <c r="H2191" s="18">
        <f>E2191* 0.000335852225020991</f>
        <v>0.000335852225</v>
      </c>
    </row>
    <row r="2192" ht="15.75" hidden="1" customHeight="1">
      <c r="A2192" s="20" t="s">
        <v>183</v>
      </c>
      <c r="B2192" s="20"/>
      <c r="C2192" s="20"/>
      <c r="D2192" s="46"/>
      <c r="E2192" s="35"/>
    </row>
    <row r="2193" ht="15.75" hidden="1" customHeight="1">
      <c r="A2193" s="20" t="s">
        <v>183</v>
      </c>
      <c r="B2193" s="47" t="s">
        <v>190</v>
      </c>
      <c r="C2193" s="12" t="str">
        <f>B2193&amp;"_"&amp;A2193</f>
        <v>Chaqui_Potosí</v>
      </c>
      <c r="D2193" s="20"/>
      <c r="E2193" s="45">
        <v>37.0</v>
      </c>
      <c r="F2193" s="14">
        <f t="shared" ref="F2193:H2193" si="186">SUM(F2194:F2202)</f>
        <v>32.17364369</v>
      </c>
      <c r="G2193" s="14">
        <f t="shared" si="186"/>
        <v>3.908494661</v>
      </c>
      <c r="H2193" s="14">
        <f t="shared" si="186"/>
        <v>0.91424781</v>
      </c>
    </row>
    <row r="2194" ht="15.75" hidden="1" customHeight="1">
      <c r="A2194" s="20" t="s">
        <v>183</v>
      </c>
      <c r="B2194" s="47" t="s">
        <v>190</v>
      </c>
      <c r="C2194" s="47"/>
      <c r="D2194" s="46" t="s">
        <v>15</v>
      </c>
      <c r="E2194" s="32">
        <v>9.0</v>
      </c>
      <c r="F2194" s="18">
        <f>E2194* 0.975464549882735</f>
        <v>8.779180949</v>
      </c>
      <c r="G2194" s="18">
        <f>E2194* 0.00487100847916291</f>
        <v>0.04383907631</v>
      </c>
      <c r="H2194" s="18">
        <f>E2194* 0.0195742377773769</f>
        <v>0.17616814</v>
      </c>
    </row>
    <row r="2195" ht="15.75" hidden="1" customHeight="1">
      <c r="A2195" s="20" t="s">
        <v>183</v>
      </c>
      <c r="B2195" s="47" t="s">
        <v>190</v>
      </c>
      <c r="C2195" s="47"/>
      <c r="D2195" s="35" t="s">
        <v>543</v>
      </c>
      <c r="E2195" s="32">
        <v>0.0</v>
      </c>
      <c r="F2195" s="18">
        <f>E2195* 0.0607843137254902</f>
        <v>0</v>
      </c>
      <c r="G2195" s="18">
        <f>E2195* 0.93921568627451</f>
        <v>0</v>
      </c>
      <c r="H2195" s="20">
        <v>0.0</v>
      </c>
    </row>
    <row r="2196" ht="15.75" hidden="1" customHeight="1">
      <c r="A2196" s="20" t="s">
        <v>183</v>
      </c>
      <c r="B2196" s="47" t="s">
        <v>190</v>
      </c>
      <c r="C2196" s="47"/>
      <c r="D2196" s="46" t="s">
        <v>11</v>
      </c>
      <c r="E2196" s="32">
        <v>2.0</v>
      </c>
      <c r="F2196" s="18">
        <f>E2196* 0.175725756639901</f>
        <v>0.3514515133</v>
      </c>
      <c r="G2196" s="18">
        <f>E2196* 0.823656578134651</f>
        <v>1.647313156</v>
      </c>
      <c r="H2196" s="18">
        <f>E2196* 0.000617665225447807</f>
        <v>0.001235330451</v>
      </c>
    </row>
    <row r="2197" ht="15.75" hidden="1" customHeight="1">
      <c r="A2197" s="20" t="s">
        <v>183</v>
      </c>
      <c r="B2197" s="47" t="s">
        <v>190</v>
      </c>
      <c r="C2197" s="47"/>
      <c r="D2197" s="46" t="s">
        <v>17</v>
      </c>
      <c r="E2197" s="32">
        <v>3.0</v>
      </c>
      <c r="F2197" s="18">
        <f>E2197* 0.869679539852095</f>
        <v>2.60903862</v>
      </c>
      <c r="G2197" s="18">
        <f>E2197* 0.0695152013147083</f>
        <v>0.2085456039</v>
      </c>
      <c r="H2197" s="18">
        <f>E2197* 0.0608052588331964</f>
        <v>0.1824157765</v>
      </c>
    </row>
    <row r="2198" ht="15.75" hidden="1" customHeight="1">
      <c r="A2198" s="20" t="s">
        <v>183</v>
      </c>
      <c r="B2198" s="47" t="s">
        <v>190</v>
      </c>
      <c r="C2198" s="47"/>
      <c r="D2198" s="46" t="s">
        <v>18</v>
      </c>
      <c r="E2198" s="32">
        <v>1.0</v>
      </c>
      <c r="F2198" s="18">
        <f>E2198* 0.941463414634146</f>
        <v>0.9414634146</v>
      </c>
      <c r="G2198" s="18">
        <f>E2198* 0.0532833020637899</f>
        <v>0.05328330206</v>
      </c>
      <c r="H2198" s="18">
        <f>E2198* 0.00487804878048781</f>
        <v>0.00487804878</v>
      </c>
    </row>
    <row r="2199" ht="15.75" hidden="1" customHeight="1">
      <c r="A2199" s="20" t="s">
        <v>183</v>
      </c>
      <c r="B2199" s="47" t="s">
        <v>190</v>
      </c>
      <c r="C2199" s="47"/>
      <c r="D2199" s="46" t="s">
        <v>19</v>
      </c>
      <c r="E2199" s="32">
        <v>1.0</v>
      </c>
      <c r="F2199" s="18">
        <f>E2199* 0.0748299319727891</f>
        <v>0.07482993197</v>
      </c>
      <c r="G2199" s="18">
        <f>E2199* 0.924036281179138</f>
        <v>0.9240362812</v>
      </c>
      <c r="H2199" s="18">
        <f>E2199* 0.00113378684807256</f>
        <v>0.001133786848</v>
      </c>
    </row>
    <row r="2200" ht="15.75" hidden="1" customHeight="1">
      <c r="A2200" s="20" t="s">
        <v>183</v>
      </c>
      <c r="B2200" s="47" t="s">
        <v>190</v>
      </c>
      <c r="C2200" s="47"/>
      <c r="D2200" s="46" t="s">
        <v>20</v>
      </c>
      <c r="E2200" s="32">
        <v>1.0</v>
      </c>
      <c r="F2200" s="18">
        <f>E2200* 0.799709724238026</f>
        <v>0.7997097242</v>
      </c>
      <c r="G2200" s="18">
        <f>E2200* 0.150580551523948</f>
        <v>0.1505805515</v>
      </c>
      <c r="H2200" s="18">
        <f>E2200* 0.0493468795355588</f>
        <v>0.04934687954</v>
      </c>
    </row>
    <row r="2201" ht="15.75" hidden="1" customHeight="1">
      <c r="A2201" s="20" t="s">
        <v>183</v>
      </c>
      <c r="B2201" s="47" t="s">
        <v>190</v>
      </c>
      <c r="C2201" s="47"/>
      <c r="D2201" s="46" t="s">
        <v>21</v>
      </c>
      <c r="E2201" s="32">
        <v>7.0</v>
      </c>
      <c r="F2201" s="18">
        <f>E2201* 0.999328295549958</f>
        <v>6.995298069</v>
      </c>
      <c r="G2201" s="18">
        <f>E2201* 0.000335852225020991</f>
        <v>0.002350965575</v>
      </c>
      <c r="H2201" s="18">
        <f>E2201* 0.000335852225020991</f>
        <v>0.002350965575</v>
      </c>
    </row>
    <row r="2202" ht="15.75" hidden="1" customHeight="1">
      <c r="A2202" s="20" t="s">
        <v>183</v>
      </c>
      <c r="B2202" s="47" t="s">
        <v>190</v>
      </c>
      <c r="C2202" s="47"/>
      <c r="D2202" s="46" t="s">
        <v>12</v>
      </c>
      <c r="E2202" s="32">
        <v>13.0</v>
      </c>
      <c r="F2202" s="18">
        <f>E2202* 0.894051651143099</f>
        <v>11.62267146</v>
      </c>
      <c r="G2202" s="18">
        <f>E2202* 0.0675804403048264</f>
        <v>0.878545724</v>
      </c>
      <c r="H2202" s="18">
        <f>E2202* 0.0382091447925487</f>
        <v>0.4967188823</v>
      </c>
    </row>
    <row r="2203" ht="15.75" hidden="1" customHeight="1">
      <c r="A2203" s="20" t="s">
        <v>183</v>
      </c>
      <c r="B2203" s="20"/>
      <c r="C2203" s="20"/>
      <c r="D2203" s="46"/>
      <c r="E2203" s="35"/>
    </row>
    <row r="2204" ht="15.75" hidden="1" customHeight="1">
      <c r="A2204" s="20" t="s">
        <v>183</v>
      </c>
      <c r="B2204" s="47" t="s">
        <v>191</v>
      </c>
      <c r="C2204" s="12" t="str">
        <f>B2204&amp;"_"&amp;A2204</f>
        <v>Chayanta_Potosí</v>
      </c>
      <c r="D2204" s="20"/>
      <c r="E2204" s="45">
        <v>31.0</v>
      </c>
      <c r="F2204" s="14">
        <f t="shared" ref="F2204:H2204" si="187">SUM(F2205:F2212)</f>
        <v>25.97150692</v>
      </c>
      <c r="G2204" s="14">
        <f t="shared" si="187"/>
        <v>4.183820503</v>
      </c>
      <c r="H2204" s="14">
        <f t="shared" si="187"/>
        <v>0.8402016147</v>
      </c>
    </row>
    <row r="2205" ht="15.75" hidden="1" customHeight="1">
      <c r="A2205" s="20" t="s">
        <v>183</v>
      </c>
      <c r="B2205" s="47" t="s">
        <v>191</v>
      </c>
      <c r="C2205" s="47"/>
      <c r="D2205" s="46" t="s">
        <v>15</v>
      </c>
      <c r="E2205" s="32">
        <v>2.0</v>
      </c>
      <c r="F2205" s="18">
        <f>E2205* 0.975464549882735</f>
        <v>1.9509291</v>
      </c>
      <c r="G2205" s="18">
        <f>E2205* 0.00487100847916291</f>
        <v>0.009742016958</v>
      </c>
      <c r="H2205" s="18">
        <f>E2205* 0.0195742377773769</f>
        <v>0.03914847555</v>
      </c>
    </row>
    <row r="2206" ht="15.75" hidden="1" customHeight="1">
      <c r="A2206" s="20" t="s">
        <v>183</v>
      </c>
      <c r="B2206" s="47" t="s">
        <v>191</v>
      </c>
      <c r="C2206" s="47"/>
      <c r="D2206" s="46" t="s">
        <v>11</v>
      </c>
      <c r="E2206" s="32">
        <v>2.0</v>
      </c>
      <c r="F2206" s="18">
        <f>E2206* 0.175725756639901</f>
        <v>0.3514515133</v>
      </c>
      <c r="G2206" s="18">
        <f>E2206* 0.823656578134651</f>
        <v>1.647313156</v>
      </c>
      <c r="H2206" s="18">
        <f>E2206* 0.000617665225447807</f>
        <v>0.001235330451</v>
      </c>
    </row>
    <row r="2207" ht="15.75" hidden="1" customHeight="1">
      <c r="A2207" s="20" t="s">
        <v>183</v>
      </c>
      <c r="B2207" s="47" t="s">
        <v>191</v>
      </c>
      <c r="C2207" s="47"/>
      <c r="D2207" s="46" t="s">
        <v>17</v>
      </c>
      <c r="E2207" s="32">
        <v>3.0</v>
      </c>
      <c r="F2207" s="18">
        <f>E2207* 0.869679539852095</f>
        <v>2.60903862</v>
      </c>
      <c r="G2207" s="18">
        <f>E2207* 0.0695152013147083</f>
        <v>0.2085456039</v>
      </c>
      <c r="H2207" s="18">
        <f>E2207* 0.0608052588331964</f>
        <v>0.1824157765</v>
      </c>
    </row>
    <row r="2208" ht="15.75" hidden="1" customHeight="1">
      <c r="A2208" s="20" t="s">
        <v>183</v>
      </c>
      <c r="B2208" s="47" t="s">
        <v>191</v>
      </c>
      <c r="C2208" s="47"/>
      <c r="D2208" s="46" t="s">
        <v>18</v>
      </c>
      <c r="E2208" s="32">
        <v>4.0</v>
      </c>
      <c r="F2208" s="18">
        <f>E2208* 0.941463414634146</f>
        <v>3.765853659</v>
      </c>
      <c r="G2208" s="18">
        <f>E2208* 0.0532833020637899</f>
        <v>0.2131332083</v>
      </c>
      <c r="H2208" s="18">
        <f>E2208* 0.00487804878048781</f>
        <v>0.01951219512</v>
      </c>
    </row>
    <row r="2209" ht="15.75" hidden="1" customHeight="1">
      <c r="A2209" s="20" t="s">
        <v>183</v>
      </c>
      <c r="B2209" s="47" t="s">
        <v>191</v>
      </c>
      <c r="C2209" s="47"/>
      <c r="D2209" s="46" t="s">
        <v>19</v>
      </c>
      <c r="E2209" s="32">
        <v>1.0</v>
      </c>
      <c r="F2209" s="18">
        <f>E2209* 0.0748299319727891</f>
        <v>0.07482993197</v>
      </c>
      <c r="G2209" s="18">
        <f>E2209* 0.924036281179138</f>
        <v>0.9240362812</v>
      </c>
      <c r="H2209" s="18">
        <f>E2209* 0.00113378684807256</f>
        <v>0.001133786848</v>
      </c>
    </row>
    <row r="2210" ht="15.75" hidden="1" customHeight="1">
      <c r="A2210" s="20" t="s">
        <v>183</v>
      </c>
      <c r="B2210" s="47" t="s">
        <v>191</v>
      </c>
      <c r="C2210" s="47"/>
      <c r="D2210" s="46" t="s">
        <v>20</v>
      </c>
      <c r="E2210" s="32">
        <v>2.0</v>
      </c>
      <c r="F2210" s="18">
        <f>E2210* 0.799709724238026</f>
        <v>1.599419448</v>
      </c>
      <c r="G2210" s="18">
        <f>E2210* 0.150580551523948</f>
        <v>0.301161103</v>
      </c>
      <c r="H2210" s="18">
        <f>E2210* 0.0493468795355588</f>
        <v>0.09869375907</v>
      </c>
    </row>
    <row r="2211" ht="15.75" hidden="1" customHeight="1">
      <c r="A2211" s="20" t="s">
        <v>183</v>
      </c>
      <c r="B2211" s="47" t="s">
        <v>191</v>
      </c>
      <c r="C2211" s="47"/>
      <c r="D2211" s="46" t="s">
        <v>21</v>
      </c>
      <c r="E2211" s="32">
        <v>4.0</v>
      </c>
      <c r="F2211" s="18">
        <f>E2211* 0.999328295549958</f>
        <v>3.997313182</v>
      </c>
      <c r="G2211" s="18">
        <f>E2211* 0.000335852225020991</f>
        <v>0.0013434089</v>
      </c>
      <c r="H2211" s="18">
        <f>E2211* 0.000335852225020991</f>
        <v>0.0013434089</v>
      </c>
    </row>
    <row r="2212" ht="15.75" hidden="1" customHeight="1">
      <c r="A2212" s="20" t="s">
        <v>183</v>
      </c>
      <c r="B2212" s="47" t="s">
        <v>191</v>
      </c>
      <c r="C2212" s="47"/>
      <c r="D2212" s="46" t="s">
        <v>12</v>
      </c>
      <c r="E2212" s="32">
        <v>13.0</v>
      </c>
      <c r="F2212" s="18">
        <f>E2212* 0.894051651143099</f>
        <v>11.62267146</v>
      </c>
      <c r="G2212" s="18">
        <f>E2212* 0.0675804403048264</f>
        <v>0.878545724</v>
      </c>
      <c r="H2212" s="18">
        <f>E2212* 0.0382091447925487</f>
        <v>0.4967188823</v>
      </c>
    </row>
    <row r="2213" ht="15.75" hidden="1" customHeight="1">
      <c r="A2213" s="20" t="s">
        <v>183</v>
      </c>
      <c r="B2213" s="20"/>
      <c r="C2213" s="20"/>
      <c r="D2213" s="46"/>
      <c r="E2213" s="35"/>
    </row>
    <row r="2214" ht="15.75" hidden="1" customHeight="1">
      <c r="A2214" s="20" t="s">
        <v>183</v>
      </c>
      <c r="B2214" s="47" t="s">
        <v>544</v>
      </c>
      <c r="C2214" s="12" t="str">
        <f>B2214&amp;"_"&amp;A2214</f>
        <v>Ckochas_Potosí</v>
      </c>
      <c r="D2214" s="20"/>
      <c r="E2214" s="45">
        <v>2.0</v>
      </c>
      <c r="F2214" s="14">
        <f t="shared" ref="F2214:H2214" si="188">SUM(F2215:F2216)</f>
        <v>0.2365100704</v>
      </c>
      <c r="G2214" s="14">
        <f t="shared" si="188"/>
        <v>1.762872264</v>
      </c>
      <c r="H2214" s="14">
        <f t="shared" si="188"/>
        <v>0.0006176652254</v>
      </c>
    </row>
    <row r="2215" ht="15.75" hidden="1" customHeight="1">
      <c r="A2215" s="20" t="s">
        <v>183</v>
      </c>
      <c r="B2215" s="47" t="s">
        <v>544</v>
      </c>
      <c r="C2215" s="47"/>
      <c r="D2215" s="35" t="s">
        <v>545</v>
      </c>
      <c r="E2215" s="32">
        <v>1.0</v>
      </c>
      <c r="F2215" s="18">
        <f>E2215* 0.0607843137254902</f>
        <v>0.06078431373</v>
      </c>
      <c r="G2215" s="18">
        <f>E2215* 0.93921568627451</f>
        <v>0.9392156863</v>
      </c>
      <c r="H2215" s="20">
        <v>0.0</v>
      </c>
    </row>
    <row r="2216" ht="15.75" hidden="1" customHeight="1">
      <c r="A2216" s="20" t="s">
        <v>183</v>
      </c>
      <c r="B2216" s="47" t="s">
        <v>544</v>
      </c>
      <c r="C2216" s="47"/>
      <c r="D2216" s="46" t="s">
        <v>11</v>
      </c>
      <c r="E2216" s="32">
        <v>1.0</v>
      </c>
      <c r="F2216" s="18">
        <f>E2216* 0.175725756639901</f>
        <v>0.1757257566</v>
      </c>
      <c r="G2216" s="18">
        <f>E2216* 0.823656578134651</f>
        <v>0.8236565781</v>
      </c>
      <c r="H2216" s="18">
        <f>E2216* 0.000617665225447807</f>
        <v>0.0006176652254</v>
      </c>
    </row>
    <row r="2217" ht="15.75" hidden="1" customHeight="1">
      <c r="A2217" s="20" t="s">
        <v>183</v>
      </c>
      <c r="B2217" s="20"/>
      <c r="C2217" s="20"/>
      <c r="D2217" s="46"/>
      <c r="E2217" s="35"/>
    </row>
    <row r="2218" ht="15.75" hidden="1" customHeight="1">
      <c r="A2218" s="20" t="s">
        <v>183</v>
      </c>
      <c r="B2218" s="47" t="s">
        <v>192</v>
      </c>
      <c r="C2218" s="12" t="str">
        <f>B2218&amp;"_"&amp;A2218</f>
        <v>Colcha (Villa Martín)_Potosí</v>
      </c>
      <c r="D2218" s="20"/>
      <c r="E2218" s="45">
        <v>1146.0</v>
      </c>
      <c r="F2218" s="14">
        <f t="shared" ref="F2218:H2218" si="189">SUM(F2219:F2231)</f>
        <v>686.0972297</v>
      </c>
      <c r="G2218" s="14">
        <f t="shared" si="189"/>
        <v>429.2261691</v>
      </c>
      <c r="H2218" s="14">
        <f t="shared" si="189"/>
        <v>30.63071937</v>
      </c>
    </row>
    <row r="2219" ht="15.75" hidden="1" customHeight="1">
      <c r="A2219" s="20" t="s">
        <v>183</v>
      </c>
      <c r="B2219" s="47" t="s">
        <v>192</v>
      </c>
      <c r="C2219" s="47"/>
      <c r="D2219" s="35" t="s">
        <v>546</v>
      </c>
      <c r="E2219" s="32">
        <v>0.0</v>
      </c>
      <c r="F2219" s="20">
        <v>0.0</v>
      </c>
      <c r="G2219" s="24">
        <f>E2219</f>
        <v>0</v>
      </c>
      <c r="H2219" s="20">
        <v>0.0</v>
      </c>
    </row>
    <row r="2220" ht="15.75" hidden="1" customHeight="1">
      <c r="A2220" s="20" t="s">
        <v>183</v>
      </c>
      <c r="B2220" s="47" t="s">
        <v>192</v>
      </c>
      <c r="C2220" s="47"/>
      <c r="D2220" s="46" t="s">
        <v>15</v>
      </c>
      <c r="E2220" s="32">
        <v>23.0</v>
      </c>
      <c r="F2220" s="18">
        <f>E2220* 0.975464549882735</f>
        <v>22.43568465</v>
      </c>
      <c r="G2220" s="18">
        <f>E2220* 0.00487100847916291</f>
        <v>0.112033195</v>
      </c>
      <c r="H2220" s="18">
        <f>E2220* 0.0195742377773769</f>
        <v>0.4502074689</v>
      </c>
    </row>
    <row r="2221" ht="15.75" hidden="1" customHeight="1">
      <c r="A2221" s="20" t="s">
        <v>183</v>
      </c>
      <c r="B2221" s="47" t="s">
        <v>192</v>
      </c>
      <c r="C2221" s="47"/>
      <c r="D2221" s="35" t="s">
        <v>547</v>
      </c>
      <c r="E2221" s="32">
        <v>27.0</v>
      </c>
      <c r="F2221" s="18">
        <f>E2221* 0.0607843137254902</f>
        <v>1.641176471</v>
      </c>
      <c r="G2221" s="18">
        <f>E2221* 0.93921568627451</f>
        <v>25.35882353</v>
      </c>
      <c r="H2221" s="20">
        <v>0.0</v>
      </c>
    </row>
    <row r="2222" ht="15.75" hidden="1" customHeight="1">
      <c r="A2222" s="20" t="s">
        <v>183</v>
      </c>
      <c r="B2222" s="47" t="s">
        <v>192</v>
      </c>
      <c r="C2222" s="47"/>
      <c r="D2222" s="46" t="s">
        <v>11</v>
      </c>
      <c r="E2222" s="32">
        <v>221.0</v>
      </c>
      <c r="F2222" s="18">
        <f>E2222* 0.175725756639901</f>
        <v>38.83539222</v>
      </c>
      <c r="G2222" s="18">
        <f>E2222* 0.823656578134651</f>
        <v>182.0281038</v>
      </c>
      <c r="H2222" s="18">
        <f>E2222* 0.000617665225447807</f>
        <v>0.1365040148</v>
      </c>
    </row>
    <row r="2223" ht="15.75" hidden="1" customHeight="1">
      <c r="A2223" s="20" t="s">
        <v>183</v>
      </c>
      <c r="B2223" s="47" t="s">
        <v>192</v>
      </c>
      <c r="C2223" s="47"/>
      <c r="D2223" s="46" t="s">
        <v>17</v>
      </c>
      <c r="E2223" s="32">
        <v>362.0</v>
      </c>
      <c r="F2223" s="18">
        <f>E2223* 0.869679539852095</f>
        <v>314.8239934</v>
      </c>
      <c r="G2223" s="18">
        <f>E2223* 0.0695152013147083</f>
        <v>25.16450288</v>
      </c>
      <c r="H2223" s="18">
        <f>E2223* 0.0608052588331964</f>
        <v>22.0115037</v>
      </c>
    </row>
    <row r="2224" ht="15.75" hidden="1" customHeight="1">
      <c r="A2224" s="20" t="s">
        <v>183</v>
      </c>
      <c r="B2224" s="47" t="s">
        <v>192</v>
      </c>
      <c r="C2224" s="47"/>
      <c r="D2224" s="46" t="s">
        <v>31</v>
      </c>
      <c r="E2224" s="32">
        <v>1.0</v>
      </c>
      <c r="F2224" s="18">
        <f>E2224* 0.93</f>
        <v>0.93</v>
      </c>
      <c r="G2224" s="18">
        <f>E2224* 0.05</f>
        <v>0.05</v>
      </c>
      <c r="H2224" s="18">
        <f>E2224* 0.02</f>
        <v>0.02</v>
      </c>
    </row>
    <row r="2225" ht="15.75" hidden="1" customHeight="1">
      <c r="A2225" s="20" t="s">
        <v>183</v>
      </c>
      <c r="B2225" s="47" t="s">
        <v>192</v>
      </c>
      <c r="C2225" s="47"/>
      <c r="D2225" s="46" t="s">
        <v>18</v>
      </c>
      <c r="E2225" s="32">
        <v>23.0</v>
      </c>
      <c r="F2225" s="18">
        <f>E2225* 0.941463414634146</f>
        <v>21.65365854</v>
      </c>
      <c r="G2225" s="18">
        <f>E2225* 0.0532833020637899</f>
        <v>1.225515947</v>
      </c>
      <c r="H2225" s="18">
        <f>E2225* 0.00487804878048781</f>
        <v>0.112195122</v>
      </c>
    </row>
    <row r="2226" ht="15.75" hidden="1" customHeight="1">
      <c r="A2226" s="20" t="s">
        <v>183</v>
      </c>
      <c r="B2226" s="47" t="s">
        <v>192</v>
      </c>
      <c r="C2226" s="47"/>
      <c r="D2226" s="46" t="s">
        <v>19</v>
      </c>
      <c r="E2226" s="32">
        <v>6.0</v>
      </c>
      <c r="F2226" s="18">
        <f>E2226* 0.0748299319727891</f>
        <v>0.4489795918</v>
      </c>
      <c r="G2226" s="18">
        <f>E2226* 0.924036281179138</f>
        <v>5.544217687</v>
      </c>
      <c r="H2226" s="18">
        <f>E2226* 0.00113378684807256</f>
        <v>0.006802721088</v>
      </c>
    </row>
    <row r="2227" ht="15.75" hidden="1" customHeight="1">
      <c r="A2227" s="20" t="s">
        <v>183</v>
      </c>
      <c r="B2227" s="47" t="s">
        <v>192</v>
      </c>
      <c r="C2227" s="47"/>
      <c r="D2227" s="46" t="s">
        <v>20</v>
      </c>
      <c r="E2227" s="32">
        <v>16.0</v>
      </c>
      <c r="F2227" s="18">
        <f>E2227* 0.799709724238026</f>
        <v>12.79535559</v>
      </c>
      <c r="G2227" s="18">
        <f>E2227* 0.150580551523948</f>
        <v>2.409288824</v>
      </c>
      <c r="H2227" s="18">
        <f>E2227* 0.0493468795355588</f>
        <v>0.7895500726</v>
      </c>
    </row>
    <row r="2228" ht="15.75" hidden="1" customHeight="1">
      <c r="A2228" s="20" t="s">
        <v>183</v>
      </c>
      <c r="B2228" s="47" t="s">
        <v>192</v>
      </c>
      <c r="C2228" s="47"/>
      <c r="D2228" s="46" t="s">
        <v>21</v>
      </c>
      <c r="E2228" s="32">
        <v>105.0</v>
      </c>
      <c r="F2228" s="18">
        <f>E2228* 0.999328295549958</f>
        <v>104.929471</v>
      </c>
      <c r="G2228" s="18">
        <f>E2228* 0.000335852225020991</f>
        <v>0.03526448363</v>
      </c>
      <c r="H2228" s="18">
        <f>E2228* 0.000335852225020991</f>
        <v>0.03526448363</v>
      </c>
    </row>
    <row r="2229" ht="15.75" hidden="1" customHeight="1">
      <c r="A2229" s="20" t="s">
        <v>183</v>
      </c>
      <c r="B2229" s="47" t="s">
        <v>192</v>
      </c>
      <c r="C2229" s="47"/>
      <c r="D2229" s="46" t="s">
        <v>36</v>
      </c>
      <c r="E2229" s="32">
        <v>2.0</v>
      </c>
      <c r="F2229" s="24">
        <f>E2229</f>
        <v>2</v>
      </c>
      <c r="G2229" s="20">
        <v>0.0</v>
      </c>
      <c r="H2229" s="20">
        <v>0.0</v>
      </c>
    </row>
    <row r="2230" ht="15.75" hidden="1" customHeight="1">
      <c r="A2230" s="20" t="s">
        <v>183</v>
      </c>
      <c r="B2230" s="47" t="s">
        <v>192</v>
      </c>
      <c r="C2230" s="47"/>
      <c r="D2230" s="46" t="s">
        <v>28</v>
      </c>
      <c r="E2230" s="32">
        <v>175.0</v>
      </c>
      <c r="F2230" s="18">
        <f>E2230* 0.00116550116550117</f>
        <v>0.203962704</v>
      </c>
      <c r="G2230" s="18">
        <f>E2230* 0.998834498834499</f>
        <v>174.7960373</v>
      </c>
      <c r="H2230" s="20">
        <v>0.0</v>
      </c>
    </row>
    <row r="2231" ht="15.75" hidden="1" customHeight="1">
      <c r="A2231" s="20" t="s">
        <v>183</v>
      </c>
      <c r="B2231" s="47" t="s">
        <v>192</v>
      </c>
      <c r="C2231" s="47"/>
      <c r="D2231" s="46" t="s">
        <v>12</v>
      </c>
      <c r="E2231" s="32">
        <v>185.0</v>
      </c>
      <c r="F2231" s="18">
        <f>E2231* 0.894051651143099</f>
        <v>165.3995555</v>
      </c>
      <c r="G2231" s="18">
        <f>E2231* 0.0675804403048264</f>
        <v>12.50238146</v>
      </c>
      <c r="H2231" s="18">
        <f>E2231* 0.0382091447925487</f>
        <v>7.068691787</v>
      </c>
    </row>
    <row r="2232" ht="15.75" hidden="1" customHeight="1">
      <c r="A2232" s="20" t="s">
        <v>183</v>
      </c>
      <c r="B2232" s="20"/>
      <c r="C2232" s="20"/>
      <c r="D2232" s="46"/>
      <c r="E2232" s="35"/>
    </row>
    <row r="2233" ht="15.75" hidden="1" customHeight="1">
      <c r="A2233" s="20" t="s">
        <v>183</v>
      </c>
      <c r="B2233" s="47" t="s">
        <v>193</v>
      </c>
      <c r="C2233" s="12" t="str">
        <f>B2233&amp;"_"&amp;A2233</f>
        <v>Colquechaca_Potosí</v>
      </c>
      <c r="D2233" s="20"/>
      <c r="E2233" s="45">
        <v>2.0</v>
      </c>
      <c r="F2233" s="14">
        <f t="shared" ref="F2233:H2233" si="190">SUM(F2234:F2235)</f>
        <v>0.3514515133</v>
      </c>
      <c r="G2233" s="14">
        <f t="shared" si="190"/>
        <v>1.647313156</v>
      </c>
      <c r="H2233" s="14">
        <f t="shared" si="190"/>
        <v>0.001235330451</v>
      </c>
    </row>
    <row r="2234" ht="15.75" hidden="1" customHeight="1">
      <c r="A2234" s="20" t="s">
        <v>183</v>
      </c>
      <c r="B2234" s="47" t="s">
        <v>193</v>
      </c>
      <c r="C2234" s="47"/>
      <c r="D2234" s="46" t="s">
        <v>11</v>
      </c>
      <c r="E2234" s="32">
        <v>2.0</v>
      </c>
      <c r="F2234" s="18">
        <f>E2234* 0.175725756639901</f>
        <v>0.3514515133</v>
      </c>
      <c r="G2234" s="18">
        <f>E2234* 0.823656578134651</f>
        <v>1.647313156</v>
      </c>
      <c r="H2234" s="18">
        <f>E2234* 0.000617665225447807</f>
        <v>0.001235330451</v>
      </c>
    </row>
    <row r="2235" ht="15.75" hidden="1" customHeight="1">
      <c r="A2235" s="20" t="s">
        <v>183</v>
      </c>
      <c r="B2235" s="47" t="s">
        <v>193</v>
      </c>
      <c r="C2235" s="47"/>
      <c r="D2235" s="46" t="s">
        <v>17</v>
      </c>
      <c r="E2235" s="32">
        <v>0.0</v>
      </c>
      <c r="F2235" s="18">
        <f>E2235* 0.869679539852095</f>
        <v>0</v>
      </c>
      <c r="G2235" s="18">
        <f>E2235* 0.0695152013147083</f>
        <v>0</v>
      </c>
      <c r="H2235" s="18">
        <f>E2235* 0.0608052588331964</f>
        <v>0</v>
      </c>
    </row>
    <row r="2236" ht="15.75" hidden="1" customHeight="1">
      <c r="A2236" s="20" t="s">
        <v>183</v>
      </c>
      <c r="B2236" s="20"/>
      <c r="C2236" s="20"/>
      <c r="D2236" s="46"/>
      <c r="E2236" s="35"/>
    </row>
    <row r="2237" ht="15.75" hidden="1" customHeight="1">
      <c r="A2237" s="20" t="s">
        <v>183</v>
      </c>
      <c r="B2237" s="47" t="s">
        <v>194</v>
      </c>
      <c r="C2237" s="12" t="str">
        <f>B2237&amp;"_"&amp;A2237</f>
        <v>Cotagaita_Potosí</v>
      </c>
      <c r="D2237" s="20"/>
      <c r="E2237" s="45">
        <v>472.0</v>
      </c>
      <c r="F2237" s="14">
        <f t="shared" ref="F2237:H2237" si="191">SUM(F2238:F2248)</f>
        <v>405.0622404</v>
      </c>
      <c r="G2237" s="14">
        <f t="shared" si="191"/>
        <v>57.86935485</v>
      </c>
      <c r="H2237" s="14">
        <f t="shared" si="191"/>
        <v>9.045256986</v>
      </c>
    </row>
    <row r="2238" ht="15.75" hidden="1" customHeight="1">
      <c r="A2238" s="20" t="s">
        <v>183</v>
      </c>
      <c r="B2238" s="47" t="s">
        <v>194</v>
      </c>
      <c r="C2238" s="47"/>
      <c r="D2238" s="35" t="s">
        <v>548</v>
      </c>
      <c r="E2238" s="32">
        <v>2.0</v>
      </c>
      <c r="F2238" s="20">
        <v>0.0</v>
      </c>
      <c r="G2238" s="24">
        <f>E2238</f>
        <v>2</v>
      </c>
      <c r="H2238" s="20">
        <v>0.0</v>
      </c>
    </row>
    <row r="2239" ht="15.75" hidden="1" customHeight="1">
      <c r="A2239" s="20" t="s">
        <v>183</v>
      </c>
      <c r="B2239" s="47" t="s">
        <v>194</v>
      </c>
      <c r="C2239" s="47"/>
      <c r="D2239" s="46" t="s">
        <v>15</v>
      </c>
      <c r="E2239" s="32">
        <v>28.0</v>
      </c>
      <c r="F2239" s="18">
        <f>E2239* 0.975464549882735</f>
        <v>27.3130074</v>
      </c>
      <c r="G2239" s="18">
        <f>E2239* 0.00487100847916291</f>
        <v>0.1363882374</v>
      </c>
      <c r="H2239" s="18">
        <f>E2239* 0.0195742377773769</f>
        <v>0.5480786578</v>
      </c>
    </row>
    <row r="2240" ht="15.75" hidden="1" customHeight="1">
      <c r="A2240" s="20" t="s">
        <v>183</v>
      </c>
      <c r="B2240" s="47" t="s">
        <v>194</v>
      </c>
      <c r="C2240" s="47"/>
      <c r="D2240" s="35" t="s">
        <v>549</v>
      </c>
      <c r="E2240" s="32">
        <v>4.0</v>
      </c>
      <c r="F2240" s="18">
        <f>E2240* 0.0607843137254902</f>
        <v>0.2431372549</v>
      </c>
      <c r="G2240" s="18">
        <f>E2240* 0.93921568627451</f>
        <v>3.756862745</v>
      </c>
      <c r="H2240" s="20">
        <v>0.0</v>
      </c>
    </row>
    <row r="2241" ht="15.75" hidden="1" customHeight="1">
      <c r="A2241" s="20" t="s">
        <v>183</v>
      </c>
      <c r="B2241" s="47" t="s">
        <v>194</v>
      </c>
      <c r="C2241" s="47"/>
      <c r="D2241" s="46" t="s">
        <v>11</v>
      </c>
      <c r="E2241" s="32">
        <v>39.0</v>
      </c>
      <c r="F2241" s="18">
        <f>E2241* 0.175725756639901</f>
        <v>6.853304509</v>
      </c>
      <c r="G2241" s="18">
        <f>E2241* 0.823656578134651</f>
        <v>32.12260655</v>
      </c>
      <c r="H2241" s="18">
        <f>E2241* 0.000617665225447807</f>
        <v>0.02408894379</v>
      </c>
    </row>
    <row r="2242" ht="15.75" hidden="1" customHeight="1">
      <c r="A2242" s="20" t="s">
        <v>183</v>
      </c>
      <c r="B2242" s="47" t="s">
        <v>194</v>
      </c>
      <c r="C2242" s="47"/>
      <c r="D2242" s="46" t="s">
        <v>17</v>
      </c>
      <c r="E2242" s="32">
        <v>73.0</v>
      </c>
      <c r="F2242" s="18">
        <f>E2242* 0.869679539852095</f>
        <v>63.48660641</v>
      </c>
      <c r="G2242" s="18">
        <f>E2242* 0.0695152013147083</f>
        <v>5.074609696</v>
      </c>
      <c r="H2242" s="18">
        <f>E2242* 0.0608052588331964</f>
        <v>4.438783895</v>
      </c>
    </row>
    <row r="2243" ht="15.75" hidden="1" customHeight="1">
      <c r="A2243" s="20" t="s">
        <v>183</v>
      </c>
      <c r="B2243" s="47" t="s">
        <v>194</v>
      </c>
      <c r="C2243" s="47"/>
      <c r="D2243" s="46" t="s">
        <v>18</v>
      </c>
      <c r="E2243" s="32">
        <v>6.0</v>
      </c>
      <c r="F2243" s="18">
        <f>E2243* 0.941463414634146</f>
        <v>5.648780488</v>
      </c>
      <c r="G2243" s="18">
        <f>E2243* 0.0532833020637899</f>
        <v>0.3196998124</v>
      </c>
      <c r="H2243" s="18">
        <f>E2243* 0.00487804878048781</f>
        <v>0.02926829268</v>
      </c>
    </row>
    <row r="2244" ht="15.75" hidden="1" customHeight="1">
      <c r="A2244" s="20" t="s">
        <v>183</v>
      </c>
      <c r="B2244" s="47" t="s">
        <v>194</v>
      </c>
      <c r="C2244" s="47"/>
      <c r="D2244" s="46" t="s">
        <v>19</v>
      </c>
      <c r="E2244" s="32">
        <v>5.0</v>
      </c>
      <c r="F2244" s="18">
        <f>E2244* 0.0748299319727891</f>
        <v>0.3741496599</v>
      </c>
      <c r="G2244" s="18">
        <f>E2244* 0.924036281179138</f>
        <v>4.620181406</v>
      </c>
      <c r="H2244" s="18">
        <f>E2244* 0.00113378684807256</f>
        <v>0.00566893424</v>
      </c>
    </row>
    <row r="2245" ht="15.75" hidden="1" customHeight="1">
      <c r="A2245" s="20" t="s">
        <v>183</v>
      </c>
      <c r="B2245" s="47" t="s">
        <v>194</v>
      </c>
      <c r="C2245" s="47"/>
      <c r="D2245" s="46" t="s">
        <v>20</v>
      </c>
      <c r="E2245" s="32">
        <v>13.0</v>
      </c>
      <c r="F2245" s="18">
        <f>E2245* 0.799709724238026</f>
        <v>10.39622642</v>
      </c>
      <c r="G2245" s="18">
        <f>E2245* 0.150580551523948</f>
        <v>1.95754717</v>
      </c>
      <c r="H2245" s="18">
        <f>E2245* 0.0493468795355588</f>
        <v>0.641509434</v>
      </c>
    </row>
    <row r="2246" ht="15.75" hidden="1" customHeight="1">
      <c r="A2246" s="20" t="s">
        <v>183</v>
      </c>
      <c r="B2246" s="47" t="s">
        <v>194</v>
      </c>
      <c r="C2246" s="47"/>
      <c r="D2246" s="46" t="s">
        <v>21</v>
      </c>
      <c r="E2246" s="32">
        <v>214.0</v>
      </c>
      <c r="F2246" s="18">
        <f>E2246* 0.999328295549958</f>
        <v>213.8562552</v>
      </c>
      <c r="G2246" s="18">
        <f>E2246* 0.000335852225020991</f>
        <v>0.07187237615</v>
      </c>
      <c r="H2246" s="18">
        <f>E2246* 0.000335852225020991</f>
        <v>0.07187237615</v>
      </c>
    </row>
    <row r="2247" ht="15.75" hidden="1" customHeight="1">
      <c r="A2247" s="20" t="s">
        <v>183</v>
      </c>
      <c r="B2247" s="47" t="s">
        <v>194</v>
      </c>
      <c r="C2247" s="47"/>
      <c r="D2247" s="46" t="s">
        <v>28</v>
      </c>
      <c r="E2247" s="32">
        <v>2.0</v>
      </c>
      <c r="F2247" s="18">
        <f>E2247* 0.00116550116550117</f>
        <v>0.002331002331</v>
      </c>
      <c r="G2247" s="18">
        <f>E2247* 0.998834498834499</f>
        <v>1.997668998</v>
      </c>
      <c r="H2247" s="20">
        <v>0.0</v>
      </c>
    </row>
    <row r="2248" ht="15.75" hidden="1" customHeight="1">
      <c r="A2248" s="20" t="s">
        <v>183</v>
      </c>
      <c r="B2248" s="47" t="s">
        <v>194</v>
      </c>
      <c r="C2248" s="47"/>
      <c r="D2248" s="46" t="s">
        <v>12</v>
      </c>
      <c r="E2248" s="32">
        <v>86.0</v>
      </c>
      <c r="F2248" s="18">
        <f>E2248* 0.894051651143099</f>
        <v>76.888442</v>
      </c>
      <c r="G2248" s="18">
        <f>E2248* 0.0675804403048264</f>
        <v>5.811917866</v>
      </c>
      <c r="H2248" s="18">
        <f>E2248* 0.0382091447925487</f>
        <v>3.285986452</v>
      </c>
    </row>
    <row r="2249" ht="15.75" hidden="1" customHeight="1">
      <c r="A2249" s="20" t="s">
        <v>183</v>
      </c>
      <c r="B2249" s="20"/>
      <c r="C2249" s="20"/>
      <c r="D2249" s="46"/>
      <c r="E2249" s="35"/>
    </row>
    <row r="2250" ht="15.75" hidden="1" customHeight="1">
      <c r="A2250" s="20" t="s">
        <v>183</v>
      </c>
      <c r="B2250" s="47" t="s">
        <v>195</v>
      </c>
      <c r="C2250" s="12" t="str">
        <f>B2250&amp;"_"&amp;A2250</f>
        <v>Llallagua_Potosí</v>
      </c>
      <c r="D2250" s="20"/>
      <c r="E2250" s="45">
        <v>3152.0</v>
      </c>
      <c r="F2250" s="14">
        <f t="shared" ref="F2250:H2250" si="192">SUM(F2251:F2265)</f>
        <v>2641.619802</v>
      </c>
      <c r="G2250" s="14">
        <f t="shared" si="192"/>
        <v>421.7706193</v>
      </c>
      <c r="H2250" s="14">
        <f t="shared" si="192"/>
        <v>88.2265126</v>
      </c>
    </row>
    <row r="2251" ht="15.75" hidden="1" customHeight="1">
      <c r="A2251" s="20" t="s">
        <v>183</v>
      </c>
      <c r="B2251" s="47" t="s">
        <v>195</v>
      </c>
      <c r="C2251" s="47"/>
      <c r="D2251" s="35" t="s">
        <v>550</v>
      </c>
      <c r="E2251" s="32">
        <v>0.0</v>
      </c>
      <c r="F2251" s="20">
        <v>0.0</v>
      </c>
      <c r="G2251" s="24">
        <f>E2251</f>
        <v>0</v>
      </c>
      <c r="H2251" s="20">
        <v>0.0</v>
      </c>
    </row>
    <row r="2252" ht="15.75" hidden="1" customHeight="1">
      <c r="A2252" s="20" t="s">
        <v>183</v>
      </c>
      <c r="B2252" s="47" t="s">
        <v>195</v>
      </c>
      <c r="C2252" s="47"/>
      <c r="D2252" s="46" t="s">
        <v>15</v>
      </c>
      <c r="E2252" s="32">
        <v>231.0</v>
      </c>
      <c r="F2252" s="18">
        <f>E2252* 0.975464549882735</f>
        <v>225.332311</v>
      </c>
      <c r="G2252" s="18">
        <f>E2252* 0.00487100847916291</f>
        <v>1.125202959</v>
      </c>
      <c r="H2252" s="18">
        <f>E2252* 0.0195742377773769</f>
        <v>4.521648927</v>
      </c>
    </row>
    <row r="2253" ht="15.75" hidden="1" customHeight="1">
      <c r="A2253" s="20" t="s">
        <v>183</v>
      </c>
      <c r="B2253" s="47" t="s">
        <v>195</v>
      </c>
      <c r="C2253" s="47"/>
      <c r="D2253" s="35" t="s">
        <v>551</v>
      </c>
      <c r="E2253" s="32">
        <v>65.0</v>
      </c>
      <c r="F2253" s="18">
        <f>E2253* 0.0607843137254902</f>
        <v>3.950980392</v>
      </c>
      <c r="G2253" s="18">
        <f>E2253* 0.93921568627451</f>
        <v>61.04901961</v>
      </c>
      <c r="H2253" s="20">
        <v>0.0</v>
      </c>
    </row>
    <row r="2254" ht="15.75" hidden="1" customHeight="1">
      <c r="A2254" s="20" t="s">
        <v>183</v>
      </c>
      <c r="B2254" s="47" t="s">
        <v>195</v>
      </c>
      <c r="C2254" s="47"/>
      <c r="D2254" s="46" t="s">
        <v>11</v>
      </c>
      <c r="E2254" s="32">
        <v>219.0</v>
      </c>
      <c r="F2254" s="18">
        <f>E2254* 0.175725756639901</f>
        <v>38.4839407</v>
      </c>
      <c r="G2254" s="18">
        <f>E2254* 0.823656578134651</f>
        <v>180.3807906</v>
      </c>
      <c r="H2254" s="18">
        <f>E2254* 0.000617665225447807</f>
        <v>0.1352686844</v>
      </c>
    </row>
    <row r="2255" ht="15.75" hidden="1" customHeight="1">
      <c r="A2255" s="20" t="s">
        <v>183</v>
      </c>
      <c r="B2255" s="47" t="s">
        <v>195</v>
      </c>
      <c r="C2255" s="47"/>
      <c r="D2255" s="46" t="s">
        <v>17</v>
      </c>
      <c r="E2255" s="32">
        <v>148.0</v>
      </c>
      <c r="F2255" s="18">
        <f>E2255* 0.869679539852095</f>
        <v>128.7125719</v>
      </c>
      <c r="G2255" s="18">
        <f>E2255* 0.0695152013147083</f>
        <v>10.28824979</v>
      </c>
      <c r="H2255" s="18">
        <f>E2255* 0.0608052588331964</f>
        <v>8.999178307</v>
      </c>
    </row>
    <row r="2256" ht="15.75" hidden="1" customHeight="1">
      <c r="A2256" s="20" t="s">
        <v>183</v>
      </c>
      <c r="B2256" s="47" t="s">
        <v>195</v>
      </c>
      <c r="C2256" s="47"/>
      <c r="D2256" s="46" t="s">
        <v>31</v>
      </c>
      <c r="E2256" s="32">
        <v>22.0</v>
      </c>
      <c r="F2256" s="18">
        <f>E2256* 0.93</f>
        <v>20.46</v>
      </c>
      <c r="G2256" s="18">
        <f>E2256* 0.05</f>
        <v>1.1</v>
      </c>
      <c r="H2256" s="18">
        <f>E2256* 0.02</f>
        <v>0.44</v>
      </c>
    </row>
    <row r="2257" ht="15.75" hidden="1" customHeight="1">
      <c r="A2257" s="20" t="s">
        <v>183</v>
      </c>
      <c r="B2257" s="47" t="s">
        <v>195</v>
      </c>
      <c r="C2257" s="47"/>
      <c r="D2257" s="46" t="s">
        <v>18</v>
      </c>
      <c r="E2257" s="32">
        <v>43.0</v>
      </c>
      <c r="F2257" s="18">
        <f>E2257* 0.941463414634146</f>
        <v>40.48292683</v>
      </c>
      <c r="G2257" s="18">
        <f>E2257* 0.0532833020637899</f>
        <v>2.291181989</v>
      </c>
      <c r="H2257" s="18">
        <f>E2257* 0.00487804878048781</f>
        <v>0.2097560976</v>
      </c>
    </row>
    <row r="2258" ht="15.75" hidden="1" customHeight="1">
      <c r="A2258" s="20" t="s">
        <v>183</v>
      </c>
      <c r="B2258" s="47" t="s">
        <v>195</v>
      </c>
      <c r="C2258" s="47"/>
      <c r="D2258" s="46" t="s">
        <v>552</v>
      </c>
      <c r="E2258" s="32">
        <v>2.0</v>
      </c>
      <c r="F2258" s="20">
        <v>0.0</v>
      </c>
      <c r="G2258" s="24">
        <f>E2258</f>
        <v>2</v>
      </c>
      <c r="H2258" s="20">
        <v>0.0</v>
      </c>
    </row>
    <row r="2259" ht="15.75" hidden="1" customHeight="1">
      <c r="A2259" s="20" t="s">
        <v>183</v>
      </c>
      <c r="B2259" s="47" t="s">
        <v>195</v>
      </c>
      <c r="C2259" s="47"/>
      <c r="D2259" s="46" t="s">
        <v>19</v>
      </c>
      <c r="E2259" s="32">
        <v>13.0</v>
      </c>
      <c r="F2259" s="18">
        <f>E2259* 0.0748299319727891</f>
        <v>0.9727891156</v>
      </c>
      <c r="G2259" s="18">
        <f>E2259* 0.924036281179138</f>
        <v>12.01247166</v>
      </c>
      <c r="H2259" s="18">
        <f>E2259* 0.00113378684807256</f>
        <v>0.01473922902</v>
      </c>
    </row>
    <row r="2260" ht="15.75" hidden="1" customHeight="1">
      <c r="A2260" s="20" t="s">
        <v>183</v>
      </c>
      <c r="B2260" s="47" t="s">
        <v>195</v>
      </c>
      <c r="C2260" s="47"/>
      <c r="D2260" s="46" t="s">
        <v>20</v>
      </c>
      <c r="E2260" s="32">
        <v>252.0</v>
      </c>
      <c r="F2260" s="18">
        <f>E2260* 0.799709724238026</f>
        <v>201.5268505</v>
      </c>
      <c r="G2260" s="18">
        <f>E2260* 0.150580551523948</f>
        <v>37.94629898</v>
      </c>
      <c r="H2260" s="18">
        <f>E2260* 0.0493468795355588</f>
        <v>12.43541364</v>
      </c>
    </row>
    <row r="2261" ht="15.75" hidden="1" customHeight="1">
      <c r="A2261" s="20" t="s">
        <v>183</v>
      </c>
      <c r="B2261" s="47" t="s">
        <v>195</v>
      </c>
      <c r="C2261" s="47"/>
      <c r="D2261" s="46" t="s">
        <v>21</v>
      </c>
      <c r="E2261" s="32">
        <v>545.0</v>
      </c>
      <c r="F2261" s="18">
        <f>E2261* 0.999328295549958</f>
        <v>544.6339211</v>
      </c>
      <c r="G2261" s="18">
        <f>E2261* 0.000335852225020991</f>
        <v>0.1830394626</v>
      </c>
      <c r="H2261" s="18">
        <f>E2261* 0.000335852225020991</f>
        <v>0.1830394626</v>
      </c>
    </row>
    <row r="2262" ht="15.75" hidden="1" customHeight="1">
      <c r="A2262" s="20" t="s">
        <v>183</v>
      </c>
      <c r="B2262" s="47" t="s">
        <v>195</v>
      </c>
      <c r="C2262" s="47"/>
      <c r="D2262" s="46" t="s">
        <v>36</v>
      </c>
      <c r="E2262" s="32">
        <v>3.0</v>
      </c>
      <c r="F2262" s="24">
        <f>E2262</f>
        <v>3</v>
      </c>
      <c r="G2262" s="20">
        <v>0.0</v>
      </c>
      <c r="H2262" s="20">
        <v>0.0</v>
      </c>
    </row>
    <row r="2263" ht="15.75" hidden="1" customHeight="1">
      <c r="A2263" s="20" t="s">
        <v>183</v>
      </c>
      <c r="B2263" s="47" t="s">
        <v>195</v>
      </c>
      <c r="C2263" s="47"/>
      <c r="D2263" s="46" t="s">
        <v>37</v>
      </c>
      <c r="E2263" s="32">
        <v>1.0</v>
      </c>
      <c r="F2263" s="20">
        <v>0.0</v>
      </c>
      <c r="G2263" s="24">
        <f>E2263</f>
        <v>1</v>
      </c>
      <c r="H2263" s="20">
        <v>0.0</v>
      </c>
    </row>
    <row r="2264" ht="15.75" hidden="1" customHeight="1">
      <c r="A2264" s="20" t="s">
        <v>183</v>
      </c>
      <c r="B2264" s="47" t="s">
        <v>195</v>
      </c>
      <c r="C2264" s="47"/>
      <c r="D2264" s="46" t="s">
        <v>28</v>
      </c>
      <c r="E2264" s="32">
        <v>4.0</v>
      </c>
      <c r="F2264" s="18">
        <f>E2264* 0.00116550116550117</f>
        <v>0.004662004662</v>
      </c>
      <c r="G2264" s="18">
        <f>E2264* 0.998834498834499</f>
        <v>3.995337995</v>
      </c>
      <c r="H2264" s="20">
        <v>0.0</v>
      </c>
    </row>
    <row r="2265" ht="15.75" hidden="1" customHeight="1">
      <c r="A2265" s="20" t="s">
        <v>183</v>
      </c>
      <c r="B2265" s="47" t="s">
        <v>195</v>
      </c>
      <c r="C2265" s="47"/>
      <c r="D2265" s="46" t="s">
        <v>12</v>
      </c>
      <c r="E2265" s="32">
        <v>1604.0</v>
      </c>
      <c r="F2265" s="18">
        <f>E2265* 0.894051651143099</f>
        <v>1434.058848</v>
      </c>
      <c r="G2265" s="18">
        <f>E2265* 0.0675804403048264</f>
        <v>108.3990262</v>
      </c>
      <c r="H2265" s="18">
        <f>E2265* 0.0382091447925487</f>
        <v>61.28746825</v>
      </c>
    </row>
    <row r="2266" ht="15.75" hidden="1" customHeight="1">
      <c r="A2266" s="20" t="s">
        <v>183</v>
      </c>
      <c r="B2266" s="20"/>
      <c r="C2266" s="20"/>
      <c r="D2266" s="46"/>
      <c r="E2266" s="35"/>
    </row>
    <row r="2267" ht="15.75" hidden="1" customHeight="1">
      <c r="A2267" s="20" t="s">
        <v>183</v>
      </c>
      <c r="B2267" s="47" t="s">
        <v>196</v>
      </c>
      <c r="C2267" s="12" t="str">
        <f>B2267&amp;"_"&amp;A2267</f>
        <v>Llica_Potosí</v>
      </c>
      <c r="D2267" s="20"/>
      <c r="E2267" s="45">
        <v>20.0</v>
      </c>
      <c r="F2267" s="14">
        <f t="shared" ref="F2267:H2267" si="193">SUM(F2268:F2274)</f>
        <v>14.15830385</v>
      </c>
      <c r="G2267" s="14">
        <f t="shared" si="193"/>
        <v>5.153260276</v>
      </c>
      <c r="H2267" s="14">
        <f t="shared" si="193"/>
        <v>0.6873353841</v>
      </c>
    </row>
    <row r="2268" ht="15.75" hidden="1" customHeight="1">
      <c r="A2268" s="20" t="s">
        <v>183</v>
      </c>
      <c r="B2268" s="47" t="s">
        <v>196</v>
      </c>
      <c r="C2268" s="47"/>
      <c r="D2268" s="46" t="s">
        <v>15</v>
      </c>
      <c r="E2268" s="32">
        <v>1.0</v>
      </c>
      <c r="F2268" s="18">
        <f>E2268* 0.975464549882735</f>
        <v>0.9754645499</v>
      </c>
      <c r="G2268" s="18">
        <f>E2268* 0.00487100847916291</f>
        <v>0.004871008479</v>
      </c>
      <c r="H2268" s="18">
        <f>E2268* 0.0195742377773769</f>
        <v>0.01957423778</v>
      </c>
    </row>
    <row r="2269" ht="15.75" hidden="1" customHeight="1">
      <c r="A2269" s="20" t="s">
        <v>183</v>
      </c>
      <c r="B2269" s="47" t="s">
        <v>196</v>
      </c>
      <c r="C2269" s="47"/>
      <c r="D2269" s="46" t="s">
        <v>11</v>
      </c>
      <c r="E2269" s="32">
        <v>4.0</v>
      </c>
      <c r="F2269" s="18">
        <f>E2269* 0.175725756639901</f>
        <v>0.7029030266</v>
      </c>
      <c r="G2269" s="18">
        <f>E2269* 0.823656578134651</f>
        <v>3.294626313</v>
      </c>
      <c r="H2269" s="18">
        <f>E2269* 0.000617665225447807</f>
        <v>0.002470660902</v>
      </c>
    </row>
    <row r="2270" ht="15.75" hidden="1" customHeight="1">
      <c r="A2270" s="20" t="s">
        <v>183</v>
      </c>
      <c r="B2270" s="47" t="s">
        <v>196</v>
      </c>
      <c r="C2270" s="47"/>
      <c r="D2270" s="46" t="s">
        <v>17</v>
      </c>
      <c r="E2270" s="32">
        <v>8.0</v>
      </c>
      <c r="F2270" s="18">
        <f>E2270* 0.869679539852095</f>
        <v>6.957436319</v>
      </c>
      <c r="G2270" s="18">
        <f>E2270* 0.0695152013147083</f>
        <v>0.5561216105</v>
      </c>
      <c r="H2270" s="18">
        <f>E2270* 0.0608052588331964</f>
        <v>0.4864420707</v>
      </c>
    </row>
    <row r="2271" ht="15.75" hidden="1" customHeight="1">
      <c r="A2271" s="20" t="s">
        <v>183</v>
      </c>
      <c r="B2271" s="47" t="s">
        <v>196</v>
      </c>
      <c r="C2271" s="47"/>
      <c r="D2271" s="46" t="s">
        <v>31</v>
      </c>
      <c r="E2271" s="32">
        <v>1.0</v>
      </c>
      <c r="F2271" s="18">
        <f>E2271* 0.93</f>
        <v>0.93</v>
      </c>
      <c r="G2271" s="18">
        <f>E2271* 0.05</f>
        <v>0.05</v>
      </c>
      <c r="H2271" s="18">
        <f>E2271* 0.02</f>
        <v>0.02</v>
      </c>
    </row>
    <row r="2272" ht="15.75" hidden="1" customHeight="1">
      <c r="A2272" s="20" t="s">
        <v>183</v>
      </c>
      <c r="B2272" s="47" t="s">
        <v>196</v>
      </c>
      <c r="C2272" s="47"/>
      <c r="D2272" s="46" t="s">
        <v>18</v>
      </c>
      <c r="E2272" s="32">
        <v>1.0</v>
      </c>
      <c r="F2272" s="18">
        <f>E2272* 0.941463414634146</f>
        <v>0.9414634146</v>
      </c>
      <c r="G2272" s="18">
        <f>E2272* 0.0532833020637899</f>
        <v>0.05328330206</v>
      </c>
      <c r="H2272" s="18">
        <f>E2272* 0.00487804878048781</f>
        <v>0.00487804878</v>
      </c>
    </row>
    <row r="2273" ht="15.75" hidden="1" customHeight="1">
      <c r="A2273" s="20" t="s">
        <v>183</v>
      </c>
      <c r="B2273" s="47" t="s">
        <v>196</v>
      </c>
      <c r="C2273" s="47"/>
      <c r="D2273" s="46" t="s">
        <v>19</v>
      </c>
      <c r="E2273" s="32">
        <v>1.0</v>
      </c>
      <c r="F2273" s="18">
        <f>E2273* 0.0748299319727891</f>
        <v>0.07482993197</v>
      </c>
      <c r="G2273" s="18">
        <f>E2273* 0.924036281179138</f>
        <v>0.9240362812</v>
      </c>
      <c r="H2273" s="18">
        <f>E2273* 0.00113378684807256</f>
        <v>0.001133786848</v>
      </c>
    </row>
    <row r="2274" ht="15.75" hidden="1" customHeight="1">
      <c r="A2274" s="20" t="s">
        <v>183</v>
      </c>
      <c r="B2274" s="47" t="s">
        <v>196</v>
      </c>
      <c r="C2274" s="47"/>
      <c r="D2274" s="46" t="s">
        <v>12</v>
      </c>
      <c r="E2274" s="32">
        <v>4.0</v>
      </c>
      <c r="F2274" s="18">
        <f>E2274* 0.894051651143099</f>
        <v>3.576206605</v>
      </c>
      <c r="G2274" s="18">
        <f>E2274* 0.0675804403048264</f>
        <v>0.2703217612</v>
      </c>
      <c r="H2274" s="18">
        <f>E2274* 0.0382091447925487</f>
        <v>0.1528365792</v>
      </c>
    </row>
    <row r="2275" ht="15.75" hidden="1" customHeight="1">
      <c r="A2275" s="20" t="s">
        <v>183</v>
      </c>
      <c r="B2275" s="20"/>
      <c r="C2275" s="20"/>
      <c r="D2275" s="46"/>
      <c r="E2275" s="35"/>
    </row>
    <row r="2276" ht="15.75" hidden="1" customHeight="1">
      <c r="A2276" s="20" t="s">
        <v>183</v>
      </c>
      <c r="B2276" s="47" t="s">
        <v>197</v>
      </c>
      <c r="C2276" s="12" t="str">
        <f>B2276&amp;"_"&amp;A2276</f>
        <v>Ocuri_Potosí</v>
      </c>
      <c r="D2276" s="20"/>
      <c r="E2276" s="45">
        <v>3.0</v>
      </c>
      <c r="F2276" s="14">
        <f t="shared" ref="F2276:H2276" si="194">SUM(F2277:F2279)</f>
        <v>2.77450257</v>
      </c>
      <c r="G2276" s="14">
        <f t="shared" si="194"/>
        <v>0.1557874122</v>
      </c>
      <c r="H2276" s="14">
        <f t="shared" si="194"/>
        <v>0.06925696954</v>
      </c>
    </row>
    <row r="2277" ht="15.75" hidden="1" customHeight="1">
      <c r="A2277" s="20" t="s">
        <v>183</v>
      </c>
      <c r="B2277" s="47" t="s">
        <v>197</v>
      </c>
      <c r="C2277" s="47"/>
      <c r="D2277" s="46" t="s">
        <v>15</v>
      </c>
      <c r="E2277" s="32">
        <v>1.0</v>
      </c>
      <c r="F2277" s="18">
        <f>E2277* 0.975464549882735</f>
        <v>0.9754645499</v>
      </c>
      <c r="G2277" s="18">
        <f>E2277* 0.00487100847916291</f>
        <v>0.004871008479</v>
      </c>
      <c r="H2277" s="18">
        <f>E2277* 0.0195742377773769</f>
        <v>0.01957423778</v>
      </c>
    </row>
    <row r="2278" ht="15.75" hidden="1" customHeight="1">
      <c r="A2278" s="20" t="s">
        <v>183</v>
      </c>
      <c r="B2278" s="47" t="s">
        <v>197</v>
      </c>
      <c r="C2278" s="47"/>
      <c r="D2278" s="46" t="s">
        <v>20</v>
      </c>
      <c r="E2278" s="32">
        <v>1.0</v>
      </c>
      <c r="F2278" s="18">
        <f>E2278* 0.799709724238026</f>
        <v>0.7997097242</v>
      </c>
      <c r="G2278" s="18">
        <f>E2278* 0.150580551523948</f>
        <v>0.1505805515</v>
      </c>
      <c r="H2278" s="18">
        <f>E2278* 0.0493468795355588</f>
        <v>0.04934687954</v>
      </c>
    </row>
    <row r="2279" ht="15.75" hidden="1" customHeight="1">
      <c r="A2279" s="20" t="s">
        <v>183</v>
      </c>
      <c r="B2279" s="47" t="s">
        <v>197</v>
      </c>
      <c r="C2279" s="47"/>
      <c r="D2279" s="46" t="s">
        <v>21</v>
      </c>
      <c r="E2279" s="32">
        <v>1.0</v>
      </c>
      <c r="F2279" s="18">
        <f>E2279* 0.999328295549958</f>
        <v>0.9993282955</v>
      </c>
      <c r="G2279" s="18">
        <f>E2279* 0.000335852225020991</f>
        <v>0.000335852225</v>
      </c>
      <c r="H2279" s="18">
        <f>E2279* 0.000335852225020991</f>
        <v>0.000335852225</v>
      </c>
    </row>
    <row r="2280" ht="15.75" hidden="1" customHeight="1">
      <c r="A2280" s="20" t="s">
        <v>183</v>
      </c>
      <c r="B2280" s="20"/>
      <c r="C2280" s="20"/>
      <c r="D2280" s="46"/>
      <c r="E2280" s="35"/>
    </row>
    <row r="2281" ht="15.75" hidden="1" customHeight="1">
      <c r="A2281" s="20" t="s">
        <v>183</v>
      </c>
      <c r="B2281" s="47" t="s">
        <v>198</v>
      </c>
      <c r="C2281" s="12" t="str">
        <f>B2281&amp;"_"&amp;A2281</f>
        <v>Pocoata_Potosí</v>
      </c>
      <c r="D2281" s="20"/>
      <c r="E2281" s="45">
        <v>6.0</v>
      </c>
      <c r="F2281" s="14">
        <f t="shared" ref="F2281:H2281" si="195">SUM(F2282:F2287)</f>
        <v>3.928139718</v>
      </c>
      <c r="G2281" s="14">
        <f t="shared" si="195"/>
        <v>1.972040752</v>
      </c>
      <c r="H2281" s="14">
        <f t="shared" si="195"/>
        <v>0.09854745234</v>
      </c>
    </row>
    <row r="2282" ht="15.75" hidden="1" customHeight="1">
      <c r="A2282" s="20" t="s">
        <v>183</v>
      </c>
      <c r="B2282" s="47" t="s">
        <v>198</v>
      </c>
      <c r="C2282" s="47"/>
      <c r="D2282" s="46" t="s">
        <v>15</v>
      </c>
      <c r="E2282" s="32">
        <v>0.0</v>
      </c>
      <c r="F2282" s="18">
        <f>E2282* 0.975464549882735</f>
        <v>0</v>
      </c>
      <c r="G2282" s="18">
        <f>E2282* 0.00487100847916291</f>
        <v>0</v>
      </c>
      <c r="H2282" s="18">
        <f>E2282* 0.0195742377773769</f>
        <v>0</v>
      </c>
    </row>
    <row r="2283" ht="15.75" hidden="1" customHeight="1">
      <c r="A2283" s="20" t="s">
        <v>183</v>
      </c>
      <c r="B2283" s="47" t="s">
        <v>198</v>
      </c>
      <c r="C2283" s="47"/>
      <c r="D2283" s="46" t="s">
        <v>11</v>
      </c>
      <c r="E2283" s="32">
        <v>2.0</v>
      </c>
      <c r="F2283" s="18">
        <f>E2283* 0.175725756639901</f>
        <v>0.3514515133</v>
      </c>
      <c r="G2283" s="18">
        <f>E2283* 0.823656578134651</f>
        <v>1.647313156</v>
      </c>
      <c r="H2283" s="18">
        <f>E2283* 0.000617665225447807</f>
        <v>0.001235330451</v>
      </c>
    </row>
    <row r="2284" ht="15.75" hidden="1" customHeight="1">
      <c r="A2284" s="20" t="s">
        <v>183</v>
      </c>
      <c r="B2284" s="47" t="s">
        <v>198</v>
      </c>
      <c r="C2284" s="47"/>
      <c r="D2284" s="46" t="s">
        <v>18</v>
      </c>
      <c r="E2284" s="32">
        <v>2.0</v>
      </c>
      <c r="F2284" s="18">
        <f>E2284* 0.941463414634146</f>
        <v>1.882926829</v>
      </c>
      <c r="G2284" s="18">
        <f>E2284* 0.0532833020637899</f>
        <v>0.1065666041</v>
      </c>
      <c r="H2284" s="18">
        <f>E2284* 0.00487804878048781</f>
        <v>0.009756097561</v>
      </c>
    </row>
    <row r="2285" ht="15.75" hidden="1" customHeight="1">
      <c r="A2285" s="20" t="s">
        <v>183</v>
      </c>
      <c r="B2285" s="47" t="s">
        <v>198</v>
      </c>
      <c r="C2285" s="47"/>
      <c r="D2285" s="46" t="s">
        <v>19</v>
      </c>
      <c r="E2285" s="32">
        <v>0.0</v>
      </c>
      <c r="F2285" s="18">
        <f>E2285* 0.0748299319727891</f>
        <v>0</v>
      </c>
      <c r="G2285" s="18">
        <f>E2285* 0.924036281179138</f>
        <v>0</v>
      </c>
      <c r="H2285" s="18">
        <f>E2285* 0.00113378684807256</f>
        <v>0</v>
      </c>
    </row>
    <row r="2286" ht="15.75" hidden="1" customHeight="1">
      <c r="A2286" s="20" t="s">
        <v>183</v>
      </c>
      <c r="B2286" s="47" t="s">
        <v>198</v>
      </c>
      <c r="C2286" s="47"/>
      <c r="D2286" s="46" t="s">
        <v>20</v>
      </c>
      <c r="E2286" s="32">
        <v>1.0</v>
      </c>
      <c r="F2286" s="18">
        <f>E2286* 0.799709724238026</f>
        <v>0.7997097242</v>
      </c>
      <c r="G2286" s="18">
        <f>E2286* 0.150580551523948</f>
        <v>0.1505805515</v>
      </c>
      <c r="H2286" s="18">
        <f>E2286* 0.0493468795355588</f>
        <v>0.04934687954</v>
      </c>
    </row>
    <row r="2287" ht="15.75" hidden="1" customHeight="1">
      <c r="A2287" s="20" t="s">
        <v>183</v>
      </c>
      <c r="B2287" s="47" t="s">
        <v>198</v>
      </c>
      <c r="C2287" s="47"/>
      <c r="D2287" s="46" t="s">
        <v>12</v>
      </c>
      <c r="E2287" s="32">
        <v>1.0</v>
      </c>
      <c r="F2287" s="18">
        <f>E2287* 0.894051651143099</f>
        <v>0.8940516511</v>
      </c>
      <c r="G2287" s="18">
        <f>E2287* 0.0675804403048264</f>
        <v>0.0675804403</v>
      </c>
      <c r="H2287" s="18">
        <f>E2287* 0.0382091447925487</f>
        <v>0.03820914479</v>
      </c>
    </row>
    <row r="2288" ht="15.75" hidden="1" customHeight="1">
      <c r="A2288" s="20" t="s">
        <v>183</v>
      </c>
      <c r="B2288" s="20"/>
      <c r="C2288" s="20"/>
      <c r="D2288" s="46"/>
      <c r="E2288" s="35"/>
    </row>
    <row r="2289" ht="15.75" hidden="1" customHeight="1">
      <c r="A2289" s="20" t="s">
        <v>183</v>
      </c>
      <c r="B2289" s="47" t="s">
        <v>199</v>
      </c>
      <c r="C2289" s="12" t="str">
        <f>B2289&amp;"_"&amp;A2289</f>
        <v>Porco_Potosí</v>
      </c>
      <c r="D2289" s="20"/>
      <c r="E2289" s="45">
        <v>629.0</v>
      </c>
      <c r="F2289" s="14">
        <f t="shared" ref="F2289:H2289" si="196">SUM(F2290:F2301)</f>
        <v>356.5417768</v>
      </c>
      <c r="G2289" s="14">
        <f t="shared" si="196"/>
        <v>258.7844635</v>
      </c>
      <c r="H2289" s="14">
        <f t="shared" si="196"/>
        <v>13.61250923</v>
      </c>
    </row>
    <row r="2290" ht="15.75" hidden="1" customHeight="1">
      <c r="A2290" s="20" t="s">
        <v>183</v>
      </c>
      <c r="B2290" s="47" t="s">
        <v>199</v>
      </c>
      <c r="C2290" s="47"/>
      <c r="D2290" s="35" t="s">
        <v>553</v>
      </c>
      <c r="E2290" s="32">
        <v>3.0</v>
      </c>
      <c r="F2290" s="20">
        <v>0.0</v>
      </c>
      <c r="G2290" s="24">
        <f>E2290</f>
        <v>3</v>
      </c>
      <c r="H2290" s="20">
        <v>0.0</v>
      </c>
    </row>
    <row r="2291" ht="15.75" hidden="1" customHeight="1">
      <c r="A2291" s="20" t="s">
        <v>183</v>
      </c>
      <c r="B2291" s="47" t="s">
        <v>199</v>
      </c>
      <c r="C2291" s="47"/>
      <c r="D2291" s="46" t="s">
        <v>15</v>
      </c>
      <c r="E2291" s="32">
        <v>26.0</v>
      </c>
      <c r="F2291" s="18">
        <f>E2291* 0.975464549882735</f>
        <v>25.3620783</v>
      </c>
      <c r="G2291" s="18">
        <f>E2291* 0.00487100847916291</f>
        <v>0.1266462205</v>
      </c>
      <c r="H2291" s="18">
        <f>E2291* 0.0195742377773769</f>
        <v>0.5089301822</v>
      </c>
    </row>
    <row r="2292" ht="15.75" hidden="1" customHeight="1">
      <c r="A2292" s="20" t="s">
        <v>183</v>
      </c>
      <c r="B2292" s="47" t="s">
        <v>199</v>
      </c>
      <c r="C2292" s="47"/>
      <c r="D2292" s="35" t="s">
        <v>554</v>
      </c>
      <c r="E2292" s="32">
        <v>3.0</v>
      </c>
      <c r="F2292" s="18">
        <f>E2292* 0.0607843137254902</f>
        <v>0.1823529412</v>
      </c>
      <c r="G2292" s="18">
        <f>E2292* 0.93921568627451</f>
        <v>2.817647059</v>
      </c>
      <c r="H2292" s="20">
        <v>0.0</v>
      </c>
    </row>
    <row r="2293" ht="15.75" hidden="1" customHeight="1">
      <c r="A2293" s="20" t="s">
        <v>183</v>
      </c>
      <c r="B2293" s="47" t="s">
        <v>199</v>
      </c>
      <c r="C2293" s="47"/>
      <c r="D2293" s="46" t="s">
        <v>11</v>
      </c>
      <c r="E2293" s="32">
        <v>262.0</v>
      </c>
      <c r="F2293" s="18">
        <f>E2293* 0.175725756639901</f>
        <v>46.04014824</v>
      </c>
      <c r="G2293" s="18">
        <f>E2293* 0.823656578134651</f>
        <v>215.7980235</v>
      </c>
      <c r="H2293" s="18">
        <f>E2293* 0.000617665225447807</f>
        <v>0.1618282891</v>
      </c>
    </row>
    <row r="2294" ht="15.75" hidden="1" customHeight="1">
      <c r="A2294" s="20" t="s">
        <v>183</v>
      </c>
      <c r="B2294" s="47" t="s">
        <v>199</v>
      </c>
      <c r="C2294" s="47"/>
      <c r="D2294" s="46" t="s">
        <v>17</v>
      </c>
      <c r="E2294" s="32">
        <v>48.0</v>
      </c>
      <c r="F2294" s="18">
        <f>E2294* 0.869679539852095</f>
        <v>41.74461791</v>
      </c>
      <c r="G2294" s="18">
        <f>E2294* 0.0695152013147083</f>
        <v>3.336729663</v>
      </c>
      <c r="H2294" s="18">
        <f>E2294* 0.0608052588331964</f>
        <v>2.918652424</v>
      </c>
    </row>
    <row r="2295" ht="15.75" hidden="1" customHeight="1">
      <c r="A2295" s="20" t="s">
        <v>183</v>
      </c>
      <c r="B2295" s="47" t="s">
        <v>199</v>
      </c>
      <c r="C2295" s="47"/>
      <c r="D2295" s="46" t="s">
        <v>31</v>
      </c>
      <c r="E2295" s="32">
        <v>6.0</v>
      </c>
      <c r="F2295" s="18">
        <f>E2295* 0.93</f>
        <v>5.58</v>
      </c>
      <c r="G2295" s="18">
        <f>E2295* 0.05</f>
        <v>0.3</v>
      </c>
      <c r="H2295" s="18">
        <f>E2295* 0.02</f>
        <v>0.12</v>
      </c>
    </row>
    <row r="2296" ht="15.75" hidden="1" customHeight="1">
      <c r="A2296" s="20" t="s">
        <v>183</v>
      </c>
      <c r="B2296" s="47" t="s">
        <v>199</v>
      </c>
      <c r="C2296" s="47"/>
      <c r="D2296" s="46" t="s">
        <v>18</v>
      </c>
      <c r="E2296" s="32">
        <v>8.0</v>
      </c>
      <c r="F2296" s="18">
        <f>E2296* 0.941463414634146</f>
        <v>7.531707317</v>
      </c>
      <c r="G2296" s="18">
        <f>E2296* 0.0532833020637899</f>
        <v>0.4262664165</v>
      </c>
      <c r="H2296" s="18">
        <f>E2296* 0.00487804878048781</f>
        <v>0.03902439024</v>
      </c>
    </row>
    <row r="2297" ht="15.75" hidden="1" customHeight="1">
      <c r="A2297" s="20" t="s">
        <v>183</v>
      </c>
      <c r="B2297" s="47" t="s">
        <v>199</v>
      </c>
      <c r="C2297" s="47"/>
      <c r="D2297" s="46" t="s">
        <v>19</v>
      </c>
      <c r="E2297" s="32">
        <v>6.0</v>
      </c>
      <c r="F2297" s="18">
        <f>E2297* 0.0748299319727891</f>
        <v>0.4489795918</v>
      </c>
      <c r="G2297" s="18">
        <f>E2297* 0.924036281179138</f>
        <v>5.544217687</v>
      </c>
      <c r="H2297" s="18">
        <f>E2297* 0.00113378684807256</f>
        <v>0.006802721088</v>
      </c>
    </row>
    <row r="2298" ht="15.75" hidden="1" customHeight="1">
      <c r="A2298" s="20" t="s">
        <v>183</v>
      </c>
      <c r="B2298" s="47" t="s">
        <v>199</v>
      </c>
      <c r="C2298" s="47"/>
      <c r="D2298" s="46" t="s">
        <v>20</v>
      </c>
      <c r="E2298" s="32">
        <v>95.0</v>
      </c>
      <c r="F2298" s="18">
        <f>E2298* 0.799709724238026</f>
        <v>75.9724238</v>
      </c>
      <c r="G2298" s="18">
        <f>E2298* 0.150580551523948</f>
        <v>14.30515239</v>
      </c>
      <c r="H2298" s="18">
        <f>E2298* 0.0493468795355588</f>
        <v>4.687953556</v>
      </c>
    </row>
    <row r="2299" ht="15.75" hidden="1" customHeight="1">
      <c r="A2299" s="20" t="s">
        <v>183</v>
      </c>
      <c r="B2299" s="47" t="s">
        <v>199</v>
      </c>
      <c r="C2299" s="47"/>
      <c r="D2299" s="46" t="s">
        <v>21</v>
      </c>
      <c r="E2299" s="32">
        <v>33.0</v>
      </c>
      <c r="F2299" s="18">
        <f>E2299* 0.999328295549958</f>
        <v>32.97783375</v>
      </c>
      <c r="G2299" s="18">
        <f>E2299* 0.000335852225020991</f>
        <v>0.01108312343</v>
      </c>
      <c r="H2299" s="18">
        <f>E2299* 0.000335852225020991</f>
        <v>0.01108312343</v>
      </c>
    </row>
    <row r="2300" ht="15.75" hidden="1" customHeight="1">
      <c r="A2300" s="20" t="s">
        <v>183</v>
      </c>
      <c r="B2300" s="47" t="s">
        <v>199</v>
      </c>
      <c r="C2300" s="47"/>
      <c r="D2300" s="46" t="s">
        <v>28</v>
      </c>
      <c r="E2300" s="32">
        <v>4.0</v>
      </c>
      <c r="F2300" s="18">
        <f>E2300* 0.00116550116550117</f>
        <v>0.004662004662</v>
      </c>
      <c r="G2300" s="18">
        <f>E2300* 0.998834498834499</f>
        <v>3.995337995</v>
      </c>
      <c r="H2300" s="20">
        <v>0.0</v>
      </c>
    </row>
    <row r="2301" ht="15.75" hidden="1" customHeight="1">
      <c r="A2301" s="20" t="s">
        <v>183</v>
      </c>
      <c r="B2301" s="47" t="s">
        <v>199</v>
      </c>
      <c r="C2301" s="47"/>
      <c r="D2301" s="46" t="s">
        <v>12</v>
      </c>
      <c r="E2301" s="32">
        <v>135.0</v>
      </c>
      <c r="F2301" s="18">
        <f>E2301* 0.894051651143099</f>
        <v>120.6969729</v>
      </c>
      <c r="G2301" s="18">
        <f>E2301* 0.0675804403048264</f>
        <v>9.123359441</v>
      </c>
      <c r="H2301" s="18">
        <f>E2301* 0.0382091447925487</f>
        <v>5.158234547</v>
      </c>
    </row>
    <row r="2302" ht="15.75" hidden="1" customHeight="1">
      <c r="A2302" s="20" t="s">
        <v>183</v>
      </c>
      <c r="B2302" s="20"/>
      <c r="C2302" s="20"/>
      <c r="D2302" s="46"/>
      <c r="E2302" s="35"/>
    </row>
    <row r="2303" ht="15.75" hidden="1" customHeight="1">
      <c r="A2303" s="20" t="s">
        <v>183</v>
      </c>
      <c r="B2303" s="47" t="s">
        <v>183</v>
      </c>
      <c r="C2303" s="12" t="str">
        <f>B2303&amp;"_"&amp;A2303</f>
        <v>Potosí_Potosí</v>
      </c>
      <c r="D2303" s="20"/>
      <c r="E2303" s="45">
        <v>66234.0</v>
      </c>
      <c r="F2303" s="14">
        <f t="shared" ref="F2303:H2303" si="197">SUM(F2304:F2318)</f>
        <v>54124.0489</v>
      </c>
      <c r="G2303" s="14">
        <f t="shared" si="197"/>
        <v>10487.92729</v>
      </c>
      <c r="H2303" s="14">
        <f t="shared" si="197"/>
        <v>1615.61418</v>
      </c>
    </row>
    <row r="2304" ht="15.75" hidden="1" customHeight="1">
      <c r="A2304" s="20" t="s">
        <v>183</v>
      </c>
      <c r="B2304" s="47" t="s">
        <v>183</v>
      </c>
      <c r="C2304" s="47"/>
      <c r="D2304" s="35" t="s">
        <v>555</v>
      </c>
      <c r="E2304" s="32">
        <v>123.0</v>
      </c>
      <c r="F2304" s="20">
        <v>0.0</v>
      </c>
      <c r="G2304" s="24">
        <f>E2304</f>
        <v>123</v>
      </c>
      <c r="H2304" s="20">
        <v>0.0</v>
      </c>
    </row>
    <row r="2305" ht="15.75" hidden="1" customHeight="1">
      <c r="A2305" s="20" t="s">
        <v>183</v>
      </c>
      <c r="B2305" s="47" t="s">
        <v>183</v>
      </c>
      <c r="C2305" s="47"/>
      <c r="D2305" s="46" t="s">
        <v>15</v>
      </c>
      <c r="E2305" s="32">
        <v>14253.0</v>
      </c>
      <c r="F2305" s="18">
        <f>E2305* 0.975464549882735</f>
        <v>13903.29623</v>
      </c>
      <c r="G2305" s="18">
        <f>E2305* 0.00487100847916291</f>
        <v>69.42648385</v>
      </c>
      <c r="H2305" s="18">
        <f>E2305* 0.0195742377773769</f>
        <v>278.991611</v>
      </c>
    </row>
    <row r="2306" ht="15.75" hidden="1" customHeight="1">
      <c r="A2306" s="20" t="s">
        <v>183</v>
      </c>
      <c r="B2306" s="47" t="s">
        <v>183</v>
      </c>
      <c r="C2306" s="47"/>
      <c r="D2306" s="35" t="s">
        <v>556</v>
      </c>
      <c r="E2306" s="32">
        <v>486.0</v>
      </c>
      <c r="F2306" s="18">
        <f>E2306* 0.0607843137254902</f>
        <v>29.54117647</v>
      </c>
      <c r="G2306" s="18">
        <f>E2306* 0.93921568627451</f>
        <v>456.4588235</v>
      </c>
      <c r="H2306" s="20">
        <v>0.0</v>
      </c>
    </row>
    <row r="2307" ht="15.75" hidden="1" customHeight="1">
      <c r="A2307" s="20" t="s">
        <v>183</v>
      </c>
      <c r="B2307" s="47" t="s">
        <v>183</v>
      </c>
      <c r="C2307" s="47"/>
      <c r="D2307" s="46" t="s">
        <v>11</v>
      </c>
      <c r="E2307" s="32">
        <v>5693.0</v>
      </c>
      <c r="F2307" s="18">
        <f>E2307* 0.175725756639901</f>
        <v>1000.406733</v>
      </c>
      <c r="G2307" s="18">
        <f>E2307* 0.823656578134651</f>
        <v>4689.076899</v>
      </c>
      <c r="H2307" s="18">
        <f>E2307* 0.000617665225447807</f>
        <v>3.516368128</v>
      </c>
    </row>
    <row r="2308" ht="15.75" hidden="1" customHeight="1">
      <c r="A2308" s="20" t="s">
        <v>183</v>
      </c>
      <c r="B2308" s="47" t="s">
        <v>183</v>
      </c>
      <c r="C2308" s="47"/>
      <c r="D2308" s="46" t="s">
        <v>17</v>
      </c>
      <c r="E2308" s="32">
        <v>7118.0</v>
      </c>
      <c r="F2308" s="18">
        <f>E2308* 0.869679539852095</f>
        <v>6190.378965</v>
      </c>
      <c r="G2308" s="18">
        <f>E2308* 0.0695152013147083</f>
        <v>494.809203</v>
      </c>
      <c r="H2308" s="18">
        <f>E2308* 0.0608052588331964</f>
        <v>432.8118324</v>
      </c>
    </row>
    <row r="2309" ht="15.75" hidden="1" customHeight="1">
      <c r="A2309" s="20" t="s">
        <v>183</v>
      </c>
      <c r="B2309" s="47" t="s">
        <v>183</v>
      </c>
      <c r="C2309" s="47"/>
      <c r="D2309" s="46" t="s">
        <v>31</v>
      </c>
      <c r="E2309" s="32">
        <v>183.0</v>
      </c>
      <c r="F2309" s="18">
        <f>E2309* 0.93</f>
        <v>170.19</v>
      </c>
      <c r="G2309" s="18">
        <f>E2309* 0.05</f>
        <v>9.15</v>
      </c>
      <c r="H2309" s="18">
        <f>E2309* 0.02</f>
        <v>3.66</v>
      </c>
    </row>
    <row r="2310" ht="15.75" hidden="1" customHeight="1">
      <c r="A2310" s="20" t="s">
        <v>183</v>
      </c>
      <c r="B2310" s="47" t="s">
        <v>183</v>
      </c>
      <c r="C2310" s="47"/>
      <c r="D2310" s="46" t="s">
        <v>18</v>
      </c>
      <c r="E2310" s="32">
        <v>2650.0</v>
      </c>
      <c r="F2310" s="18">
        <f>E2310* 0.941463414634146</f>
        <v>2494.878049</v>
      </c>
      <c r="G2310" s="18">
        <f>E2310* 0.0532833020637899</f>
        <v>141.2007505</v>
      </c>
      <c r="H2310" s="18">
        <f>E2310* 0.00487804878048781</f>
        <v>12.92682927</v>
      </c>
    </row>
    <row r="2311" ht="15.75" hidden="1" customHeight="1">
      <c r="A2311" s="20" t="s">
        <v>183</v>
      </c>
      <c r="B2311" s="47" t="s">
        <v>183</v>
      </c>
      <c r="C2311" s="47"/>
      <c r="D2311" s="46" t="s">
        <v>557</v>
      </c>
      <c r="E2311" s="32">
        <v>23.0</v>
      </c>
      <c r="F2311" s="20">
        <v>0.0</v>
      </c>
      <c r="G2311" s="24">
        <f>E2311</f>
        <v>23</v>
      </c>
      <c r="H2311" s="20">
        <v>0.0</v>
      </c>
    </row>
    <row r="2312" ht="15.75" hidden="1" customHeight="1">
      <c r="A2312" s="20" t="s">
        <v>183</v>
      </c>
      <c r="B2312" s="47" t="s">
        <v>183</v>
      </c>
      <c r="C2312" s="47"/>
      <c r="D2312" s="46" t="s">
        <v>19</v>
      </c>
      <c r="E2312" s="32">
        <v>1891.0</v>
      </c>
      <c r="F2312" s="18">
        <f>E2312* 0.0748299319727891</f>
        <v>141.5034014</v>
      </c>
      <c r="G2312" s="18">
        <f>E2312* 0.924036281179138</f>
        <v>1747.352608</v>
      </c>
      <c r="H2312" s="18">
        <f>E2312* 0.00113378684807256</f>
        <v>2.14399093</v>
      </c>
    </row>
    <row r="2313" ht="15.75" hidden="1" customHeight="1">
      <c r="A2313" s="20" t="s">
        <v>183</v>
      </c>
      <c r="B2313" s="47" t="s">
        <v>183</v>
      </c>
      <c r="C2313" s="47"/>
      <c r="D2313" s="46" t="s">
        <v>20</v>
      </c>
      <c r="E2313" s="32">
        <v>3051.0</v>
      </c>
      <c r="F2313" s="18">
        <f>E2313* 0.799709724238026</f>
        <v>2439.914369</v>
      </c>
      <c r="G2313" s="18">
        <f>E2313* 0.150580551523948</f>
        <v>459.4212627</v>
      </c>
      <c r="H2313" s="18">
        <f>E2313* 0.0493468795355588</f>
        <v>150.5573295</v>
      </c>
    </row>
    <row r="2314" ht="15.75" hidden="1" customHeight="1">
      <c r="A2314" s="20" t="s">
        <v>183</v>
      </c>
      <c r="B2314" s="47" t="s">
        <v>183</v>
      </c>
      <c r="C2314" s="47"/>
      <c r="D2314" s="46" t="s">
        <v>21</v>
      </c>
      <c r="E2314" s="32">
        <v>10661.0</v>
      </c>
      <c r="F2314" s="18">
        <f>E2314* 0.999328295549958</f>
        <v>10653.83896</v>
      </c>
      <c r="G2314" s="18">
        <f>E2314* 0.000335852225020991</f>
        <v>3.580520571</v>
      </c>
      <c r="H2314" s="18">
        <f>E2314* 0.000335852225020991</f>
        <v>3.580520571</v>
      </c>
    </row>
    <row r="2315" ht="15.75" hidden="1" customHeight="1">
      <c r="A2315" s="20" t="s">
        <v>183</v>
      </c>
      <c r="B2315" s="47" t="s">
        <v>183</v>
      </c>
      <c r="C2315" s="47"/>
      <c r="D2315" s="46" t="s">
        <v>36</v>
      </c>
      <c r="E2315" s="32">
        <v>78.0</v>
      </c>
      <c r="F2315" s="24">
        <f>E2315</f>
        <v>78</v>
      </c>
      <c r="G2315" s="20">
        <v>0.0</v>
      </c>
      <c r="H2315" s="20">
        <v>0.0</v>
      </c>
    </row>
    <row r="2316" ht="15.75" hidden="1" customHeight="1">
      <c r="A2316" s="20" t="s">
        <v>183</v>
      </c>
      <c r="B2316" s="47" t="s">
        <v>183</v>
      </c>
      <c r="C2316" s="47"/>
      <c r="D2316" s="46" t="s">
        <v>37</v>
      </c>
      <c r="E2316" s="32">
        <v>3.0</v>
      </c>
      <c r="F2316" s="20">
        <v>0.0</v>
      </c>
      <c r="G2316" s="24">
        <f>E2316</f>
        <v>3</v>
      </c>
      <c r="H2316" s="20">
        <v>0.0</v>
      </c>
    </row>
    <row r="2317" ht="15.75" hidden="1" customHeight="1">
      <c r="A2317" s="20" t="s">
        <v>183</v>
      </c>
      <c r="B2317" s="47" t="s">
        <v>183</v>
      </c>
      <c r="C2317" s="47"/>
      <c r="D2317" s="46" t="s">
        <v>28</v>
      </c>
      <c r="E2317" s="32">
        <v>983.0</v>
      </c>
      <c r="F2317" s="18">
        <f>E2317* 0.00116550116550117</f>
        <v>1.145687646</v>
      </c>
      <c r="G2317" s="18">
        <f>E2317* 0.998834498834499</f>
        <v>981.8543124</v>
      </c>
      <c r="H2317" s="20">
        <v>0.0</v>
      </c>
    </row>
    <row r="2318" ht="15.75" hidden="1" customHeight="1">
      <c r="A2318" s="20" t="s">
        <v>183</v>
      </c>
      <c r="B2318" s="47" t="s">
        <v>183</v>
      </c>
      <c r="C2318" s="47"/>
      <c r="D2318" s="46" t="s">
        <v>12</v>
      </c>
      <c r="E2318" s="32">
        <v>19038.0</v>
      </c>
      <c r="F2318" s="18">
        <f>E2318* 0.894051651143099</f>
        <v>17020.95533</v>
      </c>
      <c r="G2318" s="18">
        <f>E2318* 0.0675804403048264</f>
        <v>1286.596423</v>
      </c>
      <c r="H2318" s="18">
        <f>E2318* 0.0382091447925487</f>
        <v>727.4256986</v>
      </c>
    </row>
    <row r="2319" ht="15.75" hidden="1" customHeight="1">
      <c r="A2319" s="20" t="s">
        <v>183</v>
      </c>
      <c r="B2319" s="20"/>
      <c r="C2319" s="20"/>
      <c r="D2319" s="46"/>
      <c r="E2319" s="35"/>
    </row>
    <row r="2320" ht="15.75" hidden="1" customHeight="1">
      <c r="A2320" s="20" t="s">
        <v>183</v>
      </c>
      <c r="B2320" s="47" t="s">
        <v>200</v>
      </c>
      <c r="C2320" s="12" t="str">
        <f>B2320&amp;"_"&amp;A2320</f>
        <v>Puna_Potosí</v>
      </c>
      <c r="D2320" s="20"/>
      <c r="E2320" s="45">
        <v>126.0</v>
      </c>
      <c r="F2320" s="14">
        <f t="shared" ref="F2320:H2320" si="198">SUM(F2321:F2331)</f>
        <v>98.51377307</v>
      </c>
      <c r="G2320" s="14">
        <f t="shared" si="198"/>
        <v>24.64319322</v>
      </c>
      <c r="H2320" s="14">
        <f t="shared" si="198"/>
        <v>2.835040894</v>
      </c>
    </row>
    <row r="2321" ht="15.75" hidden="1" customHeight="1">
      <c r="A2321" s="20" t="s">
        <v>183</v>
      </c>
      <c r="B2321" s="47" t="s">
        <v>200</v>
      </c>
      <c r="C2321" s="47"/>
      <c r="D2321" s="35" t="s">
        <v>558</v>
      </c>
      <c r="E2321" s="32">
        <v>2.0</v>
      </c>
      <c r="F2321" s="20">
        <v>0.0</v>
      </c>
      <c r="G2321" s="24">
        <f>E2321</f>
        <v>2</v>
      </c>
      <c r="H2321" s="20">
        <v>0.0</v>
      </c>
    </row>
    <row r="2322" ht="15.75" hidden="1" customHeight="1">
      <c r="A2322" s="20" t="s">
        <v>183</v>
      </c>
      <c r="B2322" s="47" t="s">
        <v>200</v>
      </c>
      <c r="C2322" s="47"/>
      <c r="D2322" s="46" t="s">
        <v>15</v>
      </c>
      <c r="E2322" s="32">
        <v>5.0</v>
      </c>
      <c r="F2322" s="18">
        <f>E2322* 0.975464549882735</f>
        <v>4.877322749</v>
      </c>
      <c r="G2322" s="18">
        <f>E2322* 0.00487100847916291</f>
        <v>0.0243550424</v>
      </c>
      <c r="H2322" s="18">
        <f>E2322* 0.0195742377773769</f>
        <v>0.09787118889</v>
      </c>
    </row>
    <row r="2323" ht="15.75" hidden="1" customHeight="1">
      <c r="A2323" s="20" t="s">
        <v>183</v>
      </c>
      <c r="B2323" s="47" t="s">
        <v>200</v>
      </c>
      <c r="C2323" s="47"/>
      <c r="D2323" s="35" t="s">
        <v>559</v>
      </c>
      <c r="E2323" s="32">
        <v>3.0</v>
      </c>
      <c r="F2323" s="18">
        <f>E2323* 0.0607843137254902</f>
        <v>0.1823529412</v>
      </c>
      <c r="G2323" s="18">
        <f>E2323* 0.93921568627451</f>
        <v>2.817647059</v>
      </c>
      <c r="H2323" s="20">
        <v>0.0</v>
      </c>
    </row>
    <row r="2324" ht="15.75" hidden="1" customHeight="1">
      <c r="A2324" s="20" t="s">
        <v>183</v>
      </c>
      <c r="B2324" s="47" t="s">
        <v>200</v>
      </c>
      <c r="C2324" s="47"/>
      <c r="D2324" s="46" t="s">
        <v>11</v>
      </c>
      <c r="E2324" s="32">
        <v>15.0</v>
      </c>
      <c r="F2324" s="18">
        <f>E2324* 0.175725756639901</f>
        <v>2.63588635</v>
      </c>
      <c r="G2324" s="18">
        <f>E2324* 0.823656578134651</f>
        <v>12.35484867</v>
      </c>
      <c r="H2324" s="18">
        <f>E2324* 0.000617665225447807</f>
        <v>0.009264978382</v>
      </c>
    </row>
    <row r="2325" ht="15.75" hidden="1" customHeight="1">
      <c r="A2325" s="20" t="s">
        <v>183</v>
      </c>
      <c r="B2325" s="47" t="s">
        <v>200</v>
      </c>
      <c r="C2325" s="47"/>
      <c r="D2325" s="46" t="s">
        <v>17</v>
      </c>
      <c r="E2325" s="32">
        <v>23.0</v>
      </c>
      <c r="F2325" s="18">
        <f>E2325* 0.869679539852095</f>
        <v>20.00262942</v>
      </c>
      <c r="G2325" s="18">
        <f>E2325* 0.0695152013147083</f>
        <v>1.59884963</v>
      </c>
      <c r="H2325" s="18">
        <f>E2325* 0.0608052588331964</f>
        <v>1.398520953</v>
      </c>
    </row>
    <row r="2326" ht="15.75" hidden="1" customHeight="1">
      <c r="A2326" s="20" t="s">
        <v>183</v>
      </c>
      <c r="B2326" s="47" t="s">
        <v>200</v>
      </c>
      <c r="C2326" s="47"/>
      <c r="D2326" s="46" t="s">
        <v>18</v>
      </c>
      <c r="E2326" s="32">
        <v>1.0</v>
      </c>
      <c r="F2326" s="18">
        <f>E2326* 0.941463414634146</f>
        <v>0.9414634146</v>
      </c>
      <c r="G2326" s="18">
        <f>E2326* 0.0532833020637899</f>
        <v>0.05328330206</v>
      </c>
      <c r="H2326" s="18">
        <f>E2326* 0.00487804878048781</f>
        <v>0.00487804878</v>
      </c>
    </row>
    <row r="2327" ht="15.75" hidden="1" customHeight="1">
      <c r="A2327" s="20" t="s">
        <v>183</v>
      </c>
      <c r="B2327" s="47" t="s">
        <v>200</v>
      </c>
      <c r="C2327" s="47"/>
      <c r="D2327" s="46" t="s">
        <v>19</v>
      </c>
      <c r="E2327" s="32">
        <v>3.0</v>
      </c>
      <c r="F2327" s="18">
        <f>E2327* 0.0748299319727891</f>
        <v>0.2244897959</v>
      </c>
      <c r="G2327" s="18">
        <f>E2327* 0.924036281179138</f>
        <v>2.772108844</v>
      </c>
      <c r="H2327" s="18">
        <f>E2327* 0.00113378684807256</f>
        <v>0.003401360544</v>
      </c>
    </row>
    <row r="2328" ht="15.75" hidden="1" customHeight="1">
      <c r="A2328" s="20" t="s">
        <v>183</v>
      </c>
      <c r="B2328" s="47" t="s">
        <v>200</v>
      </c>
      <c r="C2328" s="47"/>
      <c r="D2328" s="46" t="s">
        <v>20</v>
      </c>
      <c r="E2328" s="32">
        <v>11.0</v>
      </c>
      <c r="F2328" s="18">
        <f>E2328* 0.799709724238026</f>
        <v>8.796806967</v>
      </c>
      <c r="G2328" s="18">
        <f>E2328* 0.150580551523948</f>
        <v>1.656386067</v>
      </c>
      <c r="H2328" s="18">
        <f>E2328* 0.0493468795355588</f>
        <v>0.5428156749</v>
      </c>
    </row>
    <row r="2329" ht="15.75" hidden="1" customHeight="1">
      <c r="A2329" s="20" t="s">
        <v>183</v>
      </c>
      <c r="B2329" s="47" t="s">
        <v>200</v>
      </c>
      <c r="C2329" s="47"/>
      <c r="D2329" s="46" t="s">
        <v>21</v>
      </c>
      <c r="E2329" s="32">
        <v>42.0</v>
      </c>
      <c r="F2329" s="18">
        <f>E2329* 0.999328295549958</f>
        <v>41.97178841</v>
      </c>
      <c r="G2329" s="18">
        <f>E2329* 0.000335852225020991</f>
        <v>0.01410579345</v>
      </c>
      <c r="H2329" s="18">
        <f>E2329* 0.000335852225020991</f>
        <v>0.01410579345</v>
      </c>
    </row>
    <row r="2330" ht="15.75" hidden="1" customHeight="1">
      <c r="A2330" s="20" t="s">
        <v>183</v>
      </c>
      <c r="B2330" s="47" t="s">
        <v>200</v>
      </c>
      <c r="C2330" s="47"/>
      <c r="D2330" s="46" t="s">
        <v>36</v>
      </c>
      <c r="E2330" s="32">
        <v>1.0</v>
      </c>
      <c r="F2330" s="24">
        <f>E2330</f>
        <v>1</v>
      </c>
      <c r="G2330" s="20">
        <v>0.0</v>
      </c>
      <c r="H2330" s="20">
        <v>0.0</v>
      </c>
    </row>
    <row r="2331" ht="15.75" hidden="1" customHeight="1">
      <c r="A2331" s="20" t="s">
        <v>183</v>
      </c>
      <c r="B2331" s="47" t="s">
        <v>200</v>
      </c>
      <c r="C2331" s="47"/>
      <c r="D2331" s="46" t="s">
        <v>12</v>
      </c>
      <c r="E2331" s="32">
        <v>20.0</v>
      </c>
      <c r="F2331" s="18">
        <f>E2331* 0.894051651143099</f>
        <v>17.88103302</v>
      </c>
      <c r="G2331" s="18">
        <f>E2331* 0.0675804403048264</f>
        <v>1.351608806</v>
      </c>
      <c r="H2331" s="18">
        <f>E2331* 0.0382091447925487</f>
        <v>0.7641828959</v>
      </c>
    </row>
    <row r="2332" ht="15.75" hidden="1" customHeight="1">
      <c r="A2332" s="20" t="s">
        <v>183</v>
      </c>
      <c r="B2332" s="20"/>
      <c r="C2332" s="20"/>
      <c r="D2332" s="46"/>
      <c r="E2332" s="35"/>
    </row>
    <row r="2333" ht="15.75" hidden="1" customHeight="1">
      <c r="A2333" s="20" t="s">
        <v>183</v>
      </c>
      <c r="B2333" s="47" t="s">
        <v>201</v>
      </c>
      <c r="C2333" s="12" t="str">
        <f>B2333&amp;"_"&amp;A2333</f>
        <v>Ravelo_Potosí</v>
      </c>
      <c r="D2333" s="20"/>
      <c r="E2333" s="45">
        <v>2.0</v>
      </c>
      <c r="F2333" s="14">
        <f t="shared" ref="F2333:H2333" si="199">SUM(F2334:F2335)</f>
        <v>1.117189171</v>
      </c>
      <c r="G2333" s="14">
        <f t="shared" si="199"/>
        <v>0.8769398802</v>
      </c>
      <c r="H2333" s="14">
        <f t="shared" si="199"/>
        <v>0.005495714006</v>
      </c>
    </row>
    <row r="2334" ht="15.75" hidden="1" customHeight="1">
      <c r="A2334" s="20" t="s">
        <v>183</v>
      </c>
      <c r="B2334" s="47" t="s">
        <v>201</v>
      </c>
      <c r="C2334" s="47"/>
      <c r="D2334" s="46" t="s">
        <v>11</v>
      </c>
      <c r="E2334" s="32">
        <v>1.0</v>
      </c>
      <c r="F2334" s="18">
        <f>E2334* 0.175725756639901</f>
        <v>0.1757257566</v>
      </c>
      <c r="G2334" s="18">
        <f>E2334* 0.823656578134651</f>
        <v>0.8236565781</v>
      </c>
      <c r="H2334" s="18">
        <f>E2334* 0.000617665225447807</f>
        <v>0.0006176652254</v>
      </c>
    </row>
    <row r="2335" ht="15.75" hidden="1" customHeight="1">
      <c r="A2335" s="20" t="s">
        <v>183</v>
      </c>
      <c r="B2335" s="47" t="s">
        <v>201</v>
      </c>
      <c r="C2335" s="47"/>
      <c r="D2335" s="46" t="s">
        <v>18</v>
      </c>
      <c r="E2335" s="32">
        <v>1.0</v>
      </c>
      <c r="F2335" s="18">
        <f>E2335* 0.941463414634146</f>
        <v>0.9414634146</v>
      </c>
      <c r="G2335" s="18">
        <f>E2335* 0.0532833020637899</f>
        <v>0.05328330206</v>
      </c>
      <c r="H2335" s="18">
        <f>E2335* 0.00487804878048781</f>
        <v>0.00487804878</v>
      </c>
    </row>
    <row r="2336" ht="15.75" hidden="1" customHeight="1">
      <c r="A2336" s="20" t="s">
        <v>183</v>
      </c>
      <c r="B2336" s="20"/>
      <c r="C2336" s="20"/>
      <c r="D2336" s="46"/>
      <c r="E2336" s="35"/>
    </row>
    <row r="2337" ht="15.75" hidden="1" customHeight="1">
      <c r="A2337" s="20" t="s">
        <v>183</v>
      </c>
      <c r="B2337" s="47" t="s">
        <v>202</v>
      </c>
      <c r="C2337" s="12" t="str">
        <f>B2337&amp;"_"&amp;A2337</f>
        <v>San Antonio de Esmoruco_Potosí</v>
      </c>
      <c r="D2337" s="20"/>
      <c r="E2337" s="45">
        <v>2.0</v>
      </c>
      <c r="F2337" s="14">
        <f t="shared" ref="F2337:H2337" si="200">SUM(F2338:F2339)</f>
        <v>1.045405296</v>
      </c>
      <c r="G2337" s="14">
        <f t="shared" si="200"/>
        <v>0.8931717794</v>
      </c>
      <c r="H2337" s="14">
        <f t="shared" si="200"/>
        <v>0.06142292406</v>
      </c>
    </row>
    <row r="2338" ht="15.75" hidden="1" customHeight="1">
      <c r="A2338" s="20" t="s">
        <v>183</v>
      </c>
      <c r="B2338" s="47" t="s">
        <v>202</v>
      </c>
      <c r="C2338" s="47"/>
      <c r="D2338" s="46" t="s">
        <v>11</v>
      </c>
      <c r="E2338" s="32">
        <v>1.0</v>
      </c>
      <c r="F2338" s="18">
        <f>E2338* 0.175725756639901</f>
        <v>0.1757257566</v>
      </c>
      <c r="G2338" s="18">
        <f>E2338* 0.823656578134651</f>
        <v>0.8236565781</v>
      </c>
      <c r="H2338" s="18">
        <f>E2338* 0.000617665225447807</f>
        <v>0.0006176652254</v>
      </c>
    </row>
    <row r="2339" ht="15.75" hidden="1" customHeight="1">
      <c r="A2339" s="20" t="s">
        <v>183</v>
      </c>
      <c r="B2339" s="47" t="s">
        <v>202</v>
      </c>
      <c r="C2339" s="47"/>
      <c r="D2339" s="46" t="s">
        <v>17</v>
      </c>
      <c r="E2339" s="32">
        <v>1.0</v>
      </c>
      <c r="F2339" s="18">
        <f>E2339* 0.869679539852095</f>
        <v>0.8696795399</v>
      </c>
      <c r="G2339" s="18">
        <f>E2339* 0.0695152013147083</f>
        <v>0.06951520131</v>
      </c>
      <c r="H2339" s="18">
        <f>E2339* 0.0608052588331964</f>
        <v>0.06080525883</v>
      </c>
    </row>
    <row r="2340" ht="15.75" hidden="1" customHeight="1">
      <c r="A2340" s="20" t="s">
        <v>183</v>
      </c>
      <c r="B2340" s="20"/>
      <c r="C2340" s="20"/>
      <c r="D2340" s="46"/>
      <c r="E2340" s="35"/>
    </row>
    <row r="2341" ht="15.75" hidden="1" customHeight="1">
      <c r="A2341" s="20" t="s">
        <v>183</v>
      </c>
      <c r="B2341" s="47" t="s">
        <v>203</v>
      </c>
      <c r="C2341" s="12" t="str">
        <f>B2341&amp;"_"&amp;A2341</f>
        <v>San Pedro de Buena Vista_Potosí</v>
      </c>
      <c r="D2341" s="20"/>
      <c r="E2341" s="45">
        <v>202.0</v>
      </c>
      <c r="F2341" s="14">
        <f t="shared" ref="F2341:H2341" si="201">SUM(F2342:F2353)</f>
        <v>166.467313</v>
      </c>
      <c r="G2341" s="14">
        <f t="shared" si="201"/>
        <v>33.57901047</v>
      </c>
      <c r="H2341" s="14">
        <f t="shared" si="201"/>
        <v>1.946448014</v>
      </c>
    </row>
    <row r="2342" ht="15.75" hidden="1" customHeight="1">
      <c r="A2342" s="20" t="s">
        <v>183</v>
      </c>
      <c r="B2342" s="47" t="s">
        <v>203</v>
      </c>
      <c r="C2342" s="47"/>
      <c r="D2342" s="35" t="s">
        <v>560</v>
      </c>
      <c r="E2342" s="32">
        <v>0.0</v>
      </c>
      <c r="F2342" s="20">
        <v>0.0</v>
      </c>
      <c r="G2342" s="24">
        <f>E2342</f>
        <v>0</v>
      </c>
      <c r="H2342" s="20">
        <v>0.0</v>
      </c>
    </row>
    <row r="2343" ht="15.75" hidden="1" customHeight="1">
      <c r="A2343" s="20" t="s">
        <v>183</v>
      </c>
      <c r="B2343" s="47" t="s">
        <v>203</v>
      </c>
      <c r="C2343" s="47"/>
      <c r="D2343" s="35" t="s">
        <v>561</v>
      </c>
      <c r="E2343" s="32">
        <v>11.0</v>
      </c>
      <c r="F2343" s="18">
        <f>E2343* 0.0607843137254902</f>
        <v>0.668627451</v>
      </c>
      <c r="G2343" s="18">
        <f>E2343* 0.93921568627451</f>
        <v>10.33137255</v>
      </c>
      <c r="H2343" s="20">
        <v>0.0</v>
      </c>
    </row>
    <row r="2344" ht="15.75" hidden="1" customHeight="1">
      <c r="A2344" s="20" t="s">
        <v>183</v>
      </c>
      <c r="B2344" s="47" t="s">
        <v>203</v>
      </c>
      <c r="C2344" s="47"/>
      <c r="D2344" s="46" t="s">
        <v>11</v>
      </c>
      <c r="E2344" s="32">
        <v>12.0</v>
      </c>
      <c r="F2344" s="18">
        <f>E2344* 0.175725756639901</f>
        <v>2.10870908</v>
      </c>
      <c r="G2344" s="18">
        <f>E2344* 0.823656578134651</f>
        <v>9.883878938</v>
      </c>
      <c r="H2344" s="18">
        <f>E2344* 0.000617665225447807</f>
        <v>0.007411982705</v>
      </c>
    </row>
    <row r="2345" ht="15.75" hidden="1" customHeight="1">
      <c r="A2345" s="20" t="s">
        <v>183</v>
      </c>
      <c r="B2345" s="47" t="s">
        <v>203</v>
      </c>
      <c r="C2345" s="47"/>
      <c r="D2345" s="46" t="s">
        <v>17</v>
      </c>
      <c r="E2345" s="32">
        <v>13.0</v>
      </c>
      <c r="F2345" s="18">
        <f>E2345* 0.869679539852095</f>
        <v>11.30583402</v>
      </c>
      <c r="G2345" s="18">
        <f>E2345* 0.0695152013147083</f>
        <v>0.9036976171</v>
      </c>
      <c r="H2345" s="18">
        <f>E2345* 0.0608052588331964</f>
        <v>0.7904683648</v>
      </c>
    </row>
    <row r="2346" ht="15.75" hidden="1" customHeight="1">
      <c r="A2346" s="20" t="s">
        <v>183</v>
      </c>
      <c r="B2346" s="47" t="s">
        <v>203</v>
      </c>
      <c r="C2346" s="47"/>
      <c r="D2346" s="46" t="s">
        <v>31</v>
      </c>
      <c r="E2346" s="32">
        <v>1.0</v>
      </c>
      <c r="F2346" s="18">
        <f>E2346* 0.93</f>
        <v>0.93</v>
      </c>
      <c r="G2346" s="18">
        <f>E2346* 0.05</f>
        <v>0.05</v>
      </c>
      <c r="H2346" s="18">
        <f>E2346* 0.02</f>
        <v>0.02</v>
      </c>
    </row>
    <row r="2347" ht="15.75" hidden="1" customHeight="1">
      <c r="A2347" s="20" t="s">
        <v>183</v>
      </c>
      <c r="B2347" s="47" t="s">
        <v>203</v>
      </c>
      <c r="C2347" s="47"/>
      <c r="D2347" s="46" t="s">
        <v>18</v>
      </c>
      <c r="E2347" s="32">
        <v>5.0</v>
      </c>
      <c r="F2347" s="18">
        <f>E2347* 0.941463414634146</f>
        <v>4.707317073</v>
      </c>
      <c r="G2347" s="18">
        <f>E2347* 0.0532833020637899</f>
        <v>0.2664165103</v>
      </c>
      <c r="H2347" s="18">
        <f>E2347* 0.00487804878048781</f>
        <v>0.0243902439</v>
      </c>
    </row>
    <row r="2348" ht="15.75" hidden="1" customHeight="1">
      <c r="A2348" s="20" t="s">
        <v>183</v>
      </c>
      <c r="B2348" s="47" t="s">
        <v>203</v>
      </c>
      <c r="C2348" s="47"/>
      <c r="D2348" s="35" t="s">
        <v>562</v>
      </c>
      <c r="E2348" s="32">
        <v>7.0</v>
      </c>
      <c r="F2348" s="20">
        <v>0.0</v>
      </c>
      <c r="G2348" s="24">
        <f>E2348</f>
        <v>7</v>
      </c>
      <c r="H2348" s="20">
        <v>0.0</v>
      </c>
    </row>
    <row r="2349" ht="15.75" hidden="1" customHeight="1">
      <c r="A2349" s="20" t="s">
        <v>183</v>
      </c>
      <c r="B2349" s="47" t="s">
        <v>203</v>
      </c>
      <c r="C2349" s="47"/>
      <c r="D2349" s="46" t="s">
        <v>19</v>
      </c>
      <c r="E2349" s="32">
        <v>2.0</v>
      </c>
      <c r="F2349" s="18">
        <f>E2349* 0.0748299319727891</f>
        <v>0.1496598639</v>
      </c>
      <c r="G2349" s="18">
        <f>E2349* 0.924036281179138</f>
        <v>1.848072562</v>
      </c>
      <c r="H2349" s="18">
        <f>E2349* 0.00113378684807256</f>
        <v>0.002267573696</v>
      </c>
    </row>
    <row r="2350" ht="15.75" hidden="1" customHeight="1">
      <c r="A2350" s="20" t="s">
        <v>183</v>
      </c>
      <c r="B2350" s="47" t="s">
        <v>203</v>
      </c>
      <c r="C2350" s="47"/>
      <c r="D2350" s="46" t="s">
        <v>20</v>
      </c>
      <c r="E2350" s="32">
        <v>6.0</v>
      </c>
      <c r="F2350" s="18">
        <f>E2350* 0.799709724238026</f>
        <v>4.798258345</v>
      </c>
      <c r="G2350" s="18">
        <f>E2350* 0.150580551523948</f>
        <v>0.9034833091</v>
      </c>
      <c r="H2350" s="18">
        <f>E2350* 0.0493468795355588</f>
        <v>0.2960812772</v>
      </c>
    </row>
    <row r="2351" ht="15.75" hidden="1" customHeight="1">
      <c r="A2351" s="20" t="s">
        <v>183</v>
      </c>
      <c r="B2351" s="47" t="s">
        <v>203</v>
      </c>
      <c r="C2351" s="47"/>
      <c r="D2351" s="46" t="s">
        <v>21</v>
      </c>
      <c r="E2351" s="32">
        <v>124.0</v>
      </c>
      <c r="F2351" s="18">
        <f>E2351* 0.999328295549958</f>
        <v>123.9167086</v>
      </c>
      <c r="G2351" s="18">
        <f>E2351* 0.000335852225020991</f>
        <v>0.0416456759</v>
      </c>
      <c r="H2351" s="18">
        <f>E2351* 0.000335852225020991</f>
        <v>0.0416456759</v>
      </c>
    </row>
    <row r="2352" ht="15.75" hidden="1" customHeight="1">
      <c r="A2352" s="20" t="s">
        <v>183</v>
      </c>
      <c r="B2352" s="47" t="s">
        <v>203</v>
      </c>
      <c r="C2352" s="47"/>
      <c r="D2352" s="46" t="s">
        <v>148</v>
      </c>
      <c r="E2352" s="32">
        <v>1.0</v>
      </c>
      <c r="F2352" s="18">
        <f>E2352* 0.00116550116550117</f>
        <v>0.001165501166</v>
      </c>
      <c r="G2352" s="18">
        <f>E2352* 0.998834498834499</f>
        <v>0.9988344988</v>
      </c>
      <c r="H2352" s="20">
        <v>0.0</v>
      </c>
    </row>
    <row r="2353" ht="15.75" hidden="1" customHeight="1">
      <c r="A2353" s="20" t="s">
        <v>183</v>
      </c>
      <c r="B2353" s="47" t="s">
        <v>203</v>
      </c>
      <c r="C2353" s="47"/>
      <c r="D2353" s="46" t="s">
        <v>12</v>
      </c>
      <c r="E2353" s="32">
        <v>20.0</v>
      </c>
      <c r="F2353" s="18">
        <f>E2353* 0.894051651143099</f>
        <v>17.88103302</v>
      </c>
      <c r="G2353" s="18">
        <f>E2353* 0.0675804403048264</f>
        <v>1.351608806</v>
      </c>
      <c r="H2353" s="18">
        <f>E2353* 0.0382091447925487</f>
        <v>0.7641828959</v>
      </c>
    </row>
    <row r="2354" ht="15.75" hidden="1" customHeight="1">
      <c r="A2354" s="20" t="s">
        <v>183</v>
      </c>
      <c r="B2354" s="20"/>
      <c r="C2354" s="20"/>
      <c r="D2354" s="46"/>
      <c r="E2354" s="35"/>
    </row>
    <row r="2355" ht="15.75" hidden="1" customHeight="1">
      <c r="A2355" s="20" t="s">
        <v>183</v>
      </c>
      <c r="B2355" s="47" t="s">
        <v>563</v>
      </c>
      <c r="C2355" s="12" t="str">
        <f>B2355&amp;"_"&amp;A2355</f>
        <v>San Pedro de Macha_Potosí</v>
      </c>
      <c r="D2355" s="20"/>
      <c r="E2355" s="45">
        <v>9.0</v>
      </c>
      <c r="F2355" s="14">
        <f t="shared" ref="F2355:H2355" si="202">SUM(F2356:F2359)</f>
        <v>6.005525461</v>
      </c>
      <c r="G2355" s="14">
        <f t="shared" si="202"/>
        <v>2.875478018</v>
      </c>
      <c r="H2355" s="14">
        <f t="shared" si="202"/>
        <v>0.11852023</v>
      </c>
    </row>
    <row r="2356" ht="15.75" hidden="1" customHeight="1">
      <c r="A2356" s="20" t="s">
        <v>183</v>
      </c>
      <c r="B2356" s="47" t="s">
        <v>563</v>
      </c>
      <c r="C2356" s="47"/>
      <c r="D2356" s="46" t="s">
        <v>11</v>
      </c>
      <c r="E2356" s="32">
        <v>1.0</v>
      </c>
      <c r="F2356" s="18">
        <f>E2356* 0.175725756639901</f>
        <v>0.1757257566</v>
      </c>
      <c r="G2356" s="18">
        <f>E2356* 0.823656578134651</f>
        <v>0.8236565781</v>
      </c>
      <c r="H2356" s="18">
        <f>E2356* 0.000617665225447807</f>
        <v>0.0006176652254</v>
      </c>
    </row>
    <row r="2357" ht="15.75" hidden="1" customHeight="1">
      <c r="A2357" s="20" t="s">
        <v>183</v>
      </c>
      <c r="B2357" s="47" t="s">
        <v>563</v>
      </c>
      <c r="C2357" s="47"/>
      <c r="D2357" s="46" t="s">
        <v>19</v>
      </c>
      <c r="E2357" s="32">
        <v>2.0</v>
      </c>
      <c r="F2357" s="18">
        <f>E2357* 0.0748299319727891</f>
        <v>0.1496598639</v>
      </c>
      <c r="G2357" s="18">
        <f>E2357* 0.924036281179138</f>
        <v>1.848072562</v>
      </c>
      <c r="H2357" s="18">
        <f>E2357* 0.00113378684807256</f>
        <v>0.002267573696</v>
      </c>
    </row>
    <row r="2358" ht="15.75" hidden="1" customHeight="1">
      <c r="A2358" s="20" t="s">
        <v>183</v>
      </c>
      <c r="B2358" s="47" t="s">
        <v>563</v>
      </c>
      <c r="C2358" s="47"/>
      <c r="D2358" s="46" t="s">
        <v>21</v>
      </c>
      <c r="E2358" s="32">
        <v>3.0</v>
      </c>
      <c r="F2358" s="18">
        <f>E2358* 0.999328295549958</f>
        <v>2.997984887</v>
      </c>
      <c r="G2358" s="18">
        <f>E2358* 0.000335852225020991</f>
        <v>0.001007556675</v>
      </c>
      <c r="H2358" s="18">
        <f>E2358* 0.000335852225020991</f>
        <v>0.001007556675</v>
      </c>
    </row>
    <row r="2359" ht="15.75" hidden="1" customHeight="1">
      <c r="A2359" s="20" t="s">
        <v>183</v>
      </c>
      <c r="B2359" s="47" t="s">
        <v>563</v>
      </c>
      <c r="C2359" s="47"/>
      <c r="D2359" s="46" t="s">
        <v>12</v>
      </c>
      <c r="E2359" s="32">
        <v>3.0</v>
      </c>
      <c r="F2359" s="18">
        <f>E2359* 0.894051651143099</f>
        <v>2.682154953</v>
      </c>
      <c r="G2359" s="18">
        <f>E2359* 0.0675804403048264</f>
        <v>0.2027413209</v>
      </c>
      <c r="H2359" s="18">
        <f>E2359* 0.0382091447925487</f>
        <v>0.1146274344</v>
      </c>
    </row>
    <row r="2360" ht="15.75" hidden="1" customHeight="1">
      <c r="A2360" s="20" t="s">
        <v>183</v>
      </c>
      <c r="B2360" s="20"/>
      <c r="C2360" s="20"/>
      <c r="D2360" s="46"/>
      <c r="E2360" s="35"/>
    </row>
    <row r="2361" ht="15.75" hidden="1" customHeight="1">
      <c r="A2361" s="20" t="s">
        <v>183</v>
      </c>
      <c r="B2361" s="47" t="s">
        <v>204</v>
      </c>
      <c r="C2361" s="12" t="str">
        <f>B2361&amp;"_"&amp;A2361</f>
        <v>Tahua_Potosí</v>
      </c>
      <c r="D2361" s="20"/>
      <c r="E2361" s="45">
        <v>0.0</v>
      </c>
      <c r="F2361" s="14">
        <f t="shared" ref="F2361:H2361" si="203">SUM(F2362:F2363)</f>
        <v>0</v>
      </c>
      <c r="G2361" s="14">
        <f t="shared" si="203"/>
        <v>0</v>
      </c>
      <c r="H2361" s="14">
        <f t="shared" si="203"/>
        <v>0</v>
      </c>
    </row>
    <row r="2362" ht="15.75" hidden="1" customHeight="1">
      <c r="A2362" s="20" t="s">
        <v>183</v>
      </c>
      <c r="B2362" s="47" t="s">
        <v>204</v>
      </c>
      <c r="C2362" s="47"/>
      <c r="D2362" s="46" t="s">
        <v>11</v>
      </c>
      <c r="E2362" s="32">
        <v>0.0</v>
      </c>
      <c r="F2362" s="18">
        <f>E2362* 0.175725756639901</f>
        <v>0</v>
      </c>
      <c r="G2362" s="18">
        <f>E2362* 0.823656578134651</f>
        <v>0</v>
      </c>
      <c r="H2362" s="18">
        <f>E2362* 0.000617665225447807</f>
        <v>0</v>
      </c>
    </row>
    <row r="2363" ht="15.75" hidden="1" customHeight="1">
      <c r="A2363" s="20" t="s">
        <v>183</v>
      </c>
      <c r="B2363" s="47" t="s">
        <v>204</v>
      </c>
      <c r="C2363" s="47"/>
      <c r="D2363" s="46" t="s">
        <v>20</v>
      </c>
      <c r="E2363" s="32">
        <v>0.0</v>
      </c>
      <c r="F2363" s="18">
        <f>E2363* 0.799709724238026</f>
        <v>0</v>
      </c>
      <c r="G2363" s="18">
        <f>E2363* 0.150580551523948</f>
        <v>0</v>
      </c>
      <c r="H2363" s="18">
        <f>E2363* 0.0493468795355588</f>
        <v>0</v>
      </c>
    </row>
    <row r="2364" ht="15.75" hidden="1" customHeight="1">
      <c r="A2364" s="20" t="s">
        <v>183</v>
      </c>
      <c r="B2364" s="20"/>
      <c r="C2364" s="20"/>
      <c r="D2364" s="46"/>
      <c r="E2364" s="35"/>
    </row>
    <row r="2365" ht="15.75" hidden="1" customHeight="1">
      <c r="A2365" s="20" t="s">
        <v>183</v>
      </c>
      <c r="B2365" s="47" t="s">
        <v>205</v>
      </c>
      <c r="C2365" s="12" t="str">
        <f>B2365&amp;"_"&amp;A2365</f>
        <v>Tinquipaya_Potosí</v>
      </c>
      <c r="D2365" s="20"/>
      <c r="E2365" s="45">
        <v>0.0</v>
      </c>
      <c r="F2365" s="14">
        <f t="shared" ref="F2365:H2365" si="204">F2366</f>
        <v>0</v>
      </c>
      <c r="G2365" s="14">
        <f t="shared" si="204"/>
        <v>0</v>
      </c>
      <c r="H2365" s="14">
        <f t="shared" si="204"/>
        <v>0</v>
      </c>
    </row>
    <row r="2366" ht="15.75" hidden="1" customHeight="1">
      <c r="A2366" s="20" t="s">
        <v>183</v>
      </c>
      <c r="B2366" s="47" t="s">
        <v>205</v>
      </c>
      <c r="C2366" s="47"/>
      <c r="D2366" s="46" t="s">
        <v>17</v>
      </c>
      <c r="E2366" s="32">
        <v>0.0</v>
      </c>
      <c r="F2366" s="18">
        <f>E2366* 0.869679539852095</f>
        <v>0</v>
      </c>
      <c r="G2366" s="18">
        <f>E2366* 0.0695152013147083</f>
        <v>0</v>
      </c>
      <c r="H2366" s="18">
        <f>E2366* 0.0608052588331964</f>
        <v>0</v>
      </c>
    </row>
    <row r="2367" ht="15.75" hidden="1" customHeight="1">
      <c r="A2367" s="20" t="s">
        <v>183</v>
      </c>
      <c r="B2367" s="20"/>
      <c r="C2367" s="20"/>
      <c r="D2367" s="46"/>
      <c r="E2367" s="35"/>
    </row>
    <row r="2368" ht="15.75" hidden="1" customHeight="1">
      <c r="A2368" s="20" t="s">
        <v>183</v>
      </c>
      <c r="B2368" s="47" t="s">
        <v>206</v>
      </c>
      <c r="C2368" s="12" t="str">
        <f>B2368&amp;"_"&amp;A2368</f>
        <v>Tomave_Potosí</v>
      </c>
      <c r="D2368" s="20"/>
      <c r="E2368" s="45">
        <v>1.0</v>
      </c>
      <c r="F2368" s="14">
        <f t="shared" ref="F2368:H2368" si="205">F2369</f>
        <v>0.1757257566</v>
      </c>
      <c r="G2368" s="14">
        <f t="shared" si="205"/>
        <v>0.8236565781</v>
      </c>
      <c r="H2368" s="14">
        <f t="shared" si="205"/>
        <v>0.0006176652254</v>
      </c>
    </row>
    <row r="2369" ht="15.75" hidden="1" customHeight="1">
      <c r="A2369" s="20" t="s">
        <v>183</v>
      </c>
      <c r="B2369" s="47" t="s">
        <v>206</v>
      </c>
      <c r="C2369" s="47"/>
      <c r="D2369" s="46" t="s">
        <v>11</v>
      </c>
      <c r="E2369" s="32">
        <v>1.0</v>
      </c>
      <c r="F2369" s="18">
        <f>E2369* 0.175725756639901</f>
        <v>0.1757257566</v>
      </c>
      <c r="G2369" s="18">
        <f>E2369* 0.823656578134651</f>
        <v>0.8236565781</v>
      </c>
      <c r="H2369" s="18">
        <f>E2369* 0.000617665225447807</f>
        <v>0.0006176652254</v>
      </c>
    </row>
    <row r="2370" ht="15.75" hidden="1" customHeight="1">
      <c r="A2370" s="20" t="s">
        <v>183</v>
      </c>
      <c r="B2370" s="20"/>
      <c r="C2370" s="20"/>
      <c r="D2370" s="46"/>
      <c r="E2370" s="35"/>
    </row>
    <row r="2371" ht="15.75" hidden="1" customHeight="1">
      <c r="A2371" s="20" t="s">
        <v>183</v>
      </c>
      <c r="B2371" s="47" t="s">
        <v>564</v>
      </c>
      <c r="C2371" s="12" t="str">
        <f>B2371&amp;"_"&amp;A2371</f>
        <v>Toro Toro_Potosí</v>
      </c>
      <c r="D2371" s="20"/>
      <c r="E2371" s="45">
        <v>54.0</v>
      </c>
      <c r="F2371" s="14">
        <f t="shared" ref="F2371:H2371" si="206">SUM(F2372:F2380)</f>
        <v>47.31847012</v>
      </c>
      <c r="G2371" s="14">
        <f t="shared" si="206"/>
        <v>5.791993084</v>
      </c>
      <c r="H2371" s="14">
        <f t="shared" si="206"/>
        <v>0.884171261</v>
      </c>
    </row>
    <row r="2372" ht="15.75" hidden="1" customHeight="1">
      <c r="A2372" s="20" t="s">
        <v>183</v>
      </c>
      <c r="B2372" s="47" t="s">
        <v>564</v>
      </c>
      <c r="C2372" s="47"/>
      <c r="D2372" s="35" t="s">
        <v>565</v>
      </c>
      <c r="E2372" s="32">
        <v>0.0</v>
      </c>
      <c r="F2372" s="20">
        <v>0.0</v>
      </c>
      <c r="G2372" s="24">
        <f>E2372</f>
        <v>0</v>
      </c>
      <c r="H2372" s="20">
        <v>0.0</v>
      </c>
    </row>
    <row r="2373" ht="15.75" hidden="1" customHeight="1">
      <c r="A2373" s="20" t="s">
        <v>183</v>
      </c>
      <c r="B2373" s="47" t="s">
        <v>564</v>
      </c>
      <c r="C2373" s="47"/>
      <c r="D2373" s="35" t="s">
        <v>15</v>
      </c>
      <c r="E2373" s="32">
        <v>2.0</v>
      </c>
      <c r="F2373" s="18">
        <f>E2373* 0.975464549882735</f>
        <v>1.9509291</v>
      </c>
      <c r="G2373" s="18">
        <f>E2373* 0.00487100847916291</f>
        <v>0.009742016958</v>
      </c>
      <c r="H2373" s="18">
        <f>E2373* 0.0195742377773769</f>
        <v>0.03914847555</v>
      </c>
    </row>
    <row r="2374" ht="15.75" hidden="1" customHeight="1">
      <c r="A2374" s="20" t="s">
        <v>183</v>
      </c>
      <c r="B2374" s="47" t="s">
        <v>564</v>
      </c>
      <c r="C2374" s="47"/>
      <c r="D2374" s="35" t="s">
        <v>566</v>
      </c>
      <c r="E2374" s="32">
        <v>1.0</v>
      </c>
      <c r="F2374" s="18">
        <f>E2374* 0.0607843137254902</f>
        <v>0.06078431373</v>
      </c>
      <c r="G2374" s="18">
        <f>E2374* 0.93921568627451</f>
        <v>0.9392156863</v>
      </c>
      <c r="H2374" s="20">
        <v>0.0</v>
      </c>
    </row>
    <row r="2375" ht="15.75" hidden="1" customHeight="1">
      <c r="A2375" s="20" t="s">
        <v>183</v>
      </c>
      <c r="B2375" s="47" t="s">
        <v>564</v>
      </c>
      <c r="C2375" s="47"/>
      <c r="D2375" s="46" t="s">
        <v>17</v>
      </c>
      <c r="E2375" s="32">
        <v>3.0</v>
      </c>
      <c r="F2375" s="18">
        <f>E2375* 0.869679539852095</f>
        <v>2.60903862</v>
      </c>
      <c r="G2375" s="18">
        <f>E2375* 0.0695152013147083</f>
        <v>0.2085456039</v>
      </c>
      <c r="H2375" s="18">
        <f>E2375* 0.0608052588331964</f>
        <v>0.1824157765</v>
      </c>
    </row>
    <row r="2376" ht="15.75" hidden="1" customHeight="1">
      <c r="A2376" s="20" t="s">
        <v>183</v>
      </c>
      <c r="B2376" s="47" t="s">
        <v>564</v>
      </c>
      <c r="C2376" s="47"/>
      <c r="D2376" s="46" t="s">
        <v>18</v>
      </c>
      <c r="E2376" s="32">
        <v>3.0</v>
      </c>
      <c r="F2376" s="18">
        <f>E2376* 0.941463414634146</f>
        <v>2.824390244</v>
      </c>
      <c r="G2376" s="18">
        <f>E2376* 0.0532833020637899</f>
        <v>0.1598499062</v>
      </c>
      <c r="H2376" s="18">
        <f>E2376* 0.00487804878048781</f>
        <v>0.01463414634</v>
      </c>
    </row>
    <row r="2377" ht="15.75" hidden="1" customHeight="1">
      <c r="A2377" s="20" t="s">
        <v>183</v>
      </c>
      <c r="B2377" s="47" t="s">
        <v>564</v>
      </c>
      <c r="C2377" s="47"/>
      <c r="D2377" s="46" t="s">
        <v>19</v>
      </c>
      <c r="E2377" s="32">
        <v>3.0</v>
      </c>
      <c r="F2377" s="18">
        <f>E2377* 0.0748299319727891</f>
        <v>0.2244897959</v>
      </c>
      <c r="G2377" s="18">
        <f>E2377* 0.924036281179138</f>
        <v>2.772108844</v>
      </c>
      <c r="H2377" s="18">
        <f>E2377* 0.00113378684807256</f>
        <v>0.003401360544</v>
      </c>
    </row>
    <row r="2378" ht="15.75" hidden="1" customHeight="1">
      <c r="A2378" s="20" t="s">
        <v>183</v>
      </c>
      <c r="B2378" s="47" t="s">
        <v>564</v>
      </c>
      <c r="C2378" s="47"/>
      <c r="D2378" s="46" t="s">
        <v>20</v>
      </c>
      <c r="E2378" s="32">
        <v>9.0</v>
      </c>
      <c r="F2378" s="18">
        <f>E2378* 0.799709724238026</f>
        <v>7.197387518</v>
      </c>
      <c r="G2378" s="18">
        <f>E2378* 0.150580551523948</f>
        <v>1.355224964</v>
      </c>
      <c r="H2378" s="18">
        <f>E2378* 0.0493468795355588</f>
        <v>0.4441219158</v>
      </c>
    </row>
    <row r="2379" ht="15.75" hidden="1" customHeight="1">
      <c r="A2379" s="20" t="s">
        <v>183</v>
      </c>
      <c r="B2379" s="47" t="s">
        <v>564</v>
      </c>
      <c r="C2379" s="47"/>
      <c r="D2379" s="46" t="s">
        <v>21</v>
      </c>
      <c r="E2379" s="32">
        <v>28.0</v>
      </c>
      <c r="F2379" s="18">
        <f>E2379* 0.999328295549958</f>
        <v>27.98119228</v>
      </c>
      <c r="G2379" s="18">
        <f>E2379* 0.000335852225020991</f>
        <v>0.009403862301</v>
      </c>
      <c r="H2379" s="18">
        <f>E2379* 0.000335852225020991</f>
        <v>0.009403862301</v>
      </c>
    </row>
    <row r="2380" ht="15.75" hidden="1" customHeight="1">
      <c r="A2380" s="20" t="s">
        <v>183</v>
      </c>
      <c r="B2380" s="47" t="s">
        <v>564</v>
      </c>
      <c r="C2380" s="47"/>
      <c r="D2380" s="46" t="s">
        <v>12</v>
      </c>
      <c r="E2380" s="32">
        <v>5.0</v>
      </c>
      <c r="F2380" s="18">
        <f>E2380* 0.894051651143099</f>
        <v>4.470258256</v>
      </c>
      <c r="G2380" s="18">
        <f>E2380* 0.0675804403048264</f>
        <v>0.3379022015</v>
      </c>
      <c r="H2380" s="18">
        <f>E2380* 0.0382091447925487</f>
        <v>0.191045724</v>
      </c>
    </row>
    <row r="2381" ht="15.75" hidden="1" customHeight="1">
      <c r="A2381" s="20" t="s">
        <v>183</v>
      </c>
      <c r="B2381" s="20"/>
      <c r="C2381" s="20"/>
      <c r="D2381" s="46"/>
      <c r="E2381" s="35"/>
    </row>
    <row r="2382" ht="15.75" hidden="1" customHeight="1">
      <c r="A2382" s="20" t="s">
        <v>183</v>
      </c>
      <c r="B2382" s="47" t="s">
        <v>207</v>
      </c>
      <c r="C2382" s="12" t="str">
        <f>B2382&amp;"_"&amp;A2382</f>
        <v>Tupiza_Potosí</v>
      </c>
      <c r="D2382" s="20"/>
      <c r="E2382" s="45">
        <v>6405.0</v>
      </c>
      <c r="F2382" s="14">
        <f t="shared" ref="F2382:H2382" si="207">SUM(F2383:F2395)</f>
        <v>5718.014838</v>
      </c>
      <c r="G2382" s="14">
        <f t="shared" si="207"/>
        <v>572.4631543</v>
      </c>
      <c r="H2382" s="14">
        <f t="shared" si="207"/>
        <v>114.1697949</v>
      </c>
    </row>
    <row r="2383" ht="15.75" hidden="1" customHeight="1">
      <c r="A2383" s="20" t="s">
        <v>183</v>
      </c>
      <c r="B2383" s="47" t="s">
        <v>207</v>
      </c>
      <c r="C2383" s="47"/>
      <c r="D2383" s="35" t="s">
        <v>567</v>
      </c>
      <c r="E2383" s="32">
        <v>0.0</v>
      </c>
      <c r="F2383" s="20">
        <v>0.0</v>
      </c>
      <c r="G2383" s="24">
        <f>E2383</f>
        <v>0</v>
      </c>
      <c r="H2383" s="20">
        <v>0.0</v>
      </c>
    </row>
    <row r="2384" ht="15.75" hidden="1" customHeight="1">
      <c r="A2384" s="20" t="s">
        <v>183</v>
      </c>
      <c r="B2384" s="47" t="s">
        <v>207</v>
      </c>
      <c r="C2384" s="47"/>
      <c r="D2384" s="46" t="s">
        <v>15</v>
      </c>
      <c r="E2384" s="32">
        <v>603.0</v>
      </c>
      <c r="F2384" s="18">
        <f>E2384* 0.975464549882735</f>
        <v>588.2051236</v>
      </c>
      <c r="G2384" s="18">
        <f>E2384* 0.00487100847916291</f>
        <v>2.937218113</v>
      </c>
      <c r="H2384" s="18">
        <f>E2384* 0.0195742377773769</f>
        <v>11.80326538</v>
      </c>
    </row>
    <row r="2385" ht="15.75" hidden="1" customHeight="1">
      <c r="A2385" s="20" t="s">
        <v>183</v>
      </c>
      <c r="B2385" s="47" t="s">
        <v>207</v>
      </c>
      <c r="C2385" s="47"/>
      <c r="D2385" s="35" t="s">
        <v>568</v>
      </c>
      <c r="E2385" s="32">
        <v>23.0</v>
      </c>
      <c r="F2385" s="18">
        <f>E2385* 0.0607843137254902</f>
        <v>1.398039216</v>
      </c>
      <c r="G2385" s="18">
        <f>E2385* 0.93921568627451</f>
        <v>21.60196078</v>
      </c>
      <c r="H2385" s="20">
        <v>0.0</v>
      </c>
    </row>
    <row r="2386" ht="15.75" hidden="1" customHeight="1">
      <c r="A2386" s="20" t="s">
        <v>183</v>
      </c>
      <c r="B2386" s="47" t="s">
        <v>207</v>
      </c>
      <c r="C2386" s="47"/>
      <c r="D2386" s="46" t="s">
        <v>11</v>
      </c>
      <c r="E2386" s="32">
        <v>381.0</v>
      </c>
      <c r="F2386" s="18">
        <f>E2386* 0.175725756639901</f>
        <v>66.95151328</v>
      </c>
      <c r="G2386" s="18">
        <f>E2386* 0.823656578134651</f>
        <v>313.8131563</v>
      </c>
      <c r="H2386" s="18">
        <f>E2386* 0.000617665225447807</f>
        <v>0.2353304509</v>
      </c>
    </row>
    <row r="2387" ht="15.75" hidden="1" customHeight="1">
      <c r="A2387" s="20" t="s">
        <v>183</v>
      </c>
      <c r="B2387" s="47" t="s">
        <v>207</v>
      </c>
      <c r="C2387" s="47"/>
      <c r="D2387" s="46" t="s">
        <v>17</v>
      </c>
      <c r="E2387" s="32">
        <v>704.0</v>
      </c>
      <c r="F2387" s="18">
        <f>E2387* 0.869679539852095</f>
        <v>612.2543961</v>
      </c>
      <c r="G2387" s="18">
        <f>E2387* 0.0695152013147083</f>
        <v>48.93870173</v>
      </c>
      <c r="H2387" s="18">
        <f>E2387* 0.0608052588331964</f>
        <v>42.80690222</v>
      </c>
    </row>
    <row r="2388" ht="15.75" hidden="1" customHeight="1">
      <c r="A2388" s="20" t="s">
        <v>183</v>
      </c>
      <c r="B2388" s="47" t="s">
        <v>207</v>
      </c>
      <c r="C2388" s="47"/>
      <c r="D2388" s="46" t="s">
        <v>31</v>
      </c>
      <c r="E2388" s="32">
        <v>5.0</v>
      </c>
      <c r="F2388" s="18">
        <f>E2388* 0.93</f>
        <v>4.65</v>
      </c>
      <c r="G2388" s="18">
        <f>E2388* 0.05</f>
        <v>0.25</v>
      </c>
      <c r="H2388" s="18">
        <f>E2388* 0.02</f>
        <v>0.1</v>
      </c>
    </row>
    <row r="2389" ht="15.75" hidden="1" customHeight="1">
      <c r="A2389" s="20" t="s">
        <v>183</v>
      </c>
      <c r="B2389" s="47" t="s">
        <v>207</v>
      </c>
      <c r="C2389" s="47"/>
      <c r="D2389" s="46" t="s">
        <v>18</v>
      </c>
      <c r="E2389" s="32">
        <v>118.0</v>
      </c>
      <c r="F2389" s="18">
        <f>E2389* 0.941463414634146</f>
        <v>111.0926829</v>
      </c>
      <c r="G2389" s="18">
        <f>E2389* 0.0532833020637899</f>
        <v>6.287429644</v>
      </c>
      <c r="H2389" s="18">
        <f>E2389* 0.00487804878048781</f>
        <v>0.5756097561</v>
      </c>
    </row>
    <row r="2390" ht="15.75" hidden="1" customHeight="1">
      <c r="A2390" s="20" t="s">
        <v>183</v>
      </c>
      <c r="B2390" s="47" t="s">
        <v>207</v>
      </c>
      <c r="C2390" s="47"/>
      <c r="D2390" s="46" t="s">
        <v>19</v>
      </c>
      <c r="E2390" s="32">
        <v>65.0</v>
      </c>
      <c r="F2390" s="18">
        <f>E2390* 0.0748299319727891</f>
        <v>4.863945578</v>
      </c>
      <c r="G2390" s="18">
        <f>E2390* 0.924036281179138</f>
        <v>60.06235828</v>
      </c>
      <c r="H2390" s="18">
        <f>E2390* 0.00113378684807256</f>
        <v>0.07369614512</v>
      </c>
    </row>
    <row r="2391" ht="15.75" hidden="1" customHeight="1">
      <c r="A2391" s="20" t="s">
        <v>183</v>
      </c>
      <c r="B2391" s="47" t="s">
        <v>207</v>
      </c>
      <c r="C2391" s="47"/>
      <c r="D2391" s="46" t="s">
        <v>20</v>
      </c>
      <c r="E2391" s="32">
        <v>91.0</v>
      </c>
      <c r="F2391" s="18">
        <f>E2391* 0.799709724238026</f>
        <v>72.77358491</v>
      </c>
      <c r="G2391" s="18">
        <f>E2391* 0.150580551523948</f>
        <v>13.70283019</v>
      </c>
      <c r="H2391" s="18">
        <f>E2391* 0.0493468795355588</f>
        <v>4.490566038</v>
      </c>
    </row>
    <row r="2392" ht="15.75" hidden="1" customHeight="1">
      <c r="A2392" s="20" t="s">
        <v>183</v>
      </c>
      <c r="B2392" s="47" t="s">
        <v>207</v>
      </c>
      <c r="C2392" s="47"/>
      <c r="D2392" s="46" t="s">
        <v>21</v>
      </c>
      <c r="E2392" s="32">
        <v>3013.0</v>
      </c>
      <c r="F2392" s="18">
        <f>E2392* 0.999328295549958</f>
        <v>3010.976154</v>
      </c>
      <c r="G2392" s="18">
        <f>E2392* 0.000335852225020991</f>
        <v>1.011922754</v>
      </c>
      <c r="H2392" s="18">
        <f>E2392* 0.000335852225020991</f>
        <v>1.011922754</v>
      </c>
    </row>
    <row r="2393" ht="15.75" hidden="1" customHeight="1">
      <c r="A2393" s="20" t="s">
        <v>183</v>
      </c>
      <c r="B2393" s="47" t="s">
        <v>207</v>
      </c>
      <c r="C2393" s="47"/>
      <c r="D2393" s="46" t="s">
        <v>36</v>
      </c>
      <c r="E2393" s="32">
        <v>3.0</v>
      </c>
      <c r="F2393" s="24">
        <f>E2393</f>
        <v>3</v>
      </c>
      <c r="G2393" s="20">
        <v>0.0</v>
      </c>
      <c r="H2393" s="20">
        <v>0.0</v>
      </c>
    </row>
    <row r="2394" ht="15.75" hidden="1" customHeight="1">
      <c r="A2394" s="20" t="s">
        <v>183</v>
      </c>
      <c r="B2394" s="47" t="s">
        <v>207</v>
      </c>
      <c r="C2394" s="47"/>
      <c r="D2394" s="46" t="s">
        <v>148</v>
      </c>
      <c r="E2394" s="32">
        <v>10.0</v>
      </c>
      <c r="F2394" s="18">
        <f>E2394* 0.00116550116550117</f>
        <v>0.01165501166</v>
      </c>
      <c r="G2394" s="18">
        <f>E2394* 0.998834498834499</f>
        <v>9.988344988</v>
      </c>
      <c r="H2394" s="20">
        <v>0.0</v>
      </c>
    </row>
    <row r="2395" ht="15.75" hidden="1" customHeight="1">
      <c r="A2395" s="20" t="s">
        <v>183</v>
      </c>
      <c r="B2395" s="47" t="s">
        <v>207</v>
      </c>
      <c r="C2395" s="47"/>
      <c r="D2395" s="46" t="s">
        <v>12</v>
      </c>
      <c r="E2395" s="32">
        <v>1389.0</v>
      </c>
      <c r="F2395" s="18">
        <f>E2395* 0.894051651143099</f>
        <v>1241.837743</v>
      </c>
      <c r="G2395" s="18">
        <f>E2395* 0.0675804403048264</f>
        <v>93.86923158</v>
      </c>
      <c r="H2395" s="18">
        <f>E2395* 0.0382091447925487</f>
        <v>53.07250212</v>
      </c>
    </row>
    <row r="2396" ht="15.75" hidden="1" customHeight="1">
      <c r="A2396" s="20" t="s">
        <v>183</v>
      </c>
      <c r="B2396" s="20"/>
      <c r="C2396" s="20"/>
      <c r="D2396" s="46"/>
      <c r="E2396" s="35"/>
    </row>
    <row r="2397" ht="15.75" hidden="1" customHeight="1">
      <c r="A2397" s="20" t="s">
        <v>183</v>
      </c>
      <c r="B2397" s="47" t="s">
        <v>208</v>
      </c>
      <c r="C2397" s="12" t="str">
        <f>B2397&amp;"_"&amp;A2397</f>
        <v>Uncía_Potosí</v>
      </c>
      <c r="D2397" s="20"/>
      <c r="E2397" s="45">
        <v>564.0</v>
      </c>
      <c r="F2397" s="14">
        <f t="shared" ref="F2397:H2397" si="208">SUM(F2398:F2409)</f>
        <v>483.8520323</v>
      </c>
      <c r="G2397" s="14">
        <f t="shared" si="208"/>
        <v>63.88282975</v>
      </c>
      <c r="H2397" s="14">
        <f t="shared" si="208"/>
        <v>16.19907814</v>
      </c>
    </row>
    <row r="2398" ht="15.75" hidden="1" customHeight="1">
      <c r="A2398" s="20" t="s">
        <v>183</v>
      </c>
      <c r="B2398" s="47" t="s">
        <v>208</v>
      </c>
      <c r="C2398" s="47"/>
      <c r="D2398" s="35" t="s">
        <v>569</v>
      </c>
      <c r="E2398" s="32">
        <v>11.0</v>
      </c>
      <c r="F2398" s="20">
        <v>0.0</v>
      </c>
      <c r="G2398" s="24">
        <f>E2398</f>
        <v>11</v>
      </c>
      <c r="H2398" s="20">
        <v>0.0</v>
      </c>
    </row>
    <row r="2399" ht="15.75" hidden="1" customHeight="1">
      <c r="A2399" s="20" t="s">
        <v>183</v>
      </c>
      <c r="B2399" s="47" t="s">
        <v>208</v>
      </c>
      <c r="C2399" s="47"/>
      <c r="D2399" s="46" t="s">
        <v>15</v>
      </c>
      <c r="E2399" s="32">
        <v>30.0</v>
      </c>
      <c r="F2399" s="18">
        <f>E2399* 0.975464549882735</f>
        <v>29.2639365</v>
      </c>
      <c r="G2399" s="18">
        <f>E2399* 0.00487100847916291</f>
        <v>0.1461302544</v>
      </c>
      <c r="H2399" s="18">
        <f>E2399* 0.0195742377773769</f>
        <v>0.5872271333</v>
      </c>
    </row>
    <row r="2400" ht="15.75" hidden="1" customHeight="1">
      <c r="A2400" s="20" t="s">
        <v>183</v>
      </c>
      <c r="B2400" s="47" t="s">
        <v>208</v>
      </c>
      <c r="C2400" s="47"/>
      <c r="D2400" s="35" t="s">
        <v>570</v>
      </c>
      <c r="E2400" s="32">
        <v>1.0</v>
      </c>
      <c r="F2400" s="18">
        <f>E2400* 0.0607843137254902</f>
        <v>0.06078431373</v>
      </c>
      <c r="G2400" s="18">
        <f>E2400* 0.93921568627451</f>
        <v>0.9392156863</v>
      </c>
      <c r="H2400" s="20">
        <v>0.0</v>
      </c>
    </row>
    <row r="2401" ht="15.75" hidden="1" customHeight="1">
      <c r="A2401" s="20" t="s">
        <v>183</v>
      </c>
      <c r="B2401" s="47" t="s">
        <v>208</v>
      </c>
      <c r="C2401" s="47"/>
      <c r="D2401" s="46" t="s">
        <v>11</v>
      </c>
      <c r="E2401" s="32">
        <v>25.0</v>
      </c>
      <c r="F2401" s="18">
        <f>E2401* 0.175725756639901</f>
        <v>4.393143916</v>
      </c>
      <c r="G2401" s="18">
        <f>E2401* 0.823656578134651</f>
        <v>20.59141445</v>
      </c>
      <c r="H2401" s="18">
        <f>E2401* 0.000617665225447807</f>
        <v>0.01544163064</v>
      </c>
    </row>
    <row r="2402" ht="15.75" hidden="1" customHeight="1">
      <c r="A2402" s="20" t="s">
        <v>183</v>
      </c>
      <c r="B2402" s="47" t="s">
        <v>208</v>
      </c>
      <c r="C2402" s="47"/>
      <c r="D2402" s="46" t="s">
        <v>17</v>
      </c>
      <c r="E2402" s="32">
        <v>31.0</v>
      </c>
      <c r="F2402" s="18">
        <f>E2402* 0.869679539852095</f>
        <v>26.96006574</v>
      </c>
      <c r="G2402" s="18">
        <f>E2402* 0.0695152013147083</f>
        <v>2.154971241</v>
      </c>
      <c r="H2402" s="18">
        <f>E2402* 0.0608052588331964</f>
        <v>1.884963024</v>
      </c>
    </row>
    <row r="2403" ht="15.75" hidden="1" customHeight="1">
      <c r="A2403" s="20" t="s">
        <v>183</v>
      </c>
      <c r="B2403" s="47" t="s">
        <v>208</v>
      </c>
      <c r="C2403" s="47"/>
      <c r="D2403" s="46" t="s">
        <v>31</v>
      </c>
      <c r="E2403" s="32">
        <v>3.0</v>
      </c>
      <c r="F2403" s="18">
        <f>E2403* 0.93</f>
        <v>2.79</v>
      </c>
      <c r="G2403" s="18">
        <f>E2403* 0.05</f>
        <v>0.15</v>
      </c>
      <c r="H2403" s="18">
        <f>E2403* 0.02</f>
        <v>0.06</v>
      </c>
    </row>
    <row r="2404" ht="15.75" hidden="1" customHeight="1">
      <c r="A2404" s="20" t="s">
        <v>183</v>
      </c>
      <c r="B2404" s="47" t="s">
        <v>208</v>
      </c>
      <c r="C2404" s="47"/>
      <c r="D2404" s="46" t="s">
        <v>18</v>
      </c>
      <c r="E2404" s="32">
        <v>8.0</v>
      </c>
      <c r="F2404" s="18">
        <f>E2404* 0.941463414634146</f>
        <v>7.531707317</v>
      </c>
      <c r="G2404" s="18">
        <f>E2404* 0.0532833020637899</f>
        <v>0.4262664165</v>
      </c>
      <c r="H2404" s="18">
        <f>E2404* 0.00487804878048781</f>
        <v>0.03902439024</v>
      </c>
    </row>
    <row r="2405" ht="15.75" hidden="1" customHeight="1">
      <c r="A2405" s="20" t="s">
        <v>183</v>
      </c>
      <c r="B2405" s="47" t="s">
        <v>208</v>
      </c>
      <c r="C2405" s="47"/>
      <c r="D2405" s="46" t="s">
        <v>19</v>
      </c>
      <c r="E2405" s="32">
        <v>2.0</v>
      </c>
      <c r="F2405" s="18">
        <f>E2405* 0.0748299319727891</f>
        <v>0.1496598639</v>
      </c>
      <c r="G2405" s="18">
        <f>E2405* 0.924036281179138</f>
        <v>1.848072562</v>
      </c>
      <c r="H2405" s="18">
        <f>E2405* 0.00113378684807256</f>
        <v>0.002267573696</v>
      </c>
    </row>
    <row r="2406" ht="15.75" hidden="1" customHeight="1">
      <c r="A2406" s="20" t="s">
        <v>183</v>
      </c>
      <c r="B2406" s="47" t="s">
        <v>208</v>
      </c>
      <c r="C2406" s="47"/>
      <c r="D2406" s="46" t="s">
        <v>20</v>
      </c>
      <c r="E2406" s="32">
        <v>25.0</v>
      </c>
      <c r="F2406" s="18">
        <f>E2406* 0.799709724238026</f>
        <v>19.99274311</v>
      </c>
      <c r="G2406" s="18">
        <f>E2406* 0.150580551523948</f>
        <v>3.764513788</v>
      </c>
      <c r="H2406" s="18">
        <f>E2406* 0.0493468795355588</f>
        <v>1.233671988</v>
      </c>
    </row>
    <row r="2407" ht="15.75" hidden="1" customHeight="1">
      <c r="A2407" s="20" t="s">
        <v>183</v>
      </c>
      <c r="B2407" s="47" t="s">
        <v>208</v>
      </c>
      <c r="C2407" s="47"/>
      <c r="D2407" s="46" t="s">
        <v>21</v>
      </c>
      <c r="E2407" s="32">
        <v>104.0</v>
      </c>
      <c r="F2407" s="18">
        <f>E2407* 0.999328295549958</f>
        <v>103.9301427</v>
      </c>
      <c r="G2407" s="18">
        <f>E2407* 0.000335852225020991</f>
        <v>0.0349286314</v>
      </c>
      <c r="H2407" s="18">
        <f>E2407* 0.000335852225020991</f>
        <v>0.0349286314</v>
      </c>
    </row>
    <row r="2408" ht="15.75" hidden="1" customHeight="1">
      <c r="A2408" s="20" t="s">
        <v>183</v>
      </c>
      <c r="B2408" s="47" t="s">
        <v>208</v>
      </c>
      <c r="C2408" s="47"/>
      <c r="D2408" s="46" t="s">
        <v>28</v>
      </c>
      <c r="E2408" s="32">
        <v>1.0</v>
      </c>
      <c r="F2408" s="18">
        <f>E2408* 0.00116550116550117</f>
        <v>0.001165501166</v>
      </c>
      <c r="G2408" s="18">
        <f>E2408* 0.998834498834499</f>
        <v>0.9988344988</v>
      </c>
      <c r="H2408" s="20">
        <v>0.0</v>
      </c>
    </row>
    <row r="2409" ht="15.75" hidden="1" customHeight="1">
      <c r="A2409" s="20" t="s">
        <v>183</v>
      </c>
      <c r="B2409" s="47" t="s">
        <v>208</v>
      </c>
      <c r="C2409" s="47"/>
      <c r="D2409" s="46" t="s">
        <v>12</v>
      </c>
      <c r="E2409" s="32">
        <v>323.0</v>
      </c>
      <c r="F2409" s="18">
        <f>E2409* 0.894051651143099</f>
        <v>288.7786833</v>
      </c>
      <c r="G2409" s="18">
        <f>E2409* 0.0675804403048264</f>
        <v>21.82848222</v>
      </c>
      <c r="H2409" s="18">
        <f>E2409* 0.0382091447925487</f>
        <v>12.34155377</v>
      </c>
    </row>
    <row r="2410" ht="15.75" hidden="1" customHeight="1">
      <c r="A2410" s="20" t="s">
        <v>183</v>
      </c>
      <c r="B2410" s="20"/>
      <c r="C2410" s="20"/>
      <c r="D2410" s="46"/>
      <c r="E2410" s="35"/>
    </row>
    <row r="2411" ht="15.75" hidden="1" customHeight="1">
      <c r="A2411" s="20" t="s">
        <v>183</v>
      </c>
      <c r="B2411" s="47" t="s">
        <v>209</v>
      </c>
      <c r="C2411" s="12" t="str">
        <f>B2411&amp;"_"&amp;A2411</f>
        <v>Uyuni_Potosí</v>
      </c>
      <c r="D2411" s="20"/>
      <c r="E2411" s="45">
        <v>4555.0</v>
      </c>
      <c r="F2411" s="14">
        <f t="shared" ref="F2411:H2411" si="209">SUM(F2412:F2425)</f>
        <v>3708.885372</v>
      </c>
      <c r="G2411" s="14">
        <f t="shared" si="209"/>
        <v>715.1046813</v>
      </c>
      <c r="H2411" s="14">
        <f t="shared" si="209"/>
        <v>130.5433725</v>
      </c>
    </row>
    <row r="2412" ht="15.75" hidden="1" customHeight="1">
      <c r="A2412" s="20" t="s">
        <v>183</v>
      </c>
      <c r="B2412" s="47" t="s">
        <v>209</v>
      </c>
      <c r="C2412" s="47"/>
      <c r="D2412" s="35" t="s">
        <v>571</v>
      </c>
      <c r="E2412" s="32">
        <v>0.0</v>
      </c>
      <c r="F2412" s="20">
        <v>0.0</v>
      </c>
      <c r="G2412" s="24">
        <f>E2412</f>
        <v>0</v>
      </c>
      <c r="H2412" s="20">
        <v>0.0</v>
      </c>
    </row>
    <row r="2413" ht="15.75" hidden="1" customHeight="1">
      <c r="A2413" s="20" t="s">
        <v>183</v>
      </c>
      <c r="B2413" s="47" t="s">
        <v>209</v>
      </c>
      <c r="C2413" s="47"/>
      <c r="D2413" s="46" t="s">
        <v>15</v>
      </c>
      <c r="E2413" s="32">
        <v>504.0</v>
      </c>
      <c r="F2413" s="18">
        <f>E2413* 0.975464549882735</f>
        <v>491.6341331</v>
      </c>
      <c r="G2413" s="18">
        <f>E2413* 0.00487100847916291</f>
        <v>2.454988273</v>
      </c>
      <c r="H2413" s="18">
        <f>E2413* 0.0195742377773769</f>
        <v>9.86541584</v>
      </c>
    </row>
    <row r="2414" ht="15.75" hidden="1" customHeight="1">
      <c r="A2414" s="20" t="s">
        <v>183</v>
      </c>
      <c r="B2414" s="47" t="s">
        <v>209</v>
      </c>
      <c r="C2414" s="47"/>
      <c r="D2414" s="35" t="s">
        <v>572</v>
      </c>
      <c r="E2414" s="32">
        <v>57.0</v>
      </c>
      <c r="F2414" s="18">
        <f>E2414* 0.0607843137254902</f>
        <v>3.464705882</v>
      </c>
      <c r="G2414" s="18">
        <f>E2414* 0.93921568627451</f>
        <v>53.53529412</v>
      </c>
      <c r="H2414" s="20">
        <v>0.0</v>
      </c>
    </row>
    <row r="2415" ht="15.75" hidden="1" customHeight="1">
      <c r="A2415" s="20" t="s">
        <v>183</v>
      </c>
      <c r="B2415" s="47" t="s">
        <v>209</v>
      </c>
      <c r="C2415" s="47"/>
      <c r="D2415" s="46" t="s">
        <v>11</v>
      </c>
      <c r="E2415" s="32">
        <v>355.0</v>
      </c>
      <c r="F2415" s="18">
        <f>E2415* 0.175725756639901</f>
        <v>62.38264361</v>
      </c>
      <c r="G2415" s="18">
        <f>E2415* 0.823656578134651</f>
        <v>292.3980852</v>
      </c>
      <c r="H2415" s="18">
        <f>E2415* 0.000617665225447807</f>
        <v>0.219271155</v>
      </c>
    </row>
    <row r="2416" ht="15.75" hidden="1" customHeight="1">
      <c r="A2416" s="20" t="s">
        <v>183</v>
      </c>
      <c r="B2416" s="47" t="s">
        <v>209</v>
      </c>
      <c r="C2416" s="47"/>
      <c r="D2416" s="46" t="s">
        <v>17</v>
      </c>
      <c r="E2416" s="32">
        <v>546.0</v>
      </c>
      <c r="F2416" s="18">
        <f>E2416* 0.869679539852095</f>
        <v>474.8450288</v>
      </c>
      <c r="G2416" s="18">
        <f>E2416* 0.0695152013147083</f>
        <v>37.95529992</v>
      </c>
      <c r="H2416" s="18">
        <f>E2416* 0.0608052588331964</f>
        <v>33.19967132</v>
      </c>
    </row>
    <row r="2417" ht="15.75" hidden="1" customHeight="1">
      <c r="A2417" s="20" t="s">
        <v>183</v>
      </c>
      <c r="B2417" s="47" t="s">
        <v>209</v>
      </c>
      <c r="C2417" s="47"/>
      <c r="D2417" s="46" t="s">
        <v>31</v>
      </c>
      <c r="E2417" s="32">
        <v>9.0</v>
      </c>
      <c r="F2417" s="18">
        <f>E2417* 0.93</f>
        <v>8.37</v>
      </c>
      <c r="G2417" s="18">
        <f>E2417* 0.05</f>
        <v>0.45</v>
      </c>
      <c r="H2417" s="18">
        <f>E2417* 0.02</f>
        <v>0.18</v>
      </c>
    </row>
    <row r="2418" ht="15.75" hidden="1" customHeight="1">
      <c r="A2418" s="20" t="s">
        <v>183</v>
      </c>
      <c r="B2418" s="47" t="s">
        <v>209</v>
      </c>
      <c r="C2418" s="47"/>
      <c r="D2418" s="46" t="s">
        <v>18</v>
      </c>
      <c r="E2418" s="32">
        <v>109.0</v>
      </c>
      <c r="F2418" s="18">
        <f>E2418* 0.941463414634146</f>
        <v>102.6195122</v>
      </c>
      <c r="G2418" s="18">
        <f>E2418* 0.0532833020637899</f>
        <v>5.807879925</v>
      </c>
      <c r="H2418" s="18">
        <f>E2418* 0.00487804878048781</f>
        <v>0.5317073171</v>
      </c>
    </row>
    <row r="2419" ht="15.75" hidden="1" customHeight="1">
      <c r="A2419" s="20" t="s">
        <v>183</v>
      </c>
      <c r="B2419" s="47" t="s">
        <v>209</v>
      </c>
      <c r="C2419" s="47"/>
      <c r="D2419" s="35" t="s">
        <v>573</v>
      </c>
      <c r="E2419" s="32">
        <v>2.0</v>
      </c>
      <c r="F2419" s="20">
        <v>0.0</v>
      </c>
      <c r="G2419" s="24">
        <f>E2419</f>
        <v>2</v>
      </c>
      <c r="H2419" s="20">
        <v>0.0</v>
      </c>
    </row>
    <row r="2420" ht="15.75" hidden="1" customHeight="1">
      <c r="A2420" s="20" t="s">
        <v>183</v>
      </c>
      <c r="B2420" s="47" t="s">
        <v>209</v>
      </c>
      <c r="C2420" s="47"/>
      <c r="D2420" s="46" t="s">
        <v>19</v>
      </c>
      <c r="E2420" s="32">
        <v>11.0</v>
      </c>
      <c r="F2420" s="18">
        <f>E2420* 0.0748299319727891</f>
        <v>0.8231292517</v>
      </c>
      <c r="G2420" s="18">
        <f>E2420* 0.924036281179138</f>
        <v>10.16439909</v>
      </c>
      <c r="H2420" s="18">
        <f>E2420* 0.00113378684807256</f>
        <v>0.01247165533</v>
      </c>
    </row>
    <row r="2421" ht="15.75" hidden="1" customHeight="1">
      <c r="A2421" s="20" t="s">
        <v>183</v>
      </c>
      <c r="B2421" s="47" t="s">
        <v>209</v>
      </c>
      <c r="C2421" s="47"/>
      <c r="D2421" s="46" t="s">
        <v>20</v>
      </c>
      <c r="E2421" s="32">
        <v>136.0</v>
      </c>
      <c r="F2421" s="18">
        <f>E2421* 0.799709724238026</f>
        <v>108.7605225</v>
      </c>
      <c r="G2421" s="18">
        <f>E2421* 0.150580551523948</f>
        <v>20.47895501</v>
      </c>
      <c r="H2421" s="18">
        <f>E2421* 0.0493468795355588</f>
        <v>6.711175617</v>
      </c>
    </row>
    <row r="2422" ht="15.75" hidden="1" customHeight="1">
      <c r="A2422" s="20" t="s">
        <v>183</v>
      </c>
      <c r="B2422" s="47" t="s">
        <v>209</v>
      </c>
      <c r="C2422" s="47"/>
      <c r="D2422" s="46" t="s">
        <v>21</v>
      </c>
      <c r="E2422" s="32">
        <v>583.0</v>
      </c>
      <c r="F2422" s="18">
        <f>E2422* 0.999328295549958</f>
        <v>582.6083963</v>
      </c>
      <c r="G2422" s="18">
        <f>E2422* 0.000335852225020991</f>
        <v>0.1958018472</v>
      </c>
      <c r="H2422" s="18">
        <f>E2422* 0.000335852225020991</f>
        <v>0.1958018472</v>
      </c>
    </row>
    <row r="2423" ht="15.75" hidden="1" customHeight="1">
      <c r="A2423" s="20" t="s">
        <v>183</v>
      </c>
      <c r="B2423" s="47" t="s">
        <v>209</v>
      </c>
      <c r="C2423" s="47"/>
      <c r="D2423" s="46" t="s">
        <v>36</v>
      </c>
      <c r="E2423" s="32">
        <v>10.0</v>
      </c>
      <c r="F2423" s="24">
        <f>E2423</f>
        <v>10</v>
      </c>
      <c r="G2423" s="20">
        <v>0.0</v>
      </c>
      <c r="H2423" s="20">
        <v>0.0</v>
      </c>
    </row>
    <row r="2424" ht="15.75" hidden="1" customHeight="1">
      <c r="A2424" s="20" t="s">
        <v>183</v>
      </c>
      <c r="B2424" s="47" t="s">
        <v>209</v>
      </c>
      <c r="C2424" s="47"/>
      <c r="D2424" s="46" t="s">
        <v>28</v>
      </c>
      <c r="E2424" s="32">
        <v>149.0</v>
      </c>
      <c r="F2424" s="18">
        <f>E2424* 0.00116550116550117</f>
        <v>0.1736596737</v>
      </c>
      <c r="G2424" s="18">
        <f>E2424* 0.998834498834499</f>
        <v>148.8263403</v>
      </c>
      <c r="H2424" s="20">
        <v>0.0</v>
      </c>
    </row>
    <row r="2425" ht="15.75" hidden="1" customHeight="1">
      <c r="A2425" s="20" t="s">
        <v>183</v>
      </c>
      <c r="B2425" s="47" t="s">
        <v>209</v>
      </c>
      <c r="C2425" s="47"/>
      <c r="D2425" s="46" t="s">
        <v>12</v>
      </c>
      <c r="E2425" s="32">
        <v>2084.0</v>
      </c>
      <c r="F2425" s="18">
        <f>E2425* 0.894051651143099</f>
        <v>1863.203641</v>
      </c>
      <c r="G2425" s="18">
        <f>E2425* 0.0675804403048264</f>
        <v>140.8376376</v>
      </c>
      <c r="H2425" s="18">
        <f>E2425* 0.0382091447925487</f>
        <v>79.62785775</v>
      </c>
    </row>
    <row r="2426" ht="15.75" hidden="1" customHeight="1">
      <c r="A2426" s="20" t="s">
        <v>183</v>
      </c>
      <c r="B2426" s="20"/>
      <c r="C2426" s="20"/>
      <c r="D2426" s="46"/>
      <c r="E2426" s="35"/>
    </row>
    <row r="2427" ht="15.75" hidden="1" customHeight="1">
      <c r="A2427" s="20" t="s">
        <v>183</v>
      </c>
      <c r="B2427" s="47" t="s">
        <v>210</v>
      </c>
      <c r="C2427" s="12" t="str">
        <f>B2427&amp;"_"&amp;A2427</f>
        <v>Villazón_Potosí</v>
      </c>
      <c r="D2427" s="20"/>
      <c r="E2427" s="45">
        <v>4637.0</v>
      </c>
      <c r="F2427" s="14">
        <f t="shared" ref="F2427:H2427" si="210">SUM(F2428:F2440)</f>
        <v>3883.975915</v>
      </c>
      <c r="G2427" s="14">
        <f t="shared" si="210"/>
        <v>627.8902082</v>
      </c>
      <c r="H2427" s="14">
        <f t="shared" si="210"/>
        <v>124.7235943</v>
      </c>
    </row>
    <row r="2428" ht="15.75" hidden="1" customHeight="1">
      <c r="A2428" s="20" t="s">
        <v>183</v>
      </c>
      <c r="B2428" s="47" t="s">
        <v>210</v>
      </c>
      <c r="C2428" s="47"/>
      <c r="D2428" s="35" t="s">
        <v>574</v>
      </c>
      <c r="E2428" s="32">
        <v>0.0</v>
      </c>
      <c r="F2428" s="20">
        <v>0.0</v>
      </c>
      <c r="G2428" s="24">
        <f>E2428</f>
        <v>0</v>
      </c>
      <c r="H2428" s="20">
        <v>0.0</v>
      </c>
    </row>
    <row r="2429" ht="15.75" hidden="1" customHeight="1">
      <c r="A2429" s="20" t="s">
        <v>183</v>
      </c>
      <c r="B2429" s="47" t="s">
        <v>210</v>
      </c>
      <c r="C2429" s="47"/>
      <c r="D2429" s="46" t="s">
        <v>15</v>
      </c>
      <c r="E2429" s="32">
        <v>759.0</v>
      </c>
      <c r="F2429" s="18">
        <f>E2429* 0.975464549882735</f>
        <v>740.3775934</v>
      </c>
      <c r="G2429" s="18">
        <f>E2429* 0.00487100847916291</f>
        <v>3.697095436</v>
      </c>
      <c r="H2429" s="18">
        <f>E2429* 0.0195742377773769</f>
        <v>14.85684647</v>
      </c>
    </row>
    <row r="2430" ht="15.75" hidden="1" customHeight="1">
      <c r="A2430" s="20" t="s">
        <v>183</v>
      </c>
      <c r="B2430" s="47" t="s">
        <v>210</v>
      </c>
      <c r="C2430" s="47"/>
      <c r="D2430" s="35" t="s">
        <v>575</v>
      </c>
      <c r="E2430" s="32">
        <v>31.0</v>
      </c>
      <c r="F2430" s="18">
        <f>E2430* 0.0607843137254902</f>
        <v>1.884313725</v>
      </c>
      <c r="G2430" s="18">
        <f>E2430* 0.93921568627451</f>
        <v>29.11568627</v>
      </c>
      <c r="H2430" s="20">
        <v>0.0</v>
      </c>
    </row>
    <row r="2431" ht="15.75" hidden="1" customHeight="1">
      <c r="A2431" s="20" t="s">
        <v>183</v>
      </c>
      <c r="B2431" s="47" t="s">
        <v>210</v>
      </c>
      <c r="C2431" s="47"/>
      <c r="D2431" s="46" t="s">
        <v>11</v>
      </c>
      <c r="E2431" s="32">
        <v>358.0</v>
      </c>
      <c r="F2431" s="18">
        <f>E2431* 0.175725756639901</f>
        <v>62.90982088</v>
      </c>
      <c r="G2431" s="18">
        <f>E2431* 0.823656578134651</f>
        <v>294.869055</v>
      </c>
      <c r="H2431" s="18">
        <f>E2431* 0.000617665225447807</f>
        <v>0.2211241507</v>
      </c>
    </row>
    <row r="2432" ht="15.75" hidden="1" customHeight="1">
      <c r="A2432" s="20" t="s">
        <v>183</v>
      </c>
      <c r="B2432" s="47" t="s">
        <v>210</v>
      </c>
      <c r="C2432" s="47"/>
      <c r="D2432" s="46" t="s">
        <v>17</v>
      </c>
      <c r="E2432" s="32">
        <v>554.0</v>
      </c>
      <c r="F2432" s="18">
        <f>E2432* 0.869679539852095</f>
        <v>481.8024651</v>
      </c>
      <c r="G2432" s="18">
        <f>E2432* 0.0695152013147083</f>
        <v>38.51142153</v>
      </c>
      <c r="H2432" s="18">
        <f>E2432* 0.0608052588331964</f>
        <v>33.68611339</v>
      </c>
    </row>
    <row r="2433" ht="15.75" hidden="1" customHeight="1">
      <c r="A2433" s="20" t="s">
        <v>183</v>
      </c>
      <c r="B2433" s="47" t="s">
        <v>210</v>
      </c>
      <c r="C2433" s="47"/>
      <c r="D2433" s="46" t="s">
        <v>31</v>
      </c>
      <c r="E2433" s="32">
        <v>10.0</v>
      </c>
      <c r="F2433" s="18">
        <f>E2433* 0.93</f>
        <v>9.3</v>
      </c>
      <c r="G2433" s="18">
        <f>E2433* 0.05</f>
        <v>0.5</v>
      </c>
      <c r="H2433" s="18">
        <f>E2433* 0.02</f>
        <v>0.2</v>
      </c>
    </row>
    <row r="2434" ht="15.75" hidden="1" customHeight="1">
      <c r="A2434" s="20" t="s">
        <v>183</v>
      </c>
      <c r="B2434" s="47" t="s">
        <v>210</v>
      </c>
      <c r="C2434" s="47"/>
      <c r="D2434" s="46" t="s">
        <v>18</v>
      </c>
      <c r="E2434" s="32">
        <v>48.0</v>
      </c>
      <c r="F2434" s="18">
        <f>E2434* 0.941463414634146</f>
        <v>45.1902439</v>
      </c>
      <c r="G2434" s="18">
        <f>E2434* 0.0532833020637899</f>
        <v>2.557598499</v>
      </c>
      <c r="H2434" s="18">
        <f>E2434* 0.00487804878048781</f>
        <v>0.2341463415</v>
      </c>
    </row>
    <row r="2435" ht="15.75" hidden="1" customHeight="1">
      <c r="A2435" s="20" t="s">
        <v>183</v>
      </c>
      <c r="B2435" s="47" t="s">
        <v>210</v>
      </c>
      <c r="C2435" s="47"/>
      <c r="D2435" s="46" t="s">
        <v>19</v>
      </c>
      <c r="E2435" s="32">
        <v>54.0</v>
      </c>
      <c r="F2435" s="18">
        <f>E2435* 0.0748299319727891</f>
        <v>4.040816327</v>
      </c>
      <c r="G2435" s="18">
        <f>E2435* 0.924036281179138</f>
        <v>49.89795918</v>
      </c>
      <c r="H2435" s="18">
        <f>E2435* 0.00113378684807256</f>
        <v>0.0612244898</v>
      </c>
    </row>
    <row r="2436" ht="15.75" hidden="1" customHeight="1">
      <c r="A2436" s="20" t="s">
        <v>183</v>
      </c>
      <c r="B2436" s="47" t="s">
        <v>210</v>
      </c>
      <c r="C2436" s="47"/>
      <c r="D2436" s="46" t="s">
        <v>20</v>
      </c>
      <c r="E2436" s="32">
        <v>72.0</v>
      </c>
      <c r="F2436" s="18">
        <f>E2436* 0.799709724238026</f>
        <v>57.57910015</v>
      </c>
      <c r="G2436" s="18">
        <f>E2436* 0.150580551523948</f>
        <v>10.84179971</v>
      </c>
      <c r="H2436" s="18">
        <f>E2436* 0.0493468795355588</f>
        <v>3.552975327</v>
      </c>
    </row>
    <row r="2437" ht="15.75" hidden="1" customHeight="1">
      <c r="A2437" s="20" t="s">
        <v>183</v>
      </c>
      <c r="B2437" s="47" t="s">
        <v>210</v>
      </c>
      <c r="C2437" s="47"/>
      <c r="D2437" s="46" t="s">
        <v>21</v>
      </c>
      <c r="E2437" s="32">
        <v>801.0</v>
      </c>
      <c r="F2437" s="18">
        <f>E2437* 0.999328295549958</f>
        <v>800.4619647</v>
      </c>
      <c r="G2437" s="18">
        <f>E2437* 0.000335852225020991</f>
        <v>0.2690176322</v>
      </c>
      <c r="H2437" s="18">
        <f>E2437* 0.000335852225020991</f>
        <v>0.2690176322</v>
      </c>
    </row>
    <row r="2438" ht="15.75" hidden="1" customHeight="1">
      <c r="A2438" s="20" t="s">
        <v>183</v>
      </c>
      <c r="B2438" s="47" t="s">
        <v>210</v>
      </c>
      <c r="C2438" s="47"/>
      <c r="D2438" s="46" t="s">
        <v>36</v>
      </c>
      <c r="E2438" s="32">
        <v>4.0</v>
      </c>
      <c r="F2438" s="24">
        <f>E2438</f>
        <v>4</v>
      </c>
      <c r="G2438" s="20">
        <v>0.0</v>
      </c>
      <c r="H2438" s="20">
        <v>0.0</v>
      </c>
    </row>
    <row r="2439" ht="15.75" hidden="1" customHeight="1">
      <c r="A2439" s="20" t="s">
        <v>183</v>
      </c>
      <c r="B2439" s="47" t="s">
        <v>210</v>
      </c>
      <c r="C2439" s="47"/>
      <c r="D2439" s="46" t="s">
        <v>28</v>
      </c>
      <c r="E2439" s="32">
        <v>71.0</v>
      </c>
      <c r="F2439" s="18">
        <f>E2439* 0.00116550116550117</f>
        <v>0.08275058275</v>
      </c>
      <c r="G2439" s="18">
        <f>E2439* 0.998834498834499</f>
        <v>70.91724942</v>
      </c>
      <c r="H2439" s="20">
        <v>0.0</v>
      </c>
    </row>
    <row r="2440" ht="15.75" hidden="1" customHeight="1">
      <c r="A2440" s="20" t="s">
        <v>183</v>
      </c>
      <c r="B2440" s="47" t="s">
        <v>210</v>
      </c>
      <c r="C2440" s="47"/>
      <c r="D2440" s="46" t="s">
        <v>12</v>
      </c>
      <c r="E2440" s="32">
        <v>1875.0</v>
      </c>
      <c r="F2440" s="18">
        <f>E2440* 0.894051651143099</f>
        <v>1676.346846</v>
      </c>
      <c r="G2440" s="18">
        <f>E2440* 0.0675804403048264</f>
        <v>126.7133256</v>
      </c>
      <c r="H2440" s="18">
        <f>E2440* 0.0382091447925487</f>
        <v>71.64214649</v>
      </c>
    </row>
    <row r="2441" ht="15.75" hidden="1" customHeight="1">
      <c r="A2441" s="20" t="s">
        <v>183</v>
      </c>
      <c r="B2441" s="20"/>
      <c r="C2441" s="20"/>
      <c r="D2441" s="46"/>
      <c r="E2441" s="35"/>
    </row>
    <row r="2442" ht="15.75" hidden="1" customHeight="1">
      <c r="A2442" s="20" t="s">
        <v>183</v>
      </c>
      <c r="B2442" s="47" t="s">
        <v>211</v>
      </c>
      <c r="C2442" s="12" t="str">
        <f>B2442&amp;"_"&amp;A2442</f>
        <v>Vitichi_Potosí</v>
      </c>
      <c r="D2442" s="20"/>
      <c r="E2442" s="45">
        <v>9.0</v>
      </c>
      <c r="F2442" s="14">
        <f t="shared" ref="F2442:H2442" si="211">SUM(F2443:F2448)</f>
        <v>5.205321593</v>
      </c>
      <c r="G2442" s="14">
        <f t="shared" si="211"/>
        <v>3.571088209</v>
      </c>
      <c r="H2442" s="14">
        <f t="shared" si="211"/>
        <v>0.2234314344</v>
      </c>
    </row>
    <row r="2443" ht="15.75" hidden="1" customHeight="1">
      <c r="A2443" s="20" t="s">
        <v>183</v>
      </c>
      <c r="B2443" s="47" t="s">
        <v>211</v>
      </c>
      <c r="C2443" s="47"/>
      <c r="D2443" s="35" t="s">
        <v>576</v>
      </c>
      <c r="E2443" s="32">
        <v>0.0</v>
      </c>
      <c r="F2443" s="18">
        <f>E2443* 0.0607843137254902</f>
        <v>0</v>
      </c>
      <c r="G2443" s="18">
        <f>E2443* 0.93921568627451</f>
        <v>0</v>
      </c>
      <c r="H2443" s="20">
        <v>0.0</v>
      </c>
    </row>
    <row r="2444" ht="15.75" hidden="1" customHeight="1">
      <c r="A2444" s="20" t="s">
        <v>183</v>
      </c>
      <c r="B2444" s="47" t="s">
        <v>211</v>
      </c>
      <c r="C2444" s="47"/>
      <c r="D2444" s="46" t="s">
        <v>11</v>
      </c>
      <c r="E2444" s="32">
        <v>4.0</v>
      </c>
      <c r="F2444" s="18">
        <f>E2444* 0.175725756639901</f>
        <v>0.7029030266</v>
      </c>
      <c r="G2444" s="18">
        <f>E2444* 0.823656578134651</f>
        <v>3.294626313</v>
      </c>
      <c r="H2444" s="18">
        <f>E2444* 0.000617665225447807</f>
        <v>0.002470660902</v>
      </c>
    </row>
    <row r="2445" ht="15.75" hidden="1" customHeight="1">
      <c r="A2445" s="20" t="s">
        <v>183</v>
      </c>
      <c r="B2445" s="47" t="s">
        <v>211</v>
      </c>
      <c r="C2445" s="47"/>
      <c r="D2445" s="46" t="s">
        <v>17</v>
      </c>
      <c r="E2445" s="32">
        <v>3.0</v>
      </c>
      <c r="F2445" s="18">
        <f>E2445* 0.869679539852095</f>
        <v>2.60903862</v>
      </c>
      <c r="G2445" s="18">
        <f>E2445* 0.0695152013147083</f>
        <v>0.2085456039</v>
      </c>
      <c r="H2445" s="18">
        <f>E2445* 0.0608052588331964</f>
        <v>0.1824157765</v>
      </c>
    </row>
    <row r="2446" ht="15.75" hidden="1" customHeight="1">
      <c r="A2446" s="20" t="s">
        <v>183</v>
      </c>
      <c r="B2446" s="47" t="s">
        <v>211</v>
      </c>
      <c r="C2446" s="47"/>
      <c r="D2446" s="46" t="s">
        <v>19</v>
      </c>
      <c r="E2446" s="32">
        <v>0.0</v>
      </c>
      <c r="F2446" s="18">
        <f>E2446* 0.0748299319727891</f>
        <v>0</v>
      </c>
      <c r="G2446" s="18">
        <f>E2446* 0.924036281179138</f>
        <v>0</v>
      </c>
      <c r="H2446" s="18">
        <f>E2446* 0.00113378684807256</f>
        <v>0</v>
      </c>
    </row>
    <row r="2447" ht="15.75" hidden="1" customHeight="1">
      <c r="A2447" s="20" t="s">
        <v>183</v>
      </c>
      <c r="B2447" s="47" t="s">
        <v>211</v>
      </c>
      <c r="C2447" s="47"/>
      <c r="D2447" s="46" t="s">
        <v>21</v>
      </c>
      <c r="E2447" s="32">
        <v>1.0</v>
      </c>
      <c r="F2447" s="18">
        <f>E2447* 0.999328295549958</f>
        <v>0.9993282955</v>
      </c>
      <c r="G2447" s="18">
        <f>E2447* 0.000335852225020991</f>
        <v>0.000335852225</v>
      </c>
      <c r="H2447" s="18">
        <f>E2447* 0.000335852225020991</f>
        <v>0.000335852225</v>
      </c>
    </row>
    <row r="2448" ht="15.75" hidden="1" customHeight="1">
      <c r="A2448" s="20" t="s">
        <v>183</v>
      </c>
      <c r="B2448" s="47" t="s">
        <v>211</v>
      </c>
      <c r="C2448" s="47"/>
      <c r="D2448" s="46" t="s">
        <v>12</v>
      </c>
      <c r="E2448" s="32">
        <v>1.0</v>
      </c>
      <c r="F2448" s="18">
        <f>E2448* 0.894051651143099</f>
        <v>0.8940516511</v>
      </c>
      <c r="G2448" s="18">
        <f>E2448* 0.0675804403048264</f>
        <v>0.0675804403</v>
      </c>
      <c r="H2448" s="18">
        <f>E2448* 0.0382091447925487</f>
        <v>0.03820914479</v>
      </c>
    </row>
    <row r="2449" ht="15.75" hidden="1" customHeight="1">
      <c r="A2449" s="20" t="s">
        <v>183</v>
      </c>
      <c r="B2449" s="20"/>
      <c r="C2449" s="20"/>
      <c r="D2449" s="46"/>
      <c r="E2449" s="35"/>
    </row>
    <row r="2450" ht="15.75" hidden="1" customHeight="1">
      <c r="A2450" s="20" t="s">
        <v>183</v>
      </c>
      <c r="B2450" s="47" t="s">
        <v>212</v>
      </c>
      <c r="C2450" s="12" t="str">
        <f>B2450&amp;"_"&amp;A2450</f>
        <v>Yocalla_Potosí</v>
      </c>
      <c r="D2450" s="20"/>
      <c r="E2450" s="45">
        <v>51.0</v>
      </c>
      <c r="F2450" s="14">
        <f t="shared" ref="F2450:H2450" si="212">SUM(F2451:F2459)</f>
        <v>36.69534323</v>
      </c>
      <c r="G2450" s="14">
        <f t="shared" si="212"/>
        <v>13.35204181</v>
      </c>
      <c r="H2450" s="14">
        <f t="shared" si="212"/>
        <v>0.948436224</v>
      </c>
    </row>
    <row r="2451" ht="15.75" hidden="1" customHeight="1">
      <c r="A2451" s="20" t="s">
        <v>183</v>
      </c>
      <c r="B2451" s="47" t="s">
        <v>212</v>
      </c>
      <c r="C2451" s="47"/>
      <c r="D2451" s="46" t="s">
        <v>15</v>
      </c>
      <c r="E2451" s="32">
        <v>13.0</v>
      </c>
      <c r="F2451" s="18">
        <f>E2451* 0.975464549882735</f>
        <v>12.68103915</v>
      </c>
      <c r="G2451" s="18">
        <f>E2451* 0.00487100847916291</f>
        <v>0.06332311023</v>
      </c>
      <c r="H2451" s="18">
        <f>E2451* 0.0195742377773769</f>
        <v>0.2544650911</v>
      </c>
    </row>
    <row r="2452" ht="15.75" hidden="1" customHeight="1">
      <c r="A2452" s="20" t="s">
        <v>183</v>
      </c>
      <c r="B2452" s="47" t="s">
        <v>212</v>
      </c>
      <c r="C2452" s="47"/>
      <c r="D2452" s="46" t="s">
        <v>11</v>
      </c>
      <c r="E2452" s="32">
        <v>11.0</v>
      </c>
      <c r="F2452" s="18">
        <f>E2452* 0.175725756639901</f>
        <v>1.932983323</v>
      </c>
      <c r="G2452" s="18">
        <f>E2452* 0.823656578134651</f>
        <v>9.060222359</v>
      </c>
      <c r="H2452" s="18">
        <f>E2452* 0.000617665225447807</f>
        <v>0.00679431748</v>
      </c>
    </row>
    <row r="2453" ht="15.75" hidden="1" customHeight="1">
      <c r="A2453" s="20" t="s">
        <v>183</v>
      </c>
      <c r="B2453" s="47" t="s">
        <v>212</v>
      </c>
      <c r="C2453" s="47"/>
      <c r="D2453" s="46" t="s">
        <v>17</v>
      </c>
      <c r="E2453" s="32">
        <v>2.0</v>
      </c>
      <c r="F2453" s="18">
        <f>E2453* 0.869679539852095</f>
        <v>1.73935908</v>
      </c>
      <c r="G2453" s="18">
        <f>E2453* 0.0695152013147083</f>
        <v>0.1390304026</v>
      </c>
      <c r="H2453" s="18">
        <f>E2453* 0.0608052588331964</f>
        <v>0.1216105177</v>
      </c>
    </row>
    <row r="2454" ht="15.75" hidden="1" customHeight="1">
      <c r="A2454" s="20" t="s">
        <v>183</v>
      </c>
      <c r="B2454" s="47" t="s">
        <v>212</v>
      </c>
      <c r="C2454" s="47"/>
      <c r="D2454" s="46" t="s">
        <v>18</v>
      </c>
      <c r="E2454" s="32">
        <v>1.0</v>
      </c>
      <c r="F2454" s="18">
        <f>E2454* 0.941463414634146</f>
        <v>0.9414634146</v>
      </c>
      <c r="G2454" s="18">
        <f>E2454* 0.0532833020637899</f>
        <v>0.05328330206</v>
      </c>
      <c r="H2454" s="18">
        <f>E2454* 0.00487804878048781</f>
        <v>0.00487804878</v>
      </c>
    </row>
    <row r="2455" ht="15.75" hidden="1" customHeight="1">
      <c r="A2455" s="20" t="s">
        <v>183</v>
      </c>
      <c r="B2455" s="47" t="s">
        <v>212</v>
      </c>
      <c r="C2455" s="47"/>
      <c r="D2455" s="46" t="s">
        <v>19</v>
      </c>
      <c r="E2455" s="32">
        <v>1.0</v>
      </c>
      <c r="F2455" s="18">
        <f>E2455* 0.0748299319727891</f>
        <v>0.07482993197</v>
      </c>
      <c r="G2455" s="18">
        <f>E2455* 0.924036281179138</f>
        <v>0.9240362812</v>
      </c>
      <c r="H2455" s="18">
        <f>E2455* 0.00113378684807256</f>
        <v>0.001133786848</v>
      </c>
    </row>
    <row r="2456" ht="15.75" hidden="1" customHeight="1">
      <c r="A2456" s="20" t="s">
        <v>183</v>
      </c>
      <c r="B2456" s="47" t="s">
        <v>212</v>
      </c>
      <c r="C2456" s="47"/>
      <c r="D2456" s="46" t="s">
        <v>20</v>
      </c>
      <c r="E2456" s="32">
        <v>2.0</v>
      </c>
      <c r="F2456" s="18">
        <f>E2456* 0.799709724238026</f>
        <v>1.599419448</v>
      </c>
      <c r="G2456" s="18">
        <f>E2456* 0.150580551523948</f>
        <v>0.301161103</v>
      </c>
      <c r="H2456" s="18">
        <f>E2456* 0.0493468795355588</f>
        <v>0.09869375907</v>
      </c>
    </row>
    <row r="2457" ht="15.75" hidden="1" customHeight="1">
      <c r="A2457" s="20" t="s">
        <v>183</v>
      </c>
      <c r="B2457" s="47" t="s">
        <v>212</v>
      </c>
      <c r="C2457" s="47"/>
      <c r="D2457" s="46" t="s">
        <v>21</v>
      </c>
      <c r="E2457" s="32">
        <v>7.0</v>
      </c>
      <c r="F2457" s="18">
        <f>E2457* 0.999328295549958</f>
        <v>6.995298069</v>
      </c>
      <c r="G2457" s="18">
        <f>E2457* 0.000335852225020991</f>
        <v>0.002350965575</v>
      </c>
      <c r="H2457" s="18">
        <f>E2457* 0.000335852225020991</f>
        <v>0.002350965575</v>
      </c>
    </row>
    <row r="2458" ht="15.75" hidden="1" customHeight="1">
      <c r="A2458" s="20" t="s">
        <v>183</v>
      </c>
      <c r="B2458" s="47" t="s">
        <v>212</v>
      </c>
      <c r="C2458" s="47"/>
      <c r="D2458" s="46" t="s">
        <v>28</v>
      </c>
      <c r="E2458" s="32">
        <v>2.0</v>
      </c>
      <c r="F2458" s="18">
        <f>E2458* 0.00116550116550117</f>
        <v>0.002331002331</v>
      </c>
      <c r="G2458" s="18">
        <f>E2458* 0.998834498834499</f>
        <v>1.997668998</v>
      </c>
      <c r="H2458" s="20">
        <v>0.0</v>
      </c>
    </row>
    <row r="2459" ht="15.75" hidden="1" customHeight="1">
      <c r="A2459" s="20" t="s">
        <v>183</v>
      </c>
      <c r="B2459" s="47" t="s">
        <v>212</v>
      </c>
      <c r="C2459" s="47"/>
      <c r="D2459" s="55" t="s">
        <v>12</v>
      </c>
      <c r="E2459" s="39">
        <v>12.0</v>
      </c>
      <c r="F2459" s="18">
        <f>E2459* 0.894051651143099</f>
        <v>10.72861981</v>
      </c>
      <c r="G2459" s="18">
        <f>E2459* 0.0675804403048264</f>
        <v>0.8109652837</v>
      </c>
      <c r="H2459" s="18">
        <f>E2459* 0.0382091447925487</f>
        <v>0.4585097375</v>
      </c>
    </row>
    <row r="2460" ht="15.75" hidden="1" customHeight="1">
      <c r="A2460" s="20" t="s">
        <v>213</v>
      </c>
      <c r="B2460" s="47" t="s">
        <v>214</v>
      </c>
      <c r="C2460" s="12" t="str">
        <f>B2460&amp;"_"&amp;A2460</f>
        <v>Bermejo_Tarija</v>
      </c>
      <c r="D2460" s="20"/>
      <c r="E2460" s="45">
        <v>8486.0</v>
      </c>
      <c r="F2460" s="14">
        <f t="shared" ref="F2460:H2460" si="213">SUM(F2461:F2474)</f>
        <v>7424.610526</v>
      </c>
      <c r="G2460" s="14">
        <f t="shared" si="213"/>
        <v>906.1485807</v>
      </c>
      <c r="H2460" s="14">
        <f t="shared" si="213"/>
        <v>154.7448513</v>
      </c>
    </row>
    <row r="2461" ht="15.75" hidden="1" customHeight="1">
      <c r="A2461" s="20" t="s">
        <v>213</v>
      </c>
      <c r="B2461" s="47" t="s">
        <v>214</v>
      </c>
      <c r="C2461" s="47"/>
      <c r="D2461" s="35" t="s">
        <v>577</v>
      </c>
      <c r="E2461" s="32">
        <v>0.0</v>
      </c>
      <c r="F2461" s="20">
        <v>0.0</v>
      </c>
      <c r="G2461" s="24">
        <f>E2461</f>
        <v>0</v>
      </c>
      <c r="H2461" s="20">
        <v>0.0</v>
      </c>
    </row>
    <row r="2462" ht="15.75" hidden="1" customHeight="1">
      <c r="A2462" s="20" t="s">
        <v>213</v>
      </c>
      <c r="B2462" s="47" t="s">
        <v>214</v>
      </c>
      <c r="C2462" s="47"/>
      <c r="D2462" s="46" t="s">
        <v>15</v>
      </c>
      <c r="E2462" s="32">
        <v>1032.0</v>
      </c>
      <c r="F2462" s="18">
        <f>E2462* 0.957552016439764</f>
        <v>988.193681</v>
      </c>
      <c r="G2462" s="18">
        <f>E2462* 0.0158618032365785</f>
        <v>16.36938094</v>
      </c>
      <c r="H2462" s="18">
        <f>E2462* 0.0265861803236578</f>
        <v>27.43693809</v>
      </c>
    </row>
    <row r="2463" ht="15.75" hidden="1" customHeight="1">
      <c r="A2463" s="20" t="s">
        <v>213</v>
      </c>
      <c r="B2463" s="47" t="s">
        <v>214</v>
      </c>
      <c r="C2463" s="47"/>
      <c r="D2463" s="35" t="s">
        <v>578</v>
      </c>
      <c r="E2463" s="32">
        <v>10.0</v>
      </c>
      <c r="F2463" s="18">
        <f>E2463* 0.0288065843621399</f>
        <v>0.2880658436</v>
      </c>
      <c r="G2463" s="18">
        <f>E2463* 0.967078189300412</f>
        <v>9.670781893</v>
      </c>
      <c r="H2463" s="18">
        <f>E2463* 0.00411522633744856</f>
        <v>0.04115226337</v>
      </c>
    </row>
    <row r="2464" ht="15.75" hidden="1" customHeight="1">
      <c r="A2464" s="20" t="s">
        <v>213</v>
      </c>
      <c r="B2464" s="47" t="s">
        <v>214</v>
      </c>
      <c r="C2464" s="47"/>
      <c r="D2464" s="46" t="s">
        <v>11</v>
      </c>
      <c r="E2464" s="32">
        <v>432.0</v>
      </c>
      <c r="F2464" s="18">
        <f>E2464* 0.069996216420734</f>
        <v>30.23836549</v>
      </c>
      <c r="G2464" s="18">
        <f>E2464* 0.928364232564006</f>
        <v>401.0533485</v>
      </c>
      <c r="H2464" s="18">
        <f>E2464* 0.00113507377979569</f>
        <v>0.4903518729</v>
      </c>
    </row>
    <row r="2465" ht="15.75" hidden="1" customHeight="1">
      <c r="A2465" s="20" t="s">
        <v>213</v>
      </c>
      <c r="B2465" s="47" t="s">
        <v>214</v>
      </c>
      <c r="C2465" s="47"/>
      <c r="D2465" s="46" t="s">
        <v>17</v>
      </c>
      <c r="E2465" s="32">
        <v>1062.0</v>
      </c>
      <c r="F2465" s="18">
        <f>E2465* 0.797049581005587</f>
        <v>846.466655</v>
      </c>
      <c r="G2465" s="18">
        <f>E2465* 0.161662011173184</f>
        <v>171.6850559</v>
      </c>
      <c r="H2465" s="18">
        <f>E2465* 0.0410265363128492</f>
        <v>43.57018156</v>
      </c>
    </row>
    <row r="2466" ht="15.75" hidden="1" customHeight="1">
      <c r="A2466" s="20" t="s">
        <v>213</v>
      </c>
      <c r="B2466" s="47" t="s">
        <v>214</v>
      </c>
      <c r="C2466" s="47"/>
      <c r="D2466" s="46" t="s">
        <v>31</v>
      </c>
      <c r="E2466" s="32">
        <v>2.0</v>
      </c>
      <c r="F2466" s="18">
        <f>E2466* 0.820689655172414</f>
        <v>1.64137931</v>
      </c>
      <c r="G2466" s="18">
        <f>E2466* 0.16551724137931</f>
        <v>0.3310344828</v>
      </c>
      <c r="H2466" s="18">
        <f>E2466* 0.0137931034482759</f>
        <v>0.0275862069</v>
      </c>
    </row>
    <row r="2467" ht="15.75" hidden="1" customHeight="1">
      <c r="A2467" s="20" t="s">
        <v>213</v>
      </c>
      <c r="B2467" s="47" t="s">
        <v>214</v>
      </c>
      <c r="C2467" s="47"/>
      <c r="D2467" s="46" t="s">
        <v>18</v>
      </c>
      <c r="E2467" s="32">
        <v>92.0</v>
      </c>
      <c r="F2467" s="18">
        <f>E2467* 0.912233009708738</f>
        <v>83.92543689</v>
      </c>
      <c r="G2467" s="18">
        <f>E2467* 0.0811650485436893</f>
        <v>7.467184466</v>
      </c>
      <c r="H2467" s="18">
        <f>E2467* 0.00660194174757282</f>
        <v>0.6073786408</v>
      </c>
    </row>
    <row r="2468" ht="15.75" hidden="1" customHeight="1">
      <c r="A2468" s="20" t="s">
        <v>213</v>
      </c>
      <c r="B2468" s="47" t="s">
        <v>214</v>
      </c>
      <c r="C2468" s="47"/>
      <c r="D2468" s="46" t="s">
        <v>19</v>
      </c>
      <c r="E2468" s="32">
        <v>10.0</v>
      </c>
      <c r="F2468" s="18">
        <f>E2468* 0.0264765784114053</f>
        <v>0.2647657841</v>
      </c>
      <c r="G2468" s="18">
        <f>E2468* 0.970807875084861</f>
        <v>9.708078751</v>
      </c>
      <c r="H2468" s="18">
        <f>E2468* 0.00271554650373388</f>
        <v>0.02715546504</v>
      </c>
    </row>
    <row r="2469" ht="15.75" hidden="1" customHeight="1">
      <c r="A2469" s="20" t="s">
        <v>213</v>
      </c>
      <c r="B2469" s="47" t="s">
        <v>214</v>
      </c>
      <c r="C2469" s="47"/>
      <c r="D2469" s="46" t="s">
        <v>20</v>
      </c>
      <c r="E2469" s="32">
        <v>125.0</v>
      </c>
      <c r="F2469" s="18">
        <f>E2469* 0.657913931436907</f>
        <v>82.23924143</v>
      </c>
      <c r="G2469" s="18">
        <f>E2469* 0.284463894967177</f>
        <v>35.55798687</v>
      </c>
      <c r="H2469" s="18">
        <f>E2469* 0.0576221735959154</f>
        <v>7.202771699</v>
      </c>
    </row>
    <row r="2470" ht="15.75" hidden="1" customHeight="1">
      <c r="A2470" s="20" t="s">
        <v>213</v>
      </c>
      <c r="B2470" s="47" t="s">
        <v>214</v>
      </c>
      <c r="C2470" s="47"/>
      <c r="D2470" s="46" t="s">
        <v>21</v>
      </c>
      <c r="E2470" s="32">
        <v>3714.0</v>
      </c>
      <c r="F2470" s="18">
        <f>E2470* 0.999266575396049</f>
        <v>3711.276061</v>
      </c>
      <c r="G2470" s="18">
        <f>E2470* 0.0000488949735967143</f>
        <v>0.1815959319</v>
      </c>
      <c r="H2470" s="18">
        <f>E2470* 0.000684529630354</f>
        <v>2.542343047</v>
      </c>
    </row>
    <row r="2471" ht="15.75" hidden="1" customHeight="1">
      <c r="A2471" s="20" t="s">
        <v>213</v>
      </c>
      <c r="B2471" s="47" t="s">
        <v>214</v>
      </c>
      <c r="C2471" s="47"/>
      <c r="D2471" s="46" t="s">
        <v>36</v>
      </c>
      <c r="E2471" s="32">
        <v>2.0</v>
      </c>
      <c r="F2471" s="18">
        <f>E2471* 0.973154362416107</f>
        <v>1.946308725</v>
      </c>
      <c r="G2471" s="20">
        <v>0.0</v>
      </c>
      <c r="H2471" s="18">
        <f>E2471* 0.0268456375838926</f>
        <v>0.05369127517</v>
      </c>
    </row>
    <row r="2472" ht="15.75" hidden="1" customHeight="1">
      <c r="A2472" s="20" t="s">
        <v>213</v>
      </c>
      <c r="B2472" s="47" t="s">
        <v>214</v>
      </c>
      <c r="C2472" s="47"/>
      <c r="D2472" s="46" t="s">
        <v>37</v>
      </c>
      <c r="E2472" s="32">
        <v>1.0</v>
      </c>
      <c r="F2472" s="18">
        <f>E2472* 0.0588235294117647</f>
        <v>0.05882352941</v>
      </c>
      <c r="G2472" s="18">
        <f>E2472* 0.941176470588235</f>
        <v>0.9411764706</v>
      </c>
      <c r="H2472" s="20">
        <v>0.0</v>
      </c>
    </row>
    <row r="2473" ht="15.75" hidden="1" customHeight="1">
      <c r="A2473" s="20" t="s">
        <v>213</v>
      </c>
      <c r="B2473" s="47" t="s">
        <v>214</v>
      </c>
      <c r="C2473" s="47"/>
      <c r="D2473" s="46" t="s">
        <v>28</v>
      </c>
      <c r="E2473" s="32">
        <v>50.0</v>
      </c>
      <c r="F2473" s="18">
        <f>E2473* 0.00128865979381443</f>
        <v>0.06443298969</v>
      </c>
      <c r="G2473" s="18">
        <f>E2473* 0.998711340206186</f>
        <v>49.93556701</v>
      </c>
      <c r="H2473" s="20">
        <v>0.0</v>
      </c>
    </row>
    <row r="2474" ht="15.75" hidden="1" customHeight="1">
      <c r="A2474" s="20" t="s">
        <v>213</v>
      </c>
      <c r="B2474" s="47" t="s">
        <v>214</v>
      </c>
      <c r="C2474" s="47"/>
      <c r="D2474" s="46" t="s">
        <v>12</v>
      </c>
      <c r="E2474" s="32">
        <v>1954.0</v>
      </c>
      <c r="F2474" s="18">
        <f>E2474* 0.858755020080321</f>
        <v>1678.007309</v>
      </c>
      <c r="G2474" s="18">
        <f>E2474* 0.104016064257028</f>
        <v>203.2473896</v>
      </c>
      <c r="H2474" s="18">
        <f>E2474* 0.0372289156626506</f>
        <v>72.7453012</v>
      </c>
    </row>
    <row r="2475" ht="15.75" hidden="1" customHeight="1">
      <c r="A2475" s="20" t="s">
        <v>213</v>
      </c>
      <c r="B2475" s="20"/>
      <c r="C2475" s="20"/>
      <c r="D2475" s="46"/>
      <c r="E2475" s="35"/>
    </row>
    <row r="2476" ht="15.75" hidden="1" customHeight="1">
      <c r="A2476" s="20" t="s">
        <v>213</v>
      </c>
      <c r="B2476" s="47" t="s">
        <v>215</v>
      </c>
      <c r="C2476" s="12" t="str">
        <f>B2476&amp;"_"&amp;A2476</f>
        <v>Caraparí_Tarija</v>
      </c>
      <c r="D2476" s="20"/>
      <c r="E2476" s="45">
        <v>1099.0</v>
      </c>
      <c r="F2476" s="14">
        <f t="shared" ref="F2476:H2476" si="214">SUM(F2477:F2489)</f>
        <v>860.7932793</v>
      </c>
      <c r="G2476" s="14">
        <f t="shared" si="214"/>
        <v>208.5235145</v>
      </c>
      <c r="H2476" s="14">
        <f t="shared" si="214"/>
        <v>29.60513068</v>
      </c>
    </row>
    <row r="2477" ht="15.75" hidden="1" customHeight="1">
      <c r="A2477" s="20" t="s">
        <v>213</v>
      </c>
      <c r="B2477" s="47" t="s">
        <v>215</v>
      </c>
      <c r="C2477" s="47"/>
      <c r="D2477" s="35" t="s">
        <v>579</v>
      </c>
      <c r="E2477" s="32">
        <v>0.0</v>
      </c>
      <c r="F2477" s="20">
        <v>0.0</v>
      </c>
      <c r="G2477" s="24">
        <f>E2477</f>
        <v>0</v>
      </c>
      <c r="H2477" s="20">
        <v>0.0</v>
      </c>
    </row>
    <row r="2478" ht="15.75" hidden="1" customHeight="1">
      <c r="A2478" s="20" t="s">
        <v>213</v>
      </c>
      <c r="B2478" s="47" t="s">
        <v>215</v>
      </c>
      <c r="C2478" s="47"/>
      <c r="D2478" s="46" t="s">
        <v>15</v>
      </c>
      <c r="E2478" s="32">
        <v>60.0</v>
      </c>
      <c r="F2478" s="18">
        <f>E2478* 0.957552016439764</f>
        <v>57.45312099</v>
      </c>
      <c r="G2478" s="18">
        <f>E2478* 0.0158618032365785</f>
        <v>0.9517081942</v>
      </c>
      <c r="H2478" s="18">
        <f>E2478* 0.0265861803236578</f>
        <v>1.595170819</v>
      </c>
    </row>
    <row r="2479" ht="15.75" hidden="1" customHeight="1">
      <c r="A2479" s="20" t="s">
        <v>213</v>
      </c>
      <c r="B2479" s="47" t="s">
        <v>215</v>
      </c>
      <c r="C2479" s="47"/>
      <c r="D2479" s="35" t="s">
        <v>580</v>
      </c>
      <c r="E2479" s="32">
        <v>7.0</v>
      </c>
      <c r="F2479" s="18">
        <f>E2479* 0.0288065843621399</f>
        <v>0.2016460905</v>
      </c>
      <c r="G2479" s="18">
        <f>E2479* 0.967078189300412</f>
        <v>6.769547325</v>
      </c>
      <c r="H2479" s="18">
        <f>E2479* 0.00411522633744856</f>
        <v>0.02880658436</v>
      </c>
    </row>
    <row r="2480" ht="15.75" hidden="1" customHeight="1">
      <c r="A2480" s="20" t="s">
        <v>213</v>
      </c>
      <c r="B2480" s="47" t="s">
        <v>215</v>
      </c>
      <c r="C2480" s="47"/>
      <c r="D2480" s="46" t="s">
        <v>11</v>
      </c>
      <c r="E2480" s="32">
        <v>66.0</v>
      </c>
      <c r="F2480" s="18">
        <f>E2480* 0.069996216420734</f>
        <v>4.619750284</v>
      </c>
      <c r="G2480" s="18">
        <f>E2480* 0.928364232564006</f>
        <v>61.27203935</v>
      </c>
      <c r="H2480" s="18">
        <f>E2480* 0.00113507377979569</f>
        <v>0.07491486947</v>
      </c>
    </row>
    <row r="2481" ht="15.75" hidden="1" customHeight="1">
      <c r="A2481" s="20" t="s">
        <v>213</v>
      </c>
      <c r="B2481" s="47" t="s">
        <v>215</v>
      </c>
      <c r="C2481" s="47"/>
      <c r="D2481" s="46" t="s">
        <v>17</v>
      </c>
      <c r="E2481" s="32">
        <v>171.0</v>
      </c>
      <c r="F2481" s="18">
        <f>E2481* 0.797049581005587</f>
        <v>136.2954784</v>
      </c>
      <c r="G2481" s="18">
        <f>E2481* 0.161662011173184</f>
        <v>27.64420391</v>
      </c>
      <c r="H2481" s="18">
        <f>E2481* 0.0410265363128492</f>
        <v>7.015537709</v>
      </c>
    </row>
    <row r="2482" ht="15.75" hidden="1" customHeight="1">
      <c r="A2482" s="20" t="s">
        <v>213</v>
      </c>
      <c r="B2482" s="47" t="s">
        <v>215</v>
      </c>
      <c r="C2482" s="47"/>
      <c r="D2482" s="46" t="s">
        <v>31</v>
      </c>
      <c r="E2482" s="32">
        <v>8.0</v>
      </c>
      <c r="F2482" s="18">
        <f>E2482* 0.820689655172414</f>
        <v>6.565517241</v>
      </c>
      <c r="G2482" s="18">
        <f>E2482* 0.16551724137931</f>
        <v>1.324137931</v>
      </c>
      <c r="H2482" s="18">
        <f>E2482* 0.0137931034482759</f>
        <v>0.1103448276</v>
      </c>
    </row>
    <row r="2483" ht="15.75" hidden="1" customHeight="1">
      <c r="A2483" s="20" t="s">
        <v>213</v>
      </c>
      <c r="B2483" s="47" t="s">
        <v>215</v>
      </c>
      <c r="C2483" s="47"/>
      <c r="D2483" s="46" t="s">
        <v>18</v>
      </c>
      <c r="E2483" s="32">
        <v>8.0</v>
      </c>
      <c r="F2483" s="18">
        <f>E2483* 0.912233009708738</f>
        <v>7.297864078</v>
      </c>
      <c r="G2483" s="18">
        <f>E2483* 0.0811650485436893</f>
        <v>0.6493203883</v>
      </c>
      <c r="H2483" s="18">
        <f>E2483* 0.00660194174757282</f>
        <v>0.05281553398</v>
      </c>
    </row>
    <row r="2484" ht="15.75" hidden="1" customHeight="1">
      <c r="A2484" s="20" t="s">
        <v>213</v>
      </c>
      <c r="B2484" s="47" t="s">
        <v>215</v>
      </c>
      <c r="C2484" s="47"/>
      <c r="D2484" s="46" t="s">
        <v>19</v>
      </c>
      <c r="E2484" s="32">
        <v>43.0</v>
      </c>
      <c r="F2484" s="18">
        <f>E2484* 0.0264765784114053</f>
        <v>1.138492872</v>
      </c>
      <c r="G2484" s="18">
        <f>E2484* 0.970807875084861</f>
        <v>41.74473863</v>
      </c>
      <c r="H2484" s="18">
        <f>E2484* 0.00271554650373388</f>
        <v>0.1167684997</v>
      </c>
    </row>
    <row r="2485" ht="15.75" hidden="1" customHeight="1">
      <c r="A2485" s="20" t="s">
        <v>213</v>
      </c>
      <c r="B2485" s="47" t="s">
        <v>215</v>
      </c>
      <c r="C2485" s="47"/>
      <c r="D2485" s="46" t="s">
        <v>20</v>
      </c>
      <c r="E2485" s="32">
        <v>79.0</v>
      </c>
      <c r="F2485" s="18">
        <f>E2485* 0.657913931436907</f>
        <v>51.97520058</v>
      </c>
      <c r="G2485" s="18">
        <f>E2485* 0.284463894967177</f>
        <v>22.4726477</v>
      </c>
      <c r="H2485" s="18">
        <f>E2485* 0.0576221735959154</f>
        <v>4.552151714</v>
      </c>
    </row>
    <row r="2486" ht="15.75" hidden="1" customHeight="1">
      <c r="A2486" s="20" t="s">
        <v>213</v>
      </c>
      <c r="B2486" s="47" t="s">
        <v>215</v>
      </c>
      <c r="C2486" s="47"/>
      <c r="D2486" s="46" t="s">
        <v>21</v>
      </c>
      <c r="E2486" s="32">
        <v>225.0</v>
      </c>
      <c r="F2486" s="18">
        <f>E2486* 0.999266575396049</f>
        <v>224.8349795</v>
      </c>
      <c r="G2486" s="18">
        <f>E2486* 0.0000488949735967143</f>
        <v>0.01100136906</v>
      </c>
      <c r="H2486" s="18">
        <f>E2486* 0.000684529630354</f>
        <v>0.1540191668</v>
      </c>
    </row>
    <row r="2487" ht="15.75" hidden="1" customHeight="1">
      <c r="A2487" s="20" t="s">
        <v>213</v>
      </c>
      <c r="B2487" s="47" t="s">
        <v>215</v>
      </c>
      <c r="C2487" s="47"/>
      <c r="D2487" s="46" t="s">
        <v>36</v>
      </c>
      <c r="E2487" s="32">
        <v>10.0</v>
      </c>
      <c r="F2487" s="18">
        <f>E2487* 0.973154362416107</f>
        <v>9.731543624</v>
      </c>
      <c r="G2487" s="20">
        <v>0.0</v>
      </c>
      <c r="H2487" s="18">
        <f>E2487* 0.0268456375838926</f>
        <v>0.2684563758</v>
      </c>
    </row>
    <row r="2488" ht="15.75" hidden="1" customHeight="1">
      <c r="A2488" s="20" t="s">
        <v>213</v>
      </c>
      <c r="B2488" s="47" t="s">
        <v>215</v>
      </c>
      <c r="C2488" s="47"/>
      <c r="D2488" s="46" t="s">
        <v>28</v>
      </c>
      <c r="E2488" s="32">
        <v>2.0</v>
      </c>
      <c r="F2488" s="18">
        <f>E2488* 0.00128865979381443</f>
        <v>0.002577319588</v>
      </c>
      <c r="G2488" s="18">
        <f>E2488* 0.998711340206186</f>
        <v>1.99742268</v>
      </c>
      <c r="H2488" s="20">
        <v>0.0</v>
      </c>
    </row>
    <row r="2489" ht="15.75" hidden="1" customHeight="1">
      <c r="A2489" s="20" t="s">
        <v>213</v>
      </c>
      <c r="B2489" s="47" t="s">
        <v>215</v>
      </c>
      <c r="C2489" s="47"/>
      <c r="D2489" s="46" t="s">
        <v>12</v>
      </c>
      <c r="E2489" s="32">
        <v>420.0</v>
      </c>
      <c r="F2489" s="18">
        <f>E2489* 0.858755020080321</f>
        <v>360.6771084</v>
      </c>
      <c r="G2489" s="18">
        <f>E2489* 0.104016064257028</f>
        <v>43.68674699</v>
      </c>
      <c r="H2489" s="18">
        <f>E2489* 0.0372289156626506</f>
        <v>15.63614458</v>
      </c>
    </row>
    <row r="2490" ht="15.75" hidden="1" customHeight="1">
      <c r="A2490" s="20" t="s">
        <v>213</v>
      </c>
      <c r="B2490" s="20"/>
      <c r="C2490" s="20"/>
      <c r="D2490" s="46"/>
      <c r="E2490" s="35"/>
    </row>
    <row r="2491" ht="15.75" hidden="1" customHeight="1">
      <c r="A2491" s="20" t="s">
        <v>213</v>
      </c>
      <c r="B2491" s="47" t="s">
        <v>216</v>
      </c>
      <c r="C2491" s="12" t="str">
        <f>B2491&amp;"_"&amp;A2491</f>
        <v>El Puente - Tarija_Tarija</v>
      </c>
      <c r="D2491" s="20"/>
      <c r="E2491" s="45">
        <v>669.0</v>
      </c>
      <c r="F2491" s="14">
        <f t="shared" ref="F2491:H2491" si="215">SUM(F2492:F2502)</f>
        <v>510.764798</v>
      </c>
      <c r="G2491" s="14">
        <f t="shared" si="215"/>
        <v>145.9306019</v>
      </c>
      <c r="H2491" s="14">
        <f t="shared" si="215"/>
        <v>12.22491125</v>
      </c>
    </row>
    <row r="2492" ht="15.75" hidden="1" customHeight="1">
      <c r="A2492" s="20" t="s">
        <v>213</v>
      </c>
      <c r="B2492" s="47" t="s">
        <v>216</v>
      </c>
      <c r="C2492" s="47"/>
      <c r="D2492" s="35" t="s">
        <v>581</v>
      </c>
      <c r="E2492" s="32">
        <v>0.0</v>
      </c>
      <c r="F2492" s="20">
        <v>0.0</v>
      </c>
      <c r="G2492" s="24">
        <f>E2492</f>
        <v>0</v>
      </c>
      <c r="H2492" s="20">
        <v>0.0</v>
      </c>
    </row>
    <row r="2493" ht="15.75" hidden="1" customHeight="1">
      <c r="A2493" s="20" t="s">
        <v>213</v>
      </c>
      <c r="B2493" s="47" t="s">
        <v>216</v>
      </c>
      <c r="C2493" s="47"/>
      <c r="D2493" s="46" t="s">
        <v>15</v>
      </c>
      <c r="E2493" s="32">
        <v>31.0</v>
      </c>
      <c r="F2493" s="18">
        <f>E2493* 0.957552016439764</f>
        <v>29.68411251</v>
      </c>
      <c r="G2493" s="18">
        <f>E2493* 0.0158618032365785</f>
        <v>0.4917159003</v>
      </c>
      <c r="H2493" s="18">
        <f>E2493* 0.0265861803236578</f>
        <v>0.82417159</v>
      </c>
    </row>
    <row r="2494" ht="15.75" hidden="1" customHeight="1">
      <c r="A2494" s="20" t="s">
        <v>213</v>
      </c>
      <c r="B2494" s="47" t="s">
        <v>216</v>
      </c>
      <c r="C2494" s="47"/>
      <c r="D2494" s="35" t="s">
        <v>582</v>
      </c>
      <c r="E2494" s="32">
        <v>2.0</v>
      </c>
      <c r="F2494" s="18">
        <f>E2494* 0.0288065843621399</f>
        <v>0.05761316872</v>
      </c>
      <c r="G2494" s="18">
        <f>E2494* 0.967078189300412</f>
        <v>1.934156379</v>
      </c>
      <c r="H2494" s="18">
        <f>E2494* 0.00411522633744856</f>
        <v>0.008230452675</v>
      </c>
    </row>
    <row r="2495" ht="15.75" hidden="1" customHeight="1">
      <c r="A2495" s="20" t="s">
        <v>213</v>
      </c>
      <c r="B2495" s="47" t="s">
        <v>216</v>
      </c>
      <c r="C2495" s="47"/>
      <c r="D2495" s="46" t="s">
        <v>11</v>
      </c>
      <c r="E2495" s="32">
        <v>91.0</v>
      </c>
      <c r="F2495" s="18">
        <f>E2495* 0.069996216420734</f>
        <v>6.369655694</v>
      </c>
      <c r="G2495" s="18">
        <f>E2495* 0.928364232564006</f>
        <v>84.48114516</v>
      </c>
      <c r="H2495" s="18">
        <f>E2495* 0.00113507377979569</f>
        <v>0.103291714</v>
      </c>
    </row>
    <row r="2496" ht="15.75" hidden="1" customHeight="1">
      <c r="A2496" s="20" t="s">
        <v>213</v>
      </c>
      <c r="B2496" s="47" t="s">
        <v>216</v>
      </c>
      <c r="C2496" s="47"/>
      <c r="D2496" s="46" t="s">
        <v>17</v>
      </c>
      <c r="E2496" s="32">
        <v>129.0</v>
      </c>
      <c r="F2496" s="18">
        <f>E2496* 0.797049581005587</f>
        <v>102.8193959</v>
      </c>
      <c r="G2496" s="18">
        <f>E2496* 0.161662011173184</f>
        <v>20.85439944</v>
      </c>
      <c r="H2496" s="18">
        <f>E2496* 0.0410265363128492</f>
        <v>5.292423184</v>
      </c>
    </row>
    <row r="2497" ht="15.75" hidden="1" customHeight="1">
      <c r="A2497" s="20" t="s">
        <v>213</v>
      </c>
      <c r="B2497" s="47" t="s">
        <v>216</v>
      </c>
      <c r="C2497" s="47"/>
      <c r="D2497" s="46" t="s">
        <v>18</v>
      </c>
      <c r="E2497" s="32">
        <v>9.0</v>
      </c>
      <c r="F2497" s="18">
        <f>E2497* 0.912233009708738</f>
        <v>8.210097087</v>
      </c>
      <c r="G2497" s="18">
        <f>E2497* 0.0811650485436893</f>
        <v>0.7304854369</v>
      </c>
      <c r="H2497" s="18">
        <f>E2497* 0.00660194174757282</f>
        <v>0.05941747573</v>
      </c>
    </row>
    <row r="2498" ht="15.75" hidden="1" customHeight="1">
      <c r="A2498" s="20" t="s">
        <v>213</v>
      </c>
      <c r="B2498" s="47" t="s">
        <v>216</v>
      </c>
      <c r="C2498" s="47"/>
      <c r="D2498" s="46" t="s">
        <v>19</v>
      </c>
      <c r="E2498" s="32">
        <v>12.0</v>
      </c>
      <c r="F2498" s="18">
        <f>E2498* 0.0264765784114053</f>
        <v>0.3177189409</v>
      </c>
      <c r="G2498" s="18">
        <f>E2498* 0.970807875084861</f>
        <v>11.6496945</v>
      </c>
      <c r="H2498" s="18">
        <f>E2498* 0.00271554650373388</f>
        <v>0.03258655804</v>
      </c>
    </row>
    <row r="2499" ht="15.75" hidden="1" customHeight="1">
      <c r="A2499" s="20" t="s">
        <v>213</v>
      </c>
      <c r="B2499" s="47" t="s">
        <v>216</v>
      </c>
      <c r="C2499" s="47"/>
      <c r="D2499" s="46" t="s">
        <v>20</v>
      </c>
      <c r="E2499" s="32">
        <v>6.0</v>
      </c>
      <c r="F2499" s="18">
        <f>E2499* 0.657913931436907</f>
        <v>3.947483589</v>
      </c>
      <c r="G2499" s="18">
        <f>E2499* 0.284463894967177</f>
        <v>1.70678337</v>
      </c>
      <c r="H2499" s="18">
        <f>E2499* 0.0576221735959154</f>
        <v>0.3457330416</v>
      </c>
    </row>
    <row r="2500" ht="15.75" hidden="1" customHeight="1">
      <c r="A2500" s="20" t="s">
        <v>213</v>
      </c>
      <c r="B2500" s="47" t="s">
        <v>216</v>
      </c>
      <c r="C2500" s="47"/>
      <c r="D2500" s="46" t="s">
        <v>21</v>
      </c>
      <c r="E2500" s="32">
        <v>235.0</v>
      </c>
      <c r="F2500" s="18">
        <f>E2500* 0.999266575396049</f>
        <v>234.8276452</v>
      </c>
      <c r="G2500" s="18">
        <f>E2500* 0.0000488949735967143</f>
        <v>0.0114903188</v>
      </c>
      <c r="H2500" s="18">
        <f>E2500* 0.000684529630354</f>
        <v>0.1608644631</v>
      </c>
    </row>
    <row r="2501" ht="15.75" hidden="1" customHeight="1">
      <c r="A2501" s="20" t="s">
        <v>213</v>
      </c>
      <c r="B2501" s="47" t="s">
        <v>216</v>
      </c>
      <c r="C2501" s="47"/>
      <c r="D2501" s="46" t="s">
        <v>28</v>
      </c>
      <c r="E2501" s="32">
        <v>9.0</v>
      </c>
      <c r="F2501" s="18">
        <f>E2501* 0.00128865979381443</f>
        <v>0.01159793814</v>
      </c>
      <c r="G2501" s="18">
        <f>E2501* 0.998711340206186</f>
        <v>8.988402062</v>
      </c>
      <c r="H2501" s="20">
        <v>0.0</v>
      </c>
    </row>
    <row r="2502" ht="15.75" hidden="1" customHeight="1">
      <c r="A2502" s="20" t="s">
        <v>213</v>
      </c>
      <c r="B2502" s="47" t="s">
        <v>216</v>
      </c>
      <c r="C2502" s="47"/>
      <c r="D2502" s="46" t="s">
        <v>12</v>
      </c>
      <c r="E2502" s="32">
        <v>145.0</v>
      </c>
      <c r="F2502" s="18">
        <f>E2502* 0.858755020080321</f>
        <v>124.5194779</v>
      </c>
      <c r="G2502" s="18">
        <f>E2502* 0.104016064257028</f>
        <v>15.08232932</v>
      </c>
      <c r="H2502" s="18">
        <f>E2502* 0.0372289156626506</f>
        <v>5.398192771</v>
      </c>
    </row>
    <row r="2503" ht="15.75" hidden="1" customHeight="1">
      <c r="A2503" s="20" t="s">
        <v>213</v>
      </c>
      <c r="B2503" s="20"/>
      <c r="C2503" s="20"/>
      <c r="D2503" s="46"/>
      <c r="E2503" s="35"/>
    </row>
    <row r="2504" ht="15.75" hidden="1" customHeight="1">
      <c r="A2504" s="20" t="s">
        <v>213</v>
      </c>
      <c r="B2504" s="47" t="s">
        <v>217</v>
      </c>
      <c r="C2504" s="12" t="str">
        <f>B2504&amp;"_"&amp;A2504</f>
        <v>La Moreta (Entre Ríos)_Tarija</v>
      </c>
      <c r="D2504" s="20"/>
      <c r="E2504" s="45">
        <v>232.0</v>
      </c>
      <c r="F2504" s="14">
        <f t="shared" ref="F2504:H2504" si="216">SUM(F2505:F2515)</f>
        <v>164.3262629</v>
      </c>
      <c r="G2504" s="14">
        <f t="shared" si="216"/>
        <v>63.13694644</v>
      </c>
      <c r="H2504" s="14">
        <f t="shared" si="216"/>
        <v>4.508524255</v>
      </c>
    </row>
    <row r="2505" ht="15.75" hidden="1" customHeight="1">
      <c r="A2505" s="20" t="s">
        <v>213</v>
      </c>
      <c r="B2505" s="47" t="s">
        <v>217</v>
      </c>
      <c r="C2505" s="47"/>
      <c r="D2505" s="35" t="s">
        <v>583</v>
      </c>
      <c r="E2505" s="32">
        <v>2.0</v>
      </c>
      <c r="F2505" s="20">
        <v>0.0</v>
      </c>
      <c r="G2505" s="24">
        <f>E2505</f>
        <v>2</v>
      </c>
      <c r="H2505" s="20">
        <v>0.0</v>
      </c>
    </row>
    <row r="2506" ht="15.75" hidden="1" customHeight="1">
      <c r="A2506" s="20" t="s">
        <v>213</v>
      </c>
      <c r="B2506" s="47" t="s">
        <v>217</v>
      </c>
      <c r="C2506" s="47"/>
      <c r="D2506" s="46" t="s">
        <v>15</v>
      </c>
      <c r="E2506" s="32">
        <v>10.0</v>
      </c>
      <c r="F2506" s="18">
        <f>E2506* 0.957552016439764</f>
        <v>9.575520164</v>
      </c>
      <c r="G2506" s="18">
        <f>E2506* 0.0158618032365785</f>
        <v>0.1586180324</v>
      </c>
      <c r="H2506" s="18">
        <f>E2506* 0.0265861803236578</f>
        <v>0.2658618032</v>
      </c>
    </row>
    <row r="2507" ht="15.75" hidden="1" customHeight="1">
      <c r="A2507" s="20" t="s">
        <v>213</v>
      </c>
      <c r="B2507" s="47" t="s">
        <v>217</v>
      </c>
      <c r="C2507" s="47"/>
      <c r="D2507" s="35" t="s">
        <v>584</v>
      </c>
      <c r="E2507" s="32">
        <v>3.0</v>
      </c>
      <c r="F2507" s="18">
        <f>E2507* 0.0288065843621399</f>
        <v>0.08641975309</v>
      </c>
      <c r="G2507" s="18">
        <f>E2507* 0.967078189300412</f>
        <v>2.901234568</v>
      </c>
      <c r="H2507" s="18">
        <f>E2507* 0.00411522633744856</f>
        <v>0.01234567901</v>
      </c>
    </row>
    <row r="2508" ht="15.75" hidden="1" customHeight="1">
      <c r="A2508" s="20" t="s">
        <v>213</v>
      </c>
      <c r="B2508" s="47" t="s">
        <v>217</v>
      </c>
      <c r="C2508" s="47"/>
      <c r="D2508" s="46" t="s">
        <v>11</v>
      </c>
      <c r="E2508" s="32">
        <v>28.0</v>
      </c>
      <c r="F2508" s="18">
        <f>E2508* 0.069996216420734</f>
        <v>1.95989406</v>
      </c>
      <c r="G2508" s="18">
        <f>E2508* 0.928364232564006</f>
        <v>25.99419851</v>
      </c>
      <c r="H2508" s="18">
        <f>E2508* 0.00113507377979569</f>
        <v>0.03178206583</v>
      </c>
    </row>
    <row r="2509" ht="15.75" hidden="1" customHeight="1">
      <c r="A2509" s="20" t="s">
        <v>213</v>
      </c>
      <c r="B2509" s="47" t="s">
        <v>217</v>
      </c>
      <c r="C2509" s="47"/>
      <c r="D2509" s="46" t="s">
        <v>17</v>
      </c>
      <c r="E2509" s="32">
        <v>54.0</v>
      </c>
      <c r="F2509" s="18">
        <f>E2509* 0.797049581005587</f>
        <v>43.04067737</v>
      </c>
      <c r="G2509" s="18">
        <f>E2509* 0.161662011173184</f>
        <v>8.729748603</v>
      </c>
      <c r="H2509" s="18">
        <f>E2509* 0.0410265363128492</f>
        <v>2.215432961</v>
      </c>
    </row>
    <row r="2510" ht="15.75" hidden="1" customHeight="1">
      <c r="A2510" s="20" t="s">
        <v>213</v>
      </c>
      <c r="B2510" s="47" t="s">
        <v>217</v>
      </c>
      <c r="C2510" s="47"/>
      <c r="D2510" s="46" t="s">
        <v>31</v>
      </c>
      <c r="E2510" s="32">
        <v>3.0</v>
      </c>
      <c r="F2510" s="18">
        <f>E2510* 0.820689655172414</f>
        <v>2.462068966</v>
      </c>
      <c r="G2510" s="18">
        <f>E2510* 0.16551724137931</f>
        <v>0.4965517241</v>
      </c>
      <c r="H2510" s="18">
        <f>E2510* 0.0137931034482759</f>
        <v>0.04137931034</v>
      </c>
    </row>
    <row r="2511" ht="15.75" hidden="1" customHeight="1">
      <c r="A2511" s="20" t="s">
        <v>213</v>
      </c>
      <c r="B2511" s="47" t="s">
        <v>217</v>
      </c>
      <c r="C2511" s="47"/>
      <c r="D2511" s="46" t="s">
        <v>18</v>
      </c>
      <c r="E2511" s="32">
        <v>5.0</v>
      </c>
      <c r="F2511" s="18">
        <f>E2511* 0.912233009708738</f>
        <v>4.561165049</v>
      </c>
      <c r="G2511" s="18">
        <f>E2511* 0.0811650485436893</f>
        <v>0.4058252427</v>
      </c>
      <c r="H2511" s="18">
        <f>E2511* 0.00660194174757282</f>
        <v>0.03300970874</v>
      </c>
    </row>
    <row r="2512" ht="15.75" hidden="1" customHeight="1">
      <c r="A2512" s="20" t="s">
        <v>213</v>
      </c>
      <c r="B2512" s="47" t="s">
        <v>217</v>
      </c>
      <c r="C2512" s="47"/>
      <c r="D2512" s="46" t="s">
        <v>19</v>
      </c>
      <c r="E2512" s="32">
        <v>17.0</v>
      </c>
      <c r="F2512" s="18">
        <f>E2512* 0.0264765784114053</f>
        <v>0.450101833</v>
      </c>
      <c r="G2512" s="18">
        <f>E2512* 0.970807875084861</f>
        <v>16.50373388</v>
      </c>
      <c r="H2512" s="18">
        <f>E2512* 0.00271554650373388</f>
        <v>0.04616429056</v>
      </c>
    </row>
    <row r="2513" ht="15.75" hidden="1" customHeight="1">
      <c r="A2513" s="20" t="s">
        <v>213</v>
      </c>
      <c r="B2513" s="47" t="s">
        <v>217</v>
      </c>
      <c r="C2513" s="47"/>
      <c r="D2513" s="46" t="s">
        <v>20</v>
      </c>
      <c r="E2513" s="32">
        <v>7.0</v>
      </c>
      <c r="F2513" s="18">
        <f>E2513* 0.657913931436907</f>
        <v>4.60539752</v>
      </c>
      <c r="G2513" s="18">
        <f>E2513* 0.284463894967177</f>
        <v>1.991247265</v>
      </c>
      <c r="H2513" s="18">
        <f>E2513* 0.0576221735959154</f>
        <v>0.4033552152</v>
      </c>
    </row>
    <row r="2514" ht="15.75" hidden="1" customHeight="1">
      <c r="A2514" s="20" t="s">
        <v>213</v>
      </c>
      <c r="B2514" s="47" t="s">
        <v>217</v>
      </c>
      <c r="C2514" s="47"/>
      <c r="D2514" s="46" t="s">
        <v>21</v>
      </c>
      <c r="E2514" s="32">
        <v>65.0</v>
      </c>
      <c r="F2514" s="18">
        <f>E2514* 0.999266575396049</f>
        <v>64.9523274</v>
      </c>
      <c r="G2514" s="18">
        <f>E2514* 0.0000488949735967143</f>
        <v>0.003178173284</v>
      </c>
      <c r="H2514" s="18">
        <f>E2514* 0.000684529630354</f>
        <v>0.04449442597</v>
      </c>
    </row>
    <row r="2515" ht="15.75" hidden="1" customHeight="1">
      <c r="A2515" s="20" t="s">
        <v>213</v>
      </c>
      <c r="B2515" s="47" t="s">
        <v>217</v>
      </c>
      <c r="C2515" s="47"/>
      <c r="D2515" s="46" t="s">
        <v>12</v>
      </c>
      <c r="E2515" s="32">
        <v>38.0</v>
      </c>
      <c r="F2515" s="18">
        <f>E2515* 0.858755020080321</f>
        <v>32.63269076</v>
      </c>
      <c r="G2515" s="18">
        <f>E2515* 0.104016064257028</f>
        <v>3.952610442</v>
      </c>
      <c r="H2515" s="18">
        <f>E2515* 0.0372289156626506</f>
        <v>1.414698795</v>
      </c>
    </row>
    <row r="2516" ht="15.75" hidden="1" customHeight="1">
      <c r="A2516" s="20" t="s">
        <v>213</v>
      </c>
      <c r="B2516" s="20"/>
      <c r="C2516" s="20"/>
      <c r="D2516" s="46"/>
      <c r="E2516" s="35"/>
    </row>
    <row r="2517" ht="15.75" hidden="1" customHeight="1">
      <c r="A2517" s="20" t="s">
        <v>213</v>
      </c>
      <c r="B2517" s="47" t="s">
        <v>218</v>
      </c>
      <c r="C2517" s="12" t="str">
        <f>B2517&amp;"_"&amp;A2517</f>
        <v>Padcaya_Tarija</v>
      </c>
      <c r="D2517" s="20"/>
      <c r="E2517" s="45">
        <v>569.0</v>
      </c>
      <c r="F2517" s="14">
        <f t="shared" ref="F2517:H2517" si="217">SUM(F2518:F2530)</f>
        <v>444.6756496</v>
      </c>
      <c r="G2517" s="14">
        <f t="shared" si="217"/>
        <v>112.0200778</v>
      </c>
      <c r="H2517" s="14">
        <f t="shared" si="217"/>
        <v>12.25604261</v>
      </c>
    </row>
    <row r="2518" ht="15.75" hidden="1" customHeight="1">
      <c r="A2518" s="20" t="s">
        <v>213</v>
      </c>
      <c r="B2518" s="47" t="s">
        <v>218</v>
      </c>
      <c r="C2518" s="47"/>
      <c r="D2518" s="35" t="s">
        <v>585</v>
      </c>
      <c r="E2518" s="32">
        <v>0.0</v>
      </c>
      <c r="F2518" s="20">
        <v>0.0</v>
      </c>
      <c r="G2518" s="24">
        <f>E2518</f>
        <v>0</v>
      </c>
      <c r="H2518" s="20">
        <v>0.0</v>
      </c>
    </row>
    <row r="2519" ht="15.75" hidden="1" customHeight="1">
      <c r="A2519" s="20" t="s">
        <v>213</v>
      </c>
      <c r="B2519" s="47" t="s">
        <v>218</v>
      </c>
      <c r="C2519" s="47"/>
      <c r="D2519" s="46" t="s">
        <v>15</v>
      </c>
      <c r="E2519" s="32">
        <v>48.0</v>
      </c>
      <c r="F2519" s="18">
        <f>E2519* 0.957552016439764</f>
        <v>45.96249679</v>
      </c>
      <c r="G2519" s="18">
        <f>E2519* 0.0158618032365785</f>
        <v>0.7613665554</v>
      </c>
      <c r="H2519" s="18">
        <f>E2519* 0.0265861803236578</f>
        <v>1.276136656</v>
      </c>
    </row>
    <row r="2520" ht="15.75" hidden="1" customHeight="1">
      <c r="A2520" s="20" t="s">
        <v>213</v>
      </c>
      <c r="B2520" s="47" t="s">
        <v>218</v>
      </c>
      <c r="C2520" s="47"/>
      <c r="D2520" s="35" t="s">
        <v>586</v>
      </c>
      <c r="E2520" s="32">
        <v>3.0</v>
      </c>
      <c r="F2520" s="18">
        <f>E2520* 0.0288065843621399</f>
        <v>0.08641975309</v>
      </c>
      <c r="G2520" s="18">
        <f>E2520* 0.967078189300412</f>
        <v>2.901234568</v>
      </c>
      <c r="H2520" s="18">
        <f>E2520* 0.00411522633744856</f>
        <v>0.01234567901</v>
      </c>
    </row>
    <row r="2521" ht="15.75" hidden="1" customHeight="1">
      <c r="A2521" s="20" t="s">
        <v>213</v>
      </c>
      <c r="B2521" s="47" t="s">
        <v>218</v>
      </c>
      <c r="C2521" s="47"/>
      <c r="D2521" s="46" t="s">
        <v>11</v>
      </c>
      <c r="E2521" s="32">
        <v>52.0</v>
      </c>
      <c r="F2521" s="18">
        <f>E2521* 0.069996216420734</f>
        <v>3.639803254</v>
      </c>
      <c r="G2521" s="18">
        <f>E2521* 0.928364232564006</f>
        <v>48.27494009</v>
      </c>
      <c r="H2521" s="18">
        <f>E2521* 0.00113507377979569</f>
        <v>0.05902383655</v>
      </c>
    </row>
    <row r="2522" ht="15.75" hidden="1" customHeight="1">
      <c r="A2522" s="20" t="s">
        <v>213</v>
      </c>
      <c r="B2522" s="47" t="s">
        <v>218</v>
      </c>
      <c r="C2522" s="47"/>
      <c r="D2522" s="46" t="s">
        <v>17</v>
      </c>
      <c r="E2522" s="32">
        <v>84.0</v>
      </c>
      <c r="F2522" s="18">
        <f>E2522* 0.797049581005587</f>
        <v>66.9521648</v>
      </c>
      <c r="G2522" s="18">
        <f>E2522* 0.161662011173184</f>
        <v>13.57960894</v>
      </c>
      <c r="H2522" s="18">
        <f>E2522* 0.0410265363128492</f>
        <v>3.44622905</v>
      </c>
    </row>
    <row r="2523" ht="15.75" hidden="1" customHeight="1">
      <c r="A2523" s="20" t="s">
        <v>213</v>
      </c>
      <c r="B2523" s="47" t="s">
        <v>218</v>
      </c>
      <c r="C2523" s="47"/>
      <c r="D2523" s="46" t="s">
        <v>31</v>
      </c>
      <c r="E2523" s="32">
        <v>2.0</v>
      </c>
      <c r="F2523" s="18">
        <f>E2523* 0.820689655172414</f>
        <v>1.64137931</v>
      </c>
      <c r="G2523" s="18">
        <f>E2523* 0.16551724137931</f>
        <v>0.3310344828</v>
      </c>
      <c r="H2523" s="18">
        <f>E2523* 0.0137931034482759</f>
        <v>0.0275862069</v>
      </c>
    </row>
    <row r="2524" ht="15.75" hidden="1" customHeight="1">
      <c r="A2524" s="20" t="s">
        <v>213</v>
      </c>
      <c r="B2524" s="47" t="s">
        <v>218</v>
      </c>
      <c r="C2524" s="47"/>
      <c r="D2524" s="46" t="s">
        <v>18</v>
      </c>
      <c r="E2524" s="32">
        <v>12.0</v>
      </c>
      <c r="F2524" s="18">
        <f>E2524* 0.912233009708738</f>
        <v>10.94679612</v>
      </c>
      <c r="G2524" s="18">
        <f>E2524* 0.0811650485436893</f>
        <v>0.9739805825</v>
      </c>
      <c r="H2524" s="18">
        <f>E2524* 0.00660194174757282</f>
        <v>0.07922330097</v>
      </c>
    </row>
    <row r="2525" ht="15.75" hidden="1" customHeight="1">
      <c r="A2525" s="20" t="s">
        <v>213</v>
      </c>
      <c r="B2525" s="47" t="s">
        <v>218</v>
      </c>
      <c r="C2525" s="47"/>
      <c r="D2525" s="46" t="s">
        <v>19</v>
      </c>
      <c r="E2525" s="32">
        <v>18.0</v>
      </c>
      <c r="F2525" s="18">
        <f>E2525* 0.0264765784114053</f>
        <v>0.4765784114</v>
      </c>
      <c r="G2525" s="18">
        <f>E2525* 0.970807875084861</f>
        <v>17.47454175</v>
      </c>
      <c r="H2525" s="18">
        <f>E2525* 0.00271554650373388</f>
        <v>0.04887983707</v>
      </c>
    </row>
    <row r="2526" ht="15.75" hidden="1" customHeight="1">
      <c r="A2526" s="20" t="s">
        <v>213</v>
      </c>
      <c r="B2526" s="47" t="s">
        <v>218</v>
      </c>
      <c r="C2526" s="47"/>
      <c r="D2526" s="46" t="s">
        <v>20</v>
      </c>
      <c r="E2526" s="32">
        <v>30.0</v>
      </c>
      <c r="F2526" s="18">
        <f>E2526* 0.657913931436907</f>
        <v>19.73741794</v>
      </c>
      <c r="G2526" s="18">
        <f>E2526* 0.284463894967177</f>
        <v>8.533916849</v>
      </c>
      <c r="H2526" s="18">
        <f>E2526* 0.0576221735959154</f>
        <v>1.728665208</v>
      </c>
    </row>
    <row r="2527" ht="15.75" hidden="1" customHeight="1">
      <c r="A2527" s="20" t="s">
        <v>213</v>
      </c>
      <c r="B2527" s="47" t="s">
        <v>218</v>
      </c>
      <c r="C2527" s="47"/>
      <c r="D2527" s="46" t="s">
        <v>21</v>
      </c>
      <c r="E2527" s="32">
        <v>169.0</v>
      </c>
      <c r="F2527" s="18">
        <f>E2527* 0.999266575396049</f>
        <v>168.8760512</v>
      </c>
      <c r="G2527" s="18">
        <f>E2527* 0.0000488949735967143</f>
        <v>0.008263250538</v>
      </c>
      <c r="H2527" s="18">
        <f>E2527* 0.000684529630354</f>
        <v>0.1156855075</v>
      </c>
    </row>
    <row r="2528" ht="15.75" hidden="1" customHeight="1">
      <c r="A2528" s="20" t="s">
        <v>213</v>
      </c>
      <c r="B2528" s="47" t="s">
        <v>218</v>
      </c>
      <c r="C2528" s="47"/>
      <c r="D2528" s="46" t="s">
        <v>28</v>
      </c>
      <c r="E2528" s="32">
        <v>4.0</v>
      </c>
      <c r="F2528" s="18">
        <f>E2528* 0.00128865979381443</f>
        <v>0.005154639175</v>
      </c>
      <c r="G2528" s="18">
        <f>E2528* 0.998711340206186</f>
        <v>3.994845361</v>
      </c>
      <c r="H2528" s="20">
        <v>0.0</v>
      </c>
    </row>
    <row r="2529" ht="15.75" hidden="1" customHeight="1">
      <c r="A2529" s="20" t="s">
        <v>213</v>
      </c>
      <c r="B2529" s="47" t="s">
        <v>218</v>
      </c>
      <c r="C2529" s="47"/>
      <c r="D2529" s="46" t="s">
        <v>36</v>
      </c>
      <c r="E2529" s="32">
        <v>1.0</v>
      </c>
      <c r="F2529" s="18">
        <f>E2529* 0.973154362416107</f>
        <v>0.9731543624</v>
      </c>
      <c r="G2529" s="20">
        <v>0.0</v>
      </c>
      <c r="H2529" s="18">
        <f>E2529* 0.0268456375838926</f>
        <v>0.02684563758</v>
      </c>
    </row>
    <row r="2530" ht="15.75" hidden="1" customHeight="1">
      <c r="A2530" s="20" t="s">
        <v>213</v>
      </c>
      <c r="B2530" s="47" t="s">
        <v>218</v>
      </c>
      <c r="C2530" s="47"/>
      <c r="D2530" s="46" t="s">
        <v>12</v>
      </c>
      <c r="E2530" s="32">
        <v>146.0</v>
      </c>
      <c r="F2530" s="18">
        <f>E2530* 0.858755020080321</f>
        <v>125.3782329</v>
      </c>
      <c r="G2530" s="18">
        <f>E2530* 0.104016064257028</f>
        <v>15.18634538</v>
      </c>
      <c r="H2530" s="18">
        <f>E2530* 0.0372289156626506</f>
        <v>5.435421687</v>
      </c>
    </row>
    <row r="2531" ht="15.75" hidden="1" customHeight="1">
      <c r="A2531" s="20" t="s">
        <v>213</v>
      </c>
      <c r="B2531" s="20"/>
      <c r="C2531" s="20"/>
      <c r="D2531" s="46"/>
      <c r="E2531" s="35"/>
    </row>
    <row r="2532" ht="15.75" hidden="1" customHeight="1">
      <c r="A2532" s="20" t="s">
        <v>213</v>
      </c>
      <c r="B2532" s="47" t="s">
        <v>219</v>
      </c>
      <c r="C2532" s="12" t="str">
        <f>B2532&amp;"_"&amp;A2532</f>
        <v>San Lorenzo_Tarija</v>
      </c>
      <c r="D2532" s="20"/>
      <c r="E2532" s="45">
        <v>10726.0</v>
      </c>
      <c r="F2532" s="14">
        <f t="shared" ref="F2532:H2532" si="218">SUM(F2533:F2546)</f>
        <v>9480.444441</v>
      </c>
      <c r="G2532" s="14">
        <f t="shared" si="218"/>
        <v>1108.812541</v>
      </c>
      <c r="H2532" s="14">
        <f t="shared" si="218"/>
        <v>136.2342187</v>
      </c>
    </row>
    <row r="2533" ht="15.75" hidden="1" customHeight="1">
      <c r="A2533" s="20" t="s">
        <v>213</v>
      </c>
      <c r="B2533" s="47" t="s">
        <v>219</v>
      </c>
      <c r="C2533" s="47"/>
      <c r="D2533" s="35" t="s">
        <v>587</v>
      </c>
      <c r="E2533" s="32">
        <v>0.0</v>
      </c>
      <c r="F2533" s="20">
        <v>0.0</v>
      </c>
      <c r="G2533" s="24">
        <f>E2533</f>
        <v>0</v>
      </c>
      <c r="H2533" s="20">
        <v>0.0</v>
      </c>
    </row>
    <row r="2534" ht="15.75" hidden="1" customHeight="1">
      <c r="A2534" s="20" t="s">
        <v>213</v>
      </c>
      <c r="B2534" s="47" t="s">
        <v>219</v>
      </c>
      <c r="C2534" s="47"/>
      <c r="D2534" s="46" t="s">
        <v>15</v>
      </c>
      <c r="E2534" s="32">
        <v>1048.0</v>
      </c>
      <c r="F2534" s="18">
        <f>E2534* 0.957552016439764</f>
        <v>1003.514513</v>
      </c>
      <c r="G2534" s="18">
        <f>E2534* 0.0158618032365785</f>
        <v>16.62316979</v>
      </c>
      <c r="H2534" s="18">
        <f>E2534* 0.0265861803236578</f>
        <v>27.86231698</v>
      </c>
    </row>
    <row r="2535" ht="15.75" hidden="1" customHeight="1">
      <c r="A2535" s="20" t="s">
        <v>213</v>
      </c>
      <c r="B2535" s="47" t="s">
        <v>219</v>
      </c>
      <c r="C2535" s="47"/>
      <c r="D2535" s="35" t="s">
        <v>588</v>
      </c>
      <c r="E2535" s="32">
        <v>21.0</v>
      </c>
      <c r="F2535" s="18">
        <f>E2535* 0.0288065843621399</f>
        <v>0.6049382716</v>
      </c>
      <c r="G2535" s="18">
        <f>E2535* 0.967078189300412</f>
        <v>20.30864198</v>
      </c>
      <c r="H2535" s="18">
        <f>E2535* 0.00411522633744856</f>
        <v>0.08641975309</v>
      </c>
    </row>
    <row r="2536" ht="15.75" hidden="1" customHeight="1">
      <c r="A2536" s="20" t="s">
        <v>213</v>
      </c>
      <c r="B2536" s="47" t="s">
        <v>219</v>
      </c>
      <c r="C2536" s="47"/>
      <c r="D2536" s="46" t="s">
        <v>11</v>
      </c>
      <c r="E2536" s="32">
        <v>531.0</v>
      </c>
      <c r="F2536" s="18">
        <f>E2536* 0.069996216420734</f>
        <v>37.16799092</v>
      </c>
      <c r="G2536" s="18">
        <f>E2536* 0.928364232564006</f>
        <v>492.9614075</v>
      </c>
      <c r="H2536" s="18">
        <f>E2536* 0.00113507377979569</f>
        <v>0.6027241771</v>
      </c>
    </row>
    <row r="2537" ht="15.75" hidden="1" customHeight="1">
      <c r="A2537" s="20" t="s">
        <v>213</v>
      </c>
      <c r="B2537" s="47" t="s">
        <v>219</v>
      </c>
      <c r="C2537" s="47"/>
      <c r="D2537" s="46" t="s">
        <v>17</v>
      </c>
      <c r="E2537" s="32">
        <v>920.0</v>
      </c>
      <c r="F2537" s="18">
        <f>E2537* 0.797049581005587</f>
        <v>733.2856145</v>
      </c>
      <c r="G2537" s="18">
        <f>E2537* 0.161662011173184</f>
        <v>148.7290503</v>
      </c>
      <c r="H2537" s="18">
        <f>E2537* 0.0410265363128492</f>
        <v>37.74441341</v>
      </c>
    </row>
    <row r="2538" ht="15.75" hidden="1" customHeight="1">
      <c r="A2538" s="20" t="s">
        <v>213</v>
      </c>
      <c r="B2538" s="47" t="s">
        <v>219</v>
      </c>
      <c r="C2538" s="47"/>
      <c r="D2538" s="46" t="s">
        <v>31</v>
      </c>
      <c r="E2538" s="32">
        <v>19.0</v>
      </c>
      <c r="F2538" s="18">
        <f>E2538* 0.820689655172414</f>
        <v>15.59310345</v>
      </c>
      <c r="G2538" s="18">
        <f>E2538* 0.16551724137931</f>
        <v>3.144827586</v>
      </c>
      <c r="H2538" s="18">
        <f>E2538* 0.0137931034482759</f>
        <v>0.2620689655</v>
      </c>
    </row>
    <row r="2539" ht="15.75" hidden="1" customHeight="1">
      <c r="A2539" s="20" t="s">
        <v>213</v>
      </c>
      <c r="B2539" s="47" t="s">
        <v>219</v>
      </c>
      <c r="C2539" s="47"/>
      <c r="D2539" s="46" t="s">
        <v>18</v>
      </c>
      <c r="E2539" s="32">
        <v>105.0</v>
      </c>
      <c r="F2539" s="18">
        <f>E2539* 0.912233009708738</f>
        <v>95.78446602</v>
      </c>
      <c r="G2539" s="18">
        <f>E2539* 0.0811650485436893</f>
        <v>8.522330097</v>
      </c>
      <c r="H2539" s="18">
        <f>E2539* 0.00660194174757282</f>
        <v>0.6932038835</v>
      </c>
    </row>
    <row r="2540" ht="15.75" hidden="1" customHeight="1">
      <c r="A2540" s="20" t="s">
        <v>213</v>
      </c>
      <c r="B2540" s="47" t="s">
        <v>219</v>
      </c>
      <c r="C2540" s="47"/>
      <c r="D2540" s="46" t="s">
        <v>19</v>
      </c>
      <c r="E2540" s="32">
        <v>20.0</v>
      </c>
      <c r="F2540" s="18">
        <f>E2540* 0.0264765784114053</f>
        <v>0.5295315682</v>
      </c>
      <c r="G2540" s="18">
        <f>E2540* 0.970807875084861</f>
        <v>19.4161575</v>
      </c>
      <c r="H2540" s="18">
        <f>E2540* 0.00271554650373388</f>
        <v>0.05431093007</v>
      </c>
    </row>
    <row r="2541" ht="15.75" hidden="1" customHeight="1">
      <c r="A2541" s="20" t="s">
        <v>213</v>
      </c>
      <c r="B2541" s="47" t="s">
        <v>219</v>
      </c>
      <c r="C2541" s="47"/>
      <c r="D2541" s="46" t="s">
        <v>20</v>
      </c>
      <c r="E2541" s="32">
        <v>185.0</v>
      </c>
      <c r="F2541" s="18">
        <f>E2541* 0.657913931436907</f>
        <v>121.7140773</v>
      </c>
      <c r="G2541" s="18">
        <f>E2541* 0.284463894967177</f>
        <v>52.62582057</v>
      </c>
      <c r="H2541" s="18">
        <f>E2541* 0.0576221735959154</f>
        <v>10.66010212</v>
      </c>
    </row>
    <row r="2542" ht="15.75" hidden="1" customHeight="1">
      <c r="A2542" s="20" t="s">
        <v>213</v>
      </c>
      <c r="B2542" s="47" t="s">
        <v>219</v>
      </c>
      <c r="C2542" s="47"/>
      <c r="D2542" s="46" t="s">
        <v>21</v>
      </c>
      <c r="E2542" s="32">
        <v>6219.0</v>
      </c>
      <c r="F2542" s="18">
        <f>E2542* 0.999266575396049</f>
        <v>6214.438832</v>
      </c>
      <c r="G2542" s="18">
        <f>E2542* 0.0000488949735967143</f>
        <v>0.3040778408</v>
      </c>
      <c r="H2542" s="18">
        <f>E2542* 0.000684529630354</f>
        <v>4.257089771</v>
      </c>
    </row>
    <row r="2543" ht="15.75" hidden="1" customHeight="1">
      <c r="A2543" s="20" t="s">
        <v>213</v>
      </c>
      <c r="B2543" s="47" t="s">
        <v>219</v>
      </c>
      <c r="C2543" s="47"/>
      <c r="D2543" s="46" t="s">
        <v>36</v>
      </c>
      <c r="E2543" s="32">
        <v>33.0</v>
      </c>
      <c r="F2543" s="18">
        <f>E2543* 0.973154362416107</f>
        <v>32.11409396</v>
      </c>
      <c r="G2543" s="20">
        <v>0.0</v>
      </c>
      <c r="H2543" s="18">
        <f>E2543* 0.0268456375838926</f>
        <v>0.8859060403</v>
      </c>
    </row>
    <row r="2544" ht="15.75" hidden="1" customHeight="1">
      <c r="A2544" s="20" t="s">
        <v>213</v>
      </c>
      <c r="B2544" s="47" t="s">
        <v>219</v>
      </c>
      <c r="C2544" s="47"/>
      <c r="D2544" s="46" t="s">
        <v>28</v>
      </c>
      <c r="E2544" s="32">
        <v>197.0</v>
      </c>
      <c r="F2544" s="18">
        <f>E2544* 0.00128865979381443</f>
        <v>0.2538659794</v>
      </c>
      <c r="G2544" s="18">
        <f>E2544* 0.998711340206186</f>
        <v>196.746134</v>
      </c>
      <c r="H2544" s="20">
        <v>0.0</v>
      </c>
    </row>
    <row r="2545" ht="15.75" hidden="1" customHeight="1">
      <c r="A2545" s="20" t="s">
        <v>213</v>
      </c>
      <c r="B2545" s="47" t="s">
        <v>219</v>
      </c>
      <c r="C2545" s="47"/>
      <c r="D2545" s="46" t="s">
        <v>84</v>
      </c>
      <c r="E2545" s="32">
        <v>1.0</v>
      </c>
      <c r="F2545" s="20">
        <v>0.0</v>
      </c>
      <c r="G2545" s="24">
        <f>E2545</f>
        <v>1</v>
      </c>
      <c r="H2545" s="20">
        <v>0.0</v>
      </c>
    </row>
    <row r="2546" ht="15.75" hidden="1" customHeight="1">
      <c r="A2546" s="20" t="s">
        <v>213</v>
      </c>
      <c r="B2546" s="47" t="s">
        <v>219</v>
      </c>
      <c r="C2546" s="47"/>
      <c r="D2546" s="46" t="s">
        <v>12</v>
      </c>
      <c r="E2546" s="32">
        <v>1427.0</v>
      </c>
      <c r="F2546" s="18">
        <f>E2546* 0.858755020080321</f>
        <v>1225.443414</v>
      </c>
      <c r="G2546" s="18">
        <f>E2546* 0.104016064257028</f>
        <v>148.4309237</v>
      </c>
      <c r="H2546" s="18">
        <f>E2546* 0.0372289156626506</f>
        <v>53.12566265</v>
      </c>
    </row>
    <row r="2547" ht="15.75" hidden="1" customHeight="1">
      <c r="A2547" s="20" t="s">
        <v>213</v>
      </c>
      <c r="B2547" s="20"/>
      <c r="C2547" s="20"/>
      <c r="D2547" s="46"/>
      <c r="E2547" s="35"/>
    </row>
    <row r="2548" ht="15.75" hidden="1" customHeight="1">
      <c r="A2548" s="20" t="s">
        <v>213</v>
      </c>
      <c r="B2548" s="47" t="s">
        <v>213</v>
      </c>
      <c r="C2548" s="12" t="str">
        <f>B2548&amp;"_"&amp;A2548</f>
        <v>Tarija_Tarija</v>
      </c>
      <c r="D2548" s="20"/>
      <c r="E2548" s="45">
        <v>86244.0</v>
      </c>
      <c r="F2548" s="14">
        <f t="shared" ref="F2548:H2548" si="219">SUM(F2549:F2562)</f>
        <v>73159.95731</v>
      </c>
      <c r="G2548" s="14">
        <f t="shared" si="219"/>
        <v>11426.97786</v>
      </c>
      <c r="H2548" s="14">
        <f t="shared" si="219"/>
        <v>1651.693296</v>
      </c>
    </row>
    <row r="2549" ht="15.75" hidden="1" customHeight="1">
      <c r="A2549" s="20" t="s">
        <v>213</v>
      </c>
      <c r="B2549" s="47" t="s">
        <v>213</v>
      </c>
      <c r="C2549" s="47"/>
      <c r="D2549" s="35" t="s">
        <v>589</v>
      </c>
      <c r="E2549" s="32">
        <v>37.0</v>
      </c>
      <c r="F2549" s="20">
        <v>0.0</v>
      </c>
      <c r="G2549" s="24">
        <f>E2549</f>
        <v>37</v>
      </c>
      <c r="H2549" s="20">
        <v>0.0</v>
      </c>
    </row>
    <row r="2550" ht="15.75" hidden="1" customHeight="1">
      <c r="A2550" s="20" t="s">
        <v>213</v>
      </c>
      <c r="B2550" s="47" t="s">
        <v>213</v>
      </c>
      <c r="C2550" s="47"/>
      <c r="D2550" s="46" t="s">
        <v>15</v>
      </c>
      <c r="E2550" s="32">
        <v>15720.0</v>
      </c>
      <c r="F2550" s="18">
        <f>E2550* 0.957552016439764</f>
        <v>15052.7177</v>
      </c>
      <c r="G2550" s="18">
        <f>E2550* 0.0158618032365785</f>
        <v>249.3475469</v>
      </c>
      <c r="H2550" s="18">
        <f>E2550* 0.0265861803236578</f>
        <v>417.9347547</v>
      </c>
    </row>
    <row r="2551" ht="15.75" hidden="1" customHeight="1">
      <c r="A2551" s="20" t="s">
        <v>213</v>
      </c>
      <c r="B2551" s="47" t="s">
        <v>213</v>
      </c>
      <c r="C2551" s="47"/>
      <c r="D2551" s="35" t="s">
        <v>590</v>
      </c>
      <c r="E2551" s="32">
        <v>374.0</v>
      </c>
      <c r="F2551" s="18">
        <f>E2551* 0.0288065843621399</f>
        <v>10.77366255</v>
      </c>
      <c r="G2551" s="18">
        <f>E2551* 0.967078189300412</f>
        <v>361.6872428</v>
      </c>
      <c r="H2551" s="18">
        <f>E2551* 0.00411522633744856</f>
        <v>1.53909465</v>
      </c>
    </row>
    <row r="2552" ht="15.75" hidden="1" customHeight="1">
      <c r="A2552" s="20" t="s">
        <v>213</v>
      </c>
      <c r="B2552" s="47" t="s">
        <v>213</v>
      </c>
      <c r="C2552" s="47"/>
      <c r="D2552" s="46" t="s">
        <v>11</v>
      </c>
      <c r="E2552" s="32">
        <v>5517.0</v>
      </c>
      <c r="F2552" s="18">
        <f>E2552* 0.069996216420734</f>
        <v>386.169126</v>
      </c>
      <c r="G2552" s="18">
        <f>E2552* 0.928364232564006</f>
        <v>5121.785471</v>
      </c>
      <c r="H2552" s="18">
        <f>E2552* 0.00113507377979569</f>
        <v>6.262202043</v>
      </c>
    </row>
    <row r="2553" ht="15.75" hidden="1" customHeight="1">
      <c r="A2553" s="20" t="s">
        <v>213</v>
      </c>
      <c r="B2553" s="47" t="s">
        <v>213</v>
      </c>
      <c r="C2553" s="47"/>
      <c r="D2553" s="46" t="s">
        <v>17</v>
      </c>
      <c r="E2553" s="32">
        <v>9884.0</v>
      </c>
      <c r="F2553" s="18">
        <f>E2553* 0.797049581005587</f>
        <v>7878.038059</v>
      </c>
      <c r="G2553" s="18">
        <f>E2553* 0.161662011173184</f>
        <v>1597.867318</v>
      </c>
      <c r="H2553" s="18">
        <f>E2553* 0.0410265363128492</f>
        <v>405.5062849</v>
      </c>
    </row>
    <row r="2554" ht="15.75" hidden="1" customHeight="1">
      <c r="A2554" s="20" t="s">
        <v>213</v>
      </c>
      <c r="B2554" s="47" t="s">
        <v>213</v>
      </c>
      <c r="C2554" s="47"/>
      <c r="D2554" s="46" t="s">
        <v>31</v>
      </c>
      <c r="E2554" s="32">
        <v>230.0</v>
      </c>
      <c r="F2554" s="18">
        <f>E2554* 0.820689655172414</f>
        <v>188.7586207</v>
      </c>
      <c r="G2554" s="18">
        <f>E2554* 0.16551724137931</f>
        <v>38.06896552</v>
      </c>
      <c r="H2554" s="18">
        <f>E2554* 0.0137931034482759</f>
        <v>3.172413793</v>
      </c>
    </row>
    <row r="2555" ht="15.75" hidden="1" customHeight="1">
      <c r="A2555" s="20" t="s">
        <v>213</v>
      </c>
      <c r="B2555" s="47" t="s">
        <v>213</v>
      </c>
      <c r="C2555" s="47"/>
      <c r="D2555" s="46" t="s">
        <v>18</v>
      </c>
      <c r="E2555" s="32">
        <v>1997.0</v>
      </c>
      <c r="F2555" s="18">
        <f>E2555* 0.912233009708738</f>
        <v>1821.72932</v>
      </c>
      <c r="G2555" s="18">
        <f>E2555* 0.0811650485436893</f>
        <v>162.0866019</v>
      </c>
      <c r="H2555" s="18">
        <f>E2555* 0.00660194174757282</f>
        <v>13.18407767</v>
      </c>
    </row>
    <row r="2556" ht="15.75" hidden="1" customHeight="1">
      <c r="A2556" s="20" t="s">
        <v>213</v>
      </c>
      <c r="B2556" s="47" t="s">
        <v>213</v>
      </c>
      <c r="C2556" s="47"/>
      <c r="D2556" s="46" t="s">
        <v>19</v>
      </c>
      <c r="E2556" s="32">
        <v>867.0</v>
      </c>
      <c r="F2556" s="18">
        <f>E2556* 0.0264765784114053</f>
        <v>22.95519348</v>
      </c>
      <c r="G2556" s="18">
        <f>E2556* 0.970807875084861</f>
        <v>841.6904277</v>
      </c>
      <c r="H2556" s="18">
        <f>E2556* 0.00271554650373388</f>
        <v>2.354378819</v>
      </c>
    </row>
    <row r="2557" ht="15.75" hidden="1" customHeight="1">
      <c r="A2557" s="20" t="s">
        <v>213</v>
      </c>
      <c r="B2557" s="47" t="s">
        <v>213</v>
      </c>
      <c r="C2557" s="47"/>
      <c r="D2557" s="46" t="s">
        <v>20</v>
      </c>
      <c r="E2557" s="32">
        <v>1033.0</v>
      </c>
      <c r="F2557" s="18">
        <f>E2557* 0.657913931436907</f>
        <v>679.6250912</v>
      </c>
      <c r="G2557" s="18">
        <f>E2557* 0.284463894967177</f>
        <v>293.8512035</v>
      </c>
      <c r="H2557" s="18">
        <f>E2557* 0.0576221735959154</f>
        <v>59.52370532</v>
      </c>
    </row>
    <row r="2558" ht="15.75" hidden="1" customHeight="1">
      <c r="A2558" s="20" t="s">
        <v>213</v>
      </c>
      <c r="B2558" s="47" t="s">
        <v>213</v>
      </c>
      <c r="C2558" s="47"/>
      <c r="D2558" s="46" t="s">
        <v>21</v>
      </c>
      <c r="E2558" s="32">
        <v>30455.0</v>
      </c>
      <c r="F2558" s="18">
        <f>E2558* 0.999266575396049</f>
        <v>30432.66355</v>
      </c>
      <c r="G2558" s="18">
        <f>E2558* 0.0000488949735967143</f>
        <v>1.489096421</v>
      </c>
      <c r="H2558" s="18">
        <f>E2558* 0.000684529630354</f>
        <v>20.84734989</v>
      </c>
    </row>
    <row r="2559" ht="15.75" hidden="1" customHeight="1">
      <c r="A2559" s="20" t="s">
        <v>213</v>
      </c>
      <c r="B2559" s="47" t="s">
        <v>213</v>
      </c>
      <c r="C2559" s="47"/>
      <c r="D2559" s="46" t="s">
        <v>36</v>
      </c>
      <c r="E2559" s="32">
        <v>127.0</v>
      </c>
      <c r="F2559" s="18">
        <f>E2559* 0.973154362416107</f>
        <v>123.590604</v>
      </c>
      <c r="G2559" s="20">
        <v>0.0</v>
      </c>
      <c r="H2559" s="18">
        <f>E2559* 0.0268456375838926</f>
        <v>3.409395973</v>
      </c>
    </row>
    <row r="2560" ht="15.75" hidden="1" customHeight="1">
      <c r="A2560" s="20" t="s">
        <v>213</v>
      </c>
      <c r="B2560" s="47" t="s">
        <v>213</v>
      </c>
      <c r="C2560" s="47"/>
      <c r="D2560" s="46" t="s">
        <v>37</v>
      </c>
      <c r="E2560" s="32">
        <v>16.0</v>
      </c>
      <c r="F2560" s="18">
        <f>E2560* 0.0588235294117647</f>
        <v>0.9411764706</v>
      </c>
      <c r="G2560" s="18">
        <f>E2560* 0.941176470588235</f>
        <v>15.05882353</v>
      </c>
      <c r="H2560" s="20">
        <v>0.0</v>
      </c>
    </row>
    <row r="2561" ht="15.75" hidden="1" customHeight="1">
      <c r="A2561" s="20" t="s">
        <v>213</v>
      </c>
      <c r="B2561" s="47" t="s">
        <v>213</v>
      </c>
      <c r="C2561" s="47"/>
      <c r="D2561" s="46" t="s">
        <v>28</v>
      </c>
      <c r="E2561" s="32">
        <v>702.0</v>
      </c>
      <c r="F2561" s="18">
        <f>E2561* 0.00128865979381443</f>
        <v>0.9046391753</v>
      </c>
      <c r="G2561" s="18">
        <f>E2561* 0.998711340206186</f>
        <v>701.0953608</v>
      </c>
      <c r="H2561" s="20">
        <v>0.0</v>
      </c>
    </row>
    <row r="2562" ht="15.75" hidden="1" customHeight="1">
      <c r="A2562" s="20" t="s">
        <v>213</v>
      </c>
      <c r="B2562" s="47" t="s">
        <v>213</v>
      </c>
      <c r="C2562" s="47"/>
      <c r="D2562" s="46" t="s">
        <v>12</v>
      </c>
      <c r="E2562" s="32">
        <v>19285.0</v>
      </c>
      <c r="F2562" s="18">
        <f>E2562* 0.858755020080321</f>
        <v>16561.09056</v>
      </c>
      <c r="G2562" s="18">
        <f>E2562* 0.104016064257028</f>
        <v>2005.949799</v>
      </c>
      <c r="H2562" s="18">
        <f>E2562* 0.0372289156626506</f>
        <v>717.9596386</v>
      </c>
    </row>
    <row r="2563" ht="15.75" hidden="1" customHeight="1">
      <c r="A2563" s="20" t="s">
        <v>213</v>
      </c>
      <c r="B2563" s="20"/>
      <c r="C2563" s="20"/>
      <c r="D2563" s="46"/>
      <c r="E2563" s="35"/>
    </row>
    <row r="2564" ht="15.75" hidden="1" customHeight="1">
      <c r="A2564" s="20" t="s">
        <v>213</v>
      </c>
      <c r="B2564" s="47" t="s">
        <v>220</v>
      </c>
      <c r="C2564" s="12" t="str">
        <f>B2564&amp;"_"&amp;A2564</f>
        <v>Uriondo (Concepción)_Tarija</v>
      </c>
      <c r="D2564" s="20"/>
      <c r="E2564" s="45">
        <v>12924.0</v>
      </c>
      <c r="F2564" s="14">
        <f t="shared" ref="F2564:H2564" si="220">SUM(F2565:F2579)</f>
        <v>11024.09519</v>
      </c>
      <c r="G2564" s="14">
        <f t="shared" si="220"/>
        <v>1716.206575</v>
      </c>
      <c r="H2564" s="14">
        <f t="shared" si="220"/>
        <v>182.9345763</v>
      </c>
    </row>
    <row r="2565" ht="15.75" hidden="1" customHeight="1">
      <c r="A2565" s="20" t="s">
        <v>213</v>
      </c>
      <c r="B2565" s="47" t="s">
        <v>220</v>
      </c>
      <c r="C2565" s="47"/>
      <c r="D2565" s="35" t="s">
        <v>591</v>
      </c>
      <c r="E2565" s="32">
        <v>6.0</v>
      </c>
      <c r="F2565" s="20">
        <v>0.0</v>
      </c>
      <c r="G2565" s="24">
        <f>E2565</f>
        <v>6</v>
      </c>
      <c r="H2565" s="20">
        <v>0.0</v>
      </c>
    </row>
    <row r="2566" ht="15.75" hidden="1" customHeight="1">
      <c r="A2566" s="20" t="s">
        <v>213</v>
      </c>
      <c r="B2566" s="47" t="s">
        <v>220</v>
      </c>
      <c r="C2566" s="47"/>
      <c r="D2566" s="46" t="s">
        <v>15</v>
      </c>
      <c r="E2566" s="32">
        <v>1274.0</v>
      </c>
      <c r="F2566" s="18">
        <f>E2566* 0.957552016439764</f>
        <v>1219.921269</v>
      </c>
      <c r="G2566" s="18">
        <f>E2566* 0.0158618032365785</f>
        <v>20.20793732</v>
      </c>
      <c r="H2566" s="18">
        <f>E2566* 0.0265861803236578</f>
        <v>33.87079373</v>
      </c>
    </row>
    <row r="2567" ht="15.75" hidden="1" customHeight="1">
      <c r="A2567" s="20" t="s">
        <v>213</v>
      </c>
      <c r="B2567" s="47" t="s">
        <v>220</v>
      </c>
      <c r="C2567" s="47"/>
      <c r="D2567" s="35" t="s">
        <v>592</v>
      </c>
      <c r="E2567" s="32">
        <v>87.0</v>
      </c>
      <c r="F2567" s="18">
        <f>E2567* 0.0288065843621399</f>
        <v>2.50617284</v>
      </c>
      <c r="G2567" s="18">
        <f>E2567* 0.967078189300412</f>
        <v>84.13580247</v>
      </c>
      <c r="H2567" s="18">
        <f>E2567* 0.00411522633744856</f>
        <v>0.3580246914</v>
      </c>
    </row>
    <row r="2568" ht="15.75" hidden="1" customHeight="1">
      <c r="A2568" s="20" t="s">
        <v>213</v>
      </c>
      <c r="B2568" s="47" t="s">
        <v>220</v>
      </c>
      <c r="C2568" s="47"/>
      <c r="D2568" s="46" t="s">
        <v>11</v>
      </c>
      <c r="E2568" s="32">
        <v>922.0</v>
      </c>
      <c r="F2568" s="18">
        <f>E2568* 0.069996216420734</f>
        <v>64.53651154</v>
      </c>
      <c r="G2568" s="18">
        <f>E2568* 0.928364232564006</f>
        <v>855.9518224</v>
      </c>
      <c r="H2568" s="18">
        <f>E2568* 0.00113507377979569</f>
        <v>1.046538025</v>
      </c>
    </row>
    <row r="2569" ht="15.75" hidden="1" customHeight="1">
      <c r="A2569" s="20" t="s">
        <v>213</v>
      </c>
      <c r="B2569" s="47" t="s">
        <v>220</v>
      </c>
      <c r="C2569" s="47"/>
      <c r="D2569" s="46" t="s">
        <v>17</v>
      </c>
      <c r="E2569" s="32">
        <v>1140.0</v>
      </c>
      <c r="F2569" s="18">
        <f>E2569* 0.797049581005587</f>
        <v>908.6365223</v>
      </c>
      <c r="G2569" s="18">
        <f>E2569* 0.161662011173184</f>
        <v>184.2946927</v>
      </c>
      <c r="H2569" s="18">
        <f>E2569* 0.0410265363128492</f>
        <v>46.7702514</v>
      </c>
    </row>
    <row r="2570" ht="15.75" hidden="1" customHeight="1">
      <c r="A2570" s="20" t="s">
        <v>213</v>
      </c>
      <c r="B2570" s="47" t="s">
        <v>220</v>
      </c>
      <c r="C2570" s="47"/>
      <c r="D2570" s="46" t="s">
        <v>31</v>
      </c>
      <c r="E2570" s="32">
        <v>35.0</v>
      </c>
      <c r="F2570" s="18">
        <f>E2570* 0.820689655172414</f>
        <v>28.72413793</v>
      </c>
      <c r="G2570" s="18">
        <f>E2570* 0.16551724137931</f>
        <v>5.793103448</v>
      </c>
      <c r="H2570" s="18">
        <f>E2570* 0.0137931034482759</f>
        <v>0.4827586207</v>
      </c>
    </row>
    <row r="2571" ht="15.75" hidden="1" customHeight="1">
      <c r="A2571" s="20" t="s">
        <v>213</v>
      </c>
      <c r="B2571" s="47" t="s">
        <v>220</v>
      </c>
      <c r="C2571" s="47"/>
      <c r="D2571" s="46" t="s">
        <v>18</v>
      </c>
      <c r="E2571" s="32">
        <v>171.0</v>
      </c>
      <c r="F2571" s="18">
        <f>E2571* 0.912233009708738</f>
        <v>155.9918447</v>
      </c>
      <c r="G2571" s="18">
        <f>E2571* 0.0811650485436893</f>
        <v>13.8792233</v>
      </c>
      <c r="H2571" s="18">
        <f>E2571* 0.00660194174757282</f>
        <v>1.128932039</v>
      </c>
    </row>
    <row r="2572" ht="15.75" hidden="1" customHeight="1">
      <c r="A2572" s="20" t="s">
        <v>213</v>
      </c>
      <c r="B2572" s="47" t="s">
        <v>220</v>
      </c>
      <c r="C2572" s="47"/>
      <c r="D2572" s="46" t="s">
        <v>19</v>
      </c>
      <c r="E2572" s="32">
        <v>52.0</v>
      </c>
      <c r="F2572" s="18">
        <f>E2572* 0.0264765784114053</f>
        <v>1.376782077</v>
      </c>
      <c r="G2572" s="18">
        <f>E2572* 0.970807875084861</f>
        <v>50.4820095</v>
      </c>
      <c r="H2572" s="18">
        <f>E2572* 0.00271554650373388</f>
        <v>0.1412084182</v>
      </c>
    </row>
    <row r="2573" ht="15.75" hidden="1" customHeight="1">
      <c r="A2573" s="20" t="s">
        <v>213</v>
      </c>
      <c r="B2573" s="47" t="s">
        <v>220</v>
      </c>
      <c r="C2573" s="47"/>
      <c r="D2573" s="46" t="s">
        <v>20</v>
      </c>
      <c r="E2573" s="32">
        <v>214.0</v>
      </c>
      <c r="F2573" s="18">
        <f>E2573* 0.657913931436907</f>
        <v>140.7935813</v>
      </c>
      <c r="G2573" s="18">
        <f>E2573* 0.284463894967177</f>
        <v>60.87527352</v>
      </c>
      <c r="H2573" s="18">
        <f>E2573* 0.0576221735959154</f>
        <v>12.33114515</v>
      </c>
    </row>
    <row r="2574" ht="15.75" hidden="1" customHeight="1">
      <c r="A2574" s="20" t="s">
        <v>213</v>
      </c>
      <c r="B2574" s="47" t="s">
        <v>220</v>
      </c>
      <c r="C2574" s="47"/>
      <c r="D2574" s="46" t="s">
        <v>21</v>
      </c>
      <c r="E2574" s="32">
        <v>6597.0</v>
      </c>
      <c r="F2574" s="18">
        <f>E2574* 0.999266575396049</f>
        <v>6592.161598</v>
      </c>
      <c r="G2574" s="18">
        <f>E2574* 0.0000488949735967143</f>
        <v>0.3225601408</v>
      </c>
      <c r="H2574" s="18">
        <f>E2574* 0.000684529630354</f>
        <v>4.515841971</v>
      </c>
    </row>
    <row r="2575" ht="15.75" hidden="1" customHeight="1">
      <c r="A2575" s="20" t="s">
        <v>213</v>
      </c>
      <c r="B2575" s="47" t="s">
        <v>220</v>
      </c>
      <c r="C2575" s="47"/>
      <c r="D2575" s="46" t="s">
        <v>36</v>
      </c>
      <c r="E2575" s="32">
        <v>31.0</v>
      </c>
      <c r="F2575" s="18">
        <f>E2575* 0.973154362416107</f>
        <v>30.16778523</v>
      </c>
      <c r="G2575" s="20">
        <v>0.0</v>
      </c>
      <c r="H2575" s="18">
        <f>E2575* 0.0268456375838926</f>
        <v>0.8322147651</v>
      </c>
    </row>
    <row r="2576" ht="15.75" hidden="1" customHeight="1">
      <c r="A2576" s="20" t="s">
        <v>213</v>
      </c>
      <c r="B2576" s="47" t="s">
        <v>220</v>
      </c>
      <c r="C2576" s="47"/>
      <c r="D2576" s="46" t="s">
        <v>37</v>
      </c>
      <c r="E2576" s="32">
        <v>1.0</v>
      </c>
      <c r="F2576" s="18">
        <f>E2576* 0.0588235294117647</f>
        <v>0.05882352941</v>
      </c>
      <c r="G2576" s="18">
        <f>E2576* 0.941176470588235</f>
        <v>0.9411764706</v>
      </c>
      <c r="H2576" s="20">
        <v>0.0</v>
      </c>
    </row>
    <row r="2577" ht="15.75" hidden="1" customHeight="1">
      <c r="A2577" s="20" t="s">
        <v>213</v>
      </c>
      <c r="B2577" s="47" t="s">
        <v>220</v>
      </c>
      <c r="C2577" s="47"/>
      <c r="D2577" s="46" t="s">
        <v>28</v>
      </c>
      <c r="E2577" s="32">
        <v>205.0</v>
      </c>
      <c r="F2577" s="18">
        <f>E2577* 0.00128865979381443</f>
        <v>0.2641752577</v>
      </c>
      <c r="G2577" s="18">
        <f>E2577* 0.998711340206186</f>
        <v>204.7358247</v>
      </c>
      <c r="H2577" s="20">
        <v>0.0</v>
      </c>
    </row>
    <row r="2578" ht="15.75" hidden="1" customHeight="1">
      <c r="A2578" s="20" t="s">
        <v>213</v>
      </c>
      <c r="B2578" s="47" t="s">
        <v>220</v>
      </c>
      <c r="C2578" s="47"/>
      <c r="D2578" s="46" t="s">
        <v>84</v>
      </c>
      <c r="E2578" s="32">
        <v>1.0</v>
      </c>
      <c r="F2578" s="20">
        <v>0.0</v>
      </c>
      <c r="G2578" s="24">
        <f>E2578</f>
        <v>1</v>
      </c>
      <c r="H2578" s="20">
        <v>0.0</v>
      </c>
    </row>
    <row r="2579" ht="15.75" hidden="1" customHeight="1">
      <c r="A2579" s="20" t="s">
        <v>213</v>
      </c>
      <c r="B2579" s="47" t="s">
        <v>220</v>
      </c>
      <c r="C2579" s="47"/>
      <c r="D2579" s="46" t="s">
        <v>12</v>
      </c>
      <c r="E2579" s="32">
        <v>2188.0</v>
      </c>
      <c r="F2579" s="18">
        <f>E2579* 0.858755020080321</f>
        <v>1878.955984</v>
      </c>
      <c r="G2579" s="18">
        <f>E2579* 0.104016064257028</f>
        <v>227.5871486</v>
      </c>
      <c r="H2579" s="18">
        <f>E2579* 0.0372289156626506</f>
        <v>81.45686747</v>
      </c>
    </row>
    <row r="2580" ht="15.75" hidden="1" customHeight="1">
      <c r="A2580" s="20" t="s">
        <v>213</v>
      </c>
      <c r="B2580" s="20"/>
      <c r="C2580" s="20"/>
      <c r="D2580" s="46"/>
      <c r="E2580" s="35"/>
    </row>
    <row r="2581" ht="15.75" hidden="1" customHeight="1">
      <c r="A2581" s="20" t="s">
        <v>213</v>
      </c>
      <c r="B2581" s="47" t="s">
        <v>221</v>
      </c>
      <c r="C2581" s="12" t="str">
        <f>B2581&amp;"_"&amp;A2581</f>
        <v>Villamontes_Tarija</v>
      </c>
      <c r="D2581" s="20"/>
      <c r="E2581" s="45">
        <v>8252.0</v>
      </c>
      <c r="F2581" s="14">
        <f t="shared" ref="F2581:H2581" si="221">SUM(F2582:F2595)</f>
        <v>7107.219389</v>
      </c>
      <c r="G2581" s="14">
        <f t="shared" si="221"/>
        <v>994.1952264</v>
      </c>
      <c r="H2581" s="14">
        <f t="shared" si="221"/>
        <v>150.1278926</v>
      </c>
    </row>
    <row r="2582" ht="15.75" hidden="1" customHeight="1">
      <c r="A2582" s="20" t="s">
        <v>213</v>
      </c>
      <c r="B2582" s="47" t="s">
        <v>221</v>
      </c>
      <c r="C2582" s="47"/>
      <c r="D2582" s="35" t="s">
        <v>593</v>
      </c>
      <c r="E2582" s="32">
        <v>9.0</v>
      </c>
      <c r="F2582" s="20">
        <v>0.0</v>
      </c>
      <c r="G2582" s="24">
        <f>E2582</f>
        <v>9</v>
      </c>
      <c r="H2582" s="20">
        <v>0.0</v>
      </c>
    </row>
    <row r="2583" ht="15.75" hidden="1" customHeight="1">
      <c r="A2583" s="20" t="s">
        <v>213</v>
      </c>
      <c r="B2583" s="47" t="s">
        <v>221</v>
      </c>
      <c r="C2583" s="47"/>
      <c r="D2583" s="46" t="s">
        <v>15</v>
      </c>
      <c r="E2583" s="32">
        <v>770.0</v>
      </c>
      <c r="F2583" s="18">
        <f>E2583* 0.957552016439764</f>
        <v>737.3150527</v>
      </c>
      <c r="G2583" s="18">
        <f>E2583* 0.0158618032365785</f>
        <v>12.21358849</v>
      </c>
      <c r="H2583" s="18">
        <f>E2583* 0.0265861803236578</f>
        <v>20.47135885</v>
      </c>
    </row>
    <row r="2584" ht="15.75" hidden="1" customHeight="1">
      <c r="A2584" s="20" t="s">
        <v>213</v>
      </c>
      <c r="B2584" s="47" t="s">
        <v>221</v>
      </c>
      <c r="C2584" s="47"/>
      <c r="D2584" s="35" t="s">
        <v>594</v>
      </c>
      <c r="E2584" s="32">
        <v>24.0</v>
      </c>
      <c r="F2584" s="18">
        <f>E2584* 0.0288065843621399</f>
        <v>0.6913580247</v>
      </c>
      <c r="G2584" s="18">
        <f>E2584* 0.967078189300412</f>
        <v>23.20987654</v>
      </c>
      <c r="H2584" s="18">
        <f>E2584* 0.00411522633744856</f>
        <v>0.0987654321</v>
      </c>
    </row>
    <row r="2585" ht="15.75" hidden="1" customHeight="1">
      <c r="A2585" s="20" t="s">
        <v>213</v>
      </c>
      <c r="B2585" s="47" t="s">
        <v>221</v>
      </c>
      <c r="C2585" s="47"/>
      <c r="D2585" s="46" t="s">
        <v>11</v>
      </c>
      <c r="E2585" s="32">
        <v>462.0</v>
      </c>
      <c r="F2585" s="18">
        <f>E2585* 0.069996216420734</f>
        <v>32.33825199</v>
      </c>
      <c r="G2585" s="18">
        <f>E2585* 0.928364232564006</f>
        <v>428.9042754</v>
      </c>
      <c r="H2585" s="18">
        <f>E2585* 0.00113507377979569</f>
        <v>0.5244040863</v>
      </c>
    </row>
    <row r="2586" ht="15.75" hidden="1" customHeight="1">
      <c r="A2586" s="20" t="s">
        <v>213</v>
      </c>
      <c r="B2586" s="47" t="s">
        <v>221</v>
      </c>
      <c r="C2586" s="47"/>
      <c r="D2586" s="46" t="s">
        <v>17</v>
      </c>
      <c r="E2586" s="32">
        <v>857.0</v>
      </c>
      <c r="F2586" s="18">
        <f>E2586* 0.797049581005587</f>
        <v>683.0714909</v>
      </c>
      <c r="G2586" s="18">
        <f>E2586* 0.161662011173184</f>
        <v>138.5443436</v>
      </c>
      <c r="H2586" s="18">
        <f>E2586* 0.0410265363128492</f>
        <v>35.15974162</v>
      </c>
    </row>
    <row r="2587" ht="15.75" hidden="1" customHeight="1">
      <c r="A2587" s="20" t="s">
        <v>213</v>
      </c>
      <c r="B2587" s="47" t="s">
        <v>221</v>
      </c>
      <c r="C2587" s="47"/>
      <c r="D2587" s="46" t="s">
        <v>31</v>
      </c>
      <c r="E2587" s="32">
        <v>15.0</v>
      </c>
      <c r="F2587" s="18">
        <f>E2587* 0.820689655172414</f>
        <v>12.31034483</v>
      </c>
      <c r="G2587" s="18">
        <f>E2587* 0.16551724137931</f>
        <v>2.482758621</v>
      </c>
      <c r="H2587" s="18">
        <f>E2587* 0.0137931034482759</f>
        <v>0.2068965517</v>
      </c>
    </row>
    <row r="2588" ht="15.75" hidden="1" customHeight="1">
      <c r="A2588" s="20" t="s">
        <v>213</v>
      </c>
      <c r="B2588" s="47" t="s">
        <v>221</v>
      </c>
      <c r="C2588" s="47"/>
      <c r="D2588" s="46" t="s">
        <v>18</v>
      </c>
      <c r="E2588" s="32">
        <v>203.0</v>
      </c>
      <c r="F2588" s="18">
        <f>E2588* 0.912233009708738</f>
        <v>185.183301</v>
      </c>
      <c r="G2588" s="18">
        <f>E2588* 0.0811650485436893</f>
        <v>16.47650485</v>
      </c>
      <c r="H2588" s="18">
        <f>E2588* 0.00660194174757282</f>
        <v>1.340194175</v>
      </c>
    </row>
    <row r="2589" ht="15.75" hidden="1" customHeight="1">
      <c r="A2589" s="20" t="s">
        <v>213</v>
      </c>
      <c r="B2589" s="47" t="s">
        <v>221</v>
      </c>
      <c r="C2589" s="47"/>
      <c r="D2589" s="46" t="s">
        <v>19</v>
      </c>
      <c r="E2589" s="32">
        <v>52.0</v>
      </c>
      <c r="F2589" s="18">
        <f>E2589* 0.0264765784114053</f>
        <v>1.376782077</v>
      </c>
      <c r="G2589" s="18">
        <f>E2589* 0.970807875084861</f>
        <v>50.4820095</v>
      </c>
      <c r="H2589" s="18">
        <f>E2589* 0.00271554650373388</f>
        <v>0.1412084182</v>
      </c>
    </row>
    <row r="2590" ht="15.75" hidden="1" customHeight="1">
      <c r="A2590" s="20" t="s">
        <v>213</v>
      </c>
      <c r="B2590" s="47" t="s">
        <v>221</v>
      </c>
      <c r="C2590" s="47"/>
      <c r="D2590" s="46" t="s">
        <v>20</v>
      </c>
      <c r="E2590" s="32">
        <v>198.0</v>
      </c>
      <c r="F2590" s="18">
        <f>E2590* 0.657913931436907</f>
        <v>130.2669584</v>
      </c>
      <c r="G2590" s="18">
        <f>E2590* 0.284463894967177</f>
        <v>56.3238512</v>
      </c>
      <c r="H2590" s="18">
        <f>E2590* 0.0576221735959154</f>
        <v>11.40919037</v>
      </c>
    </row>
    <row r="2591" ht="15.75" hidden="1" customHeight="1">
      <c r="A2591" s="20" t="s">
        <v>213</v>
      </c>
      <c r="B2591" s="47" t="s">
        <v>221</v>
      </c>
      <c r="C2591" s="47"/>
      <c r="D2591" s="46" t="s">
        <v>21</v>
      </c>
      <c r="E2591" s="32">
        <v>3517.0</v>
      </c>
      <c r="F2591" s="18">
        <f>E2591* 0.999266575396049</f>
        <v>3514.420546</v>
      </c>
      <c r="G2591" s="18">
        <f>E2591* 0.0000488949735967143</f>
        <v>0.1719636221</v>
      </c>
      <c r="H2591" s="18">
        <f>E2591* 0.000684529630354</f>
        <v>2.40749071</v>
      </c>
    </row>
    <row r="2592" ht="15.75" hidden="1" customHeight="1">
      <c r="A2592" s="20" t="s">
        <v>213</v>
      </c>
      <c r="B2592" s="47" t="s">
        <v>221</v>
      </c>
      <c r="C2592" s="47"/>
      <c r="D2592" s="46" t="s">
        <v>36</v>
      </c>
      <c r="E2592" s="32">
        <v>7.0</v>
      </c>
      <c r="F2592" s="18">
        <f>E2592* 0.973154362416107</f>
        <v>6.812080537</v>
      </c>
      <c r="G2592" s="20">
        <v>0.0</v>
      </c>
      <c r="H2592" s="18">
        <f>E2592* 0.0268456375838926</f>
        <v>0.1879194631</v>
      </c>
    </row>
    <row r="2593" ht="15.75" hidden="1" customHeight="1">
      <c r="A2593" s="20" t="s">
        <v>213</v>
      </c>
      <c r="B2593" s="47" t="s">
        <v>221</v>
      </c>
      <c r="C2593" s="47"/>
      <c r="D2593" s="46" t="s">
        <v>28</v>
      </c>
      <c r="E2593" s="32">
        <v>37.0</v>
      </c>
      <c r="F2593" s="18">
        <f>E2593* 0.00128865979381443</f>
        <v>0.04768041237</v>
      </c>
      <c r="G2593" s="18">
        <f>E2593* 0.998711340206186</f>
        <v>36.95231959</v>
      </c>
      <c r="H2593" s="20">
        <v>0.0</v>
      </c>
    </row>
    <row r="2594" ht="15.75" hidden="1" customHeight="1">
      <c r="A2594" s="20" t="s">
        <v>213</v>
      </c>
      <c r="B2594" s="47" t="s">
        <v>221</v>
      </c>
      <c r="C2594" s="47"/>
      <c r="D2594" s="46" t="s">
        <v>84</v>
      </c>
      <c r="E2594" s="32">
        <v>1.0</v>
      </c>
      <c r="F2594" s="20">
        <v>0.0</v>
      </c>
      <c r="G2594" s="24">
        <f>E2594</f>
        <v>1</v>
      </c>
      <c r="H2594" s="20">
        <v>0.0</v>
      </c>
    </row>
    <row r="2595" ht="15.75" hidden="1" customHeight="1">
      <c r="A2595" s="20" t="s">
        <v>213</v>
      </c>
      <c r="B2595" s="47" t="s">
        <v>221</v>
      </c>
      <c r="C2595" s="47"/>
      <c r="D2595" s="46" t="s">
        <v>12</v>
      </c>
      <c r="E2595" s="32">
        <v>2100.0</v>
      </c>
      <c r="F2595" s="18">
        <f>E2595* 0.858755020080321</f>
        <v>1803.385542</v>
      </c>
      <c r="G2595" s="18">
        <f>E2595* 0.104016064257028</f>
        <v>218.4337349</v>
      </c>
      <c r="H2595" s="18">
        <f>E2595* 0.0372289156626506</f>
        <v>78.18072289</v>
      </c>
    </row>
    <row r="2596" ht="15.75" hidden="1" customHeight="1">
      <c r="A2596" s="20" t="s">
        <v>213</v>
      </c>
      <c r="B2596" s="20"/>
      <c r="C2596" s="20"/>
      <c r="D2596" s="46"/>
      <c r="E2596" s="35"/>
    </row>
    <row r="2597" ht="15.75" hidden="1" customHeight="1">
      <c r="A2597" s="20" t="s">
        <v>213</v>
      </c>
      <c r="B2597" s="47" t="s">
        <v>222</v>
      </c>
      <c r="C2597" s="12" t="str">
        <f>B2597&amp;"_"&amp;A2597</f>
        <v>Yacuiba_Tarija</v>
      </c>
      <c r="D2597" s="20"/>
      <c r="E2597" s="45">
        <v>18762.0</v>
      </c>
      <c r="F2597" s="14">
        <f t="shared" ref="F2597:H2597" si="222">SUM(F2598:F2610)</f>
        <v>15715.27724</v>
      </c>
      <c r="G2597" s="14">
        <f t="shared" si="222"/>
        <v>2626.245366</v>
      </c>
      <c r="H2597" s="14">
        <f t="shared" si="222"/>
        <v>419.3825425</v>
      </c>
    </row>
    <row r="2598" ht="15.75" hidden="1" customHeight="1">
      <c r="A2598" s="20" t="s">
        <v>213</v>
      </c>
      <c r="B2598" s="47" t="s">
        <v>222</v>
      </c>
      <c r="C2598" s="47"/>
      <c r="D2598" s="35" t="s">
        <v>595</v>
      </c>
      <c r="E2598" s="32">
        <v>21.0</v>
      </c>
      <c r="F2598" s="20">
        <v>0.0</v>
      </c>
      <c r="G2598" s="24">
        <f>E2598</f>
        <v>21</v>
      </c>
      <c r="H2598" s="20">
        <v>0.0</v>
      </c>
    </row>
    <row r="2599" ht="15.75" hidden="1" customHeight="1">
      <c r="A2599" s="20" t="s">
        <v>213</v>
      </c>
      <c r="B2599" s="47" t="s">
        <v>222</v>
      </c>
      <c r="C2599" s="47"/>
      <c r="D2599" s="46" t="s">
        <v>15</v>
      </c>
      <c r="E2599" s="32">
        <v>2815.0</v>
      </c>
      <c r="F2599" s="18">
        <f>E2599* 0.957552016439764</f>
        <v>2695.508926</v>
      </c>
      <c r="G2599" s="18">
        <f>E2599* 0.0158618032365785</f>
        <v>44.65097611</v>
      </c>
      <c r="H2599" s="18">
        <f>E2599* 0.0265861803236578</f>
        <v>74.84009761</v>
      </c>
    </row>
    <row r="2600" ht="15.75" hidden="1" customHeight="1">
      <c r="A2600" s="20" t="s">
        <v>213</v>
      </c>
      <c r="B2600" s="47" t="s">
        <v>222</v>
      </c>
      <c r="C2600" s="47"/>
      <c r="D2600" s="35" t="s">
        <v>596</v>
      </c>
      <c r="E2600" s="32">
        <v>63.0</v>
      </c>
      <c r="F2600" s="18">
        <f>E2600* 0.0288065843621399</f>
        <v>1.814814815</v>
      </c>
      <c r="G2600" s="18">
        <f>E2600* 0.967078189300412</f>
        <v>60.92592593</v>
      </c>
      <c r="H2600" s="18">
        <f>E2600* 0.00411522633744856</f>
        <v>0.2592592593</v>
      </c>
    </row>
    <row r="2601" ht="15.75" hidden="1" customHeight="1">
      <c r="A2601" s="20" t="s">
        <v>213</v>
      </c>
      <c r="B2601" s="47" t="s">
        <v>222</v>
      </c>
      <c r="C2601" s="47"/>
      <c r="D2601" s="46" t="s">
        <v>11</v>
      </c>
      <c r="E2601" s="32">
        <v>1130.0</v>
      </c>
      <c r="F2601" s="18">
        <f>E2601* 0.069996216420734</f>
        <v>79.09572456</v>
      </c>
      <c r="G2601" s="18">
        <f>E2601* 0.928364232564006</f>
        <v>1049.051583</v>
      </c>
      <c r="H2601" s="18">
        <f>E2601* 0.00113507377979569</f>
        <v>1.282633371</v>
      </c>
    </row>
    <row r="2602" ht="15.75" hidden="1" customHeight="1">
      <c r="A2602" s="20" t="s">
        <v>213</v>
      </c>
      <c r="B2602" s="47" t="s">
        <v>222</v>
      </c>
      <c r="C2602" s="47"/>
      <c r="D2602" s="46" t="s">
        <v>17</v>
      </c>
      <c r="E2602" s="32">
        <v>2004.0</v>
      </c>
      <c r="F2602" s="18">
        <f>E2602* 0.797049581005587</f>
        <v>1597.28736</v>
      </c>
      <c r="G2602" s="18">
        <f>E2602* 0.161662011173184</f>
        <v>323.9706704</v>
      </c>
      <c r="H2602" s="18">
        <f>E2602* 0.0410265363128492</f>
        <v>82.21717877</v>
      </c>
    </row>
    <row r="2603" ht="15.75" hidden="1" customHeight="1">
      <c r="A2603" s="20" t="s">
        <v>213</v>
      </c>
      <c r="B2603" s="47" t="s">
        <v>222</v>
      </c>
      <c r="C2603" s="47"/>
      <c r="D2603" s="46" t="s">
        <v>31</v>
      </c>
      <c r="E2603" s="32">
        <v>39.0</v>
      </c>
      <c r="F2603" s="18">
        <f>E2603* 0.820689655172414</f>
        <v>32.00689655</v>
      </c>
      <c r="G2603" s="18">
        <f>E2603* 0.16551724137931</f>
        <v>6.455172414</v>
      </c>
      <c r="H2603" s="18">
        <f>E2603* 0.0137931034482759</f>
        <v>0.5379310345</v>
      </c>
    </row>
    <row r="2604" ht="15.75" hidden="1" customHeight="1">
      <c r="A2604" s="20" t="s">
        <v>213</v>
      </c>
      <c r="B2604" s="47" t="s">
        <v>222</v>
      </c>
      <c r="C2604" s="47"/>
      <c r="D2604" s="46" t="s">
        <v>18</v>
      </c>
      <c r="E2604" s="32">
        <v>352.0</v>
      </c>
      <c r="F2604" s="18">
        <f>E2604* 0.912233009708738</f>
        <v>321.1060194</v>
      </c>
      <c r="G2604" s="18">
        <f>E2604* 0.0811650485436893</f>
        <v>28.57009709</v>
      </c>
      <c r="H2604" s="18">
        <f>E2604* 0.00660194174757282</f>
        <v>2.323883495</v>
      </c>
    </row>
    <row r="2605" ht="15.75" hidden="1" customHeight="1">
      <c r="A2605" s="20" t="s">
        <v>213</v>
      </c>
      <c r="B2605" s="47" t="s">
        <v>222</v>
      </c>
      <c r="C2605" s="47"/>
      <c r="D2605" s="46" t="s">
        <v>19</v>
      </c>
      <c r="E2605" s="32">
        <v>233.0</v>
      </c>
      <c r="F2605" s="18">
        <f>E2605* 0.0264765784114053</f>
        <v>6.16904277</v>
      </c>
      <c r="G2605" s="18">
        <f>E2605* 0.970807875084861</f>
        <v>226.1982349</v>
      </c>
      <c r="H2605" s="18">
        <f>E2605* 0.00271554650373388</f>
        <v>0.6327223354</v>
      </c>
    </row>
    <row r="2606" ht="15.75" hidden="1" customHeight="1">
      <c r="A2606" s="20" t="s">
        <v>213</v>
      </c>
      <c r="B2606" s="47" t="s">
        <v>222</v>
      </c>
      <c r="C2606" s="47"/>
      <c r="D2606" s="46" t="s">
        <v>20</v>
      </c>
      <c r="E2606" s="32">
        <v>150.0</v>
      </c>
      <c r="F2606" s="18">
        <f>E2606* 0.657913931436907</f>
        <v>98.68708972</v>
      </c>
      <c r="G2606" s="18">
        <f>E2606* 0.284463894967177</f>
        <v>42.66958425</v>
      </c>
      <c r="H2606" s="18">
        <f>E2606* 0.0576221735959154</f>
        <v>8.643326039</v>
      </c>
    </row>
    <row r="2607" ht="15.75" hidden="1" customHeight="1">
      <c r="A2607" s="20" t="s">
        <v>213</v>
      </c>
      <c r="B2607" s="47" t="s">
        <v>222</v>
      </c>
      <c r="C2607" s="47"/>
      <c r="D2607" s="46" t="s">
        <v>21</v>
      </c>
      <c r="E2607" s="32">
        <v>5215.0</v>
      </c>
      <c r="F2607" s="18">
        <f>E2607* 0.999266575396049</f>
        <v>5211.175191</v>
      </c>
      <c r="G2607" s="18">
        <f>E2607* 0.0000488949735967143</f>
        <v>0.2549872873</v>
      </c>
      <c r="H2607" s="18">
        <f>E2607* 0.000684529630354</f>
        <v>3.569822022</v>
      </c>
    </row>
    <row r="2608" ht="15.75" hidden="1" customHeight="1">
      <c r="A2608" s="20" t="s">
        <v>213</v>
      </c>
      <c r="B2608" s="47" t="s">
        <v>222</v>
      </c>
      <c r="C2608" s="47"/>
      <c r="D2608" s="46" t="s">
        <v>36</v>
      </c>
      <c r="E2608" s="32">
        <v>54.0</v>
      </c>
      <c r="F2608" s="18">
        <f>E2608* 0.973154362416107</f>
        <v>52.55033557</v>
      </c>
      <c r="G2608" s="20">
        <v>0.0</v>
      </c>
      <c r="H2608" s="18">
        <f>E2608* 0.0268456375838926</f>
        <v>1.44966443</v>
      </c>
    </row>
    <row r="2609" ht="15.75" hidden="1" customHeight="1">
      <c r="A2609" s="20" t="s">
        <v>213</v>
      </c>
      <c r="B2609" s="47" t="s">
        <v>222</v>
      </c>
      <c r="C2609" s="47"/>
      <c r="D2609" s="46" t="s">
        <v>28</v>
      </c>
      <c r="E2609" s="32">
        <v>142.0</v>
      </c>
      <c r="F2609" s="18">
        <f>E2609* 0.00128865979381443</f>
        <v>0.1829896907</v>
      </c>
      <c r="G2609" s="18">
        <f>E2609* 0.998711340206186</f>
        <v>141.8170103</v>
      </c>
      <c r="H2609" s="20">
        <v>0.0</v>
      </c>
    </row>
    <row r="2610" ht="15.75" hidden="1" customHeight="1">
      <c r="A2610" s="20" t="s">
        <v>213</v>
      </c>
      <c r="B2610" s="47" t="s">
        <v>222</v>
      </c>
      <c r="C2610" s="47"/>
      <c r="D2610" s="46" t="s">
        <v>12</v>
      </c>
      <c r="E2610" s="32">
        <v>6544.0</v>
      </c>
      <c r="F2610" s="18">
        <f>E2610* 0.858755020080321</f>
        <v>5619.692851</v>
      </c>
      <c r="G2610" s="18">
        <f>E2610* 0.104016064257028</f>
        <v>680.6811245</v>
      </c>
      <c r="H2610" s="18">
        <f>E2610* 0.0372289156626506</f>
        <v>243.6260241</v>
      </c>
    </row>
    <row r="2611" ht="15.75" hidden="1" customHeight="1">
      <c r="A2611" s="20" t="s">
        <v>213</v>
      </c>
      <c r="B2611" s="20"/>
      <c r="C2611" s="20"/>
      <c r="D2611" s="46"/>
      <c r="E2611" s="35"/>
    </row>
    <row r="2612" ht="15.75" hidden="1" customHeight="1">
      <c r="A2612" s="20" t="s">
        <v>213</v>
      </c>
      <c r="B2612" s="47" t="s">
        <v>223</v>
      </c>
      <c r="C2612" s="12" t="str">
        <f>B2612&amp;"_"&amp;A2612</f>
        <v>Yunchará_Tarija</v>
      </c>
      <c r="D2612" s="20"/>
      <c r="E2612" s="45">
        <v>247.0</v>
      </c>
      <c r="F2612" s="14">
        <f t="shared" ref="F2612:H2612" si="223">SUM(F2613:F2623)</f>
        <v>218.1516514</v>
      </c>
      <c r="G2612" s="14">
        <f t="shared" si="223"/>
        <v>27.49491886</v>
      </c>
      <c r="H2612" s="14">
        <f t="shared" si="223"/>
        <v>1.343952453</v>
      </c>
    </row>
    <row r="2613" ht="15.75" hidden="1" customHeight="1">
      <c r="A2613" s="20" t="s">
        <v>213</v>
      </c>
      <c r="B2613" s="47" t="s">
        <v>223</v>
      </c>
      <c r="C2613" s="47"/>
      <c r="D2613" s="35" t="s">
        <v>597</v>
      </c>
      <c r="E2613" s="32">
        <v>9.0</v>
      </c>
      <c r="F2613" s="20">
        <v>0.0</v>
      </c>
      <c r="G2613" s="24">
        <f>E2613</f>
        <v>9</v>
      </c>
      <c r="H2613" s="20">
        <v>0.0</v>
      </c>
    </row>
    <row r="2614" ht="15.75" hidden="1" customHeight="1">
      <c r="A2614" s="20" t="s">
        <v>213</v>
      </c>
      <c r="B2614" s="47" t="s">
        <v>223</v>
      </c>
      <c r="C2614" s="47"/>
      <c r="D2614" s="46" t="s">
        <v>15</v>
      </c>
      <c r="E2614" s="32">
        <v>3.0</v>
      </c>
      <c r="F2614" s="18">
        <f>E2614* 0.957552016439764</f>
        <v>2.872656049</v>
      </c>
      <c r="G2614" s="18">
        <f>E2614* 0.0158618032365785</f>
        <v>0.04758540971</v>
      </c>
      <c r="H2614" s="18">
        <f>E2614* 0.0265861803236578</f>
        <v>0.07975854097</v>
      </c>
    </row>
    <row r="2615" ht="15.75" hidden="1" customHeight="1">
      <c r="A2615" s="20" t="s">
        <v>213</v>
      </c>
      <c r="B2615" s="47" t="s">
        <v>223</v>
      </c>
      <c r="C2615" s="47"/>
      <c r="D2615" s="35" t="s">
        <v>598</v>
      </c>
      <c r="E2615" s="32">
        <v>3.0</v>
      </c>
      <c r="F2615" s="18">
        <f>E2615* 0.0288065843621399</f>
        <v>0.08641975309</v>
      </c>
      <c r="G2615" s="18">
        <f>E2615* 0.967078189300412</f>
        <v>2.901234568</v>
      </c>
      <c r="H2615" s="18">
        <f>E2615* 0.00411522633744856</f>
        <v>0.01234567901</v>
      </c>
    </row>
    <row r="2616" ht="15.75" hidden="1" customHeight="1">
      <c r="A2616" s="20" t="s">
        <v>213</v>
      </c>
      <c r="B2616" s="47" t="s">
        <v>223</v>
      </c>
      <c r="C2616" s="47"/>
      <c r="D2616" s="46" t="s">
        <v>11</v>
      </c>
      <c r="E2616" s="32">
        <v>11.0</v>
      </c>
      <c r="F2616" s="18">
        <f>E2616* 0.069996216420734</f>
        <v>0.7699583806</v>
      </c>
      <c r="G2616" s="18">
        <f>E2616* 0.928364232564006</f>
        <v>10.21200656</v>
      </c>
      <c r="H2616" s="18">
        <f>E2616* 0.00113507377979569</f>
        <v>0.01248581158</v>
      </c>
    </row>
    <row r="2617" ht="15.75" hidden="1" customHeight="1">
      <c r="A2617" s="20" t="s">
        <v>213</v>
      </c>
      <c r="B2617" s="47" t="s">
        <v>223</v>
      </c>
      <c r="C2617" s="47"/>
      <c r="D2617" s="46" t="s">
        <v>17</v>
      </c>
      <c r="E2617" s="32">
        <v>15.0</v>
      </c>
      <c r="F2617" s="18">
        <f>E2617* 0.797049581005587</f>
        <v>11.95574372</v>
      </c>
      <c r="G2617" s="18">
        <f>E2617* 0.161662011173184</f>
        <v>2.424930168</v>
      </c>
      <c r="H2617" s="18">
        <f>E2617* 0.0410265363128492</f>
        <v>0.6153980447</v>
      </c>
    </row>
    <row r="2618" ht="15.75" hidden="1" customHeight="1">
      <c r="A2618" s="20" t="s">
        <v>213</v>
      </c>
      <c r="B2618" s="47" t="s">
        <v>223</v>
      </c>
      <c r="C2618" s="47"/>
      <c r="D2618" s="46" t="s">
        <v>18</v>
      </c>
      <c r="E2618" s="32">
        <v>3.0</v>
      </c>
      <c r="F2618" s="18">
        <f>E2618* 0.912233009708738</f>
        <v>2.736699029</v>
      </c>
      <c r="G2618" s="18">
        <f>E2618* 0.0811650485436893</f>
        <v>0.2434951456</v>
      </c>
      <c r="H2618" s="18">
        <f>E2618* 0.00660194174757282</f>
        <v>0.01980582524</v>
      </c>
    </row>
    <row r="2619" ht="15.75" hidden="1" customHeight="1">
      <c r="A2619" s="20" t="s">
        <v>213</v>
      </c>
      <c r="B2619" s="47" t="s">
        <v>223</v>
      </c>
      <c r="C2619" s="47"/>
      <c r="D2619" s="46" t="s">
        <v>19</v>
      </c>
      <c r="E2619" s="32">
        <v>1.0</v>
      </c>
      <c r="F2619" s="18">
        <f>E2619* 0.0264765784114053</f>
        <v>0.02647657841</v>
      </c>
      <c r="G2619" s="18">
        <f>E2619* 0.970807875084861</f>
        <v>0.9708078751</v>
      </c>
      <c r="H2619" s="18">
        <f>E2619* 0.00271554650373388</f>
        <v>0.002715546504</v>
      </c>
    </row>
    <row r="2620" ht="15.75" hidden="1" customHeight="1">
      <c r="A2620" s="20" t="s">
        <v>213</v>
      </c>
      <c r="B2620" s="47" t="s">
        <v>223</v>
      </c>
      <c r="C2620" s="47"/>
      <c r="D2620" s="46" t="s">
        <v>20</v>
      </c>
      <c r="E2620" s="32">
        <v>3.0</v>
      </c>
      <c r="F2620" s="18">
        <f>E2620* 0.657913931436907</f>
        <v>1.973741794</v>
      </c>
      <c r="G2620" s="18">
        <f>E2620* 0.284463894967177</f>
        <v>0.8533916849</v>
      </c>
      <c r="H2620" s="18">
        <f>E2620* 0.0576221735959154</f>
        <v>0.1728665208</v>
      </c>
    </row>
    <row r="2621" ht="15.75" hidden="1" customHeight="1">
      <c r="A2621" s="20" t="s">
        <v>213</v>
      </c>
      <c r="B2621" s="47" t="s">
        <v>223</v>
      </c>
      <c r="C2621" s="47"/>
      <c r="D2621" s="46" t="s">
        <v>21</v>
      </c>
      <c r="E2621" s="32">
        <v>191.0</v>
      </c>
      <c r="F2621" s="18">
        <f>E2621* 0.999266575396049</f>
        <v>190.8599159</v>
      </c>
      <c r="G2621" s="18">
        <f>E2621* 0.0000488949735967143</f>
        <v>0.009338939957</v>
      </c>
      <c r="H2621" s="18">
        <f>E2621* 0.000684529630354</f>
        <v>0.1307451594</v>
      </c>
    </row>
    <row r="2622" ht="15.75" hidden="1" customHeight="1">
      <c r="A2622" s="20" t="s">
        <v>213</v>
      </c>
      <c r="B2622" s="47" t="s">
        <v>223</v>
      </c>
      <c r="C2622" s="47"/>
      <c r="D2622" s="46" t="s">
        <v>28</v>
      </c>
      <c r="E2622" s="32">
        <v>0.0</v>
      </c>
      <c r="F2622" s="18">
        <f>E2622* 0.00128865979381443</f>
        <v>0</v>
      </c>
      <c r="G2622" s="18">
        <f>E2622* 0.998711340206186</f>
        <v>0</v>
      </c>
      <c r="H2622" s="20">
        <v>0.0</v>
      </c>
    </row>
    <row r="2623" ht="15.75" hidden="1" customHeight="1">
      <c r="A2623" s="20" t="s">
        <v>213</v>
      </c>
      <c r="B2623" s="47" t="s">
        <v>223</v>
      </c>
      <c r="C2623" s="47"/>
      <c r="D2623" s="55" t="s">
        <v>12</v>
      </c>
      <c r="E2623" s="39">
        <v>8.0</v>
      </c>
      <c r="F2623" s="18">
        <f>E2623* 0.858755020080321</f>
        <v>6.870040161</v>
      </c>
      <c r="G2623" s="18">
        <f>E2623* 0.104016064257028</f>
        <v>0.8321285141</v>
      </c>
      <c r="H2623" s="18">
        <f>E2623* 0.0372289156626506</f>
        <v>0.2978313253</v>
      </c>
    </row>
    <row r="2624" ht="15.75" hidden="1" customHeight="1">
      <c r="A2624" s="20" t="s">
        <v>224</v>
      </c>
      <c r="B2624" s="47" t="s">
        <v>225</v>
      </c>
      <c r="C2624" s="12" t="str">
        <f>B2624&amp;"_"&amp;A2624</f>
        <v>Asunción de Guarayos_Santa Cruz</v>
      </c>
      <c r="D2624" s="20"/>
      <c r="E2624" s="45">
        <v>1564.0</v>
      </c>
      <c r="F2624" s="14">
        <f t="shared" ref="F2624:H2624" si="224">SUM(F2625:F2636)</f>
        <v>1442.940237</v>
      </c>
      <c r="G2624" s="14">
        <f t="shared" si="224"/>
        <v>101.51304</v>
      </c>
      <c r="H2624" s="14">
        <f t="shared" si="224"/>
        <v>19.41664197</v>
      </c>
    </row>
    <row r="2625" ht="15.75" hidden="1" customHeight="1">
      <c r="A2625" s="20" t="s">
        <v>224</v>
      </c>
      <c r="B2625" s="47" t="s">
        <v>225</v>
      </c>
      <c r="C2625" s="47"/>
      <c r="D2625" s="29" t="s">
        <v>599</v>
      </c>
      <c r="E2625" s="23">
        <v>0.0</v>
      </c>
      <c r="F2625" s="20">
        <v>0.0</v>
      </c>
      <c r="G2625" s="24">
        <f>E2625</f>
        <v>0</v>
      </c>
      <c r="H2625" s="20">
        <v>0.0</v>
      </c>
    </row>
    <row r="2626" ht="15.75" hidden="1" customHeight="1">
      <c r="A2626" s="20" t="s">
        <v>224</v>
      </c>
      <c r="B2626" s="47" t="s">
        <v>225</v>
      </c>
      <c r="C2626" s="47"/>
      <c r="D2626" s="19" t="s">
        <v>15</v>
      </c>
      <c r="E2626" s="23">
        <v>12.0</v>
      </c>
      <c r="F2626" s="18">
        <f>E2626* 0.932303048052446</f>
        <v>11.18763658</v>
      </c>
      <c r="G2626" s="18">
        <f>E2626* 0.0217058280204555</f>
        <v>0.2604699362</v>
      </c>
      <c r="H2626" s="18">
        <f>E2626* 0.0459798598751943</f>
        <v>0.5517583185</v>
      </c>
    </row>
    <row r="2627" ht="15.75" hidden="1" customHeight="1">
      <c r="A2627" s="20" t="s">
        <v>224</v>
      </c>
      <c r="B2627" s="47" t="s">
        <v>225</v>
      </c>
      <c r="C2627" s="47"/>
      <c r="D2627" s="29" t="s">
        <v>600</v>
      </c>
      <c r="E2627" s="23">
        <v>2.0</v>
      </c>
      <c r="F2627" s="18">
        <f>E2627* 0.293894936109797</f>
        <v>0.5877898722</v>
      </c>
      <c r="G2627" s="18">
        <f>E2627* 0.663038334122101</f>
        <v>1.326076668</v>
      </c>
      <c r="H2627" s="18">
        <f>E2627* 0.0430667297681022</f>
        <v>0.08613345954</v>
      </c>
    </row>
    <row r="2628" ht="15.75" hidden="1" customHeight="1">
      <c r="A2628" s="20" t="s">
        <v>224</v>
      </c>
      <c r="B2628" s="47" t="s">
        <v>225</v>
      </c>
      <c r="C2628" s="47"/>
      <c r="D2628" s="19" t="s">
        <v>11</v>
      </c>
      <c r="E2628" s="23">
        <v>63.0</v>
      </c>
      <c r="F2628" s="18">
        <f>E2628* 0.083479491676667</f>
        <v>5.259207976</v>
      </c>
      <c r="G2628" s="18">
        <f>E2628* 0.913505030924029</f>
        <v>57.55081695</v>
      </c>
      <c r="H2628" s="18">
        <f>E2628* 0.00292316686667282</f>
        <v>0.1841595126</v>
      </c>
    </row>
    <row r="2629" ht="15.75" hidden="1" customHeight="1">
      <c r="A2629" s="20" t="s">
        <v>224</v>
      </c>
      <c r="B2629" s="47" t="s">
        <v>225</v>
      </c>
      <c r="C2629" s="47"/>
      <c r="D2629" s="19" t="s">
        <v>17</v>
      </c>
      <c r="E2629" s="23">
        <v>81.0</v>
      </c>
      <c r="F2629" s="18">
        <f>E2629* 0.752045572242362</f>
        <v>60.91569135</v>
      </c>
      <c r="G2629" s="18">
        <f>E2629* 0.185827723114103</f>
        <v>15.05204557</v>
      </c>
      <c r="H2629" s="18">
        <f>E2629* 0.0620921802175039</f>
        <v>5.029466598</v>
      </c>
    </row>
    <row r="2630" ht="15.75" hidden="1" customHeight="1">
      <c r="A2630" s="20" t="s">
        <v>224</v>
      </c>
      <c r="B2630" s="47" t="s">
        <v>225</v>
      </c>
      <c r="C2630" s="47"/>
      <c r="D2630" s="19" t="s">
        <v>31</v>
      </c>
      <c r="E2630" s="23">
        <v>2.0</v>
      </c>
      <c r="F2630" s="18">
        <f>E2630* 0.929131175468484</f>
        <v>1.858262351</v>
      </c>
      <c r="G2630" s="18">
        <f>E2630* 0.0477001703577513</f>
        <v>0.09540034072</v>
      </c>
      <c r="H2630" s="18">
        <f>E2630* 0.0231686541737649</f>
        <v>0.04633730835</v>
      </c>
    </row>
    <row r="2631" ht="15.75" hidden="1" customHeight="1">
      <c r="A2631" s="20" t="s">
        <v>224</v>
      </c>
      <c r="B2631" s="47" t="s">
        <v>225</v>
      </c>
      <c r="C2631" s="47"/>
      <c r="D2631" s="19" t="s">
        <v>18</v>
      </c>
      <c r="E2631" s="23">
        <v>12.0</v>
      </c>
      <c r="F2631" s="18">
        <f>E2631* 0.893702527830246</f>
        <v>10.72443033</v>
      </c>
      <c r="G2631" s="18">
        <f>E2631* 0.0946831169875015</f>
        <v>1.136197404</v>
      </c>
      <c r="H2631" s="18">
        <f>E2631* 0.0116143551822529</f>
        <v>0.1393722622</v>
      </c>
    </row>
    <row r="2632" ht="15.75" hidden="1" customHeight="1">
      <c r="A2632" s="20" t="s">
        <v>224</v>
      </c>
      <c r="B2632" s="47" t="s">
        <v>225</v>
      </c>
      <c r="C2632" s="47"/>
      <c r="D2632" s="19" t="s">
        <v>20</v>
      </c>
      <c r="E2632" s="23">
        <v>59.0</v>
      </c>
      <c r="F2632" s="18">
        <f>E2632* 0.734251968503937</f>
        <v>43.32086614</v>
      </c>
      <c r="G2632" s="18">
        <f>E2632* 0.158017179670723</f>
        <v>9.323013601</v>
      </c>
      <c r="H2632" s="18">
        <f>E2632* 0.107551896921976</f>
        <v>6.345561918</v>
      </c>
    </row>
    <row r="2633" ht="15.75" hidden="1" customHeight="1">
      <c r="A2633" s="20" t="s">
        <v>224</v>
      </c>
      <c r="B2633" s="47" t="s">
        <v>225</v>
      </c>
      <c r="C2633" s="47"/>
      <c r="D2633" s="19" t="s">
        <v>21</v>
      </c>
      <c r="E2633" s="23">
        <v>1231.0</v>
      </c>
      <c r="F2633" s="18">
        <f>E2633* 0.999727092353423</f>
        <v>1230.664051</v>
      </c>
      <c r="G2633" s="18">
        <f>E2633* 0.0000516311763794744</f>
        <v>0.06355797812</v>
      </c>
      <c r="H2633" s="18">
        <f>E2633* 0.000132765882118648</f>
        <v>0.1634348009</v>
      </c>
    </row>
    <row r="2634" ht="15.75" hidden="1" customHeight="1">
      <c r="A2634" s="20" t="s">
        <v>224</v>
      </c>
      <c r="B2634" s="47" t="s">
        <v>225</v>
      </c>
      <c r="C2634" s="47"/>
      <c r="D2634" s="19" t="s">
        <v>36</v>
      </c>
      <c r="E2634" s="23">
        <v>3.0</v>
      </c>
      <c r="F2634" s="18">
        <f>E2634* 0.995894428152493</f>
        <v>2.987683284</v>
      </c>
      <c r="G2634" s="18">
        <f>E2634* 0.000586510263929619</f>
        <v>0.001759530792</v>
      </c>
      <c r="H2634" s="18">
        <f>E2634* 0.00351906158357771</f>
        <v>0.01055718475</v>
      </c>
    </row>
    <row r="2635" ht="15.75" hidden="1" customHeight="1">
      <c r="A2635" s="20" t="s">
        <v>224</v>
      </c>
      <c r="B2635" s="47" t="s">
        <v>225</v>
      </c>
      <c r="C2635" s="47"/>
      <c r="D2635" s="19" t="s">
        <v>28</v>
      </c>
      <c r="E2635" s="23">
        <v>5.0</v>
      </c>
      <c r="F2635" s="18">
        <f>E2635* 0.00302222222222222</f>
        <v>0.01511111111</v>
      </c>
      <c r="G2635" s="18">
        <f>E2635* 0.996622222222222</f>
        <v>4.983111111</v>
      </c>
      <c r="H2635" s="18">
        <f>E2635* 0.000355555555555556</f>
        <v>0.001777777778</v>
      </c>
    </row>
    <row r="2636" ht="15.75" hidden="1" customHeight="1">
      <c r="A2636" s="20" t="s">
        <v>224</v>
      </c>
      <c r="B2636" s="47" t="s">
        <v>225</v>
      </c>
      <c r="C2636" s="47"/>
      <c r="D2636" s="19" t="s">
        <v>12</v>
      </c>
      <c r="E2636" s="23">
        <v>94.0</v>
      </c>
      <c r="F2636" s="18">
        <f>E2636* 0.802335182557089</f>
        <v>75.41950716</v>
      </c>
      <c r="G2636" s="18">
        <f>E2636* 0.124687137143594</f>
        <v>11.72059089</v>
      </c>
      <c r="H2636" s="18">
        <f>E2636* 0.0729583279576829</f>
        <v>6.858082828</v>
      </c>
    </row>
    <row r="2637" ht="15.75" hidden="1" customHeight="1">
      <c r="A2637" s="20" t="s">
        <v>224</v>
      </c>
      <c r="B2637" s="20"/>
      <c r="C2637" s="20"/>
      <c r="D2637" s="46"/>
      <c r="E2637" s="35"/>
    </row>
    <row r="2638" ht="15.75" hidden="1" customHeight="1">
      <c r="A2638" s="20" t="s">
        <v>224</v>
      </c>
      <c r="B2638" s="47" t="s">
        <v>226</v>
      </c>
      <c r="C2638" s="12" t="str">
        <f>B2638&amp;"_"&amp;A2638</f>
        <v>Boyuibe_Santa Cruz</v>
      </c>
      <c r="D2638" s="20"/>
      <c r="E2638" s="45">
        <v>69.0</v>
      </c>
      <c r="F2638" s="14">
        <f t="shared" ref="F2638:H2638" si="225">SUM(F2639:F2642)</f>
        <v>67.82076121</v>
      </c>
      <c r="G2638" s="14">
        <f t="shared" si="225"/>
        <v>0.7430257637</v>
      </c>
      <c r="H2638" s="14">
        <f t="shared" si="225"/>
        <v>0.4306173395</v>
      </c>
    </row>
    <row r="2639" ht="15.75" hidden="1" customHeight="1">
      <c r="A2639" s="20" t="s">
        <v>224</v>
      </c>
      <c r="B2639" s="47" t="s">
        <v>226</v>
      </c>
      <c r="C2639" s="47"/>
      <c r="D2639" s="19" t="s">
        <v>15</v>
      </c>
      <c r="E2639" s="23">
        <v>1.0</v>
      </c>
      <c r="F2639" s="18">
        <f>E2639* 0.932303048052446</f>
        <v>0.9323030481</v>
      </c>
      <c r="G2639" s="18">
        <f>E2639* 0.0217058280204555</f>
        <v>0.02170582802</v>
      </c>
      <c r="H2639" s="18">
        <f>E2639* 0.0459798598751943</f>
        <v>0.04597985988</v>
      </c>
    </row>
    <row r="2640" ht="15.75" hidden="1" customHeight="1">
      <c r="A2640" s="20" t="s">
        <v>224</v>
      </c>
      <c r="B2640" s="47" t="s">
        <v>226</v>
      </c>
      <c r="C2640" s="47"/>
      <c r="D2640" s="19" t="s">
        <v>18</v>
      </c>
      <c r="E2640" s="23">
        <v>1.0</v>
      </c>
      <c r="F2640" s="18">
        <f>E2640* 0.893702527830246</f>
        <v>0.8937025278</v>
      </c>
      <c r="G2640" s="18">
        <f>E2640* 0.0946831169875015</f>
        <v>0.09468311699</v>
      </c>
      <c r="H2640" s="18">
        <f>E2640* 0.0116143551822529</f>
        <v>0.01161435518</v>
      </c>
    </row>
    <row r="2641" ht="15.75" hidden="1" customHeight="1">
      <c r="A2641" s="20" t="s">
        <v>224</v>
      </c>
      <c r="B2641" s="47" t="s">
        <v>226</v>
      </c>
      <c r="C2641" s="47"/>
      <c r="D2641" s="19" t="s">
        <v>21</v>
      </c>
      <c r="E2641" s="23">
        <v>62.0</v>
      </c>
      <c r="F2641" s="18">
        <f>E2641* 0.999727092353423</f>
        <v>61.98307973</v>
      </c>
      <c r="G2641" s="18">
        <f>E2641* 0.0000516311763794744</f>
        <v>0.003201132936</v>
      </c>
      <c r="H2641" s="18">
        <f>E2641* 0.000132765882118648</f>
        <v>0.008231484691</v>
      </c>
    </row>
    <row r="2642" ht="15.75" hidden="1" customHeight="1">
      <c r="A2642" s="20" t="s">
        <v>224</v>
      </c>
      <c r="B2642" s="47" t="s">
        <v>226</v>
      </c>
      <c r="C2642" s="47"/>
      <c r="D2642" s="19" t="s">
        <v>12</v>
      </c>
      <c r="E2642" s="23">
        <v>5.0</v>
      </c>
      <c r="F2642" s="18">
        <f>E2642* 0.802335182557089</f>
        <v>4.011675913</v>
      </c>
      <c r="G2642" s="18">
        <f>E2642* 0.124687137143594</f>
        <v>0.6234356857</v>
      </c>
      <c r="H2642" s="18">
        <f>E2642* 0.0729583279576829</f>
        <v>0.3647916398</v>
      </c>
    </row>
    <row r="2643" ht="15.75" hidden="1" customHeight="1">
      <c r="A2643" s="20" t="s">
        <v>224</v>
      </c>
      <c r="B2643" s="20"/>
      <c r="C2643" s="20"/>
      <c r="D2643" s="46"/>
      <c r="E2643" s="35"/>
    </row>
    <row r="2644" ht="15.75" hidden="1" customHeight="1">
      <c r="A2644" s="20" t="s">
        <v>224</v>
      </c>
      <c r="B2644" s="47" t="s">
        <v>227</v>
      </c>
      <c r="C2644" s="12" t="str">
        <f>B2644&amp;"_"&amp;A2644</f>
        <v>Buena Vista_Santa Cruz</v>
      </c>
      <c r="D2644" s="20"/>
      <c r="E2644" s="45">
        <v>495.0</v>
      </c>
      <c r="F2644" s="14">
        <f t="shared" ref="F2644:H2644" si="226">SUM(F2645:F2656)</f>
        <v>438.1596399</v>
      </c>
      <c r="G2644" s="14">
        <f t="shared" si="226"/>
        <v>45.76841563</v>
      </c>
      <c r="H2644" s="14">
        <f t="shared" si="226"/>
        <v>11.03979561</v>
      </c>
    </row>
    <row r="2645" ht="15.75" hidden="1" customHeight="1">
      <c r="A2645" s="20" t="s">
        <v>224</v>
      </c>
      <c r="B2645" s="47" t="s">
        <v>227</v>
      </c>
      <c r="C2645" s="47"/>
      <c r="D2645" s="29" t="s">
        <v>601</v>
      </c>
      <c r="E2645" s="23">
        <v>2.0</v>
      </c>
      <c r="F2645" s="20">
        <v>0.0</v>
      </c>
      <c r="G2645" s="24">
        <f>E2645</f>
        <v>2</v>
      </c>
      <c r="H2645" s="20">
        <v>0.0</v>
      </c>
    </row>
    <row r="2646" ht="15.75" hidden="1" customHeight="1">
      <c r="A2646" s="20" t="s">
        <v>224</v>
      </c>
      <c r="B2646" s="47" t="s">
        <v>227</v>
      </c>
      <c r="C2646" s="47"/>
      <c r="D2646" s="19" t="s">
        <v>15</v>
      </c>
      <c r="E2646" s="23">
        <v>12.0</v>
      </c>
      <c r="F2646" s="18">
        <f>E2646* 0.932303048052446</f>
        <v>11.18763658</v>
      </c>
      <c r="G2646" s="18">
        <f>E2646* 0.0217058280204555</f>
        <v>0.2604699362</v>
      </c>
      <c r="H2646" s="18">
        <f>E2646* 0.0459798598751943</f>
        <v>0.5517583185</v>
      </c>
    </row>
    <row r="2647" ht="15.75" hidden="1" customHeight="1">
      <c r="A2647" s="20" t="s">
        <v>224</v>
      </c>
      <c r="B2647" s="47" t="s">
        <v>227</v>
      </c>
      <c r="C2647" s="47"/>
      <c r="D2647" s="29" t="s">
        <v>602</v>
      </c>
      <c r="E2647" s="23">
        <v>1.0</v>
      </c>
      <c r="F2647" s="18">
        <f>E2647* 0.293894936109797</f>
        <v>0.2938949361</v>
      </c>
      <c r="G2647" s="18">
        <f>E2647* 0.663038334122101</f>
        <v>0.6630383341</v>
      </c>
      <c r="H2647" s="18">
        <f>E2647* 0.0430667297681022</f>
        <v>0.04306672977</v>
      </c>
    </row>
    <row r="2648" ht="15.75" hidden="1" customHeight="1">
      <c r="A2648" s="20" t="s">
        <v>224</v>
      </c>
      <c r="B2648" s="47" t="s">
        <v>227</v>
      </c>
      <c r="C2648" s="47"/>
      <c r="D2648" s="19" t="s">
        <v>11</v>
      </c>
      <c r="E2648" s="23">
        <v>23.0</v>
      </c>
      <c r="F2648" s="18">
        <f>E2648* 0.083479491676667</f>
        <v>1.920028309</v>
      </c>
      <c r="G2648" s="18">
        <f>E2648* 0.913505030924029</f>
        <v>21.01061571</v>
      </c>
      <c r="H2648" s="18">
        <f>E2648* 0.00292316686667282</f>
        <v>0.06723283793</v>
      </c>
    </row>
    <row r="2649" ht="15.75" hidden="1" customHeight="1">
      <c r="A2649" s="20" t="s">
        <v>224</v>
      </c>
      <c r="B2649" s="47" t="s">
        <v>227</v>
      </c>
      <c r="C2649" s="47"/>
      <c r="D2649" s="19" t="s">
        <v>17</v>
      </c>
      <c r="E2649" s="23">
        <v>42.0</v>
      </c>
      <c r="F2649" s="18">
        <f>E2649* 0.752045572242362</f>
        <v>31.58591403</v>
      </c>
      <c r="G2649" s="18">
        <f>E2649* 0.185827723114103</f>
        <v>7.804764371</v>
      </c>
      <c r="H2649" s="18">
        <f>E2649* 0.0620921802175039</f>
        <v>2.607871569</v>
      </c>
    </row>
    <row r="2650" ht="15.75" hidden="1" customHeight="1">
      <c r="A2650" s="20" t="s">
        <v>224</v>
      </c>
      <c r="B2650" s="47" t="s">
        <v>227</v>
      </c>
      <c r="C2650" s="47"/>
      <c r="D2650" s="19" t="s">
        <v>31</v>
      </c>
      <c r="E2650" s="23">
        <v>2.0</v>
      </c>
      <c r="F2650" s="18">
        <f>E2650* 0.929131175468484</f>
        <v>1.858262351</v>
      </c>
      <c r="G2650" s="18">
        <f>E2650* 0.0477001703577513</f>
        <v>0.09540034072</v>
      </c>
      <c r="H2650" s="18">
        <f>E2650* 0.0231686541737649</f>
        <v>0.04633730835</v>
      </c>
    </row>
    <row r="2651" ht="15.75" hidden="1" customHeight="1">
      <c r="A2651" s="20" t="s">
        <v>224</v>
      </c>
      <c r="B2651" s="47" t="s">
        <v>227</v>
      </c>
      <c r="C2651" s="47"/>
      <c r="D2651" s="19" t="s">
        <v>18</v>
      </c>
      <c r="E2651" s="23">
        <v>11.0</v>
      </c>
      <c r="F2651" s="18">
        <f>E2651* 0.893702527830246</f>
        <v>9.830727806</v>
      </c>
      <c r="G2651" s="18">
        <f>E2651* 0.0946831169875015</f>
        <v>1.041514287</v>
      </c>
      <c r="H2651" s="18">
        <f>E2651* 0.0116143551822529</f>
        <v>0.127757907</v>
      </c>
    </row>
    <row r="2652" ht="15.75" hidden="1" customHeight="1">
      <c r="A2652" s="20" t="s">
        <v>224</v>
      </c>
      <c r="B2652" s="47" t="s">
        <v>227</v>
      </c>
      <c r="C2652" s="47"/>
      <c r="D2652" s="19" t="s">
        <v>20</v>
      </c>
      <c r="E2652" s="23">
        <v>1.0</v>
      </c>
      <c r="F2652" s="18">
        <f>E2652* 0.734251968503937</f>
        <v>0.7342519685</v>
      </c>
      <c r="G2652" s="18">
        <f>E2652* 0.158017179670723</f>
        <v>0.1580171797</v>
      </c>
      <c r="H2652" s="18">
        <f>E2652* 0.107551896921976</f>
        <v>0.1075518969</v>
      </c>
    </row>
    <row r="2653" ht="15.75" hidden="1" customHeight="1">
      <c r="A2653" s="20" t="s">
        <v>224</v>
      </c>
      <c r="B2653" s="47" t="s">
        <v>227</v>
      </c>
      <c r="C2653" s="47"/>
      <c r="D2653" s="19" t="s">
        <v>21</v>
      </c>
      <c r="E2653" s="23">
        <v>297.0</v>
      </c>
      <c r="F2653" s="18">
        <f>E2653* 0.999727092353423</f>
        <v>296.9189464</v>
      </c>
      <c r="G2653" s="18">
        <f>E2653* 0.0000516311763794744</f>
        <v>0.01533445938</v>
      </c>
      <c r="H2653" s="18">
        <f>E2653* 0.000132765882118648</f>
        <v>0.03943146699</v>
      </c>
    </row>
    <row r="2654" ht="15.75" hidden="1" customHeight="1">
      <c r="A2654" s="20" t="s">
        <v>224</v>
      </c>
      <c r="B2654" s="47" t="s">
        <v>227</v>
      </c>
      <c r="C2654" s="47"/>
      <c r="D2654" s="19" t="s">
        <v>36</v>
      </c>
      <c r="E2654" s="23">
        <v>2.0</v>
      </c>
      <c r="F2654" s="18">
        <f>E2654* 0.995894428152493</f>
        <v>1.991788856</v>
      </c>
      <c r="G2654" s="18">
        <f>E2654* 0.000586510263929619</f>
        <v>0.001173020528</v>
      </c>
      <c r="H2654" s="18">
        <f>E2654* 0.00351906158357771</f>
        <v>0.007038123167</v>
      </c>
    </row>
    <row r="2655" ht="15.75" hidden="1" customHeight="1">
      <c r="A2655" s="20" t="s">
        <v>224</v>
      </c>
      <c r="B2655" s="47" t="s">
        <v>227</v>
      </c>
      <c r="C2655" s="47"/>
      <c r="D2655" s="19" t="s">
        <v>28</v>
      </c>
      <c r="E2655" s="23">
        <v>0.0</v>
      </c>
      <c r="F2655" s="18">
        <f>E2655* 0.00302222222222222</f>
        <v>0</v>
      </c>
      <c r="G2655" s="18">
        <f>E2655* 0.996622222222222</f>
        <v>0</v>
      </c>
      <c r="H2655" s="18">
        <f>E2655* 0.000355555555555556</f>
        <v>0</v>
      </c>
    </row>
    <row r="2656" ht="15.75" hidden="1" customHeight="1">
      <c r="A2656" s="20" t="s">
        <v>224</v>
      </c>
      <c r="B2656" s="47" t="s">
        <v>227</v>
      </c>
      <c r="C2656" s="47"/>
      <c r="D2656" s="19" t="s">
        <v>12</v>
      </c>
      <c r="E2656" s="23">
        <v>102.0</v>
      </c>
      <c r="F2656" s="18">
        <f>E2656* 0.802335182557089</f>
        <v>81.83818862</v>
      </c>
      <c r="G2656" s="18">
        <f>E2656* 0.124687137143594</f>
        <v>12.71808799</v>
      </c>
      <c r="H2656" s="18">
        <f>E2656* 0.0729583279576829</f>
        <v>7.441749452</v>
      </c>
    </row>
    <row r="2657" ht="15.75" hidden="1" customHeight="1">
      <c r="A2657" s="20" t="s">
        <v>224</v>
      </c>
      <c r="B2657" s="20"/>
      <c r="C2657" s="20"/>
      <c r="D2657" s="46"/>
      <c r="E2657" s="35"/>
    </row>
    <row r="2658" ht="15.75" hidden="1" customHeight="1">
      <c r="A2658" s="20" t="s">
        <v>224</v>
      </c>
      <c r="B2658" s="47" t="s">
        <v>228</v>
      </c>
      <c r="C2658" s="12" t="str">
        <f>B2658&amp;"_"&amp;A2658</f>
        <v>Cabezas_Santa Cruz</v>
      </c>
      <c r="D2658" s="20"/>
      <c r="E2658" s="45">
        <v>2444.0</v>
      </c>
      <c r="F2658" s="14">
        <f t="shared" ref="F2658:H2658" si="227">SUM(F2659:F2672)</f>
        <v>1996.404072</v>
      </c>
      <c r="G2658" s="14">
        <f t="shared" si="227"/>
        <v>361.9408526</v>
      </c>
      <c r="H2658" s="14">
        <f t="shared" si="227"/>
        <v>85.53409415</v>
      </c>
    </row>
    <row r="2659" ht="15.75" hidden="1" customHeight="1">
      <c r="A2659" s="20" t="s">
        <v>224</v>
      </c>
      <c r="B2659" s="47" t="s">
        <v>228</v>
      </c>
      <c r="C2659" s="47"/>
      <c r="D2659" s="29" t="s">
        <v>603</v>
      </c>
      <c r="E2659" s="32">
        <v>3.0</v>
      </c>
      <c r="F2659" s="20">
        <v>0.0</v>
      </c>
      <c r="G2659" s="24">
        <f>E2659</f>
        <v>3</v>
      </c>
      <c r="H2659" s="20">
        <v>0.0</v>
      </c>
    </row>
    <row r="2660" ht="15.75" hidden="1" customHeight="1">
      <c r="A2660" s="20" t="s">
        <v>224</v>
      </c>
      <c r="B2660" s="47" t="s">
        <v>228</v>
      </c>
      <c r="C2660" s="47"/>
      <c r="D2660" s="19" t="s">
        <v>15</v>
      </c>
      <c r="E2660" s="32">
        <v>318.0</v>
      </c>
      <c r="F2660" s="18">
        <f>E2660* 0.932303048052446</f>
        <v>296.4723693</v>
      </c>
      <c r="G2660" s="18">
        <f>E2660* 0.0217058280204555</f>
        <v>6.902453311</v>
      </c>
      <c r="H2660" s="18">
        <f>E2660* 0.0459798598751943</f>
        <v>14.62159544</v>
      </c>
    </row>
    <row r="2661" ht="15.75" hidden="1" customHeight="1">
      <c r="A2661" s="20" t="s">
        <v>224</v>
      </c>
      <c r="B2661" s="47" t="s">
        <v>228</v>
      </c>
      <c r="C2661" s="47"/>
      <c r="D2661" s="29" t="s">
        <v>604</v>
      </c>
      <c r="E2661" s="32">
        <v>10.0</v>
      </c>
      <c r="F2661" s="18">
        <f>E2661* 0.293894936109797</f>
        <v>2.938949361</v>
      </c>
      <c r="G2661" s="18">
        <f>E2661* 0.663038334122101</f>
        <v>6.630383341</v>
      </c>
      <c r="H2661" s="18">
        <f>E2661* 0.0430667297681022</f>
        <v>0.4306672977</v>
      </c>
    </row>
    <row r="2662" ht="15.75" hidden="1" customHeight="1">
      <c r="A2662" s="20" t="s">
        <v>224</v>
      </c>
      <c r="B2662" s="47" t="s">
        <v>228</v>
      </c>
      <c r="C2662" s="47"/>
      <c r="D2662" s="19" t="s">
        <v>11</v>
      </c>
      <c r="E2662" s="32">
        <v>155.0</v>
      </c>
      <c r="F2662" s="18">
        <f>E2662* 0.083479491676667</f>
        <v>12.93932121</v>
      </c>
      <c r="G2662" s="18">
        <f>E2662* 0.913505030924029</f>
        <v>141.5932798</v>
      </c>
      <c r="H2662" s="18">
        <f>E2662* 0.00292316686667282</f>
        <v>0.4530908643</v>
      </c>
    </row>
    <row r="2663" ht="15.75" hidden="1" customHeight="1">
      <c r="A2663" s="20" t="s">
        <v>224</v>
      </c>
      <c r="B2663" s="47" t="s">
        <v>228</v>
      </c>
      <c r="C2663" s="47"/>
      <c r="D2663" s="19" t="s">
        <v>17</v>
      </c>
      <c r="E2663" s="32">
        <v>266.0</v>
      </c>
      <c r="F2663" s="18">
        <f>E2663* 0.752045572242362</f>
        <v>200.0441222</v>
      </c>
      <c r="G2663" s="18">
        <f>E2663* 0.185827723114103</f>
        <v>49.43017435</v>
      </c>
      <c r="H2663" s="18">
        <f>E2663* 0.0620921802175039</f>
        <v>16.51651994</v>
      </c>
    </row>
    <row r="2664" ht="15.75" hidden="1" customHeight="1">
      <c r="A2664" s="20" t="s">
        <v>224</v>
      </c>
      <c r="B2664" s="47" t="s">
        <v>228</v>
      </c>
      <c r="C2664" s="47"/>
      <c r="D2664" s="19" t="s">
        <v>31</v>
      </c>
      <c r="E2664" s="32">
        <v>16.0</v>
      </c>
      <c r="F2664" s="18">
        <f>E2664* 0.929131175468484</f>
        <v>14.86609881</v>
      </c>
      <c r="G2664" s="18">
        <f>E2664* 0.0477001703577513</f>
        <v>0.7632027257</v>
      </c>
      <c r="H2664" s="18">
        <f>E2664* 0.0231686541737649</f>
        <v>0.3706984668</v>
      </c>
    </row>
    <row r="2665" ht="15.75" hidden="1" customHeight="1">
      <c r="A2665" s="20" t="s">
        <v>224</v>
      </c>
      <c r="B2665" s="47" t="s">
        <v>228</v>
      </c>
      <c r="C2665" s="47"/>
      <c r="D2665" s="19" t="s">
        <v>18</v>
      </c>
      <c r="E2665" s="32">
        <v>52.0</v>
      </c>
      <c r="F2665" s="18">
        <f>E2665* 0.893702527830246</f>
        <v>46.47253145</v>
      </c>
      <c r="G2665" s="18">
        <f>E2665* 0.0946831169875015</f>
        <v>4.923522083</v>
      </c>
      <c r="H2665" s="18">
        <f>E2665* 0.0116143551822529</f>
        <v>0.6039464695</v>
      </c>
    </row>
    <row r="2666" ht="15.75" hidden="1" customHeight="1">
      <c r="A2666" s="20" t="s">
        <v>224</v>
      </c>
      <c r="B2666" s="47" t="s">
        <v>228</v>
      </c>
      <c r="C2666" s="47"/>
      <c r="D2666" s="19" t="s">
        <v>19</v>
      </c>
      <c r="E2666" s="32">
        <v>19.0</v>
      </c>
      <c r="F2666" s="18">
        <f>E2666* 0.0299845873616365</f>
        <v>0.5697071599</v>
      </c>
      <c r="G2666" s="18">
        <f>E2666* 0.96385035729298</f>
        <v>18.31315679</v>
      </c>
      <c r="H2666" s="18">
        <f>E2666* 0.00616505534538321</f>
        <v>0.1171360516</v>
      </c>
    </row>
    <row r="2667" ht="15.75" hidden="1" customHeight="1">
      <c r="A2667" s="20" t="s">
        <v>224</v>
      </c>
      <c r="B2667" s="47" t="s">
        <v>228</v>
      </c>
      <c r="C2667" s="47"/>
      <c r="D2667" s="19" t="s">
        <v>20</v>
      </c>
      <c r="E2667" s="32">
        <v>32.0</v>
      </c>
      <c r="F2667" s="18">
        <f>E2667* 0.734251968503937</f>
        <v>23.49606299</v>
      </c>
      <c r="G2667" s="18">
        <f>E2667* 0.158017179670723</f>
        <v>5.056549749</v>
      </c>
      <c r="H2667" s="18">
        <f>E2667* 0.107551896921976</f>
        <v>3.441660702</v>
      </c>
    </row>
    <row r="2668" ht="15.75" hidden="1" customHeight="1">
      <c r="A2668" s="20" t="s">
        <v>224</v>
      </c>
      <c r="B2668" s="47" t="s">
        <v>228</v>
      </c>
      <c r="C2668" s="47"/>
      <c r="D2668" s="19" t="s">
        <v>21</v>
      </c>
      <c r="E2668" s="32">
        <v>850.0</v>
      </c>
      <c r="F2668" s="18">
        <f>E2668* 0.999727092353423</f>
        <v>849.7680285</v>
      </c>
      <c r="G2668" s="18">
        <f>E2668* 0.0000516311763794744</f>
        <v>0.04388649992</v>
      </c>
      <c r="H2668" s="18">
        <f>E2668* 0.000132765882118648</f>
        <v>0.1128509998</v>
      </c>
    </row>
    <row r="2669" ht="15.75" hidden="1" customHeight="1">
      <c r="A2669" s="20" t="s">
        <v>224</v>
      </c>
      <c r="B2669" s="47" t="s">
        <v>228</v>
      </c>
      <c r="C2669" s="47"/>
      <c r="D2669" s="19" t="s">
        <v>36</v>
      </c>
      <c r="E2669" s="32">
        <v>12.0</v>
      </c>
      <c r="F2669" s="18">
        <f>E2669* 0.995894428152493</f>
        <v>11.95073314</v>
      </c>
      <c r="G2669" s="18">
        <f>E2669* 0.000586510263929619</f>
        <v>0.007038123167</v>
      </c>
      <c r="H2669" s="18">
        <f>E2669* 0.00351906158357771</f>
        <v>0.042228739</v>
      </c>
    </row>
    <row r="2670" ht="15.75" hidden="1" customHeight="1">
      <c r="A2670" s="20" t="s">
        <v>224</v>
      </c>
      <c r="B2670" s="47" t="s">
        <v>228</v>
      </c>
      <c r="C2670" s="47"/>
      <c r="D2670" s="19" t="s">
        <v>37</v>
      </c>
      <c r="E2670" s="32">
        <v>1.0</v>
      </c>
      <c r="F2670" s="20">
        <v>0.0</v>
      </c>
      <c r="G2670" s="24">
        <f>E2670</f>
        <v>1</v>
      </c>
      <c r="H2670" s="20">
        <v>0.0</v>
      </c>
    </row>
    <row r="2671" ht="15.75" hidden="1" customHeight="1">
      <c r="A2671" s="20" t="s">
        <v>224</v>
      </c>
      <c r="B2671" s="47" t="s">
        <v>228</v>
      </c>
      <c r="C2671" s="47"/>
      <c r="D2671" s="19" t="s">
        <v>28</v>
      </c>
      <c r="E2671" s="23">
        <v>41.0</v>
      </c>
      <c r="F2671" s="18">
        <f>E2671* 0.00302222222222222</f>
        <v>0.1239111111</v>
      </c>
      <c r="G2671" s="18">
        <f>E2671* 0.996622222222222</f>
        <v>40.86151111</v>
      </c>
      <c r="H2671" s="18">
        <f>E2671* 0.000355555555555556</f>
        <v>0.01457777778</v>
      </c>
    </row>
    <row r="2672" ht="15.75" hidden="1" customHeight="1">
      <c r="A2672" s="20" t="s">
        <v>224</v>
      </c>
      <c r="B2672" s="47" t="s">
        <v>228</v>
      </c>
      <c r="C2672" s="47"/>
      <c r="D2672" s="19" t="s">
        <v>12</v>
      </c>
      <c r="E2672" s="23">
        <v>669.0</v>
      </c>
      <c r="F2672" s="18">
        <f>E2672* 0.802335182557089</f>
        <v>536.7622371</v>
      </c>
      <c r="G2672" s="18">
        <f>E2672* 0.124687137143594</f>
        <v>83.41569475</v>
      </c>
      <c r="H2672" s="18">
        <f>E2672* 0.0729583279576829</f>
        <v>48.8091214</v>
      </c>
    </row>
    <row r="2673" ht="15.75" hidden="1" customHeight="1">
      <c r="A2673" s="20" t="s">
        <v>224</v>
      </c>
      <c r="B2673" s="20"/>
      <c r="C2673" s="20"/>
      <c r="D2673" s="46"/>
      <c r="E2673" s="35"/>
    </row>
    <row r="2674" ht="15.75" hidden="1" customHeight="1">
      <c r="A2674" s="20" t="s">
        <v>224</v>
      </c>
      <c r="B2674" s="47" t="s">
        <v>229</v>
      </c>
      <c r="C2674" s="12" t="str">
        <f>B2674&amp;"_"&amp;A2674</f>
        <v>Camiri_Santa Cruz</v>
      </c>
      <c r="D2674" s="20"/>
      <c r="E2674" s="45">
        <v>4846.0</v>
      </c>
      <c r="F2674" s="14">
        <f t="shared" ref="F2674:H2674" si="228">SUM(F2675:F2687)</f>
        <v>4010.226719</v>
      </c>
      <c r="G2674" s="14">
        <f t="shared" si="228"/>
        <v>633.2916768</v>
      </c>
      <c r="H2674" s="14">
        <f t="shared" si="228"/>
        <v>202.2587506</v>
      </c>
    </row>
    <row r="2675" ht="15.75" hidden="1" customHeight="1">
      <c r="A2675" s="20" t="s">
        <v>224</v>
      </c>
      <c r="B2675" s="47" t="s">
        <v>229</v>
      </c>
      <c r="C2675" s="47"/>
      <c r="D2675" s="29" t="s">
        <v>605</v>
      </c>
      <c r="E2675" s="23">
        <v>0.0</v>
      </c>
      <c r="F2675" s="20">
        <v>0.0</v>
      </c>
      <c r="G2675" s="24">
        <f>E2675</f>
        <v>0</v>
      </c>
      <c r="H2675" s="20">
        <v>0.0</v>
      </c>
    </row>
    <row r="2676" ht="15.75" hidden="1" customHeight="1">
      <c r="A2676" s="20" t="s">
        <v>224</v>
      </c>
      <c r="B2676" s="47" t="s">
        <v>229</v>
      </c>
      <c r="C2676" s="47"/>
      <c r="D2676" s="19" t="s">
        <v>15</v>
      </c>
      <c r="E2676" s="23">
        <v>571.0</v>
      </c>
      <c r="F2676" s="18">
        <f>E2676* 0.932303048052446</f>
        <v>532.3450404</v>
      </c>
      <c r="G2676" s="18">
        <f>E2676* 0.0217058280204555</f>
        <v>12.3940278</v>
      </c>
      <c r="H2676" s="18">
        <f>E2676* 0.0459798598751943</f>
        <v>26.25449999</v>
      </c>
    </row>
    <row r="2677" ht="15.75" hidden="1" customHeight="1">
      <c r="A2677" s="20" t="s">
        <v>224</v>
      </c>
      <c r="B2677" s="47" t="s">
        <v>229</v>
      </c>
      <c r="C2677" s="47"/>
      <c r="D2677" s="29" t="s">
        <v>606</v>
      </c>
      <c r="E2677" s="23">
        <v>16.0</v>
      </c>
      <c r="F2677" s="18">
        <f>E2677* 0.293894936109797</f>
        <v>4.702318978</v>
      </c>
      <c r="G2677" s="18">
        <f>E2677* 0.663038334122101</f>
        <v>10.60861335</v>
      </c>
      <c r="H2677" s="18">
        <f>E2677* 0.0430667297681022</f>
        <v>0.6890676763</v>
      </c>
    </row>
    <row r="2678" ht="15.75" hidden="1" customHeight="1">
      <c r="A2678" s="20" t="s">
        <v>224</v>
      </c>
      <c r="B2678" s="47" t="s">
        <v>229</v>
      </c>
      <c r="C2678" s="47"/>
      <c r="D2678" s="19" t="s">
        <v>11</v>
      </c>
      <c r="E2678" s="23">
        <v>234.0</v>
      </c>
      <c r="F2678" s="18">
        <f>E2678* 0.083479491676667</f>
        <v>19.53420105</v>
      </c>
      <c r="G2678" s="18">
        <f>E2678* 0.913505030924029</f>
        <v>213.7601772</v>
      </c>
      <c r="H2678" s="18">
        <f>E2678* 0.00292316686667282</f>
        <v>0.6840210468</v>
      </c>
    </row>
    <row r="2679" ht="15.75" hidden="1" customHeight="1">
      <c r="A2679" s="20" t="s">
        <v>224</v>
      </c>
      <c r="B2679" s="47" t="s">
        <v>229</v>
      </c>
      <c r="C2679" s="47"/>
      <c r="D2679" s="19" t="s">
        <v>17</v>
      </c>
      <c r="E2679" s="23">
        <v>542.0</v>
      </c>
      <c r="F2679" s="18">
        <f>E2679* 0.752045572242362</f>
        <v>407.6087002</v>
      </c>
      <c r="G2679" s="18">
        <f>E2679* 0.185827723114103</f>
        <v>100.7186259</v>
      </c>
      <c r="H2679" s="18">
        <f>E2679* 0.0620921802175039</f>
        <v>33.65396168</v>
      </c>
    </row>
    <row r="2680" ht="15.75" hidden="1" customHeight="1">
      <c r="A2680" s="20" t="s">
        <v>224</v>
      </c>
      <c r="B2680" s="47" t="s">
        <v>229</v>
      </c>
      <c r="C2680" s="47"/>
      <c r="D2680" s="19" t="s">
        <v>31</v>
      </c>
      <c r="E2680" s="23">
        <v>10.0</v>
      </c>
      <c r="F2680" s="18">
        <f>E2680* 0.929131175468484</f>
        <v>9.291311755</v>
      </c>
      <c r="G2680" s="18">
        <f>E2680* 0.0477001703577513</f>
        <v>0.4770017036</v>
      </c>
      <c r="H2680" s="18">
        <f>E2680* 0.0231686541737649</f>
        <v>0.2316865417</v>
      </c>
    </row>
    <row r="2681" ht="15.75" hidden="1" customHeight="1">
      <c r="A2681" s="20" t="s">
        <v>224</v>
      </c>
      <c r="B2681" s="47" t="s">
        <v>229</v>
      </c>
      <c r="C2681" s="47"/>
      <c r="D2681" s="19" t="s">
        <v>18</v>
      </c>
      <c r="E2681" s="23">
        <v>226.0</v>
      </c>
      <c r="F2681" s="18">
        <f>E2681* 0.893702527830246</f>
        <v>201.9767713</v>
      </c>
      <c r="G2681" s="18">
        <f>E2681* 0.0946831169875015</f>
        <v>21.39838444</v>
      </c>
      <c r="H2681" s="18">
        <f>E2681* 0.0116143551822529</f>
        <v>2.624844271</v>
      </c>
    </row>
    <row r="2682" ht="15.75" hidden="1" customHeight="1">
      <c r="A2682" s="20" t="s">
        <v>224</v>
      </c>
      <c r="B2682" s="47" t="s">
        <v>229</v>
      </c>
      <c r="C2682" s="47"/>
      <c r="D2682" s="19" t="s">
        <v>19</v>
      </c>
      <c r="E2682" s="23">
        <v>35.0</v>
      </c>
      <c r="F2682" s="18">
        <f>E2682* 0.0299845873616365</f>
        <v>1.049460558</v>
      </c>
      <c r="G2682" s="18">
        <f>E2682* 0.96385035729298</f>
        <v>33.73476251</v>
      </c>
      <c r="H2682" s="18">
        <f>E2682* 0.00616505534538321</f>
        <v>0.2157769371</v>
      </c>
    </row>
    <row r="2683" ht="15.75" hidden="1" customHeight="1">
      <c r="A2683" s="20" t="s">
        <v>224</v>
      </c>
      <c r="B2683" s="47" t="s">
        <v>229</v>
      </c>
      <c r="C2683" s="47"/>
      <c r="D2683" s="19" t="s">
        <v>20</v>
      </c>
      <c r="E2683" s="23">
        <v>123.0</v>
      </c>
      <c r="F2683" s="18">
        <f>E2683* 0.734251968503937</f>
        <v>90.31299213</v>
      </c>
      <c r="G2683" s="18">
        <f>E2683* 0.158017179670723</f>
        <v>19.4361131</v>
      </c>
      <c r="H2683" s="18">
        <f>E2683* 0.107551896921976</f>
        <v>13.22888332</v>
      </c>
    </row>
    <row r="2684" ht="15.75" hidden="1" customHeight="1">
      <c r="A2684" s="20" t="s">
        <v>224</v>
      </c>
      <c r="B2684" s="47" t="s">
        <v>229</v>
      </c>
      <c r="C2684" s="47"/>
      <c r="D2684" s="19" t="s">
        <v>21</v>
      </c>
      <c r="E2684" s="23">
        <v>1368.0</v>
      </c>
      <c r="F2684" s="18">
        <f>E2684* 0.999727092353423</f>
        <v>1367.626662</v>
      </c>
      <c r="G2684" s="18">
        <f>E2684* 0.0000516311763794744</f>
        <v>0.07063144929</v>
      </c>
      <c r="H2684" s="18">
        <f>E2684* 0.000132765882118648</f>
        <v>0.1816237267</v>
      </c>
    </row>
    <row r="2685" ht="15.75" hidden="1" customHeight="1">
      <c r="A2685" s="20" t="s">
        <v>224</v>
      </c>
      <c r="B2685" s="47" t="s">
        <v>229</v>
      </c>
      <c r="C2685" s="47"/>
      <c r="D2685" s="19" t="s">
        <v>36</v>
      </c>
      <c r="E2685" s="23">
        <v>7.0</v>
      </c>
      <c r="F2685" s="18">
        <f>E2685* 0.995894428152493</f>
        <v>6.971260997</v>
      </c>
      <c r="G2685" s="18">
        <f>E2685* 0.000586510263929619</f>
        <v>0.004105571848</v>
      </c>
      <c r="H2685" s="18">
        <f>E2685* 0.00351906158357771</f>
        <v>0.02463343109</v>
      </c>
    </row>
    <row r="2686" ht="15.75" hidden="1" customHeight="1">
      <c r="A2686" s="20" t="s">
        <v>224</v>
      </c>
      <c r="B2686" s="47" t="s">
        <v>229</v>
      </c>
      <c r="C2686" s="47"/>
      <c r="D2686" s="19" t="s">
        <v>28</v>
      </c>
      <c r="E2686" s="23">
        <v>8.0</v>
      </c>
      <c r="F2686" s="18">
        <f>E2686* 0.00302222222222222</f>
        <v>0.02417777778</v>
      </c>
      <c r="G2686" s="18">
        <f>E2686* 0.996622222222222</f>
        <v>7.972977778</v>
      </c>
      <c r="H2686" s="18">
        <f>E2686* 0.000355555555555556</f>
        <v>0.002844444444</v>
      </c>
    </row>
    <row r="2687" ht="15.75" hidden="1" customHeight="1">
      <c r="A2687" s="20" t="s">
        <v>224</v>
      </c>
      <c r="B2687" s="47" t="s">
        <v>229</v>
      </c>
      <c r="C2687" s="47"/>
      <c r="D2687" s="19" t="s">
        <v>12</v>
      </c>
      <c r="E2687" s="23">
        <v>1706.0</v>
      </c>
      <c r="F2687" s="18">
        <f>E2687* 0.802335182557089</f>
        <v>1368.783821</v>
      </c>
      <c r="G2687" s="18">
        <f>E2687* 0.124687137143594</f>
        <v>212.716256</v>
      </c>
      <c r="H2687" s="18">
        <f>E2687* 0.0729583279576829</f>
        <v>124.4669075</v>
      </c>
    </row>
    <row r="2688" ht="15.75" hidden="1" customHeight="1">
      <c r="A2688" s="20" t="s">
        <v>224</v>
      </c>
      <c r="B2688" s="20"/>
      <c r="C2688" s="20"/>
      <c r="D2688" s="46"/>
      <c r="E2688" s="35"/>
    </row>
    <row r="2689" ht="15.75" hidden="1" customHeight="1">
      <c r="A2689" s="20" t="s">
        <v>224</v>
      </c>
      <c r="B2689" s="47" t="s">
        <v>230</v>
      </c>
      <c r="C2689" s="12" t="str">
        <f>B2689&amp;"_"&amp;A2689</f>
        <v>Charagua_Santa Cruz</v>
      </c>
      <c r="D2689" s="20"/>
      <c r="E2689" s="45">
        <v>472.0</v>
      </c>
      <c r="F2689" s="14">
        <f t="shared" ref="F2689:H2689" si="229">SUM(F2690:F2702)</f>
        <v>359.5787913</v>
      </c>
      <c r="G2689" s="14">
        <f t="shared" si="229"/>
        <v>93.66788925</v>
      </c>
      <c r="H2689" s="14">
        <f t="shared" si="229"/>
        <v>18.73480986</v>
      </c>
    </row>
    <row r="2690" ht="15.75" hidden="1" customHeight="1">
      <c r="A2690" s="20" t="s">
        <v>224</v>
      </c>
      <c r="B2690" s="47" t="s">
        <v>230</v>
      </c>
      <c r="C2690" s="47"/>
      <c r="D2690" s="29" t="s">
        <v>607</v>
      </c>
      <c r="E2690" s="23">
        <v>2.0</v>
      </c>
      <c r="F2690" s="20">
        <v>0.0</v>
      </c>
      <c r="G2690" s="24">
        <f>E2690</f>
        <v>2</v>
      </c>
      <c r="H2690" s="20">
        <v>0.0</v>
      </c>
    </row>
    <row r="2691" ht="15.75" hidden="1" customHeight="1">
      <c r="A2691" s="20" t="s">
        <v>224</v>
      </c>
      <c r="B2691" s="47" t="s">
        <v>230</v>
      </c>
      <c r="C2691" s="47"/>
      <c r="D2691" s="19" t="s">
        <v>15</v>
      </c>
      <c r="E2691" s="23">
        <v>85.0</v>
      </c>
      <c r="F2691" s="18">
        <f>E2691* 0.932303048052446</f>
        <v>79.24575908</v>
      </c>
      <c r="G2691" s="18">
        <f>E2691* 0.0217058280204555</f>
        <v>1.844995382</v>
      </c>
      <c r="H2691" s="18">
        <f>E2691* 0.0459798598751943</f>
        <v>3.908288089</v>
      </c>
    </row>
    <row r="2692" ht="15.75" hidden="1" customHeight="1">
      <c r="A2692" s="20" t="s">
        <v>224</v>
      </c>
      <c r="B2692" s="47" t="s">
        <v>230</v>
      </c>
      <c r="C2692" s="47"/>
      <c r="D2692" s="29" t="s">
        <v>608</v>
      </c>
      <c r="E2692" s="23">
        <v>5.0</v>
      </c>
      <c r="F2692" s="18">
        <f>E2692* 0.293894936109797</f>
        <v>1.469474681</v>
      </c>
      <c r="G2692" s="18">
        <f>E2692* 0.663038334122101</f>
        <v>3.315191671</v>
      </c>
      <c r="H2692" s="18">
        <f>E2692* 0.0430667297681022</f>
        <v>0.2153336488</v>
      </c>
    </row>
    <row r="2693" ht="15.75" hidden="1" customHeight="1">
      <c r="A2693" s="20" t="s">
        <v>224</v>
      </c>
      <c r="B2693" s="47" t="s">
        <v>230</v>
      </c>
      <c r="C2693" s="47"/>
      <c r="D2693" s="19" t="s">
        <v>11</v>
      </c>
      <c r="E2693" s="23">
        <v>52.0</v>
      </c>
      <c r="F2693" s="18">
        <f>E2693* 0.083479491676667</f>
        <v>4.340933567</v>
      </c>
      <c r="G2693" s="18">
        <f>E2693* 0.913505030924029</f>
        <v>47.50226161</v>
      </c>
      <c r="H2693" s="18">
        <f>E2693* 0.00292316686667282</f>
        <v>0.1520046771</v>
      </c>
    </row>
    <row r="2694" ht="15.75" hidden="1" customHeight="1">
      <c r="A2694" s="20" t="s">
        <v>224</v>
      </c>
      <c r="B2694" s="47" t="s">
        <v>230</v>
      </c>
      <c r="C2694" s="47"/>
      <c r="D2694" s="19" t="s">
        <v>17</v>
      </c>
      <c r="E2694" s="23">
        <v>49.0</v>
      </c>
      <c r="F2694" s="18">
        <f>E2694* 0.752045572242362</f>
        <v>36.85023304</v>
      </c>
      <c r="G2694" s="18">
        <f>E2694* 0.185827723114103</f>
        <v>9.105558433</v>
      </c>
      <c r="H2694" s="18">
        <f>E2694* 0.0620921802175039</f>
        <v>3.042516831</v>
      </c>
    </row>
    <row r="2695" ht="15.75" hidden="1" customHeight="1">
      <c r="A2695" s="20" t="s">
        <v>224</v>
      </c>
      <c r="B2695" s="47" t="s">
        <v>230</v>
      </c>
      <c r="C2695" s="47"/>
      <c r="D2695" s="19" t="s">
        <v>31</v>
      </c>
      <c r="E2695" s="23">
        <v>1.0</v>
      </c>
      <c r="F2695" s="18">
        <f>E2695* 0.929131175468484</f>
        <v>0.9291311755</v>
      </c>
      <c r="G2695" s="18">
        <f>E2695* 0.0477001703577513</f>
        <v>0.04770017036</v>
      </c>
      <c r="H2695" s="18">
        <f>E2695* 0.0231686541737649</f>
        <v>0.02316865417</v>
      </c>
    </row>
    <row r="2696" ht="15.75" hidden="1" customHeight="1">
      <c r="A2696" s="20" t="s">
        <v>224</v>
      </c>
      <c r="B2696" s="47" t="s">
        <v>230</v>
      </c>
      <c r="C2696" s="47"/>
      <c r="D2696" s="19" t="s">
        <v>18</v>
      </c>
      <c r="E2696" s="23">
        <v>36.0</v>
      </c>
      <c r="F2696" s="18">
        <f>E2696* 0.893702527830246</f>
        <v>32.173291</v>
      </c>
      <c r="G2696" s="18">
        <f>E2696* 0.0946831169875015</f>
        <v>3.408592212</v>
      </c>
      <c r="H2696" s="18">
        <f>E2696* 0.0116143551822529</f>
        <v>0.4181167866</v>
      </c>
    </row>
    <row r="2697" ht="15.75" hidden="1" customHeight="1">
      <c r="A2697" s="20" t="s">
        <v>224</v>
      </c>
      <c r="B2697" s="47" t="s">
        <v>230</v>
      </c>
      <c r="C2697" s="47"/>
      <c r="D2697" s="19" t="s">
        <v>19</v>
      </c>
      <c r="E2697" s="23">
        <v>2.0</v>
      </c>
      <c r="F2697" s="18">
        <f>E2697* 0.0299845873616365</f>
        <v>0.05996917472</v>
      </c>
      <c r="G2697" s="18">
        <f>E2697* 0.96385035729298</f>
        <v>1.927700715</v>
      </c>
      <c r="H2697" s="18">
        <f>E2697* 0.00616505534538321</f>
        <v>0.01233011069</v>
      </c>
    </row>
    <row r="2698" ht="15.75" hidden="1" customHeight="1">
      <c r="A2698" s="20" t="s">
        <v>224</v>
      </c>
      <c r="B2698" s="47" t="s">
        <v>230</v>
      </c>
      <c r="C2698" s="47"/>
      <c r="D2698" s="19" t="s">
        <v>20</v>
      </c>
      <c r="E2698" s="23">
        <v>6.0</v>
      </c>
      <c r="F2698" s="18">
        <f>E2698* 0.734251968503937</f>
        <v>4.405511811</v>
      </c>
      <c r="G2698" s="18">
        <f>E2698* 0.158017179670723</f>
        <v>0.948103078</v>
      </c>
      <c r="H2698" s="18">
        <f>E2698* 0.107551896921976</f>
        <v>0.6453113815</v>
      </c>
    </row>
    <row r="2699" ht="15.75" hidden="1" customHeight="1">
      <c r="A2699" s="20" t="s">
        <v>224</v>
      </c>
      <c r="B2699" s="47" t="s">
        <v>230</v>
      </c>
      <c r="C2699" s="47"/>
      <c r="D2699" s="19" t="s">
        <v>21</v>
      </c>
      <c r="E2699" s="23">
        <v>82.0</v>
      </c>
      <c r="F2699" s="18">
        <f>E2699* 0.999727092353423</f>
        <v>81.97762157</v>
      </c>
      <c r="G2699" s="18">
        <f>E2699* 0.0000516311763794744</f>
        <v>0.004233756463</v>
      </c>
      <c r="H2699" s="18">
        <f>E2699* 0.000132765882118648</f>
        <v>0.01088680233</v>
      </c>
    </row>
    <row r="2700" ht="15.75" hidden="1" customHeight="1">
      <c r="A2700" s="20" t="s">
        <v>224</v>
      </c>
      <c r="B2700" s="47" t="s">
        <v>230</v>
      </c>
      <c r="C2700" s="47"/>
      <c r="D2700" s="19" t="s">
        <v>36</v>
      </c>
      <c r="E2700" s="23">
        <v>5.0</v>
      </c>
      <c r="F2700" s="18">
        <f>E2700* 0.995894428152493</f>
        <v>4.979472141</v>
      </c>
      <c r="G2700" s="18">
        <f>E2700* 0.000586510263929619</f>
        <v>0.00293255132</v>
      </c>
      <c r="H2700" s="18">
        <f>E2700* 0.00351906158357771</f>
        <v>0.01759530792</v>
      </c>
    </row>
    <row r="2701" ht="15.75" hidden="1" customHeight="1">
      <c r="A2701" s="20" t="s">
        <v>224</v>
      </c>
      <c r="B2701" s="47" t="s">
        <v>230</v>
      </c>
      <c r="C2701" s="47"/>
      <c r="D2701" s="19" t="s">
        <v>148</v>
      </c>
      <c r="E2701" s="23">
        <v>6.0</v>
      </c>
      <c r="F2701" s="18">
        <f>E2701* 0.00302222222222222</f>
        <v>0.01813333333</v>
      </c>
      <c r="G2701" s="18">
        <f>E2701* 0.996622222222222</f>
        <v>5.979733333</v>
      </c>
      <c r="H2701" s="18">
        <f>E2701* 0.000355555555555556</f>
        <v>0.002133333333</v>
      </c>
    </row>
    <row r="2702" ht="15.75" hidden="1" customHeight="1">
      <c r="A2702" s="20" t="s">
        <v>224</v>
      </c>
      <c r="B2702" s="47" t="s">
        <v>230</v>
      </c>
      <c r="C2702" s="47"/>
      <c r="D2702" s="19" t="s">
        <v>12</v>
      </c>
      <c r="E2702" s="23">
        <v>141.0</v>
      </c>
      <c r="F2702" s="18">
        <f>E2702* 0.802335182557089</f>
        <v>113.1292607</v>
      </c>
      <c r="G2702" s="18">
        <f>E2702* 0.124687137143594</f>
        <v>17.58088634</v>
      </c>
      <c r="H2702" s="18">
        <f>E2702* 0.0729583279576829</f>
        <v>10.28712424</v>
      </c>
    </row>
    <row r="2703" ht="15.75" hidden="1" customHeight="1">
      <c r="A2703" s="20" t="s">
        <v>224</v>
      </c>
      <c r="B2703" s="20"/>
      <c r="C2703" s="20"/>
      <c r="D2703" s="46"/>
      <c r="E2703" s="35"/>
    </row>
    <row r="2704" ht="15.75" hidden="1" customHeight="1">
      <c r="A2704" s="20" t="s">
        <v>224</v>
      </c>
      <c r="B2704" s="47" t="s">
        <v>231</v>
      </c>
      <c r="C2704" s="12" t="str">
        <f>B2704&amp;"_"&amp;A2704</f>
        <v>Colpa Bélgica_Santa Cruz</v>
      </c>
      <c r="D2704" s="20"/>
      <c r="E2704" s="45">
        <v>32397.0</v>
      </c>
      <c r="F2704" s="14">
        <f t="shared" ref="F2704:H2704" si="230">SUM(F2705:F2719)</f>
        <v>24283.65464</v>
      </c>
      <c r="G2704" s="14">
        <f t="shared" si="230"/>
        <v>7083.451596</v>
      </c>
      <c r="H2704" s="14">
        <f t="shared" si="230"/>
        <v>1028.323935</v>
      </c>
    </row>
    <row r="2705" ht="15.75" hidden="1" customHeight="1">
      <c r="A2705" s="20" t="s">
        <v>224</v>
      </c>
      <c r="B2705" s="47" t="s">
        <v>231</v>
      </c>
      <c r="C2705" s="47"/>
      <c r="D2705" s="29" t="s">
        <v>609</v>
      </c>
      <c r="E2705" s="23">
        <v>10.0</v>
      </c>
      <c r="F2705" s="20">
        <v>0.0</v>
      </c>
      <c r="G2705" s="24">
        <f>E2705</f>
        <v>10</v>
      </c>
      <c r="H2705" s="20">
        <v>0.0</v>
      </c>
    </row>
    <row r="2706" ht="15.75" hidden="1" customHeight="1">
      <c r="A2706" s="20" t="s">
        <v>224</v>
      </c>
      <c r="B2706" s="47" t="s">
        <v>231</v>
      </c>
      <c r="C2706" s="47"/>
      <c r="D2706" s="19" t="s">
        <v>15</v>
      </c>
      <c r="E2706" s="23">
        <v>4384.0</v>
      </c>
      <c r="F2706" s="18">
        <f>E2706* 0.932303048052446</f>
        <v>4087.216563</v>
      </c>
      <c r="G2706" s="18">
        <f>E2706* 0.0217058280204555</f>
        <v>95.15835004</v>
      </c>
      <c r="H2706" s="18">
        <f>E2706* 0.0459798598751943</f>
        <v>201.5757057</v>
      </c>
    </row>
    <row r="2707" ht="15.75" hidden="1" customHeight="1">
      <c r="A2707" s="20" t="s">
        <v>224</v>
      </c>
      <c r="B2707" s="47" t="s">
        <v>231</v>
      </c>
      <c r="C2707" s="47"/>
      <c r="D2707" s="29" t="s">
        <v>610</v>
      </c>
      <c r="E2707" s="23">
        <v>245.0</v>
      </c>
      <c r="F2707" s="18">
        <f>E2707* 0.293894936109797</f>
        <v>72.00425935</v>
      </c>
      <c r="G2707" s="18">
        <f>E2707* 0.663038334122101</f>
        <v>162.4443919</v>
      </c>
      <c r="H2707" s="18">
        <f>E2707* 0.0430667297681022</f>
        <v>10.55134879</v>
      </c>
    </row>
    <row r="2708" ht="15.75" hidden="1" customHeight="1">
      <c r="A2708" s="20" t="s">
        <v>224</v>
      </c>
      <c r="B2708" s="47" t="s">
        <v>231</v>
      </c>
      <c r="C2708" s="47"/>
      <c r="D2708" s="19" t="s">
        <v>11</v>
      </c>
      <c r="E2708" s="23">
        <v>2685.0</v>
      </c>
      <c r="F2708" s="18">
        <f>E2708* 0.083479491676667</f>
        <v>224.1424352</v>
      </c>
      <c r="G2708" s="18">
        <f>E2708* 0.913505030924029</f>
        <v>2452.761008</v>
      </c>
      <c r="H2708" s="18">
        <f>E2708* 0.00292316686667282</f>
        <v>7.848703037</v>
      </c>
    </row>
    <row r="2709" ht="15.75" hidden="1" customHeight="1">
      <c r="A2709" s="20" t="s">
        <v>224</v>
      </c>
      <c r="B2709" s="47" t="s">
        <v>231</v>
      </c>
      <c r="C2709" s="47"/>
      <c r="D2709" s="19" t="s">
        <v>17</v>
      </c>
      <c r="E2709" s="23">
        <v>3719.0</v>
      </c>
      <c r="F2709" s="18">
        <f>E2709* 0.752045572242362</f>
        <v>2796.857483</v>
      </c>
      <c r="G2709" s="18">
        <f>E2709* 0.185827723114103</f>
        <v>691.0933023</v>
      </c>
      <c r="H2709" s="18">
        <f>E2709* 0.0620921802175039</f>
        <v>230.9208182</v>
      </c>
    </row>
    <row r="2710" ht="15.75" hidden="1" customHeight="1">
      <c r="A2710" s="20" t="s">
        <v>224</v>
      </c>
      <c r="B2710" s="47" t="s">
        <v>231</v>
      </c>
      <c r="C2710" s="47"/>
      <c r="D2710" s="19" t="s">
        <v>31</v>
      </c>
      <c r="E2710" s="23">
        <v>179.0</v>
      </c>
      <c r="F2710" s="18">
        <f>E2710* 0.929131175468484</f>
        <v>166.3144804</v>
      </c>
      <c r="G2710" s="18">
        <f>E2710* 0.0477001703577513</f>
        <v>8.538330494</v>
      </c>
      <c r="H2710" s="18">
        <f>E2710* 0.0231686541737649</f>
        <v>4.147189097</v>
      </c>
    </row>
    <row r="2711" ht="15.75" hidden="1" customHeight="1">
      <c r="A2711" s="20" t="s">
        <v>224</v>
      </c>
      <c r="B2711" s="47" t="s">
        <v>231</v>
      </c>
      <c r="C2711" s="47"/>
      <c r="D2711" s="29" t="s">
        <v>611</v>
      </c>
      <c r="E2711" s="23">
        <v>1171.0</v>
      </c>
      <c r="F2711" s="20">
        <v>0.0</v>
      </c>
      <c r="G2711" s="24">
        <f>E2711</f>
        <v>1171</v>
      </c>
      <c r="H2711" s="20">
        <v>0.0</v>
      </c>
    </row>
    <row r="2712" ht="15.75" hidden="1" customHeight="1">
      <c r="A2712" s="20" t="s">
        <v>224</v>
      </c>
      <c r="B2712" s="47" t="s">
        <v>231</v>
      </c>
      <c r="C2712" s="47"/>
      <c r="D2712" s="19" t="s">
        <v>18</v>
      </c>
      <c r="E2712" s="23">
        <v>2.0</v>
      </c>
      <c r="F2712" s="18">
        <f>E2712* 0.893702527830246</f>
        <v>1.787405056</v>
      </c>
      <c r="G2712" s="18">
        <f>E2712* 0.0946831169875015</f>
        <v>0.189366234</v>
      </c>
      <c r="H2712" s="18">
        <f>E2712* 0.0116143551822529</f>
        <v>0.02322871036</v>
      </c>
    </row>
    <row r="2713" ht="15.75" hidden="1" customHeight="1">
      <c r="A2713" s="20" t="s">
        <v>224</v>
      </c>
      <c r="B2713" s="47" t="s">
        <v>231</v>
      </c>
      <c r="C2713" s="47"/>
      <c r="D2713" s="19" t="s">
        <v>19</v>
      </c>
      <c r="E2713" s="23">
        <v>231.0</v>
      </c>
      <c r="F2713" s="18">
        <f>E2713* 0.0299845873616365</f>
        <v>6.926439681</v>
      </c>
      <c r="G2713" s="18">
        <f>E2713* 0.96385035729298</f>
        <v>222.6494325</v>
      </c>
      <c r="H2713" s="18">
        <f>E2713* 0.00616505534538321</f>
        <v>1.424127785</v>
      </c>
    </row>
    <row r="2714" ht="15.75" hidden="1" customHeight="1">
      <c r="A2714" s="20" t="s">
        <v>224</v>
      </c>
      <c r="B2714" s="47" t="s">
        <v>231</v>
      </c>
      <c r="C2714" s="47"/>
      <c r="D2714" s="19" t="s">
        <v>20</v>
      </c>
      <c r="E2714" s="23">
        <v>389.0</v>
      </c>
      <c r="F2714" s="18">
        <f>E2714* 0.734251968503937</f>
        <v>285.6240157</v>
      </c>
      <c r="G2714" s="18">
        <f>E2714* 0.158017179670723</f>
        <v>61.46868289</v>
      </c>
      <c r="H2714" s="18">
        <f>E2714* 0.107551896921976</f>
        <v>41.8376879</v>
      </c>
    </row>
    <row r="2715" ht="15.75" hidden="1" customHeight="1">
      <c r="A2715" s="20" t="s">
        <v>224</v>
      </c>
      <c r="B2715" s="47" t="s">
        <v>231</v>
      </c>
      <c r="C2715" s="47"/>
      <c r="D2715" s="19" t="s">
        <v>21</v>
      </c>
      <c r="E2715" s="23">
        <v>10561.0</v>
      </c>
      <c r="F2715" s="18">
        <f>E2715* 0.999727092353423</f>
        <v>10558.11782</v>
      </c>
      <c r="G2715" s="18">
        <f>E2715* 0.0000516311763794744</f>
        <v>0.5452768537</v>
      </c>
      <c r="H2715" s="18">
        <f>E2715* 0.000132765882118648</f>
        <v>1.402140481</v>
      </c>
    </row>
    <row r="2716" ht="15.75" hidden="1" customHeight="1">
      <c r="A2716" s="20" t="s">
        <v>224</v>
      </c>
      <c r="B2716" s="47" t="s">
        <v>231</v>
      </c>
      <c r="C2716" s="47"/>
      <c r="D2716" s="19" t="s">
        <v>36</v>
      </c>
      <c r="E2716" s="23">
        <v>285.0</v>
      </c>
      <c r="F2716" s="18">
        <f>E2716* 0.995894428152493</f>
        <v>283.829912</v>
      </c>
      <c r="G2716" s="18">
        <f>E2716* 0.000586510263929619</f>
        <v>0.1671554252</v>
      </c>
      <c r="H2716" s="18">
        <f>E2716* 0.00351906158357771</f>
        <v>1.002932551</v>
      </c>
    </row>
    <row r="2717" ht="15.75" hidden="1" customHeight="1">
      <c r="A2717" s="20" t="s">
        <v>224</v>
      </c>
      <c r="B2717" s="47" t="s">
        <v>231</v>
      </c>
      <c r="C2717" s="47"/>
      <c r="D2717" s="19" t="s">
        <v>37</v>
      </c>
      <c r="E2717" s="23">
        <v>0.0</v>
      </c>
      <c r="F2717" s="20">
        <v>0.0</v>
      </c>
      <c r="G2717" s="24">
        <f>E2717</f>
        <v>0</v>
      </c>
      <c r="H2717" s="20">
        <v>0.0</v>
      </c>
    </row>
    <row r="2718" ht="15.75" hidden="1" customHeight="1">
      <c r="A2718" s="20" t="s">
        <v>224</v>
      </c>
      <c r="B2718" s="47" t="s">
        <v>231</v>
      </c>
      <c r="C2718" s="47"/>
      <c r="D2718" s="19" t="s">
        <v>148</v>
      </c>
      <c r="E2718" s="23">
        <v>1311.0</v>
      </c>
      <c r="F2718" s="18">
        <f>E2718* 0.00302222222222222</f>
        <v>3.962133333</v>
      </c>
      <c r="G2718" s="18">
        <f>E2718* 0.996622222222222</f>
        <v>1306.571733</v>
      </c>
      <c r="H2718" s="18">
        <f>E2718* 0.000355555555555556</f>
        <v>0.4661333333</v>
      </c>
    </row>
    <row r="2719" ht="15.75" hidden="1" customHeight="1">
      <c r="A2719" s="20" t="s">
        <v>224</v>
      </c>
      <c r="B2719" s="47" t="s">
        <v>231</v>
      </c>
      <c r="C2719" s="47"/>
      <c r="D2719" s="19" t="s">
        <v>12</v>
      </c>
      <c r="E2719" s="23">
        <v>7225.0</v>
      </c>
      <c r="F2719" s="18">
        <f>E2719* 0.802335182557089</f>
        <v>5796.871694</v>
      </c>
      <c r="G2719" s="18">
        <f>E2719* 0.124687137143594</f>
        <v>900.8645659</v>
      </c>
      <c r="H2719" s="18">
        <f>E2719* 0.0729583279576829</f>
        <v>527.1239195</v>
      </c>
    </row>
    <row r="2720" ht="15.75" hidden="1" customHeight="1">
      <c r="A2720" s="20" t="s">
        <v>224</v>
      </c>
      <c r="B2720" s="20"/>
      <c r="C2720" s="20"/>
      <c r="D2720" s="46"/>
      <c r="E2720" s="35"/>
    </row>
    <row r="2721" ht="15.75" hidden="1" customHeight="1">
      <c r="A2721" s="20" t="s">
        <v>224</v>
      </c>
      <c r="B2721" s="47" t="s">
        <v>232</v>
      </c>
      <c r="C2721" s="12" t="str">
        <f>B2721&amp;"_"&amp;A2721</f>
        <v>Comarapa_Santa Cruz</v>
      </c>
      <c r="D2721" s="20"/>
      <c r="E2721" s="45">
        <v>1249.0</v>
      </c>
      <c r="F2721" s="14">
        <f t="shared" ref="F2721:H2721" si="231">SUM(F2722:F2734)</f>
        <v>1117.005084</v>
      </c>
      <c r="G2721" s="14">
        <f t="shared" si="231"/>
        <v>110.6730528</v>
      </c>
      <c r="H2721" s="14">
        <f t="shared" si="231"/>
        <v>21.22998491</v>
      </c>
    </row>
    <row r="2722" ht="15.75" hidden="1" customHeight="1">
      <c r="A2722" s="20" t="s">
        <v>224</v>
      </c>
      <c r="B2722" s="47" t="s">
        <v>232</v>
      </c>
      <c r="C2722" s="47"/>
      <c r="D2722" s="29" t="s">
        <v>612</v>
      </c>
      <c r="E2722" s="23">
        <v>0.0</v>
      </c>
      <c r="F2722" s="20">
        <v>0.0</v>
      </c>
      <c r="G2722" s="24">
        <f>E2722</f>
        <v>0</v>
      </c>
      <c r="H2722" s="20">
        <v>0.0</v>
      </c>
    </row>
    <row r="2723" ht="15.75" hidden="1" customHeight="1">
      <c r="A2723" s="20" t="s">
        <v>224</v>
      </c>
      <c r="B2723" s="47" t="s">
        <v>232</v>
      </c>
      <c r="C2723" s="47"/>
      <c r="D2723" s="19" t="s">
        <v>15</v>
      </c>
      <c r="E2723" s="23">
        <v>8.0</v>
      </c>
      <c r="F2723" s="18">
        <f>E2723* 0.932303048052446</f>
        <v>7.458424384</v>
      </c>
      <c r="G2723" s="18">
        <f>E2723* 0.0217058280204555</f>
        <v>0.1736466242</v>
      </c>
      <c r="H2723" s="18">
        <f>E2723* 0.0459798598751943</f>
        <v>0.367838879</v>
      </c>
    </row>
    <row r="2724" ht="15.75" hidden="1" customHeight="1">
      <c r="A2724" s="20" t="s">
        <v>224</v>
      </c>
      <c r="B2724" s="47" t="s">
        <v>232</v>
      </c>
      <c r="C2724" s="47"/>
      <c r="D2724" s="29" t="s">
        <v>613</v>
      </c>
      <c r="E2724" s="23">
        <v>9.0</v>
      </c>
      <c r="F2724" s="18">
        <f>E2724* 0.293894936109797</f>
        <v>2.645054425</v>
      </c>
      <c r="G2724" s="18">
        <f>E2724* 0.663038334122101</f>
        <v>5.967345007</v>
      </c>
      <c r="H2724" s="18">
        <f>E2724* 0.0430667297681022</f>
        <v>0.3876005679</v>
      </c>
    </row>
    <row r="2725" ht="15.75" hidden="1" customHeight="1">
      <c r="A2725" s="20" t="s">
        <v>224</v>
      </c>
      <c r="B2725" s="47" t="s">
        <v>232</v>
      </c>
      <c r="C2725" s="47"/>
      <c r="D2725" s="19" t="s">
        <v>11</v>
      </c>
      <c r="E2725" s="23">
        <v>68.0</v>
      </c>
      <c r="F2725" s="18">
        <f>E2725* 0.083479491676667</f>
        <v>5.676605434</v>
      </c>
      <c r="G2725" s="18">
        <f>E2725* 0.913505030924029</f>
        <v>62.1183421</v>
      </c>
      <c r="H2725" s="18">
        <f>E2725* 0.00292316686667282</f>
        <v>0.1987753469</v>
      </c>
    </row>
    <row r="2726" ht="15.75" hidden="1" customHeight="1">
      <c r="A2726" s="20" t="s">
        <v>224</v>
      </c>
      <c r="B2726" s="47" t="s">
        <v>232</v>
      </c>
      <c r="C2726" s="47"/>
      <c r="D2726" s="19" t="s">
        <v>17</v>
      </c>
      <c r="E2726" s="23">
        <v>43.0</v>
      </c>
      <c r="F2726" s="18">
        <f>E2726* 0.752045572242362</f>
        <v>32.33795961</v>
      </c>
      <c r="G2726" s="18">
        <f>E2726* 0.185827723114103</f>
        <v>7.990592094</v>
      </c>
      <c r="H2726" s="18">
        <f>E2726* 0.0620921802175039</f>
        <v>2.669963749</v>
      </c>
    </row>
    <row r="2727" ht="15.75" hidden="1" customHeight="1">
      <c r="A2727" s="20" t="s">
        <v>224</v>
      </c>
      <c r="B2727" s="47" t="s">
        <v>232</v>
      </c>
      <c r="C2727" s="47"/>
      <c r="D2727" s="19" t="s">
        <v>31</v>
      </c>
      <c r="E2727" s="23">
        <v>1.0</v>
      </c>
      <c r="F2727" s="18">
        <f>E2727* 0.929131175468484</f>
        <v>0.9291311755</v>
      </c>
      <c r="G2727" s="18">
        <f>E2727* 0.0477001703577513</f>
        <v>0.04770017036</v>
      </c>
      <c r="H2727" s="18">
        <f>E2727* 0.0231686541737649</f>
        <v>0.02316865417</v>
      </c>
    </row>
    <row r="2728" ht="15.75" hidden="1" customHeight="1">
      <c r="A2728" s="20" t="s">
        <v>224</v>
      </c>
      <c r="B2728" s="47" t="s">
        <v>232</v>
      </c>
      <c r="C2728" s="47"/>
      <c r="D2728" s="19" t="s">
        <v>18</v>
      </c>
      <c r="E2728" s="23">
        <v>13.0</v>
      </c>
      <c r="F2728" s="18">
        <f>E2728* 0.893702527830246</f>
        <v>11.61813286</v>
      </c>
      <c r="G2728" s="18">
        <f>E2728* 0.0946831169875015</f>
        <v>1.230880521</v>
      </c>
      <c r="H2728" s="18">
        <f>E2728* 0.0116143551822529</f>
        <v>0.1509866174</v>
      </c>
    </row>
    <row r="2729" ht="15.75" hidden="1" customHeight="1">
      <c r="A2729" s="20" t="s">
        <v>224</v>
      </c>
      <c r="B2729" s="47" t="s">
        <v>232</v>
      </c>
      <c r="C2729" s="47"/>
      <c r="D2729" s="19" t="s">
        <v>19</v>
      </c>
      <c r="E2729" s="23">
        <v>2.0</v>
      </c>
      <c r="F2729" s="18">
        <f>E2729* 0.0299845873616365</f>
        <v>0.05996917472</v>
      </c>
      <c r="G2729" s="18">
        <f>E2729* 0.96385035729298</f>
        <v>1.927700715</v>
      </c>
      <c r="H2729" s="18">
        <f>E2729* 0.00616505534538321</f>
        <v>0.01233011069</v>
      </c>
    </row>
    <row r="2730" ht="15.75" hidden="1" customHeight="1">
      <c r="A2730" s="20" t="s">
        <v>224</v>
      </c>
      <c r="B2730" s="47" t="s">
        <v>232</v>
      </c>
      <c r="C2730" s="47"/>
      <c r="D2730" s="19" t="s">
        <v>20</v>
      </c>
      <c r="E2730" s="23">
        <v>15.0</v>
      </c>
      <c r="F2730" s="18">
        <f>E2730* 0.734251968503937</f>
        <v>11.01377953</v>
      </c>
      <c r="G2730" s="18">
        <f>E2730* 0.158017179670723</f>
        <v>2.370257695</v>
      </c>
      <c r="H2730" s="18">
        <f>E2730* 0.107551896921976</f>
        <v>1.613278454</v>
      </c>
    </row>
    <row r="2731" ht="15.75" hidden="1" customHeight="1">
      <c r="A2731" s="20" t="s">
        <v>224</v>
      </c>
      <c r="B2731" s="47" t="s">
        <v>232</v>
      </c>
      <c r="C2731" s="47"/>
      <c r="D2731" s="19" t="s">
        <v>21</v>
      </c>
      <c r="E2731" s="23">
        <v>872.0</v>
      </c>
      <c r="F2731" s="18">
        <f>E2731* 0.999727092353423</f>
        <v>871.7620245</v>
      </c>
      <c r="G2731" s="18">
        <f>E2731* 0.0000516311763794744</f>
        <v>0.0450223858</v>
      </c>
      <c r="H2731" s="18">
        <f>E2731* 0.000132765882118648</f>
        <v>0.1157718492</v>
      </c>
    </row>
    <row r="2732" ht="15.75" hidden="1" customHeight="1">
      <c r="A2732" s="20" t="s">
        <v>224</v>
      </c>
      <c r="B2732" s="47" t="s">
        <v>232</v>
      </c>
      <c r="C2732" s="47"/>
      <c r="D2732" s="19" t="s">
        <v>36</v>
      </c>
      <c r="E2732" s="23">
        <v>1.0</v>
      </c>
      <c r="F2732" s="18">
        <f>E2732* 0.995894428152493</f>
        <v>0.9958944282</v>
      </c>
      <c r="G2732" s="18">
        <f>E2732* 0.000586510263929619</f>
        <v>0.0005865102639</v>
      </c>
      <c r="H2732" s="18">
        <f>E2732* 0.00351906158357771</f>
        <v>0.003519061584</v>
      </c>
    </row>
    <row r="2733" ht="15.75" hidden="1" customHeight="1">
      <c r="A2733" s="20" t="s">
        <v>224</v>
      </c>
      <c r="B2733" s="47" t="s">
        <v>232</v>
      </c>
      <c r="C2733" s="47"/>
      <c r="D2733" s="19" t="s">
        <v>148</v>
      </c>
      <c r="E2733" s="23">
        <v>2.0</v>
      </c>
      <c r="F2733" s="18">
        <f>E2733* 0.00302222222222222</f>
        <v>0.006044444444</v>
      </c>
      <c r="G2733" s="18">
        <f>E2733* 0.996622222222222</f>
        <v>1.993244444</v>
      </c>
      <c r="H2733" s="18">
        <f>E2733* 0.000355555555555556</f>
        <v>0.0007111111111</v>
      </c>
    </row>
    <row r="2734" ht="15.75" hidden="1" customHeight="1">
      <c r="A2734" s="20" t="s">
        <v>224</v>
      </c>
      <c r="B2734" s="47" t="s">
        <v>232</v>
      </c>
      <c r="C2734" s="47"/>
      <c r="D2734" s="19" t="s">
        <v>12</v>
      </c>
      <c r="E2734" s="23">
        <v>215.0</v>
      </c>
      <c r="F2734" s="18">
        <f>E2734* 0.802335182557089</f>
        <v>172.5020642</v>
      </c>
      <c r="G2734" s="18">
        <f>E2734* 0.124687137143594</f>
        <v>26.80773449</v>
      </c>
      <c r="H2734" s="18">
        <f>E2734* 0.0729583279576829</f>
        <v>15.68604051</v>
      </c>
    </row>
    <row r="2735" ht="15.75" hidden="1" customHeight="1">
      <c r="A2735" s="20" t="s">
        <v>224</v>
      </c>
      <c r="B2735" s="20"/>
      <c r="C2735" s="20"/>
      <c r="D2735" s="46"/>
      <c r="E2735" s="35"/>
    </row>
    <row r="2736" ht="15.75" hidden="1" customHeight="1">
      <c r="A2736" s="20" t="s">
        <v>224</v>
      </c>
      <c r="B2736" s="47" t="s">
        <v>233</v>
      </c>
      <c r="C2736" s="12" t="str">
        <f>B2736&amp;"_"&amp;A2736</f>
        <v>Concepción_Santa Cruz</v>
      </c>
      <c r="D2736" s="20"/>
      <c r="E2736" s="45">
        <v>745.0</v>
      </c>
      <c r="F2736" s="14">
        <f t="shared" ref="F2736:H2736" si="232">SUM(F2737:F2749)</f>
        <v>633.7644461</v>
      </c>
      <c r="G2736" s="14">
        <f t="shared" si="232"/>
        <v>90.87550042</v>
      </c>
      <c r="H2736" s="14">
        <f t="shared" si="232"/>
        <v>20.30107631</v>
      </c>
    </row>
    <row r="2737" ht="15.75" hidden="1" customHeight="1">
      <c r="A2737" s="20" t="s">
        <v>224</v>
      </c>
      <c r="B2737" s="47" t="s">
        <v>233</v>
      </c>
      <c r="C2737" s="47"/>
      <c r="D2737" s="29" t="s">
        <v>614</v>
      </c>
      <c r="E2737" s="23">
        <v>4.0</v>
      </c>
      <c r="F2737" s="20">
        <v>0.0</v>
      </c>
      <c r="G2737" s="24">
        <f>E2737</f>
        <v>4</v>
      </c>
      <c r="H2737" s="20">
        <v>0.0</v>
      </c>
    </row>
    <row r="2738" ht="15.75" hidden="1" customHeight="1">
      <c r="A2738" s="20" t="s">
        <v>224</v>
      </c>
      <c r="B2738" s="47" t="s">
        <v>233</v>
      </c>
      <c r="C2738" s="47"/>
      <c r="D2738" s="19" t="s">
        <v>15</v>
      </c>
      <c r="E2738" s="23">
        <v>14.0</v>
      </c>
      <c r="F2738" s="18">
        <f>E2738* 0.932303048052446</f>
        <v>13.05224267</v>
      </c>
      <c r="G2738" s="18">
        <f>E2738* 0.0217058280204555</f>
        <v>0.3038815923</v>
      </c>
      <c r="H2738" s="18">
        <f>E2738* 0.0459798598751943</f>
        <v>0.6437180383</v>
      </c>
    </row>
    <row r="2739" ht="15.75" hidden="1" customHeight="1">
      <c r="A2739" s="20" t="s">
        <v>224</v>
      </c>
      <c r="B2739" s="47" t="s">
        <v>233</v>
      </c>
      <c r="C2739" s="47"/>
      <c r="D2739" s="29" t="s">
        <v>615</v>
      </c>
      <c r="E2739" s="23">
        <v>4.0</v>
      </c>
      <c r="F2739" s="18">
        <f>E2739* 0.293894936109797</f>
        <v>1.175579744</v>
      </c>
      <c r="G2739" s="18">
        <f>E2739* 0.663038334122101</f>
        <v>2.652153336</v>
      </c>
      <c r="H2739" s="18">
        <f>E2739* 0.0430667297681022</f>
        <v>0.1722669191</v>
      </c>
    </row>
    <row r="2740" ht="15.75" hidden="1" customHeight="1">
      <c r="A2740" s="20" t="s">
        <v>224</v>
      </c>
      <c r="B2740" s="47" t="s">
        <v>233</v>
      </c>
      <c r="C2740" s="47"/>
      <c r="D2740" s="19" t="s">
        <v>11</v>
      </c>
      <c r="E2740" s="23">
        <v>39.0</v>
      </c>
      <c r="F2740" s="18">
        <f>E2740* 0.083479491676667</f>
        <v>3.255700175</v>
      </c>
      <c r="G2740" s="18">
        <f>E2740* 0.913505030924029</f>
        <v>35.62669621</v>
      </c>
      <c r="H2740" s="18">
        <f>E2740* 0.00292316686667282</f>
        <v>0.1140035078</v>
      </c>
    </row>
    <row r="2741" ht="15.75" hidden="1" customHeight="1">
      <c r="A2741" s="20" t="s">
        <v>224</v>
      </c>
      <c r="B2741" s="47" t="s">
        <v>233</v>
      </c>
      <c r="C2741" s="47"/>
      <c r="D2741" s="19" t="s">
        <v>17</v>
      </c>
      <c r="E2741" s="23">
        <v>92.0</v>
      </c>
      <c r="F2741" s="18">
        <f>E2741* 0.752045572242362</f>
        <v>69.18819265</v>
      </c>
      <c r="G2741" s="18">
        <f>E2741* 0.185827723114103</f>
        <v>17.09615053</v>
      </c>
      <c r="H2741" s="18">
        <f>E2741* 0.0620921802175039</f>
        <v>5.71248058</v>
      </c>
    </row>
    <row r="2742" ht="15.75" hidden="1" customHeight="1">
      <c r="A2742" s="20" t="s">
        <v>224</v>
      </c>
      <c r="B2742" s="47" t="s">
        <v>233</v>
      </c>
      <c r="C2742" s="47"/>
      <c r="D2742" s="19" t="s">
        <v>31</v>
      </c>
      <c r="E2742" s="23">
        <v>1.0</v>
      </c>
      <c r="F2742" s="18">
        <f>E2742* 0.929131175468484</f>
        <v>0.9291311755</v>
      </c>
      <c r="G2742" s="18">
        <f>E2742* 0.0477001703577513</f>
        <v>0.04770017036</v>
      </c>
      <c r="H2742" s="18">
        <f>E2742* 0.0231686541737649</f>
        <v>0.02316865417</v>
      </c>
    </row>
    <row r="2743" ht="15.75" hidden="1" customHeight="1">
      <c r="A2743" s="20" t="s">
        <v>224</v>
      </c>
      <c r="B2743" s="47" t="s">
        <v>233</v>
      </c>
      <c r="C2743" s="47"/>
      <c r="D2743" s="19" t="s">
        <v>18</v>
      </c>
      <c r="E2743" s="23">
        <v>14.0</v>
      </c>
      <c r="F2743" s="18">
        <f>E2743* 0.893702527830246</f>
        <v>12.51183539</v>
      </c>
      <c r="G2743" s="18">
        <f>E2743* 0.0946831169875015</f>
        <v>1.325563638</v>
      </c>
      <c r="H2743" s="18">
        <f>E2743* 0.0116143551822529</f>
        <v>0.1626009726</v>
      </c>
    </row>
    <row r="2744" ht="15.75" hidden="1" customHeight="1">
      <c r="A2744" s="20" t="s">
        <v>224</v>
      </c>
      <c r="B2744" s="47" t="s">
        <v>233</v>
      </c>
      <c r="C2744" s="47"/>
      <c r="D2744" s="19" t="s">
        <v>19</v>
      </c>
      <c r="E2744" s="23">
        <v>2.0</v>
      </c>
      <c r="F2744" s="18">
        <f>E2744* 0.0299845873616365</f>
        <v>0.05996917472</v>
      </c>
      <c r="G2744" s="18">
        <f>E2744* 0.96385035729298</f>
        <v>1.927700715</v>
      </c>
      <c r="H2744" s="18">
        <f>E2744* 0.00616505534538321</f>
        <v>0.01233011069</v>
      </c>
    </row>
    <row r="2745" ht="15.75" hidden="1" customHeight="1">
      <c r="A2745" s="20" t="s">
        <v>224</v>
      </c>
      <c r="B2745" s="47" t="s">
        <v>233</v>
      </c>
      <c r="C2745" s="47"/>
      <c r="D2745" s="19" t="s">
        <v>20</v>
      </c>
      <c r="E2745" s="23">
        <v>77.0</v>
      </c>
      <c r="F2745" s="18">
        <f>E2745* 0.734251968503937</f>
        <v>56.53740157</v>
      </c>
      <c r="G2745" s="18">
        <f>E2745* 0.158017179670723</f>
        <v>12.16732283</v>
      </c>
      <c r="H2745" s="18">
        <f>E2745* 0.107551896921976</f>
        <v>8.281496063</v>
      </c>
    </row>
    <row r="2746" ht="15.75" hidden="1" customHeight="1">
      <c r="A2746" s="20" t="s">
        <v>224</v>
      </c>
      <c r="B2746" s="47" t="s">
        <v>233</v>
      </c>
      <c r="C2746" s="47"/>
      <c r="D2746" s="19" t="s">
        <v>21</v>
      </c>
      <c r="E2746" s="23">
        <v>417.0</v>
      </c>
      <c r="F2746" s="18">
        <f>E2746* 0.999727092353423</f>
        <v>416.8861975</v>
      </c>
      <c r="G2746" s="18">
        <f>E2746* 0.0000516311763794744</f>
        <v>0.02153020055</v>
      </c>
      <c r="H2746" s="18">
        <f>E2746* 0.000132765882118648</f>
        <v>0.05536337284</v>
      </c>
    </row>
    <row r="2747" ht="15.75" hidden="1" customHeight="1">
      <c r="A2747" s="20" t="s">
        <v>224</v>
      </c>
      <c r="B2747" s="47" t="s">
        <v>233</v>
      </c>
      <c r="C2747" s="47"/>
      <c r="D2747" s="19" t="s">
        <v>36</v>
      </c>
      <c r="E2747" s="23">
        <v>4.0</v>
      </c>
      <c r="F2747" s="18">
        <f>E2747* 0.995894428152493</f>
        <v>3.983577713</v>
      </c>
      <c r="G2747" s="18">
        <f>E2747* 0.000586510263929619</f>
        <v>0.002346041056</v>
      </c>
      <c r="H2747" s="18">
        <f>E2747* 0.00351906158357771</f>
        <v>0.01407624633</v>
      </c>
    </row>
    <row r="2748" ht="15.75" hidden="1" customHeight="1">
      <c r="A2748" s="20" t="s">
        <v>224</v>
      </c>
      <c r="B2748" s="47" t="s">
        <v>233</v>
      </c>
      <c r="C2748" s="47"/>
      <c r="D2748" s="19" t="s">
        <v>148</v>
      </c>
      <c r="E2748" s="23">
        <v>7.0</v>
      </c>
      <c r="F2748" s="18">
        <f>E2748* 0.00302222222222222</f>
        <v>0.02115555556</v>
      </c>
      <c r="G2748" s="18">
        <f>E2748* 0.996622222222222</f>
        <v>6.976355556</v>
      </c>
      <c r="H2748" s="18">
        <f>E2748* 0.000355555555555556</f>
        <v>0.002488888889</v>
      </c>
    </row>
    <row r="2749" ht="15.75" hidden="1" customHeight="1">
      <c r="A2749" s="20" t="s">
        <v>224</v>
      </c>
      <c r="B2749" s="47" t="s">
        <v>233</v>
      </c>
      <c r="C2749" s="47"/>
      <c r="D2749" s="19" t="s">
        <v>12</v>
      </c>
      <c r="E2749" s="23">
        <v>70.0</v>
      </c>
      <c r="F2749" s="18">
        <f>E2749* 0.802335182557089</f>
        <v>56.16346278</v>
      </c>
      <c r="G2749" s="18">
        <f>E2749* 0.124687137143594</f>
        <v>8.7280996</v>
      </c>
      <c r="H2749" s="18">
        <f>E2749* 0.0729583279576829</f>
        <v>5.107082957</v>
      </c>
    </row>
    <row r="2750" ht="15.75" hidden="1" customHeight="1">
      <c r="A2750" s="20" t="s">
        <v>224</v>
      </c>
      <c r="B2750" s="20"/>
      <c r="C2750" s="20"/>
      <c r="D2750" s="46"/>
      <c r="E2750" s="35"/>
    </row>
    <row r="2751" ht="15.75" hidden="1" customHeight="1">
      <c r="A2751" s="20" t="s">
        <v>224</v>
      </c>
      <c r="B2751" s="47" t="s">
        <v>234</v>
      </c>
      <c r="C2751" s="12" t="str">
        <f>B2751&amp;"_"&amp;A2751</f>
        <v>Cotoca_Santa Cruz</v>
      </c>
      <c r="D2751" s="20"/>
      <c r="E2751" s="45">
        <v>29865.0</v>
      </c>
      <c r="F2751" s="14">
        <f t="shared" ref="F2751:H2751" si="233">SUM(F2752:F2765)</f>
        <v>28086.71913</v>
      </c>
      <c r="G2751" s="14">
        <f t="shared" si="233"/>
        <v>1421.863529</v>
      </c>
      <c r="H2751" s="14">
        <f t="shared" si="233"/>
        <v>354.1198151</v>
      </c>
    </row>
    <row r="2752" ht="15.75" hidden="1" customHeight="1">
      <c r="A2752" s="20" t="s">
        <v>224</v>
      </c>
      <c r="B2752" s="47" t="s">
        <v>234</v>
      </c>
      <c r="C2752" s="47"/>
      <c r="D2752" s="29" t="s">
        <v>616</v>
      </c>
      <c r="E2752" s="23">
        <v>5.0</v>
      </c>
      <c r="F2752" s="20">
        <v>0.0</v>
      </c>
      <c r="G2752" s="24">
        <f>E2752</f>
        <v>5</v>
      </c>
      <c r="H2752" s="20">
        <v>0.0</v>
      </c>
    </row>
    <row r="2753" ht="15.75" hidden="1" customHeight="1">
      <c r="A2753" s="20" t="s">
        <v>224</v>
      </c>
      <c r="B2753" s="47" t="s">
        <v>234</v>
      </c>
      <c r="C2753" s="47"/>
      <c r="D2753" s="19" t="s">
        <v>15</v>
      </c>
      <c r="E2753" s="23">
        <v>1274.0</v>
      </c>
      <c r="F2753" s="18">
        <f>E2753* 0.932303048052446</f>
        <v>1187.754083</v>
      </c>
      <c r="G2753" s="18">
        <f>E2753* 0.0217058280204555</f>
        <v>27.6532249</v>
      </c>
      <c r="H2753" s="18">
        <f>E2753* 0.0459798598751943</f>
        <v>58.57834148</v>
      </c>
    </row>
    <row r="2754" ht="15.75" hidden="1" customHeight="1">
      <c r="A2754" s="20" t="s">
        <v>224</v>
      </c>
      <c r="B2754" s="47" t="s">
        <v>234</v>
      </c>
      <c r="C2754" s="47"/>
      <c r="D2754" s="29" t="s">
        <v>617</v>
      </c>
      <c r="E2754" s="23">
        <v>46.0</v>
      </c>
      <c r="F2754" s="18">
        <f>E2754* 0.293894936109797</f>
        <v>13.51916706</v>
      </c>
      <c r="G2754" s="18">
        <f>E2754* 0.663038334122101</f>
        <v>30.49976337</v>
      </c>
      <c r="H2754" s="18">
        <f>E2754* 0.0430667297681022</f>
        <v>1.981069569</v>
      </c>
    </row>
    <row r="2755" ht="15.75" hidden="1" customHeight="1">
      <c r="A2755" s="20" t="s">
        <v>224</v>
      </c>
      <c r="B2755" s="47" t="s">
        <v>234</v>
      </c>
      <c r="C2755" s="47"/>
      <c r="D2755" s="19" t="s">
        <v>11</v>
      </c>
      <c r="E2755" s="23">
        <v>618.0</v>
      </c>
      <c r="F2755" s="18">
        <f>E2755* 0.083479491676667</f>
        <v>51.59032586</v>
      </c>
      <c r="G2755" s="18">
        <f>E2755* 0.913505030924029</f>
        <v>564.5461091</v>
      </c>
      <c r="H2755" s="18">
        <f>E2755* 0.00292316686667282</f>
        <v>1.806517124</v>
      </c>
    </row>
    <row r="2756" ht="15.75" hidden="1" customHeight="1">
      <c r="A2756" s="20" t="s">
        <v>224</v>
      </c>
      <c r="B2756" s="47" t="s">
        <v>234</v>
      </c>
      <c r="C2756" s="47"/>
      <c r="D2756" s="19" t="s">
        <v>17</v>
      </c>
      <c r="E2756" s="23">
        <v>741.0</v>
      </c>
      <c r="F2756" s="18">
        <f>E2756* 0.752045572242362</f>
        <v>557.265769</v>
      </c>
      <c r="G2756" s="18">
        <f>E2756* 0.185827723114103</f>
        <v>137.6983428</v>
      </c>
      <c r="H2756" s="18">
        <f>E2756* 0.0620921802175039</f>
        <v>46.01030554</v>
      </c>
    </row>
    <row r="2757" ht="15.75" hidden="1" customHeight="1">
      <c r="A2757" s="20" t="s">
        <v>224</v>
      </c>
      <c r="B2757" s="47" t="s">
        <v>234</v>
      </c>
      <c r="C2757" s="47"/>
      <c r="D2757" s="19" t="s">
        <v>31</v>
      </c>
      <c r="E2757" s="23">
        <v>44.0</v>
      </c>
      <c r="F2757" s="18">
        <f>E2757* 0.929131175468484</f>
        <v>40.88177172</v>
      </c>
      <c r="G2757" s="18">
        <f>E2757* 0.0477001703577513</f>
        <v>2.098807496</v>
      </c>
      <c r="H2757" s="18">
        <f>E2757* 0.0231686541737649</f>
        <v>1.019420784</v>
      </c>
    </row>
    <row r="2758" ht="15.75" hidden="1" customHeight="1">
      <c r="A2758" s="20" t="s">
        <v>224</v>
      </c>
      <c r="B2758" s="47" t="s">
        <v>234</v>
      </c>
      <c r="C2758" s="47"/>
      <c r="D2758" s="19" t="s">
        <v>18</v>
      </c>
      <c r="E2758" s="23">
        <v>264.0</v>
      </c>
      <c r="F2758" s="18">
        <f>E2758* 0.893702527830246</f>
        <v>235.9374673</v>
      </c>
      <c r="G2758" s="18">
        <f>E2758* 0.0946831169875015</f>
        <v>24.99634288</v>
      </c>
      <c r="H2758" s="18">
        <f>E2758* 0.0116143551822529</f>
        <v>3.066189768</v>
      </c>
    </row>
    <row r="2759" ht="15.75" hidden="1" customHeight="1">
      <c r="A2759" s="20" t="s">
        <v>224</v>
      </c>
      <c r="B2759" s="47" t="s">
        <v>234</v>
      </c>
      <c r="C2759" s="47"/>
      <c r="D2759" s="19" t="s">
        <v>19</v>
      </c>
      <c r="E2759" s="23">
        <v>133.0</v>
      </c>
      <c r="F2759" s="18">
        <f>E2759* 0.0299845873616365</f>
        <v>3.987950119</v>
      </c>
      <c r="G2759" s="18">
        <f>E2759* 0.96385035729298</f>
        <v>128.1920975</v>
      </c>
      <c r="H2759" s="18">
        <f>E2759* 0.00616505534538321</f>
        <v>0.8199523609</v>
      </c>
    </row>
    <row r="2760" ht="15.75" hidden="1" customHeight="1">
      <c r="A2760" s="20" t="s">
        <v>224</v>
      </c>
      <c r="B2760" s="47" t="s">
        <v>234</v>
      </c>
      <c r="C2760" s="47"/>
      <c r="D2760" s="19" t="s">
        <v>20</v>
      </c>
      <c r="E2760" s="23">
        <v>385.0</v>
      </c>
      <c r="F2760" s="18">
        <f>E2760* 0.734251968503937</f>
        <v>282.6870079</v>
      </c>
      <c r="G2760" s="18">
        <f>E2760* 0.158017179670723</f>
        <v>60.83661417</v>
      </c>
      <c r="H2760" s="18">
        <f>E2760* 0.107551896921976</f>
        <v>41.40748031</v>
      </c>
    </row>
    <row r="2761" ht="15.75" hidden="1" customHeight="1">
      <c r="A2761" s="20" t="s">
        <v>224</v>
      </c>
      <c r="B2761" s="47" t="s">
        <v>234</v>
      </c>
      <c r="C2761" s="47"/>
      <c r="D2761" s="19" t="s">
        <v>21</v>
      </c>
      <c r="E2761" s="23">
        <v>23496.0</v>
      </c>
      <c r="F2761" s="18">
        <f>E2761* 0.999727092353423</f>
        <v>23489.58776</v>
      </c>
      <c r="G2761" s="18">
        <f>E2761* 0.0000516311763794744</f>
        <v>1.21312612</v>
      </c>
      <c r="H2761" s="18">
        <f>E2761* 0.000132765882118648</f>
        <v>3.119467166</v>
      </c>
    </row>
    <row r="2762" ht="15.75" hidden="1" customHeight="1">
      <c r="A2762" s="20" t="s">
        <v>224</v>
      </c>
      <c r="B2762" s="47" t="s">
        <v>234</v>
      </c>
      <c r="C2762" s="47"/>
      <c r="D2762" s="19" t="s">
        <v>36</v>
      </c>
      <c r="E2762" s="23">
        <v>67.0</v>
      </c>
      <c r="F2762" s="18">
        <f>E2762* 0.995894428152493</f>
        <v>66.72492669</v>
      </c>
      <c r="G2762" s="18">
        <f>E2762* 0.000586510263929619</f>
        <v>0.03929618768</v>
      </c>
      <c r="H2762" s="18">
        <f>E2762* 0.00351906158357771</f>
        <v>0.2357771261</v>
      </c>
    </row>
    <row r="2763" ht="15.75" hidden="1" customHeight="1">
      <c r="A2763" s="20" t="s">
        <v>224</v>
      </c>
      <c r="B2763" s="47" t="s">
        <v>234</v>
      </c>
      <c r="C2763" s="47"/>
      <c r="D2763" s="19" t="s">
        <v>148</v>
      </c>
      <c r="E2763" s="23">
        <v>102.0</v>
      </c>
      <c r="F2763" s="18">
        <f>E2763* 0.00302222222222222</f>
        <v>0.3082666667</v>
      </c>
      <c r="G2763" s="18">
        <f>E2763* 0.996622222222222</f>
        <v>101.6554667</v>
      </c>
      <c r="H2763" s="18">
        <f>E2763* 0.000355555555555556</f>
        <v>0.03626666667</v>
      </c>
    </row>
    <row r="2764" ht="15.75" hidden="1" customHeight="1">
      <c r="A2764" s="20" t="s">
        <v>224</v>
      </c>
      <c r="B2764" s="47" t="s">
        <v>234</v>
      </c>
      <c r="C2764" s="47"/>
      <c r="D2764" s="19" t="s">
        <v>84</v>
      </c>
      <c r="E2764" s="23">
        <v>3.0</v>
      </c>
      <c r="F2764" s="20">
        <f>E2764*0.2</f>
        <v>0.6</v>
      </c>
      <c r="G2764" s="20">
        <f>E2764*0.8</f>
        <v>2.4</v>
      </c>
      <c r="H2764" s="20">
        <v>0.0</v>
      </c>
    </row>
    <row r="2765" ht="15.75" hidden="1" customHeight="1">
      <c r="A2765" s="20" t="s">
        <v>224</v>
      </c>
      <c r="B2765" s="47" t="s">
        <v>234</v>
      </c>
      <c r="C2765" s="47"/>
      <c r="D2765" s="19" t="s">
        <v>12</v>
      </c>
      <c r="E2765" s="23">
        <v>2687.0</v>
      </c>
      <c r="F2765" s="18">
        <f>E2765* 0.802335182557089</f>
        <v>2155.874636</v>
      </c>
      <c r="G2765" s="18">
        <f>E2765* 0.124687137143594</f>
        <v>335.0343375</v>
      </c>
      <c r="H2765" s="18">
        <f>E2765* 0.0729583279576829</f>
        <v>196.0390272</v>
      </c>
    </row>
    <row r="2766" ht="15.75" hidden="1" customHeight="1">
      <c r="A2766" s="20" t="s">
        <v>224</v>
      </c>
      <c r="B2766" s="20"/>
      <c r="C2766" s="20"/>
      <c r="D2766" s="46"/>
      <c r="E2766" s="35"/>
    </row>
    <row r="2767" ht="15.75" hidden="1" customHeight="1">
      <c r="A2767" s="20" t="s">
        <v>224</v>
      </c>
      <c r="B2767" s="47" t="s">
        <v>235</v>
      </c>
      <c r="C2767" s="12" t="str">
        <f>B2767&amp;"_"&amp;A2767</f>
        <v>Cuatro Cañadas_Santa Cruz</v>
      </c>
      <c r="D2767" s="20"/>
      <c r="E2767" s="45">
        <v>3659.0</v>
      </c>
      <c r="F2767" s="14">
        <f t="shared" ref="F2767:H2767" si="234">SUM(F2768:F2780)</f>
        <v>3162.730879</v>
      </c>
      <c r="G2767" s="14">
        <f t="shared" si="234"/>
        <v>408.4433254</v>
      </c>
      <c r="H2767" s="14">
        <f t="shared" si="234"/>
        <v>87.58554659</v>
      </c>
    </row>
    <row r="2768" ht="15.75" hidden="1" customHeight="1">
      <c r="A2768" s="20" t="s">
        <v>224</v>
      </c>
      <c r="B2768" s="47" t="s">
        <v>235</v>
      </c>
      <c r="C2768" s="47"/>
      <c r="D2768" s="29" t="s">
        <v>618</v>
      </c>
      <c r="E2768" s="23">
        <v>4.0</v>
      </c>
      <c r="F2768" s="20">
        <v>0.0</v>
      </c>
      <c r="G2768" s="24">
        <f>E2768</f>
        <v>4</v>
      </c>
      <c r="H2768" s="20">
        <v>0.0</v>
      </c>
    </row>
    <row r="2769" ht="15.75" hidden="1" customHeight="1">
      <c r="A2769" s="20" t="s">
        <v>224</v>
      </c>
      <c r="B2769" s="47" t="s">
        <v>235</v>
      </c>
      <c r="C2769" s="47"/>
      <c r="D2769" s="19" t="s">
        <v>15</v>
      </c>
      <c r="E2769" s="23">
        <v>110.0</v>
      </c>
      <c r="F2769" s="18">
        <f>E2769* 0.932303048052446</f>
        <v>102.5533353</v>
      </c>
      <c r="G2769" s="18">
        <f>E2769* 0.0217058280204555</f>
        <v>2.387641082</v>
      </c>
      <c r="H2769" s="18">
        <f>E2769* 0.0459798598751943</f>
        <v>5.057784586</v>
      </c>
    </row>
    <row r="2770" ht="15.75" hidden="1" customHeight="1">
      <c r="A2770" s="20" t="s">
        <v>224</v>
      </c>
      <c r="B2770" s="47" t="s">
        <v>235</v>
      </c>
      <c r="C2770" s="47"/>
      <c r="D2770" s="29" t="s">
        <v>619</v>
      </c>
      <c r="E2770" s="23">
        <v>3.0</v>
      </c>
      <c r="F2770" s="18">
        <f>E2770* 0.293894936109797</f>
        <v>0.8816848083</v>
      </c>
      <c r="G2770" s="18">
        <f>E2770* 0.663038334122101</f>
        <v>1.989115002</v>
      </c>
      <c r="H2770" s="18">
        <f>E2770* 0.0430667297681022</f>
        <v>0.1292001893</v>
      </c>
    </row>
    <row r="2771" ht="15.75" hidden="1" customHeight="1">
      <c r="A2771" s="20" t="s">
        <v>224</v>
      </c>
      <c r="B2771" s="47" t="s">
        <v>235</v>
      </c>
      <c r="C2771" s="47"/>
      <c r="D2771" s="19" t="s">
        <v>11</v>
      </c>
      <c r="E2771" s="23">
        <v>203.0</v>
      </c>
      <c r="F2771" s="18">
        <f>E2771* 0.083479491676667</f>
        <v>16.94633681</v>
      </c>
      <c r="G2771" s="18">
        <f>E2771* 0.913505030924029</f>
        <v>185.4415213</v>
      </c>
      <c r="H2771" s="18">
        <f>E2771* 0.00292316686667282</f>
        <v>0.5934028739</v>
      </c>
    </row>
    <row r="2772" ht="15.75" hidden="1" customHeight="1">
      <c r="A2772" s="20" t="s">
        <v>224</v>
      </c>
      <c r="B2772" s="47" t="s">
        <v>235</v>
      </c>
      <c r="C2772" s="47"/>
      <c r="D2772" s="19" t="s">
        <v>17</v>
      </c>
      <c r="E2772" s="23">
        <v>341.0</v>
      </c>
      <c r="F2772" s="18">
        <f>E2772* 0.752045572242362</f>
        <v>256.4475401</v>
      </c>
      <c r="G2772" s="18">
        <f>E2772* 0.185827723114103</f>
        <v>63.36725358</v>
      </c>
      <c r="H2772" s="18">
        <f>E2772* 0.0620921802175039</f>
        <v>21.17343345</v>
      </c>
    </row>
    <row r="2773" ht="15.75" hidden="1" customHeight="1">
      <c r="A2773" s="20" t="s">
        <v>224</v>
      </c>
      <c r="B2773" s="47" t="s">
        <v>235</v>
      </c>
      <c r="C2773" s="47"/>
      <c r="D2773" s="19" t="s">
        <v>31</v>
      </c>
      <c r="E2773" s="23">
        <v>10.0</v>
      </c>
      <c r="F2773" s="18">
        <f>E2773* 0.929131175468484</f>
        <v>9.291311755</v>
      </c>
      <c r="G2773" s="18">
        <f>E2773* 0.0477001703577513</f>
        <v>0.4770017036</v>
      </c>
      <c r="H2773" s="18">
        <f>E2773* 0.0231686541737649</f>
        <v>0.2316865417</v>
      </c>
    </row>
    <row r="2774" ht="15.75" hidden="1" customHeight="1">
      <c r="A2774" s="20" t="s">
        <v>224</v>
      </c>
      <c r="B2774" s="47" t="s">
        <v>235</v>
      </c>
      <c r="C2774" s="47"/>
      <c r="D2774" s="19" t="s">
        <v>18</v>
      </c>
      <c r="E2774" s="23">
        <v>31.0</v>
      </c>
      <c r="F2774" s="18">
        <f>E2774* 0.893702527830246</f>
        <v>27.70477836</v>
      </c>
      <c r="G2774" s="18">
        <f>E2774* 0.0946831169875015</f>
        <v>2.935176627</v>
      </c>
      <c r="H2774" s="18">
        <f>E2774* 0.0116143551822529</f>
        <v>0.3600450106</v>
      </c>
    </row>
    <row r="2775" ht="15.75" hidden="1" customHeight="1">
      <c r="A2775" s="20" t="s">
        <v>224</v>
      </c>
      <c r="B2775" s="47" t="s">
        <v>235</v>
      </c>
      <c r="C2775" s="47"/>
      <c r="D2775" s="19" t="s">
        <v>19</v>
      </c>
      <c r="E2775" s="23">
        <v>3.0</v>
      </c>
      <c r="F2775" s="18">
        <f>E2775* 0.0299845873616365</f>
        <v>0.08995376208</v>
      </c>
      <c r="G2775" s="18">
        <f>E2775* 0.96385035729298</f>
        <v>2.891551072</v>
      </c>
      <c r="H2775" s="18">
        <f>E2775* 0.00616505534538321</f>
        <v>0.01849516604</v>
      </c>
    </row>
    <row r="2776" ht="15.75" hidden="1" customHeight="1">
      <c r="A2776" s="20" t="s">
        <v>224</v>
      </c>
      <c r="B2776" s="47" t="s">
        <v>235</v>
      </c>
      <c r="C2776" s="47"/>
      <c r="D2776" s="19" t="s">
        <v>20</v>
      </c>
      <c r="E2776" s="23">
        <v>41.0</v>
      </c>
      <c r="F2776" s="18">
        <f>E2776* 0.734251968503937</f>
        <v>30.10433071</v>
      </c>
      <c r="G2776" s="18">
        <f>E2776* 0.158017179670723</f>
        <v>6.478704366</v>
      </c>
      <c r="H2776" s="18">
        <f>E2776* 0.107551896921976</f>
        <v>4.409627774</v>
      </c>
    </row>
    <row r="2777" ht="15.75" hidden="1" customHeight="1">
      <c r="A2777" s="20" t="s">
        <v>224</v>
      </c>
      <c r="B2777" s="47" t="s">
        <v>235</v>
      </c>
      <c r="C2777" s="47"/>
      <c r="D2777" s="19" t="s">
        <v>21</v>
      </c>
      <c r="E2777" s="23">
        <v>2107.0</v>
      </c>
      <c r="F2777" s="18">
        <f>E2777* 0.999727092353423</f>
        <v>2106.424984</v>
      </c>
      <c r="G2777" s="18">
        <f>E2777* 0.0000516311763794744</f>
        <v>0.1087868886</v>
      </c>
      <c r="H2777" s="18">
        <f>E2777* 0.000132765882118648</f>
        <v>0.2797377136</v>
      </c>
    </row>
    <row r="2778" ht="15.75" hidden="1" customHeight="1">
      <c r="A2778" s="20" t="s">
        <v>224</v>
      </c>
      <c r="B2778" s="47" t="s">
        <v>235</v>
      </c>
      <c r="C2778" s="47"/>
      <c r="D2778" s="19" t="s">
        <v>36</v>
      </c>
      <c r="E2778" s="23">
        <v>4.0</v>
      </c>
      <c r="F2778" s="18">
        <f>E2778* 0.995894428152493</f>
        <v>3.983577713</v>
      </c>
      <c r="G2778" s="18">
        <f>E2778* 0.000586510263929619</f>
        <v>0.002346041056</v>
      </c>
      <c r="H2778" s="18">
        <f>E2778* 0.00351906158357771</f>
        <v>0.01407624633</v>
      </c>
    </row>
    <row r="2779" ht="15.75" hidden="1" customHeight="1">
      <c r="A2779" s="20" t="s">
        <v>224</v>
      </c>
      <c r="B2779" s="47" t="s">
        <v>235</v>
      </c>
      <c r="C2779" s="47"/>
      <c r="D2779" s="19" t="s">
        <v>148</v>
      </c>
      <c r="E2779" s="23">
        <v>44.0</v>
      </c>
      <c r="F2779" s="18">
        <f>E2779* 0.00302222222222222</f>
        <v>0.1329777778</v>
      </c>
      <c r="G2779" s="18">
        <f>E2779* 0.996622222222222</f>
        <v>43.85137778</v>
      </c>
      <c r="H2779" s="18">
        <f>E2779* 0.000355555555555556</f>
        <v>0.01564444444</v>
      </c>
    </row>
    <row r="2780" ht="15.75" hidden="1" customHeight="1">
      <c r="A2780" s="20" t="s">
        <v>224</v>
      </c>
      <c r="B2780" s="47" t="s">
        <v>235</v>
      </c>
      <c r="C2780" s="47"/>
      <c r="D2780" s="19" t="s">
        <v>12</v>
      </c>
      <c r="E2780" s="23">
        <v>758.0</v>
      </c>
      <c r="F2780" s="18">
        <f>E2780* 0.802335182557089</f>
        <v>608.1700684</v>
      </c>
      <c r="G2780" s="18">
        <f>E2780* 0.124687137143594</f>
        <v>94.51284995</v>
      </c>
      <c r="H2780" s="18">
        <f>E2780* 0.0729583279576829</f>
        <v>55.30241259</v>
      </c>
    </row>
    <row r="2781" ht="15.75" hidden="1" customHeight="1">
      <c r="A2781" s="20" t="s">
        <v>224</v>
      </c>
      <c r="B2781" s="20"/>
      <c r="C2781" s="20"/>
      <c r="D2781" s="46"/>
      <c r="E2781" s="35"/>
    </row>
    <row r="2782" ht="15.75" hidden="1" customHeight="1">
      <c r="A2782" s="20" t="s">
        <v>224</v>
      </c>
      <c r="B2782" s="47" t="s">
        <v>236</v>
      </c>
      <c r="C2782" s="12" t="str">
        <f>B2782&amp;"_"&amp;A2782</f>
        <v>Cuevo_Santa Cruz</v>
      </c>
      <c r="D2782" s="20"/>
      <c r="E2782" s="45">
        <v>218.0</v>
      </c>
      <c r="F2782" s="14">
        <f t="shared" ref="F2782:H2782" si="235">SUM(F2783:F2792)</f>
        <v>160.523061</v>
      </c>
      <c r="G2782" s="14">
        <f t="shared" si="235"/>
        <v>49.53827792</v>
      </c>
      <c r="H2782" s="14">
        <f t="shared" si="235"/>
        <v>7.926673667</v>
      </c>
    </row>
    <row r="2783" ht="15.75" hidden="1" customHeight="1">
      <c r="A2783" s="20" t="s">
        <v>224</v>
      </c>
      <c r="B2783" s="47" t="s">
        <v>236</v>
      </c>
      <c r="C2783" s="47"/>
      <c r="D2783" s="19" t="s">
        <v>15</v>
      </c>
      <c r="E2783" s="23">
        <v>5.0</v>
      </c>
      <c r="F2783" s="18">
        <f>E2783* 0.932303048052446</f>
        <v>4.66151524</v>
      </c>
      <c r="G2783" s="18">
        <f>E2783* 0.0217058280204555</f>
        <v>0.1085291401</v>
      </c>
      <c r="H2783" s="18">
        <f>E2783* 0.0459798598751943</f>
        <v>0.2298992994</v>
      </c>
    </row>
    <row r="2784" ht="15.75" hidden="1" customHeight="1">
      <c r="A2784" s="20" t="s">
        <v>224</v>
      </c>
      <c r="B2784" s="47" t="s">
        <v>236</v>
      </c>
      <c r="C2784" s="47"/>
      <c r="D2784" s="19" t="s">
        <v>11</v>
      </c>
      <c r="E2784" s="23">
        <v>31.0</v>
      </c>
      <c r="F2784" s="18">
        <f>E2784* 0.083479491676667</f>
        <v>2.587864242</v>
      </c>
      <c r="G2784" s="18">
        <f>E2784* 0.913505030924029</f>
        <v>28.31865596</v>
      </c>
      <c r="H2784" s="18">
        <f>E2784* 0.00292316686667282</f>
        <v>0.09061817287</v>
      </c>
    </row>
    <row r="2785" ht="15.75" hidden="1" customHeight="1">
      <c r="A2785" s="20" t="s">
        <v>224</v>
      </c>
      <c r="B2785" s="47" t="s">
        <v>236</v>
      </c>
      <c r="C2785" s="47"/>
      <c r="D2785" s="19" t="s">
        <v>17</v>
      </c>
      <c r="E2785" s="23">
        <v>47.0</v>
      </c>
      <c r="F2785" s="18">
        <f>E2785* 0.752045572242362</f>
        <v>35.3461419</v>
      </c>
      <c r="G2785" s="18">
        <f>E2785* 0.185827723114103</f>
        <v>8.733902986</v>
      </c>
      <c r="H2785" s="18">
        <f>E2785* 0.0620921802175039</f>
        <v>2.91833247</v>
      </c>
    </row>
    <row r="2786" ht="15.75" hidden="1" customHeight="1">
      <c r="A2786" s="20" t="s">
        <v>224</v>
      </c>
      <c r="B2786" s="47" t="s">
        <v>236</v>
      </c>
      <c r="C2786" s="47"/>
      <c r="D2786" s="19" t="s">
        <v>31</v>
      </c>
      <c r="E2786" s="23">
        <v>1.0</v>
      </c>
      <c r="F2786" s="18">
        <f>E2786* 0.929131175468484</f>
        <v>0.9291311755</v>
      </c>
      <c r="G2786" s="18">
        <f>E2786* 0.0477001703577513</f>
        <v>0.04770017036</v>
      </c>
      <c r="H2786" s="18">
        <f>E2786* 0.0231686541737649</f>
        <v>0.02316865417</v>
      </c>
    </row>
    <row r="2787" ht="15.75" hidden="1" customHeight="1">
      <c r="A2787" s="20" t="s">
        <v>224</v>
      </c>
      <c r="B2787" s="47" t="s">
        <v>236</v>
      </c>
      <c r="C2787" s="47"/>
      <c r="D2787" s="19" t="s">
        <v>18</v>
      </c>
      <c r="E2787" s="23">
        <v>8.0</v>
      </c>
      <c r="F2787" s="18">
        <f>E2787* 0.893702527830246</f>
        <v>7.149620223</v>
      </c>
      <c r="G2787" s="18">
        <f>E2787* 0.0946831169875015</f>
        <v>0.7574649359</v>
      </c>
      <c r="H2787" s="18">
        <f>E2787* 0.0116143551822529</f>
        <v>0.09291484146</v>
      </c>
    </row>
    <row r="2788" ht="15.75" hidden="1" customHeight="1">
      <c r="A2788" s="20" t="s">
        <v>224</v>
      </c>
      <c r="B2788" s="47" t="s">
        <v>236</v>
      </c>
      <c r="C2788" s="47"/>
      <c r="D2788" s="19" t="s">
        <v>19</v>
      </c>
      <c r="E2788" s="23">
        <v>2.0</v>
      </c>
      <c r="F2788" s="18">
        <f>E2788* 0.0299845873616365</f>
        <v>0.05996917472</v>
      </c>
      <c r="G2788" s="18">
        <f>E2788* 0.96385035729298</f>
        <v>1.927700715</v>
      </c>
      <c r="H2788" s="18">
        <f>E2788* 0.00616505534538321</f>
        <v>0.01233011069</v>
      </c>
    </row>
    <row r="2789" ht="15.75" hidden="1" customHeight="1">
      <c r="A2789" s="20" t="s">
        <v>224</v>
      </c>
      <c r="B2789" s="47" t="s">
        <v>236</v>
      </c>
      <c r="C2789" s="47"/>
      <c r="D2789" s="19" t="s">
        <v>20</v>
      </c>
      <c r="E2789" s="23">
        <v>5.0</v>
      </c>
      <c r="F2789" s="18">
        <f>E2789* 0.734251968503937</f>
        <v>3.671259843</v>
      </c>
      <c r="G2789" s="18">
        <f>E2789* 0.158017179670723</f>
        <v>0.7900858984</v>
      </c>
      <c r="H2789" s="18">
        <f>E2789* 0.107551896921976</f>
        <v>0.5377594846</v>
      </c>
    </row>
    <row r="2790" ht="15.75" hidden="1" customHeight="1">
      <c r="A2790" s="20" t="s">
        <v>224</v>
      </c>
      <c r="B2790" s="47" t="s">
        <v>236</v>
      </c>
      <c r="C2790" s="47"/>
      <c r="D2790" s="19" t="s">
        <v>21</v>
      </c>
      <c r="E2790" s="23">
        <v>62.0</v>
      </c>
      <c r="F2790" s="18">
        <f>E2790* 0.999727092353423</f>
        <v>61.98307973</v>
      </c>
      <c r="G2790" s="18">
        <f>E2790* 0.0000516311763794744</f>
        <v>0.003201132936</v>
      </c>
      <c r="H2790" s="18">
        <f>E2790* 0.000132765882118648</f>
        <v>0.008231484691</v>
      </c>
    </row>
    <row r="2791" ht="15.75" hidden="1" customHeight="1">
      <c r="A2791" s="20" t="s">
        <v>224</v>
      </c>
      <c r="B2791" s="47" t="s">
        <v>236</v>
      </c>
      <c r="C2791" s="47"/>
      <c r="D2791" s="19" t="s">
        <v>148</v>
      </c>
      <c r="E2791" s="23">
        <v>2.0</v>
      </c>
      <c r="F2791" s="18">
        <f>E2791* 0.00302222222222222</f>
        <v>0.006044444444</v>
      </c>
      <c r="G2791" s="18">
        <f>E2791* 0.996622222222222</f>
        <v>1.993244444</v>
      </c>
      <c r="H2791" s="18">
        <f>E2791* 0.000355555555555556</f>
        <v>0.0007111111111</v>
      </c>
    </row>
    <row r="2792" ht="15.75" hidden="1" customHeight="1">
      <c r="A2792" s="20" t="s">
        <v>224</v>
      </c>
      <c r="B2792" s="47" t="s">
        <v>236</v>
      </c>
      <c r="C2792" s="47"/>
      <c r="D2792" s="19" t="s">
        <v>12</v>
      </c>
      <c r="E2792" s="23">
        <v>55.0</v>
      </c>
      <c r="F2792" s="18">
        <f>E2792* 0.802335182557089</f>
        <v>44.12843504</v>
      </c>
      <c r="G2792" s="18">
        <f>E2792* 0.124687137143594</f>
        <v>6.857792543</v>
      </c>
      <c r="H2792" s="18">
        <f>E2792* 0.0729583279576829</f>
        <v>4.012708038</v>
      </c>
    </row>
    <row r="2793" ht="15.75" hidden="1" customHeight="1">
      <c r="A2793" s="20" t="s">
        <v>224</v>
      </c>
      <c r="B2793" s="20"/>
      <c r="C2793" s="20"/>
      <c r="D2793" s="46"/>
      <c r="E2793" s="35"/>
    </row>
    <row r="2794" ht="15.75" hidden="1" customHeight="1">
      <c r="A2794" s="20" t="s">
        <v>224</v>
      </c>
      <c r="B2794" s="47" t="s">
        <v>237</v>
      </c>
      <c r="C2794" s="12" t="str">
        <f>B2794&amp;"_"&amp;A2794</f>
        <v>El Torno_Santa Cruz</v>
      </c>
      <c r="D2794" s="20"/>
      <c r="E2794" s="45">
        <v>62703.0</v>
      </c>
      <c r="F2794" s="14">
        <f t="shared" ref="F2794:H2794" si="236">SUM(F2795:F2809)</f>
        <v>58937.90679</v>
      </c>
      <c r="G2794" s="14">
        <f t="shared" si="236"/>
        <v>3119.549377</v>
      </c>
      <c r="H2794" s="14">
        <f t="shared" si="236"/>
        <v>640.7177905</v>
      </c>
    </row>
    <row r="2795" ht="15.75" hidden="1" customHeight="1">
      <c r="A2795" s="20" t="s">
        <v>224</v>
      </c>
      <c r="B2795" s="47" t="s">
        <v>237</v>
      </c>
      <c r="C2795" s="47"/>
      <c r="D2795" s="29" t="s">
        <v>620</v>
      </c>
      <c r="E2795" s="23">
        <v>17.0</v>
      </c>
      <c r="F2795" s="20">
        <v>0.0</v>
      </c>
      <c r="G2795" s="24">
        <f>E2795</f>
        <v>17</v>
      </c>
      <c r="H2795" s="20">
        <v>0.0</v>
      </c>
    </row>
    <row r="2796" ht="15.75" hidden="1" customHeight="1">
      <c r="A2796" s="20" t="s">
        <v>224</v>
      </c>
      <c r="B2796" s="47" t="s">
        <v>237</v>
      </c>
      <c r="C2796" s="47"/>
      <c r="D2796" s="19" t="s">
        <v>15</v>
      </c>
      <c r="E2796" s="23">
        <v>2086.0</v>
      </c>
      <c r="F2796" s="18">
        <f>E2796* 0.932303048052446</f>
        <v>1944.784158</v>
      </c>
      <c r="G2796" s="18">
        <f>E2796* 0.0217058280204555</f>
        <v>45.27835725</v>
      </c>
      <c r="H2796" s="18">
        <f>E2796* 0.0459798598751943</f>
        <v>95.9139877</v>
      </c>
    </row>
    <row r="2797" ht="15.75" hidden="1" customHeight="1">
      <c r="A2797" s="20" t="s">
        <v>224</v>
      </c>
      <c r="B2797" s="47" t="s">
        <v>237</v>
      </c>
      <c r="C2797" s="47"/>
      <c r="D2797" s="29" t="s">
        <v>621</v>
      </c>
      <c r="E2797" s="23">
        <v>96.0</v>
      </c>
      <c r="F2797" s="18">
        <f>E2797* 0.293894936109797</f>
        <v>28.21391387</v>
      </c>
      <c r="G2797" s="18">
        <f>E2797* 0.663038334122101</f>
        <v>63.65168008</v>
      </c>
      <c r="H2797" s="18">
        <f>E2797* 0.0430667297681022</f>
        <v>4.134406058</v>
      </c>
    </row>
    <row r="2798" ht="15.75" hidden="1" customHeight="1">
      <c r="A2798" s="20" t="s">
        <v>224</v>
      </c>
      <c r="B2798" s="47" t="s">
        <v>237</v>
      </c>
      <c r="C2798" s="47"/>
      <c r="D2798" s="19" t="s">
        <v>11</v>
      </c>
      <c r="E2798" s="23">
        <v>1491.0</v>
      </c>
      <c r="F2798" s="18">
        <f>E2798* 0.083479491676667</f>
        <v>124.4679221</v>
      </c>
      <c r="G2798" s="18">
        <f>E2798* 0.913505030924029</f>
        <v>1362.036001</v>
      </c>
      <c r="H2798" s="18">
        <f>E2798* 0.00292316686667282</f>
        <v>4.358441798</v>
      </c>
    </row>
    <row r="2799" ht="15.75" hidden="1" customHeight="1">
      <c r="A2799" s="20" t="s">
        <v>224</v>
      </c>
      <c r="B2799" s="47" t="s">
        <v>237</v>
      </c>
      <c r="C2799" s="47"/>
      <c r="D2799" s="19" t="s">
        <v>17</v>
      </c>
      <c r="E2799" s="23">
        <v>1954.0</v>
      </c>
      <c r="F2799" s="18">
        <f>E2799* 0.752045572242362</f>
        <v>1469.497048</v>
      </c>
      <c r="G2799" s="18">
        <f>E2799* 0.185827723114103</f>
        <v>363.107371</v>
      </c>
      <c r="H2799" s="18">
        <f>E2799* 0.0620921802175039</f>
        <v>121.3281201</v>
      </c>
    </row>
    <row r="2800" ht="15.75" hidden="1" customHeight="1">
      <c r="A2800" s="20" t="s">
        <v>224</v>
      </c>
      <c r="B2800" s="47" t="s">
        <v>237</v>
      </c>
      <c r="C2800" s="47"/>
      <c r="D2800" s="19" t="s">
        <v>31</v>
      </c>
      <c r="E2800" s="23">
        <v>62.0</v>
      </c>
      <c r="F2800" s="18">
        <f>E2800* 0.929131175468484</f>
        <v>57.60613288</v>
      </c>
      <c r="G2800" s="18">
        <f>E2800* 0.0477001703577513</f>
        <v>2.957410562</v>
      </c>
      <c r="H2800" s="18">
        <f>E2800* 0.0231686541737649</f>
        <v>1.436456559</v>
      </c>
    </row>
    <row r="2801" ht="15.75" hidden="1" customHeight="1">
      <c r="A2801" s="20" t="s">
        <v>224</v>
      </c>
      <c r="B2801" s="47" t="s">
        <v>237</v>
      </c>
      <c r="C2801" s="47"/>
      <c r="D2801" s="19" t="s">
        <v>18</v>
      </c>
      <c r="E2801" s="23">
        <v>584.0</v>
      </c>
      <c r="F2801" s="18">
        <f>E2801* 0.893702527830246</f>
        <v>521.9222763</v>
      </c>
      <c r="G2801" s="18">
        <f>E2801* 0.0946831169875015</f>
        <v>55.29494032</v>
      </c>
      <c r="H2801" s="18">
        <f>E2801* 0.0116143551822529</f>
        <v>6.782783426</v>
      </c>
    </row>
    <row r="2802" ht="15.75" hidden="1" customHeight="1">
      <c r="A2802" s="20" t="s">
        <v>224</v>
      </c>
      <c r="B2802" s="47" t="s">
        <v>237</v>
      </c>
      <c r="C2802" s="47"/>
      <c r="D2802" s="29" t="s">
        <v>622</v>
      </c>
      <c r="E2802" s="23">
        <v>1.0</v>
      </c>
      <c r="F2802" s="20">
        <v>0.0</v>
      </c>
      <c r="G2802" s="24">
        <f>E2802</f>
        <v>1</v>
      </c>
      <c r="H2802" s="20">
        <v>0.0</v>
      </c>
    </row>
    <row r="2803" ht="15.75" hidden="1" customHeight="1">
      <c r="A2803" s="20" t="s">
        <v>224</v>
      </c>
      <c r="B2803" s="47" t="s">
        <v>237</v>
      </c>
      <c r="C2803" s="47"/>
      <c r="D2803" s="19" t="s">
        <v>19</v>
      </c>
      <c r="E2803" s="23">
        <v>116.0</v>
      </c>
      <c r="F2803" s="18">
        <f>E2803* 0.0299845873616365</f>
        <v>3.478212134</v>
      </c>
      <c r="G2803" s="18">
        <f>E2803* 0.96385035729298</f>
        <v>111.8066414</v>
      </c>
      <c r="H2803" s="18">
        <f>E2803* 0.00616505534538321</f>
        <v>0.7151464201</v>
      </c>
    </row>
    <row r="2804" ht="15.75" hidden="1" customHeight="1">
      <c r="A2804" s="20" t="s">
        <v>224</v>
      </c>
      <c r="B2804" s="47" t="s">
        <v>237</v>
      </c>
      <c r="C2804" s="47"/>
      <c r="D2804" s="19" t="s">
        <v>20</v>
      </c>
      <c r="E2804" s="23">
        <v>209.0</v>
      </c>
      <c r="F2804" s="18">
        <f>E2804* 0.734251968503937</f>
        <v>153.4586614</v>
      </c>
      <c r="G2804" s="18">
        <f>E2804* 0.158017179670723</f>
        <v>33.02559055</v>
      </c>
      <c r="H2804" s="18">
        <f>E2804* 0.107551896921976</f>
        <v>22.47834646</v>
      </c>
    </row>
    <row r="2805" ht="15.75" hidden="1" customHeight="1">
      <c r="A2805" s="20" t="s">
        <v>224</v>
      </c>
      <c r="B2805" s="47" t="s">
        <v>237</v>
      </c>
      <c r="C2805" s="47"/>
      <c r="D2805" s="19" t="s">
        <v>21</v>
      </c>
      <c r="E2805" s="23">
        <v>50392.0</v>
      </c>
      <c r="F2805" s="18">
        <f>E2805* 0.999727092353423</f>
        <v>50378.24764</v>
      </c>
      <c r="G2805" s="18">
        <f>E2805* 0.0000516311763794744</f>
        <v>2.60179824</v>
      </c>
      <c r="H2805" s="18">
        <f>E2805* 0.000132765882118648</f>
        <v>6.690338332</v>
      </c>
    </row>
    <row r="2806" ht="15.75" hidden="1" customHeight="1">
      <c r="A2806" s="20" t="s">
        <v>224</v>
      </c>
      <c r="B2806" s="47" t="s">
        <v>237</v>
      </c>
      <c r="C2806" s="47"/>
      <c r="D2806" s="19" t="s">
        <v>36</v>
      </c>
      <c r="E2806" s="23">
        <v>117.0</v>
      </c>
      <c r="F2806" s="18">
        <f>E2806* 0.995894428152493</f>
        <v>116.5196481</v>
      </c>
      <c r="G2806" s="18">
        <f>E2806* 0.000586510263929619</f>
        <v>0.06862170088</v>
      </c>
      <c r="H2806" s="18">
        <f>E2806* 0.00351906158357771</f>
        <v>0.4117302053</v>
      </c>
    </row>
    <row r="2807" ht="15.75" hidden="1" customHeight="1">
      <c r="A2807" s="20" t="s">
        <v>224</v>
      </c>
      <c r="B2807" s="47" t="s">
        <v>237</v>
      </c>
      <c r="C2807" s="47"/>
      <c r="D2807" s="19" t="s">
        <v>37</v>
      </c>
      <c r="E2807" s="23">
        <v>1.0</v>
      </c>
      <c r="F2807" s="20">
        <v>0.0</v>
      </c>
      <c r="G2807" s="24">
        <f>E2807</f>
        <v>1</v>
      </c>
      <c r="H2807" s="20">
        <v>0.0</v>
      </c>
    </row>
    <row r="2808" ht="15.75" hidden="1" customHeight="1">
      <c r="A2808" s="20" t="s">
        <v>224</v>
      </c>
      <c r="B2808" s="47" t="s">
        <v>237</v>
      </c>
      <c r="C2808" s="47"/>
      <c r="D2808" s="19" t="s">
        <v>28</v>
      </c>
      <c r="E2808" s="23">
        <v>419.0</v>
      </c>
      <c r="F2808" s="18">
        <f>E2808* 0.00302222222222222</f>
        <v>1.266311111</v>
      </c>
      <c r="G2808" s="18">
        <f>E2808* 0.996622222222222</f>
        <v>417.5847111</v>
      </c>
      <c r="H2808" s="18">
        <f>E2808* 0.000355555555555556</f>
        <v>0.1489777778</v>
      </c>
    </row>
    <row r="2809" ht="15.75" hidden="1" customHeight="1">
      <c r="A2809" s="20" t="s">
        <v>224</v>
      </c>
      <c r="B2809" s="47" t="s">
        <v>237</v>
      </c>
      <c r="C2809" s="47"/>
      <c r="D2809" s="19" t="s">
        <v>12</v>
      </c>
      <c r="E2809" s="23">
        <v>5158.0</v>
      </c>
      <c r="F2809" s="18">
        <f>E2809* 0.802335182557089</f>
        <v>4138.444872</v>
      </c>
      <c r="G2809" s="18">
        <f>E2809* 0.124687137143594</f>
        <v>643.1362534</v>
      </c>
      <c r="H2809" s="18">
        <f>E2809* 0.0729583279576829</f>
        <v>376.3190556</v>
      </c>
    </row>
    <row r="2810" ht="15.75" hidden="1" customHeight="1">
      <c r="A2810" s="20" t="s">
        <v>224</v>
      </c>
      <c r="B2810" s="20"/>
      <c r="C2810" s="20"/>
      <c r="D2810" s="46"/>
      <c r="E2810" s="35"/>
    </row>
    <row r="2811" ht="15.75" hidden="1" customHeight="1">
      <c r="A2811" s="20" t="s">
        <v>224</v>
      </c>
      <c r="B2811" s="47" t="s">
        <v>238</v>
      </c>
      <c r="C2811" s="12" t="str">
        <f>B2811&amp;"_"&amp;A2811</f>
        <v>Fernández Alonso_Santa Cruz</v>
      </c>
      <c r="D2811" s="20"/>
      <c r="E2811" s="45">
        <v>5095.0</v>
      </c>
      <c r="F2811" s="14">
        <f t="shared" ref="F2811:H2811" si="237">SUM(F2812:F2824)</f>
        <v>3820.526128</v>
      </c>
      <c r="G2811" s="14">
        <f t="shared" si="237"/>
        <v>1087.963616</v>
      </c>
      <c r="H2811" s="14">
        <f t="shared" si="237"/>
        <v>186.284476</v>
      </c>
    </row>
    <row r="2812" ht="15.75" hidden="1" customHeight="1">
      <c r="A2812" s="20" t="s">
        <v>224</v>
      </c>
      <c r="B2812" s="47" t="s">
        <v>238</v>
      </c>
      <c r="C2812" s="47"/>
      <c r="D2812" s="29" t="s">
        <v>623</v>
      </c>
      <c r="E2812" s="23">
        <v>0.0</v>
      </c>
      <c r="F2812" s="20">
        <v>0.0</v>
      </c>
      <c r="G2812" s="24">
        <f>E2812</f>
        <v>0</v>
      </c>
      <c r="H2812" s="20">
        <v>0.0</v>
      </c>
    </row>
    <row r="2813" ht="15.75" hidden="1" customHeight="1">
      <c r="A2813" s="20" t="s">
        <v>224</v>
      </c>
      <c r="B2813" s="47" t="s">
        <v>238</v>
      </c>
      <c r="C2813" s="47"/>
      <c r="D2813" s="19" t="s">
        <v>15</v>
      </c>
      <c r="E2813" s="23">
        <v>715.0</v>
      </c>
      <c r="F2813" s="18">
        <f>E2813* 0.932303048052446</f>
        <v>666.5966794</v>
      </c>
      <c r="G2813" s="18">
        <f>E2813* 0.0217058280204555</f>
        <v>15.51966703</v>
      </c>
      <c r="H2813" s="18">
        <f>E2813* 0.0459798598751943</f>
        <v>32.87559981</v>
      </c>
    </row>
    <row r="2814" ht="15.75" hidden="1" customHeight="1">
      <c r="A2814" s="20" t="s">
        <v>224</v>
      </c>
      <c r="B2814" s="47" t="s">
        <v>238</v>
      </c>
      <c r="C2814" s="47"/>
      <c r="D2814" s="29" t="s">
        <v>624</v>
      </c>
      <c r="E2814" s="23">
        <v>61.0</v>
      </c>
      <c r="F2814" s="18">
        <f>E2814* 0.293894936109797</f>
        <v>17.9275911</v>
      </c>
      <c r="G2814" s="18">
        <f>E2814* 0.663038334122101</f>
        <v>40.44533838</v>
      </c>
      <c r="H2814" s="18">
        <f>E2814* 0.0430667297681022</f>
        <v>2.627070516</v>
      </c>
    </row>
    <row r="2815" ht="15.75" hidden="1" customHeight="1">
      <c r="A2815" s="20" t="s">
        <v>224</v>
      </c>
      <c r="B2815" s="47" t="s">
        <v>238</v>
      </c>
      <c r="C2815" s="47"/>
      <c r="D2815" s="19" t="s">
        <v>11</v>
      </c>
      <c r="E2815" s="23">
        <v>482.0</v>
      </c>
      <c r="F2815" s="18">
        <f>E2815* 0.083479491676667</f>
        <v>40.23711499</v>
      </c>
      <c r="G2815" s="18">
        <f>E2815* 0.913505030924029</f>
        <v>440.3094249</v>
      </c>
      <c r="H2815" s="18">
        <f>E2815* 0.00292316686667282</f>
        <v>1.40896643</v>
      </c>
    </row>
    <row r="2816" ht="15.75" hidden="1" customHeight="1">
      <c r="A2816" s="20" t="s">
        <v>224</v>
      </c>
      <c r="B2816" s="47" t="s">
        <v>238</v>
      </c>
      <c r="C2816" s="47"/>
      <c r="D2816" s="19" t="s">
        <v>17</v>
      </c>
      <c r="E2816" s="23">
        <v>737.0</v>
      </c>
      <c r="F2816" s="18">
        <f>E2816* 0.752045572242362</f>
        <v>554.2575867</v>
      </c>
      <c r="G2816" s="18">
        <f>E2816* 0.185827723114103</f>
        <v>136.9550319</v>
      </c>
      <c r="H2816" s="18">
        <f>E2816* 0.0620921802175039</f>
        <v>45.76193682</v>
      </c>
    </row>
    <row r="2817" ht="15.75" hidden="1" customHeight="1">
      <c r="A2817" s="20" t="s">
        <v>224</v>
      </c>
      <c r="B2817" s="47" t="s">
        <v>238</v>
      </c>
      <c r="C2817" s="47"/>
      <c r="D2817" s="19" t="s">
        <v>31</v>
      </c>
      <c r="E2817" s="23">
        <v>26.0</v>
      </c>
      <c r="F2817" s="18">
        <f>E2817* 0.929131175468484</f>
        <v>24.15741056</v>
      </c>
      <c r="G2817" s="18">
        <f>E2817* 0.0477001703577513</f>
        <v>1.240204429</v>
      </c>
      <c r="H2817" s="18">
        <f>E2817* 0.0231686541737649</f>
        <v>0.6023850085</v>
      </c>
    </row>
    <row r="2818" ht="15.75" hidden="1" customHeight="1">
      <c r="A2818" s="20" t="s">
        <v>224</v>
      </c>
      <c r="B2818" s="47" t="s">
        <v>238</v>
      </c>
      <c r="C2818" s="47"/>
      <c r="D2818" s="19" t="s">
        <v>18</v>
      </c>
      <c r="E2818" s="23">
        <v>141.0</v>
      </c>
      <c r="F2818" s="18">
        <f>E2818* 0.893702527830246</f>
        <v>126.0120564</v>
      </c>
      <c r="G2818" s="18">
        <f>E2818* 0.0946831169875015</f>
        <v>13.3503195</v>
      </c>
      <c r="H2818" s="18">
        <f>E2818* 0.0116143551822529</f>
        <v>1.637624081</v>
      </c>
    </row>
    <row r="2819" ht="15.75" hidden="1" customHeight="1">
      <c r="A2819" s="20" t="s">
        <v>224</v>
      </c>
      <c r="B2819" s="47" t="s">
        <v>238</v>
      </c>
      <c r="C2819" s="47"/>
      <c r="D2819" s="19" t="s">
        <v>19</v>
      </c>
      <c r="E2819" s="23">
        <v>37.0</v>
      </c>
      <c r="F2819" s="18">
        <f>E2819* 0.0299845873616365</f>
        <v>1.109429732</v>
      </c>
      <c r="G2819" s="18">
        <f>E2819* 0.96385035729298</f>
        <v>35.66246322</v>
      </c>
      <c r="H2819" s="18">
        <f>E2819* 0.00616505534538321</f>
        <v>0.2281070478</v>
      </c>
    </row>
    <row r="2820" ht="15.75" hidden="1" customHeight="1">
      <c r="A2820" s="20" t="s">
        <v>224</v>
      </c>
      <c r="B2820" s="47" t="s">
        <v>238</v>
      </c>
      <c r="C2820" s="47"/>
      <c r="D2820" s="19" t="s">
        <v>20</v>
      </c>
      <c r="E2820" s="23">
        <v>45.0</v>
      </c>
      <c r="F2820" s="18">
        <f>E2820* 0.734251968503937</f>
        <v>33.04133858</v>
      </c>
      <c r="G2820" s="18">
        <f>E2820* 0.158017179670723</f>
        <v>7.110773085</v>
      </c>
      <c r="H2820" s="18">
        <f>E2820* 0.107551896921976</f>
        <v>4.839835361</v>
      </c>
    </row>
    <row r="2821" ht="15.75" hidden="1" customHeight="1">
      <c r="A2821" s="20" t="s">
        <v>224</v>
      </c>
      <c r="B2821" s="47" t="s">
        <v>238</v>
      </c>
      <c r="C2821" s="47"/>
      <c r="D2821" s="19" t="s">
        <v>21</v>
      </c>
      <c r="E2821" s="23">
        <v>1291.0</v>
      </c>
      <c r="F2821" s="18">
        <f>E2821* 0.999727092353423</f>
        <v>1290.647676</v>
      </c>
      <c r="G2821" s="18">
        <f>E2821* 0.0000516311763794744</f>
        <v>0.06665584871</v>
      </c>
      <c r="H2821" s="18">
        <f>E2821* 0.000132765882118648</f>
        <v>0.1714007538</v>
      </c>
    </row>
    <row r="2822" ht="15.75" hidden="1" customHeight="1">
      <c r="A2822" s="20" t="s">
        <v>224</v>
      </c>
      <c r="B2822" s="47" t="s">
        <v>238</v>
      </c>
      <c r="C2822" s="47"/>
      <c r="D2822" s="19" t="s">
        <v>36</v>
      </c>
      <c r="E2822" s="23">
        <v>10.0</v>
      </c>
      <c r="F2822" s="18">
        <f>E2822* 0.995894428152493</f>
        <v>9.958944282</v>
      </c>
      <c r="G2822" s="18">
        <f>E2822* 0.000586510263929619</f>
        <v>0.005865102639</v>
      </c>
      <c r="H2822" s="18">
        <f>E2822* 0.00351906158357771</f>
        <v>0.03519061584</v>
      </c>
    </row>
    <row r="2823" ht="15.75" hidden="1" customHeight="1">
      <c r="A2823" s="20" t="s">
        <v>224</v>
      </c>
      <c r="B2823" s="47" t="s">
        <v>238</v>
      </c>
      <c r="C2823" s="47"/>
      <c r="D2823" s="19" t="s">
        <v>148</v>
      </c>
      <c r="E2823" s="23">
        <v>234.0</v>
      </c>
      <c r="F2823" s="18">
        <f>E2823* 0.00302222222222222</f>
        <v>0.7072</v>
      </c>
      <c r="G2823" s="18">
        <f>E2823* 0.996622222222222</f>
        <v>233.2096</v>
      </c>
      <c r="H2823" s="18">
        <f>E2823* 0.000355555555555556</f>
        <v>0.0832</v>
      </c>
    </row>
    <row r="2824" ht="15.75" hidden="1" customHeight="1">
      <c r="A2824" s="20" t="s">
        <v>224</v>
      </c>
      <c r="B2824" s="47" t="s">
        <v>238</v>
      </c>
      <c r="C2824" s="47"/>
      <c r="D2824" s="19" t="s">
        <v>12</v>
      </c>
      <c r="E2824" s="23">
        <v>1316.0</v>
      </c>
      <c r="F2824" s="18">
        <f>E2824* 0.802335182557089</f>
        <v>1055.8731</v>
      </c>
      <c r="G2824" s="18">
        <f>E2824* 0.124687137143594</f>
        <v>164.0882725</v>
      </c>
      <c r="H2824" s="18">
        <f>E2824* 0.0729583279576829</f>
        <v>96.01315959</v>
      </c>
    </row>
    <row r="2825" ht="15.75" hidden="1" customHeight="1">
      <c r="A2825" s="20" t="s">
        <v>224</v>
      </c>
      <c r="B2825" s="20"/>
      <c r="C2825" s="20"/>
      <c r="D2825" s="46"/>
      <c r="E2825" s="35"/>
    </row>
    <row r="2826" ht="15.75" hidden="1" customHeight="1">
      <c r="A2826" s="20" t="s">
        <v>224</v>
      </c>
      <c r="B2826" s="47" t="s">
        <v>239</v>
      </c>
      <c r="C2826" s="12" t="str">
        <f>B2826&amp;"_"&amp;A2826</f>
        <v>Gral. Saavedra_Santa Cruz</v>
      </c>
      <c r="D2826" s="20"/>
      <c r="E2826" s="45">
        <v>19621.0</v>
      </c>
      <c r="F2826" s="14">
        <f t="shared" ref="F2826:H2826" si="238">SUM(F2827:F2840)</f>
        <v>18865.98402</v>
      </c>
      <c r="G2826" s="14">
        <f t="shared" si="238"/>
        <v>672.3526885</v>
      </c>
      <c r="H2826" s="14">
        <f t="shared" si="238"/>
        <v>81.02086424</v>
      </c>
    </row>
    <row r="2827" ht="15.75" hidden="1" customHeight="1">
      <c r="A2827" s="20" t="s">
        <v>224</v>
      </c>
      <c r="B2827" s="47" t="s">
        <v>239</v>
      </c>
      <c r="C2827" s="47"/>
      <c r="D2827" s="29" t="s">
        <v>625</v>
      </c>
      <c r="E2827" s="23">
        <v>0.0</v>
      </c>
      <c r="F2827" s="20">
        <v>0.0</v>
      </c>
      <c r="G2827" s="24">
        <f>E2827</f>
        <v>0</v>
      </c>
      <c r="H2827" s="20">
        <v>0.0</v>
      </c>
    </row>
    <row r="2828" ht="15.75" hidden="1" customHeight="1">
      <c r="A2828" s="20" t="s">
        <v>224</v>
      </c>
      <c r="B2828" s="47" t="s">
        <v>239</v>
      </c>
      <c r="C2828" s="47"/>
      <c r="D2828" s="19" t="s">
        <v>15</v>
      </c>
      <c r="E2828" s="23">
        <v>246.0</v>
      </c>
      <c r="F2828" s="18">
        <f>E2828* 0.932303048052446</f>
        <v>229.3465498</v>
      </c>
      <c r="G2828" s="18">
        <f>E2828* 0.0217058280204555</f>
        <v>5.339633693</v>
      </c>
      <c r="H2828" s="18">
        <f>E2828* 0.0459798598751943</f>
        <v>11.31104553</v>
      </c>
    </row>
    <row r="2829" ht="15.75" hidden="1" customHeight="1">
      <c r="A2829" s="20" t="s">
        <v>224</v>
      </c>
      <c r="B2829" s="47" t="s">
        <v>239</v>
      </c>
      <c r="C2829" s="47"/>
      <c r="D2829" s="29" t="s">
        <v>626</v>
      </c>
      <c r="E2829" s="23">
        <v>6.0</v>
      </c>
      <c r="F2829" s="18">
        <f>E2829* 0.293894936109797</f>
        <v>1.763369617</v>
      </c>
      <c r="G2829" s="18">
        <f>E2829* 0.663038334122101</f>
        <v>3.978230005</v>
      </c>
      <c r="H2829" s="18">
        <f>E2829* 0.0430667297681022</f>
        <v>0.2584003786</v>
      </c>
    </row>
    <row r="2830" ht="15.75" hidden="1" customHeight="1">
      <c r="A2830" s="20" t="s">
        <v>224</v>
      </c>
      <c r="B2830" s="47" t="s">
        <v>239</v>
      </c>
      <c r="C2830" s="47"/>
      <c r="D2830" s="19" t="s">
        <v>11</v>
      </c>
      <c r="E2830" s="23">
        <v>445.0</v>
      </c>
      <c r="F2830" s="18">
        <f>E2830* 0.083479491676667</f>
        <v>37.1483738</v>
      </c>
      <c r="G2830" s="18">
        <f>E2830* 0.913505030924029</f>
        <v>406.5097388</v>
      </c>
      <c r="H2830" s="18">
        <f>E2830* 0.00292316686667282</f>
        <v>1.300809256</v>
      </c>
    </row>
    <row r="2831" ht="15.75" hidden="1" customHeight="1">
      <c r="A2831" s="20" t="s">
        <v>224</v>
      </c>
      <c r="B2831" s="47" t="s">
        <v>239</v>
      </c>
      <c r="C2831" s="47"/>
      <c r="D2831" s="19" t="s">
        <v>17</v>
      </c>
      <c r="E2831" s="23">
        <v>370.0</v>
      </c>
      <c r="F2831" s="18">
        <f>E2831* 0.752045572242362</f>
        <v>278.2568617</v>
      </c>
      <c r="G2831" s="18">
        <f>E2831* 0.185827723114103</f>
        <v>68.75625755</v>
      </c>
      <c r="H2831" s="18">
        <f>E2831* 0.0620921802175039</f>
        <v>22.97410668</v>
      </c>
    </row>
    <row r="2832" ht="15.75" hidden="1" customHeight="1">
      <c r="A2832" s="20" t="s">
        <v>224</v>
      </c>
      <c r="B2832" s="47" t="s">
        <v>239</v>
      </c>
      <c r="C2832" s="47"/>
      <c r="D2832" s="19" t="s">
        <v>31</v>
      </c>
      <c r="E2832" s="23">
        <v>5.0</v>
      </c>
      <c r="F2832" s="18">
        <f>E2832* 0.929131175468484</f>
        <v>4.645655877</v>
      </c>
      <c r="G2832" s="18">
        <f>E2832* 0.0477001703577513</f>
        <v>0.2385008518</v>
      </c>
      <c r="H2832" s="18">
        <f>E2832* 0.0231686541737649</f>
        <v>0.1158432709</v>
      </c>
    </row>
    <row r="2833" ht="15.75" hidden="1" customHeight="1">
      <c r="A2833" s="20" t="s">
        <v>224</v>
      </c>
      <c r="B2833" s="47" t="s">
        <v>239</v>
      </c>
      <c r="C2833" s="47"/>
      <c r="D2833" s="19" t="s">
        <v>18</v>
      </c>
      <c r="E2833" s="23">
        <v>79.0</v>
      </c>
      <c r="F2833" s="18">
        <f>E2833* 0.893702527830246</f>
        <v>70.6024997</v>
      </c>
      <c r="G2833" s="18">
        <f>E2833* 0.0946831169875015</f>
        <v>7.479966242</v>
      </c>
      <c r="H2833" s="18">
        <f>E2833* 0.0116143551822529</f>
        <v>0.9175340594</v>
      </c>
    </row>
    <row r="2834" ht="15.75" hidden="1" customHeight="1">
      <c r="A2834" s="20" t="s">
        <v>224</v>
      </c>
      <c r="B2834" s="47" t="s">
        <v>239</v>
      </c>
      <c r="C2834" s="47"/>
      <c r="D2834" s="29" t="s">
        <v>627</v>
      </c>
      <c r="E2834" s="23">
        <v>1.0</v>
      </c>
      <c r="F2834" s="20">
        <v>0.0</v>
      </c>
      <c r="G2834" s="24">
        <f>E2834</f>
        <v>1</v>
      </c>
      <c r="H2834" s="20">
        <v>0.0</v>
      </c>
    </row>
    <row r="2835" ht="15.75" hidden="1" customHeight="1">
      <c r="A2835" s="20" t="s">
        <v>224</v>
      </c>
      <c r="B2835" s="47" t="s">
        <v>239</v>
      </c>
      <c r="C2835" s="47"/>
      <c r="D2835" s="19" t="s">
        <v>19</v>
      </c>
      <c r="E2835" s="23">
        <v>5.0</v>
      </c>
      <c r="F2835" s="18">
        <f>E2835* 0.0299845873616365</f>
        <v>0.1499229368</v>
      </c>
      <c r="G2835" s="18">
        <f>E2835* 0.96385035729298</f>
        <v>4.819251786</v>
      </c>
      <c r="H2835" s="18">
        <f>E2835* 0.00616505534538321</f>
        <v>0.03082527673</v>
      </c>
    </row>
    <row r="2836" ht="15.75" hidden="1" customHeight="1">
      <c r="A2836" s="20" t="s">
        <v>224</v>
      </c>
      <c r="B2836" s="47" t="s">
        <v>239</v>
      </c>
      <c r="C2836" s="47"/>
      <c r="D2836" s="19" t="s">
        <v>20</v>
      </c>
      <c r="E2836" s="23">
        <v>17.0</v>
      </c>
      <c r="F2836" s="18">
        <f>E2836* 0.734251968503937</f>
        <v>12.48228346</v>
      </c>
      <c r="G2836" s="18">
        <f>E2836* 0.158017179670723</f>
        <v>2.686292054</v>
      </c>
      <c r="H2836" s="18">
        <f>E2836* 0.107551896921976</f>
        <v>1.828382248</v>
      </c>
    </row>
    <row r="2837" ht="15.75" hidden="1" customHeight="1">
      <c r="A2837" s="20" t="s">
        <v>224</v>
      </c>
      <c r="B2837" s="47" t="s">
        <v>239</v>
      </c>
      <c r="C2837" s="47"/>
      <c r="D2837" s="19" t="s">
        <v>21</v>
      </c>
      <c r="E2837" s="23">
        <v>17763.0</v>
      </c>
      <c r="F2837" s="18">
        <f>E2837* 0.999727092353423</f>
        <v>17758.15234</v>
      </c>
      <c r="G2837" s="18">
        <f>E2837* 0.0000516311763794744</f>
        <v>0.917124586</v>
      </c>
      <c r="H2837" s="18">
        <f>E2837* 0.000132765882118648</f>
        <v>2.358320364</v>
      </c>
    </row>
    <row r="2838" ht="15.75" hidden="1" customHeight="1">
      <c r="A2838" s="20" t="s">
        <v>224</v>
      </c>
      <c r="B2838" s="47" t="s">
        <v>239</v>
      </c>
      <c r="C2838" s="47"/>
      <c r="D2838" s="19" t="s">
        <v>36</v>
      </c>
      <c r="E2838" s="23">
        <v>36.0</v>
      </c>
      <c r="F2838" s="18">
        <f>E2838* 0.995894428152493</f>
        <v>35.85219941</v>
      </c>
      <c r="G2838" s="18">
        <f>E2838* 0.000586510263929619</f>
        <v>0.0211143695</v>
      </c>
      <c r="H2838" s="18">
        <f>E2838* 0.00351906158357771</f>
        <v>0.126686217</v>
      </c>
    </row>
    <row r="2839" ht="15.75" hidden="1" customHeight="1">
      <c r="A2839" s="20" t="s">
        <v>224</v>
      </c>
      <c r="B2839" s="47" t="s">
        <v>239</v>
      </c>
      <c r="C2839" s="47"/>
      <c r="D2839" s="19" t="s">
        <v>28</v>
      </c>
      <c r="E2839" s="23">
        <v>103.0</v>
      </c>
      <c r="F2839" s="18">
        <f>E2839* 0.00302222222222222</f>
        <v>0.3112888889</v>
      </c>
      <c r="G2839" s="18">
        <f>E2839* 0.996622222222222</f>
        <v>102.6520889</v>
      </c>
      <c r="H2839" s="18">
        <f>E2839* 0.000355555555555556</f>
        <v>0.03662222222</v>
      </c>
    </row>
    <row r="2840" ht="15.75" hidden="1" customHeight="1">
      <c r="A2840" s="20" t="s">
        <v>224</v>
      </c>
      <c r="B2840" s="47" t="s">
        <v>239</v>
      </c>
      <c r="C2840" s="47"/>
      <c r="D2840" s="19" t="s">
        <v>12</v>
      </c>
      <c r="E2840" s="23">
        <v>545.0</v>
      </c>
      <c r="F2840" s="18">
        <f>E2840* 0.802335182557089</f>
        <v>437.2726745</v>
      </c>
      <c r="G2840" s="18">
        <f>E2840* 0.124687137143594</f>
        <v>67.95448974</v>
      </c>
      <c r="H2840" s="18">
        <f>E2840* 0.0729583279576829</f>
        <v>39.76228874</v>
      </c>
    </row>
    <row r="2841" ht="15.75" hidden="1" customHeight="1">
      <c r="A2841" s="20" t="s">
        <v>224</v>
      </c>
      <c r="B2841" s="20"/>
      <c r="C2841" s="20"/>
      <c r="D2841" s="46"/>
      <c r="E2841" s="35"/>
    </row>
    <row r="2842" ht="15.75" hidden="1" customHeight="1">
      <c r="A2842" s="20" t="s">
        <v>224</v>
      </c>
      <c r="B2842" s="47" t="s">
        <v>628</v>
      </c>
      <c r="C2842" s="12" t="str">
        <f>B2842&amp;"_"&amp;A2842</f>
        <v>Kereimba Iyaamba_Santa Cruz</v>
      </c>
      <c r="D2842" s="20"/>
      <c r="E2842" s="45">
        <v>1.0</v>
      </c>
      <c r="F2842" s="14">
        <f t="shared" ref="F2842:H2842" si="239">F2843</f>
        <v>0.7520455722</v>
      </c>
      <c r="G2842" s="14">
        <f t="shared" si="239"/>
        <v>0.1858277231</v>
      </c>
      <c r="H2842" s="14">
        <f t="shared" si="239"/>
        <v>0.06209218022</v>
      </c>
    </row>
    <row r="2843" ht="15.75" hidden="1" customHeight="1">
      <c r="A2843" s="20" t="s">
        <v>224</v>
      </c>
      <c r="B2843" s="47" t="s">
        <v>628</v>
      </c>
      <c r="C2843" s="47"/>
      <c r="D2843" s="19" t="s">
        <v>17</v>
      </c>
      <c r="E2843" s="23">
        <v>1.0</v>
      </c>
      <c r="F2843" s="18">
        <f>E2843* 0.752045572242362</f>
        <v>0.7520455722</v>
      </c>
      <c r="G2843" s="18">
        <f>E2843* 0.185827723114103</f>
        <v>0.1858277231</v>
      </c>
      <c r="H2843" s="18">
        <f>E2843* 0.0620921802175039</f>
        <v>0.06209218022</v>
      </c>
    </row>
    <row r="2844" ht="15.75" hidden="1" customHeight="1">
      <c r="A2844" s="20" t="s">
        <v>224</v>
      </c>
      <c r="B2844" s="20"/>
      <c r="C2844" s="20"/>
      <c r="D2844" s="46"/>
      <c r="E2844" s="35"/>
    </row>
    <row r="2845" ht="15.75" hidden="1" customHeight="1">
      <c r="A2845" s="20" t="s">
        <v>224</v>
      </c>
      <c r="B2845" s="47" t="s">
        <v>241</v>
      </c>
      <c r="C2845" s="12" t="str">
        <f>B2845&amp;"_"&amp;A2845</f>
        <v>La Guardia_Santa Cruz</v>
      </c>
      <c r="D2845" s="20"/>
      <c r="E2845" s="45">
        <v>42988.0</v>
      </c>
      <c r="F2845" s="14">
        <f t="shared" ref="F2845:H2845" si="240">SUM(F2846:F2858)</f>
        <v>35561.2811</v>
      </c>
      <c r="G2845" s="14">
        <f t="shared" si="240"/>
        <v>6025.685176</v>
      </c>
      <c r="H2845" s="14">
        <f t="shared" si="240"/>
        <v>1398.59936</v>
      </c>
    </row>
    <row r="2846" ht="15.75" hidden="1" customHeight="1">
      <c r="A2846" s="20" t="s">
        <v>224</v>
      </c>
      <c r="B2846" s="47" t="s">
        <v>241</v>
      </c>
      <c r="C2846" s="47"/>
      <c r="D2846" s="29" t="s">
        <v>629</v>
      </c>
      <c r="E2846" s="23">
        <v>10.0</v>
      </c>
      <c r="F2846" s="20">
        <v>0.0</v>
      </c>
      <c r="G2846" s="24">
        <f>E2846</f>
        <v>10</v>
      </c>
      <c r="H2846" s="20">
        <v>0.0</v>
      </c>
    </row>
    <row r="2847" ht="15.75" hidden="1" customHeight="1">
      <c r="A2847" s="20" t="s">
        <v>224</v>
      </c>
      <c r="B2847" s="47" t="s">
        <v>241</v>
      </c>
      <c r="C2847" s="47"/>
      <c r="D2847" s="19" t="s">
        <v>15</v>
      </c>
      <c r="E2847" s="23">
        <v>4910.0</v>
      </c>
      <c r="F2847" s="18">
        <f>E2847* 0.932303048052446</f>
        <v>4577.607966</v>
      </c>
      <c r="G2847" s="18">
        <f>E2847* 0.0217058280204555</f>
        <v>106.5756156</v>
      </c>
      <c r="H2847" s="18">
        <f>E2847* 0.0459798598751943</f>
        <v>225.761112</v>
      </c>
    </row>
    <row r="2848" ht="15.75" hidden="1" customHeight="1">
      <c r="A2848" s="20" t="s">
        <v>224</v>
      </c>
      <c r="B2848" s="47" t="s">
        <v>241</v>
      </c>
      <c r="C2848" s="47"/>
      <c r="D2848" s="29" t="s">
        <v>630</v>
      </c>
      <c r="E2848" s="23">
        <v>305.0</v>
      </c>
      <c r="F2848" s="18">
        <f>E2848* 0.293894936109797</f>
        <v>89.63795551</v>
      </c>
      <c r="G2848" s="18">
        <f>E2848* 0.663038334122101</f>
        <v>202.2266919</v>
      </c>
      <c r="H2848" s="18">
        <f>E2848* 0.0430667297681022</f>
        <v>13.13535258</v>
      </c>
    </row>
    <row r="2849" ht="15.75" hidden="1" customHeight="1">
      <c r="A2849" s="20" t="s">
        <v>224</v>
      </c>
      <c r="B2849" s="47" t="s">
        <v>241</v>
      </c>
      <c r="C2849" s="47"/>
      <c r="D2849" s="19" t="s">
        <v>11</v>
      </c>
      <c r="E2849" s="23">
        <v>2443.0</v>
      </c>
      <c r="F2849" s="18">
        <f>E2849* 0.083479491676667</f>
        <v>203.9403982</v>
      </c>
      <c r="G2849" s="18">
        <f>E2849* 0.913505030924029</f>
        <v>2231.692791</v>
      </c>
      <c r="H2849" s="18">
        <f>E2849* 0.00292316686667282</f>
        <v>7.141296655</v>
      </c>
    </row>
    <row r="2850" ht="15.75" hidden="1" customHeight="1">
      <c r="A2850" s="20" t="s">
        <v>224</v>
      </c>
      <c r="B2850" s="47" t="s">
        <v>241</v>
      </c>
      <c r="C2850" s="47"/>
      <c r="D2850" s="19" t="s">
        <v>17</v>
      </c>
      <c r="E2850" s="23">
        <v>4003.0</v>
      </c>
      <c r="F2850" s="18">
        <f>E2850* 0.752045572242362</f>
        <v>3010.438426</v>
      </c>
      <c r="G2850" s="18">
        <f>E2850* 0.185827723114103</f>
        <v>743.8683756</v>
      </c>
      <c r="H2850" s="18">
        <f>E2850* 0.0620921802175039</f>
        <v>248.5549974</v>
      </c>
    </row>
    <row r="2851" ht="15.75" hidden="1" customHeight="1">
      <c r="A2851" s="20" t="s">
        <v>224</v>
      </c>
      <c r="B2851" s="47" t="s">
        <v>241</v>
      </c>
      <c r="C2851" s="47"/>
      <c r="D2851" s="19" t="s">
        <v>31</v>
      </c>
      <c r="E2851" s="23">
        <v>283.0</v>
      </c>
      <c r="F2851" s="18">
        <f>E2851* 0.929131175468484</f>
        <v>262.9441227</v>
      </c>
      <c r="G2851" s="18">
        <f>E2851* 0.0477001703577513</f>
        <v>13.49914821</v>
      </c>
      <c r="H2851" s="18">
        <f>E2851* 0.0231686541737649</f>
        <v>6.556729131</v>
      </c>
    </row>
    <row r="2852" ht="15.75" hidden="1" customHeight="1">
      <c r="A2852" s="20" t="s">
        <v>224</v>
      </c>
      <c r="B2852" s="47" t="s">
        <v>241</v>
      </c>
      <c r="C2852" s="47"/>
      <c r="D2852" s="19" t="s">
        <v>18</v>
      </c>
      <c r="E2852" s="23">
        <v>1195.0</v>
      </c>
      <c r="F2852" s="18">
        <f>E2852* 0.893702527830246</f>
        <v>1067.974521</v>
      </c>
      <c r="G2852" s="18">
        <f>E2852* 0.0946831169875015</f>
        <v>113.1463248</v>
      </c>
      <c r="H2852" s="18">
        <f>E2852* 0.0116143551822529</f>
        <v>13.87915444</v>
      </c>
    </row>
    <row r="2853" ht="15.75" hidden="1" customHeight="1">
      <c r="A2853" s="20" t="s">
        <v>224</v>
      </c>
      <c r="B2853" s="47" t="s">
        <v>241</v>
      </c>
      <c r="C2853" s="47"/>
      <c r="D2853" s="19" t="s">
        <v>19</v>
      </c>
      <c r="E2853" s="23">
        <v>352.0</v>
      </c>
      <c r="F2853" s="18">
        <f>E2853* 0.0299845873616365</f>
        <v>10.55457475</v>
      </c>
      <c r="G2853" s="18">
        <f>E2853* 0.96385035729298</f>
        <v>339.2753258</v>
      </c>
      <c r="H2853" s="18">
        <f>E2853* 0.00616505534538321</f>
        <v>2.170099482</v>
      </c>
    </row>
    <row r="2854" ht="15.75" hidden="1" customHeight="1">
      <c r="A2854" s="20" t="s">
        <v>224</v>
      </c>
      <c r="B2854" s="47" t="s">
        <v>241</v>
      </c>
      <c r="C2854" s="47"/>
      <c r="D2854" s="19" t="s">
        <v>20</v>
      </c>
      <c r="E2854" s="23">
        <v>1667.0</v>
      </c>
      <c r="F2854" s="18">
        <f>E2854* 0.734251968503937</f>
        <v>1223.998031</v>
      </c>
      <c r="G2854" s="18">
        <f>E2854* 0.158017179670723</f>
        <v>263.4146385</v>
      </c>
      <c r="H2854" s="18">
        <f>E2854* 0.107551896921976</f>
        <v>179.2890122</v>
      </c>
    </row>
    <row r="2855" ht="15.75" hidden="1" customHeight="1">
      <c r="A2855" s="20" t="s">
        <v>224</v>
      </c>
      <c r="B2855" s="47" t="s">
        <v>241</v>
      </c>
      <c r="C2855" s="47"/>
      <c r="D2855" s="19" t="s">
        <v>21</v>
      </c>
      <c r="E2855" s="23">
        <v>17304.0</v>
      </c>
      <c r="F2855" s="18">
        <f>E2855* 0.999727092353423</f>
        <v>17299.27761</v>
      </c>
      <c r="G2855" s="18">
        <f>E2855* 0.0000516311763794744</f>
        <v>0.8934258761</v>
      </c>
      <c r="H2855" s="18">
        <f>E2855* 0.000132765882118648</f>
        <v>2.297380824</v>
      </c>
    </row>
    <row r="2856" ht="15.75" hidden="1" customHeight="1">
      <c r="A2856" s="20" t="s">
        <v>224</v>
      </c>
      <c r="B2856" s="47" t="s">
        <v>241</v>
      </c>
      <c r="C2856" s="47"/>
      <c r="D2856" s="19" t="s">
        <v>36</v>
      </c>
      <c r="E2856" s="23">
        <v>125.0</v>
      </c>
      <c r="F2856" s="18">
        <f>E2856* 0.995894428152493</f>
        <v>124.4868035</v>
      </c>
      <c r="G2856" s="18">
        <f>E2856* 0.000586510263929619</f>
        <v>0.07331378299</v>
      </c>
      <c r="H2856" s="18">
        <f>E2856* 0.00351906158357771</f>
        <v>0.4398826979</v>
      </c>
    </row>
    <row r="2857" ht="15.75" hidden="1" customHeight="1">
      <c r="A2857" s="20" t="s">
        <v>224</v>
      </c>
      <c r="B2857" s="47" t="s">
        <v>241</v>
      </c>
      <c r="C2857" s="47"/>
      <c r="D2857" s="19" t="s">
        <v>28</v>
      </c>
      <c r="E2857" s="23">
        <v>809.0</v>
      </c>
      <c r="F2857" s="18">
        <f>E2857* 0.00302222222222222</f>
        <v>2.444977778</v>
      </c>
      <c r="G2857" s="18">
        <f>E2857* 0.996622222222222</f>
        <v>806.2673778</v>
      </c>
      <c r="H2857" s="18">
        <f>E2857* 0.000355555555555556</f>
        <v>0.2876444444</v>
      </c>
    </row>
    <row r="2858" ht="15.75" hidden="1" customHeight="1">
      <c r="A2858" s="20" t="s">
        <v>224</v>
      </c>
      <c r="B2858" s="47" t="s">
        <v>241</v>
      </c>
      <c r="C2858" s="47"/>
      <c r="D2858" s="19" t="s">
        <v>12</v>
      </c>
      <c r="E2858" s="23">
        <v>9582.0</v>
      </c>
      <c r="F2858" s="18">
        <f>E2858* 0.802335182557089</f>
        <v>7687.975719</v>
      </c>
      <c r="G2858" s="18">
        <f>E2858* 0.124687137143594</f>
        <v>1194.752148</v>
      </c>
      <c r="H2858" s="18">
        <f>E2858* 0.0729583279576829</f>
        <v>699.0866985</v>
      </c>
    </row>
    <row r="2859" ht="15.75" hidden="1" customHeight="1">
      <c r="A2859" s="20" t="s">
        <v>224</v>
      </c>
      <c r="B2859" s="20"/>
      <c r="C2859" s="20"/>
      <c r="D2859" s="46"/>
      <c r="E2859" s="35"/>
    </row>
    <row r="2860" ht="15.75" hidden="1" customHeight="1">
      <c r="A2860" s="20" t="s">
        <v>224</v>
      </c>
      <c r="B2860" s="47" t="s">
        <v>242</v>
      </c>
      <c r="C2860" s="12" t="str">
        <f>B2860&amp;"_"&amp;A2860</f>
        <v>Lagunillas_Santa Cruz</v>
      </c>
      <c r="D2860" s="20"/>
      <c r="E2860" s="45">
        <v>295.0</v>
      </c>
      <c r="F2860" s="14">
        <f t="shared" ref="F2860:H2860" si="241">SUM(F2861:F2872)</f>
        <v>167.4565726</v>
      </c>
      <c r="G2860" s="14">
        <f t="shared" si="241"/>
        <v>119.641611</v>
      </c>
      <c r="H2860" s="14">
        <f t="shared" si="241"/>
        <v>7.882836756</v>
      </c>
    </row>
    <row r="2861" ht="15.75" hidden="1" customHeight="1">
      <c r="A2861" s="20" t="s">
        <v>224</v>
      </c>
      <c r="B2861" s="47" t="s">
        <v>242</v>
      </c>
      <c r="C2861" s="47"/>
      <c r="D2861" s="29" t="s">
        <v>631</v>
      </c>
      <c r="E2861" s="23">
        <v>2.0</v>
      </c>
      <c r="F2861" s="20">
        <v>0.0</v>
      </c>
      <c r="G2861" s="24">
        <f>E2861</f>
        <v>2</v>
      </c>
      <c r="H2861" s="20">
        <v>0.0</v>
      </c>
    </row>
    <row r="2862" ht="15.75" hidden="1" customHeight="1">
      <c r="A2862" s="20" t="s">
        <v>224</v>
      </c>
      <c r="B2862" s="47" t="s">
        <v>242</v>
      </c>
      <c r="C2862" s="47"/>
      <c r="D2862" s="19" t="s">
        <v>15</v>
      </c>
      <c r="E2862" s="23">
        <v>19.0</v>
      </c>
      <c r="F2862" s="18">
        <f>E2862* 0.932303048052446</f>
        <v>17.71375791</v>
      </c>
      <c r="G2862" s="18">
        <f>E2862* 0.0217058280204555</f>
        <v>0.4124107324</v>
      </c>
      <c r="H2862" s="18">
        <f>E2862* 0.0459798598751943</f>
        <v>0.8736173376</v>
      </c>
    </row>
    <row r="2863" ht="15.75" hidden="1" customHeight="1">
      <c r="A2863" s="20" t="s">
        <v>224</v>
      </c>
      <c r="B2863" s="47" t="s">
        <v>242</v>
      </c>
      <c r="C2863" s="47"/>
      <c r="D2863" s="29" t="s">
        <v>632</v>
      </c>
      <c r="E2863" s="23">
        <v>6.0</v>
      </c>
      <c r="F2863" s="18">
        <f>E2863* 0.293894936109797</f>
        <v>1.763369617</v>
      </c>
      <c r="G2863" s="18">
        <f>E2863* 0.663038334122101</f>
        <v>3.978230005</v>
      </c>
      <c r="H2863" s="18">
        <f>E2863* 0.0430667297681022</f>
        <v>0.2584003786</v>
      </c>
    </row>
    <row r="2864" ht="15.75" hidden="1" customHeight="1">
      <c r="A2864" s="20" t="s">
        <v>224</v>
      </c>
      <c r="B2864" s="47" t="s">
        <v>242</v>
      </c>
      <c r="C2864" s="47"/>
      <c r="D2864" s="19" t="s">
        <v>11</v>
      </c>
      <c r="E2864" s="23">
        <v>92.0</v>
      </c>
      <c r="F2864" s="18">
        <f>E2864* 0.083479491676667</f>
        <v>7.680113234</v>
      </c>
      <c r="G2864" s="18">
        <f>E2864* 0.913505030924029</f>
        <v>84.04246285</v>
      </c>
      <c r="H2864" s="18">
        <f>E2864* 0.00292316686667282</f>
        <v>0.2689313517</v>
      </c>
    </row>
    <row r="2865" ht="15.75" hidden="1" customHeight="1">
      <c r="A2865" s="20" t="s">
        <v>224</v>
      </c>
      <c r="B2865" s="47" t="s">
        <v>242</v>
      </c>
      <c r="C2865" s="47"/>
      <c r="D2865" s="19" t="s">
        <v>17</v>
      </c>
      <c r="E2865" s="23">
        <v>25.0</v>
      </c>
      <c r="F2865" s="18">
        <f>E2865* 0.752045572242362</f>
        <v>18.80113931</v>
      </c>
      <c r="G2865" s="18">
        <f>E2865* 0.185827723114103</f>
        <v>4.645693078</v>
      </c>
      <c r="H2865" s="18">
        <f>E2865* 0.0620921802175039</f>
        <v>1.552304505</v>
      </c>
    </row>
    <row r="2866" ht="15.75" hidden="1" customHeight="1">
      <c r="A2866" s="20" t="s">
        <v>224</v>
      </c>
      <c r="B2866" s="47" t="s">
        <v>242</v>
      </c>
      <c r="C2866" s="47"/>
      <c r="D2866" s="19" t="s">
        <v>31</v>
      </c>
      <c r="E2866" s="23">
        <v>2.0</v>
      </c>
      <c r="F2866" s="18">
        <f>E2866* 0.929131175468484</f>
        <v>1.858262351</v>
      </c>
      <c r="G2866" s="18">
        <f>E2866* 0.0477001703577513</f>
        <v>0.09540034072</v>
      </c>
      <c r="H2866" s="18">
        <f>E2866* 0.0231686541737649</f>
        <v>0.04633730835</v>
      </c>
    </row>
    <row r="2867" ht="15.75" hidden="1" customHeight="1">
      <c r="A2867" s="20" t="s">
        <v>224</v>
      </c>
      <c r="B2867" s="47" t="s">
        <v>242</v>
      </c>
      <c r="C2867" s="47"/>
      <c r="D2867" s="19" t="s">
        <v>18</v>
      </c>
      <c r="E2867" s="23">
        <v>11.0</v>
      </c>
      <c r="F2867" s="18">
        <f>E2867* 0.893702527830246</f>
        <v>9.830727806</v>
      </c>
      <c r="G2867" s="18">
        <f>E2867* 0.0946831169875015</f>
        <v>1.041514287</v>
      </c>
      <c r="H2867" s="18">
        <f>E2867* 0.0116143551822529</f>
        <v>0.127757907</v>
      </c>
    </row>
    <row r="2868" ht="15.75" hidden="1" customHeight="1">
      <c r="A2868" s="20" t="s">
        <v>224</v>
      </c>
      <c r="B2868" s="47" t="s">
        <v>242</v>
      </c>
      <c r="C2868" s="47"/>
      <c r="D2868" s="19" t="s">
        <v>19</v>
      </c>
      <c r="E2868" s="23">
        <v>5.0</v>
      </c>
      <c r="F2868" s="18">
        <f>E2868* 0.0299845873616365</f>
        <v>0.1499229368</v>
      </c>
      <c r="G2868" s="18">
        <f>E2868* 0.96385035729298</f>
        <v>4.819251786</v>
      </c>
      <c r="H2868" s="18">
        <f>E2868* 0.00616505534538321</f>
        <v>0.03082527673</v>
      </c>
    </row>
    <row r="2869" ht="15.75" hidden="1" customHeight="1">
      <c r="A2869" s="20" t="s">
        <v>224</v>
      </c>
      <c r="B2869" s="47" t="s">
        <v>242</v>
      </c>
      <c r="C2869" s="47"/>
      <c r="D2869" s="19" t="s">
        <v>20</v>
      </c>
      <c r="E2869" s="23">
        <v>16.0</v>
      </c>
      <c r="F2869" s="18">
        <f>E2869* 0.734251968503937</f>
        <v>11.7480315</v>
      </c>
      <c r="G2869" s="18">
        <f>E2869* 0.158017179670723</f>
        <v>2.528274875</v>
      </c>
      <c r="H2869" s="18">
        <f>E2869* 0.107551896921976</f>
        <v>1.720830351</v>
      </c>
    </row>
    <row r="2870" ht="15.75" hidden="1" customHeight="1">
      <c r="A2870" s="20" t="s">
        <v>224</v>
      </c>
      <c r="B2870" s="47" t="s">
        <v>242</v>
      </c>
      <c r="C2870" s="47"/>
      <c r="D2870" s="19" t="s">
        <v>21</v>
      </c>
      <c r="E2870" s="23">
        <v>65.0</v>
      </c>
      <c r="F2870" s="18">
        <f>E2870* 0.999727092353423</f>
        <v>64.982261</v>
      </c>
      <c r="G2870" s="18">
        <f>E2870* 0.0000516311763794744</f>
        <v>0.003356026465</v>
      </c>
      <c r="H2870" s="18">
        <f>E2870* 0.000132765882118648</f>
        <v>0.008629782338</v>
      </c>
    </row>
    <row r="2871" ht="15.75" hidden="1" customHeight="1">
      <c r="A2871" s="20" t="s">
        <v>224</v>
      </c>
      <c r="B2871" s="47" t="s">
        <v>242</v>
      </c>
      <c r="C2871" s="47"/>
      <c r="D2871" s="19" t="s">
        <v>28</v>
      </c>
      <c r="E2871" s="23">
        <v>11.0</v>
      </c>
      <c r="F2871" s="18">
        <f>E2871* 0.00302222222222222</f>
        <v>0.03324444444</v>
      </c>
      <c r="G2871" s="18">
        <f>E2871* 0.996622222222222</f>
        <v>10.96284444</v>
      </c>
      <c r="H2871" s="18">
        <f>E2871* 0.000355555555555556</f>
        <v>0.003911111111</v>
      </c>
    </row>
    <row r="2872" ht="15.75" hidden="1" customHeight="1">
      <c r="A2872" s="20" t="s">
        <v>224</v>
      </c>
      <c r="B2872" s="47" t="s">
        <v>242</v>
      </c>
      <c r="C2872" s="47"/>
      <c r="D2872" s="19" t="s">
        <v>12</v>
      </c>
      <c r="E2872" s="23">
        <v>41.0</v>
      </c>
      <c r="F2872" s="18">
        <f>E2872* 0.802335182557089</f>
        <v>32.89574248</v>
      </c>
      <c r="G2872" s="18">
        <f>E2872* 0.124687137143594</f>
        <v>5.112172623</v>
      </c>
      <c r="H2872" s="18">
        <f>E2872* 0.0729583279576829</f>
        <v>2.991291446</v>
      </c>
    </row>
    <row r="2873" ht="15.75" hidden="1" customHeight="1">
      <c r="A2873" s="20" t="s">
        <v>224</v>
      </c>
      <c r="B2873" s="20"/>
      <c r="C2873" s="20"/>
      <c r="D2873" s="46"/>
      <c r="E2873" s="35"/>
    </row>
    <row r="2874" ht="15.75" hidden="1" customHeight="1">
      <c r="A2874" s="20" t="s">
        <v>224</v>
      </c>
      <c r="B2874" s="47" t="s">
        <v>243</v>
      </c>
      <c r="C2874" s="12" t="str">
        <f>B2874&amp;"_"&amp;A2874</f>
        <v>Mairana_Santa Cruz</v>
      </c>
      <c r="D2874" s="20"/>
      <c r="E2874" s="45">
        <v>692.0</v>
      </c>
      <c r="F2874" s="14">
        <f t="shared" ref="F2874:H2874" si="242">SUM(F2875:F2886)</f>
        <v>596.8118707</v>
      </c>
      <c r="G2874" s="14">
        <f t="shared" si="242"/>
        <v>85.4742388</v>
      </c>
      <c r="H2874" s="14">
        <f t="shared" si="242"/>
        <v>9.661139</v>
      </c>
    </row>
    <row r="2875" ht="15.75" hidden="1" customHeight="1">
      <c r="A2875" s="20" t="s">
        <v>224</v>
      </c>
      <c r="B2875" s="47" t="s">
        <v>243</v>
      </c>
      <c r="C2875" s="47"/>
      <c r="D2875" s="29" t="s">
        <v>633</v>
      </c>
      <c r="E2875" s="23">
        <v>6.0</v>
      </c>
      <c r="F2875" s="20">
        <v>0.0</v>
      </c>
      <c r="G2875" s="24">
        <f>E2875</f>
        <v>6</v>
      </c>
      <c r="H2875" s="20">
        <v>0.0</v>
      </c>
    </row>
    <row r="2876" ht="15.75" hidden="1" customHeight="1">
      <c r="A2876" s="20" t="s">
        <v>224</v>
      </c>
      <c r="B2876" s="47" t="s">
        <v>243</v>
      </c>
      <c r="C2876" s="47"/>
      <c r="D2876" s="19" t="s">
        <v>15</v>
      </c>
      <c r="E2876" s="23">
        <v>11.0</v>
      </c>
      <c r="F2876" s="18">
        <f>E2876* 0.932303048052446</f>
        <v>10.25533353</v>
      </c>
      <c r="G2876" s="18">
        <f>E2876* 0.0217058280204555</f>
        <v>0.2387641082</v>
      </c>
      <c r="H2876" s="18">
        <f>E2876* 0.0459798598751943</f>
        <v>0.5057784586</v>
      </c>
    </row>
    <row r="2877" ht="15.75" hidden="1" customHeight="1">
      <c r="A2877" s="20" t="s">
        <v>224</v>
      </c>
      <c r="B2877" s="47" t="s">
        <v>243</v>
      </c>
      <c r="C2877" s="47"/>
      <c r="D2877" s="29" t="s">
        <v>634</v>
      </c>
      <c r="E2877" s="23">
        <v>3.0</v>
      </c>
      <c r="F2877" s="18">
        <f>E2877* 0.293894936109797</f>
        <v>0.8816848083</v>
      </c>
      <c r="G2877" s="18">
        <f>E2877* 0.663038334122101</f>
        <v>1.989115002</v>
      </c>
      <c r="H2877" s="18">
        <f>E2877* 0.0430667297681022</f>
        <v>0.1292001893</v>
      </c>
    </row>
    <row r="2878" ht="15.75" hidden="1" customHeight="1">
      <c r="A2878" s="20" t="s">
        <v>224</v>
      </c>
      <c r="B2878" s="47" t="s">
        <v>243</v>
      </c>
      <c r="C2878" s="47"/>
      <c r="D2878" s="19" t="s">
        <v>11</v>
      </c>
      <c r="E2878" s="23">
        <v>65.0</v>
      </c>
      <c r="F2878" s="18">
        <f>E2878* 0.083479491676667</f>
        <v>5.426166959</v>
      </c>
      <c r="G2878" s="18">
        <f>E2878* 0.913505030924029</f>
        <v>59.37782701</v>
      </c>
      <c r="H2878" s="18">
        <f>E2878* 0.00292316686667282</f>
        <v>0.1900058463</v>
      </c>
    </row>
    <row r="2879" ht="15.75" hidden="1" customHeight="1">
      <c r="A2879" s="20" t="s">
        <v>224</v>
      </c>
      <c r="B2879" s="47" t="s">
        <v>243</v>
      </c>
      <c r="C2879" s="47"/>
      <c r="D2879" s="19" t="s">
        <v>17</v>
      </c>
      <c r="E2879" s="23">
        <v>22.0</v>
      </c>
      <c r="F2879" s="18">
        <f>E2879* 0.752045572242362</f>
        <v>16.54500259</v>
      </c>
      <c r="G2879" s="18">
        <f>E2879* 0.185827723114103</f>
        <v>4.088209909</v>
      </c>
      <c r="H2879" s="18">
        <f>E2879* 0.0620921802175039</f>
        <v>1.366027965</v>
      </c>
    </row>
    <row r="2880" ht="15.75" hidden="1" customHeight="1">
      <c r="A2880" s="20" t="s">
        <v>224</v>
      </c>
      <c r="B2880" s="47" t="s">
        <v>243</v>
      </c>
      <c r="C2880" s="47"/>
      <c r="D2880" s="19" t="s">
        <v>31</v>
      </c>
      <c r="E2880" s="23">
        <v>1.0</v>
      </c>
      <c r="F2880" s="18">
        <f>E2880* 0.929131175468484</f>
        <v>0.9291311755</v>
      </c>
      <c r="G2880" s="18">
        <f>E2880* 0.0477001703577513</f>
        <v>0.04770017036</v>
      </c>
      <c r="H2880" s="18">
        <f>E2880* 0.0231686541737649</f>
        <v>0.02316865417</v>
      </c>
    </row>
    <row r="2881" ht="15.75" hidden="1" customHeight="1">
      <c r="A2881" s="20" t="s">
        <v>224</v>
      </c>
      <c r="B2881" s="47" t="s">
        <v>243</v>
      </c>
      <c r="C2881" s="47"/>
      <c r="D2881" s="19" t="s">
        <v>18</v>
      </c>
      <c r="E2881" s="23">
        <v>5.0</v>
      </c>
      <c r="F2881" s="18">
        <f>E2881* 0.893702527830246</f>
        <v>4.468512639</v>
      </c>
      <c r="G2881" s="18">
        <f>E2881* 0.0946831169875015</f>
        <v>0.4734155849</v>
      </c>
      <c r="H2881" s="18">
        <f>E2881* 0.0116143551822529</f>
        <v>0.05807177591</v>
      </c>
    </row>
    <row r="2882" ht="15.75" hidden="1" customHeight="1">
      <c r="A2882" s="20" t="s">
        <v>224</v>
      </c>
      <c r="B2882" s="47" t="s">
        <v>243</v>
      </c>
      <c r="C2882" s="47"/>
      <c r="D2882" s="19" t="s">
        <v>19</v>
      </c>
      <c r="E2882" s="23">
        <v>1.0</v>
      </c>
      <c r="F2882" s="18">
        <f>E2882* 0.0299845873616365</f>
        <v>0.02998458736</v>
      </c>
      <c r="G2882" s="18">
        <f>E2882* 0.96385035729298</f>
        <v>0.9638503573</v>
      </c>
      <c r="H2882" s="18">
        <f>E2882* 0.00616505534538321</f>
        <v>0.006165055345</v>
      </c>
    </row>
    <row r="2883" ht="15.75" hidden="1" customHeight="1">
      <c r="A2883" s="20" t="s">
        <v>224</v>
      </c>
      <c r="B2883" s="47" t="s">
        <v>243</v>
      </c>
      <c r="C2883" s="47"/>
      <c r="D2883" s="19" t="s">
        <v>20</v>
      </c>
      <c r="E2883" s="23">
        <v>9.0</v>
      </c>
      <c r="F2883" s="18">
        <f>E2883* 0.734251968503937</f>
        <v>6.608267717</v>
      </c>
      <c r="G2883" s="18">
        <f>E2883* 0.158017179670723</f>
        <v>1.422154617</v>
      </c>
      <c r="H2883" s="18">
        <f>E2883* 0.107551896921976</f>
        <v>0.9679670723</v>
      </c>
    </row>
    <row r="2884" ht="15.75" hidden="1" customHeight="1">
      <c r="A2884" s="20" t="s">
        <v>224</v>
      </c>
      <c r="B2884" s="47" t="s">
        <v>243</v>
      </c>
      <c r="C2884" s="47"/>
      <c r="D2884" s="19" t="s">
        <v>21</v>
      </c>
      <c r="E2884" s="23">
        <v>481.0</v>
      </c>
      <c r="F2884" s="18">
        <f>E2884* 0.999727092353423</f>
        <v>480.8687314</v>
      </c>
      <c r="G2884" s="18">
        <f>E2884* 0.0000516311763794744</f>
        <v>0.02483459584</v>
      </c>
      <c r="H2884" s="18">
        <f>E2884* 0.000132765882118648</f>
        <v>0.0638603893</v>
      </c>
    </row>
    <row r="2885" ht="15.75" hidden="1" customHeight="1">
      <c r="A2885" s="20" t="s">
        <v>224</v>
      </c>
      <c r="B2885" s="47" t="s">
        <v>243</v>
      </c>
      <c r="C2885" s="47"/>
      <c r="D2885" s="19" t="s">
        <v>36</v>
      </c>
      <c r="E2885" s="23">
        <v>1.0</v>
      </c>
      <c r="F2885" s="18">
        <f>E2885* 0.995894428152493</f>
        <v>0.9958944282</v>
      </c>
      <c r="G2885" s="18">
        <f>E2885* 0.000586510263929619</f>
        <v>0.0005865102639</v>
      </c>
      <c r="H2885" s="18">
        <f>E2885* 0.00351906158357771</f>
        <v>0.003519061584</v>
      </c>
    </row>
    <row r="2886" ht="15.75" hidden="1" customHeight="1">
      <c r="A2886" s="20" t="s">
        <v>224</v>
      </c>
      <c r="B2886" s="47" t="s">
        <v>243</v>
      </c>
      <c r="C2886" s="47"/>
      <c r="D2886" s="19" t="s">
        <v>12</v>
      </c>
      <c r="E2886" s="23">
        <v>87.0</v>
      </c>
      <c r="F2886" s="18">
        <f>E2886* 0.802335182557089</f>
        <v>69.80316088</v>
      </c>
      <c r="G2886" s="18">
        <f>E2886* 0.124687137143594</f>
        <v>10.84778093</v>
      </c>
      <c r="H2886" s="18">
        <f>E2886* 0.0729583279576829</f>
        <v>6.347374532</v>
      </c>
    </row>
    <row r="2887" ht="15.75" hidden="1" customHeight="1">
      <c r="A2887" s="20" t="s">
        <v>224</v>
      </c>
      <c r="B2887" s="20"/>
      <c r="C2887" s="20"/>
      <c r="D2887" s="46"/>
      <c r="E2887" s="35"/>
    </row>
    <row r="2888" ht="15.75" hidden="1" customHeight="1">
      <c r="A2888" s="20" t="s">
        <v>224</v>
      </c>
      <c r="B2888" s="47" t="s">
        <v>244</v>
      </c>
      <c r="C2888" s="12" t="str">
        <f>B2888&amp;"_"&amp;A2888</f>
        <v>Mineros_Santa Cruz</v>
      </c>
      <c r="D2888" s="20"/>
      <c r="E2888" s="45">
        <v>6020.0</v>
      </c>
      <c r="F2888" s="14">
        <f t="shared" ref="F2888:H2888" si="243">SUM(F2889:F2902)</f>
        <v>5382.182568</v>
      </c>
      <c r="G2888" s="14">
        <f t="shared" si="243"/>
        <v>562.5897073</v>
      </c>
      <c r="H2888" s="14">
        <f t="shared" si="243"/>
        <v>74.78075344</v>
      </c>
    </row>
    <row r="2889" ht="15.75" hidden="1" customHeight="1">
      <c r="A2889" s="20" t="s">
        <v>224</v>
      </c>
      <c r="B2889" s="47" t="s">
        <v>244</v>
      </c>
      <c r="C2889" s="47"/>
      <c r="D2889" s="29" t="s">
        <v>635</v>
      </c>
      <c r="E2889" s="23">
        <v>0.0</v>
      </c>
      <c r="F2889" s="20">
        <v>0.0</v>
      </c>
      <c r="G2889" s="24">
        <f>E2889</f>
        <v>0</v>
      </c>
      <c r="H2889" s="20">
        <v>0.0</v>
      </c>
    </row>
    <row r="2890" ht="15.75" hidden="1" customHeight="1">
      <c r="A2890" s="20" t="s">
        <v>224</v>
      </c>
      <c r="B2890" s="47" t="s">
        <v>244</v>
      </c>
      <c r="C2890" s="47"/>
      <c r="D2890" s="19" t="s">
        <v>15</v>
      </c>
      <c r="E2890" s="23">
        <v>193.0</v>
      </c>
      <c r="F2890" s="18">
        <f>E2890* 0.932303048052446</f>
        <v>179.9344883</v>
      </c>
      <c r="G2890" s="18">
        <f>E2890* 0.0217058280204555</f>
        <v>4.189224808</v>
      </c>
      <c r="H2890" s="18">
        <f>E2890* 0.0459798598751943</f>
        <v>8.874112956</v>
      </c>
    </row>
    <row r="2891" ht="15.75" hidden="1" customHeight="1">
      <c r="A2891" s="20" t="s">
        <v>224</v>
      </c>
      <c r="B2891" s="47" t="s">
        <v>244</v>
      </c>
      <c r="C2891" s="47"/>
      <c r="D2891" s="29" t="s">
        <v>636</v>
      </c>
      <c r="E2891" s="23">
        <v>5.0</v>
      </c>
      <c r="F2891" s="18">
        <f>E2891* 0.293894936109797</f>
        <v>1.469474681</v>
      </c>
      <c r="G2891" s="18">
        <f>E2891* 0.663038334122101</f>
        <v>3.315191671</v>
      </c>
      <c r="H2891" s="18">
        <f>E2891* 0.0430667297681022</f>
        <v>0.2153336488</v>
      </c>
    </row>
    <row r="2892" ht="15.75" hidden="1" customHeight="1">
      <c r="A2892" s="20" t="s">
        <v>224</v>
      </c>
      <c r="B2892" s="47" t="s">
        <v>244</v>
      </c>
      <c r="C2892" s="47"/>
      <c r="D2892" s="19" t="s">
        <v>11</v>
      </c>
      <c r="E2892" s="23">
        <v>370.0</v>
      </c>
      <c r="F2892" s="18">
        <f>E2892* 0.083479491676667</f>
        <v>30.88741192</v>
      </c>
      <c r="G2892" s="18">
        <f>E2892* 0.913505030924029</f>
        <v>337.9968614</v>
      </c>
      <c r="H2892" s="18">
        <f>E2892* 0.00292316686667282</f>
        <v>1.081571741</v>
      </c>
    </row>
    <row r="2893" ht="15.75" hidden="1" customHeight="1">
      <c r="A2893" s="20" t="s">
        <v>224</v>
      </c>
      <c r="B2893" s="47" t="s">
        <v>244</v>
      </c>
      <c r="C2893" s="47"/>
      <c r="D2893" s="19" t="s">
        <v>17</v>
      </c>
      <c r="E2893" s="23">
        <v>292.0</v>
      </c>
      <c r="F2893" s="18">
        <f>E2893* 0.752045572242362</f>
        <v>219.5973071</v>
      </c>
      <c r="G2893" s="18">
        <f>E2893* 0.185827723114103</f>
        <v>54.26169515</v>
      </c>
      <c r="H2893" s="18">
        <f>E2893* 0.0620921802175039</f>
        <v>18.13091662</v>
      </c>
    </row>
    <row r="2894" ht="15.75" hidden="1" customHeight="1">
      <c r="A2894" s="20" t="s">
        <v>224</v>
      </c>
      <c r="B2894" s="47" t="s">
        <v>244</v>
      </c>
      <c r="C2894" s="47"/>
      <c r="D2894" s="19" t="s">
        <v>31</v>
      </c>
      <c r="E2894" s="23">
        <v>1.0</v>
      </c>
      <c r="F2894" s="18">
        <f>E2894* 0.929131175468484</f>
        <v>0.9291311755</v>
      </c>
      <c r="G2894" s="18">
        <f>E2894* 0.0477001703577513</f>
        <v>0.04770017036</v>
      </c>
      <c r="H2894" s="18">
        <f>E2894* 0.0231686541737649</f>
        <v>0.02316865417</v>
      </c>
    </row>
    <row r="2895" ht="15.75" hidden="1" customHeight="1">
      <c r="A2895" s="20" t="s">
        <v>224</v>
      </c>
      <c r="B2895" s="47" t="s">
        <v>244</v>
      </c>
      <c r="C2895" s="47"/>
      <c r="D2895" s="19" t="s">
        <v>18</v>
      </c>
      <c r="E2895" s="23">
        <v>83.0</v>
      </c>
      <c r="F2895" s="18">
        <f>E2895* 0.893702527830246</f>
        <v>74.17730981</v>
      </c>
      <c r="G2895" s="18">
        <f>E2895* 0.0946831169875015</f>
        <v>7.85869871</v>
      </c>
      <c r="H2895" s="18">
        <f>E2895* 0.0116143551822529</f>
        <v>0.9639914801</v>
      </c>
    </row>
    <row r="2896" ht="15.75" hidden="1" customHeight="1">
      <c r="A2896" s="20" t="s">
        <v>224</v>
      </c>
      <c r="B2896" s="47" t="s">
        <v>244</v>
      </c>
      <c r="C2896" s="47"/>
      <c r="D2896" s="29" t="s">
        <v>637</v>
      </c>
      <c r="E2896" s="23">
        <v>1.0</v>
      </c>
      <c r="F2896" s="20">
        <v>0.0</v>
      </c>
      <c r="G2896" s="24">
        <f>E2896</f>
        <v>1</v>
      </c>
      <c r="H2896" s="20">
        <v>0.0</v>
      </c>
    </row>
    <row r="2897" ht="15.75" hidden="1" customHeight="1">
      <c r="A2897" s="20" t="s">
        <v>224</v>
      </c>
      <c r="B2897" s="47" t="s">
        <v>244</v>
      </c>
      <c r="C2897" s="47"/>
      <c r="D2897" s="19" t="s">
        <v>19</v>
      </c>
      <c r="E2897" s="23">
        <v>8.0</v>
      </c>
      <c r="F2897" s="18">
        <f>E2897* 0.0299845873616365</f>
        <v>0.2398766989</v>
      </c>
      <c r="G2897" s="18">
        <f>E2897* 0.96385035729298</f>
        <v>7.710802858</v>
      </c>
      <c r="H2897" s="18">
        <f>E2897* 0.00616505534538321</f>
        <v>0.04932044276</v>
      </c>
    </row>
    <row r="2898" ht="15.75" hidden="1" customHeight="1">
      <c r="A2898" s="20" t="s">
        <v>224</v>
      </c>
      <c r="B2898" s="47" t="s">
        <v>244</v>
      </c>
      <c r="C2898" s="47"/>
      <c r="D2898" s="19" t="s">
        <v>20</v>
      </c>
      <c r="E2898" s="23">
        <v>12.0</v>
      </c>
      <c r="F2898" s="18">
        <f>E2898* 0.734251968503937</f>
        <v>8.811023622</v>
      </c>
      <c r="G2898" s="18">
        <f>E2898* 0.158017179670723</f>
        <v>1.896206156</v>
      </c>
      <c r="H2898" s="18">
        <f>E2898* 0.107551896921976</f>
        <v>1.290622763</v>
      </c>
    </row>
    <row r="2899" ht="15.75" hidden="1" customHeight="1">
      <c r="A2899" s="20" t="s">
        <v>224</v>
      </c>
      <c r="B2899" s="47" t="s">
        <v>244</v>
      </c>
      <c r="C2899" s="47"/>
      <c r="D2899" s="19" t="s">
        <v>21</v>
      </c>
      <c r="E2899" s="23">
        <v>4371.0</v>
      </c>
      <c r="F2899" s="18">
        <f>E2899* 0.999727092353423</f>
        <v>4369.807121</v>
      </c>
      <c r="G2899" s="18">
        <f>E2899* 0.0000516311763794744</f>
        <v>0.225679872</v>
      </c>
      <c r="H2899" s="18">
        <f>E2899* 0.000132765882118648</f>
        <v>0.5803196707</v>
      </c>
    </row>
    <row r="2900" ht="15.75" hidden="1" customHeight="1">
      <c r="A2900" s="20" t="s">
        <v>224</v>
      </c>
      <c r="B2900" s="47" t="s">
        <v>244</v>
      </c>
      <c r="C2900" s="47"/>
      <c r="D2900" s="19" t="s">
        <v>36</v>
      </c>
      <c r="E2900" s="23">
        <v>18.0</v>
      </c>
      <c r="F2900" s="18">
        <f>E2900* 0.995894428152493</f>
        <v>17.92609971</v>
      </c>
      <c r="G2900" s="18">
        <f>E2900* 0.000586510263929619</f>
        <v>0.01055718475</v>
      </c>
      <c r="H2900" s="18">
        <f>E2900* 0.00351906158357771</f>
        <v>0.0633431085</v>
      </c>
    </row>
    <row r="2901" ht="15.75" hidden="1" customHeight="1">
      <c r="A2901" s="20" t="s">
        <v>224</v>
      </c>
      <c r="B2901" s="47" t="s">
        <v>244</v>
      </c>
      <c r="C2901" s="47"/>
      <c r="D2901" s="19" t="s">
        <v>28</v>
      </c>
      <c r="E2901" s="23">
        <v>70.0</v>
      </c>
      <c r="F2901" s="18">
        <f>E2901* 0.00302222222222222</f>
        <v>0.2115555556</v>
      </c>
      <c r="G2901" s="18">
        <f>E2901* 0.996622222222222</f>
        <v>69.76355556</v>
      </c>
      <c r="H2901" s="18">
        <f>E2901* 0.000355555555555556</f>
        <v>0.02488888889</v>
      </c>
    </row>
    <row r="2902" ht="15.75" hidden="1" customHeight="1">
      <c r="A2902" s="20" t="s">
        <v>224</v>
      </c>
      <c r="B2902" s="47" t="s">
        <v>244</v>
      </c>
      <c r="C2902" s="47"/>
      <c r="D2902" s="19" t="s">
        <v>12</v>
      </c>
      <c r="E2902" s="23">
        <v>596.0</v>
      </c>
      <c r="F2902" s="18">
        <f>E2902* 0.802335182557089</f>
        <v>478.1917688</v>
      </c>
      <c r="G2902" s="18">
        <f>E2902* 0.124687137143594</f>
        <v>74.31353374</v>
      </c>
      <c r="H2902" s="18">
        <f>E2902* 0.0729583279576829</f>
        <v>43.48316346</v>
      </c>
    </row>
    <row r="2903" ht="15.75" hidden="1" customHeight="1">
      <c r="A2903" s="20" t="s">
        <v>224</v>
      </c>
      <c r="B2903" s="20"/>
      <c r="C2903" s="20"/>
      <c r="D2903" s="46"/>
      <c r="E2903" s="35"/>
    </row>
    <row r="2904" ht="15.75" hidden="1" customHeight="1">
      <c r="A2904" s="20" t="s">
        <v>224</v>
      </c>
      <c r="B2904" s="47" t="s">
        <v>245</v>
      </c>
      <c r="C2904" s="12" t="str">
        <f>B2904&amp;"_"&amp;A2904</f>
        <v>Montero_Santa Cruz</v>
      </c>
      <c r="D2904" s="20"/>
      <c r="E2904" s="45">
        <v>131837.0</v>
      </c>
      <c r="F2904" s="14">
        <f t="shared" ref="F2904:H2904" si="244">SUM(F2905:F2919)</f>
        <v>124150.7652</v>
      </c>
      <c r="G2904" s="14">
        <f t="shared" si="244"/>
        <v>6209.390311</v>
      </c>
      <c r="H2904" s="14">
        <f t="shared" si="244"/>
        <v>1466.645744</v>
      </c>
    </row>
    <row r="2905" ht="15.75" hidden="1" customHeight="1">
      <c r="A2905" s="20" t="s">
        <v>224</v>
      </c>
      <c r="B2905" s="47" t="s">
        <v>245</v>
      </c>
      <c r="C2905" s="47"/>
      <c r="D2905" s="29" t="s">
        <v>638</v>
      </c>
      <c r="E2905" s="23">
        <v>12.0</v>
      </c>
      <c r="F2905" s="20">
        <v>0.0</v>
      </c>
      <c r="G2905" s="24">
        <f>E2905</f>
        <v>12</v>
      </c>
      <c r="H2905" s="20">
        <v>0.0</v>
      </c>
    </row>
    <row r="2906" ht="15.75" hidden="1" customHeight="1">
      <c r="A2906" s="20" t="s">
        <v>224</v>
      </c>
      <c r="B2906" s="47" t="s">
        <v>245</v>
      </c>
      <c r="C2906" s="47"/>
      <c r="D2906" s="19" t="s">
        <v>15</v>
      </c>
      <c r="E2906" s="23">
        <v>4803.0</v>
      </c>
      <c r="F2906" s="18">
        <f>E2906* 0.932303048052446</f>
        <v>4477.85154</v>
      </c>
      <c r="G2906" s="18">
        <f>E2906* 0.0217058280204555</f>
        <v>104.253092</v>
      </c>
      <c r="H2906" s="18">
        <f>E2906* 0.0459798598751943</f>
        <v>220.841267</v>
      </c>
    </row>
    <row r="2907" ht="15.75" hidden="1" customHeight="1">
      <c r="A2907" s="20" t="s">
        <v>224</v>
      </c>
      <c r="B2907" s="47" t="s">
        <v>245</v>
      </c>
      <c r="C2907" s="47"/>
      <c r="D2907" s="29" t="s">
        <v>639</v>
      </c>
      <c r="E2907" s="23">
        <v>110.0</v>
      </c>
      <c r="F2907" s="18">
        <f>E2907* 0.293894936109797</f>
        <v>32.32844297</v>
      </c>
      <c r="G2907" s="18">
        <f>E2907* 0.663038334122101</f>
        <v>72.93421675</v>
      </c>
      <c r="H2907" s="18">
        <f>E2907* 0.0430667297681022</f>
        <v>4.737340274</v>
      </c>
    </row>
    <row r="2908" ht="15.75" hidden="1" customHeight="1">
      <c r="A2908" s="20" t="s">
        <v>224</v>
      </c>
      <c r="B2908" s="47" t="s">
        <v>245</v>
      </c>
      <c r="C2908" s="47"/>
      <c r="D2908" s="19" t="s">
        <v>11</v>
      </c>
      <c r="E2908" s="23">
        <v>3094.0</v>
      </c>
      <c r="F2908" s="18">
        <f>E2908* 0.083479491676667</f>
        <v>258.2855472</v>
      </c>
      <c r="G2908" s="18">
        <f>E2908* 0.913505030924029</f>
        <v>2826.384566</v>
      </c>
      <c r="H2908" s="18">
        <f>E2908* 0.00292316686667282</f>
        <v>9.044278285</v>
      </c>
    </row>
    <row r="2909" ht="15.75" hidden="1" customHeight="1">
      <c r="A2909" s="20" t="s">
        <v>224</v>
      </c>
      <c r="B2909" s="47" t="s">
        <v>245</v>
      </c>
      <c r="C2909" s="47"/>
      <c r="D2909" s="19" t="s">
        <v>17</v>
      </c>
      <c r="E2909" s="23">
        <v>4779.0</v>
      </c>
      <c r="F2909" s="18">
        <f>E2909* 0.752045572242362</f>
        <v>3594.02579</v>
      </c>
      <c r="G2909" s="18">
        <f>E2909* 0.185827723114103</f>
        <v>888.0706888</v>
      </c>
      <c r="H2909" s="18">
        <f>E2909* 0.0620921802175039</f>
        <v>296.7385293</v>
      </c>
    </row>
    <row r="2910" ht="15.75" hidden="1" customHeight="1">
      <c r="A2910" s="20" t="s">
        <v>224</v>
      </c>
      <c r="B2910" s="47" t="s">
        <v>245</v>
      </c>
      <c r="C2910" s="47"/>
      <c r="D2910" s="19" t="s">
        <v>31</v>
      </c>
      <c r="E2910" s="23">
        <v>94.0</v>
      </c>
      <c r="F2910" s="18">
        <f>E2910* 0.929131175468484</f>
        <v>87.33833049</v>
      </c>
      <c r="G2910" s="18">
        <f>E2910* 0.0477001703577513</f>
        <v>4.483816014</v>
      </c>
      <c r="H2910" s="18">
        <f>E2910* 0.0231686541737649</f>
        <v>2.177853492</v>
      </c>
    </row>
    <row r="2911" ht="15.75" hidden="1" customHeight="1">
      <c r="A2911" s="20" t="s">
        <v>224</v>
      </c>
      <c r="B2911" s="47" t="s">
        <v>245</v>
      </c>
      <c r="C2911" s="47"/>
      <c r="D2911" s="19" t="s">
        <v>18</v>
      </c>
      <c r="E2911" s="23">
        <v>1060.0</v>
      </c>
      <c r="F2911" s="18">
        <f>E2911* 0.893702527830246</f>
        <v>947.3246795</v>
      </c>
      <c r="G2911" s="18">
        <f>E2911* 0.0946831169875015</f>
        <v>100.364104</v>
      </c>
      <c r="H2911" s="18">
        <f>E2911* 0.0116143551822529</f>
        <v>12.31121649</v>
      </c>
    </row>
    <row r="2912" ht="15.75" hidden="1" customHeight="1">
      <c r="A2912" s="20" t="s">
        <v>224</v>
      </c>
      <c r="B2912" s="47" t="s">
        <v>245</v>
      </c>
      <c r="C2912" s="47"/>
      <c r="D2912" s="19" t="s">
        <v>19</v>
      </c>
      <c r="E2912" s="23">
        <v>191.0</v>
      </c>
      <c r="F2912" s="18">
        <f>E2912* 0.0299845873616365</f>
        <v>5.727056186</v>
      </c>
      <c r="G2912" s="18">
        <f>E2912* 0.96385035729298</f>
        <v>184.0954182</v>
      </c>
      <c r="H2912" s="18">
        <f>E2912* 0.00616505534538321</f>
        <v>1.177525571</v>
      </c>
    </row>
    <row r="2913" ht="15.75" hidden="1" customHeight="1">
      <c r="A2913" s="20" t="s">
        <v>224</v>
      </c>
      <c r="B2913" s="47" t="s">
        <v>245</v>
      </c>
      <c r="C2913" s="47"/>
      <c r="D2913" s="19" t="s">
        <v>20</v>
      </c>
      <c r="E2913" s="23">
        <v>990.0</v>
      </c>
      <c r="F2913" s="18">
        <f>E2913* 0.734251968503937</f>
        <v>726.9094488</v>
      </c>
      <c r="G2913" s="18">
        <f>E2913* 0.158017179670723</f>
        <v>156.4370079</v>
      </c>
      <c r="H2913" s="18">
        <f>E2913* 0.107551896921976</f>
        <v>106.476378</v>
      </c>
    </row>
    <row r="2914" ht="15.75" hidden="1" customHeight="1">
      <c r="A2914" s="20" t="s">
        <v>224</v>
      </c>
      <c r="B2914" s="47" t="s">
        <v>245</v>
      </c>
      <c r="C2914" s="47"/>
      <c r="D2914" s="19" t="s">
        <v>21</v>
      </c>
      <c r="E2914" s="23">
        <v>105129.0</v>
      </c>
      <c r="F2914" s="18">
        <f>E2914* 0.999727092353423</f>
        <v>105100.3095</v>
      </c>
      <c r="G2914" s="18">
        <f>E2914* 0.0000516311763794744</f>
        <v>5.427933942</v>
      </c>
      <c r="H2914" s="18">
        <f>E2914* 0.000132765882118648</f>
        <v>13.95754442</v>
      </c>
    </row>
    <row r="2915" ht="15.75" hidden="1" customHeight="1">
      <c r="A2915" s="20" t="s">
        <v>224</v>
      </c>
      <c r="B2915" s="47" t="s">
        <v>245</v>
      </c>
      <c r="C2915" s="47"/>
      <c r="D2915" s="19" t="s">
        <v>36</v>
      </c>
      <c r="E2915" s="23">
        <v>137.0</v>
      </c>
      <c r="F2915" s="18">
        <f>E2915* 0.995894428152493</f>
        <v>136.4375367</v>
      </c>
      <c r="G2915" s="18">
        <f>E2915* 0.000586510263929619</f>
        <v>0.08035190616</v>
      </c>
      <c r="H2915" s="18">
        <f>E2915* 0.00351906158357771</f>
        <v>0.482111437</v>
      </c>
    </row>
    <row r="2916" ht="15.75" hidden="1" customHeight="1">
      <c r="A2916" s="20" t="s">
        <v>224</v>
      </c>
      <c r="B2916" s="47" t="s">
        <v>245</v>
      </c>
      <c r="C2916" s="47"/>
      <c r="D2916" s="19" t="s">
        <v>37</v>
      </c>
      <c r="E2916" s="23">
        <v>1.0</v>
      </c>
      <c r="F2916" s="20">
        <v>0.0</v>
      </c>
      <c r="G2916" s="24">
        <f>E2916</f>
        <v>1</v>
      </c>
      <c r="H2916" s="20">
        <v>0.0</v>
      </c>
    </row>
    <row r="2917" ht="15.75" hidden="1" customHeight="1">
      <c r="A2917" s="20" t="s">
        <v>224</v>
      </c>
      <c r="B2917" s="47" t="s">
        <v>245</v>
      </c>
      <c r="C2917" s="47"/>
      <c r="D2917" s="19" t="s">
        <v>28</v>
      </c>
      <c r="E2917" s="23">
        <v>486.0</v>
      </c>
      <c r="F2917" s="18">
        <f>E2917* 0.00302222222222222</f>
        <v>1.4688</v>
      </c>
      <c r="G2917" s="18">
        <f>E2917* 0.996622222222222</f>
        <v>484.3584</v>
      </c>
      <c r="H2917" s="18">
        <f>E2917* 0.000355555555555556</f>
        <v>0.1728</v>
      </c>
    </row>
    <row r="2918" ht="15.75" hidden="1" customHeight="1">
      <c r="A2918" s="20" t="s">
        <v>224</v>
      </c>
      <c r="B2918" s="47" t="s">
        <v>245</v>
      </c>
      <c r="C2918" s="47"/>
      <c r="D2918" s="19" t="s">
        <v>84</v>
      </c>
      <c r="E2918" s="23">
        <v>6.0</v>
      </c>
      <c r="F2918" s="20">
        <f>E2918*0.2</f>
        <v>1.2</v>
      </c>
      <c r="G2918" s="20">
        <f>E2918*0.8</f>
        <v>4.8</v>
      </c>
      <c r="H2918" s="20">
        <v>0.0</v>
      </c>
    </row>
    <row r="2919" ht="15.75" hidden="1" customHeight="1">
      <c r="A2919" s="20" t="s">
        <v>224</v>
      </c>
      <c r="B2919" s="47" t="s">
        <v>245</v>
      </c>
      <c r="C2919" s="47"/>
      <c r="D2919" s="19" t="s">
        <v>12</v>
      </c>
      <c r="E2919" s="23">
        <v>10945.0</v>
      </c>
      <c r="F2919" s="18">
        <f>E2919* 0.802335182557089</f>
        <v>8781.558573</v>
      </c>
      <c r="G2919" s="18">
        <f>E2919* 0.124687137143594</f>
        <v>1364.700716</v>
      </c>
      <c r="H2919" s="18">
        <f>E2919* 0.0729583279576829</f>
        <v>798.5288995</v>
      </c>
    </row>
    <row r="2920" ht="15.75" hidden="1" customHeight="1">
      <c r="A2920" s="20" t="s">
        <v>224</v>
      </c>
      <c r="B2920" s="20"/>
      <c r="C2920" s="20"/>
      <c r="D2920" s="46"/>
      <c r="E2920" s="35"/>
    </row>
    <row r="2921" ht="15.75" hidden="1" customHeight="1">
      <c r="A2921" s="20" t="s">
        <v>224</v>
      </c>
      <c r="B2921" s="47" t="s">
        <v>246</v>
      </c>
      <c r="C2921" s="12" t="str">
        <f>B2921&amp;"_"&amp;A2921</f>
        <v>Moromoro_Santa Cruz</v>
      </c>
      <c r="D2921" s="20"/>
      <c r="E2921" s="45">
        <v>127.0</v>
      </c>
      <c r="F2921" s="14">
        <f t="shared" ref="F2921:H2921" si="245">SUM(F2922:F2931)</f>
        <v>61.87272036</v>
      </c>
      <c r="G2921" s="14">
        <f t="shared" si="245"/>
        <v>61.74920907</v>
      </c>
      <c r="H2921" s="14">
        <f t="shared" si="245"/>
        <v>3.370359723</v>
      </c>
    </row>
    <row r="2922" ht="15.75" hidden="1" customHeight="1">
      <c r="A2922" s="20" t="s">
        <v>224</v>
      </c>
      <c r="B2922" s="47" t="s">
        <v>246</v>
      </c>
      <c r="C2922" s="47"/>
      <c r="D2922" s="29" t="s">
        <v>640</v>
      </c>
      <c r="E2922" s="23">
        <v>2.0</v>
      </c>
      <c r="F2922" s="20">
        <v>0.0</v>
      </c>
      <c r="G2922" s="24">
        <f>E2922</f>
        <v>2</v>
      </c>
      <c r="H2922" s="20">
        <v>0.0</v>
      </c>
    </row>
    <row r="2923" ht="15.75" hidden="1" customHeight="1">
      <c r="A2923" s="20" t="s">
        <v>224</v>
      </c>
      <c r="B2923" s="47" t="s">
        <v>246</v>
      </c>
      <c r="C2923" s="47"/>
      <c r="D2923" s="19" t="s">
        <v>15</v>
      </c>
      <c r="E2923" s="23">
        <v>5.0</v>
      </c>
      <c r="F2923" s="18">
        <f>E2923* 0.932303048052446</f>
        <v>4.66151524</v>
      </c>
      <c r="G2923" s="18">
        <f>E2923* 0.0217058280204555</f>
        <v>0.1085291401</v>
      </c>
      <c r="H2923" s="18">
        <f>E2923* 0.0459798598751943</f>
        <v>0.2298992994</v>
      </c>
    </row>
    <row r="2924" ht="15.75" hidden="1" customHeight="1">
      <c r="A2924" s="20" t="s">
        <v>224</v>
      </c>
      <c r="B2924" s="47" t="s">
        <v>246</v>
      </c>
      <c r="C2924" s="47"/>
      <c r="D2924" s="29" t="s">
        <v>641</v>
      </c>
      <c r="E2924" s="23">
        <v>3.0</v>
      </c>
      <c r="F2924" s="18">
        <f>E2924* 0.293894936109797</f>
        <v>0.8816848083</v>
      </c>
      <c r="G2924" s="18">
        <f>E2924* 0.663038334122101</f>
        <v>1.989115002</v>
      </c>
      <c r="H2924" s="18">
        <f>E2924* 0.0430667297681022</f>
        <v>0.1292001893</v>
      </c>
    </row>
    <row r="2925" ht="15.75" hidden="1" customHeight="1">
      <c r="A2925" s="20" t="s">
        <v>224</v>
      </c>
      <c r="B2925" s="47" t="s">
        <v>246</v>
      </c>
      <c r="C2925" s="47"/>
      <c r="D2925" s="19" t="s">
        <v>11</v>
      </c>
      <c r="E2925" s="23">
        <v>55.0</v>
      </c>
      <c r="F2925" s="18">
        <f>E2925* 0.083479491676667</f>
        <v>4.591372042</v>
      </c>
      <c r="G2925" s="18">
        <f>E2925* 0.913505030924029</f>
        <v>50.2427767</v>
      </c>
      <c r="H2925" s="18">
        <f>E2925* 0.00292316686667282</f>
        <v>0.1607741777</v>
      </c>
    </row>
    <row r="2926" ht="15.75" hidden="1" customHeight="1">
      <c r="A2926" s="20" t="s">
        <v>224</v>
      </c>
      <c r="B2926" s="47" t="s">
        <v>246</v>
      </c>
      <c r="C2926" s="47"/>
      <c r="D2926" s="19" t="s">
        <v>17</v>
      </c>
      <c r="E2926" s="23">
        <v>15.0</v>
      </c>
      <c r="F2926" s="18">
        <f>E2926* 0.752045572242362</f>
        <v>11.28068358</v>
      </c>
      <c r="G2926" s="18">
        <f>E2926* 0.185827723114103</f>
        <v>2.787415847</v>
      </c>
      <c r="H2926" s="18">
        <f>E2926* 0.0620921802175039</f>
        <v>0.9313827033</v>
      </c>
    </row>
    <row r="2927" ht="15.75" hidden="1" customHeight="1">
      <c r="A2927" s="20" t="s">
        <v>224</v>
      </c>
      <c r="B2927" s="47" t="s">
        <v>246</v>
      </c>
      <c r="C2927" s="47"/>
      <c r="D2927" s="19" t="s">
        <v>18</v>
      </c>
      <c r="E2927" s="23">
        <v>5.0</v>
      </c>
      <c r="F2927" s="18">
        <f>E2927* 0.893702527830246</f>
        <v>4.468512639</v>
      </c>
      <c r="G2927" s="18">
        <f>E2927* 0.0946831169875015</f>
        <v>0.4734155849</v>
      </c>
      <c r="H2927" s="18">
        <f>E2927* 0.0116143551822529</f>
        <v>0.05807177591</v>
      </c>
    </row>
    <row r="2928" ht="15.75" hidden="1" customHeight="1">
      <c r="A2928" s="20" t="s">
        <v>224</v>
      </c>
      <c r="B2928" s="47" t="s">
        <v>246</v>
      </c>
      <c r="C2928" s="47"/>
      <c r="D2928" s="19" t="s">
        <v>20</v>
      </c>
      <c r="E2928" s="23">
        <v>1.0</v>
      </c>
      <c r="F2928" s="18">
        <f>E2928* 0.734251968503937</f>
        <v>0.7342519685</v>
      </c>
      <c r="G2928" s="18">
        <f>E2928* 0.158017179670723</f>
        <v>0.1580171797</v>
      </c>
      <c r="H2928" s="18">
        <f>E2928* 0.107551896921976</f>
        <v>0.1075518969</v>
      </c>
    </row>
    <row r="2929" ht="15.75" hidden="1" customHeight="1">
      <c r="A2929" s="20" t="s">
        <v>224</v>
      </c>
      <c r="B2929" s="47" t="s">
        <v>246</v>
      </c>
      <c r="C2929" s="47"/>
      <c r="D2929" s="19" t="s">
        <v>21</v>
      </c>
      <c r="E2929" s="23">
        <v>16.0</v>
      </c>
      <c r="F2929" s="18">
        <f>E2929* 0.999727092353423</f>
        <v>15.99563348</v>
      </c>
      <c r="G2929" s="18">
        <f>E2929* 0.0000516311763794744</f>
        <v>0.0008260988221</v>
      </c>
      <c r="H2929" s="18">
        <f>E2929* 0.000132765882118648</f>
        <v>0.002124254114</v>
      </c>
    </row>
    <row r="2930" ht="15.75" hidden="1" customHeight="1">
      <c r="A2930" s="20" t="s">
        <v>224</v>
      </c>
      <c r="B2930" s="47" t="s">
        <v>246</v>
      </c>
      <c r="C2930" s="47"/>
      <c r="D2930" s="19" t="s">
        <v>28</v>
      </c>
      <c r="E2930" s="23">
        <v>1.0</v>
      </c>
      <c r="F2930" s="18">
        <f>E2930* 0.00302222222222222</f>
        <v>0.003022222222</v>
      </c>
      <c r="G2930" s="18">
        <f>E2930* 0.996622222222222</f>
        <v>0.9966222222</v>
      </c>
      <c r="H2930" s="18">
        <f>E2930* 0.000355555555555556</f>
        <v>0.0003555555556</v>
      </c>
    </row>
    <row r="2931" ht="15.75" hidden="1" customHeight="1">
      <c r="A2931" s="20" t="s">
        <v>224</v>
      </c>
      <c r="B2931" s="47" t="s">
        <v>246</v>
      </c>
      <c r="C2931" s="47"/>
      <c r="D2931" s="19" t="s">
        <v>12</v>
      </c>
      <c r="E2931" s="23">
        <v>24.0</v>
      </c>
      <c r="F2931" s="18">
        <f>E2931* 0.802335182557089</f>
        <v>19.25604438</v>
      </c>
      <c r="G2931" s="18">
        <f>E2931* 0.124687137143594</f>
        <v>2.992491291</v>
      </c>
      <c r="H2931" s="18">
        <f>E2931* 0.0729583279576829</f>
        <v>1.750999871</v>
      </c>
    </row>
    <row r="2932" ht="15.75" hidden="1" customHeight="1">
      <c r="A2932" s="20" t="s">
        <v>224</v>
      </c>
      <c r="B2932" s="20"/>
      <c r="C2932" s="20"/>
      <c r="D2932" s="46"/>
      <c r="E2932" s="35"/>
    </row>
    <row r="2933" ht="15.75" hidden="1" customHeight="1">
      <c r="A2933" s="20" t="s">
        <v>224</v>
      </c>
      <c r="B2933" s="47" t="s">
        <v>247</v>
      </c>
      <c r="C2933" s="12" t="str">
        <f>B2933&amp;"_"&amp;A2933</f>
        <v>Okinawa_Santa Cruz</v>
      </c>
      <c r="D2933" s="20"/>
      <c r="E2933" s="45">
        <v>5811.0</v>
      </c>
      <c r="F2933" s="14">
        <f t="shared" ref="F2933:H2933" si="246">SUM(F2934:F2947)</f>
        <v>4839.990983</v>
      </c>
      <c r="G2933" s="14">
        <f t="shared" si="246"/>
        <v>844.1548975</v>
      </c>
      <c r="H2933" s="14">
        <f t="shared" si="246"/>
        <v>126.4910272</v>
      </c>
    </row>
    <row r="2934" ht="15.75" hidden="1" customHeight="1">
      <c r="A2934" s="20" t="s">
        <v>224</v>
      </c>
      <c r="B2934" s="47" t="s">
        <v>247</v>
      </c>
      <c r="C2934" s="47"/>
      <c r="D2934" s="29" t="s">
        <v>642</v>
      </c>
      <c r="E2934" s="23">
        <v>0.0</v>
      </c>
      <c r="F2934" s="20">
        <v>0.0</v>
      </c>
      <c r="G2934" s="24">
        <f>E2934</f>
        <v>0</v>
      </c>
      <c r="H2934" s="20">
        <v>0.0</v>
      </c>
    </row>
    <row r="2935" ht="15.75" hidden="1" customHeight="1">
      <c r="A2935" s="20" t="s">
        <v>224</v>
      </c>
      <c r="B2935" s="47" t="s">
        <v>247</v>
      </c>
      <c r="C2935" s="47"/>
      <c r="D2935" s="19" t="s">
        <v>15</v>
      </c>
      <c r="E2935" s="23">
        <v>394.0</v>
      </c>
      <c r="F2935" s="18">
        <f>E2935* 0.932303048052446</f>
        <v>367.3274009</v>
      </c>
      <c r="G2935" s="18">
        <f>E2935* 0.0217058280204555</f>
        <v>8.55209624</v>
      </c>
      <c r="H2935" s="18">
        <f>E2935* 0.0459798598751943</f>
        <v>18.11606479</v>
      </c>
    </row>
    <row r="2936" ht="15.75" hidden="1" customHeight="1">
      <c r="A2936" s="20" t="s">
        <v>224</v>
      </c>
      <c r="B2936" s="47" t="s">
        <v>247</v>
      </c>
      <c r="C2936" s="47"/>
      <c r="D2936" s="29" t="s">
        <v>643</v>
      </c>
      <c r="E2936" s="23">
        <v>36.0</v>
      </c>
      <c r="F2936" s="18">
        <f>E2936* 0.293894936109797</f>
        <v>10.5802177</v>
      </c>
      <c r="G2936" s="18">
        <f>E2936* 0.663038334122101</f>
        <v>23.86938003</v>
      </c>
      <c r="H2936" s="18">
        <f>E2936* 0.0430667297681022</f>
        <v>1.550402272</v>
      </c>
    </row>
    <row r="2937" ht="15.75" hidden="1" customHeight="1">
      <c r="A2937" s="20" t="s">
        <v>224</v>
      </c>
      <c r="B2937" s="47" t="s">
        <v>247</v>
      </c>
      <c r="C2937" s="47"/>
      <c r="D2937" s="19" t="s">
        <v>11</v>
      </c>
      <c r="E2937" s="23">
        <v>454.0</v>
      </c>
      <c r="F2937" s="18">
        <f>E2937* 0.083479491676667</f>
        <v>37.89968922</v>
      </c>
      <c r="G2937" s="18">
        <f>E2937* 0.913505030924029</f>
        <v>414.731284</v>
      </c>
      <c r="H2937" s="18">
        <f>E2937* 0.00292316686667282</f>
        <v>1.327117757</v>
      </c>
    </row>
    <row r="2938" ht="15.75" hidden="1" customHeight="1">
      <c r="A2938" s="20" t="s">
        <v>224</v>
      </c>
      <c r="B2938" s="47" t="s">
        <v>247</v>
      </c>
      <c r="C2938" s="47"/>
      <c r="D2938" s="19" t="s">
        <v>17</v>
      </c>
      <c r="E2938" s="23">
        <v>520.0</v>
      </c>
      <c r="F2938" s="18">
        <f>E2938* 0.752045572242362</f>
        <v>391.0636976</v>
      </c>
      <c r="G2938" s="18">
        <f>E2938* 0.185827723114103</f>
        <v>96.63041602</v>
      </c>
      <c r="H2938" s="18">
        <f>E2938* 0.0620921802175039</f>
        <v>32.28793371</v>
      </c>
    </row>
    <row r="2939" ht="15.75" hidden="1" customHeight="1">
      <c r="A2939" s="20" t="s">
        <v>224</v>
      </c>
      <c r="B2939" s="47" t="s">
        <v>247</v>
      </c>
      <c r="C2939" s="47"/>
      <c r="D2939" s="19" t="s">
        <v>31</v>
      </c>
      <c r="E2939" s="23">
        <v>10.0</v>
      </c>
      <c r="F2939" s="18">
        <f>E2939* 0.929131175468484</f>
        <v>9.291311755</v>
      </c>
      <c r="G2939" s="18">
        <f>E2939* 0.0477001703577513</f>
        <v>0.4770017036</v>
      </c>
      <c r="H2939" s="18">
        <f>E2939* 0.0231686541737649</f>
        <v>0.2316865417</v>
      </c>
    </row>
    <row r="2940" ht="15.75" hidden="1" customHeight="1">
      <c r="A2940" s="20" t="s">
        <v>224</v>
      </c>
      <c r="B2940" s="47" t="s">
        <v>247</v>
      </c>
      <c r="C2940" s="47"/>
      <c r="D2940" s="19" t="s">
        <v>18</v>
      </c>
      <c r="E2940" s="23">
        <v>122.0</v>
      </c>
      <c r="F2940" s="18">
        <f>E2940* 0.893702527830246</f>
        <v>109.0317084</v>
      </c>
      <c r="G2940" s="18">
        <f>E2940* 0.0946831169875015</f>
        <v>11.55134027</v>
      </c>
      <c r="H2940" s="18">
        <f>E2940* 0.0116143551822529</f>
        <v>1.416951332</v>
      </c>
    </row>
    <row r="2941" ht="15.75" hidden="1" customHeight="1">
      <c r="A2941" s="20" t="s">
        <v>224</v>
      </c>
      <c r="B2941" s="47" t="s">
        <v>247</v>
      </c>
      <c r="C2941" s="47"/>
      <c r="D2941" s="29" t="s">
        <v>644</v>
      </c>
      <c r="E2941" s="23">
        <v>1.0</v>
      </c>
      <c r="F2941" s="20">
        <v>0.0</v>
      </c>
      <c r="G2941" s="24">
        <f>E2941</f>
        <v>1</v>
      </c>
      <c r="H2941" s="20">
        <v>0.0</v>
      </c>
    </row>
    <row r="2942" ht="15.75" hidden="1" customHeight="1">
      <c r="A2942" s="20" t="s">
        <v>224</v>
      </c>
      <c r="B2942" s="47" t="s">
        <v>247</v>
      </c>
      <c r="C2942" s="47"/>
      <c r="D2942" s="19" t="s">
        <v>19</v>
      </c>
      <c r="E2942" s="23">
        <v>25.0</v>
      </c>
      <c r="F2942" s="18">
        <f>E2942* 0.0299845873616365</f>
        <v>0.749614684</v>
      </c>
      <c r="G2942" s="18">
        <f>E2942* 0.96385035729298</f>
        <v>24.09625893</v>
      </c>
      <c r="H2942" s="18">
        <f>E2942* 0.00616505534538321</f>
        <v>0.1541263836</v>
      </c>
    </row>
    <row r="2943" ht="15.75" hidden="1" customHeight="1">
      <c r="A2943" s="20" t="s">
        <v>224</v>
      </c>
      <c r="B2943" s="47" t="s">
        <v>247</v>
      </c>
      <c r="C2943" s="47"/>
      <c r="D2943" s="19" t="s">
        <v>20</v>
      </c>
      <c r="E2943" s="23">
        <v>22.0</v>
      </c>
      <c r="F2943" s="18">
        <f>E2943* 0.734251968503937</f>
        <v>16.15354331</v>
      </c>
      <c r="G2943" s="18">
        <f>E2943* 0.158017179670723</f>
        <v>3.476377953</v>
      </c>
      <c r="H2943" s="18">
        <f>E2943* 0.107551896921976</f>
        <v>2.366141732</v>
      </c>
    </row>
    <row r="2944" ht="15.75" hidden="1" customHeight="1">
      <c r="A2944" s="20" t="s">
        <v>224</v>
      </c>
      <c r="B2944" s="47" t="s">
        <v>247</v>
      </c>
      <c r="C2944" s="47"/>
      <c r="D2944" s="19" t="s">
        <v>21</v>
      </c>
      <c r="E2944" s="23">
        <v>3126.0</v>
      </c>
      <c r="F2944" s="18">
        <f>E2944* 0.999727092353423</f>
        <v>3125.146891</v>
      </c>
      <c r="G2944" s="18">
        <f>E2944* 0.0000516311763794744</f>
        <v>0.1613990574</v>
      </c>
      <c r="H2944" s="18">
        <f>E2944* 0.000132765882118648</f>
        <v>0.4150261475</v>
      </c>
    </row>
    <row r="2945" ht="15.75" hidden="1" customHeight="1">
      <c r="A2945" s="20" t="s">
        <v>224</v>
      </c>
      <c r="B2945" s="47" t="s">
        <v>247</v>
      </c>
      <c r="C2945" s="47"/>
      <c r="D2945" s="19" t="s">
        <v>36</v>
      </c>
      <c r="E2945" s="23">
        <v>19.0</v>
      </c>
      <c r="F2945" s="18">
        <f>E2945* 0.995894428152493</f>
        <v>18.92199413</v>
      </c>
      <c r="G2945" s="18">
        <f>E2945* 0.000586510263929619</f>
        <v>0.01114369501</v>
      </c>
      <c r="H2945" s="18">
        <f>E2945* 0.00351906158357771</f>
        <v>0.06686217009</v>
      </c>
    </row>
    <row r="2946" ht="15.75" hidden="1" customHeight="1">
      <c r="A2946" s="20" t="s">
        <v>224</v>
      </c>
      <c r="B2946" s="47" t="s">
        <v>247</v>
      </c>
      <c r="C2946" s="47"/>
      <c r="D2946" s="19" t="s">
        <v>28</v>
      </c>
      <c r="E2946" s="23">
        <v>143.0</v>
      </c>
      <c r="F2946" s="18">
        <f>E2946* 0.00302222222222222</f>
        <v>0.4321777778</v>
      </c>
      <c r="G2946" s="18">
        <f>E2946* 0.996622222222222</f>
        <v>142.5169778</v>
      </c>
      <c r="H2946" s="18">
        <f>E2946* 0.000355555555555556</f>
        <v>0.05084444444</v>
      </c>
    </row>
    <row r="2947" ht="15.75" hidden="1" customHeight="1">
      <c r="A2947" s="20" t="s">
        <v>224</v>
      </c>
      <c r="B2947" s="47" t="s">
        <v>247</v>
      </c>
      <c r="C2947" s="47"/>
      <c r="D2947" s="19" t="s">
        <v>12</v>
      </c>
      <c r="E2947" s="23">
        <v>939.0</v>
      </c>
      <c r="F2947" s="18">
        <f>E2947* 0.802335182557089</f>
        <v>753.3927364</v>
      </c>
      <c r="G2947" s="18">
        <f>E2947* 0.124687137143594</f>
        <v>117.0812218</v>
      </c>
      <c r="H2947" s="18">
        <f>E2947* 0.0729583279576829</f>
        <v>68.50786995</v>
      </c>
    </row>
    <row r="2948" ht="15.75" hidden="1" customHeight="1">
      <c r="A2948" s="20" t="s">
        <v>224</v>
      </c>
      <c r="B2948" s="20"/>
      <c r="C2948" s="20"/>
      <c r="D2948" s="46"/>
      <c r="E2948" s="35"/>
    </row>
    <row r="2949" ht="15.75" hidden="1" customHeight="1">
      <c r="A2949" s="20" t="s">
        <v>224</v>
      </c>
      <c r="B2949" s="47" t="s">
        <v>248</v>
      </c>
      <c r="C2949" s="12" t="str">
        <f>B2949&amp;"_"&amp;A2949</f>
        <v>Pailón_Santa Cruz</v>
      </c>
      <c r="D2949" s="20"/>
      <c r="E2949" s="45">
        <v>4046.0</v>
      </c>
      <c r="F2949" s="14">
        <f t="shared" ref="F2949:H2949" si="247">SUM(F2950:F2963)</f>
        <v>3720.685494</v>
      </c>
      <c r="G2949" s="14">
        <f t="shared" si="247"/>
        <v>254.8175592</v>
      </c>
      <c r="H2949" s="14">
        <f t="shared" si="247"/>
        <v>70.20026726</v>
      </c>
    </row>
    <row r="2950" ht="15.75" hidden="1" customHeight="1">
      <c r="A2950" s="20" t="s">
        <v>224</v>
      </c>
      <c r="B2950" s="47" t="s">
        <v>248</v>
      </c>
      <c r="C2950" s="47"/>
      <c r="D2950" s="29" t="s">
        <v>645</v>
      </c>
      <c r="E2950" s="23">
        <v>0.0</v>
      </c>
      <c r="F2950" s="20">
        <v>0.0</v>
      </c>
      <c r="G2950" s="24">
        <f>E2950</f>
        <v>0</v>
      </c>
      <c r="H2950" s="20">
        <v>0.0</v>
      </c>
    </row>
    <row r="2951" ht="15.75" hidden="1" customHeight="1">
      <c r="A2951" s="20" t="s">
        <v>224</v>
      </c>
      <c r="B2951" s="47" t="s">
        <v>248</v>
      </c>
      <c r="C2951" s="47"/>
      <c r="D2951" s="19" t="s">
        <v>15</v>
      </c>
      <c r="E2951" s="23">
        <v>122.0</v>
      </c>
      <c r="F2951" s="18">
        <f>E2951* 0.932303048052446</f>
        <v>113.7409719</v>
      </c>
      <c r="G2951" s="18">
        <f>E2951* 0.0217058280204555</f>
        <v>2.648111018</v>
      </c>
      <c r="H2951" s="18">
        <f>E2951* 0.0459798598751943</f>
        <v>5.609542905</v>
      </c>
    </row>
    <row r="2952" ht="15.75" hidden="1" customHeight="1">
      <c r="A2952" s="20" t="s">
        <v>224</v>
      </c>
      <c r="B2952" s="47" t="s">
        <v>248</v>
      </c>
      <c r="C2952" s="47"/>
      <c r="D2952" s="29" t="s">
        <v>646</v>
      </c>
      <c r="E2952" s="35"/>
      <c r="F2952" s="18">
        <f>E2952* 0.293894936109797</f>
        <v>0</v>
      </c>
      <c r="G2952" s="18">
        <f>E2952* 0.663038334122101</f>
        <v>0</v>
      </c>
      <c r="H2952" s="18">
        <f>E2952* 0.0430667297681022</f>
        <v>0</v>
      </c>
    </row>
    <row r="2953" ht="15.75" hidden="1" customHeight="1">
      <c r="A2953" s="20" t="s">
        <v>224</v>
      </c>
      <c r="B2953" s="47" t="s">
        <v>248</v>
      </c>
      <c r="C2953" s="47"/>
      <c r="D2953" s="19" t="s">
        <v>11</v>
      </c>
      <c r="E2953" s="23">
        <v>101.0</v>
      </c>
      <c r="F2953" s="18">
        <f>E2953* 0.083479491676667</f>
        <v>8.431428659</v>
      </c>
      <c r="G2953" s="18">
        <f>E2953* 0.913505030924029</f>
        <v>92.26400812</v>
      </c>
      <c r="H2953" s="18">
        <f>E2953* 0.00292316686667282</f>
        <v>0.2952398535</v>
      </c>
    </row>
    <row r="2954" ht="15.75" hidden="1" customHeight="1">
      <c r="A2954" s="20" t="s">
        <v>224</v>
      </c>
      <c r="B2954" s="47" t="s">
        <v>248</v>
      </c>
      <c r="C2954" s="47"/>
      <c r="D2954" s="19" t="s">
        <v>17</v>
      </c>
      <c r="E2954" s="23">
        <v>283.0</v>
      </c>
      <c r="F2954" s="18">
        <f>E2954* 0.752045572242362</f>
        <v>212.8288969</v>
      </c>
      <c r="G2954" s="18">
        <f>E2954* 0.185827723114103</f>
        <v>52.58924564</v>
      </c>
      <c r="H2954" s="18">
        <f>E2954* 0.0620921802175039</f>
        <v>17.572087</v>
      </c>
    </row>
    <row r="2955" ht="15.75" hidden="1" customHeight="1">
      <c r="A2955" s="20" t="s">
        <v>224</v>
      </c>
      <c r="B2955" s="47" t="s">
        <v>248</v>
      </c>
      <c r="C2955" s="47"/>
      <c r="D2955" s="19" t="s">
        <v>31</v>
      </c>
      <c r="E2955" s="23">
        <v>10.0</v>
      </c>
      <c r="F2955" s="18">
        <f>E2955* 0.929131175468484</f>
        <v>9.291311755</v>
      </c>
      <c r="G2955" s="18">
        <f>E2955* 0.0477001703577513</f>
        <v>0.4770017036</v>
      </c>
      <c r="H2955" s="18">
        <f>E2955* 0.0231686541737649</f>
        <v>0.2316865417</v>
      </c>
    </row>
    <row r="2956" ht="15.75" hidden="1" customHeight="1">
      <c r="A2956" s="20" t="s">
        <v>224</v>
      </c>
      <c r="B2956" s="47" t="s">
        <v>248</v>
      </c>
      <c r="C2956" s="47"/>
      <c r="D2956" s="19" t="s">
        <v>18</v>
      </c>
      <c r="E2956" s="23">
        <v>39.0</v>
      </c>
      <c r="F2956" s="18">
        <f>E2956* 0.893702527830246</f>
        <v>34.85439859</v>
      </c>
      <c r="G2956" s="18">
        <f>E2956* 0.0946831169875015</f>
        <v>3.692641563</v>
      </c>
      <c r="H2956" s="18">
        <f>E2956* 0.0116143551822529</f>
        <v>0.4529598521</v>
      </c>
    </row>
    <row r="2957" ht="15.75" hidden="1" customHeight="1">
      <c r="A2957" s="20" t="s">
        <v>224</v>
      </c>
      <c r="B2957" s="47" t="s">
        <v>248</v>
      </c>
      <c r="C2957" s="47"/>
      <c r="D2957" s="19" t="s">
        <v>19</v>
      </c>
      <c r="E2957" s="23">
        <v>2.0</v>
      </c>
      <c r="F2957" s="18">
        <f>E2957* 0.0299845873616365</f>
        <v>0.05996917472</v>
      </c>
      <c r="G2957" s="18">
        <f>E2957* 0.96385035729298</f>
        <v>1.927700715</v>
      </c>
      <c r="H2957" s="18">
        <f>E2957* 0.00616505534538321</f>
        <v>0.01233011069</v>
      </c>
    </row>
    <row r="2958" ht="15.75" hidden="1" customHeight="1">
      <c r="A2958" s="20" t="s">
        <v>224</v>
      </c>
      <c r="B2958" s="47" t="s">
        <v>248</v>
      </c>
      <c r="C2958" s="47"/>
      <c r="D2958" s="19" t="s">
        <v>20</v>
      </c>
      <c r="E2958" s="23">
        <v>70.0</v>
      </c>
      <c r="F2958" s="18">
        <f>E2958* 0.734251968503937</f>
        <v>51.3976378</v>
      </c>
      <c r="G2958" s="18">
        <f>E2958* 0.158017179670723</f>
        <v>11.06120258</v>
      </c>
      <c r="H2958" s="18">
        <f>E2958* 0.107551896921976</f>
        <v>7.528632785</v>
      </c>
    </row>
    <row r="2959" ht="15.75" hidden="1" customHeight="1">
      <c r="A2959" s="20" t="s">
        <v>224</v>
      </c>
      <c r="B2959" s="47" t="s">
        <v>248</v>
      </c>
      <c r="C2959" s="47"/>
      <c r="D2959" s="19" t="s">
        <v>21</v>
      </c>
      <c r="E2959" s="23">
        <v>2865.0</v>
      </c>
      <c r="F2959" s="18">
        <f>E2959* 0.999727092353423</f>
        <v>2864.21812</v>
      </c>
      <c r="G2959" s="18">
        <f>E2959* 0.0000516311763794744</f>
        <v>0.1479233203</v>
      </c>
      <c r="H2959" s="18">
        <f>E2959* 0.000132765882118648</f>
        <v>0.3803742523</v>
      </c>
    </row>
    <row r="2960" ht="15.75" hidden="1" customHeight="1">
      <c r="A2960" s="20" t="s">
        <v>224</v>
      </c>
      <c r="B2960" s="47" t="s">
        <v>248</v>
      </c>
      <c r="C2960" s="47"/>
      <c r="D2960" s="19" t="s">
        <v>36</v>
      </c>
      <c r="E2960" s="23">
        <v>7.0</v>
      </c>
      <c r="F2960" s="18">
        <f>E2960* 0.995894428152493</f>
        <v>6.971260997</v>
      </c>
      <c r="G2960" s="18">
        <f>E2960* 0.000586510263929619</f>
        <v>0.004105571848</v>
      </c>
      <c r="H2960" s="18">
        <f>E2960* 0.00351906158357771</f>
        <v>0.02463343109</v>
      </c>
    </row>
    <row r="2961" ht="15.75" hidden="1" customHeight="1">
      <c r="A2961" s="20" t="s">
        <v>224</v>
      </c>
      <c r="B2961" s="47" t="s">
        <v>248</v>
      </c>
      <c r="C2961" s="47"/>
      <c r="D2961" s="19" t="s">
        <v>37</v>
      </c>
      <c r="E2961" s="23">
        <v>1.0</v>
      </c>
      <c r="F2961" s="20">
        <v>0.0</v>
      </c>
      <c r="G2961" s="24">
        <f>E2961</f>
        <v>1</v>
      </c>
      <c r="H2961" s="20">
        <v>0.0</v>
      </c>
    </row>
    <row r="2962" ht="15.75" hidden="1" customHeight="1">
      <c r="A2962" s="20" t="s">
        <v>224</v>
      </c>
      <c r="B2962" s="47" t="s">
        <v>248</v>
      </c>
      <c r="C2962" s="47"/>
      <c r="D2962" s="19" t="s">
        <v>28</v>
      </c>
      <c r="E2962" s="23">
        <v>24.0</v>
      </c>
      <c r="F2962" s="18">
        <f>E2962* 0.00302222222222222</f>
        <v>0.07253333333</v>
      </c>
      <c r="G2962" s="18">
        <f>E2962* 0.996622222222222</f>
        <v>23.91893333</v>
      </c>
      <c r="H2962" s="18">
        <f>E2962* 0.000355555555555556</f>
        <v>0.008533333333</v>
      </c>
    </row>
    <row r="2963" ht="15.75" hidden="1" customHeight="1">
      <c r="A2963" s="20" t="s">
        <v>224</v>
      </c>
      <c r="B2963" s="47" t="s">
        <v>248</v>
      </c>
      <c r="C2963" s="47"/>
      <c r="D2963" s="19" t="s">
        <v>12</v>
      </c>
      <c r="E2963" s="23">
        <v>522.0</v>
      </c>
      <c r="F2963" s="18">
        <f>E2963* 0.802335182557089</f>
        <v>418.8189653</v>
      </c>
      <c r="G2963" s="18">
        <f>E2963* 0.124687137143594</f>
        <v>65.08668559</v>
      </c>
      <c r="H2963" s="18">
        <f>E2963* 0.0729583279576829</f>
        <v>38.08424719</v>
      </c>
    </row>
    <row r="2964" ht="15.75" hidden="1" customHeight="1">
      <c r="A2964" s="20" t="s">
        <v>224</v>
      </c>
      <c r="B2964" s="20"/>
      <c r="C2964" s="20"/>
      <c r="D2964" s="46"/>
      <c r="E2964" s="35"/>
    </row>
    <row r="2965" ht="15.75" hidden="1" customHeight="1">
      <c r="A2965" s="20" t="s">
        <v>224</v>
      </c>
      <c r="B2965" s="47" t="s">
        <v>249</v>
      </c>
      <c r="C2965" s="12" t="str">
        <f>B2965&amp;"_"&amp;A2965</f>
        <v>Pampa Grande_Santa Cruz</v>
      </c>
      <c r="D2965" s="20"/>
      <c r="E2965" s="45">
        <v>141.0</v>
      </c>
      <c r="F2965" s="14">
        <f t="shared" ref="F2965:H2965" si="248">SUM(F2966:F2974)</f>
        <v>106.3845381</v>
      </c>
      <c r="G2965" s="14">
        <f t="shared" si="248"/>
        <v>31.76084244</v>
      </c>
      <c r="H2965" s="14">
        <f t="shared" si="248"/>
        <v>2.845413127</v>
      </c>
    </row>
    <row r="2966" ht="15.75" hidden="1" customHeight="1">
      <c r="A2966" s="20" t="s">
        <v>224</v>
      </c>
      <c r="B2966" s="47" t="s">
        <v>249</v>
      </c>
      <c r="C2966" s="47"/>
      <c r="D2966" s="29" t="s">
        <v>647</v>
      </c>
      <c r="E2966" s="23">
        <v>4.0</v>
      </c>
      <c r="F2966" s="20">
        <v>0.0</v>
      </c>
      <c r="G2966" s="24">
        <f>E2966</f>
        <v>4</v>
      </c>
      <c r="H2966" s="20">
        <v>0.0</v>
      </c>
    </row>
    <row r="2967" ht="15.75" hidden="1" customHeight="1">
      <c r="A2967" s="20" t="s">
        <v>224</v>
      </c>
      <c r="B2967" s="47" t="s">
        <v>249</v>
      </c>
      <c r="C2967" s="47"/>
      <c r="D2967" s="19" t="s">
        <v>15</v>
      </c>
      <c r="E2967" s="23">
        <v>4.0</v>
      </c>
      <c r="F2967" s="18">
        <f>E2967* 0.932303048052446</f>
        <v>3.729212192</v>
      </c>
      <c r="G2967" s="18">
        <f>E2967* 0.0217058280204555</f>
        <v>0.08682331208</v>
      </c>
      <c r="H2967" s="18">
        <f>E2967* 0.0459798598751943</f>
        <v>0.1839194395</v>
      </c>
    </row>
    <row r="2968" ht="15.75" hidden="1" customHeight="1">
      <c r="A2968" s="20" t="s">
        <v>224</v>
      </c>
      <c r="B2968" s="47" t="s">
        <v>249</v>
      </c>
      <c r="C2968" s="47"/>
      <c r="D2968" s="19" t="s">
        <v>11</v>
      </c>
      <c r="E2968" s="23">
        <v>22.0</v>
      </c>
      <c r="F2968" s="18">
        <f>E2968* 0.083479491676667</f>
        <v>1.836548817</v>
      </c>
      <c r="G2968" s="18">
        <f>E2968* 0.913505030924029</f>
        <v>20.09711068</v>
      </c>
      <c r="H2968" s="18">
        <f>E2968* 0.00292316686667282</f>
        <v>0.06430967107</v>
      </c>
    </row>
    <row r="2969" ht="15.75" hidden="1" customHeight="1">
      <c r="A2969" s="20" t="s">
        <v>224</v>
      </c>
      <c r="B2969" s="47" t="s">
        <v>249</v>
      </c>
      <c r="C2969" s="47"/>
      <c r="D2969" s="19" t="s">
        <v>17</v>
      </c>
      <c r="E2969" s="23">
        <v>11.0</v>
      </c>
      <c r="F2969" s="18">
        <f>E2969* 0.752045572242362</f>
        <v>8.272501295</v>
      </c>
      <c r="G2969" s="18">
        <f>E2969* 0.185827723114103</f>
        <v>2.044104954</v>
      </c>
      <c r="H2969" s="18">
        <f>E2969* 0.0620921802175039</f>
        <v>0.6830139824</v>
      </c>
    </row>
    <row r="2970" ht="15.75" hidden="1" customHeight="1">
      <c r="A2970" s="20" t="s">
        <v>224</v>
      </c>
      <c r="B2970" s="47" t="s">
        <v>249</v>
      </c>
      <c r="C2970" s="47"/>
      <c r="D2970" s="19" t="s">
        <v>18</v>
      </c>
      <c r="E2970" s="23">
        <v>4.0</v>
      </c>
      <c r="F2970" s="18">
        <f>E2970* 0.893702527830246</f>
        <v>3.574810111</v>
      </c>
      <c r="G2970" s="18">
        <f>E2970* 0.0946831169875015</f>
        <v>0.378732468</v>
      </c>
      <c r="H2970" s="18">
        <f>E2970* 0.0116143551822529</f>
        <v>0.04645742073</v>
      </c>
    </row>
    <row r="2971" ht="15.75" hidden="1" customHeight="1">
      <c r="A2971" s="20" t="s">
        <v>224</v>
      </c>
      <c r="B2971" s="47" t="s">
        <v>249</v>
      </c>
      <c r="C2971" s="47"/>
      <c r="D2971" s="29" t="s">
        <v>648</v>
      </c>
      <c r="E2971" s="23">
        <v>2.0</v>
      </c>
      <c r="F2971" s="20">
        <v>0.0</v>
      </c>
      <c r="G2971" s="24">
        <f>E2971</f>
        <v>2</v>
      </c>
      <c r="H2971" s="20">
        <v>0.0</v>
      </c>
    </row>
    <row r="2972" ht="15.75" hidden="1" customHeight="1">
      <c r="A2972" s="20" t="s">
        <v>224</v>
      </c>
      <c r="B2972" s="47" t="s">
        <v>249</v>
      </c>
      <c r="C2972" s="47"/>
      <c r="D2972" s="19" t="s">
        <v>20</v>
      </c>
      <c r="E2972" s="23">
        <v>1.0</v>
      </c>
      <c r="F2972" s="18">
        <f>E2972* 0.734251968503937</f>
        <v>0.7342519685</v>
      </c>
      <c r="G2972" s="18">
        <f>E2972* 0.158017179670723</f>
        <v>0.1580171797</v>
      </c>
      <c r="H2972" s="18">
        <f>E2972* 0.107551896921976</f>
        <v>0.1075518969</v>
      </c>
    </row>
    <row r="2973" ht="15.75" hidden="1" customHeight="1">
      <c r="A2973" s="20" t="s">
        <v>224</v>
      </c>
      <c r="B2973" s="47" t="s">
        <v>249</v>
      </c>
      <c r="C2973" s="47"/>
      <c r="D2973" s="19" t="s">
        <v>21</v>
      </c>
      <c r="E2973" s="23">
        <v>69.0</v>
      </c>
      <c r="F2973" s="18">
        <f>E2973* 0.999727092353423</f>
        <v>68.98116937</v>
      </c>
      <c r="G2973" s="18">
        <f>E2973* 0.0000516311763794744</f>
        <v>0.00356255117</v>
      </c>
      <c r="H2973" s="18">
        <f>E2973* 0.000132765882118648</f>
        <v>0.009160845866</v>
      </c>
    </row>
    <row r="2974" ht="15.75" hidden="1" customHeight="1">
      <c r="A2974" s="20" t="s">
        <v>224</v>
      </c>
      <c r="B2974" s="47" t="s">
        <v>249</v>
      </c>
      <c r="C2974" s="47"/>
      <c r="D2974" s="19" t="s">
        <v>12</v>
      </c>
      <c r="E2974" s="23">
        <v>24.0</v>
      </c>
      <c r="F2974" s="18">
        <f>E2974* 0.802335182557089</f>
        <v>19.25604438</v>
      </c>
      <c r="G2974" s="18">
        <f>E2974* 0.124687137143594</f>
        <v>2.992491291</v>
      </c>
      <c r="H2974" s="18">
        <f>E2974* 0.0729583279576829</f>
        <v>1.750999871</v>
      </c>
    </row>
    <row r="2975" ht="15.75" hidden="1" customHeight="1">
      <c r="A2975" s="20" t="s">
        <v>224</v>
      </c>
      <c r="B2975" s="20"/>
      <c r="C2975" s="20"/>
      <c r="D2975" s="46"/>
      <c r="E2975" s="35"/>
    </row>
    <row r="2976" ht="15.75" hidden="1" customHeight="1">
      <c r="A2976" s="20" t="s">
        <v>224</v>
      </c>
      <c r="B2976" s="47" t="s">
        <v>250</v>
      </c>
      <c r="C2976" s="12" t="str">
        <f>B2976&amp;"_"&amp;A2976</f>
        <v>Porongo (Ayacucho)_Santa Cruz</v>
      </c>
      <c r="D2976" s="20"/>
      <c r="E2976" s="45">
        <v>63008.0</v>
      </c>
      <c r="F2976" s="14">
        <f t="shared" ref="F2976:H2976" si="249">SUM(F2977:F2990)</f>
        <v>56028.24033</v>
      </c>
      <c r="G2976" s="14">
        <f t="shared" si="249"/>
        <v>5578.445014</v>
      </c>
      <c r="H2976" s="14">
        <f t="shared" si="249"/>
        <v>1397.246523</v>
      </c>
    </row>
    <row r="2977" ht="15.75" hidden="1" customHeight="1">
      <c r="A2977" s="20" t="s">
        <v>224</v>
      </c>
      <c r="B2977" s="47" t="s">
        <v>250</v>
      </c>
      <c r="C2977" s="47"/>
      <c r="D2977" s="29" t="s">
        <v>649</v>
      </c>
      <c r="E2977" s="23">
        <v>0.0</v>
      </c>
      <c r="F2977" s="20">
        <v>0.0</v>
      </c>
      <c r="G2977" s="24">
        <f>E2977</f>
        <v>0</v>
      </c>
      <c r="H2977" s="20">
        <v>0.0</v>
      </c>
    </row>
    <row r="2978" ht="15.75" hidden="1" customHeight="1">
      <c r="A2978" s="20" t="s">
        <v>224</v>
      </c>
      <c r="B2978" s="47" t="s">
        <v>250</v>
      </c>
      <c r="C2978" s="47"/>
      <c r="D2978" s="19" t="s">
        <v>15</v>
      </c>
      <c r="E2978" s="23">
        <v>3618.0</v>
      </c>
      <c r="F2978" s="18">
        <f>E2978* 0.932303048052446</f>
        <v>3373.072428</v>
      </c>
      <c r="G2978" s="18">
        <f>E2978* 0.0217058280204555</f>
        <v>78.53168578</v>
      </c>
      <c r="H2978" s="18">
        <f>E2978* 0.0459798598751943</f>
        <v>166.355133</v>
      </c>
    </row>
    <row r="2979" ht="15.75" hidden="1" customHeight="1">
      <c r="A2979" s="20" t="s">
        <v>224</v>
      </c>
      <c r="B2979" s="47" t="s">
        <v>250</v>
      </c>
      <c r="C2979" s="47"/>
      <c r="D2979" s="29" t="s">
        <v>650</v>
      </c>
      <c r="E2979" s="23">
        <v>166.0</v>
      </c>
      <c r="F2979" s="18">
        <f>E2979* 0.293894936109797</f>
        <v>48.78655939</v>
      </c>
      <c r="G2979" s="18">
        <f>E2979* 0.663038334122101</f>
        <v>110.0643635</v>
      </c>
      <c r="H2979" s="18">
        <f>E2979* 0.0430667297681022</f>
        <v>7.149077142</v>
      </c>
    </row>
    <row r="2980" ht="15.75" hidden="1" customHeight="1">
      <c r="A2980" s="20" t="s">
        <v>224</v>
      </c>
      <c r="B2980" s="47" t="s">
        <v>250</v>
      </c>
      <c r="C2980" s="47"/>
      <c r="D2980" s="19" t="s">
        <v>11</v>
      </c>
      <c r="E2980" s="23">
        <v>1822.0</v>
      </c>
      <c r="F2980" s="18">
        <f>E2980* 0.083479491676667</f>
        <v>152.0996338</v>
      </c>
      <c r="G2980" s="18">
        <f>E2980* 0.913505030924029</f>
        <v>1664.406166</v>
      </c>
      <c r="H2980" s="18">
        <f>E2980* 0.00292316686667282</f>
        <v>5.326010031</v>
      </c>
    </row>
    <row r="2981" ht="15.75" hidden="1" customHeight="1">
      <c r="A2981" s="20" t="s">
        <v>224</v>
      </c>
      <c r="B2981" s="47" t="s">
        <v>250</v>
      </c>
      <c r="C2981" s="47"/>
      <c r="D2981" s="19" t="s">
        <v>17</v>
      </c>
      <c r="E2981" s="23">
        <v>5946.0</v>
      </c>
      <c r="F2981" s="18">
        <f>E2981* 0.752045572242362</f>
        <v>4471.662973</v>
      </c>
      <c r="G2981" s="18">
        <f>E2981* 0.185827723114103</f>
        <v>1104.931642</v>
      </c>
      <c r="H2981" s="18">
        <f>E2981* 0.0620921802175039</f>
        <v>369.2001036</v>
      </c>
    </row>
    <row r="2982" ht="15.75" hidden="1" customHeight="1">
      <c r="A2982" s="20" t="s">
        <v>224</v>
      </c>
      <c r="B2982" s="47" t="s">
        <v>250</v>
      </c>
      <c r="C2982" s="47"/>
      <c r="D2982" s="19" t="s">
        <v>31</v>
      </c>
      <c r="E2982" s="23">
        <v>230.0</v>
      </c>
      <c r="F2982" s="18">
        <f>E2982* 0.929131175468484</f>
        <v>213.7001704</v>
      </c>
      <c r="G2982" s="18">
        <f>E2982* 0.0477001703577513</f>
        <v>10.97103918</v>
      </c>
      <c r="H2982" s="18">
        <f>E2982* 0.0231686541737649</f>
        <v>5.32879046</v>
      </c>
    </row>
    <row r="2983" ht="15.75" hidden="1" customHeight="1">
      <c r="A2983" s="20" t="s">
        <v>224</v>
      </c>
      <c r="B2983" s="47" t="s">
        <v>250</v>
      </c>
      <c r="C2983" s="47"/>
      <c r="D2983" s="19" t="s">
        <v>18</v>
      </c>
      <c r="E2983" s="23">
        <v>630.0</v>
      </c>
      <c r="F2983" s="18">
        <f>E2983* 0.893702527830246</f>
        <v>563.0325925</v>
      </c>
      <c r="G2983" s="18">
        <f>E2983* 0.0946831169875015</f>
        <v>59.6503637</v>
      </c>
      <c r="H2983" s="18">
        <f>E2983* 0.0116143551822529</f>
        <v>7.317043765</v>
      </c>
    </row>
    <row r="2984" ht="15.75" hidden="1" customHeight="1">
      <c r="A2984" s="20" t="s">
        <v>224</v>
      </c>
      <c r="B2984" s="47" t="s">
        <v>250</v>
      </c>
      <c r="C2984" s="47"/>
      <c r="D2984" s="19" t="s">
        <v>19</v>
      </c>
      <c r="E2984" s="23">
        <v>83.0</v>
      </c>
      <c r="F2984" s="18">
        <f>E2984* 0.0299845873616365</f>
        <v>2.488720751</v>
      </c>
      <c r="G2984" s="18">
        <f>E2984* 0.96385035729298</f>
        <v>79.99957966</v>
      </c>
      <c r="H2984" s="18">
        <f>E2984* 0.00616505534538321</f>
        <v>0.5116995937</v>
      </c>
    </row>
    <row r="2985" ht="15.75" hidden="1" customHeight="1">
      <c r="A2985" s="20" t="s">
        <v>224</v>
      </c>
      <c r="B2985" s="47" t="s">
        <v>250</v>
      </c>
      <c r="C2985" s="47"/>
      <c r="D2985" s="19" t="s">
        <v>20</v>
      </c>
      <c r="E2985" s="23">
        <v>568.0</v>
      </c>
      <c r="F2985" s="18">
        <f>E2985* 0.734251968503937</f>
        <v>417.0551181</v>
      </c>
      <c r="G2985" s="18">
        <f>E2985* 0.158017179670723</f>
        <v>89.75375805</v>
      </c>
      <c r="H2985" s="18">
        <f>E2985* 0.107551896921976</f>
        <v>61.08947745</v>
      </c>
    </row>
    <row r="2986" ht="15.75" hidden="1" customHeight="1">
      <c r="A2986" s="20" t="s">
        <v>224</v>
      </c>
      <c r="B2986" s="47" t="s">
        <v>250</v>
      </c>
      <c r="C2986" s="47"/>
      <c r="D2986" s="19" t="s">
        <v>21</v>
      </c>
      <c r="E2986" s="23">
        <v>37833.0</v>
      </c>
      <c r="F2986" s="18">
        <f>E2986* 0.999727092353423</f>
        <v>37822.67509</v>
      </c>
      <c r="G2986" s="18">
        <f>E2986* 0.0000516311763794744</f>
        <v>1.953362296</v>
      </c>
      <c r="H2986" s="18">
        <f>E2986* 0.000132765882118648</f>
        <v>5.022931618</v>
      </c>
    </row>
    <row r="2987" ht="15.75" hidden="1" customHeight="1">
      <c r="A2987" s="20" t="s">
        <v>224</v>
      </c>
      <c r="B2987" s="47" t="s">
        <v>250</v>
      </c>
      <c r="C2987" s="47"/>
      <c r="D2987" s="19" t="s">
        <v>36</v>
      </c>
      <c r="E2987" s="23">
        <v>519.0</v>
      </c>
      <c r="F2987" s="18">
        <f>E2987* 0.995894428152493</f>
        <v>516.8692082</v>
      </c>
      <c r="G2987" s="18">
        <f>E2987* 0.000586510263929619</f>
        <v>0.304398827</v>
      </c>
      <c r="H2987" s="18">
        <f>E2987* 0.00351906158357771</f>
        <v>1.826392962</v>
      </c>
    </row>
    <row r="2988" ht="15.75" hidden="1" customHeight="1">
      <c r="A2988" s="20" t="s">
        <v>224</v>
      </c>
      <c r="B2988" s="47" t="s">
        <v>250</v>
      </c>
      <c r="C2988" s="47"/>
      <c r="D2988" s="19" t="s">
        <v>28</v>
      </c>
      <c r="E2988" s="23">
        <v>1067.0</v>
      </c>
      <c r="F2988" s="18">
        <f>E2988* 0.00302222222222222</f>
        <v>3.224711111</v>
      </c>
      <c r="G2988" s="18">
        <f>E2988* 0.996622222222222</f>
        <v>1063.395911</v>
      </c>
      <c r="H2988" s="18">
        <f>E2988* 0.000355555555555556</f>
        <v>0.3793777778</v>
      </c>
    </row>
    <row r="2989" ht="15.75" hidden="1" customHeight="1">
      <c r="A2989" s="20" t="s">
        <v>224</v>
      </c>
      <c r="B2989" s="47" t="s">
        <v>250</v>
      </c>
      <c r="C2989" s="47"/>
      <c r="D2989" s="19" t="s">
        <v>84</v>
      </c>
      <c r="E2989" s="23">
        <v>3.0</v>
      </c>
      <c r="F2989" s="20">
        <f>E2989*0.2</f>
        <v>0.6</v>
      </c>
      <c r="G2989" s="20">
        <f>E2989*0.8</f>
        <v>2.4</v>
      </c>
      <c r="H2989" s="20">
        <v>0.0</v>
      </c>
    </row>
    <row r="2990" ht="15.75" hidden="1" customHeight="1">
      <c r="A2990" s="20" t="s">
        <v>224</v>
      </c>
      <c r="B2990" s="47" t="s">
        <v>250</v>
      </c>
      <c r="C2990" s="47"/>
      <c r="D2990" s="19" t="s">
        <v>12</v>
      </c>
      <c r="E2990" s="23">
        <v>10523.0</v>
      </c>
      <c r="F2990" s="18">
        <f>E2990* 0.802335182557089</f>
        <v>8442.973126</v>
      </c>
      <c r="G2990" s="18">
        <f>E2990* 0.124687137143594</f>
        <v>1312.082744</v>
      </c>
      <c r="H2990" s="18">
        <f>E2990* 0.0729583279576829</f>
        <v>767.7404851</v>
      </c>
    </row>
    <row r="2991" ht="15.75" hidden="1" customHeight="1">
      <c r="A2991" s="20" t="s">
        <v>224</v>
      </c>
      <c r="B2991" s="20"/>
      <c r="C2991" s="20"/>
      <c r="D2991" s="46"/>
      <c r="E2991" s="35"/>
    </row>
    <row r="2992" ht="15.75" hidden="1" customHeight="1">
      <c r="A2992" s="20" t="s">
        <v>224</v>
      </c>
      <c r="B2992" s="47" t="s">
        <v>251</v>
      </c>
      <c r="C2992" s="12" t="str">
        <f>B2992&amp;"_"&amp;A2992</f>
        <v>Portachuelo_Santa Cruz</v>
      </c>
      <c r="D2992" s="20"/>
      <c r="E2992" s="45">
        <v>12825.0</v>
      </c>
      <c r="F2992" s="14">
        <f t="shared" ref="F2992:H2992" si="250">SUM(F2993:F3007)</f>
        <v>11067.85319</v>
      </c>
      <c r="G2992" s="14">
        <f t="shared" si="250"/>
        <v>1423.495357</v>
      </c>
      <c r="H2992" s="14">
        <f t="shared" si="250"/>
        <v>332.8866623</v>
      </c>
    </row>
    <row r="2993" ht="15.75" hidden="1" customHeight="1">
      <c r="A2993" s="20" t="s">
        <v>224</v>
      </c>
      <c r="B2993" s="47" t="s">
        <v>251</v>
      </c>
      <c r="C2993" s="47"/>
      <c r="D2993" s="29" t="s">
        <v>651</v>
      </c>
      <c r="E2993" s="23">
        <v>0.0</v>
      </c>
      <c r="F2993" s="20">
        <v>0.0</v>
      </c>
      <c r="G2993" s="24">
        <f>E2993</f>
        <v>0</v>
      </c>
      <c r="H2993" s="20">
        <v>0.0</v>
      </c>
    </row>
    <row r="2994" ht="15.75" hidden="1" customHeight="1">
      <c r="A2994" s="20" t="s">
        <v>224</v>
      </c>
      <c r="B2994" s="47" t="s">
        <v>251</v>
      </c>
      <c r="C2994" s="47"/>
      <c r="D2994" s="19" t="s">
        <v>15</v>
      </c>
      <c r="E2994" s="23">
        <v>1329.0</v>
      </c>
      <c r="F2994" s="18">
        <f>E2994* 0.932303048052446</f>
        <v>1239.030751</v>
      </c>
      <c r="G2994" s="18">
        <f>E2994* 0.0217058280204555</f>
        <v>28.84704544</v>
      </c>
      <c r="H2994" s="18">
        <f>E2994* 0.0459798598751943</f>
        <v>61.10723377</v>
      </c>
    </row>
    <row r="2995" ht="15.75" hidden="1" customHeight="1">
      <c r="A2995" s="20" t="s">
        <v>224</v>
      </c>
      <c r="B2995" s="47" t="s">
        <v>251</v>
      </c>
      <c r="C2995" s="47"/>
      <c r="D2995" s="29" t="s">
        <v>652</v>
      </c>
      <c r="E2995" s="23">
        <v>53.0</v>
      </c>
      <c r="F2995" s="18">
        <f>E2995* 0.293894936109797</f>
        <v>15.57643161</v>
      </c>
      <c r="G2995" s="18">
        <f>E2995* 0.663038334122101</f>
        <v>35.14103171</v>
      </c>
      <c r="H2995" s="18">
        <f>E2995* 0.0430667297681022</f>
        <v>2.282536678</v>
      </c>
    </row>
    <row r="2996" ht="15.75" hidden="1" customHeight="1">
      <c r="A2996" s="20" t="s">
        <v>224</v>
      </c>
      <c r="B2996" s="47" t="s">
        <v>251</v>
      </c>
      <c r="C2996" s="47"/>
      <c r="D2996" s="19" t="s">
        <v>11</v>
      </c>
      <c r="E2996" s="23">
        <v>520.0</v>
      </c>
      <c r="F2996" s="18">
        <f>E2996* 0.083479491676667</f>
        <v>43.40933567</v>
      </c>
      <c r="G2996" s="18">
        <f>E2996* 0.913505030924029</f>
        <v>475.0226161</v>
      </c>
      <c r="H2996" s="18">
        <f>E2996* 0.00292316686667282</f>
        <v>1.520046771</v>
      </c>
    </row>
    <row r="2997" ht="15.75" hidden="1" customHeight="1">
      <c r="A2997" s="20" t="s">
        <v>224</v>
      </c>
      <c r="B2997" s="47" t="s">
        <v>251</v>
      </c>
      <c r="C2997" s="47"/>
      <c r="D2997" s="19" t="s">
        <v>17</v>
      </c>
      <c r="E2997" s="23">
        <v>1156.0</v>
      </c>
      <c r="F2997" s="18">
        <f>E2997* 0.752045572242362</f>
        <v>869.3646815</v>
      </c>
      <c r="G2997" s="18">
        <f>E2997* 0.185827723114103</f>
        <v>214.8168479</v>
      </c>
      <c r="H2997" s="18">
        <f>E2997* 0.0620921802175039</f>
        <v>71.77856033</v>
      </c>
    </row>
    <row r="2998" ht="15.75" hidden="1" customHeight="1">
      <c r="A2998" s="20" t="s">
        <v>224</v>
      </c>
      <c r="B2998" s="47" t="s">
        <v>251</v>
      </c>
      <c r="C2998" s="47"/>
      <c r="D2998" s="19" t="s">
        <v>31</v>
      </c>
      <c r="E2998" s="23">
        <v>46.0</v>
      </c>
      <c r="F2998" s="18">
        <f>E2998* 0.929131175468484</f>
        <v>42.74003407</v>
      </c>
      <c r="G2998" s="18">
        <f>E2998* 0.0477001703577513</f>
        <v>2.194207836</v>
      </c>
      <c r="H2998" s="18">
        <f>E2998* 0.0231686541737649</f>
        <v>1.065758092</v>
      </c>
    </row>
    <row r="2999" ht="15.75" hidden="1" customHeight="1">
      <c r="A2999" s="20" t="s">
        <v>224</v>
      </c>
      <c r="B2999" s="47" t="s">
        <v>251</v>
      </c>
      <c r="C2999" s="47"/>
      <c r="D2999" s="19" t="s">
        <v>18</v>
      </c>
      <c r="E2999" s="23">
        <v>327.0</v>
      </c>
      <c r="F2999" s="18">
        <f>E2999* 0.893702527830246</f>
        <v>292.2407266</v>
      </c>
      <c r="G2999" s="18">
        <f>E2999* 0.0946831169875015</f>
        <v>30.96137925</v>
      </c>
      <c r="H2999" s="18">
        <f>E2999* 0.0116143551822529</f>
        <v>3.797894145</v>
      </c>
    </row>
    <row r="3000" ht="15.75" hidden="1" customHeight="1">
      <c r="A3000" s="20" t="s">
        <v>224</v>
      </c>
      <c r="B3000" s="47" t="s">
        <v>251</v>
      </c>
      <c r="C3000" s="47"/>
      <c r="D3000" s="19" t="s">
        <v>19</v>
      </c>
      <c r="E3000" s="23">
        <v>27.0</v>
      </c>
      <c r="F3000" s="18">
        <f>E3000* 0.0299845873616365</f>
        <v>0.8095838588</v>
      </c>
      <c r="G3000" s="18">
        <f>E3000* 0.96385035729298</f>
        <v>26.02395965</v>
      </c>
      <c r="H3000" s="18">
        <f>E3000* 0.00616505534538321</f>
        <v>0.1664564943</v>
      </c>
    </row>
    <row r="3001" ht="15.75" hidden="1" customHeight="1">
      <c r="A3001" s="20" t="s">
        <v>224</v>
      </c>
      <c r="B3001" s="47" t="s">
        <v>251</v>
      </c>
      <c r="C3001" s="47"/>
      <c r="D3001" s="19" t="s">
        <v>20</v>
      </c>
      <c r="E3001" s="23">
        <v>242.0</v>
      </c>
      <c r="F3001" s="18">
        <f>E3001* 0.734251968503937</f>
        <v>177.6889764</v>
      </c>
      <c r="G3001" s="18">
        <f>E3001* 0.158017179670723</f>
        <v>38.24015748</v>
      </c>
      <c r="H3001" s="18">
        <f>E3001* 0.107551896921976</f>
        <v>26.02755906</v>
      </c>
    </row>
    <row r="3002" ht="15.75" hidden="1" customHeight="1">
      <c r="A3002" s="20" t="s">
        <v>224</v>
      </c>
      <c r="B3002" s="47" t="s">
        <v>251</v>
      </c>
      <c r="C3002" s="47"/>
      <c r="D3002" s="19" t="s">
        <v>21</v>
      </c>
      <c r="E3002" s="23">
        <v>6498.0</v>
      </c>
      <c r="F3002" s="18">
        <f>E3002* 0.999727092353423</f>
        <v>6496.226646</v>
      </c>
      <c r="G3002" s="18">
        <f>E3002* 0.0000516311763794744</f>
        <v>0.3354993841</v>
      </c>
      <c r="H3002" s="18">
        <f>E3002* 0.000132765882118648</f>
        <v>0.862712702</v>
      </c>
    </row>
    <row r="3003" ht="15.75" hidden="1" customHeight="1">
      <c r="A3003" s="20" t="s">
        <v>224</v>
      </c>
      <c r="B3003" s="47" t="s">
        <v>251</v>
      </c>
      <c r="C3003" s="47"/>
      <c r="D3003" s="19" t="s">
        <v>36</v>
      </c>
      <c r="E3003" s="23">
        <v>88.0</v>
      </c>
      <c r="F3003" s="18">
        <f>E3003* 0.995894428152493</f>
        <v>87.63870968</v>
      </c>
      <c r="G3003" s="18">
        <f>E3003* 0.000586510263929619</f>
        <v>0.05161290323</v>
      </c>
      <c r="H3003" s="18">
        <f>E3003* 0.00351906158357771</f>
        <v>0.3096774194</v>
      </c>
    </row>
    <row r="3004" ht="15.75" hidden="1" customHeight="1">
      <c r="A3004" s="20" t="s">
        <v>224</v>
      </c>
      <c r="B3004" s="47" t="s">
        <v>251</v>
      </c>
      <c r="C3004" s="47"/>
      <c r="D3004" s="19" t="s">
        <v>37</v>
      </c>
      <c r="E3004" s="23">
        <v>0.0</v>
      </c>
      <c r="F3004" s="20">
        <v>0.0</v>
      </c>
      <c r="G3004" s="24">
        <f>E3004</f>
        <v>0</v>
      </c>
      <c r="H3004" s="20">
        <v>0.0</v>
      </c>
    </row>
    <row r="3005" ht="15.75" hidden="1" customHeight="1">
      <c r="A3005" s="20" t="s">
        <v>224</v>
      </c>
      <c r="B3005" s="47" t="s">
        <v>251</v>
      </c>
      <c r="C3005" s="47"/>
      <c r="D3005" s="19" t="s">
        <v>28</v>
      </c>
      <c r="E3005" s="23">
        <v>292.0</v>
      </c>
      <c r="F3005" s="18">
        <f>E3005* 0.00302222222222222</f>
        <v>0.8824888889</v>
      </c>
      <c r="G3005" s="18">
        <f>E3005* 0.996622222222222</f>
        <v>291.0136889</v>
      </c>
      <c r="H3005" s="18">
        <f>E3005* 0.000355555555555556</f>
        <v>0.1038222222</v>
      </c>
    </row>
    <row r="3006" ht="15.75" hidden="1" customHeight="1">
      <c r="A3006" s="20" t="s">
        <v>224</v>
      </c>
      <c r="B3006" s="47" t="s">
        <v>251</v>
      </c>
      <c r="C3006" s="47"/>
      <c r="D3006" s="19" t="s">
        <v>84</v>
      </c>
      <c r="E3006" s="23">
        <v>1.0</v>
      </c>
      <c r="F3006" s="20">
        <f>E3006*0.2</f>
        <v>0.2</v>
      </c>
      <c r="G3006" s="20">
        <f>E3006*0.8</f>
        <v>0.8</v>
      </c>
      <c r="H3006" s="20">
        <v>0.0</v>
      </c>
    </row>
    <row r="3007" ht="15.75" hidden="1" customHeight="1">
      <c r="A3007" s="20" t="s">
        <v>224</v>
      </c>
      <c r="B3007" s="47" t="s">
        <v>251</v>
      </c>
      <c r="C3007" s="47"/>
      <c r="D3007" s="19" t="s">
        <v>12</v>
      </c>
      <c r="E3007" s="23">
        <v>2246.0</v>
      </c>
      <c r="F3007" s="18">
        <f>E3007* 0.802335182557089</f>
        <v>1802.04482</v>
      </c>
      <c r="G3007" s="18">
        <f>E3007* 0.124687137143594</f>
        <v>280.04731</v>
      </c>
      <c r="H3007" s="18">
        <f>E3007* 0.0729583279576829</f>
        <v>163.8644046</v>
      </c>
    </row>
    <row r="3008" ht="15.75" hidden="1" customHeight="1">
      <c r="A3008" s="20" t="s">
        <v>224</v>
      </c>
      <c r="B3008" s="20"/>
      <c r="C3008" s="20"/>
      <c r="D3008" s="46"/>
      <c r="E3008" s="35"/>
    </row>
    <row r="3009" ht="15.75" hidden="1" customHeight="1">
      <c r="A3009" s="20" t="s">
        <v>224</v>
      </c>
      <c r="B3009" s="47" t="s">
        <v>252</v>
      </c>
      <c r="C3009" s="12" t="str">
        <f>B3009&amp;"_"&amp;A3009</f>
        <v>Puerto Quijarro_Santa Cruz</v>
      </c>
      <c r="D3009" s="20"/>
      <c r="E3009" s="45">
        <v>1567.0</v>
      </c>
      <c r="F3009" s="14">
        <f t="shared" ref="F3009:H3009" si="251">SUM(F3010:F3020)</f>
        <v>1366.517971</v>
      </c>
      <c r="G3009" s="14">
        <f t="shared" si="251"/>
        <v>154.8394875</v>
      </c>
      <c r="H3009" s="14">
        <f t="shared" si="251"/>
        <v>45.55378916</v>
      </c>
    </row>
    <row r="3010" ht="15.75" hidden="1" customHeight="1">
      <c r="A3010" s="20" t="s">
        <v>224</v>
      </c>
      <c r="B3010" s="47" t="s">
        <v>252</v>
      </c>
      <c r="C3010" s="47"/>
      <c r="D3010" s="29" t="s">
        <v>653</v>
      </c>
      <c r="E3010" s="23">
        <v>4.0</v>
      </c>
      <c r="F3010" s="20">
        <v>0.0</v>
      </c>
      <c r="G3010" s="24">
        <f>E3010</f>
        <v>4</v>
      </c>
      <c r="H3010" s="20">
        <v>0.0</v>
      </c>
    </row>
    <row r="3011" ht="15.75" hidden="1" customHeight="1">
      <c r="A3011" s="20" t="s">
        <v>224</v>
      </c>
      <c r="B3011" s="47" t="s">
        <v>252</v>
      </c>
      <c r="C3011" s="47"/>
      <c r="D3011" s="19" t="s">
        <v>15</v>
      </c>
      <c r="E3011" s="23">
        <v>170.0</v>
      </c>
      <c r="F3011" s="18">
        <f>E3011* 0.932303048052446</f>
        <v>158.4915182</v>
      </c>
      <c r="G3011" s="18">
        <f>E3011* 0.0217058280204555</f>
        <v>3.689990763</v>
      </c>
      <c r="H3011" s="18">
        <f>E3011* 0.0459798598751943</f>
        <v>7.816576179</v>
      </c>
    </row>
    <row r="3012" ht="15.75" hidden="1" customHeight="1">
      <c r="A3012" s="20" t="s">
        <v>224</v>
      </c>
      <c r="B3012" s="47" t="s">
        <v>252</v>
      </c>
      <c r="C3012" s="47"/>
      <c r="D3012" s="29" t="s">
        <v>654</v>
      </c>
      <c r="E3012" s="23">
        <v>13.0</v>
      </c>
      <c r="F3012" s="18">
        <f>E3012* 0.293894936109797</f>
        <v>3.820634169</v>
      </c>
      <c r="G3012" s="18">
        <f>E3012* 0.663038334122101</f>
        <v>8.619498344</v>
      </c>
      <c r="H3012" s="18">
        <f>E3012* 0.0430667297681022</f>
        <v>0.559867487</v>
      </c>
    </row>
    <row r="3013" ht="15.75" hidden="1" customHeight="1">
      <c r="A3013" s="20" t="s">
        <v>224</v>
      </c>
      <c r="B3013" s="47" t="s">
        <v>252</v>
      </c>
      <c r="C3013" s="47"/>
      <c r="D3013" s="19" t="s">
        <v>11</v>
      </c>
      <c r="E3013" s="23">
        <v>56.0</v>
      </c>
      <c r="F3013" s="18">
        <f>E3013* 0.083479491676667</f>
        <v>4.674851534</v>
      </c>
      <c r="G3013" s="18">
        <f>E3013* 0.913505030924029</f>
        <v>51.15628173</v>
      </c>
      <c r="H3013" s="18">
        <f>E3013* 0.00292316686667282</f>
        <v>0.1636973445</v>
      </c>
    </row>
    <row r="3014" ht="15.75" hidden="1" customHeight="1">
      <c r="A3014" s="20" t="s">
        <v>224</v>
      </c>
      <c r="B3014" s="47" t="s">
        <v>252</v>
      </c>
      <c r="C3014" s="47"/>
      <c r="D3014" s="19" t="s">
        <v>17</v>
      </c>
      <c r="E3014" s="23">
        <v>95.0</v>
      </c>
      <c r="F3014" s="18">
        <f>E3014* 0.752045572242362</f>
        <v>71.44432936</v>
      </c>
      <c r="G3014" s="18">
        <f>E3014* 0.185827723114103</f>
        <v>17.6536337</v>
      </c>
      <c r="H3014" s="18">
        <f>E3014* 0.0620921802175039</f>
        <v>5.898757121</v>
      </c>
    </row>
    <row r="3015" ht="15.75" hidden="1" customHeight="1">
      <c r="A3015" s="20" t="s">
        <v>224</v>
      </c>
      <c r="B3015" s="47" t="s">
        <v>252</v>
      </c>
      <c r="C3015" s="47"/>
      <c r="D3015" s="19" t="s">
        <v>31</v>
      </c>
      <c r="E3015" s="23">
        <v>7.0</v>
      </c>
      <c r="F3015" s="18">
        <f>E3015* 0.929131175468484</f>
        <v>6.503918228</v>
      </c>
      <c r="G3015" s="18">
        <f>E3015* 0.0477001703577513</f>
        <v>0.3339011925</v>
      </c>
      <c r="H3015" s="18">
        <f>E3015* 0.0231686541737649</f>
        <v>0.1621805792</v>
      </c>
    </row>
    <row r="3016" ht="15.75" hidden="1" customHeight="1">
      <c r="A3016" s="20" t="s">
        <v>224</v>
      </c>
      <c r="B3016" s="47" t="s">
        <v>252</v>
      </c>
      <c r="C3016" s="47"/>
      <c r="D3016" s="19" t="s">
        <v>18</v>
      </c>
      <c r="E3016" s="23">
        <v>43.0</v>
      </c>
      <c r="F3016" s="18">
        <f>E3016* 0.893702527830246</f>
        <v>38.4292087</v>
      </c>
      <c r="G3016" s="18">
        <f>E3016* 0.0946831169875015</f>
        <v>4.07137403</v>
      </c>
      <c r="H3016" s="18">
        <f>E3016* 0.0116143551822529</f>
        <v>0.4994172728</v>
      </c>
    </row>
    <row r="3017" ht="15.75" hidden="1" customHeight="1">
      <c r="A3017" s="20" t="s">
        <v>224</v>
      </c>
      <c r="B3017" s="47" t="s">
        <v>252</v>
      </c>
      <c r="C3017" s="47"/>
      <c r="D3017" s="19" t="s">
        <v>20</v>
      </c>
      <c r="E3017" s="23">
        <v>21.0</v>
      </c>
      <c r="F3017" s="18">
        <f>E3017* 0.734251968503937</f>
        <v>15.41929134</v>
      </c>
      <c r="G3017" s="18">
        <f>E3017* 0.158017179670723</f>
        <v>3.318360773</v>
      </c>
      <c r="H3017" s="18">
        <f>E3017* 0.107551896921976</f>
        <v>2.258589835</v>
      </c>
    </row>
    <row r="3018" ht="15.75" hidden="1" customHeight="1">
      <c r="A3018" s="20" t="s">
        <v>224</v>
      </c>
      <c r="B3018" s="47" t="s">
        <v>252</v>
      </c>
      <c r="C3018" s="47"/>
      <c r="D3018" s="19" t="s">
        <v>21</v>
      </c>
      <c r="E3018" s="23">
        <v>759.0</v>
      </c>
      <c r="F3018" s="18">
        <f>E3018* 0.999727092353423</f>
        <v>758.7928631</v>
      </c>
      <c r="G3018" s="18">
        <f>E3018* 0.0000516311763794744</f>
        <v>0.03918806287</v>
      </c>
      <c r="H3018" s="18">
        <f>E3018* 0.000132765882118648</f>
        <v>0.1007693045</v>
      </c>
    </row>
    <row r="3019" ht="15.75" hidden="1" customHeight="1">
      <c r="A3019" s="20" t="s">
        <v>224</v>
      </c>
      <c r="B3019" s="47" t="s">
        <v>252</v>
      </c>
      <c r="C3019" s="47"/>
      <c r="D3019" s="19" t="s">
        <v>28</v>
      </c>
      <c r="E3019" s="23">
        <v>14.0</v>
      </c>
      <c r="F3019" s="18">
        <f>E3019* 0.00302222222222222</f>
        <v>0.04231111111</v>
      </c>
      <c r="G3019" s="18">
        <f>E3019* 0.996622222222222</f>
        <v>13.95271111</v>
      </c>
      <c r="H3019" s="18">
        <f>E3019* 0.000355555555555556</f>
        <v>0.004977777778</v>
      </c>
    </row>
    <row r="3020" ht="15.75" hidden="1" customHeight="1">
      <c r="A3020" s="20" t="s">
        <v>224</v>
      </c>
      <c r="B3020" s="47" t="s">
        <v>252</v>
      </c>
      <c r="C3020" s="47"/>
      <c r="D3020" s="19" t="s">
        <v>12</v>
      </c>
      <c r="E3020" s="23">
        <v>385.0</v>
      </c>
      <c r="F3020" s="18">
        <f>E3020* 0.802335182557089</f>
        <v>308.8990453</v>
      </c>
      <c r="G3020" s="18">
        <f>E3020* 0.124687137143594</f>
        <v>48.0045478</v>
      </c>
      <c r="H3020" s="18">
        <f>E3020* 0.0729583279576829</f>
        <v>28.08895626</v>
      </c>
    </row>
    <row r="3021" ht="15.75" hidden="1" customHeight="1">
      <c r="A3021" s="20" t="s">
        <v>224</v>
      </c>
      <c r="B3021" s="20"/>
      <c r="C3021" s="20"/>
      <c r="D3021" s="46"/>
      <c r="E3021" s="35"/>
    </row>
    <row r="3022" ht="15.75" hidden="1" customHeight="1">
      <c r="A3022" s="20" t="s">
        <v>224</v>
      </c>
      <c r="B3022" s="47" t="s">
        <v>253</v>
      </c>
      <c r="C3022" s="12" t="str">
        <f>B3022&amp;"_"&amp;A3022</f>
        <v>Puerto Suárez_Santa Cruz</v>
      </c>
      <c r="D3022" s="20"/>
      <c r="E3022" s="45">
        <v>393.0</v>
      </c>
      <c r="F3022" s="14">
        <f t="shared" ref="F3022:H3022" si="252">SUM(F3023:F3034)</f>
        <v>336.368602</v>
      </c>
      <c r="G3022" s="14">
        <f t="shared" si="252"/>
        <v>43.75295113</v>
      </c>
      <c r="H3022" s="14">
        <f t="shared" si="252"/>
        <v>12.86011654</v>
      </c>
    </row>
    <row r="3023" ht="15.75" hidden="1" customHeight="1">
      <c r="A3023" s="20" t="s">
        <v>224</v>
      </c>
      <c r="B3023" s="47" t="s">
        <v>253</v>
      </c>
      <c r="C3023" s="47"/>
      <c r="D3023" s="29" t="s">
        <v>655</v>
      </c>
      <c r="E3023" s="23">
        <v>2.0</v>
      </c>
      <c r="F3023" s="20">
        <v>0.0</v>
      </c>
      <c r="G3023" s="24">
        <f>E3023</f>
        <v>2</v>
      </c>
      <c r="H3023" s="20">
        <v>0.0</v>
      </c>
    </row>
    <row r="3024" ht="15.75" hidden="1" customHeight="1">
      <c r="A3024" s="20" t="s">
        <v>224</v>
      </c>
      <c r="B3024" s="47" t="s">
        <v>253</v>
      </c>
      <c r="C3024" s="47"/>
      <c r="D3024" s="19" t="s">
        <v>15</v>
      </c>
      <c r="E3024" s="23">
        <v>80.0</v>
      </c>
      <c r="F3024" s="18">
        <f>E3024* 0.932303048052446</f>
        <v>74.58424384</v>
      </c>
      <c r="G3024" s="18">
        <f>E3024* 0.0217058280204555</f>
        <v>1.736466242</v>
      </c>
      <c r="H3024" s="18">
        <f>E3024* 0.0459798598751943</f>
        <v>3.67838879</v>
      </c>
    </row>
    <row r="3025" ht="15.75" hidden="1" customHeight="1">
      <c r="A3025" s="20" t="s">
        <v>224</v>
      </c>
      <c r="B3025" s="47" t="s">
        <v>253</v>
      </c>
      <c r="C3025" s="47"/>
      <c r="D3025" s="29" t="s">
        <v>656</v>
      </c>
      <c r="E3025" s="23">
        <v>1.0</v>
      </c>
      <c r="F3025" s="18">
        <f>E3025* 0.293894936109797</f>
        <v>0.2938949361</v>
      </c>
      <c r="G3025" s="18">
        <f>E3025* 0.663038334122101</f>
        <v>0.6630383341</v>
      </c>
      <c r="H3025" s="18">
        <f>E3025* 0.0430667297681022</f>
        <v>0.04306672977</v>
      </c>
    </row>
    <row r="3026" ht="15.75" hidden="1" customHeight="1">
      <c r="A3026" s="20" t="s">
        <v>224</v>
      </c>
      <c r="B3026" s="47" t="s">
        <v>253</v>
      </c>
      <c r="C3026" s="47"/>
      <c r="D3026" s="19" t="s">
        <v>11</v>
      </c>
      <c r="E3026" s="23">
        <v>20.0</v>
      </c>
      <c r="F3026" s="18">
        <f>E3026* 0.083479491676667</f>
        <v>1.669589834</v>
      </c>
      <c r="G3026" s="18">
        <f>E3026* 0.913505030924029</f>
        <v>18.27010062</v>
      </c>
      <c r="H3026" s="18">
        <f>E3026* 0.00292316686667282</f>
        <v>0.05846333733</v>
      </c>
    </row>
    <row r="3027" ht="15.75" hidden="1" customHeight="1">
      <c r="A3027" s="20" t="s">
        <v>224</v>
      </c>
      <c r="B3027" s="47" t="s">
        <v>253</v>
      </c>
      <c r="C3027" s="47"/>
      <c r="D3027" s="19" t="s">
        <v>17</v>
      </c>
      <c r="E3027" s="23">
        <v>30.0</v>
      </c>
      <c r="F3027" s="18">
        <f>E3027* 0.752045572242362</f>
        <v>22.56136717</v>
      </c>
      <c r="G3027" s="18">
        <f>E3027* 0.185827723114103</f>
        <v>5.574831693</v>
      </c>
      <c r="H3027" s="18">
        <f>E3027* 0.0620921802175039</f>
        <v>1.862765407</v>
      </c>
    </row>
    <row r="3028" ht="15.75" hidden="1" customHeight="1">
      <c r="A3028" s="20" t="s">
        <v>224</v>
      </c>
      <c r="B3028" s="47" t="s">
        <v>253</v>
      </c>
      <c r="C3028" s="47"/>
      <c r="D3028" s="19" t="s">
        <v>31</v>
      </c>
      <c r="E3028" s="23">
        <v>5.0</v>
      </c>
      <c r="F3028" s="18">
        <f>E3028* 0.929131175468484</f>
        <v>4.645655877</v>
      </c>
      <c r="G3028" s="18">
        <f>E3028* 0.0477001703577513</f>
        <v>0.2385008518</v>
      </c>
      <c r="H3028" s="18">
        <f>E3028* 0.0231686541737649</f>
        <v>0.1158432709</v>
      </c>
    </row>
    <row r="3029" ht="15.75" hidden="1" customHeight="1">
      <c r="A3029" s="20" t="s">
        <v>224</v>
      </c>
      <c r="B3029" s="47" t="s">
        <v>253</v>
      </c>
      <c r="C3029" s="47"/>
      <c r="D3029" s="19" t="s">
        <v>18</v>
      </c>
      <c r="E3029" s="23">
        <v>16.0</v>
      </c>
      <c r="F3029" s="18">
        <f>E3029* 0.893702527830246</f>
        <v>14.29924045</v>
      </c>
      <c r="G3029" s="18">
        <f>E3029* 0.0946831169875015</f>
        <v>1.514929872</v>
      </c>
      <c r="H3029" s="18">
        <f>E3029* 0.0116143551822529</f>
        <v>0.1858296829</v>
      </c>
    </row>
    <row r="3030" ht="15.75" hidden="1" customHeight="1">
      <c r="A3030" s="20" t="s">
        <v>224</v>
      </c>
      <c r="B3030" s="47" t="s">
        <v>253</v>
      </c>
      <c r="C3030" s="47"/>
      <c r="D3030" s="19" t="s">
        <v>20</v>
      </c>
      <c r="E3030" s="23">
        <v>1.0</v>
      </c>
      <c r="F3030" s="18">
        <f>E3030* 0.734251968503937</f>
        <v>0.7342519685</v>
      </c>
      <c r="G3030" s="18">
        <f>E3030* 0.158017179670723</f>
        <v>0.1580171797</v>
      </c>
      <c r="H3030" s="18">
        <f>E3030* 0.107551896921976</f>
        <v>0.1075518969</v>
      </c>
    </row>
    <row r="3031" ht="15.75" hidden="1" customHeight="1">
      <c r="A3031" s="20" t="s">
        <v>224</v>
      </c>
      <c r="B3031" s="47" t="s">
        <v>253</v>
      </c>
      <c r="C3031" s="47"/>
      <c r="D3031" s="19" t="s">
        <v>21</v>
      </c>
      <c r="E3031" s="23">
        <v>142.0</v>
      </c>
      <c r="F3031" s="18">
        <f>E3031* 0.999727092353423</f>
        <v>141.9612471</v>
      </c>
      <c r="G3031" s="18">
        <f>E3031* 0.0000516311763794744</f>
        <v>0.007331627046</v>
      </c>
      <c r="H3031" s="18">
        <f>E3031* 0.000132765882118648</f>
        <v>0.01885275526</v>
      </c>
    </row>
    <row r="3032" ht="15.75" hidden="1" customHeight="1">
      <c r="A3032" s="20" t="s">
        <v>224</v>
      </c>
      <c r="B3032" s="47" t="s">
        <v>253</v>
      </c>
      <c r="C3032" s="47"/>
      <c r="D3032" s="19" t="s">
        <v>36</v>
      </c>
      <c r="E3032" s="23">
        <v>1.0</v>
      </c>
      <c r="F3032" s="18">
        <f>E3032* 0.995894428152493</f>
        <v>0.9958944282</v>
      </c>
      <c r="G3032" s="18">
        <f>E3032* 0.000586510263929619</f>
        <v>0.0005865102639</v>
      </c>
      <c r="H3032" s="18">
        <f>E3032* 0.00351906158357771</f>
        <v>0.003519061584</v>
      </c>
    </row>
    <row r="3033" ht="15.75" hidden="1" customHeight="1">
      <c r="A3033" s="20" t="s">
        <v>224</v>
      </c>
      <c r="B3033" s="47" t="s">
        <v>253</v>
      </c>
      <c r="C3033" s="47"/>
      <c r="D3033" s="19" t="s">
        <v>148</v>
      </c>
      <c r="E3033" s="23">
        <v>2.0</v>
      </c>
      <c r="F3033" s="18">
        <f>E3033* 0.00302222222222222</f>
        <v>0.006044444444</v>
      </c>
      <c r="G3033" s="18">
        <f>E3033* 0.996622222222222</f>
        <v>1.993244444</v>
      </c>
      <c r="H3033" s="18">
        <f>E3033* 0.000355555555555556</f>
        <v>0.0007111111111</v>
      </c>
    </row>
    <row r="3034" ht="15.75" hidden="1" customHeight="1">
      <c r="A3034" s="20" t="s">
        <v>224</v>
      </c>
      <c r="B3034" s="47" t="s">
        <v>253</v>
      </c>
      <c r="C3034" s="47"/>
      <c r="D3034" s="19" t="s">
        <v>12</v>
      </c>
      <c r="E3034" s="23">
        <v>93.0</v>
      </c>
      <c r="F3034" s="18">
        <f>E3034* 0.802335182557089</f>
        <v>74.61717198</v>
      </c>
      <c r="G3034" s="18">
        <f>E3034* 0.124687137143594</f>
        <v>11.59590375</v>
      </c>
      <c r="H3034" s="18">
        <f>E3034* 0.0729583279576829</f>
        <v>6.7851245</v>
      </c>
    </row>
    <row r="3035" ht="15.75" hidden="1" customHeight="1">
      <c r="A3035" s="20" t="s">
        <v>224</v>
      </c>
      <c r="B3035" s="20"/>
      <c r="C3035" s="20"/>
      <c r="D3035" s="46"/>
      <c r="E3035" s="35"/>
    </row>
    <row r="3036" ht="15.75" hidden="1" customHeight="1">
      <c r="A3036" s="20" t="s">
        <v>224</v>
      </c>
      <c r="B3036" s="47" t="s">
        <v>254</v>
      </c>
      <c r="C3036" s="12" t="str">
        <f>B3036&amp;"_"&amp;A3036</f>
        <v>Roboré_Santa Cruz</v>
      </c>
      <c r="D3036" s="20"/>
      <c r="E3036" s="45">
        <v>1.0</v>
      </c>
      <c r="F3036" s="14">
        <f t="shared" ref="F3036:H3036" si="253">SUM(F3037:F3040)</f>
        <v>0.08347949168</v>
      </c>
      <c r="G3036" s="14">
        <f t="shared" si="253"/>
        <v>0.9135050309</v>
      </c>
      <c r="H3036" s="14">
        <f t="shared" si="253"/>
        <v>0.002923166867</v>
      </c>
    </row>
    <row r="3037" ht="15.75" hidden="1" customHeight="1">
      <c r="A3037" s="20" t="s">
        <v>224</v>
      </c>
      <c r="B3037" s="47" t="s">
        <v>254</v>
      </c>
      <c r="C3037" s="47"/>
      <c r="D3037" s="19" t="s">
        <v>15</v>
      </c>
      <c r="E3037" s="23">
        <v>0.0</v>
      </c>
      <c r="F3037" s="18">
        <f>E3037* 0.932303048052446</f>
        <v>0</v>
      </c>
      <c r="G3037" s="18">
        <f>E3037* 0.0217058280204555</f>
        <v>0</v>
      </c>
      <c r="H3037" s="18">
        <f>E3037* 0.0459798598751943</f>
        <v>0</v>
      </c>
    </row>
    <row r="3038" ht="15.75" hidden="1" customHeight="1">
      <c r="A3038" s="20" t="s">
        <v>224</v>
      </c>
      <c r="B3038" s="47" t="s">
        <v>254</v>
      </c>
      <c r="C3038" s="47"/>
      <c r="D3038" s="19" t="s">
        <v>11</v>
      </c>
      <c r="E3038" s="23">
        <v>1.0</v>
      </c>
      <c r="F3038" s="18">
        <f>E3038* 0.083479491676667</f>
        <v>0.08347949168</v>
      </c>
      <c r="G3038" s="18">
        <f>E3038* 0.913505030924029</f>
        <v>0.9135050309</v>
      </c>
      <c r="H3038" s="18">
        <f>E3038* 0.00292316686667282</f>
        <v>0.002923166867</v>
      </c>
    </row>
    <row r="3039" ht="15.75" hidden="1" customHeight="1">
      <c r="A3039" s="20" t="s">
        <v>224</v>
      </c>
      <c r="B3039" s="47" t="s">
        <v>254</v>
      </c>
      <c r="C3039" s="47"/>
      <c r="D3039" s="19" t="s">
        <v>17</v>
      </c>
      <c r="E3039" s="23">
        <v>0.0</v>
      </c>
      <c r="F3039" s="18">
        <f>E3039* 0.752045572242362</f>
        <v>0</v>
      </c>
      <c r="G3039" s="18">
        <f>E3039* 0.185827723114103</f>
        <v>0</v>
      </c>
      <c r="H3039" s="18">
        <f>E3039* 0.0620921802175039</f>
        <v>0</v>
      </c>
    </row>
    <row r="3040" ht="15.75" hidden="1" customHeight="1">
      <c r="A3040" s="20" t="s">
        <v>224</v>
      </c>
      <c r="B3040" s="47" t="s">
        <v>254</v>
      </c>
      <c r="C3040" s="47"/>
      <c r="D3040" s="19" t="s">
        <v>18</v>
      </c>
      <c r="E3040" s="23">
        <v>0.0</v>
      </c>
      <c r="F3040" s="18">
        <f>E3040* 0.893702527830246</f>
        <v>0</v>
      </c>
      <c r="G3040" s="18">
        <f>E3040* 0.0946831169875015</f>
        <v>0</v>
      </c>
      <c r="H3040" s="18">
        <f>E3040* 0.0116143551822529</f>
        <v>0</v>
      </c>
    </row>
    <row r="3041" ht="15.75" hidden="1" customHeight="1">
      <c r="A3041" s="20" t="s">
        <v>224</v>
      </c>
      <c r="B3041" s="20"/>
      <c r="C3041" s="20"/>
      <c r="D3041" s="46"/>
      <c r="E3041" s="35"/>
    </row>
    <row r="3042" ht="15.75" hidden="1" customHeight="1">
      <c r="A3042" s="20" t="s">
        <v>224</v>
      </c>
      <c r="B3042" s="47" t="s">
        <v>255</v>
      </c>
      <c r="C3042" s="12" t="str">
        <f>B3042&amp;"_"&amp;A3042</f>
        <v>Saipina_Santa Cruz</v>
      </c>
      <c r="D3042" s="20"/>
      <c r="E3042" s="45">
        <v>68.0</v>
      </c>
      <c r="F3042" s="14">
        <f t="shared" ref="F3042:H3042" si="254">SUM(F3043:F3050)</f>
        <v>49.59325728</v>
      </c>
      <c r="G3042" s="14">
        <f t="shared" si="254"/>
        <v>15.8571958</v>
      </c>
      <c r="H3042" s="14">
        <f t="shared" si="254"/>
        <v>2.546019087</v>
      </c>
    </row>
    <row r="3043" ht="15.75" hidden="1" customHeight="1">
      <c r="A3043" s="20" t="s">
        <v>224</v>
      </c>
      <c r="B3043" s="47" t="s">
        <v>255</v>
      </c>
      <c r="C3043" s="47"/>
      <c r="D3043" s="19" t="s">
        <v>15</v>
      </c>
      <c r="E3043" s="23">
        <v>1.0</v>
      </c>
      <c r="F3043" s="18">
        <f>E3043* 0.932303048052446</f>
        <v>0.9323030481</v>
      </c>
      <c r="G3043" s="18">
        <f>E3043* 0.0217058280204555</f>
        <v>0.02170582802</v>
      </c>
      <c r="H3043" s="18">
        <f>E3043* 0.0459798598751943</f>
        <v>0.04597985988</v>
      </c>
    </row>
    <row r="3044" ht="15.75" hidden="1" customHeight="1">
      <c r="A3044" s="20" t="s">
        <v>224</v>
      </c>
      <c r="B3044" s="47" t="s">
        <v>255</v>
      </c>
      <c r="C3044" s="47"/>
      <c r="D3044" s="29" t="s">
        <v>657</v>
      </c>
      <c r="E3044" s="23">
        <v>1.0</v>
      </c>
      <c r="F3044" s="18">
        <f>E3044* 0.293894936109797</f>
        <v>0.2938949361</v>
      </c>
      <c r="G3044" s="18">
        <f>E3044* 0.663038334122101</f>
        <v>0.6630383341</v>
      </c>
      <c r="H3044" s="18">
        <f>E3044* 0.0430667297681022</f>
        <v>0.04306672977</v>
      </c>
    </row>
    <row r="3045" ht="15.75" hidden="1" customHeight="1">
      <c r="A3045" s="20" t="s">
        <v>224</v>
      </c>
      <c r="B3045" s="47" t="s">
        <v>255</v>
      </c>
      <c r="C3045" s="47"/>
      <c r="D3045" s="19" t="s">
        <v>11</v>
      </c>
      <c r="E3045" s="23">
        <v>12.0</v>
      </c>
      <c r="F3045" s="18">
        <f>E3045* 0.083479491676667</f>
        <v>1.0017539</v>
      </c>
      <c r="G3045" s="18">
        <f>E3045* 0.913505030924029</f>
        <v>10.96206037</v>
      </c>
      <c r="H3045" s="18">
        <f>E3045* 0.00292316686667282</f>
        <v>0.0350780024</v>
      </c>
    </row>
    <row r="3046" ht="15.75" hidden="1" customHeight="1">
      <c r="A3046" s="20" t="s">
        <v>224</v>
      </c>
      <c r="B3046" s="47" t="s">
        <v>255</v>
      </c>
      <c r="C3046" s="47"/>
      <c r="D3046" s="19" t="s">
        <v>17</v>
      </c>
      <c r="E3046" s="23">
        <v>0.0</v>
      </c>
      <c r="F3046" s="18">
        <f>E3046* 0.752045572242362</f>
        <v>0</v>
      </c>
      <c r="G3046" s="18">
        <f>E3046* 0.185827723114103</f>
        <v>0</v>
      </c>
      <c r="H3046" s="18">
        <f>E3046* 0.0620921802175039</f>
        <v>0</v>
      </c>
    </row>
    <row r="3047" ht="15.75" hidden="1" customHeight="1">
      <c r="A3047" s="20" t="s">
        <v>224</v>
      </c>
      <c r="B3047" s="47" t="s">
        <v>255</v>
      </c>
      <c r="C3047" s="47"/>
      <c r="D3047" s="19" t="s">
        <v>18</v>
      </c>
      <c r="E3047" s="23">
        <v>1.0</v>
      </c>
      <c r="F3047" s="18">
        <f>E3047* 0.893702527830246</f>
        <v>0.8937025278</v>
      </c>
      <c r="G3047" s="18">
        <f>E3047* 0.0946831169875015</f>
        <v>0.09468311699</v>
      </c>
      <c r="H3047" s="18">
        <f>E3047* 0.0116143551822529</f>
        <v>0.01161435518</v>
      </c>
    </row>
    <row r="3048" ht="15.75" hidden="1" customHeight="1">
      <c r="A3048" s="20" t="s">
        <v>224</v>
      </c>
      <c r="B3048" s="47" t="s">
        <v>255</v>
      </c>
      <c r="C3048" s="47"/>
      <c r="D3048" s="19" t="s">
        <v>19</v>
      </c>
      <c r="E3048" s="23">
        <v>0.0</v>
      </c>
      <c r="F3048" s="18">
        <f>E3048* 0.0299845873616365</f>
        <v>0</v>
      </c>
      <c r="G3048" s="18">
        <f>E3048* 0.96385035729298</f>
        <v>0</v>
      </c>
      <c r="H3048" s="18">
        <f>E3048* 0.00616505534538321</f>
        <v>0</v>
      </c>
    </row>
    <row r="3049" ht="15.75" hidden="1" customHeight="1">
      <c r="A3049" s="20" t="s">
        <v>224</v>
      </c>
      <c r="B3049" s="47" t="s">
        <v>255</v>
      </c>
      <c r="C3049" s="47"/>
      <c r="D3049" s="19" t="s">
        <v>21</v>
      </c>
      <c r="E3049" s="23">
        <v>20.0</v>
      </c>
      <c r="F3049" s="18">
        <f>E3049* 0.999727092353423</f>
        <v>19.99454185</v>
      </c>
      <c r="G3049" s="18">
        <f>E3049* 0.0000516311763794744</f>
        <v>0.001032623528</v>
      </c>
      <c r="H3049" s="18">
        <f>E3049* 0.000132765882118648</f>
        <v>0.002655317642</v>
      </c>
    </row>
    <row r="3050" ht="15.75" hidden="1" customHeight="1">
      <c r="A3050" s="20" t="s">
        <v>224</v>
      </c>
      <c r="B3050" s="47" t="s">
        <v>255</v>
      </c>
      <c r="C3050" s="47"/>
      <c r="D3050" s="19" t="s">
        <v>12</v>
      </c>
      <c r="E3050" s="23">
        <v>33.0</v>
      </c>
      <c r="F3050" s="18">
        <f>E3050* 0.802335182557089</f>
        <v>26.47706102</v>
      </c>
      <c r="G3050" s="18">
        <f>E3050* 0.124687137143594</f>
        <v>4.114675526</v>
      </c>
      <c r="H3050" s="18">
        <f>E3050* 0.0729583279576829</f>
        <v>2.407624823</v>
      </c>
    </row>
    <row r="3051" ht="15.75" hidden="1" customHeight="1">
      <c r="A3051" s="20" t="s">
        <v>224</v>
      </c>
      <c r="B3051" s="20"/>
      <c r="C3051" s="20"/>
      <c r="D3051" s="46"/>
      <c r="E3051" s="35"/>
    </row>
    <row r="3052" ht="15.75" hidden="1" customHeight="1">
      <c r="A3052" s="20" t="s">
        <v>224</v>
      </c>
      <c r="B3052" s="47" t="s">
        <v>256</v>
      </c>
      <c r="C3052" s="12" t="str">
        <f>B3052&amp;"_"&amp;A3052</f>
        <v>Samaipata_Santa Cruz</v>
      </c>
      <c r="D3052" s="20"/>
      <c r="E3052" s="45">
        <v>54.0</v>
      </c>
      <c r="F3052" s="14">
        <f t="shared" ref="F3052:H3052" si="255">SUM(F3053:F3060)</f>
        <v>37.8601747</v>
      </c>
      <c r="G3052" s="14">
        <f t="shared" si="255"/>
        <v>14.22902068</v>
      </c>
      <c r="H3052" s="14">
        <f t="shared" si="255"/>
        <v>1.908097576</v>
      </c>
    </row>
    <row r="3053" ht="15.75" hidden="1" customHeight="1">
      <c r="A3053" s="20" t="s">
        <v>224</v>
      </c>
      <c r="B3053" s="47" t="s">
        <v>256</v>
      </c>
      <c r="C3053" s="47"/>
      <c r="D3053" s="19" t="s">
        <v>15</v>
      </c>
      <c r="E3053" s="23">
        <v>5.0</v>
      </c>
      <c r="F3053" s="18">
        <f>E3053* 0.932303048052446</f>
        <v>4.66151524</v>
      </c>
      <c r="G3053" s="18">
        <f>E3053* 0.0217058280204555</f>
        <v>0.1085291401</v>
      </c>
      <c r="H3053" s="18">
        <f>E3053* 0.0459798598751943</f>
        <v>0.2298992994</v>
      </c>
    </row>
    <row r="3054" ht="15.75" hidden="1" customHeight="1">
      <c r="A3054" s="20" t="s">
        <v>224</v>
      </c>
      <c r="B3054" s="47" t="s">
        <v>256</v>
      </c>
      <c r="C3054" s="47"/>
      <c r="D3054" s="19" t="s">
        <v>11</v>
      </c>
      <c r="E3054" s="23">
        <v>11.0</v>
      </c>
      <c r="F3054" s="18">
        <f>E3054* 0.083479491676667</f>
        <v>0.9182744084</v>
      </c>
      <c r="G3054" s="18">
        <f>E3054* 0.913505030924029</f>
        <v>10.04855534</v>
      </c>
      <c r="H3054" s="18">
        <f>E3054* 0.00292316686667282</f>
        <v>0.03215483553</v>
      </c>
    </row>
    <row r="3055" ht="15.75" hidden="1" customHeight="1">
      <c r="A3055" s="20" t="s">
        <v>224</v>
      </c>
      <c r="B3055" s="47" t="s">
        <v>256</v>
      </c>
      <c r="C3055" s="47"/>
      <c r="D3055" s="19" t="s">
        <v>17</v>
      </c>
      <c r="E3055" s="23">
        <v>13.0</v>
      </c>
      <c r="F3055" s="18">
        <f>E3055* 0.752045572242362</f>
        <v>9.776592439</v>
      </c>
      <c r="G3055" s="18">
        <f>E3055* 0.185827723114103</f>
        <v>2.4157604</v>
      </c>
      <c r="H3055" s="18">
        <f>E3055* 0.0620921802175039</f>
        <v>0.8071983428</v>
      </c>
    </row>
    <row r="3056" ht="15.75" hidden="1" customHeight="1">
      <c r="A3056" s="20" t="s">
        <v>224</v>
      </c>
      <c r="B3056" s="47" t="s">
        <v>256</v>
      </c>
      <c r="C3056" s="47"/>
      <c r="D3056" s="19" t="s">
        <v>18</v>
      </c>
      <c r="E3056" s="23">
        <v>3.0</v>
      </c>
      <c r="F3056" s="18">
        <f>E3056* 0.893702527830246</f>
        <v>2.681107583</v>
      </c>
      <c r="G3056" s="18">
        <f>E3056* 0.0946831169875015</f>
        <v>0.284049351</v>
      </c>
      <c r="H3056" s="18">
        <f>E3056* 0.0116143551822529</f>
        <v>0.03484306555</v>
      </c>
    </row>
    <row r="3057" ht="15.75" hidden="1" customHeight="1">
      <c r="A3057" s="20" t="s">
        <v>224</v>
      </c>
      <c r="B3057" s="47" t="s">
        <v>256</v>
      </c>
      <c r="C3057" s="47"/>
      <c r="D3057" s="19" t="s">
        <v>19</v>
      </c>
      <c r="E3057" s="23">
        <v>0.0</v>
      </c>
      <c r="F3057" s="18">
        <f>E3057* 0.0299845873616365</f>
        <v>0</v>
      </c>
      <c r="G3057" s="18">
        <f>E3057* 0.96385035729298</f>
        <v>0</v>
      </c>
      <c r="H3057" s="18">
        <f>E3057* 0.00616505534538321</f>
        <v>0</v>
      </c>
    </row>
    <row r="3058" ht="15.75" hidden="1" customHeight="1">
      <c r="A3058" s="20" t="s">
        <v>224</v>
      </c>
      <c r="B3058" s="47" t="s">
        <v>256</v>
      </c>
      <c r="C3058" s="47"/>
      <c r="D3058" s="19" t="s">
        <v>20</v>
      </c>
      <c r="E3058" s="23">
        <v>0.0</v>
      </c>
      <c r="F3058" s="18">
        <f>E3058* 0.734251968503937</f>
        <v>0</v>
      </c>
      <c r="G3058" s="18">
        <f>E3058* 0.158017179670723</f>
        <v>0</v>
      </c>
      <c r="H3058" s="18">
        <f>E3058* 0.107551896921976</f>
        <v>0</v>
      </c>
    </row>
    <row r="3059" ht="15.75" hidden="1" customHeight="1">
      <c r="A3059" s="20" t="s">
        <v>224</v>
      </c>
      <c r="B3059" s="47" t="s">
        <v>256</v>
      </c>
      <c r="C3059" s="47"/>
      <c r="D3059" s="19" t="s">
        <v>21</v>
      </c>
      <c r="E3059" s="23">
        <v>11.0</v>
      </c>
      <c r="F3059" s="18">
        <f>E3059* 0.999727092353423</f>
        <v>10.99699802</v>
      </c>
      <c r="G3059" s="18">
        <f>E3059* 0.0000516311763794744</f>
        <v>0.0005679429402</v>
      </c>
      <c r="H3059" s="18">
        <f>E3059* 0.000132765882118648</f>
        <v>0.001460424703</v>
      </c>
    </row>
    <row r="3060" ht="15.75" hidden="1" customHeight="1">
      <c r="A3060" s="20" t="s">
        <v>224</v>
      </c>
      <c r="B3060" s="47" t="s">
        <v>256</v>
      </c>
      <c r="C3060" s="47"/>
      <c r="D3060" s="19" t="s">
        <v>12</v>
      </c>
      <c r="E3060" s="23">
        <v>11.0</v>
      </c>
      <c r="F3060" s="18">
        <f>E3060* 0.802335182557089</f>
        <v>8.825687008</v>
      </c>
      <c r="G3060" s="18">
        <f>E3060* 0.124687137143594</f>
        <v>1.371558509</v>
      </c>
      <c r="H3060" s="18">
        <f>E3060* 0.0729583279576829</f>
        <v>0.8025416075</v>
      </c>
    </row>
    <row r="3061" ht="15.75" hidden="1" customHeight="1">
      <c r="A3061" s="20" t="s">
        <v>224</v>
      </c>
      <c r="B3061" s="20"/>
      <c r="C3061" s="20"/>
      <c r="D3061" s="46"/>
      <c r="E3061" s="35"/>
    </row>
    <row r="3062" ht="15.75" hidden="1" customHeight="1">
      <c r="A3062" s="20" t="s">
        <v>224</v>
      </c>
      <c r="B3062" s="47" t="s">
        <v>257</v>
      </c>
      <c r="C3062" s="12" t="str">
        <f>B3062&amp;"_"&amp;A3062</f>
        <v>San Carlos_Santa Cruz</v>
      </c>
      <c r="D3062" s="20"/>
      <c r="E3062" s="45">
        <v>2340.0</v>
      </c>
      <c r="F3062" s="14">
        <f t="shared" ref="F3062:H3062" si="256">SUM(F3063:F3076)</f>
        <v>1893.191556</v>
      </c>
      <c r="G3062" s="14">
        <f t="shared" si="256"/>
        <v>371.2164281</v>
      </c>
      <c r="H3062" s="14">
        <f t="shared" si="256"/>
        <v>75.47414714</v>
      </c>
    </row>
    <row r="3063" ht="15.75" hidden="1" customHeight="1">
      <c r="A3063" s="20" t="s">
        <v>224</v>
      </c>
      <c r="B3063" s="47" t="s">
        <v>257</v>
      </c>
      <c r="C3063" s="47"/>
      <c r="D3063" s="29" t="s">
        <v>658</v>
      </c>
      <c r="E3063" s="23">
        <v>0.0</v>
      </c>
      <c r="F3063" s="20">
        <v>0.0</v>
      </c>
      <c r="G3063" s="24">
        <f>E3063</f>
        <v>0</v>
      </c>
      <c r="H3063" s="20">
        <v>0.0</v>
      </c>
    </row>
    <row r="3064" ht="15.75" hidden="1" customHeight="1">
      <c r="A3064" s="20" t="s">
        <v>224</v>
      </c>
      <c r="B3064" s="47" t="s">
        <v>257</v>
      </c>
      <c r="C3064" s="47"/>
      <c r="D3064" s="19" t="s">
        <v>15</v>
      </c>
      <c r="E3064" s="23">
        <v>228.0</v>
      </c>
      <c r="F3064" s="18">
        <f>E3064* 0.932303048052446</f>
        <v>212.565095</v>
      </c>
      <c r="G3064" s="18">
        <f>E3064* 0.0217058280204555</f>
        <v>4.948928789</v>
      </c>
      <c r="H3064" s="18">
        <f>E3064* 0.0459798598751943</f>
        <v>10.48340805</v>
      </c>
    </row>
    <row r="3065" ht="15.75" hidden="1" customHeight="1">
      <c r="A3065" s="20" t="s">
        <v>224</v>
      </c>
      <c r="B3065" s="47" t="s">
        <v>257</v>
      </c>
      <c r="C3065" s="47"/>
      <c r="D3065" s="29" t="s">
        <v>659</v>
      </c>
      <c r="E3065" s="23">
        <v>5.0</v>
      </c>
      <c r="F3065" s="18">
        <f>E3065* 0.293894936109797</f>
        <v>1.469474681</v>
      </c>
      <c r="G3065" s="18">
        <f>E3065* 0.663038334122101</f>
        <v>3.315191671</v>
      </c>
      <c r="H3065" s="18">
        <f>E3065* 0.0430667297681022</f>
        <v>0.2153336488</v>
      </c>
    </row>
    <row r="3066" ht="15.75" hidden="1" customHeight="1">
      <c r="A3066" s="20" t="s">
        <v>224</v>
      </c>
      <c r="B3066" s="47" t="s">
        <v>257</v>
      </c>
      <c r="C3066" s="47"/>
      <c r="D3066" s="19" t="s">
        <v>11</v>
      </c>
      <c r="E3066" s="23">
        <v>142.0</v>
      </c>
      <c r="F3066" s="18">
        <f>E3066* 0.083479491676667</f>
        <v>11.85408782</v>
      </c>
      <c r="G3066" s="18">
        <f>E3066* 0.913505030924029</f>
        <v>129.7177144</v>
      </c>
      <c r="H3066" s="18">
        <f>E3066* 0.00292316686667282</f>
        <v>0.4150896951</v>
      </c>
    </row>
    <row r="3067" ht="15.75" hidden="1" customHeight="1">
      <c r="A3067" s="20" t="s">
        <v>224</v>
      </c>
      <c r="B3067" s="47" t="s">
        <v>257</v>
      </c>
      <c r="C3067" s="47"/>
      <c r="D3067" s="19" t="s">
        <v>17</v>
      </c>
      <c r="E3067" s="23">
        <v>325.0</v>
      </c>
      <c r="F3067" s="18">
        <f>E3067* 0.752045572242362</f>
        <v>244.414811</v>
      </c>
      <c r="G3067" s="18">
        <f>E3067* 0.185827723114103</f>
        <v>60.39401001</v>
      </c>
      <c r="H3067" s="18">
        <f>E3067* 0.0620921802175039</f>
        <v>20.17995857</v>
      </c>
    </row>
    <row r="3068" ht="15.75" hidden="1" customHeight="1">
      <c r="A3068" s="20" t="s">
        <v>224</v>
      </c>
      <c r="B3068" s="47" t="s">
        <v>257</v>
      </c>
      <c r="C3068" s="47"/>
      <c r="D3068" s="19" t="s">
        <v>31</v>
      </c>
      <c r="E3068" s="23">
        <v>17.0</v>
      </c>
      <c r="F3068" s="18">
        <f>E3068* 0.929131175468484</f>
        <v>15.79522998</v>
      </c>
      <c r="G3068" s="18">
        <f>E3068* 0.0477001703577513</f>
        <v>0.8109028961</v>
      </c>
      <c r="H3068" s="18">
        <f>E3068* 0.0231686541737649</f>
        <v>0.393867121</v>
      </c>
    </row>
    <row r="3069" ht="15.75" hidden="1" customHeight="1">
      <c r="A3069" s="20" t="s">
        <v>224</v>
      </c>
      <c r="B3069" s="47" t="s">
        <v>257</v>
      </c>
      <c r="C3069" s="47"/>
      <c r="D3069" s="19" t="s">
        <v>18</v>
      </c>
      <c r="E3069" s="23">
        <v>75.0</v>
      </c>
      <c r="F3069" s="18">
        <f>E3069* 0.893702527830246</f>
        <v>67.02768959</v>
      </c>
      <c r="G3069" s="18">
        <f>E3069* 0.0946831169875015</f>
        <v>7.101233774</v>
      </c>
      <c r="H3069" s="18">
        <f>E3069* 0.0116143551822529</f>
        <v>0.8710766387</v>
      </c>
    </row>
    <row r="3070" ht="15.75" hidden="1" customHeight="1">
      <c r="A3070" s="20" t="s">
        <v>224</v>
      </c>
      <c r="B3070" s="47" t="s">
        <v>257</v>
      </c>
      <c r="C3070" s="47"/>
      <c r="D3070" s="29" t="s">
        <v>660</v>
      </c>
      <c r="E3070" s="23">
        <v>3.0</v>
      </c>
      <c r="F3070" s="20">
        <v>0.0</v>
      </c>
      <c r="G3070" s="24">
        <f>E3070</f>
        <v>3</v>
      </c>
      <c r="H3070" s="20">
        <v>0.0</v>
      </c>
    </row>
    <row r="3071" ht="15.75" hidden="1" customHeight="1">
      <c r="A3071" s="20" t="s">
        <v>224</v>
      </c>
      <c r="B3071" s="47" t="s">
        <v>257</v>
      </c>
      <c r="C3071" s="47"/>
      <c r="D3071" s="19" t="s">
        <v>19</v>
      </c>
      <c r="E3071" s="23">
        <v>10.0</v>
      </c>
      <c r="F3071" s="18">
        <f>E3071* 0.0299845873616365</f>
        <v>0.2998458736</v>
      </c>
      <c r="G3071" s="18">
        <f>E3071* 0.96385035729298</f>
        <v>9.638503573</v>
      </c>
      <c r="H3071" s="18">
        <f>E3071* 0.00616505534538321</f>
        <v>0.06165055345</v>
      </c>
    </row>
    <row r="3072" ht="15.75" hidden="1" customHeight="1">
      <c r="A3072" s="20" t="s">
        <v>224</v>
      </c>
      <c r="B3072" s="47" t="s">
        <v>257</v>
      </c>
      <c r="C3072" s="47"/>
      <c r="D3072" s="19" t="s">
        <v>20</v>
      </c>
      <c r="E3072" s="23">
        <v>17.0</v>
      </c>
      <c r="F3072" s="18">
        <f>E3072* 0.734251968503937</f>
        <v>12.48228346</v>
      </c>
      <c r="G3072" s="18">
        <f>E3072* 0.158017179670723</f>
        <v>2.686292054</v>
      </c>
      <c r="H3072" s="18">
        <f>E3072* 0.107551896921976</f>
        <v>1.828382248</v>
      </c>
    </row>
    <row r="3073" ht="15.75" hidden="1" customHeight="1">
      <c r="A3073" s="20" t="s">
        <v>224</v>
      </c>
      <c r="B3073" s="47" t="s">
        <v>257</v>
      </c>
      <c r="C3073" s="47"/>
      <c r="D3073" s="19" t="s">
        <v>21</v>
      </c>
      <c r="E3073" s="23">
        <v>871.0</v>
      </c>
      <c r="F3073" s="18">
        <f>E3073* 0.999727092353423</f>
        <v>870.7622974</v>
      </c>
      <c r="G3073" s="18">
        <f>E3073* 0.0000516311763794744</f>
        <v>0.04497075463</v>
      </c>
      <c r="H3073" s="18">
        <f>E3073* 0.000132765882118648</f>
        <v>0.1156390833</v>
      </c>
    </row>
    <row r="3074" ht="15.75" hidden="1" customHeight="1">
      <c r="A3074" s="20" t="s">
        <v>224</v>
      </c>
      <c r="B3074" s="47" t="s">
        <v>257</v>
      </c>
      <c r="C3074" s="47"/>
      <c r="D3074" s="19" t="s">
        <v>36</v>
      </c>
      <c r="E3074" s="23">
        <v>7.0</v>
      </c>
      <c r="F3074" s="18">
        <f>E3074* 0.995894428152493</f>
        <v>6.971260997</v>
      </c>
      <c r="G3074" s="18">
        <f>E3074* 0.000586510263929619</f>
        <v>0.004105571848</v>
      </c>
      <c r="H3074" s="18">
        <f>E3074* 0.00351906158357771</f>
        <v>0.02463343109</v>
      </c>
    </row>
    <row r="3075" ht="15.75" hidden="1" customHeight="1">
      <c r="A3075" s="20" t="s">
        <v>224</v>
      </c>
      <c r="B3075" s="47" t="s">
        <v>257</v>
      </c>
      <c r="C3075" s="47"/>
      <c r="D3075" s="19" t="s">
        <v>28</v>
      </c>
      <c r="E3075" s="23">
        <v>80.0</v>
      </c>
      <c r="F3075" s="18">
        <f>E3075* 0.00302222222222222</f>
        <v>0.2417777778</v>
      </c>
      <c r="G3075" s="18">
        <f>E3075* 0.996622222222222</f>
        <v>79.72977778</v>
      </c>
      <c r="H3075" s="18">
        <f>E3075* 0.000355555555555556</f>
        <v>0.02844444444</v>
      </c>
    </row>
    <row r="3076" ht="15.75" hidden="1" customHeight="1">
      <c r="A3076" s="20" t="s">
        <v>224</v>
      </c>
      <c r="B3076" s="47" t="s">
        <v>257</v>
      </c>
      <c r="C3076" s="47"/>
      <c r="D3076" s="19" t="s">
        <v>12</v>
      </c>
      <c r="E3076" s="23">
        <v>560.0</v>
      </c>
      <c r="F3076" s="18">
        <f>E3076* 0.802335182557089</f>
        <v>449.3077022</v>
      </c>
      <c r="G3076" s="18">
        <f>E3076* 0.124687137143594</f>
        <v>69.8247968</v>
      </c>
      <c r="H3076" s="18">
        <f>E3076* 0.0729583279576829</f>
        <v>40.85666366</v>
      </c>
    </row>
    <row r="3077" ht="15.75" hidden="1" customHeight="1">
      <c r="A3077" s="20" t="s">
        <v>224</v>
      </c>
      <c r="B3077" s="20"/>
      <c r="C3077" s="20"/>
      <c r="D3077" s="46"/>
      <c r="E3077" s="35"/>
    </row>
    <row r="3078" ht="15.75" hidden="1" customHeight="1">
      <c r="A3078" s="20" t="s">
        <v>224</v>
      </c>
      <c r="B3078" s="47" t="s">
        <v>258</v>
      </c>
      <c r="C3078" s="12" t="str">
        <f>B3078&amp;"_"&amp;A3078</f>
        <v>San Ignacio (Santa Cruz)_Santa Cruz</v>
      </c>
      <c r="D3078" s="20"/>
      <c r="E3078" s="45">
        <v>2196.0</v>
      </c>
      <c r="F3078" s="14">
        <f t="shared" ref="F3078:H3078" si="257">SUM(F3079:F3091)</f>
        <v>2089.170127</v>
      </c>
      <c r="G3078" s="14">
        <f t="shared" si="257"/>
        <v>87.79137602</v>
      </c>
      <c r="H3078" s="14">
        <f t="shared" si="257"/>
        <v>18.85761596</v>
      </c>
    </row>
    <row r="3079" ht="15.75" hidden="1" customHeight="1">
      <c r="A3079" s="20" t="s">
        <v>224</v>
      </c>
      <c r="B3079" s="47" t="s">
        <v>258</v>
      </c>
      <c r="C3079" s="47"/>
      <c r="D3079" s="29" t="s">
        <v>661</v>
      </c>
      <c r="E3079" s="23">
        <v>3.0</v>
      </c>
      <c r="F3079" s="20">
        <v>0.0</v>
      </c>
      <c r="G3079" s="24">
        <f>E3079</f>
        <v>3</v>
      </c>
      <c r="H3079" s="20">
        <v>0.0</v>
      </c>
    </row>
    <row r="3080" ht="15.75" hidden="1" customHeight="1">
      <c r="A3080" s="20" t="s">
        <v>224</v>
      </c>
      <c r="B3080" s="47" t="s">
        <v>258</v>
      </c>
      <c r="C3080" s="47"/>
      <c r="D3080" s="19" t="s">
        <v>15</v>
      </c>
      <c r="E3080" s="23">
        <v>23.0</v>
      </c>
      <c r="F3080" s="18">
        <f>E3080* 0.932303048052446</f>
        <v>21.44297011</v>
      </c>
      <c r="G3080" s="18">
        <f>E3080* 0.0217058280204555</f>
        <v>0.4992340445</v>
      </c>
      <c r="H3080" s="18">
        <f>E3080* 0.0459798598751943</f>
        <v>1.057536777</v>
      </c>
    </row>
    <row r="3081" ht="15.75" hidden="1" customHeight="1">
      <c r="A3081" s="20" t="s">
        <v>224</v>
      </c>
      <c r="B3081" s="47" t="s">
        <v>258</v>
      </c>
      <c r="C3081" s="47"/>
      <c r="D3081" s="29" t="s">
        <v>662</v>
      </c>
      <c r="E3081" s="23">
        <v>2.0</v>
      </c>
      <c r="F3081" s="18">
        <f>E3081* 0.293894936109797</f>
        <v>0.5877898722</v>
      </c>
      <c r="G3081" s="18">
        <f>E3081* 0.663038334122101</f>
        <v>1.326076668</v>
      </c>
      <c r="H3081" s="18">
        <f>E3081* 0.0430667297681022</f>
        <v>0.08613345954</v>
      </c>
    </row>
    <row r="3082" ht="15.75" hidden="1" customHeight="1">
      <c r="A3082" s="20" t="s">
        <v>224</v>
      </c>
      <c r="B3082" s="47" t="s">
        <v>258</v>
      </c>
      <c r="C3082" s="47"/>
      <c r="D3082" s="19" t="s">
        <v>11</v>
      </c>
      <c r="E3082" s="23">
        <v>37.0</v>
      </c>
      <c r="F3082" s="18">
        <f>E3082* 0.083479491676667</f>
        <v>3.088741192</v>
      </c>
      <c r="G3082" s="18">
        <f>E3082* 0.913505030924029</f>
        <v>33.79968614</v>
      </c>
      <c r="H3082" s="18">
        <f>E3082* 0.00292316686667282</f>
        <v>0.1081571741</v>
      </c>
    </row>
    <row r="3083" ht="15.75" hidden="1" customHeight="1">
      <c r="A3083" s="20" t="s">
        <v>224</v>
      </c>
      <c r="B3083" s="47" t="s">
        <v>258</v>
      </c>
      <c r="C3083" s="47"/>
      <c r="D3083" s="19" t="s">
        <v>17</v>
      </c>
      <c r="E3083" s="23">
        <v>108.0</v>
      </c>
      <c r="F3083" s="18">
        <f>E3083* 0.752045572242362</f>
        <v>81.2209218</v>
      </c>
      <c r="G3083" s="18">
        <f>E3083* 0.185827723114103</f>
        <v>20.0693941</v>
      </c>
      <c r="H3083" s="18">
        <f>E3083* 0.0620921802175039</f>
        <v>6.705955463</v>
      </c>
    </row>
    <row r="3084" ht="15.75" hidden="1" customHeight="1">
      <c r="A3084" s="20" t="s">
        <v>224</v>
      </c>
      <c r="B3084" s="47" t="s">
        <v>258</v>
      </c>
      <c r="C3084" s="47"/>
      <c r="D3084" s="19" t="s">
        <v>31</v>
      </c>
      <c r="E3084" s="23">
        <v>6.0</v>
      </c>
      <c r="F3084" s="18">
        <f>E3084* 0.929131175468484</f>
        <v>5.574787053</v>
      </c>
      <c r="G3084" s="18">
        <f>E3084* 0.0477001703577513</f>
        <v>0.2862010221</v>
      </c>
      <c r="H3084" s="18">
        <f>E3084* 0.0231686541737649</f>
        <v>0.139011925</v>
      </c>
    </row>
    <row r="3085" ht="15.75" hidden="1" customHeight="1">
      <c r="A3085" s="20" t="s">
        <v>224</v>
      </c>
      <c r="B3085" s="47" t="s">
        <v>258</v>
      </c>
      <c r="C3085" s="47"/>
      <c r="D3085" s="19" t="s">
        <v>18</v>
      </c>
      <c r="E3085" s="23">
        <v>25.0</v>
      </c>
      <c r="F3085" s="18">
        <f>E3085* 0.893702527830246</f>
        <v>22.3425632</v>
      </c>
      <c r="G3085" s="18">
        <f>E3085* 0.0946831169875015</f>
        <v>2.367077925</v>
      </c>
      <c r="H3085" s="18">
        <f>E3085* 0.0116143551822529</f>
        <v>0.2903588796</v>
      </c>
    </row>
    <row r="3086" ht="15.75" hidden="1" customHeight="1">
      <c r="A3086" s="20" t="s">
        <v>224</v>
      </c>
      <c r="B3086" s="47" t="s">
        <v>258</v>
      </c>
      <c r="C3086" s="47"/>
      <c r="D3086" s="29" t="s">
        <v>663</v>
      </c>
      <c r="E3086" s="23">
        <v>5.0</v>
      </c>
      <c r="F3086" s="20">
        <v>0.0</v>
      </c>
      <c r="G3086" s="24">
        <f>E3086</f>
        <v>5</v>
      </c>
      <c r="H3086" s="20">
        <v>0.0</v>
      </c>
    </row>
    <row r="3087" ht="15.75" hidden="1" customHeight="1">
      <c r="A3087" s="20" t="s">
        <v>224</v>
      </c>
      <c r="B3087" s="47" t="s">
        <v>258</v>
      </c>
      <c r="C3087" s="47"/>
      <c r="D3087" s="19" t="s">
        <v>20</v>
      </c>
      <c r="E3087" s="23">
        <v>42.0</v>
      </c>
      <c r="F3087" s="18">
        <f>E3087* 0.734251968503937</f>
        <v>30.83858268</v>
      </c>
      <c r="G3087" s="18">
        <f>E3087* 0.158017179670723</f>
        <v>6.636721546</v>
      </c>
      <c r="H3087" s="18">
        <f>E3087* 0.107551896921976</f>
        <v>4.517179671</v>
      </c>
    </row>
    <row r="3088" ht="15.75" hidden="1" customHeight="1">
      <c r="A3088" s="20" t="s">
        <v>224</v>
      </c>
      <c r="B3088" s="47" t="s">
        <v>258</v>
      </c>
      <c r="C3088" s="47"/>
      <c r="D3088" s="19" t="s">
        <v>21</v>
      </c>
      <c r="E3088" s="23">
        <v>1858.0</v>
      </c>
      <c r="F3088" s="18">
        <f>E3088* 0.999727092353423</f>
        <v>1857.492938</v>
      </c>
      <c r="G3088" s="18">
        <f>E3088* 0.0000516311763794744</f>
        <v>0.09593072571</v>
      </c>
      <c r="H3088" s="18">
        <f>E3088* 0.000132765882118648</f>
        <v>0.246679009</v>
      </c>
    </row>
    <row r="3089" ht="15.75" hidden="1" customHeight="1">
      <c r="A3089" s="20" t="s">
        <v>224</v>
      </c>
      <c r="B3089" s="47" t="s">
        <v>258</v>
      </c>
      <c r="C3089" s="47"/>
      <c r="D3089" s="19" t="s">
        <v>36</v>
      </c>
      <c r="E3089" s="23">
        <v>4.0</v>
      </c>
      <c r="F3089" s="18">
        <f>E3089* 0.995894428152493</f>
        <v>3.983577713</v>
      </c>
      <c r="G3089" s="18">
        <f>E3089* 0.000586510263929619</f>
        <v>0.002346041056</v>
      </c>
      <c r="H3089" s="18">
        <f>E3089* 0.00351906158357771</f>
        <v>0.01407624633</v>
      </c>
    </row>
    <row r="3090" ht="15.75" hidden="1" customHeight="1">
      <c r="A3090" s="20" t="s">
        <v>224</v>
      </c>
      <c r="B3090" s="47" t="s">
        <v>258</v>
      </c>
      <c r="C3090" s="47"/>
      <c r="D3090" s="19" t="s">
        <v>28</v>
      </c>
      <c r="E3090" s="23">
        <v>5.0</v>
      </c>
      <c r="F3090" s="18">
        <f>E3090* 0.00302222222222222</f>
        <v>0.01511111111</v>
      </c>
      <c r="G3090" s="18">
        <f>E3090* 0.996622222222222</f>
        <v>4.983111111</v>
      </c>
      <c r="H3090" s="18">
        <f>E3090* 0.000355555555555556</f>
        <v>0.001777777778</v>
      </c>
    </row>
    <row r="3091" ht="15.75" hidden="1" customHeight="1">
      <c r="A3091" s="20" t="s">
        <v>224</v>
      </c>
      <c r="B3091" s="47" t="s">
        <v>258</v>
      </c>
      <c r="C3091" s="47"/>
      <c r="D3091" s="19" t="s">
        <v>12</v>
      </c>
      <c r="E3091" s="23">
        <v>78.0</v>
      </c>
      <c r="F3091" s="18">
        <f>E3091* 0.802335182557089</f>
        <v>62.58214424</v>
      </c>
      <c r="G3091" s="18">
        <f>E3091* 0.124687137143594</f>
        <v>9.725596697</v>
      </c>
      <c r="H3091" s="18">
        <f>E3091* 0.0729583279576829</f>
        <v>5.690749581</v>
      </c>
    </row>
    <row r="3092" ht="15.75" hidden="1" customHeight="1">
      <c r="A3092" s="20" t="s">
        <v>224</v>
      </c>
      <c r="B3092" s="20"/>
      <c r="C3092" s="20"/>
      <c r="D3092" s="46"/>
      <c r="E3092" s="35"/>
    </row>
    <row r="3093" ht="15.75" hidden="1" customHeight="1">
      <c r="A3093" s="20" t="s">
        <v>224</v>
      </c>
      <c r="B3093" s="47" t="s">
        <v>259</v>
      </c>
      <c r="C3093" s="12" t="str">
        <f>B3093&amp;"_"&amp;A3093</f>
        <v>San Javier (SCZ)_Santa Cruz</v>
      </c>
      <c r="D3093" s="20"/>
      <c r="E3093" s="45">
        <v>511.0</v>
      </c>
      <c r="F3093" s="14">
        <f t="shared" ref="F3093:H3093" si="258">SUM(F3094:F3105)</f>
        <v>432.7654816</v>
      </c>
      <c r="G3093" s="14">
        <f t="shared" si="258"/>
        <v>59.94371349</v>
      </c>
      <c r="H3093" s="14">
        <f t="shared" si="258"/>
        <v>18.26487272</v>
      </c>
    </row>
    <row r="3094" ht="15.75" hidden="1" customHeight="1">
      <c r="A3094" s="20" t="s">
        <v>224</v>
      </c>
      <c r="B3094" s="47" t="s">
        <v>259</v>
      </c>
      <c r="C3094" s="47"/>
      <c r="D3094" s="29" t="s">
        <v>664</v>
      </c>
      <c r="E3094" s="23">
        <v>3.0</v>
      </c>
      <c r="F3094" s="20">
        <v>0.0</v>
      </c>
      <c r="G3094" s="24">
        <f>E3094</f>
        <v>3</v>
      </c>
      <c r="H3094" s="20">
        <v>0.0</v>
      </c>
    </row>
    <row r="3095" ht="15.75" hidden="1" customHeight="1">
      <c r="A3095" s="20" t="s">
        <v>224</v>
      </c>
      <c r="B3095" s="47" t="s">
        <v>259</v>
      </c>
      <c r="C3095" s="47"/>
      <c r="D3095" s="19" t="s">
        <v>15</v>
      </c>
      <c r="E3095" s="23">
        <v>41.0</v>
      </c>
      <c r="F3095" s="18">
        <f>E3095* 0.932303048052446</f>
        <v>38.22442497</v>
      </c>
      <c r="G3095" s="18">
        <f>E3095* 0.0217058280204555</f>
        <v>0.8899389488</v>
      </c>
      <c r="H3095" s="18">
        <f>E3095* 0.0459798598751943</f>
        <v>1.885174255</v>
      </c>
    </row>
    <row r="3096" ht="15.75" hidden="1" customHeight="1">
      <c r="A3096" s="20" t="s">
        <v>224</v>
      </c>
      <c r="B3096" s="47" t="s">
        <v>259</v>
      </c>
      <c r="C3096" s="47"/>
      <c r="D3096" s="29" t="s">
        <v>665</v>
      </c>
      <c r="E3096" s="23">
        <v>1.0</v>
      </c>
      <c r="F3096" s="18">
        <f>E3096* 0.293894936109797</f>
        <v>0.2938949361</v>
      </c>
      <c r="G3096" s="18">
        <f>E3096* 0.663038334122101</f>
        <v>0.6630383341</v>
      </c>
      <c r="H3096" s="18">
        <f>E3096* 0.0430667297681022</f>
        <v>0.04306672977</v>
      </c>
    </row>
    <row r="3097" ht="15.75" hidden="1" customHeight="1">
      <c r="A3097" s="20" t="s">
        <v>224</v>
      </c>
      <c r="B3097" s="47" t="s">
        <v>259</v>
      </c>
      <c r="C3097" s="47"/>
      <c r="D3097" s="19" t="s">
        <v>11</v>
      </c>
      <c r="E3097" s="23">
        <v>15.0</v>
      </c>
      <c r="F3097" s="18">
        <f>E3097* 0.083479491676667</f>
        <v>1.252192375</v>
      </c>
      <c r="G3097" s="18">
        <f>E3097* 0.913505030924029</f>
        <v>13.70257546</v>
      </c>
      <c r="H3097" s="18">
        <f>E3097* 0.00292316686667282</f>
        <v>0.043847503</v>
      </c>
    </row>
    <row r="3098" ht="15.75" hidden="1" customHeight="1">
      <c r="A3098" s="20" t="s">
        <v>224</v>
      </c>
      <c r="B3098" s="47" t="s">
        <v>259</v>
      </c>
      <c r="C3098" s="47"/>
      <c r="D3098" s="19" t="s">
        <v>17</v>
      </c>
      <c r="E3098" s="23">
        <v>97.0</v>
      </c>
      <c r="F3098" s="18">
        <f>E3098* 0.752045572242362</f>
        <v>72.94842051</v>
      </c>
      <c r="G3098" s="18">
        <f>E3098* 0.185827723114103</f>
        <v>18.02528914</v>
      </c>
      <c r="H3098" s="18">
        <f>E3098* 0.0620921802175039</f>
        <v>6.022941481</v>
      </c>
    </row>
    <row r="3099" ht="15.75" hidden="1" customHeight="1">
      <c r="A3099" s="20" t="s">
        <v>224</v>
      </c>
      <c r="B3099" s="47" t="s">
        <v>259</v>
      </c>
      <c r="C3099" s="47"/>
      <c r="D3099" s="19" t="s">
        <v>31</v>
      </c>
      <c r="E3099" s="23">
        <v>5.0</v>
      </c>
      <c r="F3099" s="18">
        <f>E3099* 0.929131175468484</f>
        <v>4.645655877</v>
      </c>
      <c r="G3099" s="18">
        <f>E3099* 0.0477001703577513</f>
        <v>0.2385008518</v>
      </c>
      <c r="H3099" s="18">
        <f>E3099* 0.0231686541737649</f>
        <v>0.1158432709</v>
      </c>
    </row>
    <row r="3100" ht="15.75" hidden="1" customHeight="1">
      <c r="A3100" s="20" t="s">
        <v>224</v>
      </c>
      <c r="B3100" s="47" t="s">
        <v>259</v>
      </c>
      <c r="C3100" s="47"/>
      <c r="D3100" s="19" t="s">
        <v>18</v>
      </c>
      <c r="E3100" s="23">
        <v>18.0</v>
      </c>
      <c r="F3100" s="18">
        <f>E3100* 0.893702527830246</f>
        <v>16.0866455</v>
      </c>
      <c r="G3100" s="18">
        <f>E3100* 0.0946831169875015</f>
        <v>1.704296106</v>
      </c>
      <c r="H3100" s="18">
        <f>E3100* 0.0116143551822529</f>
        <v>0.2090583933</v>
      </c>
    </row>
    <row r="3101" ht="15.75" hidden="1" customHeight="1">
      <c r="A3101" s="20" t="s">
        <v>224</v>
      </c>
      <c r="B3101" s="47" t="s">
        <v>259</v>
      </c>
      <c r="C3101" s="47"/>
      <c r="D3101" s="19" t="s">
        <v>20</v>
      </c>
      <c r="E3101" s="23">
        <v>8.0</v>
      </c>
      <c r="F3101" s="18">
        <f>E3101* 0.734251968503937</f>
        <v>5.874015748</v>
      </c>
      <c r="G3101" s="18">
        <f>E3101* 0.158017179670723</f>
        <v>1.264137437</v>
      </c>
      <c r="H3101" s="18">
        <f>E3101* 0.107551896921976</f>
        <v>0.8604151754</v>
      </c>
    </row>
    <row r="3102" ht="15.75" hidden="1" customHeight="1">
      <c r="A3102" s="20" t="s">
        <v>224</v>
      </c>
      <c r="B3102" s="47" t="s">
        <v>259</v>
      </c>
      <c r="C3102" s="47"/>
      <c r="D3102" s="19" t="s">
        <v>21</v>
      </c>
      <c r="E3102" s="23">
        <v>191.0</v>
      </c>
      <c r="F3102" s="18">
        <f>E3102* 0.999727092353423</f>
        <v>190.9478746</v>
      </c>
      <c r="G3102" s="18">
        <f>E3102* 0.0000516311763794744</f>
        <v>0.009861554688</v>
      </c>
      <c r="H3102" s="18">
        <f>E3102* 0.000132765882118648</f>
        <v>0.02535828348</v>
      </c>
    </row>
    <row r="3103" ht="15.75" hidden="1" customHeight="1">
      <c r="A3103" s="20" t="s">
        <v>224</v>
      </c>
      <c r="B3103" s="47" t="s">
        <v>259</v>
      </c>
      <c r="C3103" s="47"/>
      <c r="D3103" s="19" t="s">
        <v>36</v>
      </c>
      <c r="E3103" s="23">
        <v>3.0</v>
      </c>
      <c r="F3103" s="18">
        <f>E3103* 0.995894428152493</f>
        <v>2.987683284</v>
      </c>
      <c r="G3103" s="18">
        <f>E3103* 0.000586510263929619</f>
        <v>0.001759530792</v>
      </c>
      <c r="H3103" s="18">
        <f>E3103* 0.00351906158357771</f>
        <v>0.01055718475</v>
      </c>
    </row>
    <row r="3104" ht="15.75" hidden="1" customHeight="1">
      <c r="A3104" s="20" t="s">
        <v>224</v>
      </c>
      <c r="B3104" s="47" t="s">
        <v>259</v>
      </c>
      <c r="C3104" s="47"/>
      <c r="D3104" s="19" t="s">
        <v>28</v>
      </c>
      <c r="E3104" s="23">
        <v>5.0</v>
      </c>
      <c r="F3104" s="18">
        <f>E3104* 0.00302222222222222</f>
        <v>0.01511111111</v>
      </c>
      <c r="G3104" s="18">
        <f>E3104* 0.996622222222222</f>
        <v>4.983111111</v>
      </c>
      <c r="H3104" s="18">
        <f>E3104* 0.000355555555555556</f>
        <v>0.001777777778</v>
      </c>
    </row>
    <row r="3105" ht="15.75" hidden="1" customHeight="1">
      <c r="A3105" s="20" t="s">
        <v>224</v>
      </c>
      <c r="B3105" s="47" t="s">
        <v>259</v>
      </c>
      <c r="C3105" s="47"/>
      <c r="D3105" s="19" t="s">
        <v>12</v>
      </c>
      <c r="E3105" s="23">
        <v>124.0</v>
      </c>
      <c r="F3105" s="18">
        <f>E3105* 0.802335182557089</f>
        <v>99.48956264</v>
      </c>
      <c r="G3105" s="18">
        <f>E3105* 0.124687137143594</f>
        <v>15.46120501</v>
      </c>
      <c r="H3105" s="18">
        <f>E3105* 0.0729583279576829</f>
        <v>9.046832667</v>
      </c>
    </row>
    <row r="3106" ht="15.75" hidden="1" customHeight="1">
      <c r="A3106" s="20" t="s">
        <v>224</v>
      </c>
      <c r="B3106" s="20"/>
      <c r="C3106" s="20"/>
      <c r="D3106" s="46"/>
      <c r="E3106" s="35"/>
    </row>
    <row r="3107" ht="15.75" hidden="1" customHeight="1">
      <c r="A3107" s="20" t="s">
        <v>224</v>
      </c>
      <c r="B3107" s="47" t="s">
        <v>260</v>
      </c>
      <c r="C3107" s="12" t="str">
        <f>B3107&amp;"_"&amp;A3107</f>
        <v>San José_Santa Cruz</v>
      </c>
      <c r="D3107" s="20"/>
      <c r="E3107" s="45">
        <v>1654.0</v>
      </c>
      <c r="F3107" s="14">
        <f t="shared" ref="F3107:H3107" si="259">SUM(F3108:F3120)</f>
        <v>1553.555545</v>
      </c>
      <c r="G3107" s="14">
        <f t="shared" si="259"/>
        <v>76.95223444</v>
      </c>
      <c r="H3107" s="14">
        <f t="shared" si="259"/>
        <v>23.35277759</v>
      </c>
    </row>
    <row r="3108" ht="15.75" hidden="1" customHeight="1">
      <c r="A3108" s="20" t="s">
        <v>224</v>
      </c>
      <c r="B3108" s="47" t="s">
        <v>260</v>
      </c>
      <c r="C3108" s="47"/>
      <c r="D3108" s="29" t="s">
        <v>666</v>
      </c>
      <c r="E3108" s="23">
        <v>4.0</v>
      </c>
      <c r="F3108" s="20">
        <v>0.0</v>
      </c>
      <c r="G3108" s="24">
        <f>E3108</f>
        <v>4</v>
      </c>
      <c r="H3108" s="20">
        <v>0.0</v>
      </c>
    </row>
    <row r="3109" ht="15.75" hidden="1" customHeight="1">
      <c r="A3109" s="20" t="s">
        <v>224</v>
      </c>
      <c r="B3109" s="47" t="s">
        <v>260</v>
      </c>
      <c r="C3109" s="47"/>
      <c r="D3109" s="19" t="s">
        <v>15</v>
      </c>
      <c r="E3109" s="23">
        <v>10.0</v>
      </c>
      <c r="F3109" s="18">
        <f>E3109* 0.932303048052446</f>
        <v>9.323030481</v>
      </c>
      <c r="G3109" s="18">
        <f>E3109* 0.0217058280204555</f>
        <v>0.2170582802</v>
      </c>
      <c r="H3109" s="18">
        <f>E3109* 0.0459798598751943</f>
        <v>0.4597985988</v>
      </c>
    </row>
    <row r="3110" ht="15.75" hidden="1" customHeight="1">
      <c r="A3110" s="20" t="s">
        <v>224</v>
      </c>
      <c r="B3110" s="47" t="s">
        <v>260</v>
      </c>
      <c r="C3110" s="47"/>
      <c r="D3110" s="29" t="s">
        <v>667</v>
      </c>
      <c r="E3110" s="23">
        <v>2.0</v>
      </c>
      <c r="F3110" s="18">
        <f>E3110* 0.293894936109797</f>
        <v>0.5877898722</v>
      </c>
      <c r="G3110" s="18">
        <f>E3110* 0.663038334122101</f>
        <v>1.326076668</v>
      </c>
      <c r="H3110" s="18">
        <f>E3110* 0.0430667297681022</f>
        <v>0.08613345954</v>
      </c>
    </row>
    <row r="3111" ht="15.75" hidden="1" customHeight="1">
      <c r="A3111" s="20" t="s">
        <v>224</v>
      </c>
      <c r="B3111" s="47" t="s">
        <v>260</v>
      </c>
      <c r="C3111" s="47"/>
      <c r="D3111" s="19" t="s">
        <v>11</v>
      </c>
      <c r="E3111" s="23">
        <v>33.0</v>
      </c>
      <c r="F3111" s="18">
        <f>E3111* 0.083479491676667</f>
        <v>2.754823225</v>
      </c>
      <c r="G3111" s="18">
        <f>E3111* 0.913505030924029</f>
        <v>30.14566602</v>
      </c>
      <c r="H3111" s="18">
        <f>E3111* 0.00292316686667282</f>
        <v>0.0964645066</v>
      </c>
    </row>
    <row r="3112" ht="15.75" hidden="1" customHeight="1">
      <c r="A3112" s="20" t="s">
        <v>224</v>
      </c>
      <c r="B3112" s="47" t="s">
        <v>260</v>
      </c>
      <c r="C3112" s="47"/>
      <c r="D3112" s="19" t="s">
        <v>17</v>
      </c>
      <c r="E3112" s="23">
        <v>41.0</v>
      </c>
      <c r="F3112" s="18">
        <f>E3112* 0.752045572242362</f>
        <v>30.83386846</v>
      </c>
      <c r="G3112" s="18">
        <f>E3112* 0.185827723114103</f>
        <v>7.618936648</v>
      </c>
      <c r="H3112" s="18">
        <f>E3112* 0.0620921802175039</f>
        <v>2.545779389</v>
      </c>
    </row>
    <row r="3113" ht="15.75" hidden="1" customHeight="1">
      <c r="A3113" s="20" t="s">
        <v>224</v>
      </c>
      <c r="B3113" s="47" t="s">
        <v>260</v>
      </c>
      <c r="C3113" s="47"/>
      <c r="D3113" s="19" t="s">
        <v>31</v>
      </c>
      <c r="E3113" s="23">
        <v>5.0</v>
      </c>
      <c r="F3113" s="18">
        <f>E3113* 0.929131175468484</f>
        <v>4.645655877</v>
      </c>
      <c r="G3113" s="18">
        <f>E3113* 0.0477001703577513</f>
        <v>0.2385008518</v>
      </c>
      <c r="H3113" s="18">
        <f>E3113* 0.0231686541737649</f>
        <v>0.1158432709</v>
      </c>
    </row>
    <row r="3114" ht="15.75" hidden="1" customHeight="1">
      <c r="A3114" s="20" t="s">
        <v>224</v>
      </c>
      <c r="B3114" s="47" t="s">
        <v>260</v>
      </c>
      <c r="C3114" s="47"/>
      <c r="D3114" s="19" t="s">
        <v>18</v>
      </c>
      <c r="E3114" s="23">
        <v>9.0</v>
      </c>
      <c r="F3114" s="18">
        <f>E3114* 0.893702527830246</f>
        <v>8.04332275</v>
      </c>
      <c r="G3114" s="18">
        <f>E3114* 0.0946831169875015</f>
        <v>0.8521480529</v>
      </c>
      <c r="H3114" s="18">
        <f>E3114* 0.0116143551822529</f>
        <v>0.1045291966</v>
      </c>
    </row>
    <row r="3115" ht="15.75" hidden="1" customHeight="1">
      <c r="A3115" s="20" t="s">
        <v>224</v>
      </c>
      <c r="B3115" s="47" t="s">
        <v>260</v>
      </c>
      <c r="C3115" s="47"/>
      <c r="D3115" s="19" t="s">
        <v>19</v>
      </c>
      <c r="E3115" s="23">
        <v>0.0</v>
      </c>
      <c r="F3115" s="18">
        <f>E3115* 0.0299845873616365</f>
        <v>0</v>
      </c>
      <c r="G3115" s="18">
        <f>E3115* 0.96385035729298</f>
        <v>0</v>
      </c>
      <c r="H3115" s="18">
        <f>E3115* 0.00616505534538321</f>
        <v>0</v>
      </c>
    </row>
    <row r="3116" ht="15.75" hidden="1" customHeight="1">
      <c r="A3116" s="20" t="s">
        <v>224</v>
      </c>
      <c r="B3116" s="47" t="s">
        <v>260</v>
      </c>
      <c r="C3116" s="47"/>
      <c r="D3116" s="19" t="s">
        <v>20</v>
      </c>
      <c r="E3116" s="23">
        <v>88.0</v>
      </c>
      <c r="F3116" s="18">
        <f>E3116* 0.734251968503937</f>
        <v>64.61417323</v>
      </c>
      <c r="G3116" s="18">
        <f>E3116* 0.158017179670723</f>
        <v>13.90551181</v>
      </c>
      <c r="H3116" s="18">
        <f>E3116* 0.107551896921976</f>
        <v>9.464566929</v>
      </c>
    </row>
    <row r="3117" ht="15.75" hidden="1" customHeight="1">
      <c r="A3117" s="20" t="s">
        <v>224</v>
      </c>
      <c r="B3117" s="47" t="s">
        <v>260</v>
      </c>
      <c r="C3117" s="47"/>
      <c r="D3117" s="19" t="s">
        <v>21</v>
      </c>
      <c r="E3117" s="23">
        <v>1315.0</v>
      </c>
      <c r="F3117" s="18">
        <f>E3117* 0.999727092353423</f>
        <v>1314.641126</v>
      </c>
      <c r="G3117" s="18">
        <f>E3117* 0.0000516311763794744</f>
        <v>0.06789499694</v>
      </c>
      <c r="H3117" s="18">
        <f>E3117* 0.000132765882118648</f>
        <v>0.174587135</v>
      </c>
    </row>
    <row r="3118" ht="15.75" hidden="1" customHeight="1">
      <c r="A3118" s="20" t="s">
        <v>224</v>
      </c>
      <c r="B3118" s="47" t="s">
        <v>260</v>
      </c>
      <c r="C3118" s="47"/>
      <c r="D3118" s="19" t="s">
        <v>36</v>
      </c>
      <c r="E3118" s="23">
        <v>5.0</v>
      </c>
      <c r="F3118" s="18">
        <f>E3118* 0.995894428152493</f>
        <v>4.979472141</v>
      </c>
      <c r="G3118" s="18">
        <f>E3118* 0.000586510263929619</f>
        <v>0.00293255132</v>
      </c>
      <c r="H3118" s="18">
        <f>E3118* 0.00351906158357771</f>
        <v>0.01759530792</v>
      </c>
    </row>
    <row r="3119" ht="15.75" hidden="1" customHeight="1">
      <c r="A3119" s="20" t="s">
        <v>224</v>
      </c>
      <c r="B3119" s="47" t="s">
        <v>260</v>
      </c>
      <c r="C3119" s="47"/>
      <c r="D3119" s="19" t="s">
        <v>28</v>
      </c>
      <c r="E3119" s="23">
        <v>1.0</v>
      </c>
      <c r="F3119" s="18">
        <f>E3119* 0.00302222222222222</f>
        <v>0.003022222222</v>
      </c>
      <c r="G3119" s="18">
        <f>E3119* 0.996622222222222</f>
        <v>0.9966222222</v>
      </c>
      <c r="H3119" s="18">
        <f>E3119* 0.000355555555555556</f>
        <v>0.0003555555556</v>
      </c>
    </row>
    <row r="3120" ht="15.75" hidden="1" customHeight="1">
      <c r="A3120" s="20" t="s">
        <v>224</v>
      </c>
      <c r="B3120" s="47" t="s">
        <v>260</v>
      </c>
      <c r="C3120" s="47"/>
      <c r="D3120" s="19" t="s">
        <v>12</v>
      </c>
      <c r="E3120" s="23">
        <v>141.0</v>
      </c>
      <c r="F3120" s="18">
        <f>E3120* 0.802335182557089</f>
        <v>113.1292607</v>
      </c>
      <c r="G3120" s="18">
        <f>E3120* 0.124687137143594</f>
        <v>17.58088634</v>
      </c>
      <c r="H3120" s="18">
        <f>E3120* 0.0729583279576829</f>
        <v>10.28712424</v>
      </c>
    </row>
    <row r="3121" ht="15.75" hidden="1" customHeight="1">
      <c r="A3121" s="20" t="s">
        <v>224</v>
      </c>
      <c r="B3121" s="20"/>
      <c r="C3121" s="20"/>
      <c r="D3121" s="46"/>
      <c r="E3121" s="35"/>
    </row>
    <row r="3122" ht="15.75" hidden="1" customHeight="1">
      <c r="A3122" s="20" t="s">
        <v>224</v>
      </c>
      <c r="B3122" s="47" t="s">
        <v>261</v>
      </c>
      <c r="C3122" s="12" t="str">
        <f>B3122&amp;"_"&amp;A3122</f>
        <v>San Juan_Santa Cruz</v>
      </c>
      <c r="D3122" s="20"/>
      <c r="E3122" s="45">
        <v>1190.0</v>
      </c>
      <c r="F3122" s="14">
        <f t="shared" ref="F3122:H3122" si="260">SUM(F3123:F3136)</f>
        <v>985.3090498</v>
      </c>
      <c r="G3122" s="14">
        <f t="shared" si="260"/>
        <v>169.7502987</v>
      </c>
      <c r="H3122" s="14">
        <f t="shared" si="260"/>
        <v>34.87249109</v>
      </c>
    </row>
    <row r="3123" ht="15.75" hidden="1" customHeight="1">
      <c r="A3123" s="20" t="s">
        <v>224</v>
      </c>
      <c r="B3123" s="47" t="s">
        <v>261</v>
      </c>
      <c r="C3123" s="47"/>
      <c r="D3123" s="29" t="s">
        <v>668</v>
      </c>
      <c r="E3123" s="23">
        <v>0.0</v>
      </c>
      <c r="F3123" s="20">
        <v>0.0</v>
      </c>
      <c r="G3123" s="24">
        <f>E3123</f>
        <v>0</v>
      </c>
      <c r="H3123" s="20">
        <v>0.0</v>
      </c>
    </row>
    <row r="3124" ht="15.75" hidden="1" customHeight="1">
      <c r="A3124" s="20" t="s">
        <v>224</v>
      </c>
      <c r="B3124" s="47" t="s">
        <v>261</v>
      </c>
      <c r="C3124" s="47"/>
      <c r="D3124" s="19" t="s">
        <v>15</v>
      </c>
      <c r="E3124" s="23">
        <v>59.0</v>
      </c>
      <c r="F3124" s="18">
        <f>E3124* 0.932303048052446</f>
        <v>55.00587984</v>
      </c>
      <c r="G3124" s="18">
        <f>E3124* 0.0217058280204555</f>
        <v>1.280643853</v>
      </c>
      <c r="H3124" s="18">
        <f>E3124* 0.0459798598751943</f>
        <v>2.712811733</v>
      </c>
    </row>
    <row r="3125" ht="15.75" hidden="1" customHeight="1">
      <c r="A3125" s="20" t="s">
        <v>224</v>
      </c>
      <c r="B3125" s="47" t="s">
        <v>261</v>
      </c>
      <c r="C3125" s="47"/>
      <c r="D3125" s="29" t="s">
        <v>669</v>
      </c>
      <c r="E3125" s="23">
        <v>6.0</v>
      </c>
      <c r="F3125" s="18">
        <f>E3125* 0.293894936109797</f>
        <v>1.763369617</v>
      </c>
      <c r="G3125" s="18">
        <f>E3125* 0.663038334122101</f>
        <v>3.978230005</v>
      </c>
      <c r="H3125" s="18">
        <f>E3125* 0.0430667297681022</f>
        <v>0.2584003786</v>
      </c>
    </row>
    <row r="3126" ht="15.75" hidden="1" customHeight="1">
      <c r="A3126" s="20" t="s">
        <v>224</v>
      </c>
      <c r="B3126" s="47" t="s">
        <v>261</v>
      </c>
      <c r="C3126" s="47"/>
      <c r="D3126" s="19" t="s">
        <v>11</v>
      </c>
      <c r="E3126" s="23">
        <v>85.0</v>
      </c>
      <c r="F3126" s="18">
        <f>E3126* 0.083479491676667</f>
        <v>7.095756793</v>
      </c>
      <c r="G3126" s="18">
        <f>E3126* 0.913505030924029</f>
        <v>77.64792763</v>
      </c>
      <c r="H3126" s="18">
        <f>E3126* 0.00292316686667282</f>
        <v>0.2484691837</v>
      </c>
    </row>
    <row r="3127" ht="15.75" hidden="1" customHeight="1">
      <c r="A3127" s="20" t="s">
        <v>224</v>
      </c>
      <c r="B3127" s="47" t="s">
        <v>261</v>
      </c>
      <c r="C3127" s="47"/>
      <c r="D3127" s="19" t="s">
        <v>17</v>
      </c>
      <c r="E3127" s="23">
        <v>232.0</v>
      </c>
      <c r="F3127" s="18">
        <f>E3127* 0.752045572242362</f>
        <v>174.4745728</v>
      </c>
      <c r="G3127" s="18">
        <f>E3127* 0.185827723114103</f>
        <v>43.11203176</v>
      </c>
      <c r="H3127" s="18">
        <f>E3127* 0.0620921802175039</f>
        <v>14.40538581</v>
      </c>
    </row>
    <row r="3128" ht="15.75" hidden="1" customHeight="1">
      <c r="A3128" s="20" t="s">
        <v>224</v>
      </c>
      <c r="B3128" s="47" t="s">
        <v>261</v>
      </c>
      <c r="C3128" s="47"/>
      <c r="D3128" s="19" t="s">
        <v>31</v>
      </c>
      <c r="E3128" s="23">
        <v>3.0</v>
      </c>
      <c r="F3128" s="18">
        <f>E3128* 0.929131175468484</f>
        <v>2.787393526</v>
      </c>
      <c r="G3128" s="18">
        <f>E3128* 0.0477001703577513</f>
        <v>0.1431005111</v>
      </c>
      <c r="H3128" s="18">
        <f>E3128* 0.0231686541737649</f>
        <v>0.06950596252</v>
      </c>
    </row>
    <row r="3129" ht="15.75" hidden="1" customHeight="1">
      <c r="A3129" s="20" t="s">
        <v>224</v>
      </c>
      <c r="B3129" s="47" t="s">
        <v>261</v>
      </c>
      <c r="C3129" s="47"/>
      <c r="D3129" s="19" t="s">
        <v>18</v>
      </c>
      <c r="E3129" s="23">
        <v>35.0</v>
      </c>
      <c r="F3129" s="18">
        <f>E3129* 0.893702527830246</f>
        <v>31.27958847</v>
      </c>
      <c r="G3129" s="18">
        <f>E3129* 0.0946831169875015</f>
        <v>3.313909095</v>
      </c>
      <c r="H3129" s="18">
        <f>E3129* 0.0116143551822529</f>
        <v>0.4065024314</v>
      </c>
    </row>
    <row r="3130" ht="15.75" hidden="1" customHeight="1">
      <c r="A3130" s="20" t="s">
        <v>224</v>
      </c>
      <c r="B3130" s="47" t="s">
        <v>261</v>
      </c>
      <c r="C3130" s="47"/>
      <c r="D3130" s="29" t="s">
        <v>670</v>
      </c>
      <c r="E3130" s="23">
        <v>1.0</v>
      </c>
      <c r="F3130" s="20">
        <v>0.0</v>
      </c>
      <c r="G3130" s="24">
        <f>E3130</f>
        <v>1</v>
      </c>
      <c r="H3130" s="20">
        <v>0.0</v>
      </c>
    </row>
    <row r="3131" ht="15.75" hidden="1" customHeight="1">
      <c r="A3131" s="20" t="s">
        <v>224</v>
      </c>
      <c r="B3131" s="47" t="s">
        <v>261</v>
      </c>
      <c r="C3131" s="47"/>
      <c r="D3131" s="19" t="s">
        <v>19</v>
      </c>
      <c r="E3131" s="23">
        <v>2.0</v>
      </c>
      <c r="F3131" s="18">
        <f>E3131* 0.0299845873616365</f>
        <v>0.05996917472</v>
      </c>
      <c r="G3131" s="18">
        <f>E3131* 0.96385035729298</f>
        <v>1.927700715</v>
      </c>
      <c r="H3131" s="18">
        <f>E3131* 0.00616505534538321</f>
        <v>0.01233011069</v>
      </c>
    </row>
    <row r="3132" ht="15.75" hidden="1" customHeight="1">
      <c r="A3132" s="20" t="s">
        <v>224</v>
      </c>
      <c r="B3132" s="47" t="s">
        <v>261</v>
      </c>
      <c r="C3132" s="47"/>
      <c r="D3132" s="19" t="s">
        <v>20</v>
      </c>
      <c r="E3132" s="23">
        <v>5.0</v>
      </c>
      <c r="F3132" s="18">
        <f>E3132* 0.734251968503937</f>
        <v>3.671259843</v>
      </c>
      <c r="G3132" s="18">
        <f>E3132* 0.158017179670723</f>
        <v>0.7900858984</v>
      </c>
      <c r="H3132" s="18">
        <f>E3132* 0.107551896921976</f>
        <v>0.5377594846</v>
      </c>
    </row>
    <row r="3133" ht="15.75" hidden="1" customHeight="1">
      <c r="A3133" s="20" t="s">
        <v>224</v>
      </c>
      <c r="B3133" s="47" t="s">
        <v>261</v>
      </c>
      <c r="C3133" s="47"/>
      <c r="D3133" s="19" t="s">
        <v>21</v>
      </c>
      <c r="E3133" s="23">
        <v>525.0</v>
      </c>
      <c r="F3133" s="18">
        <f>E3133* 0.999727092353423</f>
        <v>524.8567235</v>
      </c>
      <c r="G3133" s="18">
        <f>E3133* 0.0000516311763794744</f>
        <v>0.0271063676</v>
      </c>
      <c r="H3133" s="18">
        <f>E3133* 0.000132765882118648</f>
        <v>0.06970208811</v>
      </c>
    </row>
    <row r="3134" ht="15.75" hidden="1" customHeight="1">
      <c r="A3134" s="20" t="s">
        <v>224</v>
      </c>
      <c r="B3134" s="47" t="s">
        <v>261</v>
      </c>
      <c r="C3134" s="47"/>
      <c r="D3134" s="19" t="s">
        <v>36</v>
      </c>
      <c r="E3134" s="23">
        <v>7.0</v>
      </c>
      <c r="F3134" s="18">
        <f>E3134* 0.995894428152493</f>
        <v>6.971260997</v>
      </c>
      <c r="G3134" s="18">
        <f>E3134* 0.000586510263929619</f>
        <v>0.004105571848</v>
      </c>
      <c r="H3134" s="18">
        <f>E3134* 0.00351906158357771</f>
        <v>0.02463343109</v>
      </c>
    </row>
    <row r="3135" ht="15.75" hidden="1" customHeight="1">
      <c r="A3135" s="20" t="s">
        <v>224</v>
      </c>
      <c r="B3135" s="47" t="s">
        <v>261</v>
      </c>
      <c r="C3135" s="47"/>
      <c r="D3135" s="19" t="s">
        <v>28</v>
      </c>
      <c r="E3135" s="23">
        <v>9.0</v>
      </c>
      <c r="F3135" s="18">
        <f>E3135* 0.00302222222222222</f>
        <v>0.0272</v>
      </c>
      <c r="G3135" s="18">
        <f>E3135* 0.996622222222222</f>
        <v>8.9696</v>
      </c>
      <c r="H3135" s="18">
        <f>E3135* 0.000355555555555556</f>
        <v>0.0032</v>
      </c>
    </row>
    <row r="3136" ht="15.75" hidden="1" customHeight="1">
      <c r="A3136" s="20" t="s">
        <v>224</v>
      </c>
      <c r="B3136" s="47" t="s">
        <v>261</v>
      </c>
      <c r="C3136" s="47"/>
      <c r="D3136" s="19" t="s">
        <v>12</v>
      </c>
      <c r="E3136" s="23">
        <v>221.0</v>
      </c>
      <c r="F3136" s="18">
        <f>E3136* 0.802335182557089</f>
        <v>177.3160753</v>
      </c>
      <c r="G3136" s="18">
        <f>E3136* 0.124687137143594</f>
        <v>27.55585731</v>
      </c>
      <c r="H3136" s="18">
        <f>E3136* 0.0729583279576829</f>
        <v>16.12379048</v>
      </c>
    </row>
    <row r="3137" ht="15.75" hidden="1" customHeight="1">
      <c r="A3137" s="20" t="s">
        <v>224</v>
      </c>
      <c r="B3137" s="20"/>
      <c r="C3137" s="20"/>
      <c r="D3137" s="46"/>
      <c r="E3137" s="35"/>
    </row>
    <row r="3138" ht="15.75" hidden="1" customHeight="1">
      <c r="A3138" s="20" t="s">
        <v>224</v>
      </c>
      <c r="B3138" s="47" t="s">
        <v>262</v>
      </c>
      <c r="C3138" s="12" t="str">
        <f>B3138&amp;"_"&amp;A3138</f>
        <v>San Julián_Santa Cruz</v>
      </c>
      <c r="D3138" s="20"/>
      <c r="E3138" s="45">
        <v>7192.0</v>
      </c>
      <c r="F3138" s="14">
        <f t="shared" ref="F3138:H3138" si="261">SUM(F3139:F3150)</f>
        <v>6452.826304</v>
      </c>
      <c r="G3138" s="14">
        <f t="shared" si="261"/>
        <v>616.4648038</v>
      </c>
      <c r="H3138" s="14">
        <f t="shared" si="261"/>
        <v>122.1720746</v>
      </c>
    </row>
    <row r="3139" ht="15.75" hidden="1" customHeight="1">
      <c r="A3139" s="20" t="s">
        <v>224</v>
      </c>
      <c r="B3139" s="47" t="s">
        <v>262</v>
      </c>
      <c r="C3139" s="47"/>
      <c r="D3139" s="19" t="s">
        <v>15</v>
      </c>
      <c r="E3139" s="23">
        <v>88.0</v>
      </c>
      <c r="F3139" s="18">
        <f>E3139* 0.932303048052446</f>
        <v>82.04266823</v>
      </c>
      <c r="G3139" s="18">
        <f>E3139* 0.0217058280204555</f>
        <v>1.910112866</v>
      </c>
      <c r="H3139" s="18">
        <f>E3139* 0.0459798598751943</f>
        <v>4.046227669</v>
      </c>
    </row>
    <row r="3140" ht="15.75" hidden="1" customHeight="1">
      <c r="A3140" s="20" t="s">
        <v>224</v>
      </c>
      <c r="B3140" s="47" t="s">
        <v>262</v>
      </c>
      <c r="C3140" s="47"/>
      <c r="D3140" s="29" t="s">
        <v>671</v>
      </c>
      <c r="E3140" s="23">
        <v>2.0</v>
      </c>
      <c r="F3140" s="18">
        <f>E3140* 0.293894936109797</f>
        <v>0.5877898722</v>
      </c>
      <c r="G3140" s="18">
        <f>E3140* 0.663038334122101</f>
        <v>1.326076668</v>
      </c>
      <c r="H3140" s="18">
        <f>E3140* 0.0430667297681022</f>
        <v>0.08613345954</v>
      </c>
    </row>
    <row r="3141" ht="15.75" hidden="1" customHeight="1">
      <c r="A3141" s="20" t="s">
        <v>224</v>
      </c>
      <c r="B3141" s="47" t="s">
        <v>262</v>
      </c>
      <c r="C3141" s="47"/>
      <c r="D3141" s="19" t="s">
        <v>11</v>
      </c>
      <c r="E3141" s="23">
        <v>339.0</v>
      </c>
      <c r="F3141" s="18">
        <f>E3141* 0.083479491676667</f>
        <v>28.29954768</v>
      </c>
      <c r="G3141" s="18">
        <f>E3141* 0.913505030924029</f>
        <v>309.6782055</v>
      </c>
      <c r="H3141" s="18">
        <f>E3141* 0.00292316686667282</f>
        <v>0.9909535678</v>
      </c>
    </row>
    <row r="3142" ht="15.75" hidden="1" customHeight="1">
      <c r="A3142" s="20" t="s">
        <v>224</v>
      </c>
      <c r="B3142" s="47" t="s">
        <v>262</v>
      </c>
      <c r="C3142" s="47"/>
      <c r="D3142" s="19" t="s">
        <v>17</v>
      </c>
      <c r="E3142" s="23">
        <v>489.0</v>
      </c>
      <c r="F3142" s="18">
        <f>E3142* 0.752045572242362</f>
        <v>367.7502848</v>
      </c>
      <c r="G3142" s="18">
        <f>E3142* 0.185827723114103</f>
        <v>90.8697566</v>
      </c>
      <c r="H3142" s="18">
        <f>E3142* 0.0620921802175039</f>
        <v>30.36307613</v>
      </c>
    </row>
    <row r="3143" ht="15.75" hidden="1" customHeight="1">
      <c r="A3143" s="20" t="s">
        <v>224</v>
      </c>
      <c r="B3143" s="47" t="s">
        <v>262</v>
      </c>
      <c r="C3143" s="47"/>
      <c r="D3143" s="19" t="s">
        <v>31</v>
      </c>
      <c r="E3143" s="23">
        <v>33.0</v>
      </c>
      <c r="F3143" s="18">
        <f>E3143* 0.929131175468484</f>
        <v>30.66132879</v>
      </c>
      <c r="G3143" s="18">
        <f>E3143* 0.0477001703577513</f>
        <v>1.574105622</v>
      </c>
      <c r="H3143" s="18">
        <f>E3143* 0.0231686541737649</f>
        <v>0.7645655877</v>
      </c>
    </row>
    <row r="3144" ht="15.75" hidden="1" customHeight="1">
      <c r="A3144" s="20" t="s">
        <v>224</v>
      </c>
      <c r="B3144" s="47" t="s">
        <v>262</v>
      </c>
      <c r="C3144" s="47"/>
      <c r="D3144" s="19" t="s">
        <v>18</v>
      </c>
      <c r="E3144" s="23">
        <v>73.0</v>
      </c>
      <c r="F3144" s="18">
        <f>E3144* 0.893702527830246</f>
        <v>65.24028453</v>
      </c>
      <c r="G3144" s="18">
        <f>E3144* 0.0946831169875015</f>
        <v>6.91186754</v>
      </c>
      <c r="H3144" s="18">
        <f>E3144* 0.0116143551822529</f>
        <v>0.8478479283</v>
      </c>
    </row>
    <row r="3145" ht="15.75" hidden="1" customHeight="1">
      <c r="A3145" s="20" t="s">
        <v>224</v>
      </c>
      <c r="B3145" s="47" t="s">
        <v>262</v>
      </c>
      <c r="C3145" s="47"/>
      <c r="D3145" s="19" t="s">
        <v>19</v>
      </c>
      <c r="E3145" s="23">
        <v>5.0</v>
      </c>
      <c r="F3145" s="18">
        <f>E3145* 0.0299845873616365</f>
        <v>0.1499229368</v>
      </c>
      <c r="G3145" s="18">
        <f>E3145* 0.96385035729298</f>
        <v>4.819251786</v>
      </c>
      <c r="H3145" s="18">
        <f>E3145* 0.00616505534538321</f>
        <v>0.03082527673</v>
      </c>
    </row>
    <row r="3146" ht="15.75" hidden="1" customHeight="1">
      <c r="A3146" s="20" t="s">
        <v>224</v>
      </c>
      <c r="B3146" s="47" t="s">
        <v>262</v>
      </c>
      <c r="C3146" s="47"/>
      <c r="D3146" s="19" t="s">
        <v>20</v>
      </c>
      <c r="E3146" s="23">
        <v>147.0</v>
      </c>
      <c r="F3146" s="18">
        <f>E3146* 0.734251968503937</f>
        <v>107.9350394</v>
      </c>
      <c r="G3146" s="18">
        <f>E3146* 0.158017179670723</f>
        <v>23.22852541</v>
      </c>
      <c r="H3146" s="18">
        <f>E3146* 0.107551896921976</f>
        <v>15.81012885</v>
      </c>
    </row>
    <row r="3147" ht="15.75" hidden="1" customHeight="1">
      <c r="A3147" s="20" t="s">
        <v>224</v>
      </c>
      <c r="B3147" s="47" t="s">
        <v>262</v>
      </c>
      <c r="C3147" s="47"/>
      <c r="D3147" s="19" t="s">
        <v>21</v>
      </c>
      <c r="E3147" s="23">
        <v>5007.0</v>
      </c>
      <c r="F3147" s="18">
        <f>E3147* 0.999727092353423</f>
        <v>5005.633551</v>
      </c>
      <c r="G3147" s="18">
        <f>E3147* 0.0000516311763794744</f>
        <v>0.2585173001</v>
      </c>
      <c r="H3147" s="18">
        <f>E3147* 0.000132765882118648</f>
        <v>0.6647587718</v>
      </c>
    </row>
    <row r="3148" ht="15.75" hidden="1" customHeight="1">
      <c r="A3148" s="20" t="s">
        <v>224</v>
      </c>
      <c r="B3148" s="47" t="s">
        <v>262</v>
      </c>
      <c r="C3148" s="47"/>
      <c r="D3148" s="19" t="s">
        <v>36</v>
      </c>
      <c r="E3148" s="23">
        <v>11.0</v>
      </c>
      <c r="F3148" s="18">
        <f>E3148* 0.995894428152493</f>
        <v>10.95483871</v>
      </c>
      <c r="G3148" s="18">
        <f>E3148* 0.000586510263929619</f>
        <v>0.006451612903</v>
      </c>
      <c r="H3148" s="18">
        <f>E3148* 0.00351906158357771</f>
        <v>0.03870967742</v>
      </c>
    </row>
    <row r="3149" ht="15.75" hidden="1" customHeight="1">
      <c r="A3149" s="20" t="s">
        <v>224</v>
      </c>
      <c r="B3149" s="47" t="s">
        <v>262</v>
      </c>
      <c r="C3149" s="47"/>
      <c r="D3149" s="19" t="s">
        <v>148</v>
      </c>
      <c r="E3149" s="23">
        <v>59.0</v>
      </c>
      <c r="F3149" s="18">
        <f>E3149* 0.00302222222222222</f>
        <v>0.1783111111</v>
      </c>
      <c r="G3149" s="18">
        <f>E3149* 0.996622222222222</f>
        <v>58.80071111</v>
      </c>
      <c r="H3149" s="18">
        <f>E3149* 0.000355555555555556</f>
        <v>0.02097777778</v>
      </c>
    </row>
    <row r="3150" ht="15.75" hidden="1" customHeight="1">
      <c r="A3150" s="20" t="s">
        <v>224</v>
      </c>
      <c r="B3150" s="47" t="s">
        <v>262</v>
      </c>
      <c r="C3150" s="47"/>
      <c r="D3150" s="19" t="s">
        <v>12</v>
      </c>
      <c r="E3150" s="23">
        <v>939.0</v>
      </c>
      <c r="F3150" s="18">
        <f>E3150* 0.802335182557089</f>
        <v>753.3927364</v>
      </c>
      <c r="G3150" s="18">
        <f>E3150* 0.124687137143594</f>
        <v>117.0812218</v>
      </c>
      <c r="H3150" s="18">
        <f>E3150* 0.0729583279576829</f>
        <v>68.50786995</v>
      </c>
    </row>
    <row r="3151" ht="15.75" hidden="1" customHeight="1">
      <c r="A3151" s="20" t="s">
        <v>224</v>
      </c>
      <c r="B3151" s="20"/>
      <c r="C3151" s="20"/>
      <c r="D3151" s="46"/>
      <c r="E3151" s="35"/>
    </row>
    <row r="3152" ht="15.75" hidden="1" customHeight="1">
      <c r="A3152" s="20" t="s">
        <v>224</v>
      </c>
      <c r="B3152" s="47" t="s">
        <v>263</v>
      </c>
      <c r="C3152" s="12" t="str">
        <f>B3152&amp;"_"&amp;A3152</f>
        <v>San Matías_Santa Cruz</v>
      </c>
      <c r="D3152" s="20"/>
      <c r="E3152" s="45">
        <v>1.0</v>
      </c>
      <c r="F3152" s="14">
        <f t="shared" ref="F3152:H3152" si="262">F3153</f>
        <v>0.7520455722</v>
      </c>
      <c r="G3152" s="14">
        <f t="shared" si="262"/>
        <v>0.1858277231</v>
      </c>
      <c r="H3152" s="14">
        <f t="shared" si="262"/>
        <v>0.06209218022</v>
      </c>
    </row>
    <row r="3153" ht="15.75" hidden="1" customHeight="1">
      <c r="A3153" s="20" t="s">
        <v>224</v>
      </c>
      <c r="B3153" s="47" t="s">
        <v>263</v>
      </c>
      <c r="C3153" s="47"/>
      <c r="D3153" s="19" t="s">
        <v>17</v>
      </c>
      <c r="E3153" s="23">
        <v>1.0</v>
      </c>
      <c r="F3153" s="18">
        <f>E3153* 0.752045572242362</f>
        <v>0.7520455722</v>
      </c>
      <c r="G3153" s="18">
        <f>E3153* 0.185827723114103</f>
        <v>0.1858277231</v>
      </c>
      <c r="H3153" s="18">
        <f>E3153* 0.0620921802175039</f>
        <v>0.06209218022</v>
      </c>
    </row>
    <row r="3154" ht="15.75" hidden="1" customHeight="1">
      <c r="A3154" s="20" t="s">
        <v>224</v>
      </c>
      <c r="B3154" s="20"/>
      <c r="C3154" s="20"/>
      <c r="D3154" s="46"/>
      <c r="E3154" s="35"/>
    </row>
    <row r="3155" ht="15.75" hidden="1" customHeight="1">
      <c r="A3155" s="20" t="s">
        <v>224</v>
      </c>
      <c r="B3155" s="47" t="s">
        <v>264</v>
      </c>
      <c r="C3155" s="12" t="str">
        <f>B3155&amp;"_"&amp;A3155</f>
        <v>San Miguel_Santa Cruz</v>
      </c>
      <c r="D3155" s="20"/>
      <c r="E3155" s="45">
        <v>37.0</v>
      </c>
      <c r="F3155" s="14">
        <f t="shared" ref="F3155:H3155" si="263">SUM(F3156:F3161)</f>
        <v>31.14686666</v>
      </c>
      <c r="G3155" s="14">
        <f t="shared" si="263"/>
        <v>5.055783322</v>
      </c>
      <c r="H3155" s="14">
        <f t="shared" si="263"/>
        <v>0.7950302114</v>
      </c>
    </row>
    <row r="3156" ht="15.75" hidden="1" customHeight="1">
      <c r="A3156" s="20" t="s">
        <v>224</v>
      </c>
      <c r="B3156" s="47" t="s">
        <v>264</v>
      </c>
      <c r="C3156" s="47"/>
      <c r="D3156" s="29" t="s">
        <v>672</v>
      </c>
      <c r="E3156" s="23">
        <v>2.0</v>
      </c>
      <c r="F3156" s="20">
        <v>0.0</v>
      </c>
      <c r="G3156" s="24">
        <f>E3156</f>
        <v>2</v>
      </c>
      <c r="H3156" s="20">
        <v>0.0</v>
      </c>
    </row>
    <row r="3157" ht="15.75" hidden="1" customHeight="1">
      <c r="A3157" s="20" t="s">
        <v>224</v>
      </c>
      <c r="B3157" s="47" t="s">
        <v>264</v>
      </c>
      <c r="C3157" s="47"/>
      <c r="D3157" s="19" t="s">
        <v>11</v>
      </c>
      <c r="E3157" s="23">
        <v>1.0</v>
      </c>
      <c r="F3157" s="18">
        <f>E3157* 0.083479491676667</f>
        <v>0.08347949168</v>
      </c>
      <c r="G3157" s="18">
        <f>E3157* 0.913505030924029</f>
        <v>0.9135050309</v>
      </c>
      <c r="H3157" s="18">
        <f>E3157* 0.00292316686667282</f>
        <v>0.002923166867</v>
      </c>
    </row>
    <row r="3158" ht="15.75" hidden="1" customHeight="1">
      <c r="A3158" s="20" t="s">
        <v>224</v>
      </c>
      <c r="B3158" s="47" t="s">
        <v>264</v>
      </c>
      <c r="C3158" s="47"/>
      <c r="D3158" s="19" t="s">
        <v>17</v>
      </c>
      <c r="E3158" s="23">
        <v>9.0</v>
      </c>
      <c r="F3158" s="18">
        <f>E3158* 0.752045572242362</f>
        <v>6.76841015</v>
      </c>
      <c r="G3158" s="18">
        <f>E3158* 0.185827723114103</f>
        <v>1.672449508</v>
      </c>
      <c r="H3158" s="18">
        <f>E3158* 0.0620921802175039</f>
        <v>0.558829622</v>
      </c>
    </row>
    <row r="3159" ht="15.75" hidden="1" customHeight="1">
      <c r="A3159" s="20" t="s">
        <v>224</v>
      </c>
      <c r="B3159" s="47" t="s">
        <v>264</v>
      </c>
      <c r="C3159" s="47"/>
      <c r="D3159" s="19" t="s">
        <v>18</v>
      </c>
      <c r="E3159" s="23">
        <v>1.0</v>
      </c>
      <c r="F3159" s="18">
        <f>E3159* 0.893702527830246</f>
        <v>0.8937025278</v>
      </c>
      <c r="G3159" s="18">
        <f>E3159* 0.0946831169875015</f>
        <v>0.09468311699</v>
      </c>
      <c r="H3159" s="18">
        <f>E3159* 0.0116143551822529</f>
        <v>0.01161435518</v>
      </c>
    </row>
    <row r="3160" ht="15.75" hidden="1" customHeight="1">
      <c r="A3160" s="20" t="s">
        <v>224</v>
      </c>
      <c r="B3160" s="47" t="s">
        <v>264</v>
      </c>
      <c r="C3160" s="47"/>
      <c r="D3160" s="19" t="s">
        <v>21</v>
      </c>
      <c r="E3160" s="23">
        <v>21.0</v>
      </c>
      <c r="F3160" s="18">
        <f>E3160* 0.999727092353423</f>
        <v>20.99426894</v>
      </c>
      <c r="G3160" s="18">
        <f>E3160* 0.0000516311763794744</f>
        <v>0.001084254704</v>
      </c>
      <c r="H3160" s="18">
        <f>E3160* 0.000132765882118648</f>
        <v>0.002788083524</v>
      </c>
    </row>
    <row r="3161" ht="15.75" hidden="1" customHeight="1">
      <c r="A3161" s="20" t="s">
        <v>224</v>
      </c>
      <c r="B3161" s="47" t="s">
        <v>264</v>
      </c>
      <c r="C3161" s="47"/>
      <c r="D3161" s="19" t="s">
        <v>12</v>
      </c>
      <c r="E3161" s="23">
        <v>3.0</v>
      </c>
      <c r="F3161" s="18">
        <f>E3161* 0.802335182557089</f>
        <v>2.407005548</v>
      </c>
      <c r="G3161" s="18">
        <f>E3161* 0.124687137143594</f>
        <v>0.3740614114</v>
      </c>
      <c r="H3161" s="18">
        <f>E3161* 0.0729583279576829</f>
        <v>0.2188749839</v>
      </c>
    </row>
    <row r="3162" ht="15.75" hidden="1" customHeight="1">
      <c r="A3162" s="20" t="s">
        <v>224</v>
      </c>
      <c r="B3162" s="20"/>
      <c r="C3162" s="20"/>
      <c r="D3162" s="46"/>
      <c r="E3162" s="35"/>
    </row>
    <row r="3163" ht="15.75" hidden="1" customHeight="1">
      <c r="A3163" s="20" t="s">
        <v>224</v>
      </c>
      <c r="B3163" s="47" t="s">
        <v>265</v>
      </c>
      <c r="C3163" s="12" t="str">
        <f>B3163&amp;"_"&amp;A3163</f>
        <v>San Pedro_Santa Cruz</v>
      </c>
      <c r="D3163" s="20"/>
      <c r="E3163" s="45">
        <v>1372.0</v>
      </c>
      <c r="F3163" s="14">
        <f t="shared" ref="F3163:H3163" si="264">SUM(F3164:F3176)</f>
        <v>1205.218206</v>
      </c>
      <c r="G3163" s="14">
        <f t="shared" si="264"/>
        <v>140.7126509</v>
      </c>
      <c r="H3163" s="14">
        <f t="shared" si="264"/>
        <v>25.97278209</v>
      </c>
    </row>
    <row r="3164" ht="15.75" hidden="1" customHeight="1">
      <c r="A3164" s="20" t="s">
        <v>224</v>
      </c>
      <c r="B3164" s="47" t="s">
        <v>265</v>
      </c>
      <c r="C3164" s="47"/>
      <c r="D3164" s="29" t="s">
        <v>673</v>
      </c>
      <c r="E3164" s="23">
        <v>0.0</v>
      </c>
      <c r="F3164" s="20">
        <v>0.0</v>
      </c>
      <c r="G3164" s="24">
        <f>E3164</f>
        <v>0</v>
      </c>
      <c r="H3164" s="20">
        <v>0.0</v>
      </c>
    </row>
    <row r="3165" ht="15.75" hidden="1" customHeight="1">
      <c r="A3165" s="20" t="s">
        <v>224</v>
      </c>
      <c r="B3165" s="47" t="s">
        <v>265</v>
      </c>
      <c r="C3165" s="47"/>
      <c r="D3165" s="19" t="s">
        <v>15</v>
      </c>
      <c r="E3165" s="23">
        <v>12.0</v>
      </c>
      <c r="F3165" s="18">
        <f>E3165* 0.932303048052446</f>
        <v>11.18763658</v>
      </c>
      <c r="G3165" s="18">
        <f>E3165* 0.0217058280204555</f>
        <v>0.2604699362</v>
      </c>
      <c r="H3165" s="18">
        <f>E3165* 0.0459798598751943</f>
        <v>0.5517583185</v>
      </c>
    </row>
    <row r="3166" ht="15.75" hidden="1" customHeight="1">
      <c r="A3166" s="20" t="s">
        <v>224</v>
      </c>
      <c r="B3166" s="47" t="s">
        <v>265</v>
      </c>
      <c r="C3166" s="47"/>
      <c r="D3166" s="29" t="s">
        <v>674</v>
      </c>
      <c r="E3166" s="23">
        <v>1.0</v>
      </c>
      <c r="F3166" s="18">
        <f>E3166* 0.293894936109797</f>
        <v>0.2938949361</v>
      </c>
      <c r="G3166" s="18">
        <f>E3166* 0.663038334122101</f>
        <v>0.6630383341</v>
      </c>
      <c r="H3166" s="18">
        <f>E3166* 0.0430667297681022</f>
        <v>0.04306672977</v>
      </c>
    </row>
    <row r="3167" ht="15.75" hidden="1" customHeight="1">
      <c r="A3167" s="20" t="s">
        <v>224</v>
      </c>
      <c r="B3167" s="47" t="s">
        <v>265</v>
      </c>
      <c r="C3167" s="47"/>
      <c r="D3167" s="19" t="s">
        <v>11</v>
      </c>
      <c r="E3167" s="23">
        <v>66.0</v>
      </c>
      <c r="F3167" s="18">
        <f>E3167* 0.083479491676667</f>
        <v>5.509646451</v>
      </c>
      <c r="G3167" s="18">
        <f>E3167* 0.913505030924029</f>
        <v>60.29133204</v>
      </c>
      <c r="H3167" s="18">
        <f>E3167* 0.00292316686667282</f>
        <v>0.1929290132</v>
      </c>
    </row>
    <row r="3168" ht="15.75" hidden="1" customHeight="1">
      <c r="A3168" s="20" t="s">
        <v>224</v>
      </c>
      <c r="B3168" s="47" t="s">
        <v>265</v>
      </c>
      <c r="C3168" s="47"/>
      <c r="D3168" s="19" t="s">
        <v>17</v>
      </c>
      <c r="E3168" s="23">
        <v>154.0</v>
      </c>
      <c r="F3168" s="18">
        <f>E3168* 0.752045572242362</f>
        <v>115.8150181</v>
      </c>
      <c r="G3168" s="18">
        <f>E3168* 0.185827723114103</f>
        <v>28.61746936</v>
      </c>
      <c r="H3168" s="18">
        <f>E3168* 0.0620921802175039</f>
        <v>9.562195753</v>
      </c>
    </row>
    <row r="3169" ht="15.75" hidden="1" customHeight="1">
      <c r="A3169" s="20" t="s">
        <v>224</v>
      </c>
      <c r="B3169" s="47" t="s">
        <v>265</v>
      </c>
      <c r="C3169" s="47"/>
      <c r="D3169" s="19" t="s">
        <v>31</v>
      </c>
      <c r="E3169" s="23">
        <v>1.0</v>
      </c>
      <c r="F3169" s="18">
        <f>E3169* 0.929131175468484</f>
        <v>0.9291311755</v>
      </c>
      <c r="G3169" s="18">
        <f>E3169* 0.0477001703577513</f>
        <v>0.04770017036</v>
      </c>
      <c r="H3169" s="18">
        <f>E3169* 0.0231686541737649</f>
        <v>0.02316865417</v>
      </c>
    </row>
    <row r="3170" ht="15.75" hidden="1" customHeight="1">
      <c r="A3170" s="20" t="s">
        <v>224</v>
      </c>
      <c r="B3170" s="47" t="s">
        <v>265</v>
      </c>
      <c r="C3170" s="47"/>
      <c r="D3170" s="19" t="s">
        <v>18</v>
      </c>
      <c r="E3170" s="23">
        <v>10.0</v>
      </c>
      <c r="F3170" s="18">
        <f>E3170* 0.893702527830246</f>
        <v>8.937025278</v>
      </c>
      <c r="G3170" s="18">
        <f>E3170* 0.0946831169875015</f>
        <v>0.9468311699</v>
      </c>
      <c r="H3170" s="18">
        <f>E3170* 0.0116143551822529</f>
        <v>0.1161435518</v>
      </c>
    </row>
    <row r="3171" ht="15.75" hidden="1" customHeight="1">
      <c r="A3171" s="20" t="s">
        <v>224</v>
      </c>
      <c r="B3171" s="47" t="s">
        <v>265</v>
      </c>
      <c r="C3171" s="47"/>
      <c r="D3171" s="19" t="s">
        <v>19</v>
      </c>
      <c r="E3171" s="23">
        <v>2.0</v>
      </c>
      <c r="F3171" s="18">
        <f>E3171* 0.0299845873616365</f>
        <v>0.05996917472</v>
      </c>
      <c r="G3171" s="18">
        <f>E3171* 0.96385035729298</f>
        <v>1.927700715</v>
      </c>
      <c r="H3171" s="18">
        <f>E3171* 0.00616505534538321</f>
        <v>0.01233011069</v>
      </c>
    </row>
    <row r="3172" ht="15.75" hidden="1" customHeight="1">
      <c r="A3172" s="20" t="s">
        <v>224</v>
      </c>
      <c r="B3172" s="47" t="s">
        <v>265</v>
      </c>
      <c r="C3172" s="47"/>
      <c r="D3172" s="19" t="s">
        <v>20</v>
      </c>
      <c r="E3172" s="23">
        <v>9.0</v>
      </c>
      <c r="F3172" s="18">
        <f>E3172* 0.734251968503937</f>
        <v>6.608267717</v>
      </c>
      <c r="G3172" s="18">
        <f>E3172* 0.158017179670723</f>
        <v>1.422154617</v>
      </c>
      <c r="H3172" s="18">
        <f>E3172* 0.107551896921976</f>
        <v>0.9679670723</v>
      </c>
    </row>
    <row r="3173" ht="15.75" hidden="1" customHeight="1">
      <c r="A3173" s="20" t="s">
        <v>224</v>
      </c>
      <c r="B3173" s="47" t="s">
        <v>265</v>
      </c>
      <c r="C3173" s="47"/>
      <c r="D3173" s="19" t="s">
        <v>21</v>
      </c>
      <c r="E3173" s="23">
        <v>897.0</v>
      </c>
      <c r="F3173" s="18">
        <f>E3173* 0.999727092353423</f>
        <v>896.7552018</v>
      </c>
      <c r="G3173" s="18">
        <f>E3173* 0.0000516311763794744</f>
        <v>0.04631316521</v>
      </c>
      <c r="H3173" s="18">
        <f>E3173* 0.000132765882118648</f>
        <v>0.1190909963</v>
      </c>
    </row>
    <row r="3174" ht="15.75" hidden="1" customHeight="1">
      <c r="A3174" s="20" t="s">
        <v>224</v>
      </c>
      <c r="B3174" s="47" t="s">
        <v>265</v>
      </c>
      <c r="C3174" s="47"/>
      <c r="D3174" s="19" t="s">
        <v>36</v>
      </c>
      <c r="E3174" s="23">
        <v>1.0</v>
      </c>
      <c r="F3174" s="18">
        <f>E3174* 0.995894428152493</f>
        <v>0.9958944282</v>
      </c>
      <c r="G3174" s="18">
        <f>E3174* 0.000586510263929619</f>
        <v>0.0005865102639</v>
      </c>
      <c r="H3174" s="18">
        <f>E3174* 0.00351906158357771</f>
        <v>0.003519061584</v>
      </c>
    </row>
    <row r="3175" ht="15.75" hidden="1" customHeight="1">
      <c r="A3175" s="20" t="s">
        <v>224</v>
      </c>
      <c r="B3175" s="47" t="s">
        <v>265</v>
      </c>
      <c r="C3175" s="47"/>
      <c r="D3175" s="19" t="s">
        <v>28</v>
      </c>
      <c r="E3175" s="23">
        <v>22.0</v>
      </c>
      <c r="F3175" s="18">
        <f>E3175* 0.00302222222222222</f>
        <v>0.06648888889</v>
      </c>
      <c r="G3175" s="18">
        <f>E3175* 0.996622222222222</f>
        <v>21.92568889</v>
      </c>
      <c r="H3175" s="18">
        <f>E3175* 0.000355555555555556</f>
        <v>0.007822222222</v>
      </c>
    </row>
    <row r="3176" ht="15.75" hidden="1" customHeight="1">
      <c r="A3176" s="20" t="s">
        <v>224</v>
      </c>
      <c r="B3176" s="47" t="s">
        <v>265</v>
      </c>
      <c r="C3176" s="47"/>
      <c r="D3176" s="19" t="s">
        <v>12</v>
      </c>
      <c r="E3176" s="23">
        <v>197.0</v>
      </c>
      <c r="F3176" s="18">
        <f>E3176* 0.802335182557089</f>
        <v>158.060031</v>
      </c>
      <c r="G3176" s="18">
        <f>E3176* 0.124687137143594</f>
        <v>24.56336602</v>
      </c>
      <c r="H3176" s="18">
        <f>E3176* 0.0729583279576829</f>
        <v>14.37279061</v>
      </c>
    </row>
    <row r="3177" ht="15.75" hidden="1" customHeight="1">
      <c r="A3177" s="20" t="s">
        <v>224</v>
      </c>
      <c r="B3177" s="20"/>
      <c r="C3177" s="20"/>
      <c r="D3177" s="46"/>
      <c r="E3177" s="35"/>
    </row>
    <row r="3178" ht="15.75" hidden="1" customHeight="1">
      <c r="A3178" s="20" t="s">
        <v>224</v>
      </c>
      <c r="B3178" s="47" t="s">
        <v>266</v>
      </c>
      <c r="C3178" s="12" t="str">
        <f>B3178&amp;"_"&amp;A3178</f>
        <v>San Ramón_Santa Cruz</v>
      </c>
      <c r="D3178" s="20"/>
      <c r="E3178" s="45">
        <v>274.0</v>
      </c>
      <c r="F3178" s="14">
        <f t="shared" ref="F3178:H3178" si="265">SUM(F3179:F3186)</f>
        <v>257.998595</v>
      </c>
      <c r="G3178" s="14">
        <f t="shared" si="265"/>
        <v>12.42416323</v>
      </c>
      <c r="H3178" s="14">
        <f t="shared" si="265"/>
        <v>3.556113652</v>
      </c>
    </row>
    <row r="3179" ht="15.75" hidden="1" customHeight="1">
      <c r="A3179" s="20" t="s">
        <v>224</v>
      </c>
      <c r="B3179" s="47" t="s">
        <v>266</v>
      </c>
      <c r="C3179" s="47"/>
      <c r="D3179" s="19" t="s">
        <v>15</v>
      </c>
      <c r="E3179" s="23">
        <v>3.0</v>
      </c>
      <c r="F3179" s="18">
        <f>E3179* 0.932303048052446</f>
        <v>2.796909144</v>
      </c>
      <c r="G3179" s="18">
        <f>E3179* 0.0217058280204555</f>
        <v>0.06511748406</v>
      </c>
      <c r="H3179" s="18">
        <f>E3179* 0.0459798598751943</f>
        <v>0.1379395796</v>
      </c>
    </row>
    <row r="3180" ht="15.75" hidden="1" customHeight="1">
      <c r="A3180" s="20" t="s">
        <v>224</v>
      </c>
      <c r="B3180" s="47" t="s">
        <v>266</v>
      </c>
      <c r="C3180" s="47"/>
      <c r="D3180" s="19" t="s">
        <v>11</v>
      </c>
      <c r="E3180" s="23">
        <v>5.0</v>
      </c>
      <c r="F3180" s="18">
        <f>E3180* 0.083479491676667</f>
        <v>0.4173974584</v>
      </c>
      <c r="G3180" s="18">
        <f>E3180* 0.913505030924029</f>
        <v>4.567525155</v>
      </c>
      <c r="H3180" s="18">
        <f>E3180* 0.00292316686667282</f>
        <v>0.01461583433</v>
      </c>
    </row>
    <row r="3181" ht="15.75" hidden="1" customHeight="1">
      <c r="A3181" s="20" t="s">
        <v>224</v>
      </c>
      <c r="B3181" s="47" t="s">
        <v>266</v>
      </c>
      <c r="C3181" s="47"/>
      <c r="D3181" s="19" t="s">
        <v>17</v>
      </c>
      <c r="E3181" s="23">
        <v>13.0</v>
      </c>
      <c r="F3181" s="18">
        <f>E3181* 0.752045572242362</f>
        <v>9.776592439</v>
      </c>
      <c r="G3181" s="18">
        <f>E3181* 0.185827723114103</f>
        <v>2.4157604</v>
      </c>
      <c r="H3181" s="18">
        <f>E3181* 0.0620921802175039</f>
        <v>0.8071983428</v>
      </c>
    </row>
    <row r="3182" ht="15.75" hidden="1" customHeight="1">
      <c r="A3182" s="20" t="s">
        <v>224</v>
      </c>
      <c r="B3182" s="47" t="s">
        <v>266</v>
      </c>
      <c r="C3182" s="47"/>
      <c r="D3182" s="19" t="s">
        <v>18</v>
      </c>
      <c r="E3182" s="23">
        <v>1.0</v>
      </c>
      <c r="F3182" s="18">
        <f>E3182* 0.893702527830246</f>
        <v>0.8937025278</v>
      </c>
      <c r="G3182" s="18">
        <f>E3182* 0.0946831169875015</f>
        <v>0.09468311699</v>
      </c>
      <c r="H3182" s="18">
        <f>E3182* 0.0116143551822529</f>
        <v>0.01161435518</v>
      </c>
    </row>
    <row r="3183" ht="15.75" hidden="1" customHeight="1">
      <c r="A3183" s="20" t="s">
        <v>224</v>
      </c>
      <c r="B3183" s="47" t="s">
        <v>266</v>
      </c>
      <c r="C3183" s="47"/>
      <c r="D3183" s="19" t="s">
        <v>19</v>
      </c>
      <c r="E3183" s="23">
        <v>1.0</v>
      </c>
      <c r="F3183" s="18">
        <f>E3183* 0.0299845873616365</f>
        <v>0.02998458736</v>
      </c>
      <c r="G3183" s="18">
        <f>E3183* 0.96385035729298</f>
        <v>0.9638503573</v>
      </c>
      <c r="H3183" s="18">
        <f>E3183* 0.00616505534538321</f>
        <v>0.006165055345</v>
      </c>
    </row>
    <row r="3184" ht="15.75" hidden="1" customHeight="1">
      <c r="A3184" s="20" t="s">
        <v>224</v>
      </c>
      <c r="B3184" s="47" t="s">
        <v>266</v>
      </c>
      <c r="C3184" s="47"/>
      <c r="D3184" s="19" t="s">
        <v>20</v>
      </c>
      <c r="E3184" s="23">
        <v>2.0</v>
      </c>
      <c r="F3184" s="18">
        <f>E3184* 0.734251968503937</f>
        <v>1.468503937</v>
      </c>
      <c r="G3184" s="18">
        <f>E3184* 0.158017179670723</f>
        <v>0.3160343593</v>
      </c>
      <c r="H3184" s="18">
        <f>E3184* 0.107551896921976</f>
        <v>0.2151037938</v>
      </c>
    </row>
    <row r="3185" ht="15.75" hidden="1" customHeight="1">
      <c r="A3185" s="20" t="s">
        <v>224</v>
      </c>
      <c r="B3185" s="47" t="s">
        <v>266</v>
      </c>
      <c r="C3185" s="47"/>
      <c r="D3185" s="19" t="s">
        <v>21</v>
      </c>
      <c r="E3185" s="23">
        <v>217.0</v>
      </c>
      <c r="F3185" s="18">
        <f>E3185* 0.999727092353423</f>
        <v>216.940779</v>
      </c>
      <c r="G3185" s="18">
        <f>E3185* 0.0000516311763794744</f>
        <v>0.01120396527</v>
      </c>
      <c r="H3185" s="18">
        <f>E3185* 0.000132765882118648</f>
        <v>0.02881019642</v>
      </c>
    </row>
    <row r="3186" ht="15.75" hidden="1" customHeight="1">
      <c r="A3186" s="20" t="s">
        <v>224</v>
      </c>
      <c r="B3186" s="47" t="s">
        <v>266</v>
      </c>
      <c r="C3186" s="47"/>
      <c r="D3186" s="19" t="s">
        <v>12</v>
      </c>
      <c r="E3186" s="23">
        <v>32.0</v>
      </c>
      <c r="F3186" s="18">
        <f>E3186* 0.802335182557089</f>
        <v>25.67472584</v>
      </c>
      <c r="G3186" s="18">
        <f>E3186* 0.124687137143594</f>
        <v>3.989988389</v>
      </c>
      <c r="H3186" s="18">
        <f>E3186* 0.0729583279576829</f>
        <v>2.334666495</v>
      </c>
    </row>
    <row r="3187" ht="15.75" hidden="1" customHeight="1">
      <c r="A3187" s="20" t="s">
        <v>224</v>
      </c>
      <c r="B3187" s="20"/>
      <c r="C3187" s="20"/>
      <c r="D3187" s="46"/>
      <c r="E3187" s="35"/>
    </row>
    <row r="3188" ht="15.75" hidden="1" customHeight="1">
      <c r="A3188" s="20" t="s">
        <v>224</v>
      </c>
      <c r="B3188" s="47" t="s">
        <v>267</v>
      </c>
      <c r="C3188" s="12" t="str">
        <f>B3188&amp;"_"&amp;A3188</f>
        <v>Santa Cruz de la Sierra_Santa Cruz</v>
      </c>
      <c r="D3188" s="20"/>
      <c r="E3188" s="45">
        <v>389006.0</v>
      </c>
      <c r="F3188" s="14">
        <f t="shared" ref="F3188:H3188" si="266">SUM(F3189:F3204)</f>
        <v>313630.9975</v>
      </c>
      <c r="G3188" s="14">
        <f t="shared" si="266"/>
        <v>57325.87588</v>
      </c>
      <c r="H3188" s="14">
        <f t="shared" si="266"/>
        <v>18036.14</v>
      </c>
    </row>
    <row r="3189" ht="15.75" hidden="1" customHeight="1">
      <c r="A3189" s="20" t="s">
        <v>224</v>
      </c>
      <c r="B3189" s="47" t="s">
        <v>267</v>
      </c>
      <c r="C3189" s="47"/>
      <c r="D3189" s="29" t="s">
        <v>675</v>
      </c>
      <c r="E3189" s="23">
        <v>76.0</v>
      </c>
      <c r="F3189" s="20">
        <v>0.0</v>
      </c>
      <c r="G3189" s="24">
        <f>E3189</f>
        <v>76</v>
      </c>
      <c r="H3189" s="20">
        <v>0.0</v>
      </c>
    </row>
    <row r="3190" ht="15.75" hidden="1" customHeight="1">
      <c r="A3190" s="20" t="s">
        <v>224</v>
      </c>
      <c r="B3190" s="47" t="s">
        <v>267</v>
      </c>
      <c r="C3190" s="47"/>
      <c r="D3190" s="19" t="s">
        <v>15</v>
      </c>
      <c r="E3190" s="23">
        <v>90943.0</v>
      </c>
      <c r="F3190" s="18">
        <f>E3190* 0.932303048052446</f>
        <v>84786.4361</v>
      </c>
      <c r="G3190" s="18">
        <f>E3190* 0.0217058280204555</f>
        <v>1973.993118</v>
      </c>
      <c r="H3190" s="18">
        <f>E3190* 0.0459798598751943</f>
        <v>4181.546397</v>
      </c>
    </row>
    <row r="3191" ht="15.75" hidden="1" customHeight="1">
      <c r="A3191" s="20" t="s">
        <v>224</v>
      </c>
      <c r="B3191" s="47" t="s">
        <v>267</v>
      </c>
      <c r="C3191" s="47"/>
      <c r="D3191" s="29" t="s">
        <v>676</v>
      </c>
      <c r="E3191" s="23">
        <v>2941.0</v>
      </c>
      <c r="F3191" s="18">
        <f>E3191* 0.293894936109797</f>
        <v>864.3450071</v>
      </c>
      <c r="G3191" s="18">
        <f>E3191* 0.663038334122101</f>
        <v>1949.995741</v>
      </c>
      <c r="H3191" s="18">
        <f>E3191* 0.0430667297681022</f>
        <v>126.6592522</v>
      </c>
    </row>
    <row r="3192" ht="15.75" hidden="1" customHeight="1">
      <c r="A3192" s="20" t="s">
        <v>224</v>
      </c>
      <c r="B3192" s="47" t="s">
        <v>267</v>
      </c>
      <c r="C3192" s="47"/>
      <c r="D3192" s="19" t="s">
        <v>11</v>
      </c>
      <c r="E3192" s="23">
        <v>19372.0</v>
      </c>
      <c r="F3192" s="18">
        <f>E3192* 0.083479491676667</f>
        <v>1617.164713</v>
      </c>
      <c r="G3192" s="18">
        <f>E3192* 0.913505030924029</f>
        <v>17696.41946</v>
      </c>
      <c r="H3192" s="18">
        <f>E3192* 0.00292316686667282</f>
        <v>56.62758854</v>
      </c>
    </row>
    <row r="3193" ht="15.75" hidden="1" customHeight="1">
      <c r="A3193" s="20" t="s">
        <v>224</v>
      </c>
      <c r="B3193" s="47" t="s">
        <v>267</v>
      </c>
      <c r="C3193" s="47"/>
      <c r="D3193" s="19" t="s">
        <v>17</v>
      </c>
      <c r="E3193" s="23">
        <v>49349.0</v>
      </c>
      <c r="F3193" s="18">
        <f>E3193* 0.752045572242362</f>
        <v>37112.69694</v>
      </c>
      <c r="G3193" s="18">
        <f>E3193* 0.185827723114103</f>
        <v>9170.412308</v>
      </c>
      <c r="H3193" s="18">
        <f>E3193* 0.0620921802175039</f>
        <v>3064.187002</v>
      </c>
    </row>
    <row r="3194" ht="15.75" hidden="1" customHeight="1">
      <c r="A3194" s="20" t="s">
        <v>224</v>
      </c>
      <c r="B3194" s="47" t="s">
        <v>267</v>
      </c>
      <c r="C3194" s="47"/>
      <c r="D3194" s="19" t="s">
        <v>31</v>
      </c>
      <c r="E3194" s="23">
        <v>3370.0</v>
      </c>
      <c r="F3194" s="18">
        <f>E3194* 0.929131175468484</f>
        <v>3131.172061</v>
      </c>
      <c r="G3194" s="18">
        <f>E3194* 0.0477001703577513</f>
        <v>160.7495741</v>
      </c>
      <c r="H3194" s="18">
        <f>E3194* 0.0231686541737649</f>
        <v>78.07836457</v>
      </c>
    </row>
    <row r="3195" ht="15.75" hidden="1" customHeight="1">
      <c r="A3195" s="20" t="s">
        <v>224</v>
      </c>
      <c r="B3195" s="47" t="s">
        <v>267</v>
      </c>
      <c r="C3195" s="47"/>
      <c r="D3195" s="19" t="s">
        <v>18</v>
      </c>
      <c r="E3195" s="23">
        <v>18797.0</v>
      </c>
      <c r="F3195" s="18">
        <f>E3195* 0.893702527830246</f>
        <v>16798.92642</v>
      </c>
      <c r="G3195" s="18">
        <f>E3195* 0.0946831169875015</f>
        <v>1779.75855</v>
      </c>
      <c r="H3195" s="18">
        <f>E3195* 0.0116143551822529</f>
        <v>218.3150344</v>
      </c>
    </row>
    <row r="3196" ht="15.75" hidden="1" customHeight="1">
      <c r="A3196" s="20" t="s">
        <v>224</v>
      </c>
      <c r="B3196" s="47" t="s">
        <v>267</v>
      </c>
      <c r="C3196" s="47"/>
      <c r="D3196" s="29" t="s">
        <v>677</v>
      </c>
      <c r="E3196" s="23">
        <v>1.0</v>
      </c>
      <c r="F3196" s="20">
        <v>0.0</v>
      </c>
      <c r="G3196" s="24">
        <f>E3196</f>
        <v>1</v>
      </c>
      <c r="H3196" s="20">
        <v>0.0</v>
      </c>
    </row>
    <row r="3197" ht="15.75" hidden="1" customHeight="1">
      <c r="A3197" s="20" t="s">
        <v>224</v>
      </c>
      <c r="B3197" s="47" t="s">
        <v>267</v>
      </c>
      <c r="C3197" s="47"/>
      <c r="D3197" s="19" t="s">
        <v>19</v>
      </c>
      <c r="E3197" s="23">
        <v>5405.0</v>
      </c>
      <c r="F3197" s="18">
        <f>E3197* 0.0299845873616365</f>
        <v>162.0666947</v>
      </c>
      <c r="G3197" s="18">
        <f>E3197* 0.96385035729298</f>
        <v>5209.611181</v>
      </c>
      <c r="H3197" s="18">
        <f>E3197* 0.00616505534538321</f>
        <v>33.32212414</v>
      </c>
    </row>
    <row r="3198" ht="15.75" hidden="1" customHeight="1">
      <c r="A3198" s="20" t="s">
        <v>224</v>
      </c>
      <c r="B3198" s="47" t="s">
        <v>267</v>
      </c>
      <c r="C3198" s="47"/>
      <c r="D3198" s="19" t="s">
        <v>20</v>
      </c>
      <c r="E3198" s="23">
        <v>4760.0</v>
      </c>
      <c r="F3198" s="18">
        <f>E3198* 0.734251968503937</f>
        <v>3495.03937</v>
      </c>
      <c r="G3198" s="18">
        <f>E3198* 0.158017179670723</f>
        <v>752.1617752</v>
      </c>
      <c r="H3198" s="18">
        <f>E3198* 0.107551896921976</f>
        <v>511.9470293</v>
      </c>
    </row>
    <row r="3199" ht="15.75" hidden="1" customHeight="1">
      <c r="A3199" s="20" t="s">
        <v>224</v>
      </c>
      <c r="B3199" s="47" t="s">
        <v>267</v>
      </c>
      <c r="C3199" s="47"/>
      <c r="D3199" s="19" t="s">
        <v>21</v>
      </c>
      <c r="E3199" s="23">
        <v>56842.0</v>
      </c>
      <c r="F3199" s="18">
        <f>E3199* 0.999727092353423</f>
        <v>56826.48738</v>
      </c>
      <c r="G3199" s="18">
        <f>E3199* 0.0000516311763794744</f>
        <v>2.934819328</v>
      </c>
      <c r="H3199" s="18">
        <f>E3199* 0.000132765882118648</f>
        <v>7.546678271</v>
      </c>
    </row>
    <row r="3200" ht="15.75" hidden="1" customHeight="1">
      <c r="A3200" s="20" t="s">
        <v>224</v>
      </c>
      <c r="B3200" s="47" t="s">
        <v>267</v>
      </c>
      <c r="C3200" s="47"/>
      <c r="D3200" s="19" t="s">
        <v>36</v>
      </c>
      <c r="E3200" s="23">
        <v>1106.0</v>
      </c>
      <c r="F3200" s="18">
        <f>E3200* 0.995894428152493</f>
        <v>1101.459238</v>
      </c>
      <c r="G3200" s="18">
        <f>E3200* 0.000586510263929619</f>
        <v>0.6486803519</v>
      </c>
      <c r="H3200" s="18">
        <f>E3200* 0.00351906158357771</f>
        <v>3.892082111</v>
      </c>
    </row>
    <row r="3201" ht="15.75" hidden="1" customHeight="1">
      <c r="A3201" s="20" t="s">
        <v>224</v>
      </c>
      <c r="B3201" s="47" t="s">
        <v>267</v>
      </c>
      <c r="C3201" s="47"/>
      <c r="D3201" s="19" t="s">
        <v>37</v>
      </c>
      <c r="E3201" s="23">
        <v>6.0</v>
      </c>
      <c r="F3201" s="20">
        <v>0.0</v>
      </c>
      <c r="G3201" s="24">
        <f>E3201</f>
        <v>6</v>
      </c>
      <c r="H3201" s="20">
        <v>0.0</v>
      </c>
    </row>
    <row r="3202" ht="15.75" hidden="1" customHeight="1">
      <c r="A3202" s="20" t="s">
        <v>224</v>
      </c>
      <c r="B3202" s="47" t="s">
        <v>267</v>
      </c>
      <c r="C3202" s="47"/>
      <c r="D3202" s="19" t="s">
        <v>84</v>
      </c>
      <c r="E3202" s="23">
        <v>2343.0</v>
      </c>
      <c r="F3202" s="20">
        <f>E3202*0.2</f>
        <v>468.6</v>
      </c>
      <c r="G3202" s="20">
        <f>E3202*0.8</f>
        <v>1874.4</v>
      </c>
      <c r="H3202" s="20">
        <v>0.0</v>
      </c>
    </row>
    <row r="3203" ht="15.75" hidden="1" customHeight="1">
      <c r="A3203" s="20" t="s">
        <v>224</v>
      </c>
      <c r="B3203" s="47" t="s">
        <v>267</v>
      </c>
      <c r="C3203" s="47"/>
      <c r="D3203" s="19" t="s">
        <v>28</v>
      </c>
      <c r="E3203" s="23">
        <v>2.0</v>
      </c>
      <c r="F3203" s="18">
        <f>E3203* 0.00302222222222222</f>
        <v>0.006044444444</v>
      </c>
      <c r="G3203" s="18">
        <f>E3203* 0.996622222222222</f>
        <v>1.993244444</v>
      </c>
      <c r="H3203" s="18">
        <f>E3203* 0.000355555555555556</f>
        <v>0.0007111111111</v>
      </c>
    </row>
    <row r="3204" ht="15.75" hidden="1" customHeight="1">
      <c r="A3204" s="20" t="s">
        <v>224</v>
      </c>
      <c r="B3204" s="47" t="s">
        <v>267</v>
      </c>
      <c r="C3204" s="47"/>
      <c r="D3204" s="19" t="s">
        <v>12</v>
      </c>
      <c r="E3204" s="23">
        <v>133693.0</v>
      </c>
      <c r="F3204" s="18">
        <f>E3204* 0.802335182557089</f>
        <v>107266.5976</v>
      </c>
      <c r="G3204" s="18">
        <f>E3204* 0.124687137143594</f>
        <v>16669.79743</v>
      </c>
      <c r="H3204" s="18">
        <f>E3204* 0.0729583279576829</f>
        <v>9754.01774</v>
      </c>
    </row>
    <row r="3205" ht="15.75" hidden="1" customHeight="1">
      <c r="A3205" s="20" t="s">
        <v>224</v>
      </c>
      <c r="B3205" s="20"/>
      <c r="C3205" s="20"/>
      <c r="D3205" s="46"/>
      <c r="E3205" s="35"/>
    </row>
    <row r="3206" ht="15.75" hidden="1" customHeight="1">
      <c r="A3206" s="20" t="s">
        <v>224</v>
      </c>
      <c r="B3206" s="47" t="s">
        <v>678</v>
      </c>
      <c r="C3206" s="12" t="str">
        <f>B3206&amp;"_"&amp;A3206</f>
        <v>Santa Rosa del Sara _Santa Cruz</v>
      </c>
      <c r="D3206" s="20"/>
      <c r="E3206" s="45">
        <v>169.0</v>
      </c>
      <c r="F3206" s="14">
        <f t="shared" ref="F3206:H3206" si="267">SUM(F3207:F3216)</f>
        <v>137.464481</v>
      </c>
      <c r="G3206" s="14">
        <f t="shared" si="267"/>
        <v>26.53763213</v>
      </c>
      <c r="H3206" s="14">
        <f t="shared" si="267"/>
        <v>4.987756904</v>
      </c>
    </row>
    <row r="3207" ht="15.75" hidden="1" customHeight="1">
      <c r="A3207" s="20" t="s">
        <v>224</v>
      </c>
      <c r="B3207" s="47" t="s">
        <v>678</v>
      </c>
      <c r="C3207" s="47"/>
      <c r="D3207" s="29" t="s">
        <v>679</v>
      </c>
      <c r="E3207" s="23">
        <v>4.0</v>
      </c>
      <c r="F3207" s="20">
        <v>0.0</v>
      </c>
      <c r="G3207" s="24">
        <f>E3207</f>
        <v>4</v>
      </c>
      <c r="H3207" s="20">
        <v>0.0</v>
      </c>
    </row>
    <row r="3208" ht="15.75" hidden="1" customHeight="1">
      <c r="A3208" s="20" t="s">
        <v>224</v>
      </c>
      <c r="B3208" s="47" t="s">
        <v>678</v>
      </c>
      <c r="C3208" s="47"/>
      <c r="D3208" s="19" t="s">
        <v>15</v>
      </c>
      <c r="E3208" s="23">
        <v>4.0</v>
      </c>
      <c r="F3208" s="18">
        <f>E3208* 0.932303048052446</f>
        <v>3.729212192</v>
      </c>
      <c r="G3208" s="18">
        <f>E3208* 0.0217058280204555</f>
        <v>0.08682331208</v>
      </c>
      <c r="H3208" s="18">
        <f>E3208* 0.0459798598751943</f>
        <v>0.1839194395</v>
      </c>
    </row>
    <row r="3209" ht="15.75" hidden="1" customHeight="1">
      <c r="A3209" s="20" t="s">
        <v>224</v>
      </c>
      <c r="B3209" s="47" t="s">
        <v>678</v>
      </c>
      <c r="C3209" s="47"/>
      <c r="D3209" s="19" t="s">
        <v>11</v>
      </c>
      <c r="E3209" s="23">
        <v>14.0</v>
      </c>
      <c r="F3209" s="18">
        <f>E3209* 0.083479491676667</f>
        <v>1.168712883</v>
      </c>
      <c r="G3209" s="18">
        <f>E3209* 0.913505030924029</f>
        <v>12.78907043</v>
      </c>
      <c r="H3209" s="18">
        <f>E3209* 0.00292316686667282</f>
        <v>0.04092433613</v>
      </c>
    </row>
    <row r="3210" ht="15.75" hidden="1" customHeight="1">
      <c r="A3210" s="20" t="s">
        <v>224</v>
      </c>
      <c r="B3210" s="47" t="s">
        <v>678</v>
      </c>
      <c r="C3210" s="47"/>
      <c r="D3210" s="19" t="s">
        <v>17</v>
      </c>
      <c r="E3210" s="23">
        <v>17.0</v>
      </c>
      <c r="F3210" s="18">
        <f>E3210* 0.752045572242362</f>
        <v>12.78477473</v>
      </c>
      <c r="G3210" s="18">
        <f>E3210* 0.185827723114103</f>
        <v>3.159071293</v>
      </c>
      <c r="H3210" s="18">
        <f>E3210* 0.0620921802175039</f>
        <v>1.055567064</v>
      </c>
    </row>
    <row r="3211" ht="15.75" hidden="1" customHeight="1">
      <c r="A3211" s="20" t="s">
        <v>224</v>
      </c>
      <c r="B3211" s="47" t="s">
        <v>678</v>
      </c>
      <c r="C3211" s="47"/>
      <c r="D3211" s="19" t="s">
        <v>31</v>
      </c>
      <c r="E3211" s="23">
        <v>0.0</v>
      </c>
      <c r="F3211" s="18">
        <f>E3211* 0.929131175468484</f>
        <v>0</v>
      </c>
      <c r="G3211" s="18">
        <f>E3211* 0.0477001703577513</f>
        <v>0</v>
      </c>
      <c r="H3211" s="18">
        <f>E3211* 0.0231686541737649</f>
        <v>0</v>
      </c>
    </row>
    <row r="3212" ht="15.75" hidden="1" customHeight="1">
      <c r="A3212" s="20" t="s">
        <v>224</v>
      </c>
      <c r="B3212" s="47" t="s">
        <v>678</v>
      </c>
      <c r="C3212" s="47"/>
      <c r="D3212" s="19" t="s">
        <v>18</v>
      </c>
      <c r="E3212" s="23">
        <v>4.0</v>
      </c>
      <c r="F3212" s="18">
        <f>E3212* 0.893702527830246</f>
        <v>3.574810111</v>
      </c>
      <c r="G3212" s="18">
        <f>E3212* 0.0946831169875015</f>
        <v>0.378732468</v>
      </c>
      <c r="H3212" s="18">
        <f>E3212* 0.0116143551822529</f>
        <v>0.04645742073</v>
      </c>
    </row>
    <row r="3213" ht="15.75" hidden="1" customHeight="1">
      <c r="A3213" s="20" t="s">
        <v>224</v>
      </c>
      <c r="B3213" s="47" t="s">
        <v>678</v>
      </c>
      <c r="C3213" s="47"/>
      <c r="D3213" s="19" t="s">
        <v>20</v>
      </c>
      <c r="E3213" s="23">
        <v>4.0</v>
      </c>
      <c r="F3213" s="18">
        <f>E3213* 0.734251968503937</f>
        <v>2.937007874</v>
      </c>
      <c r="G3213" s="18">
        <f>E3213* 0.158017179670723</f>
        <v>0.6320687187</v>
      </c>
      <c r="H3213" s="18">
        <f>E3213* 0.107551896921976</f>
        <v>0.4302075877</v>
      </c>
    </row>
    <row r="3214" ht="15.75" hidden="1" customHeight="1">
      <c r="A3214" s="20" t="s">
        <v>224</v>
      </c>
      <c r="B3214" s="47" t="s">
        <v>678</v>
      </c>
      <c r="C3214" s="47"/>
      <c r="D3214" s="19" t="s">
        <v>21</v>
      </c>
      <c r="E3214" s="23">
        <v>75.0</v>
      </c>
      <c r="F3214" s="18">
        <f>E3214* 0.999727092353423</f>
        <v>74.97953193</v>
      </c>
      <c r="G3214" s="18">
        <f>E3214* 0.0000516311763794744</f>
        <v>0.003872338228</v>
      </c>
      <c r="H3214" s="18">
        <f>E3214* 0.000132765882118648</f>
        <v>0.009957441159</v>
      </c>
    </row>
    <row r="3215" ht="15.75" hidden="1" customHeight="1">
      <c r="A3215" s="20" t="s">
        <v>224</v>
      </c>
      <c r="B3215" s="47" t="s">
        <v>678</v>
      </c>
      <c r="C3215" s="47"/>
      <c r="D3215" s="19" t="s">
        <v>36</v>
      </c>
      <c r="E3215" s="23">
        <v>3.0</v>
      </c>
      <c r="F3215" s="18">
        <f>E3215* 0.995894428152493</f>
        <v>2.987683284</v>
      </c>
      <c r="G3215" s="18">
        <f>E3215* 0.000586510263929619</f>
        <v>0.001759530792</v>
      </c>
      <c r="H3215" s="18">
        <f>E3215* 0.00351906158357771</f>
        <v>0.01055718475</v>
      </c>
    </row>
    <row r="3216" ht="15.75" hidden="1" customHeight="1">
      <c r="A3216" s="20" t="s">
        <v>224</v>
      </c>
      <c r="B3216" s="47" t="s">
        <v>678</v>
      </c>
      <c r="C3216" s="47"/>
      <c r="D3216" s="19" t="s">
        <v>12</v>
      </c>
      <c r="E3216" s="23">
        <v>44.0</v>
      </c>
      <c r="F3216" s="18">
        <f>E3216* 0.802335182557089</f>
        <v>35.30274803</v>
      </c>
      <c r="G3216" s="18">
        <f>E3216* 0.124687137143594</f>
        <v>5.486234034</v>
      </c>
      <c r="H3216" s="18">
        <f>E3216* 0.0729583279576829</f>
        <v>3.21016643</v>
      </c>
    </row>
    <row r="3217" ht="15.75" hidden="1" customHeight="1">
      <c r="A3217" s="20" t="s">
        <v>224</v>
      </c>
      <c r="B3217" s="20"/>
      <c r="C3217" s="20"/>
      <c r="D3217" s="46"/>
      <c r="E3217" s="35"/>
    </row>
    <row r="3218" ht="15.75" hidden="1" customHeight="1">
      <c r="A3218" s="20" t="s">
        <v>224</v>
      </c>
      <c r="B3218" s="47" t="s">
        <v>269</v>
      </c>
      <c r="C3218" s="12" t="str">
        <f>B3218&amp;"_"&amp;A3218</f>
        <v>Trigal_Santa Cruz</v>
      </c>
      <c r="D3218" s="20"/>
      <c r="E3218" s="45">
        <v>17.0</v>
      </c>
      <c r="F3218" s="14">
        <f t="shared" ref="F3218:H3218" si="268">SUM(F3219:F3224)</f>
        <v>12.5962729</v>
      </c>
      <c r="G3218" s="14">
        <f t="shared" si="268"/>
        <v>3.578189952</v>
      </c>
      <c r="H3218" s="14">
        <f t="shared" si="268"/>
        <v>0.824465261</v>
      </c>
    </row>
    <row r="3219" ht="15.75" hidden="1" customHeight="1">
      <c r="A3219" s="20" t="s">
        <v>224</v>
      </c>
      <c r="B3219" s="47" t="s">
        <v>269</v>
      </c>
      <c r="C3219" s="47"/>
      <c r="D3219" s="29" t="s">
        <v>680</v>
      </c>
      <c r="E3219" s="23">
        <v>2.0</v>
      </c>
      <c r="F3219" s="20">
        <v>0.0</v>
      </c>
      <c r="G3219" s="24">
        <f>E3219</f>
        <v>2</v>
      </c>
      <c r="H3219" s="20">
        <v>0.0</v>
      </c>
    </row>
    <row r="3220" ht="15.75" hidden="1" customHeight="1">
      <c r="A3220" s="20" t="s">
        <v>224</v>
      </c>
      <c r="B3220" s="47" t="s">
        <v>269</v>
      </c>
      <c r="C3220" s="47"/>
      <c r="D3220" s="19" t="s">
        <v>17</v>
      </c>
      <c r="E3220" s="23">
        <v>3.0</v>
      </c>
      <c r="F3220" s="18">
        <f>E3220* 0.752045572242362</f>
        <v>2.256136717</v>
      </c>
      <c r="G3220" s="18">
        <f>E3220* 0.185827723114103</f>
        <v>0.5574831693</v>
      </c>
      <c r="H3220" s="18">
        <f>E3220* 0.0620921802175039</f>
        <v>0.1862765407</v>
      </c>
    </row>
    <row r="3221" ht="15.75" hidden="1" customHeight="1">
      <c r="A3221" s="20" t="s">
        <v>224</v>
      </c>
      <c r="B3221" s="47" t="s">
        <v>269</v>
      </c>
      <c r="C3221" s="47"/>
      <c r="D3221" s="19" t="s">
        <v>31</v>
      </c>
      <c r="E3221" s="23">
        <v>1.0</v>
      </c>
      <c r="F3221" s="18">
        <f>E3221* 0.929131175468484</f>
        <v>0.9291311755</v>
      </c>
      <c r="G3221" s="18">
        <f>E3221* 0.0477001703577513</f>
        <v>0.04770017036</v>
      </c>
      <c r="H3221" s="18">
        <f>E3221* 0.0231686541737649</f>
        <v>0.02316865417</v>
      </c>
    </row>
    <row r="3222" ht="15.75" hidden="1" customHeight="1">
      <c r="A3222" s="20" t="s">
        <v>224</v>
      </c>
      <c r="B3222" s="47" t="s">
        <v>269</v>
      </c>
      <c r="C3222" s="47"/>
      <c r="D3222" s="19" t="s">
        <v>20</v>
      </c>
      <c r="E3222" s="23">
        <v>3.0</v>
      </c>
      <c r="F3222" s="18">
        <f>E3222* 0.734251968503937</f>
        <v>2.202755906</v>
      </c>
      <c r="G3222" s="18">
        <f>E3222* 0.158017179670723</f>
        <v>0.474051539</v>
      </c>
      <c r="H3222" s="18">
        <f>E3222* 0.107551896921976</f>
        <v>0.3226556908</v>
      </c>
    </row>
    <row r="3223" ht="15.75" hidden="1" customHeight="1">
      <c r="A3223" s="20" t="s">
        <v>224</v>
      </c>
      <c r="B3223" s="47" t="s">
        <v>269</v>
      </c>
      <c r="C3223" s="47"/>
      <c r="D3223" s="19" t="s">
        <v>21</v>
      </c>
      <c r="E3223" s="23">
        <v>4.0</v>
      </c>
      <c r="F3223" s="18">
        <f>E3223* 0.999727092353423</f>
        <v>3.998908369</v>
      </c>
      <c r="G3223" s="18">
        <f>E3223* 0.0000516311763794744</f>
        <v>0.0002065247055</v>
      </c>
      <c r="H3223" s="18">
        <f>E3223* 0.000132765882118648</f>
        <v>0.0005310635285</v>
      </c>
    </row>
    <row r="3224" ht="15.75" hidden="1" customHeight="1">
      <c r="A3224" s="20" t="s">
        <v>224</v>
      </c>
      <c r="B3224" s="47" t="s">
        <v>269</v>
      </c>
      <c r="C3224" s="47"/>
      <c r="D3224" s="19" t="s">
        <v>12</v>
      </c>
      <c r="E3224" s="23">
        <v>4.0</v>
      </c>
      <c r="F3224" s="18">
        <f>E3224* 0.802335182557089</f>
        <v>3.20934073</v>
      </c>
      <c r="G3224" s="18">
        <f>E3224* 0.124687137143594</f>
        <v>0.4987485486</v>
      </c>
      <c r="H3224" s="18">
        <f>E3224* 0.0729583279576829</f>
        <v>0.2918333118</v>
      </c>
    </row>
    <row r="3225" ht="15.75" hidden="1" customHeight="1">
      <c r="A3225" s="20" t="s">
        <v>224</v>
      </c>
      <c r="B3225" s="20"/>
      <c r="C3225" s="20"/>
      <c r="D3225" s="46"/>
      <c r="E3225" s="35"/>
    </row>
    <row r="3226" ht="15.75" hidden="1" customHeight="1">
      <c r="A3226" s="20" t="s">
        <v>224</v>
      </c>
      <c r="B3226" s="47" t="s">
        <v>270</v>
      </c>
      <c r="C3226" s="12" t="str">
        <f>B3226&amp;"_"&amp;A3226</f>
        <v>Urubichá_Santa Cruz</v>
      </c>
      <c r="D3226" s="20"/>
      <c r="E3226" s="45">
        <v>1.0</v>
      </c>
      <c r="F3226" s="14">
        <f t="shared" ref="F3226:H3226" si="269">F3227</f>
        <v>0.9997270924</v>
      </c>
      <c r="G3226" s="14">
        <f t="shared" si="269"/>
        <v>0.00005163117638</v>
      </c>
      <c r="H3226" s="14">
        <f t="shared" si="269"/>
        <v>0.0001327658821</v>
      </c>
    </row>
    <row r="3227" ht="15.75" hidden="1" customHeight="1">
      <c r="A3227" s="20" t="s">
        <v>224</v>
      </c>
      <c r="B3227" s="47" t="s">
        <v>270</v>
      </c>
      <c r="C3227" s="47"/>
      <c r="D3227" s="19" t="s">
        <v>21</v>
      </c>
      <c r="E3227" s="23">
        <v>1.0</v>
      </c>
      <c r="F3227" s="18">
        <f>E3227* 0.999727092353423</f>
        <v>0.9997270924</v>
      </c>
      <c r="G3227" s="18">
        <f>E3227* 0.0000516311763794744</f>
        <v>0.00005163117638</v>
      </c>
      <c r="H3227" s="18">
        <f>E3227* 0.000132765882118648</f>
        <v>0.0001327658821</v>
      </c>
    </row>
    <row r="3228" ht="15.75" hidden="1" customHeight="1">
      <c r="A3228" s="20" t="s">
        <v>224</v>
      </c>
      <c r="B3228" s="20"/>
      <c r="C3228" s="20"/>
      <c r="D3228" s="46"/>
      <c r="E3228" s="35"/>
    </row>
    <row r="3229" ht="15.75" hidden="1" customHeight="1">
      <c r="A3229" s="20" t="s">
        <v>224</v>
      </c>
      <c r="B3229" s="47" t="s">
        <v>271</v>
      </c>
      <c r="C3229" s="12" t="str">
        <f>B3229&amp;"_"&amp;A3229</f>
        <v>Vallegrande_Santa Cruz</v>
      </c>
      <c r="D3229" s="20"/>
      <c r="E3229" s="45">
        <v>2769.0</v>
      </c>
      <c r="F3229" s="14">
        <f t="shared" ref="F3229:H3229" si="270">SUM(F3230:F3244)</f>
        <v>2314.390827</v>
      </c>
      <c r="G3229" s="14">
        <f t="shared" si="270"/>
        <v>383.7487461</v>
      </c>
      <c r="H3229" s="14">
        <f t="shared" si="270"/>
        <v>70.68780676</v>
      </c>
    </row>
    <row r="3230" ht="15.75" hidden="1" customHeight="1">
      <c r="A3230" s="20" t="s">
        <v>224</v>
      </c>
      <c r="B3230" s="47" t="s">
        <v>271</v>
      </c>
      <c r="C3230" s="47"/>
      <c r="D3230" s="29" t="s">
        <v>681</v>
      </c>
      <c r="E3230" s="23">
        <v>0.0</v>
      </c>
      <c r="F3230" s="20">
        <v>0.0</v>
      </c>
      <c r="G3230" s="24">
        <f>E3230</f>
        <v>0</v>
      </c>
      <c r="H3230" s="20">
        <v>0.0</v>
      </c>
    </row>
    <row r="3231" ht="15.75" hidden="1" customHeight="1">
      <c r="A3231" s="20" t="s">
        <v>224</v>
      </c>
      <c r="B3231" s="47" t="s">
        <v>271</v>
      </c>
      <c r="C3231" s="47"/>
      <c r="D3231" s="19" t="s">
        <v>15</v>
      </c>
      <c r="E3231" s="23">
        <v>91.0</v>
      </c>
      <c r="F3231" s="18">
        <f>E3231* 0.932303048052446</f>
        <v>84.83957737</v>
      </c>
      <c r="G3231" s="18">
        <f>E3231* 0.0217058280204555</f>
        <v>1.97523035</v>
      </c>
      <c r="H3231" s="18">
        <f>E3231* 0.0459798598751943</f>
        <v>4.184167249</v>
      </c>
    </row>
    <row r="3232" ht="15.75" hidden="1" customHeight="1">
      <c r="A3232" s="20" t="s">
        <v>224</v>
      </c>
      <c r="B3232" s="47" t="s">
        <v>271</v>
      </c>
      <c r="C3232" s="47"/>
      <c r="D3232" s="29" t="s">
        <v>682</v>
      </c>
      <c r="E3232" s="23">
        <v>9.0</v>
      </c>
      <c r="F3232" s="18">
        <f>E3232* 0.293894936109797</f>
        <v>2.645054425</v>
      </c>
      <c r="G3232" s="18">
        <f>E3232* 0.663038334122101</f>
        <v>5.967345007</v>
      </c>
      <c r="H3232" s="18">
        <f>E3232* 0.0430667297681022</f>
        <v>0.3876005679</v>
      </c>
    </row>
    <row r="3233" ht="15.75" hidden="1" customHeight="1">
      <c r="A3233" s="20" t="s">
        <v>224</v>
      </c>
      <c r="B3233" s="47" t="s">
        <v>271</v>
      </c>
      <c r="C3233" s="47"/>
      <c r="D3233" s="19" t="s">
        <v>11</v>
      </c>
      <c r="E3233" s="23">
        <v>251.0</v>
      </c>
      <c r="F3233" s="18">
        <f>E3233* 0.083479491676667</f>
        <v>20.95335241</v>
      </c>
      <c r="G3233" s="18">
        <f>E3233* 0.913505030924029</f>
        <v>229.2897628</v>
      </c>
      <c r="H3233" s="18">
        <f>E3233* 0.00292316686667282</f>
        <v>0.7337148835</v>
      </c>
    </row>
    <row r="3234" ht="15.75" hidden="1" customHeight="1">
      <c r="A3234" s="20" t="s">
        <v>224</v>
      </c>
      <c r="B3234" s="47" t="s">
        <v>271</v>
      </c>
      <c r="C3234" s="47"/>
      <c r="D3234" s="19" t="s">
        <v>17</v>
      </c>
      <c r="E3234" s="23">
        <v>221.0</v>
      </c>
      <c r="F3234" s="18">
        <f>E3234* 0.752045572242362</f>
        <v>166.2020715</v>
      </c>
      <c r="G3234" s="18">
        <f>E3234* 0.185827723114103</f>
        <v>41.06792681</v>
      </c>
      <c r="H3234" s="18">
        <f>E3234* 0.0620921802175039</f>
        <v>13.72237183</v>
      </c>
    </row>
    <row r="3235" ht="15.75" hidden="1" customHeight="1">
      <c r="A3235" s="20" t="s">
        <v>224</v>
      </c>
      <c r="B3235" s="47" t="s">
        <v>271</v>
      </c>
      <c r="C3235" s="47"/>
      <c r="D3235" s="19" t="s">
        <v>31</v>
      </c>
      <c r="E3235" s="23">
        <v>2.0</v>
      </c>
      <c r="F3235" s="18">
        <f>E3235* 0.929131175468484</f>
        <v>1.858262351</v>
      </c>
      <c r="G3235" s="18">
        <f>E3235* 0.0477001703577513</f>
        <v>0.09540034072</v>
      </c>
      <c r="H3235" s="18">
        <f>E3235* 0.0231686541737649</f>
        <v>0.04633730835</v>
      </c>
    </row>
    <row r="3236" ht="15.75" hidden="1" customHeight="1">
      <c r="A3236" s="20" t="s">
        <v>224</v>
      </c>
      <c r="B3236" s="47" t="s">
        <v>271</v>
      </c>
      <c r="C3236" s="47"/>
      <c r="D3236" s="19" t="s">
        <v>18</v>
      </c>
      <c r="E3236" s="23">
        <v>96.0</v>
      </c>
      <c r="F3236" s="18">
        <f>E3236* 0.893702527830246</f>
        <v>85.79544267</v>
      </c>
      <c r="G3236" s="18">
        <f>E3236* 0.0946831169875015</f>
        <v>9.089579231</v>
      </c>
      <c r="H3236" s="18">
        <f>E3236* 0.0116143551822529</f>
        <v>1.114978097</v>
      </c>
    </row>
    <row r="3237" ht="15.75" hidden="1" customHeight="1">
      <c r="A3237" s="20" t="s">
        <v>224</v>
      </c>
      <c r="B3237" s="47" t="s">
        <v>271</v>
      </c>
      <c r="C3237" s="47"/>
      <c r="D3237" s="29" t="s">
        <v>683</v>
      </c>
      <c r="E3237" s="23">
        <v>4.0</v>
      </c>
      <c r="F3237" s="20">
        <v>0.0</v>
      </c>
      <c r="G3237" s="24">
        <f>E3237</f>
        <v>4</v>
      </c>
      <c r="H3237" s="20">
        <v>0.0</v>
      </c>
    </row>
    <row r="3238" ht="15.75" hidden="1" customHeight="1">
      <c r="A3238" s="20" t="s">
        <v>224</v>
      </c>
      <c r="B3238" s="47" t="s">
        <v>271</v>
      </c>
      <c r="C3238" s="47"/>
      <c r="D3238" s="19" t="s">
        <v>19</v>
      </c>
      <c r="E3238" s="23">
        <v>3.0</v>
      </c>
      <c r="F3238" s="18">
        <f>E3238* 0.0299845873616365</f>
        <v>0.08995376208</v>
      </c>
      <c r="G3238" s="18">
        <f>E3238* 0.96385035729298</f>
        <v>2.891551072</v>
      </c>
      <c r="H3238" s="18">
        <f>E3238* 0.00616505534538321</f>
        <v>0.01849516604</v>
      </c>
    </row>
    <row r="3239" ht="15.75" hidden="1" customHeight="1">
      <c r="A3239" s="20" t="s">
        <v>224</v>
      </c>
      <c r="B3239" s="47" t="s">
        <v>271</v>
      </c>
      <c r="C3239" s="47"/>
      <c r="D3239" s="19" t="s">
        <v>20</v>
      </c>
      <c r="E3239" s="23">
        <v>23.0</v>
      </c>
      <c r="F3239" s="18">
        <f>E3239* 0.734251968503937</f>
        <v>16.88779528</v>
      </c>
      <c r="G3239" s="18">
        <f>E3239* 0.158017179670723</f>
        <v>3.634395132</v>
      </c>
      <c r="H3239" s="18">
        <f>E3239* 0.107551896921976</f>
        <v>2.473693629</v>
      </c>
    </row>
    <row r="3240" ht="15.75" hidden="1" customHeight="1">
      <c r="A3240" s="20" t="s">
        <v>224</v>
      </c>
      <c r="B3240" s="47" t="s">
        <v>271</v>
      </c>
      <c r="C3240" s="47"/>
      <c r="D3240" s="19" t="s">
        <v>21</v>
      </c>
      <c r="E3240" s="23">
        <v>1401.0</v>
      </c>
      <c r="F3240" s="18">
        <f>E3240* 0.999727092353423</f>
        <v>1400.617656</v>
      </c>
      <c r="G3240" s="18">
        <f>E3240* 0.0000516311763794744</f>
        <v>0.07233527811</v>
      </c>
      <c r="H3240" s="18">
        <f>E3240* 0.000132765882118648</f>
        <v>0.1860050008</v>
      </c>
    </row>
    <row r="3241" ht="15.75" hidden="1" customHeight="1">
      <c r="A3241" s="20" t="s">
        <v>224</v>
      </c>
      <c r="B3241" s="47" t="s">
        <v>271</v>
      </c>
      <c r="C3241" s="47"/>
      <c r="D3241" s="19" t="s">
        <v>36</v>
      </c>
      <c r="E3241" s="23">
        <v>9.0</v>
      </c>
      <c r="F3241" s="18">
        <f>E3241* 0.995894428152493</f>
        <v>8.963049853</v>
      </c>
      <c r="G3241" s="18">
        <f>E3241* 0.000586510263929619</f>
        <v>0.005278592375</v>
      </c>
      <c r="H3241" s="18">
        <f>E3241* 0.00351906158357771</f>
        <v>0.03167155425</v>
      </c>
    </row>
    <row r="3242" ht="15.75" hidden="1" customHeight="1">
      <c r="A3242" s="20" t="s">
        <v>224</v>
      </c>
      <c r="B3242" s="47" t="s">
        <v>271</v>
      </c>
      <c r="C3242" s="47"/>
      <c r="D3242" s="19" t="s">
        <v>37</v>
      </c>
      <c r="E3242" s="23">
        <v>1.0</v>
      </c>
      <c r="F3242" s="20">
        <v>0.0</v>
      </c>
      <c r="G3242" s="24">
        <f>E3242</f>
        <v>1</v>
      </c>
      <c r="H3242" s="20">
        <v>0.0</v>
      </c>
    </row>
    <row r="3243" ht="15.75" hidden="1" customHeight="1">
      <c r="A3243" s="20" t="s">
        <v>224</v>
      </c>
      <c r="B3243" s="47" t="s">
        <v>271</v>
      </c>
      <c r="C3243" s="47"/>
      <c r="D3243" s="19" t="s">
        <v>28</v>
      </c>
      <c r="E3243" s="23">
        <v>3.0</v>
      </c>
      <c r="F3243" s="18">
        <f>E3243* 0.00302222222222222</f>
        <v>0.009066666667</v>
      </c>
      <c r="G3243" s="18">
        <f>E3243* 0.996622222222222</f>
        <v>2.989866667</v>
      </c>
      <c r="H3243" s="18">
        <f>E3243* 0.000355555555555556</f>
        <v>0.001066666667</v>
      </c>
    </row>
    <row r="3244" ht="15.75" hidden="1" customHeight="1">
      <c r="A3244" s="20" t="s">
        <v>224</v>
      </c>
      <c r="B3244" s="47" t="s">
        <v>271</v>
      </c>
      <c r="C3244" s="47"/>
      <c r="D3244" s="19" t="s">
        <v>12</v>
      </c>
      <c r="E3244" s="23">
        <v>655.0</v>
      </c>
      <c r="F3244" s="18">
        <f>E3244* 0.802335182557089</f>
        <v>525.5295446</v>
      </c>
      <c r="G3244" s="18">
        <f>E3244* 0.124687137143594</f>
        <v>81.67007483</v>
      </c>
      <c r="H3244" s="18">
        <f>E3244* 0.0729583279576829</f>
        <v>47.78770481</v>
      </c>
    </row>
    <row r="3245" ht="15.75" hidden="1" customHeight="1">
      <c r="A3245" s="20" t="s">
        <v>224</v>
      </c>
      <c r="B3245" s="20"/>
      <c r="C3245" s="20"/>
      <c r="D3245" s="46"/>
      <c r="E3245" s="35"/>
    </row>
    <row r="3246" ht="15.75" hidden="1" customHeight="1">
      <c r="A3246" s="20" t="s">
        <v>224</v>
      </c>
      <c r="B3246" s="47" t="s">
        <v>272</v>
      </c>
      <c r="C3246" s="12" t="str">
        <f>B3246&amp;"_"&amp;A3246</f>
        <v>Warnes_Santa Cruz</v>
      </c>
      <c r="D3246" s="20"/>
      <c r="E3246" s="45">
        <v>84531.0</v>
      </c>
      <c r="F3246" s="14">
        <f t="shared" ref="F3246:H3246" si="271">SUM(F3247:F3261)</f>
        <v>71411.39793</v>
      </c>
      <c r="G3246" s="14">
        <f t="shared" si="271"/>
        <v>10781.20908</v>
      </c>
      <c r="H3246" s="14">
        <f t="shared" si="271"/>
        <v>2333.502881</v>
      </c>
    </row>
    <row r="3247" ht="15.75" hidden="1" customHeight="1">
      <c r="A3247" s="20" t="s">
        <v>224</v>
      </c>
      <c r="B3247" s="47" t="s">
        <v>272</v>
      </c>
      <c r="C3247" s="47"/>
      <c r="D3247" s="29" t="s">
        <v>684</v>
      </c>
      <c r="E3247" s="23">
        <v>8.0</v>
      </c>
      <c r="F3247" s="20">
        <v>0.0</v>
      </c>
      <c r="G3247" s="24">
        <f>E3247</f>
        <v>8</v>
      </c>
      <c r="H3247" s="20">
        <v>0.0</v>
      </c>
    </row>
    <row r="3248" ht="15.75" hidden="1" customHeight="1">
      <c r="A3248" s="20" t="s">
        <v>224</v>
      </c>
      <c r="B3248" s="47" t="s">
        <v>272</v>
      </c>
      <c r="C3248" s="47"/>
      <c r="D3248" s="19" t="s">
        <v>15</v>
      </c>
      <c r="E3248" s="23">
        <v>9670.0</v>
      </c>
      <c r="F3248" s="18">
        <f>E3248* 0.932303048052446</f>
        <v>9015.370475</v>
      </c>
      <c r="G3248" s="18">
        <f>E3248* 0.0217058280204555</f>
        <v>209.895357</v>
      </c>
      <c r="H3248" s="18">
        <f>E3248* 0.0459798598751943</f>
        <v>444.625245</v>
      </c>
    </row>
    <row r="3249" ht="15.75" hidden="1" customHeight="1">
      <c r="A3249" s="20" t="s">
        <v>224</v>
      </c>
      <c r="B3249" s="47" t="s">
        <v>272</v>
      </c>
      <c r="C3249" s="47"/>
      <c r="D3249" s="29" t="s">
        <v>685</v>
      </c>
      <c r="E3249" s="23">
        <v>411.0</v>
      </c>
      <c r="F3249" s="18">
        <f>E3249* 0.293894936109797</f>
        <v>120.7908187</v>
      </c>
      <c r="G3249" s="18">
        <f>E3249* 0.663038334122101</f>
        <v>272.5087553</v>
      </c>
      <c r="H3249" s="18">
        <f>E3249* 0.0430667297681022</f>
        <v>17.70042593</v>
      </c>
    </row>
    <row r="3250" ht="15.75" hidden="1" customHeight="1">
      <c r="A3250" s="20" t="s">
        <v>224</v>
      </c>
      <c r="B3250" s="47" t="s">
        <v>272</v>
      </c>
      <c r="C3250" s="47"/>
      <c r="D3250" s="19" t="s">
        <v>11</v>
      </c>
      <c r="E3250" s="23">
        <v>4614.0</v>
      </c>
      <c r="F3250" s="18">
        <f>E3250* 0.083479491676667</f>
        <v>385.1743746</v>
      </c>
      <c r="G3250" s="18">
        <f>E3250* 0.913505030924029</f>
        <v>4214.912213</v>
      </c>
      <c r="H3250" s="18">
        <f>E3250* 0.00292316686667282</f>
        <v>13.48749192</v>
      </c>
    </row>
    <row r="3251" ht="15.75" hidden="1" customHeight="1">
      <c r="A3251" s="20" t="s">
        <v>224</v>
      </c>
      <c r="B3251" s="47" t="s">
        <v>272</v>
      </c>
      <c r="C3251" s="47"/>
      <c r="D3251" s="19" t="s">
        <v>17</v>
      </c>
      <c r="E3251" s="23">
        <v>7259.0</v>
      </c>
      <c r="F3251" s="18">
        <f>E3251* 0.752045572242362</f>
        <v>5459.098809</v>
      </c>
      <c r="G3251" s="18">
        <f>E3251* 0.185827723114103</f>
        <v>1348.923442</v>
      </c>
      <c r="H3251" s="18">
        <f>E3251* 0.0620921802175039</f>
        <v>450.7271362</v>
      </c>
    </row>
    <row r="3252" ht="15.75" hidden="1" customHeight="1">
      <c r="A3252" s="20" t="s">
        <v>224</v>
      </c>
      <c r="B3252" s="47" t="s">
        <v>272</v>
      </c>
      <c r="C3252" s="47"/>
      <c r="D3252" s="19" t="s">
        <v>31</v>
      </c>
      <c r="E3252" s="23">
        <v>290.0</v>
      </c>
      <c r="F3252" s="18">
        <f>E3252* 0.929131175468484</f>
        <v>269.4480409</v>
      </c>
      <c r="G3252" s="18">
        <f>E3252* 0.0477001703577513</f>
        <v>13.8330494</v>
      </c>
      <c r="H3252" s="18">
        <f>E3252* 0.0231686541737649</f>
        <v>6.71890971</v>
      </c>
    </row>
    <row r="3253" ht="15.75" hidden="1" customHeight="1">
      <c r="A3253" s="20" t="s">
        <v>224</v>
      </c>
      <c r="B3253" s="47" t="s">
        <v>272</v>
      </c>
      <c r="C3253" s="47"/>
      <c r="D3253" s="19" t="s">
        <v>18</v>
      </c>
      <c r="E3253" s="23">
        <v>2170.0</v>
      </c>
      <c r="F3253" s="18">
        <f>E3253* 0.893702527830246</f>
        <v>1939.334485</v>
      </c>
      <c r="G3253" s="18">
        <f>E3253* 0.0946831169875015</f>
        <v>205.4623639</v>
      </c>
      <c r="H3253" s="18">
        <f>E3253* 0.0116143551822529</f>
        <v>25.20315075</v>
      </c>
    </row>
    <row r="3254" ht="15.75" hidden="1" customHeight="1">
      <c r="A3254" s="20" t="s">
        <v>224</v>
      </c>
      <c r="B3254" s="47" t="s">
        <v>272</v>
      </c>
      <c r="C3254" s="47"/>
      <c r="D3254" s="19" t="s">
        <v>19</v>
      </c>
      <c r="E3254" s="23">
        <v>526.0</v>
      </c>
      <c r="F3254" s="18">
        <f>E3254* 0.0299845873616365</f>
        <v>15.77189295</v>
      </c>
      <c r="G3254" s="18">
        <f>E3254* 0.96385035729298</f>
        <v>506.9852879</v>
      </c>
      <c r="H3254" s="18">
        <f>E3254* 0.00616505534538321</f>
        <v>3.242819112</v>
      </c>
    </row>
    <row r="3255" ht="15.75" hidden="1" customHeight="1">
      <c r="A3255" s="20" t="s">
        <v>224</v>
      </c>
      <c r="B3255" s="47" t="s">
        <v>272</v>
      </c>
      <c r="C3255" s="47"/>
      <c r="D3255" s="19" t="s">
        <v>20</v>
      </c>
      <c r="E3255" s="23">
        <v>1706.0</v>
      </c>
      <c r="F3255" s="18">
        <f>E3255* 0.734251968503937</f>
        <v>1252.633858</v>
      </c>
      <c r="G3255" s="18">
        <f>E3255* 0.158017179670723</f>
        <v>269.5773085</v>
      </c>
      <c r="H3255" s="18">
        <f>E3255* 0.107551896921976</f>
        <v>183.4835361</v>
      </c>
    </row>
    <row r="3256" ht="15.75" hidden="1" customHeight="1">
      <c r="A3256" s="20" t="s">
        <v>224</v>
      </c>
      <c r="B3256" s="47" t="s">
        <v>272</v>
      </c>
      <c r="C3256" s="47"/>
      <c r="D3256" s="19" t="s">
        <v>21</v>
      </c>
      <c r="E3256" s="23">
        <v>39388.0</v>
      </c>
      <c r="F3256" s="18">
        <f>E3256* 0.999727092353423</f>
        <v>39377.25071</v>
      </c>
      <c r="G3256" s="18">
        <f>E3256* 0.0000516311763794744</f>
        <v>2.033648775</v>
      </c>
      <c r="H3256" s="18">
        <f>E3256* 0.000132765882118648</f>
        <v>5.229382565</v>
      </c>
    </row>
    <row r="3257" ht="15.75" hidden="1" customHeight="1">
      <c r="A3257" s="20" t="s">
        <v>224</v>
      </c>
      <c r="B3257" s="47" t="s">
        <v>272</v>
      </c>
      <c r="C3257" s="47"/>
      <c r="D3257" s="19" t="s">
        <v>36</v>
      </c>
      <c r="E3257" s="23">
        <v>592.0</v>
      </c>
      <c r="F3257" s="18">
        <f>E3257* 0.995894428152493</f>
        <v>589.5695015</v>
      </c>
      <c r="G3257" s="18">
        <f>E3257* 0.000586510263929619</f>
        <v>0.3472140762</v>
      </c>
      <c r="H3257" s="18">
        <f>E3257* 0.00351906158357771</f>
        <v>2.083284457</v>
      </c>
    </row>
    <row r="3258" ht="15.75" hidden="1" customHeight="1">
      <c r="A3258" s="20" t="s">
        <v>224</v>
      </c>
      <c r="B3258" s="47" t="s">
        <v>272</v>
      </c>
      <c r="C3258" s="47"/>
      <c r="D3258" s="19" t="s">
        <v>37</v>
      </c>
      <c r="E3258" s="23">
        <v>2.0</v>
      </c>
      <c r="F3258" s="20">
        <v>0.0</v>
      </c>
      <c r="G3258" s="24">
        <f>E3258</f>
        <v>2</v>
      </c>
      <c r="H3258" s="20">
        <v>0.0</v>
      </c>
    </row>
    <row r="3259" ht="15.75" hidden="1" customHeight="1">
      <c r="A3259" s="20" t="s">
        <v>224</v>
      </c>
      <c r="B3259" s="47" t="s">
        <v>272</v>
      </c>
      <c r="C3259" s="47"/>
      <c r="D3259" s="19" t="s">
        <v>28</v>
      </c>
      <c r="E3259" s="23">
        <v>1712.0</v>
      </c>
      <c r="F3259" s="18">
        <f>E3259* 0.00302222222222222</f>
        <v>5.174044444</v>
      </c>
      <c r="G3259" s="18">
        <f>E3259* 0.996622222222222</f>
        <v>1706.217244</v>
      </c>
      <c r="H3259" s="18">
        <f>E3259* 0.000355555555555556</f>
        <v>0.6087111111</v>
      </c>
    </row>
    <row r="3260" ht="15.75" hidden="1" customHeight="1">
      <c r="A3260" s="20" t="s">
        <v>224</v>
      </c>
      <c r="B3260" s="47" t="s">
        <v>272</v>
      </c>
      <c r="C3260" s="47"/>
      <c r="D3260" s="19" t="s">
        <v>84</v>
      </c>
      <c r="E3260" s="23">
        <v>4.0</v>
      </c>
      <c r="F3260" s="20">
        <f>E3260*0.2</f>
        <v>0.8</v>
      </c>
      <c r="G3260" s="20">
        <f>E3260*0.8</f>
        <v>3.2</v>
      </c>
      <c r="H3260" s="20">
        <v>0.0</v>
      </c>
    </row>
    <row r="3261" ht="15.75" hidden="1" customHeight="1">
      <c r="A3261" s="20" t="s">
        <v>224</v>
      </c>
      <c r="B3261" s="47" t="s">
        <v>272</v>
      </c>
      <c r="C3261" s="47"/>
      <c r="D3261" s="19" t="s">
        <v>12</v>
      </c>
      <c r="E3261" s="23">
        <v>16179.0</v>
      </c>
      <c r="F3261" s="18">
        <f>E3261* 0.802335182557089</f>
        <v>12980.98092</v>
      </c>
      <c r="G3261" s="18">
        <f>E3261* 0.124687137143594</f>
        <v>2017.313192</v>
      </c>
      <c r="H3261" s="18">
        <f>E3261* 0.0729583279576829</f>
        <v>1180.392788</v>
      </c>
    </row>
    <row r="3262" ht="15.75" hidden="1" customHeight="1">
      <c r="A3262" s="20" t="s">
        <v>224</v>
      </c>
      <c r="B3262" s="20"/>
      <c r="C3262" s="20"/>
      <c r="D3262" s="46"/>
      <c r="E3262" s="35"/>
    </row>
    <row r="3263" ht="15.75" hidden="1" customHeight="1">
      <c r="A3263" s="20" t="s">
        <v>224</v>
      </c>
      <c r="B3263" s="47" t="s">
        <v>273</v>
      </c>
      <c r="C3263" s="12" t="str">
        <f>B3263&amp;"_"&amp;A3263</f>
        <v>Yapacaní_Santa Cruz</v>
      </c>
      <c r="D3263" s="20"/>
      <c r="E3263" s="45">
        <v>9223.0</v>
      </c>
      <c r="F3263" s="14">
        <f t="shared" ref="F3263:H3263" si="272">SUM(F3264:F3277)</f>
        <v>8263.768637</v>
      </c>
      <c r="G3263" s="14">
        <f t="shared" si="272"/>
        <v>789.8320569</v>
      </c>
      <c r="H3263" s="14">
        <f t="shared" si="272"/>
        <v>168.7475008</v>
      </c>
    </row>
    <row r="3264" ht="15.75" hidden="1" customHeight="1">
      <c r="A3264" s="20" t="s">
        <v>224</v>
      </c>
      <c r="B3264" s="47" t="s">
        <v>273</v>
      </c>
      <c r="C3264" s="47"/>
      <c r="D3264" s="29" t="s">
        <v>686</v>
      </c>
      <c r="E3264" s="23">
        <v>5.0</v>
      </c>
      <c r="F3264" s="20">
        <v>0.0</v>
      </c>
      <c r="G3264" s="24">
        <f>E3264</f>
        <v>5</v>
      </c>
      <c r="H3264" s="20">
        <v>0.0</v>
      </c>
    </row>
    <row r="3265" ht="15.75" hidden="1" customHeight="1">
      <c r="A3265" s="20" t="s">
        <v>224</v>
      </c>
      <c r="B3265" s="47" t="s">
        <v>273</v>
      </c>
      <c r="C3265" s="47"/>
      <c r="D3265" s="19" t="s">
        <v>15</v>
      </c>
      <c r="E3265" s="23">
        <v>162.0</v>
      </c>
      <c r="F3265" s="18">
        <f>E3265* 0.932303048052446</f>
        <v>151.0330938</v>
      </c>
      <c r="G3265" s="18">
        <f>E3265* 0.0217058280204555</f>
        <v>3.516344139</v>
      </c>
      <c r="H3265" s="18">
        <f>E3265* 0.0459798598751943</f>
        <v>7.4487373</v>
      </c>
    </row>
    <row r="3266" ht="15.75" hidden="1" customHeight="1">
      <c r="A3266" s="20" t="s">
        <v>224</v>
      </c>
      <c r="B3266" s="47" t="s">
        <v>273</v>
      </c>
      <c r="C3266" s="47"/>
      <c r="D3266" s="29" t="s">
        <v>687</v>
      </c>
      <c r="E3266" s="23">
        <v>8.0</v>
      </c>
      <c r="F3266" s="18">
        <f>E3266* 0.293894936109797</f>
        <v>2.351159489</v>
      </c>
      <c r="G3266" s="18">
        <f>E3266* 0.663038334122101</f>
        <v>5.304306673</v>
      </c>
      <c r="H3266" s="18">
        <f>E3266* 0.0430667297681022</f>
        <v>0.3445338381</v>
      </c>
    </row>
    <row r="3267" ht="15.75" hidden="1" customHeight="1">
      <c r="A3267" s="20" t="s">
        <v>224</v>
      </c>
      <c r="B3267" s="47" t="s">
        <v>273</v>
      </c>
      <c r="C3267" s="47"/>
      <c r="D3267" s="19" t="s">
        <v>11</v>
      </c>
      <c r="E3267" s="23">
        <v>422.0</v>
      </c>
      <c r="F3267" s="18">
        <f>E3267* 0.083479491676667</f>
        <v>35.22834549</v>
      </c>
      <c r="G3267" s="18">
        <f>E3267* 0.913505030924029</f>
        <v>385.499123</v>
      </c>
      <c r="H3267" s="18">
        <f>E3267* 0.00292316686667282</f>
        <v>1.233576418</v>
      </c>
    </row>
    <row r="3268" ht="15.75" hidden="1" customHeight="1">
      <c r="A3268" s="20" t="s">
        <v>224</v>
      </c>
      <c r="B3268" s="47" t="s">
        <v>273</v>
      </c>
      <c r="C3268" s="47"/>
      <c r="D3268" s="19" t="s">
        <v>17</v>
      </c>
      <c r="E3268" s="23">
        <v>424.0</v>
      </c>
      <c r="F3268" s="18">
        <f>E3268* 0.752045572242362</f>
        <v>318.8673226</v>
      </c>
      <c r="G3268" s="18">
        <f>E3268* 0.185827723114103</f>
        <v>78.7909546</v>
      </c>
      <c r="H3268" s="18">
        <f>E3268* 0.0620921802175039</f>
        <v>26.32708441</v>
      </c>
    </row>
    <row r="3269" ht="15.75" hidden="1" customHeight="1">
      <c r="A3269" s="20" t="s">
        <v>224</v>
      </c>
      <c r="B3269" s="47" t="s">
        <v>273</v>
      </c>
      <c r="C3269" s="47"/>
      <c r="D3269" s="19" t="s">
        <v>31</v>
      </c>
      <c r="E3269" s="23">
        <v>14.0</v>
      </c>
      <c r="F3269" s="18">
        <f>E3269* 0.929131175468484</f>
        <v>13.00783646</v>
      </c>
      <c r="G3269" s="18">
        <f>E3269* 0.0477001703577513</f>
        <v>0.667802385</v>
      </c>
      <c r="H3269" s="18">
        <f>E3269* 0.0231686541737649</f>
        <v>0.3243611584</v>
      </c>
    </row>
    <row r="3270" ht="15.75" hidden="1" customHeight="1">
      <c r="A3270" s="20" t="s">
        <v>224</v>
      </c>
      <c r="B3270" s="47" t="s">
        <v>273</v>
      </c>
      <c r="C3270" s="47"/>
      <c r="D3270" s="19" t="s">
        <v>18</v>
      </c>
      <c r="E3270" s="23">
        <v>79.0</v>
      </c>
      <c r="F3270" s="18">
        <f>E3270* 0.893702527830246</f>
        <v>70.6024997</v>
      </c>
      <c r="G3270" s="18">
        <f>E3270* 0.0946831169875015</f>
        <v>7.479966242</v>
      </c>
      <c r="H3270" s="18">
        <f>E3270* 0.0116143551822529</f>
        <v>0.9175340594</v>
      </c>
    </row>
    <row r="3271" ht="15.75" hidden="1" customHeight="1">
      <c r="A3271" s="20" t="s">
        <v>224</v>
      </c>
      <c r="B3271" s="47" t="s">
        <v>273</v>
      </c>
      <c r="C3271" s="47"/>
      <c r="D3271" s="29" t="s">
        <v>688</v>
      </c>
      <c r="E3271" s="23">
        <v>4.0</v>
      </c>
      <c r="F3271" s="20">
        <v>0.0</v>
      </c>
      <c r="G3271" s="24">
        <f>E3271</f>
        <v>4</v>
      </c>
      <c r="H3271" s="20">
        <v>0.0</v>
      </c>
    </row>
    <row r="3272" ht="15.75" hidden="1" customHeight="1">
      <c r="A3272" s="20" t="s">
        <v>224</v>
      </c>
      <c r="B3272" s="47" t="s">
        <v>273</v>
      </c>
      <c r="C3272" s="47"/>
      <c r="D3272" s="19" t="s">
        <v>19</v>
      </c>
      <c r="E3272" s="23">
        <v>11.0</v>
      </c>
      <c r="F3272" s="18">
        <f>E3272* 0.0299845873616365</f>
        <v>0.329830461</v>
      </c>
      <c r="G3272" s="18">
        <f>E3272* 0.96385035729298</f>
        <v>10.60235393</v>
      </c>
      <c r="H3272" s="18">
        <f>E3272* 0.00616505534538321</f>
        <v>0.0678156088</v>
      </c>
    </row>
    <row r="3273" ht="15.75" hidden="1" customHeight="1">
      <c r="A3273" s="20" t="s">
        <v>224</v>
      </c>
      <c r="B3273" s="47" t="s">
        <v>273</v>
      </c>
      <c r="C3273" s="47"/>
      <c r="D3273" s="19" t="s">
        <v>20</v>
      </c>
      <c r="E3273" s="23">
        <v>54.0</v>
      </c>
      <c r="F3273" s="18">
        <f>E3273* 0.734251968503937</f>
        <v>39.6496063</v>
      </c>
      <c r="G3273" s="18">
        <f>E3273* 0.158017179670723</f>
        <v>8.532927702</v>
      </c>
      <c r="H3273" s="18">
        <f>E3273* 0.107551896921976</f>
        <v>5.807802434</v>
      </c>
    </row>
    <row r="3274" ht="15.75" hidden="1" customHeight="1">
      <c r="A3274" s="20" t="s">
        <v>224</v>
      </c>
      <c r="B3274" s="47" t="s">
        <v>273</v>
      </c>
      <c r="C3274" s="47"/>
      <c r="D3274" s="19" t="s">
        <v>21</v>
      </c>
      <c r="E3274" s="23">
        <v>6253.0</v>
      </c>
      <c r="F3274" s="18">
        <f>E3274* 0.999727092353423</f>
        <v>6251.293508</v>
      </c>
      <c r="G3274" s="18">
        <f>E3274* 0.0000516311763794744</f>
        <v>0.3228497459</v>
      </c>
      <c r="H3274" s="18">
        <f>E3274* 0.000132765882118648</f>
        <v>0.8301850609</v>
      </c>
    </row>
    <row r="3275" ht="15.75" hidden="1" customHeight="1">
      <c r="A3275" s="20" t="s">
        <v>224</v>
      </c>
      <c r="B3275" s="47" t="s">
        <v>273</v>
      </c>
      <c r="C3275" s="47"/>
      <c r="D3275" s="19" t="s">
        <v>36</v>
      </c>
      <c r="E3275" s="23">
        <v>2.0</v>
      </c>
      <c r="F3275" s="18">
        <f>E3275* 0.995894428152493</f>
        <v>1.991788856</v>
      </c>
      <c r="G3275" s="18">
        <f>E3275* 0.000586510263929619</f>
        <v>0.001173020528</v>
      </c>
      <c r="H3275" s="18">
        <f>E3275* 0.00351906158357771</f>
        <v>0.007038123167</v>
      </c>
    </row>
    <row r="3276" ht="15.75" hidden="1" customHeight="1">
      <c r="A3276" s="20" t="s">
        <v>224</v>
      </c>
      <c r="B3276" s="47" t="s">
        <v>273</v>
      </c>
      <c r="C3276" s="47"/>
      <c r="D3276" s="19" t="s">
        <v>28</v>
      </c>
      <c r="E3276" s="23">
        <v>66.0</v>
      </c>
      <c r="F3276" s="18">
        <f>E3276* 0.00302222222222222</f>
        <v>0.1994666667</v>
      </c>
      <c r="G3276" s="18">
        <f>E3276* 0.996622222222222</f>
        <v>65.77706667</v>
      </c>
      <c r="H3276" s="18">
        <f>E3276* 0.000355555555555556</f>
        <v>0.02346666667</v>
      </c>
    </row>
    <row r="3277" ht="15.75" hidden="1" customHeight="1">
      <c r="A3277" s="20" t="s">
        <v>224</v>
      </c>
      <c r="B3277" s="47" t="s">
        <v>273</v>
      </c>
      <c r="C3277" s="47"/>
      <c r="D3277" s="50" t="s">
        <v>12</v>
      </c>
      <c r="E3277" s="27">
        <v>1719.0</v>
      </c>
      <c r="F3277" s="18">
        <f>E3277* 0.802335182557089</f>
        <v>1379.214179</v>
      </c>
      <c r="G3277" s="18">
        <f>E3277* 0.124687137143594</f>
        <v>214.3371887</v>
      </c>
      <c r="H3277" s="18">
        <f>E3277* 0.0729583279576829</f>
        <v>125.4153658</v>
      </c>
    </row>
    <row r="3278" ht="15.75" hidden="1" customHeight="1">
      <c r="A3278" s="20" t="s">
        <v>274</v>
      </c>
      <c r="B3278" s="47" t="s">
        <v>275</v>
      </c>
      <c r="C3278" s="12" t="str">
        <f>B3278&amp;"_"&amp;A3278</f>
        <v>Puerto Guayaramerín_Beni</v>
      </c>
      <c r="D3278" s="20"/>
      <c r="E3278" s="45">
        <v>6.0</v>
      </c>
      <c r="F3278" s="14">
        <f t="shared" ref="F3278:H3278" si="273">SUM(F3279:F3285)</f>
        <v>1.807994908</v>
      </c>
      <c r="G3278" s="14">
        <f t="shared" si="273"/>
        <v>4.126186867</v>
      </c>
      <c r="H3278" s="14">
        <f t="shared" si="273"/>
        <v>0.06581822477</v>
      </c>
    </row>
    <row r="3279" ht="15.75" hidden="1" customHeight="1">
      <c r="A3279" s="20" t="s">
        <v>274</v>
      </c>
      <c r="B3279" s="47" t="s">
        <v>275</v>
      </c>
      <c r="C3279" s="47"/>
      <c r="D3279" s="46" t="s">
        <v>15</v>
      </c>
      <c r="E3279" s="32">
        <v>0.0</v>
      </c>
      <c r="F3279" s="18">
        <f>E3279* 0.978622327790974</f>
        <v>0</v>
      </c>
      <c r="G3279" s="18">
        <f>E3279* 0.0130641330166271</f>
        <v>0</v>
      </c>
      <c r="H3279" s="18">
        <f>E3279* 0.00831353919239905</f>
        <v>0</v>
      </c>
    </row>
    <row r="3280" ht="15.75" hidden="1" customHeight="1">
      <c r="A3280" s="20" t="s">
        <v>274</v>
      </c>
      <c r="B3280" s="47" t="s">
        <v>275</v>
      </c>
      <c r="C3280" s="47"/>
      <c r="D3280" s="35" t="s">
        <v>689</v>
      </c>
      <c r="E3280" s="32">
        <v>0.0</v>
      </c>
      <c r="F3280" s="18">
        <f>E3280* 0.416666666666667</f>
        <v>0</v>
      </c>
      <c r="G3280" s="18">
        <f>E3280* 0.583333333333333</f>
        <v>0</v>
      </c>
      <c r="H3280" s="20">
        <v>0.0</v>
      </c>
    </row>
    <row r="3281" ht="15.75" hidden="1" customHeight="1">
      <c r="A3281" s="20" t="s">
        <v>274</v>
      </c>
      <c r="B3281" s="47" t="s">
        <v>275</v>
      </c>
      <c r="C3281" s="47"/>
      <c r="D3281" s="46" t="s">
        <v>11</v>
      </c>
      <c r="E3281" s="32">
        <v>4.0</v>
      </c>
      <c r="F3281" s="18">
        <f>E3281* 0.0786924939467312</f>
        <v>0.3147699758</v>
      </c>
      <c r="G3281" s="18">
        <f>E3281* 0.920096852300242</f>
        <v>3.680387409</v>
      </c>
      <c r="H3281" s="18">
        <f>E3281* 0.00121065375302663</f>
        <v>0.004842615012</v>
      </c>
    </row>
    <row r="3282" ht="15.75" hidden="1" customHeight="1">
      <c r="A3282" s="20" t="s">
        <v>274</v>
      </c>
      <c r="B3282" s="47" t="s">
        <v>275</v>
      </c>
      <c r="C3282" s="47"/>
      <c r="D3282" s="46" t="s">
        <v>17</v>
      </c>
      <c r="E3282" s="32">
        <v>2.0</v>
      </c>
      <c r="F3282" s="18">
        <f>E3282* 0.746612466124661</f>
        <v>1.493224932</v>
      </c>
      <c r="G3282" s="18">
        <f>E3282* 0.22289972899729</f>
        <v>0.445799458</v>
      </c>
      <c r="H3282" s="18">
        <f>E3282* 0.0304878048780488</f>
        <v>0.06097560976</v>
      </c>
    </row>
    <row r="3283" ht="15.75" hidden="1" customHeight="1">
      <c r="A3283" s="20" t="s">
        <v>274</v>
      </c>
      <c r="B3283" s="47" t="s">
        <v>275</v>
      </c>
      <c r="C3283" s="47"/>
      <c r="D3283" s="46" t="s">
        <v>18</v>
      </c>
      <c r="E3283" s="32">
        <v>0.0</v>
      </c>
      <c r="F3283" s="18">
        <f>E3283* 0.911111111111111</f>
        <v>0</v>
      </c>
      <c r="G3283" s="18">
        <f>E3283* 0.0820512820512821</f>
        <v>0</v>
      </c>
      <c r="H3283" s="18">
        <f>E3283* 0.00683760683760684</f>
        <v>0</v>
      </c>
    </row>
    <row r="3284" ht="15.75" hidden="1" customHeight="1">
      <c r="A3284" s="20" t="s">
        <v>274</v>
      </c>
      <c r="B3284" s="47" t="s">
        <v>275</v>
      </c>
      <c r="C3284" s="47"/>
      <c r="D3284" s="46" t="s">
        <v>21</v>
      </c>
      <c r="E3284" s="32">
        <v>0.0</v>
      </c>
      <c r="F3284" s="18">
        <f>E3284* 0.999082959420954</f>
        <v>0</v>
      </c>
      <c r="G3284" s="18">
        <f>E3284* 0.0000655028985032588</f>
        <v>0</v>
      </c>
      <c r="H3284" s="18">
        <f>E3284* 0.000360265941767923</f>
        <v>0</v>
      </c>
    </row>
    <row r="3285" ht="15.75" hidden="1" customHeight="1">
      <c r="A3285" s="20" t="s">
        <v>274</v>
      </c>
      <c r="B3285" s="47" t="s">
        <v>275</v>
      </c>
      <c r="C3285" s="47"/>
      <c r="D3285" s="46" t="s">
        <v>12</v>
      </c>
      <c r="E3285" s="32">
        <v>0.0</v>
      </c>
      <c r="F3285" s="18">
        <f>E3285* 0.8188894654904</f>
        <v>0</v>
      </c>
      <c r="G3285" s="18">
        <f>E3285* 0.155682407887909</f>
        <v>0</v>
      </c>
      <c r="H3285" s="18">
        <f>E3285* 0.0254281266216918</f>
        <v>0</v>
      </c>
    </row>
    <row r="3286" ht="15.75" hidden="1" customHeight="1">
      <c r="A3286" s="20" t="s">
        <v>274</v>
      </c>
      <c r="B3286" s="20"/>
      <c r="C3286" s="20"/>
      <c r="D3286" s="46"/>
      <c r="E3286" s="35"/>
    </row>
    <row r="3287" ht="15.75" hidden="1" customHeight="1">
      <c r="A3287" s="20" t="s">
        <v>274</v>
      </c>
      <c r="B3287" s="47" t="s">
        <v>276</v>
      </c>
      <c r="C3287" s="12" t="str">
        <f>B3287&amp;"_"&amp;A3287</f>
        <v>Puerto Rurrenabaque_Beni</v>
      </c>
      <c r="D3287" s="20"/>
      <c r="E3287" s="45">
        <v>1040.0</v>
      </c>
      <c r="F3287" s="14">
        <f t="shared" ref="F3287:H3287" si="274">SUM(F3288:F3297)</f>
        <v>1017.306084</v>
      </c>
      <c r="G3287" s="14">
        <f t="shared" si="274"/>
        <v>21.2567572</v>
      </c>
      <c r="H3287" s="14">
        <f t="shared" si="274"/>
        <v>0.9527646547</v>
      </c>
    </row>
    <row r="3288" ht="15.75" hidden="1" customHeight="1">
      <c r="A3288" s="20" t="s">
        <v>274</v>
      </c>
      <c r="B3288" s="47" t="s">
        <v>276</v>
      </c>
      <c r="C3288" s="47"/>
      <c r="D3288" s="35" t="s">
        <v>690</v>
      </c>
      <c r="E3288" s="32">
        <v>5.0</v>
      </c>
      <c r="F3288" s="20">
        <v>0.0</v>
      </c>
      <c r="G3288" s="24">
        <f>E3288</f>
        <v>5</v>
      </c>
      <c r="H3288" s="20">
        <v>0.0</v>
      </c>
    </row>
    <row r="3289" ht="15.75" hidden="1" customHeight="1">
      <c r="A3289" s="20" t="s">
        <v>274</v>
      </c>
      <c r="B3289" s="47" t="s">
        <v>276</v>
      </c>
      <c r="C3289" s="47"/>
      <c r="D3289" s="46" t="s">
        <v>15</v>
      </c>
      <c r="E3289" s="32">
        <v>3.0</v>
      </c>
      <c r="F3289" s="18">
        <f>E3289* 0.978622327790974</f>
        <v>2.935866983</v>
      </c>
      <c r="G3289" s="18">
        <f>E3289* 0.0130641330166271</f>
        <v>0.03919239905</v>
      </c>
      <c r="H3289" s="18">
        <f>E3289* 0.00831353919239905</f>
        <v>0.02494061758</v>
      </c>
    </row>
    <row r="3290" ht="15.75" hidden="1" customHeight="1">
      <c r="A3290" s="20" t="s">
        <v>274</v>
      </c>
      <c r="B3290" s="47" t="s">
        <v>276</v>
      </c>
      <c r="C3290" s="47"/>
      <c r="D3290" s="46" t="s">
        <v>11</v>
      </c>
      <c r="E3290" s="32">
        <v>12.0</v>
      </c>
      <c r="F3290" s="18">
        <f>E3290* 0.0786924939467312</f>
        <v>0.9443099274</v>
      </c>
      <c r="G3290" s="18">
        <f>E3290* 0.920096852300242</f>
        <v>11.04116223</v>
      </c>
      <c r="H3290" s="18">
        <f>E3290* 0.00121065375302663</f>
        <v>0.01452784504</v>
      </c>
    </row>
    <row r="3291" ht="15.75" hidden="1" customHeight="1">
      <c r="A3291" s="20" t="s">
        <v>274</v>
      </c>
      <c r="B3291" s="47" t="s">
        <v>276</v>
      </c>
      <c r="C3291" s="47"/>
      <c r="D3291" s="46" t="s">
        <v>17</v>
      </c>
      <c r="E3291" s="32">
        <v>4.0</v>
      </c>
      <c r="F3291" s="18">
        <f>E3291* 0.746612466124661</f>
        <v>2.986449864</v>
      </c>
      <c r="G3291" s="18">
        <f>E3291* 0.22289972899729</f>
        <v>0.891598916</v>
      </c>
      <c r="H3291" s="18">
        <f>E3291* 0.0304878048780488</f>
        <v>0.1219512195</v>
      </c>
    </row>
    <row r="3292" ht="15.75" hidden="1" customHeight="1">
      <c r="A3292" s="20" t="s">
        <v>274</v>
      </c>
      <c r="B3292" s="47" t="s">
        <v>276</v>
      </c>
      <c r="C3292" s="47"/>
      <c r="D3292" s="46" t="s">
        <v>31</v>
      </c>
      <c r="E3292" s="32">
        <v>1.0</v>
      </c>
      <c r="F3292" s="18">
        <f>E3292* 0.771428571428572</f>
        <v>0.7714285714</v>
      </c>
      <c r="G3292" s="18">
        <f>E3292* 0.228571428571429</f>
        <v>0.2285714286</v>
      </c>
      <c r="H3292" s="20">
        <v>0.0</v>
      </c>
    </row>
    <row r="3293" ht="15.75" hidden="1" customHeight="1">
      <c r="A3293" s="20" t="s">
        <v>274</v>
      </c>
      <c r="B3293" s="47" t="s">
        <v>276</v>
      </c>
      <c r="C3293" s="47"/>
      <c r="D3293" s="46" t="s">
        <v>18</v>
      </c>
      <c r="E3293" s="32">
        <v>8.0</v>
      </c>
      <c r="F3293" s="18">
        <f>E3293* 0.911111111111111</f>
        <v>7.288888889</v>
      </c>
      <c r="G3293" s="18">
        <f>E3293* 0.0820512820512821</f>
        <v>0.6564102564</v>
      </c>
      <c r="H3293" s="18">
        <f>E3293* 0.00683760683760684</f>
        <v>0.0547008547</v>
      </c>
    </row>
    <row r="3294" ht="15.75" hidden="1" customHeight="1">
      <c r="A3294" s="20" t="s">
        <v>274</v>
      </c>
      <c r="B3294" s="47" t="s">
        <v>276</v>
      </c>
      <c r="C3294" s="47"/>
      <c r="D3294" s="46" t="s">
        <v>21</v>
      </c>
      <c r="E3294" s="32">
        <v>986.0</v>
      </c>
      <c r="F3294" s="18">
        <f>E3294* 0.999082959420954</f>
        <v>985.095798</v>
      </c>
      <c r="G3294" s="18">
        <f>E3294* 0.0000655028985032588</f>
        <v>0.06458585792</v>
      </c>
      <c r="H3294" s="18">
        <f>E3294* 0.000360265941767923</f>
        <v>0.3552222186</v>
      </c>
    </row>
    <row r="3295" ht="15.75" hidden="1" customHeight="1">
      <c r="A3295" s="20" t="s">
        <v>274</v>
      </c>
      <c r="B3295" s="47" t="s">
        <v>276</v>
      </c>
      <c r="C3295" s="47"/>
      <c r="D3295" s="46" t="s">
        <v>36</v>
      </c>
      <c r="E3295" s="32">
        <v>5.0</v>
      </c>
      <c r="F3295" s="24">
        <f>E3295</f>
        <v>5</v>
      </c>
      <c r="G3295" s="20">
        <v>0.0</v>
      </c>
      <c r="H3295" s="20">
        <v>0.0</v>
      </c>
    </row>
    <row r="3296" ht="15.75" hidden="1" customHeight="1">
      <c r="A3296" s="20" t="s">
        <v>274</v>
      </c>
      <c r="B3296" s="47" t="s">
        <v>276</v>
      </c>
      <c r="C3296" s="47"/>
      <c r="D3296" s="46" t="s">
        <v>84</v>
      </c>
      <c r="E3296" s="32">
        <v>1.0</v>
      </c>
      <c r="F3296" s="20">
        <v>0.0</v>
      </c>
      <c r="G3296" s="24">
        <f>E3296</f>
        <v>1</v>
      </c>
      <c r="H3296" s="20">
        <v>0.0</v>
      </c>
    </row>
    <row r="3297" ht="15.75" hidden="1" customHeight="1">
      <c r="A3297" s="20" t="s">
        <v>274</v>
      </c>
      <c r="B3297" s="47" t="s">
        <v>276</v>
      </c>
      <c r="C3297" s="47"/>
      <c r="D3297" s="46" t="s">
        <v>12</v>
      </c>
      <c r="E3297" s="32">
        <v>15.0</v>
      </c>
      <c r="F3297" s="18">
        <f>E3297* 0.8188894654904</f>
        <v>12.28334198</v>
      </c>
      <c r="G3297" s="18">
        <f>E3297* 0.155682407887909</f>
        <v>2.335236118</v>
      </c>
      <c r="H3297" s="18">
        <f>E3297* 0.0254281266216918</f>
        <v>0.3814218993</v>
      </c>
    </row>
    <row r="3298" ht="15.75" hidden="1" customHeight="1">
      <c r="A3298" s="20" t="s">
        <v>274</v>
      </c>
      <c r="B3298" s="20"/>
      <c r="C3298" s="20"/>
      <c r="D3298" s="46"/>
      <c r="E3298" s="35"/>
    </row>
    <row r="3299" ht="15.75" hidden="1" customHeight="1">
      <c r="A3299" s="20" t="s">
        <v>274</v>
      </c>
      <c r="B3299" s="47" t="s">
        <v>277</v>
      </c>
      <c r="C3299" s="12" t="str">
        <f>B3299&amp;"_"&amp;A3299</f>
        <v>Riberalta_Beni</v>
      </c>
      <c r="D3299" s="20"/>
      <c r="E3299" s="45">
        <v>6592.0</v>
      </c>
      <c r="F3299" s="14">
        <f t="shared" ref="F3299:H3299" si="275">SUM(F3300:F3311)</f>
        <v>6408.373221</v>
      </c>
      <c r="G3299" s="14">
        <f t="shared" si="275"/>
        <v>170.1716474</v>
      </c>
      <c r="H3299" s="14">
        <f t="shared" si="275"/>
        <v>10.44363622</v>
      </c>
    </row>
    <row r="3300" ht="15.75" hidden="1" customHeight="1">
      <c r="A3300" s="20" t="s">
        <v>274</v>
      </c>
      <c r="B3300" s="47" t="s">
        <v>277</v>
      </c>
      <c r="C3300" s="47"/>
      <c r="D3300" s="46" t="s">
        <v>15</v>
      </c>
      <c r="E3300" s="32">
        <v>32.0</v>
      </c>
      <c r="F3300" s="18">
        <f>E3300* 0.978622327790974</f>
        <v>31.31591449</v>
      </c>
      <c r="G3300" s="18">
        <f>E3300* 0.0130641330166271</f>
        <v>0.4180522565</v>
      </c>
      <c r="H3300" s="18">
        <f>E3300* 0.00831353919239905</f>
        <v>0.2660332542</v>
      </c>
    </row>
    <row r="3301" ht="15.75" hidden="1" customHeight="1">
      <c r="A3301" s="20" t="s">
        <v>274</v>
      </c>
      <c r="B3301" s="47" t="s">
        <v>277</v>
      </c>
      <c r="C3301" s="47"/>
      <c r="D3301" s="35" t="s">
        <v>691</v>
      </c>
      <c r="E3301" s="32">
        <v>3.0</v>
      </c>
      <c r="F3301" s="18">
        <f>E3301* 0.416666666666667</f>
        <v>1.25</v>
      </c>
      <c r="G3301" s="18">
        <f>E3301* 0.583333333333333</f>
        <v>1.75</v>
      </c>
      <c r="H3301" s="20">
        <v>0.0</v>
      </c>
    </row>
    <row r="3302" ht="15.75" hidden="1" customHeight="1">
      <c r="A3302" s="20" t="s">
        <v>274</v>
      </c>
      <c r="B3302" s="47" t="s">
        <v>277</v>
      </c>
      <c r="C3302" s="47"/>
      <c r="D3302" s="46" t="s">
        <v>11</v>
      </c>
      <c r="E3302" s="32">
        <v>106.0</v>
      </c>
      <c r="F3302" s="18">
        <f>E3302* 0.0786924939467312</f>
        <v>8.341404358</v>
      </c>
      <c r="G3302" s="18">
        <f>E3302* 0.920096852300242</f>
        <v>97.53026634</v>
      </c>
      <c r="H3302" s="18">
        <f>E3302* 0.00121065375302663</f>
        <v>0.1283292978</v>
      </c>
    </row>
    <row r="3303" ht="15.75" hidden="1" customHeight="1">
      <c r="A3303" s="20" t="s">
        <v>274</v>
      </c>
      <c r="B3303" s="47" t="s">
        <v>277</v>
      </c>
      <c r="C3303" s="47"/>
      <c r="D3303" s="46" t="s">
        <v>17</v>
      </c>
      <c r="E3303" s="32">
        <v>166.0</v>
      </c>
      <c r="F3303" s="18">
        <f>E3303* 0.746612466124661</f>
        <v>123.9376694</v>
      </c>
      <c r="G3303" s="18">
        <f>E3303* 0.22289972899729</f>
        <v>37.00135501</v>
      </c>
      <c r="H3303" s="18">
        <f>E3303* 0.0304878048780488</f>
        <v>5.06097561</v>
      </c>
    </row>
    <row r="3304" ht="15.75" hidden="1" customHeight="1">
      <c r="A3304" s="20" t="s">
        <v>274</v>
      </c>
      <c r="B3304" s="47" t="s">
        <v>277</v>
      </c>
      <c r="C3304" s="47"/>
      <c r="D3304" s="46" t="s">
        <v>31</v>
      </c>
      <c r="E3304" s="32">
        <v>3.0</v>
      </c>
      <c r="F3304" s="18">
        <f>E3304* 0.771428571428572</f>
        <v>2.314285714</v>
      </c>
      <c r="G3304" s="18">
        <f>E3304* 0.228571428571429</f>
        <v>0.6857142857</v>
      </c>
      <c r="H3304" s="20">
        <v>0.0</v>
      </c>
    </row>
    <row r="3305" ht="15.75" hidden="1" customHeight="1">
      <c r="A3305" s="20" t="s">
        <v>274</v>
      </c>
      <c r="B3305" s="47" t="s">
        <v>277</v>
      </c>
      <c r="C3305" s="47"/>
      <c r="D3305" s="46" t="s">
        <v>18</v>
      </c>
      <c r="E3305" s="32">
        <v>22.0</v>
      </c>
      <c r="F3305" s="18">
        <f>E3305* 0.911111111111111</f>
        <v>20.04444444</v>
      </c>
      <c r="G3305" s="18">
        <f>E3305* 0.0820512820512821</f>
        <v>1.805128205</v>
      </c>
      <c r="H3305" s="18">
        <f>E3305* 0.00683760683760684</f>
        <v>0.1504273504</v>
      </c>
    </row>
    <row r="3306" ht="15.75" hidden="1" customHeight="1">
      <c r="A3306" s="20" t="s">
        <v>274</v>
      </c>
      <c r="B3306" s="47" t="s">
        <v>277</v>
      </c>
      <c r="C3306" s="47"/>
      <c r="D3306" s="35" t="s">
        <v>692</v>
      </c>
      <c r="E3306" s="32">
        <v>1.0</v>
      </c>
      <c r="F3306" s="20">
        <v>0.0</v>
      </c>
      <c r="G3306" s="24">
        <f>E3306</f>
        <v>1</v>
      </c>
      <c r="H3306" s="20">
        <v>0.0</v>
      </c>
    </row>
    <row r="3307" ht="15.75" hidden="1" customHeight="1">
      <c r="A3307" s="20" t="s">
        <v>274</v>
      </c>
      <c r="B3307" s="47" t="s">
        <v>277</v>
      </c>
      <c r="C3307" s="47"/>
      <c r="D3307" s="46" t="s">
        <v>20</v>
      </c>
      <c r="E3307" s="32">
        <v>9.0</v>
      </c>
      <c r="F3307" s="18">
        <f>E3307* 0.454545454545455</f>
        <v>4.090909091</v>
      </c>
      <c r="G3307" s="18">
        <f>E3307* 0.507575757575758</f>
        <v>4.568181818</v>
      </c>
      <c r="H3307" s="18">
        <f>E3307* 0.0378787878787879</f>
        <v>0.3409090909</v>
      </c>
    </row>
    <row r="3308" ht="15.75" hidden="1" customHeight="1">
      <c r="A3308" s="20" t="s">
        <v>274</v>
      </c>
      <c r="B3308" s="47" t="s">
        <v>277</v>
      </c>
      <c r="C3308" s="47"/>
      <c r="D3308" s="46" t="s">
        <v>21</v>
      </c>
      <c r="E3308" s="32">
        <v>6130.0</v>
      </c>
      <c r="F3308" s="18">
        <f>E3308* 0.999082959420954</f>
        <v>6124.378541</v>
      </c>
      <c r="G3308" s="18">
        <f>E3308* 0.0000655028985032588</f>
        <v>0.4015327678</v>
      </c>
      <c r="H3308" s="18">
        <f>E3308* 0.000360265941767923</f>
        <v>2.208430223</v>
      </c>
    </row>
    <row r="3309" ht="15.75" hidden="1" customHeight="1">
      <c r="A3309" s="20" t="s">
        <v>274</v>
      </c>
      <c r="B3309" s="47" t="s">
        <v>277</v>
      </c>
      <c r="C3309" s="47"/>
      <c r="D3309" s="46" t="s">
        <v>36</v>
      </c>
      <c r="E3309" s="32">
        <v>19.0</v>
      </c>
      <c r="F3309" s="24">
        <f>E3309</f>
        <v>19</v>
      </c>
      <c r="G3309" s="20">
        <v>0.0</v>
      </c>
      <c r="H3309" s="20">
        <v>0.0</v>
      </c>
    </row>
    <row r="3310" ht="15.75" hidden="1" customHeight="1">
      <c r="A3310" s="20" t="s">
        <v>274</v>
      </c>
      <c r="B3310" s="47" t="s">
        <v>277</v>
      </c>
      <c r="C3310" s="47"/>
      <c r="D3310" s="46" t="s">
        <v>28</v>
      </c>
      <c r="E3310" s="32">
        <v>11.0</v>
      </c>
      <c r="F3310" s="20">
        <v>0.0</v>
      </c>
      <c r="G3310" s="24">
        <f>E3310</f>
        <v>11</v>
      </c>
      <c r="H3310" s="20">
        <v>0.0</v>
      </c>
    </row>
    <row r="3311" ht="15.75" hidden="1" customHeight="1">
      <c r="A3311" s="20" t="s">
        <v>274</v>
      </c>
      <c r="B3311" s="47" t="s">
        <v>277</v>
      </c>
      <c r="C3311" s="47"/>
      <c r="D3311" s="46" t="s">
        <v>12</v>
      </c>
      <c r="E3311" s="32">
        <v>90.0</v>
      </c>
      <c r="F3311" s="18">
        <f>E3311* 0.8188894654904</f>
        <v>73.70005189</v>
      </c>
      <c r="G3311" s="18">
        <f>E3311* 0.155682407887909</f>
        <v>14.01141671</v>
      </c>
      <c r="H3311" s="18">
        <f>E3311* 0.0254281266216918</f>
        <v>2.288531396</v>
      </c>
    </row>
    <row r="3312" ht="15.75" hidden="1" customHeight="1">
      <c r="A3312" s="20" t="s">
        <v>274</v>
      </c>
      <c r="B3312" s="20"/>
      <c r="C3312" s="20"/>
      <c r="D3312" s="46"/>
      <c r="E3312" s="35"/>
    </row>
    <row r="3313" ht="15.75" hidden="1" customHeight="1">
      <c r="A3313" s="20" t="s">
        <v>274</v>
      </c>
      <c r="B3313" s="47" t="s">
        <v>693</v>
      </c>
      <c r="C3313" s="12" t="str">
        <f>B3313&amp;"_"&amp;A3313</f>
        <v>San Andrés_Beni</v>
      </c>
      <c r="D3313" s="20"/>
      <c r="E3313" s="45">
        <v>835.0</v>
      </c>
      <c r="F3313" s="14">
        <f t="shared" ref="F3313:H3313" si="276">SUM(F3314:F3319)</f>
        <v>831.3626281</v>
      </c>
      <c r="G3313" s="14">
        <f t="shared" si="276"/>
        <v>2.700265731</v>
      </c>
      <c r="H3313" s="14">
        <f t="shared" si="276"/>
        <v>0.5347546228</v>
      </c>
    </row>
    <row r="3314" ht="15.75" hidden="1" customHeight="1">
      <c r="A3314" s="20" t="s">
        <v>274</v>
      </c>
      <c r="B3314" s="47" t="s">
        <v>693</v>
      </c>
      <c r="C3314" s="47"/>
      <c r="D3314" s="46" t="s">
        <v>17</v>
      </c>
      <c r="E3314" s="32">
        <v>1.0</v>
      </c>
      <c r="F3314" s="18">
        <f>E3314* 0.746612466124661</f>
        <v>0.7466124661</v>
      </c>
      <c r="G3314" s="18">
        <f>E3314* 0.22289972899729</f>
        <v>0.222899729</v>
      </c>
      <c r="H3314" s="18">
        <f>E3314* 0.0304878048780488</f>
        <v>0.03048780488</v>
      </c>
    </row>
    <row r="3315" ht="15.75" hidden="1" customHeight="1">
      <c r="A3315" s="20" t="s">
        <v>274</v>
      </c>
      <c r="B3315" s="47" t="s">
        <v>693</v>
      </c>
      <c r="C3315" s="47"/>
      <c r="D3315" s="46" t="s">
        <v>18</v>
      </c>
      <c r="E3315" s="32">
        <v>1.0</v>
      </c>
      <c r="F3315" s="18">
        <f>E3315* 0.911111111111111</f>
        <v>0.9111111111</v>
      </c>
      <c r="G3315" s="18">
        <f>E3315* 0.0820512820512821</f>
        <v>0.08205128205</v>
      </c>
      <c r="H3315" s="18">
        <f>E3315* 0.00683760683760684</f>
        <v>0.006837606838</v>
      </c>
    </row>
    <row r="3316" ht="15.75" hidden="1" customHeight="1">
      <c r="A3316" s="20" t="s">
        <v>274</v>
      </c>
      <c r="B3316" s="47" t="s">
        <v>693</v>
      </c>
      <c r="C3316" s="47"/>
      <c r="D3316" s="46" t="s">
        <v>20</v>
      </c>
      <c r="E3316" s="32">
        <v>4.0</v>
      </c>
      <c r="F3316" s="18">
        <f>E3316* 0.454545454545455</f>
        <v>1.818181818</v>
      </c>
      <c r="G3316" s="18">
        <f>E3316* 0.507575757575758</f>
        <v>2.03030303</v>
      </c>
      <c r="H3316" s="18">
        <f>E3316* 0.0378787878787879</f>
        <v>0.1515151515</v>
      </c>
    </row>
    <row r="3317" ht="15.75" hidden="1" customHeight="1">
      <c r="A3317" s="20" t="s">
        <v>274</v>
      </c>
      <c r="B3317" s="47" t="s">
        <v>693</v>
      </c>
      <c r="C3317" s="47"/>
      <c r="D3317" s="46" t="s">
        <v>21</v>
      </c>
      <c r="E3317" s="32">
        <v>819.0</v>
      </c>
      <c r="F3317" s="18">
        <f>E3317* 0.999082959420954</f>
        <v>818.2489438</v>
      </c>
      <c r="G3317" s="18">
        <f>E3317* 0.0000655028985032588</f>
        <v>0.05364687387</v>
      </c>
      <c r="H3317" s="18">
        <f>E3317* 0.000360265941767923</f>
        <v>0.2950578063</v>
      </c>
    </row>
    <row r="3318" ht="15.75" hidden="1" customHeight="1">
      <c r="A3318" s="20" t="s">
        <v>274</v>
      </c>
      <c r="B3318" s="47" t="s">
        <v>693</v>
      </c>
      <c r="C3318" s="47"/>
      <c r="D3318" s="46" t="s">
        <v>36</v>
      </c>
      <c r="E3318" s="32">
        <v>8.0</v>
      </c>
      <c r="F3318" s="24">
        <f>E3318</f>
        <v>8</v>
      </c>
      <c r="G3318" s="20">
        <v>0.0</v>
      </c>
      <c r="H3318" s="20">
        <v>0.0</v>
      </c>
    </row>
    <row r="3319" ht="15.75" hidden="1" customHeight="1">
      <c r="A3319" s="20" t="s">
        <v>274</v>
      </c>
      <c r="B3319" s="47" t="s">
        <v>693</v>
      </c>
      <c r="C3319" s="47"/>
      <c r="D3319" s="46" t="s">
        <v>12</v>
      </c>
      <c r="E3319" s="32">
        <v>2.0</v>
      </c>
      <c r="F3319" s="18">
        <f>E3319* 0.8188894654904</f>
        <v>1.637778931</v>
      </c>
      <c r="G3319" s="18">
        <f>E3319* 0.155682407887909</f>
        <v>0.3113648158</v>
      </c>
      <c r="H3319" s="18">
        <f>E3319* 0.0254281266216918</f>
        <v>0.05085625324</v>
      </c>
    </row>
    <row r="3320" ht="15.75" hidden="1" customHeight="1">
      <c r="A3320" s="20" t="s">
        <v>274</v>
      </c>
      <c r="B3320" s="20"/>
      <c r="C3320" s="20"/>
      <c r="D3320" s="46"/>
      <c r="E3320" s="35"/>
    </row>
    <row r="3321" ht="15.75" hidden="1" customHeight="1">
      <c r="A3321" s="20" t="s">
        <v>274</v>
      </c>
      <c r="B3321" s="47" t="s">
        <v>278</v>
      </c>
      <c r="C3321" s="12" t="str">
        <f>B3321&amp;"_"&amp;A3321</f>
        <v>San Borja_Beni</v>
      </c>
      <c r="D3321" s="20"/>
      <c r="E3321" s="45">
        <v>468.0</v>
      </c>
      <c r="F3321" s="14">
        <f t="shared" ref="F3321:H3321" si="277">SUM(F3322:F3331)</f>
        <v>441.3618413</v>
      </c>
      <c r="G3321" s="14">
        <f t="shared" si="277"/>
        <v>25.41660019</v>
      </c>
      <c r="H3321" s="14">
        <f t="shared" si="277"/>
        <v>1.020137061</v>
      </c>
    </row>
    <row r="3322" ht="15.75" hidden="1" customHeight="1">
      <c r="A3322" s="20" t="s">
        <v>274</v>
      </c>
      <c r="B3322" s="47" t="s">
        <v>278</v>
      </c>
      <c r="C3322" s="47"/>
      <c r="D3322" s="35" t="s">
        <v>694</v>
      </c>
      <c r="E3322" s="32">
        <v>3.0</v>
      </c>
      <c r="F3322" s="20">
        <v>0.0</v>
      </c>
      <c r="G3322" s="24">
        <f>E3322</f>
        <v>3</v>
      </c>
      <c r="H3322" s="20">
        <v>0.0</v>
      </c>
    </row>
    <row r="3323" ht="15.75" hidden="1" customHeight="1">
      <c r="A3323" s="20" t="s">
        <v>274</v>
      </c>
      <c r="B3323" s="47" t="s">
        <v>278</v>
      </c>
      <c r="C3323" s="47"/>
      <c r="D3323" s="35" t="s">
        <v>695</v>
      </c>
      <c r="E3323" s="32">
        <v>0.0</v>
      </c>
      <c r="F3323" s="18">
        <f>E3323* 0.416666666666667</f>
        <v>0</v>
      </c>
      <c r="G3323" s="18">
        <f>E3323* 0.583333333333333</f>
        <v>0</v>
      </c>
      <c r="H3323" s="20">
        <v>0.0</v>
      </c>
    </row>
    <row r="3324" ht="15.75" hidden="1" customHeight="1">
      <c r="A3324" s="20" t="s">
        <v>274</v>
      </c>
      <c r="B3324" s="47" t="s">
        <v>278</v>
      </c>
      <c r="C3324" s="47"/>
      <c r="D3324" s="46" t="s">
        <v>11</v>
      </c>
      <c r="E3324" s="32">
        <v>18.0</v>
      </c>
      <c r="F3324" s="18">
        <f>E3324* 0.0786924939467312</f>
        <v>1.416464891</v>
      </c>
      <c r="G3324" s="18">
        <f>E3324* 0.920096852300242</f>
        <v>16.56174334</v>
      </c>
      <c r="H3324" s="18">
        <f>E3324* 0.00121065375302663</f>
        <v>0.02179176755</v>
      </c>
    </row>
    <row r="3325" ht="15.75" hidden="1" customHeight="1">
      <c r="A3325" s="20" t="s">
        <v>274</v>
      </c>
      <c r="B3325" s="47" t="s">
        <v>278</v>
      </c>
      <c r="C3325" s="47"/>
      <c r="D3325" s="46" t="s">
        <v>17</v>
      </c>
      <c r="E3325" s="32">
        <v>16.0</v>
      </c>
      <c r="F3325" s="18">
        <f>E3325* 0.746612466124661</f>
        <v>11.94579946</v>
      </c>
      <c r="G3325" s="18">
        <f>E3325* 0.22289972899729</f>
        <v>3.566395664</v>
      </c>
      <c r="H3325" s="18">
        <f>E3325* 0.0304878048780488</f>
        <v>0.487804878</v>
      </c>
    </row>
    <row r="3326" ht="15.75" hidden="1" customHeight="1">
      <c r="A3326" s="20" t="s">
        <v>274</v>
      </c>
      <c r="B3326" s="47" t="s">
        <v>278</v>
      </c>
      <c r="C3326" s="47"/>
      <c r="D3326" s="46" t="s">
        <v>31</v>
      </c>
      <c r="E3326" s="32">
        <v>0.0</v>
      </c>
      <c r="F3326" s="18">
        <f>E3326* 0.771428571428572</f>
        <v>0</v>
      </c>
      <c r="G3326" s="18">
        <f>E3326* 0.228571428571429</f>
        <v>0</v>
      </c>
      <c r="H3326" s="20">
        <v>0.0</v>
      </c>
    </row>
    <row r="3327" ht="15.75" hidden="1" customHeight="1">
      <c r="A3327" s="20" t="s">
        <v>274</v>
      </c>
      <c r="B3327" s="47" t="s">
        <v>278</v>
      </c>
      <c r="C3327" s="47"/>
      <c r="D3327" s="46" t="s">
        <v>18</v>
      </c>
      <c r="E3327" s="32">
        <v>1.0</v>
      </c>
      <c r="F3327" s="18">
        <f>E3327* 0.911111111111111</f>
        <v>0.9111111111</v>
      </c>
      <c r="G3327" s="18">
        <f>E3327* 0.0820512820512821</f>
        <v>0.08205128205</v>
      </c>
      <c r="H3327" s="18">
        <f>E3327* 0.00683760683760684</f>
        <v>0.006837606838</v>
      </c>
    </row>
    <row r="3328" ht="15.75" hidden="1" customHeight="1">
      <c r="A3328" s="20" t="s">
        <v>274</v>
      </c>
      <c r="B3328" s="47" t="s">
        <v>278</v>
      </c>
      <c r="C3328" s="47"/>
      <c r="D3328" s="46" t="s">
        <v>20</v>
      </c>
      <c r="E3328" s="35"/>
      <c r="F3328" s="18">
        <f>E3328* 0.454545454545455</f>
        <v>0</v>
      </c>
      <c r="G3328" s="18">
        <f>E3328* 0.507575757575758</f>
        <v>0</v>
      </c>
      <c r="H3328" s="18">
        <f>E3328* 0.0378787878787879</f>
        <v>0</v>
      </c>
    </row>
    <row r="3329" ht="15.75" hidden="1" customHeight="1">
      <c r="A3329" s="20" t="s">
        <v>274</v>
      </c>
      <c r="B3329" s="47" t="s">
        <v>278</v>
      </c>
      <c r="C3329" s="47"/>
      <c r="D3329" s="46" t="s">
        <v>21</v>
      </c>
      <c r="E3329" s="32">
        <v>410.0</v>
      </c>
      <c r="F3329" s="18">
        <f>E3329* 0.999082959420954</f>
        <v>409.6240134</v>
      </c>
      <c r="G3329" s="18">
        <f>E3329* 0.0000655028985032588</f>
        <v>0.02685618839</v>
      </c>
      <c r="H3329" s="18">
        <f>E3329* 0.000360265941767923</f>
        <v>0.1477090361</v>
      </c>
    </row>
    <row r="3330" ht="15.75" hidden="1" customHeight="1">
      <c r="A3330" s="20" t="s">
        <v>274</v>
      </c>
      <c r="B3330" s="47" t="s">
        <v>278</v>
      </c>
      <c r="C3330" s="47"/>
      <c r="D3330" s="46" t="s">
        <v>36</v>
      </c>
      <c r="E3330" s="32">
        <v>6.0</v>
      </c>
      <c r="F3330" s="24">
        <f>E3330</f>
        <v>6</v>
      </c>
      <c r="G3330" s="20">
        <v>0.0</v>
      </c>
      <c r="H3330" s="20">
        <v>0.0</v>
      </c>
    </row>
    <row r="3331" ht="15.75" hidden="1" customHeight="1">
      <c r="A3331" s="20" t="s">
        <v>274</v>
      </c>
      <c r="B3331" s="47" t="s">
        <v>278</v>
      </c>
      <c r="C3331" s="47"/>
      <c r="D3331" s="46" t="s">
        <v>12</v>
      </c>
      <c r="E3331" s="32">
        <v>14.0</v>
      </c>
      <c r="F3331" s="18">
        <f>E3331* 0.8188894654904</f>
        <v>11.46445252</v>
      </c>
      <c r="G3331" s="18">
        <f>E3331* 0.155682407887909</f>
        <v>2.17955371</v>
      </c>
      <c r="H3331" s="18">
        <f>E3331* 0.0254281266216918</f>
        <v>0.3559937727</v>
      </c>
    </row>
    <row r="3332" ht="15.75" hidden="1" customHeight="1">
      <c r="A3332" s="20" t="s">
        <v>274</v>
      </c>
      <c r="B3332" s="20"/>
      <c r="C3332" s="20"/>
      <c r="D3332" s="46"/>
      <c r="E3332" s="35"/>
    </row>
    <row r="3333" ht="15.75" hidden="1" customHeight="1">
      <c r="A3333" s="20" t="s">
        <v>274</v>
      </c>
      <c r="B3333" s="47" t="s">
        <v>279</v>
      </c>
      <c r="C3333" s="12" t="str">
        <f>B3333&amp;"_"&amp;A3333</f>
        <v>San Ignacio (Beni)_Beni</v>
      </c>
      <c r="D3333" s="20"/>
      <c r="E3333" s="45">
        <v>1.0</v>
      </c>
      <c r="F3333" s="14">
        <f t="shared" ref="F3333:H3333" si="278">SUM(F3334:F3335)</f>
        <v>0.9990829594</v>
      </c>
      <c r="G3333" s="14">
        <f t="shared" si="278"/>
        <v>0.0000655028985</v>
      </c>
      <c r="H3333" s="14">
        <f t="shared" si="278"/>
        <v>0.0003602659418</v>
      </c>
    </row>
    <row r="3334" ht="15.75" hidden="1" customHeight="1">
      <c r="A3334" s="20" t="s">
        <v>274</v>
      </c>
      <c r="B3334" s="47" t="s">
        <v>279</v>
      </c>
      <c r="C3334" s="47"/>
      <c r="D3334" s="46" t="s">
        <v>17</v>
      </c>
      <c r="E3334" s="32">
        <v>0.0</v>
      </c>
      <c r="F3334" s="18">
        <f>E3334* 0.746612466124661</f>
        <v>0</v>
      </c>
      <c r="G3334" s="18">
        <f>E3334* 0.22289972899729</f>
        <v>0</v>
      </c>
      <c r="H3334" s="18">
        <f>E3334* 0.0304878048780488</f>
        <v>0</v>
      </c>
    </row>
    <row r="3335" ht="15.75" hidden="1" customHeight="1">
      <c r="A3335" s="20" t="s">
        <v>274</v>
      </c>
      <c r="B3335" s="47" t="s">
        <v>279</v>
      </c>
      <c r="C3335" s="47"/>
      <c r="D3335" s="46" t="s">
        <v>21</v>
      </c>
      <c r="E3335" s="32">
        <v>1.0</v>
      </c>
      <c r="F3335" s="18">
        <f>E3335* 0.999082959420954</f>
        <v>0.9990829594</v>
      </c>
      <c r="G3335" s="18">
        <f>E3335* 0.0000655028985032588</f>
        <v>0.0000655028985</v>
      </c>
      <c r="H3335" s="18">
        <f>E3335* 0.000360265941767923</f>
        <v>0.0003602659418</v>
      </c>
    </row>
    <row r="3336" ht="15.75" hidden="1" customHeight="1">
      <c r="A3336" s="20" t="s">
        <v>274</v>
      </c>
      <c r="B3336" s="20"/>
      <c r="C3336" s="20"/>
      <c r="D3336" s="46"/>
      <c r="E3336" s="35"/>
    </row>
    <row r="3337" ht="15.75" hidden="1" customHeight="1">
      <c r="A3337" s="20" t="s">
        <v>274</v>
      </c>
      <c r="B3337" s="47" t="s">
        <v>280</v>
      </c>
      <c r="C3337" s="12" t="str">
        <f>B3337&amp;"_"&amp;A3337</f>
        <v>San Javier (Trinidad)_Beni</v>
      </c>
      <c r="D3337" s="20"/>
      <c r="E3337" s="45">
        <v>316.0</v>
      </c>
      <c r="F3337" s="14">
        <f t="shared" ref="F3337:H3337" si="279">SUM(F3338:F3343)</f>
        <v>311.4459407</v>
      </c>
      <c r="G3337" s="14">
        <f t="shared" si="279"/>
        <v>4.238557717</v>
      </c>
      <c r="H3337" s="14">
        <f t="shared" si="279"/>
        <v>0.1671375534</v>
      </c>
    </row>
    <row r="3338" ht="15.75" hidden="1" customHeight="1">
      <c r="A3338" s="20" t="s">
        <v>274</v>
      </c>
      <c r="B3338" s="47" t="s">
        <v>280</v>
      </c>
      <c r="C3338" s="47"/>
      <c r="D3338" s="46" t="s">
        <v>11</v>
      </c>
      <c r="E3338" s="32">
        <v>2.0</v>
      </c>
      <c r="F3338" s="18">
        <f>E3338* 0.0786924939467312</f>
        <v>0.1573849879</v>
      </c>
      <c r="G3338" s="18">
        <f>E3338* 0.920096852300242</f>
        <v>1.840193705</v>
      </c>
      <c r="H3338" s="18">
        <f>E3338* 0.00121065375302663</f>
        <v>0.002421307506</v>
      </c>
    </row>
    <row r="3339" ht="15.75" hidden="1" customHeight="1">
      <c r="A3339" s="20" t="s">
        <v>274</v>
      </c>
      <c r="B3339" s="47" t="s">
        <v>280</v>
      </c>
      <c r="C3339" s="47"/>
      <c r="D3339" s="46" t="s">
        <v>17</v>
      </c>
      <c r="E3339" s="32">
        <v>1.0</v>
      </c>
      <c r="F3339" s="18">
        <f>E3339* 0.746612466124661</f>
        <v>0.7466124661</v>
      </c>
      <c r="G3339" s="18">
        <f>E3339* 0.22289972899729</f>
        <v>0.222899729</v>
      </c>
      <c r="H3339" s="18">
        <f>E3339* 0.0304878048780488</f>
        <v>0.03048780488</v>
      </c>
    </row>
    <row r="3340" ht="15.75" hidden="1" customHeight="1">
      <c r="A3340" s="20" t="s">
        <v>274</v>
      </c>
      <c r="B3340" s="47" t="s">
        <v>280</v>
      </c>
      <c r="C3340" s="47"/>
      <c r="D3340" s="46" t="s">
        <v>21</v>
      </c>
      <c r="E3340" s="32">
        <v>302.0</v>
      </c>
      <c r="F3340" s="18">
        <f>E3340* 0.999082959420954</f>
        <v>301.7230537</v>
      </c>
      <c r="G3340" s="18">
        <f>E3340* 0.0000655028985032588</f>
        <v>0.01978187535</v>
      </c>
      <c r="H3340" s="18">
        <f>E3340* 0.000360265941767923</f>
        <v>0.1088003144</v>
      </c>
    </row>
    <row r="3341" ht="15.75" hidden="1" customHeight="1">
      <c r="A3341" s="20" t="s">
        <v>274</v>
      </c>
      <c r="B3341" s="47" t="s">
        <v>280</v>
      </c>
      <c r="C3341" s="47"/>
      <c r="D3341" s="46" t="s">
        <v>36</v>
      </c>
      <c r="E3341" s="32">
        <v>8.0</v>
      </c>
      <c r="F3341" s="24">
        <f>E3341</f>
        <v>8</v>
      </c>
      <c r="G3341" s="20">
        <v>0.0</v>
      </c>
      <c r="H3341" s="20">
        <v>0.0</v>
      </c>
    </row>
    <row r="3342" ht="15.75" hidden="1" customHeight="1">
      <c r="A3342" s="20" t="s">
        <v>274</v>
      </c>
      <c r="B3342" s="47" t="s">
        <v>280</v>
      </c>
      <c r="C3342" s="47"/>
      <c r="D3342" s="46" t="s">
        <v>28</v>
      </c>
      <c r="E3342" s="32">
        <v>2.0</v>
      </c>
      <c r="F3342" s="20">
        <v>0.0</v>
      </c>
      <c r="G3342" s="24">
        <f>E3342</f>
        <v>2</v>
      </c>
      <c r="H3342" s="20">
        <v>0.0</v>
      </c>
    </row>
    <row r="3343" ht="15.75" hidden="1" customHeight="1">
      <c r="A3343" s="20" t="s">
        <v>274</v>
      </c>
      <c r="B3343" s="47" t="s">
        <v>280</v>
      </c>
      <c r="C3343" s="47"/>
      <c r="D3343" s="46" t="s">
        <v>12</v>
      </c>
      <c r="E3343" s="32">
        <v>1.0</v>
      </c>
      <c r="F3343" s="18">
        <f>E3343* 0.8188894654904</f>
        <v>0.8188894655</v>
      </c>
      <c r="G3343" s="18">
        <f>E3343* 0.155682407887909</f>
        <v>0.1556824079</v>
      </c>
      <c r="H3343" s="18">
        <f>E3343* 0.0254281266216918</f>
        <v>0.02542812662</v>
      </c>
    </row>
    <row r="3344" ht="15.75" hidden="1" customHeight="1">
      <c r="A3344" s="20" t="s">
        <v>274</v>
      </c>
      <c r="B3344" s="20"/>
      <c r="C3344" s="20"/>
      <c r="D3344" s="46"/>
      <c r="E3344" s="35"/>
    </row>
    <row r="3345" ht="15.75" hidden="1" customHeight="1">
      <c r="A3345" s="20" t="s">
        <v>274</v>
      </c>
      <c r="B3345" s="47" t="s">
        <v>281</v>
      </c>
      <c r="C3345" s="12" t="str">
        <f>B3345&amp;"_"&amp;A3345</f>
        <v>San Joaquín_Beni</v>
      </c>
      <c r="D3345" s="20"/>
      <c r="E3345" s="45">
        <v>1.0</v>
      </c>
      <c r="F3345" s="14">
        <f t="shared" ref="F3345:H3345" si="280">F3346</f>
        <v>0.07869249395</v>
      </c>
      <c r="G3345" s="14">
        <f t="shared" si="280"/>
        <v>0.9200968523</v>
      </c>
      <c r="H3345" s="14">
        <f t="shared" si="280"/>
        <v>0.001210653753</v>
      </c>
    </row>
    <row r="3346" ht="15.75" hidden="1" customHeight="1">
      <c r="A3346" s="20" t="s">
        <v>274</v>
      </c>
      <c r="B3346" s="47" t="s">
        <v>281</v>
      </c>
      <c r="C3346" s="47"/>
      <c r="D3346" s="46" t="s">
        <v>11</v>
      </c>
      <c r="E3346" s="32">
        <v>1.0</v>
      </c>
      <c r="F3346" s="18">
        <f>E3346* 0.0786924939467312</f>
        <v>0.07869249395</v>
      </c>
      <c r="G3346" s="18">
        <f>E3346* 0.920096852300242</f>
        <v>0.9200968523</v>
      </c>
      <c r="H3346" s="18">
        <f>E3346* 0.00121065375302663</f>
        <v>0.001210653753</v>
      </c>
    </row>
    <row r="3347" ht="15.75" hidden="1" customHeight="1">
      <c r="A3347" s="20" t="s">
        <v>274</v>
      </c>
      <c r="B3347" s="20"/>
      <c r="C3347" s="20"/>
      <c r="D3347" s="46"/>
      <c r="E3347" s="35"/>
    </row>
    <row r="3348" ht="15.75" hidden="1" customHeight="1">
      <c r="A3348" s="20" t="s">
        <v>274</v>
      </c>
      <c r="B3348" s="47" t="s">
        <v>266</v>
      </c>
      <c r="C3348" s="12" t="str">
        <f>B3348&amp;"_"&amp;A3348</f>
        <v>San Ramón_Beni</v>
      </c>
      <c r="D3348" s="20"/>
      <c r="E3348" s="45">
        <v>1.0</v>
      </c>
      <c r="F3348" s="14">
        <f t="shared" ref="F3348:H3348" si="281">F3349</f>
        <v>0.7466124661</v>
      </c>
      <c r="G3348" s="14">
        <f t="shared" si="281"/>
        <v>0.222899729</v>
      </c>
      <c r="H3348" s="14">
        <f t="shared" si="281"/>
        <v>0.03048780488</v>
      </c>
    </row>
    <row r="3349" ht="15.75" hidden="1" customHeight="1">
      <c r="A3349" s="20" t="s">
        <v>274</v>
      </c>
      <c r="B3349" s="47" t="s">
        <v>266</v>
      </c>
      <c r="C3349" s="47"/>
      <c r="D3349" s="46" t="s">
        <v>17</v>
      </c>
      <c r="E3349" s="32">
        <v>1.0</v>
      </c>
      <c r="F3349" s="18">
        <f>E3349* 0.746612466124661</f>
        <v>0.7466124661</v>
      </c>
      <c r="G3349" s="18">
        <f>E3349* 0.22289972899729</f>
        <v>0.222899729</v>
      </c>
      <c r="H3349" s="18">
        <f>E3349* 0.0304878048780488</f>
        <v>0.03048780488</v>
      </c>
    </row>
    <row r="3350" ht="15.75" hidden="1" customHeight="1">
      <c r="A3350" s="20" t="s">
        <v>274</v>
      </c>
      <c r="B3350" s="20"/>
      <c r="C3350" s="20"/>
      <c r="D3350" s="46"/>
      <c r="E3350" s="35"/>
    </row>
    <row r="3351" ht="15.75" hidden="1" customHeight="1">
      <c r="A3351" s="20" t="s">
        <v>274</v>
      </c>
      <c r="B3351" s="47" t="s">
        <v>282</v>
      </c>
      <c r="C3351" s="12" t="str">
        <f>B3351&amp;"_"&amp;A3351</f>
        <v>Santa Ana del Yacuma_Beni</v>
      </c>
      <c r="D3351" s="20"/>
      <c r="E3351" s="45">
        <v>554.0</v>
      </c>
      <c r="F3351" s="14">
        <f t="shared" ref="F3351:H3351" si="282">SUM(F3352:F3360)</f>
        <v>522.2806448</v>
      </c>
      <c r="G3351" s="14">
        <f t="shared" si="282"/>
        <v>30.06892081</v>
      </c>
      <c r="H3351" s="14">
        <f t="shared" si="282"/>
        <v>1.418062872</v>
      </c>
    </row>
    <row r="3352" ht="15.75" hidden="1" customHeight="1">
      <c r="A3352" s="20" t="s">
        <v>274</v>
      </c>
      <c r="B3352" s="47" t="s">
        <v>282</v>
      </c>
      <c r="C3352" s="47"/>
      <c r="D3352" s="35" t="s">
        <v>696</v>
      </c>
      <c r="E3352" s="32">
        <v>3.0</v>
      </c>
      <c r="F3352" s="20">
        <v>0.0</v>
      </c>
      <c r="G3352" s="24">
        <f>E3352</f>
        <v>3</v>
      </c>
      <c r="H3352" s="20">
        <v>0.0</v>
      </c>
    </row>
    <row r="3353" ht="15.75" hidden="1" customHeight="1">
      <c r="A3353" s="20" t="s">
        <v>274</v>
      </c>
      <c r="B3353" s="47" t="s">
        <v>282</v>
      </c>
      <c r="C3353" s="47"/>
      <c r="D3353" s="46" t="s">
        <v>15</v>
      </c>
      <c r="E3353" s="32">
        <v>1.0</v>
      </c>
      <c r="F3353" s="18">
        <f>E3353* 0.978622327790974</f>
        <v>0.9786223278</v>
      </c>
      <c r="G3353" s="18">
        <f>E3353* 0.0130641330166271</f>
        <v>0.01306413302</v>
      </c>
      <c r="H3353" s="18">
        <f>E3353* 0.00831353919239905</f>
        <v>0.008313539192</v>
      </c>
    </row>
    <row r="3354" ht="15.75" hidden="1" customHeight="1">
      <c r="A3354" s="20" t="s">
        <v>274</v>
      </c>
      <c r="B3354" s="47" t="s">
        <v>282</v>
      </c>
      <c r="C3354" s="47"/>
      <c r="D3354" s="46" t="s">
        <v>11</v>
      </c>
      <c r="E3354" s="32">
        <v>20.0</v>
      </c>
      <c r="F3354" s="18">
        <f>E3354* 0.0786924939467312</f>
        <v>1.573849879</v>
      </c>
      <c r="G3354" s="18">
        <f>E3354* 0.920096852300242</f>
        <v>18.40193705</v>
      </c>
      <c r="H3354" s="18">
        <f>E3354* 0.00121065375302663</f>
        <v>0.02421307506</v>
      </c>
    </row>
    <row r="3355" ht="15.75" hidden="1" customHeight="1">
      <c r="A3355" s="20" t="s">
        <v>274</v>
      </c>
      <c r="B3355" s="47" t="s">
        <v>282</v>
      </c>
      <c r="C3355" s="47"/>
      <c r="D3355" s="46" t="s">
        <v>17</v>
      </c>
      <c r="E3355" s="32">
        <v>26.0</v>
      </c>
      <c r="F3355" s="18">
        <f>E3355* 0.746612466124661</f>
        <v>19.41192412</v>
      </c>
      <c r="G3355" s="18">
        <f>E3355* 0.22289972899729</f>
        <v>5.795392954</v>
      </c>
      <c r="H3355" s="18">
        <f>E3355* 0.0304878048780488</f>
        <v>0.7926829268</v>
      </c>
    </row>
    <row r="3356" ht="15.75" hidden="1" customHeight="1">
      <c r="A3356" s="20" t="s">
        <v>274</v>
      </c>
      <c r="B3356" s="47" t="s">
        <v>282</v>
      </c>
      <c r="C3356" s="47"/>
      <c r="D3356" s="46" t="s">
        <v>18</v>
      </c>
      <c r="E3356" s="32">
        <v>6.0</v>
      </c>
      <c r="F3356" s="18">
        <f>E3356* 0.911111111111111</f>
        <v>5.466666667</v>
      </c>
      <c r="G3356" s="18">
        <f>E3356* 0.0820512820512821</f>
        <v>0.4923076923</v>
      </c>
      <c r="H3356" s="18">
        <f>E3356* 0.00683760683760684</f>
        <v>0.04102564103</v>
      </c>
    </row>
    <row r="3357" ht="15.75" hidden="1" customHeight="1">
      <c r="A3357" s="20" t="s">
        <v>274</v>
      </c>
      <c r="B3357" s="47" t="s">
        <v>282</v>
      </c>
      <c r="C3357" s="47"/>
      <c r="D3357" s="46" t="s">
        <v>20</v>
      </c>
      <c r="E3357" s="32">
        <v>0.0</v>
      </c>
      <c r="F3357" s="18">
        <f>E3357* 0.454545454545455</f>
        <v>0</v>
      </c>
      <c r="G3357" s="18">
        <f>E3357* 0.507575757575758</f>
        <v>0</v>
      </c>
      <c r="H3357" s="18">
        <f>E3357* 0.0378787878787879</f>
        <v>0</v>
      </c>
    </row>
    <row r="3358" ht="15.75" hidden="1" customHeight="1">
      <c r="A3358" s="20" t="s">
        <v>274</v>
      </c>
      <c r="B3358" s="47" t="s">
        <v>282</v>
      </c>
      <c r="C3358" s="47"/>
      <c r="D3358" s="46" t="s">
        <v>21</v>
      </c>
      <c r="E3358" s="32">
        <v>473.0</v>
      </c>
      <c r="F3358" s="18">
        <f>E3358* 0.999082959420954</f>
        <v>472.5662398</v>
      </c>
      <c r="G3358" s="18">
        <f>E3358* 0.0000655028985032588</f>
        <v>0.03098287099</v>
      </c>
      <c r="H3358" s="18">
        <f>E3358* 0.000360265941767923</f>
        <v>0.1704057905</v>
      </c>
    </row>
    <row r="3359" ht="15.75" hidden="1" customHeight="1">
      <c r="A3359" s="20" t="s">
        <v>274</v>
      </c>
      <c r="B3359" s="47" t="s">
        <v>282</v>
      </c>
      <c r="C3359" s="47"/>
      <c r="D3359" s="46" t="s">
        <v>36</v>
      </c>
      <c r="E3359" s="32">
        <v>10.0</v>
      </c>
      <c r="F3359" s="24">
        <f>E3359</f>
        <v>10</v>
      </c>
      <c r="G3359" s="20">
        <v>0.0</v>
      </c>
      <c r="H3359" s="20">
        <v>0.0</v>
      </c>
    </row>
    <row r="3360" ht="15.75" hidden="1" customHeight="1">
      <c r="A3360" s="20" t="s">
        <v>274</v>
      </c>
      <c r="B3360" s="47" t="s">
        <v>282</v>
      </c>
      <c r="C3360" s="47"/>
      <c r="D3360" s="46" t="s">
        <v>12</v>
      </c>
      <c r="E3360" s="32">
        <v>15.0</v>
      </c>
      <c r="F3360" s="18">
        <f>E3360* 0.8188894654904</f>
        <v>12.28334198</v>
      </c>
      <c r="G3360" s="18">
        <f>E3360* 0.155682407887909</f>
        <v>2.335236118</v>
      </c>
      <c r="H3360" s="18">
        <f>E3360* 0.0254281266216918</f>
        <v>0.3814218993</v>
      </c>
    </row>
    <row r="3361" ht="15.75" hidden="1" customHeight="1">
      <c r="A3361" s="20" t="s">
        <v>274</v>
      </c>
      <c r="B3361" s="20"/>
      <c r="C3361" s="20"/>
      <c r="D3361" s="46"/>
      <c r="E3361" s="35"/>
    </row>
    <row r="3362" ht="15.75" hidden="1" customHeight="1">
      <c r="A3362" s="20" t="s">
        <v>274</v>
      </c>
      <c r="B3362" s="47" t="s">
        <v>283</v>
      </c>
      <c r="C3362" s="12" t="str">
        <f>B3362&amp;"_"&amp;A3362</f>
        <v>Trinidad_Beni</v>
      </c>
      <c r="D3362" s="20"/>
      <c r="E3362" s="45">
        <v>46738.0</v>
      </c>
      <c r="F3362" s="14">
        <f t="shared" ref="F3362:H3362" si="283">SUM(F3363:F3375)</f>
        <v>44820.99649</v>
      </c>
      <c r="G3362" s="14">
        <f t="shared" si="283"/>
        <v>1760.00125</v>
      </c>
      <c r="H3362" s="14">
        <f t="shared" si="283"/>
        <v>137.474212</v>
      </c>
    </row>
    <row r="3363" ht="15.75" hidden="1" customHeight="1">
      <c r="A3363" s="20" t="s">
        <v>274</v>
      </c>
      <c r="B3363" s="47" t="s">
        <v>283</v>
      </c>
      <c r="C3363" s="47"/>
      <c r="D3363" s="35" t="s">
        <v>697</v>
      </c>
      <c r="E3363" s="32">
        <v>0.0</v>
      </c>
      <c r="F3363" s="20">
        <v>0.0</v>
      </c>
      <c r="G3363" s="24">
        <f>E3363</f>
        <v>0</v>
      </c>
      <c r="H3363" s="20">
        <v>0.0</v>
      </c>
    </row>
    <row r="3364" ht="15.75" hidden="1" customHeight="1">
      <c r="A3364" s="20" t="s">
        <v>274</v>
      </c>
      <c r="B3364" s="47" t="s">
        <v>283</v>
      </c>
      <c r="C3364" s="47"/>
      <c r="D3364" s="46" t="s">
        <v>15</v>
      </c>
      <c r="E3364" s="32">
        <v>956.0</v>
      </c>
      <c r="F3364" s="18">
        <f>E3364* 0.978622327790974</f>
        <v>935.5629454</v>
      </c>
      <c r="G3364" s="18">
        <f>E3364* 0.0130641330166271</f>
        <v>12.48931116</v>
      </c>
      <c r="H3364" s="18">
        <f>E3364* 0.00831353919239905</f>
        <v>7.947743468</v>
      </c>
    </row>
    <row r="3365" ht="15.75" hidden="1" customHeight="1">
      <c r="A3365" s="20" t="s">
        <v>274</v>
      </c>
      <c r="B3365" s="47" t="s">
        <v>283</v>
      </c>
      <c r="C3365" s="47"/>
      <c r="D3365" s="35" t="s">
        <v>698</v>
      </c>
      <c r="E3365" s="32">
        <v>42.0</v>
      </c>
      <c r="F3365" s="18">
        <f>E3365* 0.416666666666667</f>
        <v>17.5</v>
      </c>
      <c r="G3365" s="18">
        <f>E3365* 0.583333333333333</f>
        <v>24.5</v>
      </c>
      <c r="H3365" s="20">
        <v>0.0</v>
      </c>
    </row>
    <row r="3366" ht="15.75" hidden="1" customHeight="1">
      <c r="A3366" s="20" t="s">
        <v>274</v>
      </c>
      <c r="B3366" s="47" t="s">
        <v>283</v>
      </c>
      <c r="C3366" s="47"/>
      <c r="D3366" s="46" t="s">
        <v>11</v>
      </c>
      <c r="E3366" s="32">
        <v>883.0</v>
      </c>
      <c r="F3366" s="18">
        <f>E3366* 0.0786924939467312</f>
        <v>69.48547215</v>
      </c>
      <c r="G3366" s="18">
        <f>E3366* 0.920096852300242</f>
        <v>812.4455206</v>
      </c>
      <c r="H3366" s="18">
        <f>E3366* 0.00121065375302663</f>
        <v>1.069007264</v>
      </c>
    </row>
    <row r="3367" ht="15.75" hidden="1" customHeight="1">
      <c r="A3367" s="20" t="s">
        <v>274</v>
      </c>
      <c r="B3367" s="47" t="s">
        <v>283</v>
      </c>
      <c r="C3367" s="47"/>
      <c r="D3367" s="46" t="s">
        <v>17</v>
      </c>
      <c r="E3367" s="32">
        <v>1765.0</v>
      </c>
      <c r="F3367" s="18">
        <f>E3367* 0.746612466124661</f>
        <v>1317.771003</v>
      </c>
      <c r="G3367" s="18">
        <f>E3367* 0.22289972899729</f>
        <v>393.4180217</v>
      </c>
      <c r="H3367" s="18">
        <f>E3367* 0.0304878048780488</f>
        <v>53.81097561</v>
      </c>
    </row>
    <row r="3368" ht="15.75" hidden="1" customHeight="1">
      <c r="A3368" s="20" t="s">
        <v>274</v>
      </c>
      <c r="B3368" s="47" t="s">
        <v>283</v>
      </c>
      <c r="C3368" s="47"/>
      <c r="D3368" s="46" t="s">
        <v>31</v>
      </c>
      <c r="E3368" s="32">
        <v>40.0</v>
      </c>
      <c r="F3368" s="18">
        <f>E3368* 0.771428571428572</f>
        <v>30.85714286</v>
      </c>
      <c r="G3368" s="18">
        <f>E3368* 0.228571428571429</f>
        <v>9.142857143</v>
      </c>
      <c r="H3368" s="20">
        <v>0.0</v>
      </c>
    </row>
    <row r="3369" ht="15.75" hidden="1" customHeight="1">
      <c r="A3369" s="20" t="s">
        <v>274</v>
      </c>
      <c r="B3369" s="47" t="s">
        <v>283</v>
      </c>
      <c r="C3369" s="47"/>
      <c r="D3369" s="46" t="s">
        <v>18</v>
      </c>
      <c r="E3369" s="32">
        <v>568.0</v>
      </c>
      <c r="F3369" s="18">
        <f>E3369* 0.911111111111111</f>
        <v>517.5111111</v>
      </c>
      <c r="G3369" s="18">
        <f>E3369* 0.0820512820512821</f>
        <v>46.60512821</v>
      </c>
      <c r="H3369" s="18">
        <f>E3369* 0.00683760683760684</f>
        <v>3.883760684</v>
      </c>
    </row>
    <row r="3370" ht="15.75" hidden="1" customHeight="1">
      <c r="A3370" s="20" t="s">
        <v>274</v>
      </c>
      <c r="B3370" s="47" t="s">
        <v>283</v>
      </c>
      <c r="C3370" s="47"/>
      <c r="D3370" s="46" t="s">
        <v>19</v>
      </c>
      <c r="E3370" s="32">
        <v>39.0</v>
      </c>
      <c r="F3370" s="18">
        <f>E3370* 0.0526315789473684</f>
        <v>2.052631579</v>
      </c>
      <c r="G3370" s="18">
        <f>E3370* 0.947368421052632</f>
        <v>36.94736842</v>
      </c>
      <c r="H3370" s="18">
        <v>0.0</v>
      </c>
    </row>
    <row r="3371" ht="15.75" hidden="1" customHeight="1">
      <c r="A3371" s="20" t="s">
        <v>274</v>
      </c>
      <c r="B3371" s="47" t="s">
        <v>283</v>
      </c>
      <c r="C3371" s="47"/>
      <c r="D3371" s="46" t="s">
        <v>20</v>
      </c>
      <c r="E3371" s="32">
        <v>128.0</v>
      </c>
      <c r="F3371" s="18">
        <f>E3371* 0.454545454545455</f>
        <v>58.18181818</v>
      </c>
      <c r="G3371" s="18">
        <f>E3371* 0.507575757575758</f>
        <v>64.96969697</v>
      </c>
      <c r="H3371" s="18">
        <f>E3371* 0.0378787878787879</f>
        <v>4.848484848</v>
      </c>
    </row>
    <row r="3372" ht="15.75" hidden="1" customHeight="1">
      <c r="A3372" s="20" t="s">
        <v>274</v>
      </c>
      <c r="B3372" s="47" t="s">
        <v>283</v>
      </c>
      <c r="C3372" s="47"/>
      <c r="D3372" s="46" t="s">
        <v>21</v>
      </c>
      <c r="E3372" s="32">
        <v>39750.0</v>
      </c>
      <c r="F3372" s="18">
        <f>E3372* 0.999082959420954</f>
        <v>39713.54764</v>
      </c>
      <c r="G3372" s="18">
        <f>E3372* 0.0000655028985032588</f>
        <v>2.603740216</v>
      </c>
      <c r="H3372" s="18">
        <f>E3372* 0.000360265941767923</f>
        <v>14.32057119</v>
      </c>
    </row>
    <row r="3373" ht="15.75" hidden="1" customHeight="1">
      <c r="A3373" s="20" t="s">
        <v>274</v>
      </c>
      <c r="B3373" s="47" t="s">
        <v>283</v>
      </c>
      <c r="C3373" s="47"/>
      <c r="D3373" s="46" t="s">
        <v>36</v>
      </c>
      <c r="E3373" s="32">
        <v>497.0</v>
      </c>
      <c r="F3373" s="24">
        <f>E3373</f>
        <v>497</v>
      </c>
      <c r="G3373" s="20">
        <v>0.0</v>
      </c>
      <c r="H3373" s="20">
        <v>0.0</v>
      </c>
    </row>
    <row r="3374" ht="15.75" hidden="1" customHeight="1">
      <c r="A3374" s="20" t="s">
        <v>274</v>
      </c>
      <c r="B3374" s="47" t="s">
        <v>283</v>
      </c>
      <c r="C3374" s="47"/>
      <c r="D3374" s="46" t="s">
        <v>28</v>
      </c>
      <c r="E3374" s="32">
        <v>41.0</v>
      </c>
      <c r="F3374" s="20">
        <v>0.0</v>
      </c>
      <c r="G3374" s="24">
        <f>E3374</f>
        <v>41</v>
      </c>
      <c r="H3374" s="20">
        <v>0.0</v>
      </c>
    </row>
    <row r="3375" ht="15.75" hidden="1" customHeight="1">
      <c r="A3375" s="20" t="s">
        <v>274</v>
      </c>
      <c r="B3375" s="47" t="s">
        <v>283</v>
      </c>
      <c r="C3375" s="47"/>
      <c r="D3375" s="55" t="s">
        <v>12</v>
      </c>
      <c r="E3375" s="39">
        <v>2029.0</v>
      </c>
      <c r="F3375" s="18">
        <f>E3375* 0.8188894654904</f>
        <v>1661.526725</v>
      </c>
      <c r="G3375" s="18">
        <f>E3375* 0.155682407887909</f>
        <v>315.8796056</v>
      </c>
      <c r="H3375" s="18">
        <f>E3375* 0.0254281266216918</f>
        <v>51.59366892</v>
      </c>
    </row>
    <row r="3376" ht="15.75" hidden="1" customHeight="1">
      <c r="A3376" s="20" t="s">
        <v>284</v>
      </c>
      <c r="B3376" s="56" t="s">
        <v>285</v>
      </c>
      <c r="C3376" s="12" t="str">
        <f>B3376&amp;"_"&amp;A3376</f>
        <v>Cobija_Pando</v>
      </c>
      <c r="D3376" s="20"/>
      <c r="E3376" s="57">
        <v>10071.0</v>
      </c>
      <c r="F3376" s="14">
        <f t="shared" ref="F3376:H3376" si="284">SUM(F3377:F3390)</f>
        <v>9501.399446</v>
      </c>
      <c r="G3376" s="14">
        <f t="shared" si="284"/>
        <v>484.1670339</v>
      </c>
      <c r="H3376" s="14">
        <f t="shared" si="284"/>
        <v>85.43352044</v>
      </c>
    </row>
    <row r="3377" ht="15.75" hidden="1" customHeight="1">
      <c r="A3377" s="20" t="s">
        <v>284</v>
      </c>
      <c r="B3377" s="56" t="s">
        <v>285</v>
      </c>
      <c r="C3377" s="58"/>
      <c r="D3377" s="29" t="s">
        <v>699</v>
      </c>
      <c r="E3377" s="23">
        <v>13.0</v>
      </c>
      <c r="F3377" s="20">
        <v>0.0</v>
      </c>
      <c r="G3377" s="24">
        <f>E3377</f>
        <v>13</v>
      </c>
      <c r="H3377" s="20">
        <v>0.0</v>
      </c>
    </row>
    <row r="3378" ht="15.75" hidden="1" customHeight="1">
      <c r="A3378" s="20" t="s">
        <v>284</v>
      </c>
      <c r="B3378" s="56" t="s">
        <v>285</v>
      </c>
      <c r="C3378" s="58"/>
      <c r="D3378" s="19" t="s">
        <v>15</v>
      </c>
      <c r="E3378" s="23">
        <v>130.0</v>
      </c>
      <c r="F3378" s="18">
        <f>E3378* 0.888888888888889</f>
        <v>115.5555556</v>
      </c>
      <c r="G3378" s="18">
        <f>E3378* 0.0277777777777778</f>
        <v>3.611111111</v>
      </c>
      <c r="H3378" s="18">
        <f t="shared" ref="H3378:H3379" si="285">E3378* 0.0833333333333333</f>
        <v>10.83333333</v>
      </c>
    </row>
    <row r="3379" ht="15.75" hidden="1" customHeight="1">
      <c r="A3379" s="20" t="s">
        <v>284</v>
      </c>
      <c r="B3379" s="56" t="s">
        <v>285</v>
      </c>
      <c r="C3379" s="58"/>
      <c r="D3379" s="29" t="s">
        <v>700</v>
      </c>
      <c r="E3379" s="23">
        <v>20.0</v>
      </c>
      <c r="F3379" s="18">
        <f>E3379* 0.166666666666667</f>
        <v>3.333333333</v>
      </c>
      <c r="G3379" s="18">
        <f>E3379* 0.75</f>
        <v>15</v>
      </c>
      <c r="H3379" s="18">
        <f t="shared" si="285"/>
        <v>1.666666667</v>
      </c>
    </row>
    <row r="3380" ht="15.75" hidden="1" customHeight="1">
      <c r="A3380" s="20" t="s">
        <v>284</v>
      </c>
      <c r="B3380" s="56" t="s">
        <v>285</v>
      </c>
      <c r="C3380" s="58"/>
      <c r="D3380" s="19" t="s">
        <v>11</v>
      </c>
      <c r="E3380" s="23">
        <v>215.0</v>
      </c>
      <c r="F3380" s="18">
        <f>E3380* 0.0125</f>
        <v>2.6875</v>
      </c>
      <c r="G3380" s="18">
        <f>E3380* 0.98125</f>
        <v>210.96875</v>
      </c>
      <c r="H3380" s="18">
        <f>E3380* 0.00625</f>
        <v>1.34375</v>
      </c>
    </row>
    <row r="3381" ht="15.75" hidden="1" customHeight="1">
      <c r="A3381" s="20" t="s">
        <v>284</v>
      </c>
      <c r="B3381" s="56" t="s">
        <v>285</v>
      </c>
      <c r="C3381" s="58"/>
      <c r="D3381" s="19" t="s">
        <v>17</v>
      </c>
      <c r="E3381" s="23">
        <v>505.0</v>
      </c>
      <c r="F3381" s="18">
        <f>E3381* 0.769230769230769</f>
        <v>388.4615385</v>
      </c>
      <c r="G3381" s="18">
        <f>E3381* 0.128205128205128</f>
        <v>64.74358974</v>
      </c>
      <c r="H3381" s="18">
        <f>E3381* 0.102564102564103</f>
        <v>51.79487179</v>
      </c>
    </row>
    <row r="3382" ht="15.75" hidden="1" customHeight="1">
      <c r="A3382" s="20" t="s">
        <v>284</v>
      </c>
      <c r="B3382" s="56" t="s">
        <v>285</v>
      </c>
      <c r="C3382" s="58"/>
      <c r="D3382" s="19" t="s">
        <v>31</v>
      </c>
      <c r="E3382" s="23">
        <v>13.0</v>
      </c>
      <c r="F3382" s="24">
        <f>E3382</f>
        <v>13</v>
      </c>
      <c r="G3382" s="20">
        <v>0.0</v>
      </c>
      <c r="H3382" s="20">
        <v>0.0</v>
      </c>
    </row>
    <row r="3383" ht="15.75" hidden="1" customHeight="1">
      <c r="A3383" s="20" t="s">
        <v>284</v>
      </c>
      <c r="B3383" s="56" t="s">
        <v>285</v>
      </c>
      <c r="C3383" s="58"/>
      <c r="D3383" s="19" t="s">
        <v>18</v>
      </c>
      <c r="E3383" s="23">
        <v>46.0</v>
      </c>
      <c r="F3383" s="18">
        <f>E3383* 0.96969696969697</f>
        <v>44.60606061</v>
      </c>
      <c r="G3383" s="18">
        <f>E3383* 0.0303030303030303</f>
        <v>1.393939394</v>
      </c>
      <c r="H3383" s="20">
        <v>0.0</v>
      </c>
    </row>
    <row r="3384" ht="15.75" hidden="1" customHeight="1">
      <c r="A3384" s="20" t="s">
        <v>284</v>
      </c>
      <c r="B3384" s="56" t="s">
        <v>285</v>
      </c>
      <c r="C3384" s="58"/>
      <c r="D3384" s="19" t="s">
        <v>701</v>
      </c>
      <c r="E3384" s="23">
        <v>0.0</v>
      </c>
      <c r="F3384" s="20">
        <v>0.0</v>
      </c>
      <c r="G3384" s="24">
        <f>E3384</f>
        <v>0</v>
      </c>
      <c r="H3384" s="20">
        <v>0.0</v>
      </c>
    </row>
    <row r="3385" ht="15.75" hidden="1" customHeight="1">
      <c r="A3385" s="20" t="s">
        <v>284</v>
      </c>
      <c r="B3385" s="56" t="s">
        <v>285</v>
      </c>
      <c r="C3385" s="58"/>
      <c r="D3385" s="19" t="s">
        <v>19</v>
      </c>
      <c r="E3385" s="23">
        <v>11.0</v>
      </c>
      <c r="F3385" s="18">
        <f>E3385* 0.0714285714285714</f>
        <v>0.7857142857</v>
      </c>
      <c r="G3385" s="18">
        <f>E3385* 0.928571428571429</f>
        <v>10.21428571</v>
      </c>
      <c r="H3385" s="20">
        <v>0.0</v>
      </c>
    </row>
    <row r="3386" ht="15.75" hidden="1" customHeight="1">
      <c r="A3386" s="20" t="s">
        <v>284</v>
      </c>
      <c r="B3386" s="56" t="s">
        <v>285</v>
      </c>
      <c r="C3386" s="58"/>
      <c r="D3386" s="19" t="s">
        <v>287</v>
      </c>
      <c r="E3386" s="23">
        <v>51.0</v>
      </c>
      <c r="F3386" s="18">
        <f>E3386* 0.431034482758621</f>
        <v>21.98275862</v>
      </c>
      <c r="G3386" s="18">
        <f>E3386* 0.5</f>
        <v>25.5</v>
      </c>
      <c r="H3386" s="18">
        <f>E3386* 0.0689655172413793</f>
        <v>3.517241379</v>
      </c>
    </row>
    <row r="3387" ht="15.75" hidden="1" customHeight="1">
      <c r="A3387" s="20" t="s">
        <v>284</v>
      </c>
      <c r="B3387" s="56" t="s">
        <v>285</v>
      </c>
      <c r="C3387" s="58"/>
      <c r="D3387" s="19" t="s">
        <v>21</v>
      </c>
      <c r="E3387" s="23">
        <v>8548.0</v>
      </c>
      <c r="F3387" s="24">
        <f t="shared" ref="F3387:F3388" si="286">E3387</f>
        <v>8548</v>
      </c>
      <c r="G3387" s="20">
        <v>0.0</v>
      </c>
      <c r="H3387" s="20">
        <v>0.0</v>
      </c>
    </row>
    <row r="3388" ht="15.75" hidden="1" customHeight="1">
      <c r="A3388" s="20" t="s">
        <v>284</v>
      </c>
      <c r="B3388" s="56" t="s">
        <v>285</v>
      </c>
      <c r="C3388" s="58"/>
      <c r="D3388" s="19" t="s">
        <v>36</v>
      </c>
      <c r="E3388" s="23">
        <v>12.0</v>
      </c>
      <c r="F3388" s="24">
        <f t="shared" si="286"/>
        <v>12</v>
      </c>
      <c r="G3388" s="20">
        <v>0.0</v>
      </c>
      <c r="H3388" s="20">
        <v>0.0</v>
      </c>
    </row>
    <row r="3389" ht="15.75" hidden="1" customHeight="1">
      <c r="A3389" s="20" t="s">
        <v>284</v>
      </c>
      <c r="B3389" s="56" t="s">
        <v>285</v>
      </c>
      <c r="C3389" s="58"/>
      <c r="D3389" s="19" t="s">
        <v>28</v>
      </c>
      <c r="E3389" s="23">
        <v>38.0</v>
      </c>
      <c r="F3389" s="20">
        <v>0.0</v>
      </c>
      <c r="G3389" s="24">
        <f>E3389</f>
        <v>38</v>
      </c>
      <c r="H3389" s="20">
        <v>0.0</v>
      </c>
    </row>
    <row r="3390" ht="15.75" hidden="1" customHeight="1">
      <c r="A3390" s="20" t="s">
        <v>284</v>
      </c>
      <c r="B3390" s="56" t="s">
        <v>285</v>
      </c>
      <c r="C3390" s="58"/>
      <c r="D3390" s="19" t="s">
        <v>12</v>
      </c>
      <c r="E3390" s="23">
        <v>469.0</v>
      </c>
      <c r="F3390" s="18">
        <f>E3390* 0.748373101952278</f>
        <v>350.9869848</v>
      </c>
      <c r="G3390" s="18">
        <f>E3390* 0.216919739696312</f>
        <v>101.7353579</v>
      </c>
      <c r="H3390" s="18">
        <f>E3390* 0.03470715835141</f>
        <v>16.27765727</v>
      </c>
    </row>
    <row r="3391" ht="15.75" hidden="1" customHeight="1">
      <c r="A3391" s="20" t="s">
        <v>284</v>
      </c>
      <c r="B3391" s="20"/>
      <c r="C3391" s="20"/>
      <c r="D3391" s="46"/>
      <c r="E3391" s="35"/>
    </row>
    <row r="3392" ht="15.75" hidden="1" customHeight="1">
      <c r="A3392" s="20" t="s">
        <v>284</v>
      </c>
      <c r="B3392" s="56" t="s">
        <v>702</v>
      </c>
      <c r="C3392" s="12" t="str">
        <f>B3392&amp;"_"&amp;A3392</f>
        <v>Porvenir_Pando</v>
      </c>
      <c r="D3392" s="20"/>
      <c r="E3392" s="57">
        <v>200.0</v>
      </c>
      <c r="F3392" s="14">
        <f t="shared" ref="F3392:H3392" si="287">SUM(F3393:F3398)</f>
        <v>189.2232787</v>
      </c>
      <c r="G3392" s="14">
        <f t="shared" si="287"/>
        <v>9.170895443</v>
      </c>
      <c r="H3392" s="14">
        <f t="shared" si="287"/>
        <v>1.605825882</v>
      </c>
    </row>
    <row r="3393" ht="15.75" hidden="1" customHeight="1">
      <c r="A3393" s="20" t="s">
        <v>284</v>
      </c>
      <c r="B3393" s="56" t="s">
        <v>702</v>
      </c>
      <c r="C3393" s="58"/>
      <c r="D3393" s="19" t="s">
        <v>15</v>
      </c>
      <c r="E3393" s="23">
        <v>4.0</v>
      </c>
      <c r="F3393" s="18">
        <f>E3393* 0.888888888888889</f>
        <v>3.555555556</v>
      </c>
      <c r="G3393" s="18">
        <f>E3393* 0.0277777777777778</f>
        <v>0.1111111111</v>
      </c>
      <c r="H3393" s="18">
        <f>E3393* 0.0833333333333333</f>
        <v>0.3333333333</v>
      </c>
    </row>
    <row r="3394" ht="15.75" hidden="1" customHeight="1">
      <c r="A3394" s="20" t="s">
        <v>284</v>
      </c>
      <c r="B3394" s="56" t="s">
        <v>702</v>
      </c>
      <c r="C3394" s="58"/>
      <c r="D3394" s="19" t="s">
        <v>11</v>
      </c>
      <c r="E3394" s="23">
        <v>6.0</v>
      </c>
      <c r="F3394" s="18">
        <f>E3394* 0.0125</f>
        <v>0.075</v>
      </c>
      <c r="G3394" s="18">
        <f>E3394* 0.98125</f>
        <v>5.8875</v>
      </c>
      <c r="H3394" s="18">
        <f>E3394* 0.00625</f>
        <v>0.0375</v>
      </c>
    </row>
    <row r="3395" ht="15.75" hidden="1" customHeight="1">
      <c r="A3395" s="20" t="s">
        <v>284</v>
      </c>
      <c r="B3395" s="56" t="s">
        <v>702</v>
      </c>
      <c r="C3395" s="58"/>
      <c r="D3395" s="19" t="s">
        <v>17</v>
      </c>
      <c r="E3395" s="23">
        <v>9.0</v>
      </c>
      <c r="F3395" s="18">
        <f>E3395* 0.769230769230769</f>
        <v>6.923076923</v>
      </c>
      <c r="G3395" s="18">
        <f>E3395* 0.128205128205128</f>
        <v>1.153846154</v>
      </c>
      <c r="H3395" s="18">
        <f>E3395* 0.102564102564103</f>
        <v>0.9230769231</v>
      </c>
    </row>
    <row r="3396" ht="15.75" hidden="1" customHeight="1">
      <c r="A3396" s="20" t="s">
        <v>284</v>
      </c>
      <c r="B3396" s="56" t="s">
        <v>702</v>
      </c>
      <c r="C3396" s="58"/>
      <c r="D3396" s="19" t="s">
        <v>287</v>
      </c>
      <c r="E3396" s="23">
        <v>1.0</v>
      </c>
      <c r="F3396" s="18">
        <f>E3396* 0.431034482758621</f>
        <v>0.4310344828</v>
      </c>
      <c r="G3396" s="18">
        <f>E3396* 0.5</f>
        <v>0.5</v>
      </c>
      <c r="H3396" s="18">
        <f>E3396* 0.0689655172413793</f>
        <v>0.06896551724</v>
      </c>
    </row>
    <row r="3397" ht="15.75" hidden="1" customHeight="1">
      <c r="A3397" s="20" t="s">
        <v>284</v>
      </c>
      <c r="B3397" s="56" t="s">
        <v>702</v>
      </c>
      <c r="C3397" s="58"/>
      <c r="D3397" s="19" t="s">
        <v>21</v>
      </c>
      <c r="E3397" s="23">
        <v>173.0</v>
      </c>
      <c r="F3397" s="24">
        <f>E3397</f>
        <v>173</v>
      </c>
      <c r="G3397" s="20">
        <v>0.0</v>
      </c>
      <c r="H3397" s="20">
        <v>0.0</v>
      </c>
    </row>
    <row r="3398" ht="15.75" hidden="1" customHeight="1">
      <c r="A3398" s="20" t="s">
        <v>284</v>
      </c>
      <c r="B3398" s="56" t="s">
        <v>702</v>
      </c>
      <c r="C3398" s="58"/>
      <c r="D3398" s="50" t="s">
        <v>12</v>
      </c>
      <c r="E3398" s="27">
        <v>7.0</v>
      </c>
      <c r="F3398" s="18">
        <f>E3398* 0.748373101952278</f>
        <v>5.238611714</v>
      </c>
      <c r="G3398" s="18">
        <f>E3398* 0.216919739696312</f>
        <v>1.518438178</v>
      </c>
      <c r="H3398" s="18">
        <f>E3398* 0.03470715835141</f>
        <v>0.2429501085</v>
      </c>
    </row>
    <row r="3399" ht="15.75" customHeight="1">
      <c r="A3399" s="20"/>
      <c r="B3399" s="58"/>
      <c r="C3399" s="58"/>
      <c r="D3399" s="30"/>
      <c r="E3399" s="41"/>
    </row>
    <row r="3400" ht="15.75" customHeight="1">
      <c r="A3400" s="20"/>
      <c r="B3400" s="58"/>
      <c r="C3400" s="58"/>
      <c r="D3400" s="30"/>
      <c r="E3400" s="41"/>
    </row>
    <row r="3401" ht="15.75" customHeight="1">
      <c r="A3401" s="20"/>
      <c r="B3401" s="58"/>
      <c r="C3401" s="58"/>
      <c r="D3401" s="30"/>
      <c r="E3401" s="41"/>
    </row>
    <row r="3402" ht="15.75" customHeight="1">
      <c r="A3402" s="20"/>
      <c r="B3402" s="58"/>
      <c r="C3402" s="58"/>
      <c r="D3402" s="30"/>
      <c r="E3402" s="41"/>
    </row>
    <row r="3403" ht="15.75" customHeight="1">
      <c r="A3403" s="20"/>
      <c r="B3403" s="58"/>
      <c r="C3403" s="58"/>
      <c r="D3403" s="30"/>
      <c r="E3403" s="41"/>
    </row>
    <row r="3404" ht="15.75" customHeight="1">
      <c r="A3404" s="20"/>
      <c r="B3404" s="58"/>
      <c r="C3404" s="58"/>
      <c r="D3404" s="30"/>
      <c r="E3404" s="41"/>
    </row>
    <row r="3405" ht="15.75" customHeight="1">
      <c r="A3405" s="20"/>
      <c r="B3405" s="58"/>
      <c r="C3405" s="58"/>
      <c r="D3405" s="30"/>
      <c r="E3405" s="41"/>
    </row>
    <row r="3406" ht="15.75" customHeight="1">
      <c r="A3406" s="20"/>
      <c r="B3406" s="58"/>
      <c r="C3406" s="58"/>
      <c r="D3406" s="30"/>
      <c r="E3406" s="41"/>
    </row>
    <row r="3407" ht="15.75" customHeight="1">
      <c r="A3407" s="20"/>
      <c r="B3407" s="58"/>
      <c r="C3407" s="58"/>
      <c r="D3407" s="30"/>
      <c r="E3407" s="41"/>
    </row>
    <row r="3408" ht="15.75" customHeight="1">
      <c r="A3408" s="20"/>
      <c r="B3408" s="58"/>
      <c r="C3408" s="58"/>
      <c r="D3408" s="30"/>
      <c r="E3408" s="41"/>
    </row>
    <row r="3409" ht="15.75" customHeight="1">
      <c r="A3409" s="20"/>
      <c r="B3409" s="58"/>
      <c r="C3409" s="58"/>
      <c r="D3409" s="30"/>
      <c r="E3409" s="41"/>
    </row>
    <row r="3410" ht="15.75" customHeight="1">
      <c r="A3410" s="20"/>
      <c r="B3410" s="58"/>
      <c r="C3410" s="58"/>
      <c r="D3410" s="30"/>
      <c r="E3410" s="41"/>
    </row>
    <row r="3411" ht="15.75" customHeight="1">
      <c r="A3411" s="20"/>
      <c r="B3411" s="58"/>
      <c r="C3411" s="58"/>
      <c r="D3411" s="30"/>
      <c r="E3411" s="41"/>
    </row>
    <row r="3412" ht="15.75" customHeight="1">
      <c r="A3412" s="20"/>
      <c r="B3412" s="58"/>
      <c r="C3412" s="58"/>
      <c r="D3412" s="30"/>
      <c r="E3412" s="41"/>
    </row>
    <row r="3413" ht="15.75" customHeight="1">
      <c r="A3413" s="20"/>
      <c r="B3413" s="58"/>
      <c r="C3413" s="58"/>
      <c r="D3413" s="30"/>
      <c r="E3413" s="41"/>
    </row>
    <row r="3414" ht="15.75" customHeight="1">
      <c r="A3414" s="20"/>
      <c r="B3414" s="58"/>
      <c r="C3414" s="58"/>
      <c r="D3414" s="30"/>
      <c r="E3414" s="41"/>
    </row>
    <row r="3415" ht="15.75" customHeight="1">
      <c r="A3415" s="20"/>
      <c r="B3415" s="58"/>
      <c r="C3415" s="58"/>
      <c r="D3415" s="30"/>
      <c r="E3415" s="41"/>
    </row>
    <row r="3416" ht="15.75" customHeight="1">
      <c r="A3416" s="20"/>
      <c r="B3416" s="58"/>
      <c r="C3416" s="58"/>
      <c r="D3416" s="30"/>
      <c r="E3416" s="41"/>
    </row>
    <row r="3417" ht="15.75" customHeight="1">
      <c r="A3417" s="20"/>
      <c r="B3417" s="58"/>
      <c r="C3417" s="58"/>
      <c r="D3417" s="30"/>
      <c r="E3417" s="41"/>
    </row>
    <row r="3418" ht="15.75" customHeight="1">
      <c r="A3418" s="20"/>
      <c r="B3418" s="58"/>
      <c r="C3418" s="58"/>
      <c r="D3418" s="30"/>
      <c r="E3418" s="41"/>
    </row>
    <row r="3419" ht="15.75" customHeight="1">
      <c r="A3419" s="20"/>
      <c r="B3419" s="58"/>
      <c r="C3419" s="58"/>
      <c r="D3419" s="30"/>
      <c r="E3419" s="41"/>
    </row>
    <row r="3420" ht="15.75" customHeight="1">
      <c r="A3420" s="20"/>
      <c r="B3420" s="58"/>
      <c r="C3420" s="58"/>
      <c r="D3420" s="30"/>
      <c r="E3420" s="41"/>
    </row>
    <row r="3421" ht="15.75" customHeight="1">
      <c r="A3421" s="20"/>
      <c r="B3421" s="58"/>
      <c r="C3421" s="58"/>
      <c r="D3421" s="30"/>
      <c r="E3421" s="41"/>
    </row>
    <row r="3422" ht="15.75" customHeight="1">
      <c r="A3422" s="20"/>
      <c r="B3422" s="58"/>
      <c r="C3422" s="58"/>
      <c r="D3422" s="30"/>
      <c r="E3422" s="41"/>
    </row>
    <row r="3423" ht="15.75" customHeight="1">
      <c r="A3423" s="20"/>
      <c r="B3423" s="58"/>
      <c r="C3423" s="58"/>
      <c r="D3423" s="30"/>
      <c r="E3423" s="41"/>
    </row>
    <row r="3424" ht="15.75" customHeight="1">
      <c r="A3424" s="20"/>
      <c r="B3424" s="58"/>
      <c r="C3424" s="58"/>
      <c r="D3424" s="30"/>
      <c r="E3424" s="41"/>
    </row>
    <row r="3425" ht="15.75" customHeight="1">
      <c r="A3425" s="20"/>
      <c r="B3425" s="58"/>
      <c r="C3425" s="58"/>
      <c r="D3425" s="30"/>
      <c r="E3425" s="41"/>
    </row>
    <row r="3426" ht="15.75" customHeight="1">
      <c r="A3426" s="20"/>
      <c r="B3426" s="58"/>
      <c r="C3426" s="58"/>
      <c r="D3426" s="30"/>
      <c r="E3426" s="41"/>
    </row>
    <row r="3427" ht="15.75" customHeight="1">
      <c r="A3427" s="20"/>
      <c r="B3427" s="58"/>
      <c r="C3427" s="58"/>
      <c r="D3427" s="30"/>
      <c r="E3427" s="41"/>
    </row>
    <row r="3428" ht="15.75" customHeight="1">
      <c r="A3428" s="20"/>
      <c r="B3428" s="58"/>
      <c r="C3428" s="58"/>
      <c r="D3428" s="30"/>
      <c r="E3428" s="41"/>
    </row>
    <row r="3429" ht="15.75" customHeight="1">
      <c r="A3429" s="20"/>
      <c r="B3429" s="58"/>
      <c r="C3429" s="58"/>
      <c r="D3429" s="30"/>
      <c r="E3429" s="41"/>
    </row>
    <row r="3430" ht="15.75" customHeight="1">
      <c r="A3430" s="20"/>
      <c r="B3430" s="58"/>
      <c r="C3430" s="58"/>
      <c r="D3430" s="30"/>
      <c r="E3430" s="41"/>
    </row>
    <row r="3431" ht="15.75" customHeight="1">
      <c r="A3431" s="20"/>
      <c r="B3431" s="58"/>
      <c r="C3431" s="58"/>
      <c r="D3431" s="30"/>
      <c r="E3431" s="41"/>
    </row>
    <row r="3432" ht="15.75" customHeight="1">
      <c r="A3432" s="20"/>
      <c r="B3432" s="58"/>
      <c r="C3432" s="58"/>
      <c r="D3432" s="30"/>
      <c r="E3432" s="41"/>
    </row>
    <row r="3433" ht="15.75" customHeight="1">
      <c r="A3433" s="20"/>
      <c r="B3433" s="58"/>
      <c r="C3433" s="58"/>
      <c r="D3433" s="30"/>
      <c r="E3433" s="41"/>
    </row>
    <row r="3434" ht="15.75" customHeight="1">
      <c r="A3434" s="20"/>
      <c r="B3434" s="58"/>
      <c r="C3434" s="58"/>
      <c r="D3434" s="30"/>
      <c r="E3434" s="41"/>
    </row>
    <row r="3435" ht="15.75" customHeight="1">
      <c r="A3435" s="20"/>
      <c r="B3435" s="58"/>
      <c r="C3435" s="58"/>
      <c r="D3435" s="30"/>
      <c r="E3435" s="41"/>
    </row>
    <row r="3436" ht="15.75" customHeight="1">
      <c r="A3436" s="20"/>
      <c r="B3436" s="58"/>
      <c r="C3436" s="58"/>
      <c r="D3436" s="30"/>
      <c r="E3436" s="41"/>
    </row>
    <row r="3437" ht="15.75" customHeight="1">
      <c r="A3437" s="20"/>
      <c r="B3437" s="58"/>
      <c r="C3437" s="58"/>
      <c r="D3437" s="30"/>
      <c r="E3437" s="41"/>
    </row>
    <row r="3438" ht="15.75" customHeight="1">
      <c r="A3438" s="20"/>
      <c r="B3438" s="58"/>
      <c r="C3438" s="58"/>
      <c r="D3438" s="30"/>
      <c r="E3438" s="41"/>
    </row>
    <row r="3439" ht="15.75" customHeight="1">
      <c r="A3439" s="20"/>
      <c r="B3439" s="58"/>
      <c r="C3439" s="58"/>
      <c r="D3439" s="30"/>
      <c r="E3439" s="41"/>
    </row>
    <row r="3440" ht="15.75" customHeight="1">
      <c r="A3440" s="20"/>
      <c r="B3440" s="58"/>
      <c r="C3440" s="58"/>
      <c r="D3440" s="30"/>
      <c r="E3440" s="41"/>
    </row>
    <row r="3441" ht="15.75" customHeight="1">
      <c r="A3441" s="20"/>
      <c r="B3441" s="58"/>
      <c r="C3441" s="58"/>
      <c r="D3441" s="30"/>
      <c r="E3441" s="41"/>
    </row>
    <row r="3442" ht="15.75" customHeight="1">
      <c r="A3442" s="20"/>
      <c r="B3442" s="58"/>
      <c r="C3442" s="58"/>
      <c r="D3442" s="30"/>
      <c r="E3442" s="41"/>
    </row>
    <row r="3443" ht="15.75" customHeight="1">
      <c r="A3443" s="20"/>
      <c r="B3443" s="58"/>
      <c r="C3443" s="58"/>
      <c r="D3443" s="30"/>
      <c r="E3443" s="41"/>
    </row>
    <row r="3444" ht="15.75" customHeight="1">
      <c r="A3444" s="20"/>
      <c r="B3444" s="58"/>
      <c r="C3444" s="58"/>
      <c r="D3444" s="30"/>
      <c r="E3444" s="41"/>
    </row>
    <row r="3445" ht="15.75" customHeight="1">
      <c r="A3445" s="20"/>
      <c r="B3445" s="58"/>
      <c r="C3445" s="58"/>
      <c r="D3445" s="30"/>
      <c r="E3445" s="41"/>
    </row>
    <row r="3446" ht="15.75" customHeight="1">
      <c r="A3446" s="20"/>
      <c r="B3446" s="58"/>
      <c r="C3446" s="58"/>
      <c r="D3446" s="30"/>
      <c r="E3446" s="41"/>
    </row>
    <row r="3447" ht="15.75" customHeight="1">
      <c r="A3447" s="20"/>
      <c r="B3447" s="58"/>
      <c r="C3447" s="58"/>
      <c r="D3447" s="30"/>
      <c r="E3447" s="41"/>
    </row>
    <row r="3448" ht="15.75" customHeight="1">
      <c r="A3448" s="20"/>
      <c r="B3448" s="58"/>
      <c r="C3448" s="58"/>
      <c r="D3448" s="30"/>
      <c r="E3448" s="41"/>
    </row>
    <row r="3449" ht="15.75" customHeight="1">
      <c r="A3449" s="20"/>
      <c r="B3449" s="58"/>
      <c r="C3449" s="58"/>
      <c r="D3449" s="30"/>
      <c r="E3449" s="41"/>
    </row>
    <row r="3450" ht="15.75" customHeight="1">
      <c r="A3450" s="20"/>
      <c r="B3450" s="58"/>
      <c r="C3450" s="58"/>
      <c r="D3450" s="30"/>
      <c r="E3450" s="41"/>
    </row>
    <row r="3451" ht="15.75" customHeight="1">
      <c r="A3451" s="20"/>
      <c r="B3451" s="58"/>
      <c r="C3451" s="58"/>
      <c r="D3451" s="30"/>
      <c r="E3451" s="41"/>
    </row>
    <row r="3452" ht="15.75" customHeight="1">
      <c r="A3452" s="20"/>
      <c r="B3452" s="58"/>
      <c r="C3452" s="58"/>
      <c r="D3452" s="30"/>
      <c r="E3452" s="41"/>
    </row>
    <row r="3453" ht="15.75" customHeight="1">
      <c r="A3453" s="20"/>
      <c r="B3453" s="58"/>
      <c r="C3453" s="58"/>
      <c r="D3453" s="30"/>
      <c r="E3453" s="41"/>
    </row>
    <row r="3454" ht="15.75" customHeight="1">
      <c r="A3454" s="20"/>
      <c r="B3454" s="58"/>
      <c r="C3454" s="58"/>
      <c r="D3454" s="30"/>
      <c r="E3454" s="41"/>
    </row>
    <row r="3455" ht="15.75" customHeight="1">
      <c r="A3455" s="20"/>
      <c r="B3455" s="58"/>
      <c r="C3455" s="58"/>
      <c r="D3455" s="30"/>
      <c r="E3455" s="41"/>
    </row>
    <row r="3456" ht="15.75" customHeight="1">
      <c r="A3456" s="20"/>
      <c r="B3456" s="58"/>
      <c r="C3456" s="58"/>
      <c r="D3456" s="30"/>
      <c r="E3456" s="41"/>
    </row>
    <row r="3457" ht="15.75" customHeight="1">
      <c r="A3457" s="20"/>
      <c r="B3457" s="58"/>
      <c r="C3457" s="58"/>
      <c r="D3457" s="30"/>
      <c r="E3457" s="41"/>
    </row>
    <row r="3458" ht="15.75" customHeight="1">
      <c r="A3458" s="20"/>
      <c r="B3458" s="58"/>
      <c r="C3458" s="58"/>
      <c r="D3458" s="30"/>
      <c r="E3458" s="41"/>
    </row>
    <row r="3459" ht="15.75" customHeight="1">
      <c r="A3459" s="20"/>
      <c r="B3459" s="58"/>
      <c r="C3459" s="58"/>
      <c r="D3459" s="30"/>
      <c r="E3459" s="41"/>
    </row>
    <row r="3460" ht="15.75" customHeight="1">
      <c r="A3460" s="20"/>
      <c r="B3460" s="58"/>
      <c r="C3460" s="58"/>
      <c r="D3460" s="30"/>
      <c r="E3460" s="41"/>
    </row>
    <row r="3461" ht="15.75" customHeight="1">
      <c r="A3461" s="20"/>
      <c r="B3461" s="58"/>
      <c r="C3461" s="58"/>
      <c r="D3461" s="30"/>
      <c r="E3461" s="41"/>
    </row>
    <row r="3462" ht="15.75" customHeight="1">
      <c r="A3462" s="20"/>
      <c r="B3462" s="58"/>
      <c r="C3462" s="58"/>
      <c r="D3462" s="30"/>
      <c r="E3462" s="41"/>
    </row>
    <row r="3463" ht="15.75" customHeight="1">
      <c r="A3463" s="20"/>
      <c r="B3463" s="58"/>
      <c r="C3463" s="58"/>
      <c r="D3463" s="30"/>
      <c r="E3463" s="41"/>
    </row>
    <row r="3464" ht="15.75" customHeight="1">
      <c r="A3464" s="20"/>
      <c r="B3464" s="58"/>
      <c r="C3464" s="58"/>
      <c r="D3464" s="30"/>
      <c r="E3464" s="41"/>
    </row>
    <row r="3465" ht="15.75" customHeight="1">
      <c r="A3465" s="20"/>
      <c r="B3465" s="58"/>
      <c r="C3465" s="58"/>
      <c r="D3465" s="30"/>
      <c r="E3465" s="41"/>
    </row>
    <row r="3466" ht="15.75" customHeight="1">
      <c r="A3466" s="20"/>
      <c r="B3466" s="58"/>
      <c r="C3466" s="58"/>
      <c r="D3466" s="30"/>
      <c r="E3466" s="41"/>
    </row>
    <row r="3467" ht="15.75" customHeight="1">
      <c r="A3467" s="20"/>
      <c r="B3467" s="58"/>
      <c r="C3467" s="58"/>
      <c r="D3467" s="30"/>
      <c r="E3467" s="41"/>
    </row>
    <row r="3468" ht="15.75" customHeight="1">
      <c r="A3468" s="20"/>
      <c r="B3468" s="58"/>
      <c r="C3468" s="58"/>
      <c r="D3468" s="30"/>
      <c r="E3468" s="41"/>
    </row>
    <row r="3469" ht="15.75" customHeight="1">
      <c r="A3469" s="20"/>
      <c r="B3469" s="58"/>
      <c r="C3469" s="58"/>
      <c r="D3469" s="30"/>
      <c r="E3469" s="41"/>
    </row>
    <row r="3470" ht="15.75" customHeight="1">
      <c r="A3470" s="20"/>
      <c r="B3470" s="58"/>
      <c r="C3470" s="58"/>
      <c r="D3470" s="30"/>
      <c r="E3470" s="41"/>
    </row>
    <row r="3471" ht="15.75" customHeight="1">
      <c r="A3471" s="20"/>
      <c r="B3471" s="58"/>
      <c r="C3471" s="58"/>
      <c r="D3471" s="30"/>
      <c r="E3471" s="41"/>
    </row>
    <row r="3472" ht="15.75" customHeight="1">
      <c r="A3472" s="20"/>
      <c r="B3472" s="58"/>
      <c r="C3472" s="58"/>
      <c r="D3472" s="30"/>
      <c r="E3472" s="41"/>
    </row>
    <row r="3473" ht="15.75" customHeight="1">
      <c r="A3473" s="20"/>
      <c r="B3473" s="58"/>
      <c r="C3473" s="58"/>
      <c r="D3473" s="30"/>
      <c r="E3473" s="41"/>
    </row>
    <row r="3474" ht="15.75" customHeight="1">
      <c r="A3474" s="20"/>
      <c r="B3474" s="58"/>
      <c r="C3474" s="58"/>
      <c r="D3474" s="30"/>
      <c r="E3474" s="41"/>
    </row>
    <row r="3475" ht="15.75" customHeight="1">
      <c r="A3475" s="20"/>
      <c r="B3475" s="58"/>
      <c r="C3475" s="58"/>
      <c r="D3475" s="30"/>
      <c r="E3475" s="41"/>
    </row>
    <row r="3476" ht="15.75" customHeight="1">
      <c r="A3476" s="20"/>
      <c r="B3476" s="58"/>
      <c r="C3476" s="58"/>
      <c r="D3476" s="30"/>
      <c r="E3476" s="41"/>
    </row>
    <row r="3477" ht="15.75" customHeight="1">
      <c r="A3477" s="20"/>
      <c r="B3477" s="58"/>
      <c r="C3477" s="58"/>
      <c r="D3477" s="30"/>
      <c r="E3477" s="41"/>
    </row>
    <row r="3478" ht="15.75" customHeight="1">
      <c r="A3478" s="20"/>
      <c r="B3478" s="58"/>
      <c r="C3478" s="58"/>
      <c r="D3478" s="30"/>
      <c r="E3478" s="41"/>
    </row>
    <row r="3479" ht="15.75" customHeight="1">
      <c r="A3479" s="20"/>
      <c r="B3479" s="58"/>
      <c r="C3479" s="58"/>
      <c r="D3479" s="30"/>
      <c r="E3479" s="41"/>
    </row>
    <row r="3480" ht="15.75" customHeight="1">
      <c r="A3480" s="20"/>
      <c r="B3480" s="58"/>
      <c r="C3480" s="58"/>
      <c r="D3480" s="30"/>
      <c r="E3480" s="41"/>
    </row>
    <row r="3481" ht="15.75" customHeight="1">
      <c r="A3481" s="20"/>
      <c r="B3481" s="58"/>
      <c r="C3481" s="58"/>
      <c r="D3481" s="30"/>
      <c r="E3481" s="41"/>
    </row>
    <row r="3482" ht="15.75" customHeight="1">
      <c r="A3482" s="20"/>
      <c r="B3482" s="58"/>
      <c r="C3482" s="58"/>
      <c r="D3482" s="30"/>
      <c r="E3482" s="41"/>
    </row>
    <row r="3483" ht="15.75" customHeight="1">
      <c r="A3483" s="20"/>
      <c r="B3483" s="58"/>
      <c r="C3483" s="58"/>
      <c r="D3483" s="30"/>
      <c r="E3483" s="41"/>
    </row>
    <row r="3484" ht="15.75" customHeight="1">
      <c r="A3484" s="20"/>
      <c r="B3484" s="58"/>
      <c r="C3484" s="58"/>
      <c r="D3484" s="30"/>
      <c r="E3484" s="41"/>
    </row>
    <row r="3485" ht="15.75" customHeight="1">
      <c r="A3485" s="20"/>
      <c r="B3485" s="58"/>
      <c r="C3485" s="58"/>
      <c r="D3485" s="30"/>
      <c r="E3485" s="41"/>
    </row>
    <row r="3486" ht="15.75" customHeight="1">
      <c r="A3486" s="20"/>
      <c r="B3486" s="58"/>
      <c r="C3486" s="58"/>
      <c r="D3486" s="30"/>
      <c r="E3486" s="41"/>
    </row>
    <row r="3487" ht="15.75" customHeight="1">
      <c r="A3487" s="20"/>
      <c r="B3487" s="58"/>
      <c r="C3487" s="58"/>
      <c r="D3487" s="30"/>
      <c r="E3487" s="41"/>
    </row>
    <row r="3488" ht="15.75" customHeight="1">
      <c r="A3488" s="20"/>
      <c r="B3488" s="58"/>
      <c r="C3488" s="58"/>
      <c r="D3488" s="30"/>
      <c r="E3488" s="41"/>
    </row>
    <row r="3489" ht="15.75" customHeight="1">
      <c r="A3489" s="20"/>
      <c r="B3489" s="58"/>
      <c r="C3489" s="58"/>
      <c r="D3489" s="30"/>
      <c r="E3489" s="41"/>
    </row>
    <row r="3490" ht="15.75" customHeight="1">
      <c r="A3490" s="20"/>
      <c r="B3490" s="58"/>
      <c r="C3490" s="58"/>
      <c r="D3490" s="30"/>
      <c r="E3490" s="41"/>
    </row>
    <row r="3491" ht="15.75" customHeight="1">
      <c r="A3491" s="20"/>
      <c r="B3491" s="58"/>
      <c r="C3491" s="58"/>
      <c r="D3491" s="30"/>
      <c r="E3491" s="41"/>
    </row>
    <row r="3492" ht="15.75" customHeight="1">
      <c r="A3492" s="20"/>
      <c r="B3492" s="58"/>
      <c r="C3492" s="58"/>
      <c r="D3492" s="30"/>
      <c r="E3492" s="41"/>
    </row>
    <row r="3493" ht="15.75" customHeight="1">
      <c r="A3493" s="20"/>
      <c r="B3493" s="58"/>
      <c r="C3493" s="58"/>
      <c r="D3493" s="30"/>
      <c r="E3493" s="41"/>
    </row>
    <row r="3494" ht="15.75" customHeight="1">
      <c r="A3494" s="20"/>
      <c r="B3494" s="58"/>
      <c r="C3494" s="58"/>
      <c r="D3494" s="30"/>
      <c r="E3494" s="41"/>
    </row>
    <row r="3495" ht="15.75" customHeight="1">
      <c r="A3495" s="20"/>
      <c r="B3495" s="58"/>
      <c r="C3495" s="58"/>
      <c r="D3495" s="30"/>
      <c r="E3495" s="41"/>
    </row>
    <row r="3496" ht="15.75" customHeight="1">
      <c r="A3496" s="20"/>
      <c r="B3496" s="58"/>
      <c r="C3496" s="58"/>
      <c r="D3496" s="30"/>
      <c r="E3496" s="41"/>
    </row>
    <row r="3497" ht="15.75" customHeight="1">
      <c r="A3497" s="20"/>
      <c r="B3497" s="58"/>
      <c r="C3497" s="58"/>
      <c r="D3497" s="30"/>
      <c r="E3497" s="41"/>
    </row>
    <row r="3498" ht="15.75" customHeight="1">
      <c r="A3498" s="20"/>
      <c r="B3498" s="58"/>
      <c r="C3498" s="58"/>
      <c r="D3498" s="30"/>
      <c r="E3498" s="41"/>
    </row>
    <row r="3499" ht="15.75" customHeight="1">
      <c r="A3499" s="20"/>
      <c r="B3499" s="58"/>
      <c r="C3499" s="58"/>
      <c r="D3499" s="30"/>
      <c r="E3499" s="41"/>
    </row>
    <row r="3500" ht="15.75" customHeight="1">
      <c r="A3500" s="20"/>
      <c r="B3500" s="58"/>
      <c r="C3500" s="58"/>
      <c r="D3500" s="30"/>
      <c r="E3500" s="41"/>
    </row>
    <row r="3501" ht="15.75" customHeight="1">
      <c r="A3501" s="20"/>
      <c r="B3501" s="58"/>
      <c r="C3501" s="58"/>
      <c r="D3501" s="30"/>
      <c r="E3501" s="41"/>
    </row>
    <row r="3502" ht="15.75" customHeight="1">
      <c r="A3502" s="20"/>
      <c r="B3502" s="58"/>
      <c r="C3502" s="58"/>
      <c r="D3502" s="30"/>
      <c r="E3502" s="41"/>
    </row>
    <row r="3503" ht="15.75" customHeight="1">
      <c r="A3503" s="20"/>
      <c r="B3503" s="58"/>
      <c r="C3503" s="58"/>
      <c r="D3503" s="30"/>
      <c r="E3503" s="41"/>
    </row>
    <row r="3504" ht="15.75" customHeight="1">
      <c r="A3504" s="20"/>
      <c r="B3504" s="58"/>
      <c r="C3504" s="58"/>
      <c r="D3504" s="30"/>
      <c r="E3504" s="41"/>
    </row>
    <row r="3505" ht="15.75" customHeight="1">
      <c r="A3505" s="20"/>
      <c r="B3505" s="58"/>
      <c r="C3505" s="58"/>
      <c r="D3505" s="30"/>
      <c r="E3505" s="41"/>
    </row>
    <row r="3506" ht="15.75" customHeight="1">
      <c r="A3506" s="20"/>
      <c r="B3506" s="58"/>
      <c r="C3506" s="58"/>
      <c r="D3506" s="30"/>
      <c r="E3506" s="41"/>
    </row>
    <row r="3507" ht="15.75" customHeight="1">
      <c r="A3507" s="20"/>
      <c r="B3507" s="58"/>
      <c r="C3507" s="58"/>
      <c r="D3507" s="30"/>
      <c r="E3507" s="41"/>
    </row>
    <row r="3508" ht="15.75" customHeight="1">
      <c r="A3508" s="20"/>
      <c r="B3508" s="58"/>
      <c r="C3508" s="58"/>
      <c r="D3508" s="30"/>
      <c r="E3508" s="41"/>
    </row>
    <row r="3509" ht="15.75" customHeight="1">
      <c r="A3509" s="20"/>
      <c r="B3509" s="58"/>
      <c r="C3509" s="58"/>
      <c r="D3509" s="30"/>
      <c r="E3509" s="41"/>
    </row>
    <row r="3510" ht="15.75" customHeight="1">
      <c r="A3510" s="20"/>
      <c r="B3510" s="58"/>
      <c r="C3510" s="58"/>
      <c r="D3510" s="30"/>
      <c r="E3510" s="41"/>
    </row>
    <row r="3511" ht="15.75" customHeight="1">
      <c r="A3511" s="20"/>
      <c r="B3511" s="58"/>
      <c r="C3511" s="58"/>
      <c r="D3511" s="30"/>
      <c r="E3511" s="41"/>
    </row>
    <row r="3512" ht="15.75" customHeight="1">
      <c r="A3512" s="20"/>
      <c r="B3512" s="58"/>
      <c r="C3512" s="58"/>
      <c r="D3512" s="30"/>
      <c r="E3512" s="41"/>
    </row>
    <row r="3513" ht="15.75" customHeight="1">
      <c r="A3513" s="20"/>
      <c r="B3513" s="58"/>
      <c r="C3513" s="58"/>
      <c r="D3513" s="30"/>
      <c r="E3513" s="41"/>
    </row>
    <row r="3514" ht="15.75" customHeight="1">
      <c r="A3514" s="20"/>
      <c r="B3514" s="58"/>
      <c r="C3514" s="58"/>
      <c r="D3514" s="30"/>
      <c r="E3514" s="41"/>
    </row>
    <row r="3515" ht="15.75" customHeight="1">
      <c r="A3515" s="20"/>
      <c r="B3515" s="58"/>
      <c r="C3515" s="58"/>
      <c r="D3515" s="30"/>
      <c r="E3515" s="41"/>
    </row>
    <row r="3516" ht="15.75" customHeight="1">
      <c r="A3516" s="20"/>
      <c r="B3516" s="58"/>
      <c r="C3516" s="58"/>
      <c r="D3516" s="30"/>
      <c r="E3516" s="41"/>
    </row>
    <row r="3517" ht="15.75" customHeight="1">
      <c r="A3517" s="20"/>
      <c r="B3517" s="58"/>
      <c r="C3517" s="58"/>
      <c r="D3517" s="30"/>
      <c r="E3517" s="41"/>
    </row>
    <row r="3518" ht="15.75" customHeight="1">
      <c r="A3518" s="20"/>
      <c r="B3518" s="58"/>
      <c r="C3518" s="58"/>
      <c r="D3518" s="30"/>
      <c r="E3518" s="41"/>
    </row>
    <row r="3519" ht="15.75" customHeight="1">
      <c r="A3519" s="20"/>
      <c r="B3519" s="58"/>
      <c r="C3519" s="58"/>
      <c r="D3519" s="30"/>
      <c r="E3519" s="41"/>
    </row>
    <row r="3520" ht="15.75" customHeight="1">
      <c r="A3520" s="20"/>
      <c r="B3520" s="58"/>
      <c r="C3520" s="58"/>
      <c r="D3520" s="30"/>
      <c r="E3520" s="41"/>
    </row>
    <row r="3521" ht="15.75" customHeight="1">
      <c r="A3521" s="20"/>
      <c r="B3521" s="58"/>
      <c r="C3521" s="58"/>
      <c r="D3521" s="30"/>
      <c r="E3521" s="41"/>
    </row>
    <row r="3522" ht="15.75" customHeight="1">
      <c r="A3522" s="20"/>
      <c r="B3522" s="58"/>
      <c r="C3522" s="58"/>
      <c r="D3522" s="30"/>
      <c r="E3522" s="41"/>
    </row>
    <row r="3523" ht="15.75" customHeight="1">
      <c r="A3523" s="20"/>
      <c r="B3523" s="58"/>
      <c r="C3523" s="58"/>
      <c r="D3523" s="30"/>
      <c r="E3523" s="41"/>
    </row>
    <row r="3524" ht="15.75" customHeight="1">
      <c r="A3524" s="20"/>
      <c r="B3524" s="58"/>
      <c r="C3524" s="58"/>
      <c r="D3524" s="30"/>
      <c r="E3524" s="41"/>
    </row>
    <row r="3525" ht="15.75" customHeight="1">
      <c r="A3525" s="20"/>
      <c r="B3525" s="58"/>
      <c r="C3525" s="58"/>
      <c r="D3525" s="30"/>
      <c r="E3525" s="41"/>
    </row>
    <row r="3526" ht="15.75" customHeight="1">
      <c r="A3526" s="20"/>
      <c r="B3526" s="58"/>
      <c r="C3526" s="58"/>
      <c r="D3526" s="30"/>
      <c r="E3526" s="41"/>
    </row>
    <row r="3527" ht="15.75" customHeight="1">
      <c r="A3527" s="20"/>
      <c r="B3527" s="58"/>
      <c r="C3527" s="58"/>
      <c r="D3527" s="30"/>
      <c r="E3527" s="41"/>
    </row>
    <row r="3528" ht="15.75" customHeight="1">
      <c r="A3528" s="20"/>
      <c r="B3528" s="58"/>
      <c r="C3528" s="58"/>
      <c r="D3528" s="30"/>
      <c r="E3528" s="41"/>
    </row>
    <row r="3529" ht="15.75" customHeight="1">
      <c r="A3529" s="20"/>
      <c r="B3529" s="58"/>
      <c r="C3529" s="58"/>
      <c r="D3529" s="30"/>
      <c r="E3529" s="41"/>
    </row>
    <row r="3530" ht="15.75" customHeight="1">
      <c r="A3530" s="20"/>
      <c r="B3530" s="58"/>
      <c r="C3530" s="58"/>
      <c r="D3530" s="30"/>
      <c r="E3530" s="41"/>
    </row>
    <row r="3531" ht="15.75" customHeight="1">
      <c r="A3531" s="20"/>
      <c r="B3531" s="58"/>
      <c r="C3531" s="58"/>
      <c r="D3531" s="30"/>
      <c r="E3531" s="41"/>
    </row>
    <row r="3532" ht="15.75" customHeight="1">
      <c r="A3532" s="20"/>
      <c r="B3532" s="58"/>
      <c r="C3532" s="58"/>
      <c r="D3532" s="30"/>
      <c r="E3532" s="41"/>
    </row>
    <row r="3533" ht="15.75" customHeight="1">
      <c r="A3533" s="20"/>
      <c r="B3533" s="58"/>
      <c r="C3533" s="58"/>
      <c r="D3533" s="30"/>
      <c r="E3533" s="41"/>
    </row>
    <row r="3534" ht="15.75" customHeight="1">
      <c r="A3534" s="20"/>
      <c r="B3534" s="58"/>
      <c r="C3534" s="58"/>
      <c r="D3534" s="30"/>
      <c r="E3534" s="41"/>
    </row>
    <row r="3535" ht="15.75" customHeight="1">
      <c r="A3535" s="20"/>
      <c r="B3535" s="58"/>
      <c r="C3535" s="58"/>
      <c r="D3535" s="30"/>
      <c r="E3535" s="41"/>
    </row>
    <row r="3536" ht="15.75" customHeight="1">
      <c r="A3536" s="20"/>
      <c r="B3536" s="58"/>
      <c r="C3536" s="58"/>
      <c r="D3536" s="30"/>
      <c r="E3536" s="41"/>
    </row>
    <row r="3537" ht="15.75" customHeight="1">
      <c r="A3537" s="20"/>
      <c r="B3537" s="58"/>
      <c r="C3537" s="58"/>
      <c r="D3537" s="30"/>
      <c r="E3537" s="41"/>
    </row>
    <row r="3538" ht="15.75" customHeight="1">
      <c r="A3538" s="20"/>
      <c r="B3538" s="58"/>
      <c r="C3538" s="58"/>
      <c r="D3538" s="30"/>
      <c r="E3538" s="41"/>
    </row>
    <row r="3539" ht="15.75" customHeight="1">
      <c r="A3539" s="20"/>
      <c r="B3539" s="58"/>
      <c r="C3539" s="58"/>
      <c r="D3539" s="30"/>
      <c r="E3539" s="41"/>
    </row>
    <row r="3540" ht="15.75" customHeight="1">
      <c r="A3540" s="20"/>
      <c r="B3540" s="58"/>
      <c r="C3540" s="58"/>
      <c r="D3540" s="30"/>
      <c r="E3540" s="41"/>
    </row>
    <row r="3541" ht="15.75" customHeight="1">
      <c r="A3541" s="20"/>
      <c r="B3541" s="58"/>
      <c r="C3541" s="58"/>
      <c r="D3541" s="30"/>
      <c r="E3541" s="41"/>
    </row>
    <row r="3542" ht="15.75" customHeight="1">
      <c r="A3542" s="20"/>
      <c r="B3542" s="58"/>
      <c r="C3542" s="58"/>
      <c r="D3542" s="30"/>
      <c r="E3542" s="41"/>
    </row>
    <row r="3543" ht="15.75" customHeight="1">
      <c r="A3543" s="20"/>
      <c r="B3543" s="58"/>
      <c r="C3543" s="58"/>
      <c r="D3543" s="30"/>
      <c r="E3543" s="41"/>
    </row>
    <row r="3544" ht="15.75" customHeight="1">
      <c r="A3544" s="20"/>
      <c r="B3544" s="58"/>
      <c r="C3544" s="58"/>
      <c r="D3544" s="30"/>
      <c r="E3544" s="41"/>
    </row>
    <row r="3545" ht="15.75" customHeight="1">
      <c r="A3545" s="20"/>
      <c r="B3545" s="58"/>
      <c r="C3545" s="58"/>
      <c r="D3545" s="30"/>
      <c r="E3545" s="41"/>
    </row>
    <row r="3546" ht="15.75" customHeight="1">
      <c r="A3546" s="20"/>
      <c r="B3546" s="58"/>
      <c r="C3546" s="58"/>
      <c r="D3546" s="30"/>
      <c r="E3546" s="41"/>
    </row>
    <row r="3547" ht="15.75" customHeight="1">
      <c r="A3547" s="20"/>
      <c r="B3547" s="58"/>
      <c r="C3547" s="58"/>
      <c r="D3547" s="30"/>
      <c r="E3547" s="41"/>
    </row>
    <row r="3548" ht="15.75" customHeight="1">
      <c r="A3548" s="20"/>
      <c r="B3548" s="58"/>
      <c r="C3548" s="58"/>
      <c r="D3548" s="30"/>
      <c r="E3548" s="41"/>
    </row>
    <row r="3549" ht="15.75" customHeight="1">
      <c r="A3549" s="20"/>
      <c r="B3549" s="58"/>
      <c r="C3549" s="58"/>
      <c r="D3549" s="30"/>
      <c r="E3549" s="41"/>
    </row>
    <row r="3550" ht="15.75" customHeight="1">
      <c r="A3550" s="20"/>
      <c r="B3550" s="58"/>
      <c r="C3550" s="58"/>
      <c r="D3550" s="30"/>
      <c r="E3550" s="41"/>
    </row>
    <row r="3551" ht="15.75" customHeight="1">
      <c r="A3551" s="20"/>
      <c r="B3551" s="58"/>
      <c r="C3551" s="58"/>
      <c r="D3551" s="30"/>
      <c r="E3551" s="41"/>
    </row>
    <row r="3552" ht="15.75" customHeight="1">
      <c r="A3552" s="20"/>
      <c r="B3552" s="58"/>
      <c r="C3552" s="58"/>
      <c r="D3552" s="30"/>
      <c r="E3552" s="41"/>
    </row>
    <row r="3553" ht="15.75" customHeight="1">
      <c r="A3553" s="20"/>
      <c r="B3553" s="58"/>
      <c r="C3553" s="58"/>
      <c r="D3553" s="30"/>
      <c r="E3553" s="41"/>
    </row>
    <row r="3554" ht="15.75" customHeight="1">
      <c r="A3554" s="20"/>
      <c r="B3554" s="58"/>
      <c r="C3554" s="58"/>
      <c r="D3554" s="30"/>
      <c r="E3554" s="41"/>
    </row>
    <row r="3555" ht="15.75" customHeight="1">
      <c r="A3555" s="20"/>
      <c r="B3555" s="58"/>
      <c r="C3555" s="58"/>
      <c r="D3555" s="30"/>
      <c r="E3555" s="41"/>
    </row>
    <row r="3556" ht="15.75" customHeight="1">
      <c r="A3556" s="20"/>
      <c r="B3556" s="58"/>
      <c r="C3556" s="58"/>
      <c r="D3556" s="30"/>
      <c r="E3556" s="41"/>
    </row>
    <row r="3557" ht="15.75" customHeight="1">
      <c r="A3557" s="20"/>
      <c r="B3557" s="58"/>
      <c r="C3557" s="58"/>
      <c r="D3557" s="30"/>
      <c r="E3557" s="41"/>
    </row>
    <row r="3558" ht="15.75" customHeight="1">
      <c r="A3558" s="20"/>
      <c r="B3558" s="58"/>
      <c r="C3558" s="58"/>
      <c r="D3558" s="30"/>
      <c r="E3558" s="41"/>
    </row>
    <row r="3559" ht="15.75" customHeight="1">
      <c r="A3559" s="20"/>
      <c r="B3559" s="58"/>
      <c r="C3559" s="58"/>
      <c r="D3559" s="30"/>
      <c r="E3559" s="41"/>
    </row>
    <row r="3560" ht="15.75" customHeight="1">
      <c r="A3560" s="20"/>
      <c r="B3560" s="58"/>
      <c r="C3560" s="58"/>
      <c r="D3560" s="30"/>
      <c r="E3560" s="41"/>
    </row>
    <row r="3561" ht="15.75" customHeight="1">
      <c r="A3561" s="20"/>
      <c r="B3561" s="58"/>
      <c r="C3561" s="58"/>
      <c r="D3561" s="30"/>
      <c r="E3561" s="41"/>
    </row>
    <row r="3562" ht="15.75" customHeight="1">
      <c r="A3562" s="20"/>
      <c r="B3562" s="58"/>
      <c r="C3562" s="58"/>
      <c r="D3562" s="30"/>
      <c r="E3562" s="41"/>
    </row>
    <row r="3563" ht="15.75" customHeight="1">
      <c r="A3563" s="20"/>
      <c r="B3563" s="58"/>
      <c r="C3563" s="58"/>
      <c r="D3563" s="30"/>
      <c r="E3563" s="41"/>
    </row>
    <row r="3564" ht="15.75" customHeight="1">
      <c r="A3564" s="20"/>
      <c r="B3564" s="58"/>
      <c r="C3564" s="58"/>
      <c r="D3564" s="30"/>
      <c r="E3564" s="41"/>
    </row>
    <row r="3565" ht="15.75" customHeight="1">
      <c r="A3565" s="20"/>
      <c r="B3565" s="58"/>
      <c r="C3565" s="58"/>
      <c r="D3565" s="30"/>
      <c r="E3565" s="41"/>
    </row>
    <row r="3566" ht="15.75" customHeight="1">
      <c r="A3566" s="20"/>
      <c r="B3566" s="58"/>
      <c r="C3566" s="58"/>
      <c r="D3566" s="30"/>
      <c r="E3566" s="41"/>
    </row>
    <row r="3567" ht="15.75" customHeight="1">
      <c r="A3567" s="20"/>
      <c r="B3567" s="58"/>
      <c r="C3567" s="58"/>
      <c r="D3567" s="30"/>
      <c r="E3567" s="41"/>
    </row>
    <row r="3568" ht="15.75" customHeight="1">
      <c r="A3568" s="20"/>
      <c r="B3568" s="58"/>
      <c r="C3568" s="58"/>
      <c r="D3568" s="30"/>
      <c r="E3568" s="41"/>
    </row>
    <row r="3569" ht="15.75" customHeight="1">
      <c r="A3569" s="20"/>
      <c r="B3569" s="58"/>
      <c r="C3569" s="58"/>
      <c r="D3569" s="30"/>
      <c r="E3569" s="41"/>
    </row>
    <row r="3570" ht="15.75" customHeight="1">
      <c r="A3570" s="20"/>
      <c r="B3570" s="58"/>
      <c r="C3570" s="58"/>
      <c r="D3570" s="30"/>
      <c r="E3570" s="41"/>
    </row>
    <row r="3571" ht="15.75" customHeight="1">
      <c r="A3571" s="20"/>
      <c r="B3571" s="58"/>
      <c r="C3571" s="58"/>
      <c r="D3571" s="30"/>
      <c r="E3571" s="41"/>
    </row>
    <row r="3572" ht="15.75" customHeight="1">
      <c r="A3572" s="20"/>
      <c r="B3572" s="58"/>
      <c r="C3572" s="58"/>
      <c r="D3572" s="30"/>
      <c r="E3572" s="41"/>
    </row>
    <row r="3573" ht="15.75" customHeight="1">
      <c r="A3573" s="20"/>
      <c r="B3573" s="58"/>
      <c r="C3573" s="58"/>
      <c r="D3573" s="30"/>
      <c r="E3573" s="41"/>
    </row>
    <row r="3574" ht="15.75" customHeight="1">
      <c r="A3574" s="20"/>
      <c r="B3574" s="58"/>
      <c r="C3574" s="58"/>
      <c r="D3574" s="30"/>
      <c r="E3574" s="41"/>
    </row>
    <row r="3575" ht="15.75" customHeight="1">
      <c r="A3575" s="20"/>
      <c r="B3575" s="58"/>
      <c r="C3575" s="58"/>
      <c r="D3575" s="30"/>
      <c r="E3575" s="41"/>
    </row>
    <row r="3576" ht="15.75" customHeight="1">
      <c r="A3576" s="20"/>
      <c r="B3576" s="58"/>
      <c r="C3576" s="58"/>
      <c r="D3576" s="30"/>
      <c r="E3576" s="41"/>
    </row>
    <row r="3577" ht="15.75" customHeight="1">
      <c r="A3577" s="20"/>
      <c r="B3577" s="58"/>
      <c r="C3577" s="58"/>
      <c r="D3577" s="30"/>
      <c r="E3577" s="41"/>
    </row>
    <row r="3578" ht="15.75" customHeight="1">
      <c r="A3578" s="20"/>
      <c r="B3578" s="58"/>
      <c r="C3578" s="58"/>
      <c r="D3578" s="30"/>
      <c r="E3578" s="41"/>
    </row>
    <row r="3579" ht="15.75" customHeight="1">
      <c r="A3579" s="20"/>
      <c r="B3579" s="58"/>
      <c r="C3579" s="58"/>
      <c r="D3579" s="30"/>
      <c r="E3579" s="41"/>
    </row>
    <row r="3580" ht="15.75" customHeight="1">
      <c r="A3580" s="20"/>
      <c r="B3580" s="58"/>
      <c r="C3580" s="58"/>
      <c r="D3580" s="30"/>
      <c r="E3580" s="41"/>
    </row>
    <row r="3581" ht="15.75" customHeight="1">
      <c r="A3581" s="20"/>
      <c r="B3581" s="58"/>
      <c r="C3581" s="58"/>
      <c r="D3581" s="30"/>
      <c r="E3581" s="41"/>
    </row>
    <row r="3582" ht="15.75" customHeight="1">
      <c r="A3582" s="20"/>
      <c r="B3582" s="58"/>
      <c r="C3582" s="58"/>
      <c r="D3582" s="30"/>
      <c r="E3582" s="41"/>
    </row>
    <row r="3583" ht="15.75" customHeight="1">
      <c r="A3583" s="20"/>
      <c r="B3583" s="58"/>
      <c r="C3583" s="58"/>
      <c r="D3583" s="30"/>
      <c r="E3583" s="41"/>
    </row>
    <row r="3584" ht="15.75" customHeight="1">
      <c r="A3584" s="20"/>
      <c r="B3584" s="58"/>
      <c r="C3584" s="58"/>
      <c r="D3584" s="30"/>
      <c r="E3584" s="41"/>
    </row>
    <row r="3585" ht="15.75" customHeight="1">
      <c r="A3585" s="20"/>
      <c r="B3585" s="58"/>
      <c r="C3585" s="58"/>
      <c r="D3585" s="30"/>
      <c r="E3585" s="41"/>
    </row>
    <row r="3586" ht="15.75" customHeight="1">
      <c r="A3586" s="20"/>
      <c r="B3586" s="58"/>
      <c r="C3586" s="58"/>
      <c r="D3586" s="30"/>
      <c r="E3586" s="41"/>
    </row>
    <row r="3587" ht="15.75" customHeight="1">
      <c r="A3587" s="20"/>
      <c r="B3587" s="58"/>
      <c r="C3587" s="58"/>
      <c r="D3587" s="30"/>
      <c r="E3587" s="41"/>
    </row>
    <row r="3588" ht="15.75" customHeight="1">
      <c r="A3588" s="20"/>
      <c r="B3588" s="58"/>
      <c r="C3588" s="58"/>
      <c r="D3588" s="30"/>
      <c r="E3588" s="41"/>
    </row>
    <row r="3589" ht="15.75" customHeight="1">
      <c r="A3589" s="20"/>
      <c r="B3589" s="58"/>
      <c r="C3589" s="58"/>
      <c r="D3589" s="30"/>
      <c r="E3589" s="41"/>
    </row>
    <row r="3590" ht="15.75" customHeight="1">
      <c r="A3590" s="20"/>
      <c r="B3590" s="58"/>
      <c r="C3590" s="58"/>
      <c r="D3590" s="30"/>
      <c r="E3590" s="41"/>
    </row>
    <row r="3591" ht="15.75" customHeight="1">
      <c r="A3591" s="20"/>
      <c r="B3591" s="58"/>
      <c r="C3591" s="58"/>
      <c r="D3591" s="30"/>
      <c r="E3591" s="41"/>
    </row>
    <row r="3592" ht="15.75" customHeight="1">
      <c r="A3592" s="20"/>
      <c r="B3592" s="58"/>
      <c r="C3592" s="58"/>
      <c r="D3592" s="30"/>
      <c r="E3592" s="41"/>
    </row>
    <row r="3593" ht="15.75" customHeight="1">
      <c r="A3593" s="20"/>
      <c r="B3593" s="58"/>
      <c r="C3593" s="58"/>
      <c r="D3593" s="30"/>
      <c r="E3593" s="41"/>
    </row>
    <row r="3594" ht="15.75" customHeight="1">
      <c r="A3594" s="20"/>
      <c r="B3594" s="58"/>
      <c r="C3594" s="58"/>
      <c r="D3594" s="30"/>
      <c r="E3594" s="41"/>
    </row>
    <row r="3595" ht="15.75" customHeight="1">
      <c r="A3595" s="20"/>
      <c r="B3595" s="58"/>
      <c r="C3595" s="58"/>
      <c r="D3595" s="30"/>
      <c r="E3595" s="41"/>
    </row>
    <row r="3596" ht="15.75" customHeight="1">
      <c r="A3596" s="20"/>
      <c r="B3596" s="58"/>
      <c r="C3596" s="58"/>
      <c r="D3596" s="30"/>
      <c r="E3596" s="41"/>
    </row>
    <row r="3597" ht="15.75" customHeight="1">
      <c r="A3597" s="20"/>
      <c r="B3597" s="58"/>
      <c r="C3597" s="58"/>
      <c r="D3597" s="30"/>
      <c r="E3597" s="41"/>
    </row>
    <row r="3598" ht="15.75" customHeight="1">
      <c r="A3598" s="20"/>
      <c r="B3598" s="58"/>
      <c r="C3598" s="58"/>
      <c r="D3598" s="30"/>
      <c r="E3598" s="41"/>
    </row>
  </sheetData>
  <autoFilter ref="$A$3:$H$3398">
    <filterColumn colId="0">
      <filters>
        <filter val="Oruro"/>
      </filters>
    </filterColumn>
    <filterColumn colId="4">
      <colorFilter dxfId="2"/>
    </filterColumn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 ht="15.0" customHeight="1">
      <c r="A1" s="59"/>
      <c r="B1" s="59" t="s">
        <v>703</v>
      </c>
      <c r="C1" s="60"/>
      <c r="D1" s="59" t="s">
        <v>704</v>
      </c>
      <c r="E1" s="60"/>
      <c r="F1" s="59" t="s">
        <v>705</v>
      </c>
      <c r="G1" s="60"/>
      <c r="H1" s="59" t="s">
        <v>706</v>
      </c>
      <c r="I1" s="60"/>
      <c r="J1" s="59" t="s">
        <v>707</v>
      </c>
      <c r="K1" s="60"/>
      <c r="L1" s="59" t="s">
        <v>708</v>
      </c>
      <c r="M1" s="60"/>
      <c r="N1" s="20" t="s">
        <v>8</v>
      </c>
    </row>
    <row r="2" ht="15.0" customHeight="1">
      <c r="A2" s="61"/>
      <c r="B2" s="62"/>
      <c r="C2" s="63">
        <v>2024.0</v>
      </c>
      <c r="D2" s="62"/>
      <c r="E2" s="63">
        <v>2024.0</v>
      </c>
      <c r="F2" s="62"/>
      <c r="G2" s="64">
        <v>2024.0</v>
      </c>
      <c r="H2" s="62"/>
      <c r="I2" s="63">
        <v>2024.0</v>
      </c>
      <c r="J2" s="62"/>
      <c r="K2" s="63">
        <v>2024.0</v>
      </c>
      <c r="L2" s="62"/>
      <c r="M2" s="64">
        <v>2024.0</v>
      </c>
    </row>
    <row r="3" ht="15.0" customHeight="1">
      <c r="A3" s="65">
        <v>1.0</v>
      </c>
      <c r="B3" s="66" t="s">
        <v>9</v>
      </c>
      <c r="C3" s="67">
        <v>186.23313491299</v>
      </c>
      <c r="D3" s="66" t="s">
        <v>9</v>
      </c>
      <c r="E3" s="68"/>
      <c r="F3" s="66" t="s">
        <v>9</v>
      </c>
      <c r="G3" s="68"/>
      <c r="H3" s="66" t="s">
        <v>9</v>
      </c>
      <c r="I3" s="68"/>
      <c r="J3" s="66" t="s">
        <v>9</v>
      </c>
      <c r="K3" s="68"/>
      <c r="L3" s="66" t="s">
        <v>9</v>
      </c>
      <c r="M3" s="68"/>
      <c r="N3" s="69">
        <f t="shared" ref="N3:N12" si="1">C3+E3+G3+I3+K3+M3</f>
        <v>186.2331349</v>
      </c>
      <c r="O3" s="20">
        <f t="shared" ref="O3:O12" si="2">N3*1000</f>
        <v>186233.1349</v>
      </c>
    </row>
    <row r="4" ht="15.0" customHeight="1">
      <c r="A4" s="65">
        <v>2.0</v>
      </c>
      <c r="B4" s="66" t="s">
        <v>51</v>
      </c>
      <c r="C4" s="67">
        <v>37.15960603861</v>
      </c>
      <c r="D4" s="66" t="s">
        <v>51</v>
      </c>
      <c r="E4" s="67">
        <v>1337.2621965965</v>
      </c>
      <c r="F4" s="66" t="s">
        <v>51</v>
      </c>
      <c r="G4" s="67">
        <v>0.107409227459</v>
      </c>
      <c r="H4" s="66" t="s">
        <v>51</v>
      </c>
      <c r="I4" s="67">
        <v>12.041309544996</v>
      </c>
      <c r="J4" s="66" t="s">
        <v>51</v>
      </c>
      <c r="K4" s="67">
        <v>2.1222248883191</v>
      </c>
      <c r="L4" s="66" t="s">
        <v>51</v>
      </c>
      <c r="M4" s="67">
        <v>0.52462032401709</v>
      </c>
      <c r="N4" s="69">
        <f t="shared" si="1"/>
        <v>1389.217367</v>
      </c>
      <c r="O4" s="20">
        <f t="shared" si="2"/>
        <v>1389217.367</v>
      </c>
    </row>
    <row r="5" ht="15.0" customHeight="1">
      <c r="A5" s="65">
        <v>3.0</v>
      </c>
      <c r="B5" s="66" t="s">
        <v>105</v>
      </c>
      <c r="C5" s="67">
        <v>42.749546394443</v>
      </c>
      <c r="D5" s="66" t="s">
        <v>105</v>
      </c>
      <c r="E5" s="67">
        <v>809.18212591374</v>
      </c>
      <c r="F5" s="66" t="s">
        <v>105</v>
      </c>
      <c r="G5" s="67">
        <v>0.10850369399703</v>
      </c>
      <c r="H5" s="66" t="s">
        <v>105</v>
      </c>
      <c r="I5" s="67">
        <v>4.4931921716464</v>
      </c>
      <c r="J5" s="66" t="s">
        <v>105</v>
      </c>
      <c r="K5" s="68"/>
      <c r="L5" s="66" t="s">
        <v>105</v>
      </c>
      <c r="M5" s="67">
        <v>10.268538324835</v>
      </c>
      <c r="N5" s="69">
        <f t="shared" si="1"/>
        <v>866.8019065</v>
      </c>
      <c r="O5" s="20">
        <f t="shared" si="2"/>
        <v>866801.9065</v>
      </c>
    </row>
    <row r="6" ht="15.0" customHeight="1">
      <c r="A6" s="65">
        <v>4.0</v>
      </c>
      <c r="B6" s="66" t="s">
        <v>151</v>
      </c>
      <c r="C6" s="67">
        <v>21.976648386539</v>
      </c>
      <c r="D6" s="66" t="s">
        <v>151</v>
      </c>
      <c r="E6" s="67">
        <v>327.23271855874</v>
      </c>
      <c r="F6" s="66" t="s">
        <v>151</v>
      </c>
      <c r="G6" s="68"/>
      <c r="H6" s="66" t="s">
        <v>151</v>
      </c>
      <c r="I6" s="68"/>
      <c r="J6" s="66" t="s">
        <v>151</v>
      </c>
      <c r="K6" s="68"/>
      <c r="L6" s="66" t="s">
        <v>151</v>
      </c>
      <c r="M6" s="68"/>
      <c r="N6" s="69">
        <f t="shared" si="1"/>
        <v>349.2093669</v>
      </c>
      <c r="O6" s="20">
        <f t="shared" si="2"/>
        <v>349209.3669</v>
      </c>
    </row>
    <row r="7" ht="15.0" customHeight="1">
      <c r="A7" s="65">
        <v>5.0</v>
      </c>
      <c r="B7" s="66" t="s">
        <v>183</v>
      </c>
      <c r="C7" s="67">
        <v>275.23630478495</v>
      </c>
      <c r="D7" s="66" t="s">
        <v>183</v>
      </c>
      <c r="E7" s="68"/>
      <c r="F7" s="66" t="s">
        <v>183</v>
      </c>
      <c r="G7" s="68"/>
      <c r="H7" s="66" t="s">
        <v>183</v>
      </c>
      <c r="I7" s="68"/>
      <c r="J7" s="66" t="s">
        <v>183</v>
      </c>
      <c r="K7" s="68"/>
      <c r="L7" s="66" t="s">
        <v>183</v>
      </c>
      <c r="M7" s="68"/>
      <c r="N7" s="69">
        <f t="shared" si="1"/>
        <v>275.2363048</v>
      </c>
      <c r="O7" s="20">
        <f t="shared" si="2"/>
        <v>275236.3048</v>
      </c>
    </row>
    <row r="8" ht="15.0" customHeight="1">
      <c r="A8" s="65">
        <v>6.0</v>
      </c>
      <c r="B8" s="66" t="s">
        <v>213</v>
      </c>
      <c r="C8" s="67">
        <v>147.66592279656</v>
      </c>
      <c r="D8" s="66" t="s">
        <v>213</v>
      </c>
      <c r="E8" s="67">
        <v>73.642447336649</v>
      </c>
      <c r="F8" s="66" t="s">
        <v>213</v>
      </c>
      <c r="G8" s="68"/>
      <c r="H8" s="66" t="s">
        <v>213</v>
      </c>
      <c r="I8" s="68"/>
      <c r="J8" s="66" t="s">
        <v>213</v>
      </c>
      <c r="K8" s="68"/>
      <c r="L8" s="66" t="s">
        <v>213</v>
      </c>
      <c r="M8" s="67">
        <v>1.7457193540569</v>
      </c>
      <c r="N8" s="69">
        <f t="shared" si="1"/>
        <v>223.0540895</v>
      </c>
      <c r="O8" s="20">
        <f t="shared" si="2"/>
        <v>223054.0895</v>
      </c>
    </row>
    <row r="9" ht="15.0" customHeight="1">
      <c r="A9" s="65">
        <v>7.0</v>
      </c>
      <c r="B9" s="66" t="s">
        <v>224</v>
      </c>
      <c r="C9" s="67">
        <v>174.02279360411</v>
      </c>
      <c r="D9" s="66" t="s">
        <v>224</v>
      </c>
      <c r="E9" s="67">
        <v>1558.2331657613</v>
      </c>
      <c r="F9" s="66" t="s">
        <v>224</v>
      </c>
      <c r="G9" s="67">
        <v>0.17864226550582</v>
      </c>
      <c r="H9" s="66" t="s">
        <v>224</v>
      </c>
      <c r="I9" s="67">
        <v>35.92767314662</v>
      </c>
      <c r="J9" s="66" t="s">
        <v>224</v>
      </c>
      <c r="K9" s="67">
        <v>0.7273996470167</v>
      </c>
      <c r="L9" s="66" t="s">
        <v>224</v>
      </c>
      <c r="M9" s="67">
        <v>2.4444593545796</v>
      </c>
      <c r="N9" s="69">
        <f t="shared" si="1"/>
        <v>1771.534134</v>
      </c>
      <c r="O9" s="20">
        <f t="shared" si="2"/>
        <v>1771534.134</v>
      </c>
    </row>
    <row r="10" ht="15.0" customHeight="1">
      <c r="A10" s="65">
        <v>9.0</v>
      </c>
      <c r="B10" s="66" t="s">
        <v>274</v>
      </c>
      <c r="C10" s="67">
        <v>199.31237411093</v>
      </c>
      <c r="D10" s="66" t="s">
        <v>274</v>
      </c>
      <c r="E10" s="68"/>
      <c r="F10" s="66" t="s">
        <v>274</v>
      </c>
      <c r="G10" s="68"/>
      <c r="H10" s="66" t="s">
        <v>274</v>
      </c>
      <c r="I10" s="68"/>
      <c r="J10" s="66" t="s">
        <v>274</v>
      </c>
      <c r="K10" s="68"/>
      <c r="L10" s="66" t="s">
        <v>274</v>
      </c>
      <c r="M10" s="68"/>
      <c r="N10" s="69">
        <f t="shared" si="1"/>
        <v>199.3123741</v>
      </c>
      <c r="O10" s="20">
        <f t="shared" si="2"/>
        <v>199312.3741</v>
      </c>
    </row>
    <row r="11" ht="15.0" customHeight="1">
      <c r="A11" s="65">
        <v>9.0</v>
      </c>
      <c r="B11" s="66" t="s">
        <v>284</v>
      </c>
      <c r="C11" s="67">
        <v>49.567168408605</v>
      </c>
      <c r="D11" s="66" t="s">
        <v>284</v>
      </c>
      <c r="E11" s="68"/>
      <c r="F11" s="66" t="s">
        <v>284</v>
      </c>
      <c r="G11" s="68"/>
      <c r="H11" s="66" t="s">
        <v>284</v>
      </c>
      <c r="I11" s="68"/>
      <c r="J11" s="66" t="s">
        <v>284</v>
      </c>
      <c r="K11" s="68"/>
      <c r="L11" s="66" t="s">
        <v>284</v>
      </c>
      <c r="M11" s="68"/>
      <c r="N11" s="69">
        <f t="shared" si="1"/>
        <v>49.56716841</v>
      </c>
      <c r="O11" s="20">
        <f t="shared" si="2"/>
        <v>49567.16841</v>
      </c>
    </row>
    <row r="12" ht="15.0" customHeight="1">
      <c r="A12" s="65">
        <v>11.0</v>
      </c>
      <c r="B12" s="66" t="s">
        <v>7</v>
      </c>
      <c r="C12" s="67">
        <v>1133.9234994377</v>
      </c>
      <c r="D12" s="66" t="s">
        <v>7</v>
      </c>
      <c r="E12" s="67">
        <v>4105.5526541669</v>
      </c>
      <c r="F12" s="66" t="s">
        <v>7</v>
      </c>
      <c r="G12" s="67">
        <v>0.39455518696185</v>
      </c>
      <c r="H12" s="66" t="s">
        <v>7</v>
      </c>
      <c r="I12" s="67">
        <v>52.462174863263</v>
      </c>
      <c r="J12" s="66" t="s">
        <v>7</v>
      </c>
      <c r="K12" s="67">
        <v>2.8496245353358</v>
      </c>
      <c r="L12" s="66" t="s">
        <v>7</v>
      </c>
      <c r="M12" s="67">
        <v>14.983337357488</v>
      </c>
      <c r="N12" s="69">
        <f t="shared" si="1"/>
        <v>5310.165846</v>
      </c>
      <c r="O12" s="20">
        <f t="shared" si="2"/>
        <v>5310165.846</v>
      </c>
    </row>
    <row r="14" ht="15.0" customHeight="1">
      <c r="A14" s="59"/>
      <c r="B14" s="59" t="s">
        <v>709</v>
      </c>
      <c r="C14" s="60"/>
      <c r="D14" s="59" t="s">
        <v>710</v>
      </c>
      <c r="E14" s="60"/>
      <c r="F14" s="59" t="s">
        <v>711</v>
      </c>
      <c r="G14" s="60"/>
      <c r="H14" s="59" t="s">
        <v>712</v>
      </c>
      <c r="I14" s="60"/>
    </row>
    <row r="15" ht="15.0" customHeight="1">
      <c r="A15" s="61"/>
      <c r="B15" s="62"/>
      <c r="C15" s="64">
        <v>2024.0</v>
      </c>
      <c r="D15" s="62"/>
      <c r="E15" s="64">
        <v>2024.0</v>
      </c>
      <c r="F15" s="62"/>
      <c r="G15" s="64">
        <v>2024.0</v>
      </c>
      <c r="H15" s="62"/>
      <c r="I15" s="64">
        <v>2024.0</v>
      </c>
      <c r="J15" s="20" t="s">
        <v>8</v>
      </c>
      <c r="M15" s="59"/>
      <c r="N15" s="60"/>
      <c r="O15" s="59"/>
      <c r="P15" s="60"/>
      <c r="Q15" s="59"/>
      <c r="R15" s="60"/>
      <c r="S15" s="59"/>
      <c r="T15" s="60"/>
      <c r="U15" s="59"/>
      <c r="V15" s="60"/>
      <c r="W15" s="59"/>
      <c r="X15" s="60"/>
    </row>
    <row r="16" ht="15.0" customHeight="1">
      <c r="A16" s="65"/>
      <c r="B16" s="66" t="s">
        <v>7</v>
      </c>
      <c r="C16" s="67">
        <v>5202.8972486461</v>
      </c>
      <c r="D16" s="66" t="s">
        <v>7</v>
      </c>
      <c r="E16" s="67">
        <v>29.410027575165</v>
      </c>
      <c r="F16" s="66" t="s">
        <v>7</v>
      </c>
      <c r="G16" s="67">
        <v>33.658965449619</v>
      </c>
      <c r="H16" s="66" t="s">
        <v>7</v>
      </c>
      <c r="I16" s="67">
        <v>0.40928198367355</v>
      </c>
      <c r="J16" s="69">
        <f t="shared" ref="J16:J25" si="3">C16+E16+G16+I16</f>
        <v>5266.375524</v>
      </c>
      <c r="K16" s="24">
        <f t="shared" ref="K16:K25" si="4">J16*1000</f>
        <v>5266375.524</v>
      </c>
      <c r="M16" s="60"/>
      <c r="N16" s="70"/>
      <c r="O16" s="60"/>
      <c r="P16" s="70"/>
      <c r="Q16" s="60"/>
      <c r="R16" s="71"/>
      <c r="S16" s="60"/>
      <c r="T16" s="70"/>
      <c r="U16" s="60"/>
      <c r="V16" s="70"/>
      <c r="W16" s="60"/>
      <c r="X16" s="71"/>
    </row>
    <row r="17" ht="15.0" customHeight="1">
      <c r="A17" s="65"/>
      <c r="B17" s="66" t="s">
        <v>274</v>
      </c>
      <c r="C17" s="67">
        <v>118.29219145099</v>
      </c>
      <c r="D17" s="66" t="s">
        <v>274</v>
      </c>
      <c r="E17" s="68"/>
      <c r="F17" s="66" t="s">
        <v>274</v>
      </c>
      <c r="G17" s="68"/>
      <c r="H17" s="66" t="s">
        <v>274</v>
      </c>
      <c r="I17" s="68"/>
      <c r="J17" s="69">
        <f t="shared" si="3"/>
        <v>118.2921915</v>
      </c>
      <c r="K17" s="24">
        <f t="shared" si="4"/>
        <v>118292.1915</v>
      </c>
      <c r="M17" s="59"/>
      <c r="N17" s="72"/>
      <c r="O17" s="59"/>
      <c r="P17" s="72"/>
      <c r="Q17" s="59"/>
      <c r="R17" s="72"/>
      <c r="S17" s="59"/>
      <c r="T17" s="72"/>
      <c r="U17" s="59"/>
      <c r="V17" s="72"/>
      <c r="W17" s="59"/>
      <c r="X17" s="72"/>
      <c r="Z17" s="73"/>
    </row>
    <row r="18" ht="15.0" customHeight="1">
      <c r="A18" s="65"/>
      <c r="B18" s="66" t="s">
        <v>9</v>
      </c>
      <c r="C18" s="67">
        <v>152.12405436781</v>
      </c>
      <c r="D18" s="66" t="s">
        <v>9</v>
      </c>
      <c r="E18" s="68"/>
      <c r="F18" s="66" t="s">
        <v>9</v>
      </c>
      <c r="G18" s="68"/>
      <c r="H18" s="66" t="s">
        <v>9</v>
      </c>
      <c r="I18" s="68"/>
      <c r="J18" s="69">
        <f t="shared" si="3"/>
        <v>152.1240544</v>
      </c>
      <c r="K18" s="24">
        <f t="shared" si="4"/>
        <v>152124.0544</v>
      </c>
      <c r="M18" s="59"/>
      <c r="N18" s="72"/>
      <c r="O18" s="59"/>
      <c r="P18" s="74"/>
      <c r="Q18" s="59"/>
      <c r="R18" s="74"/>
      <c r="S18" s="59"/>
      <c r="T18" s="74"/>
      <c r="U18" s="59"/>
      <c r="V18" s="74"/>
      <c r="W18" s="59"/>
      <c r="X18" s="74"/>
      <c r="Z18" s="73"/>
    </row>
    <row r="19" ht="15.0" customHeight="1">
      <c r="A19" s="65"/>
      <c r="B19" s="66" t="s">
        <v>105</v>
      </c>
      <c r="C19" s="67">
        <v>760.14049290227</v>
      </c>
      <c r="D19" s="66" t="s">
        <v>105</v>
      </c>
      <c r="E19" s="68"/>
      <c r="F19" s="66" t="s">
        <v>105</v>
      </c>
      <c r="G19" s="68"/>
      <c r="H19" s="66" t="s">
        <v>105</v>
      </c>
      <c r="I19" s="68"/>
      <c r="J19" s="69">
        <f t="shared" si="3"/>
        <v>760.1404929</v>
      </c>
      <c r="K19" s="24">
        <f t="shared" si="4"/>
        <v>760140.4929</v>
      </c>
      <c r="M19" s="59"/>
      <c r="N19" s="72"/>
      <c r="O19" s="59"/>
      <c r="P19" s="74"/>
      <c r="Q19" s="59"/>
      <c r="R19" s="74"/>
      <c r="S19" s="59"/>
      <c r="T19" s="74"/>
      <c r="U19" s="59"/>
      <c r="V19" s="74"/>
      <c r="W19" s="59"/>
      <c r="X19" s="74"/>
      <c r="Z19" s="73"/>
    </row>
    <row r="20" ht="15.0" customHeight="1">
      <c r="A20" s="65"/>
      <c r="B20" s="66" t="s">
        <v>51</v>
      </c>
      <c r="C20" s="67">
        <v>1275.3802347828</v>
      </c>
      <c r="D20" s="66" t="s">
        <v>51</v>
      </c>
      <c r="E20" s="67">
        <v>17.782082476095</v>
      </c>
      <c r="F20" s="66" t="s">
        <v>51</v>
      </c>
      <c r="G20" s="67">
        <v>4.9834770636968</v>
      </c>
      <c r="H20" s="66" t="s">
        <v>51</v>
      </c>
      <c r="I20" s="67">
        <v>0.097577161670515</v>
      </c>
      <c r="J20" s="69">
        <f t="shared" si="3"/>
        <v>1298.243371</v>
      </c>
      <c r="K20" s="24">
        <f t="shared" si="4"/>
        <v>1298243.371</v>
      </c>
      <c r="M20" s="59"/>
      <c r="N20" s="72"/>
      <c r="O20" s="59"/>
      <c r="P20" s="72"/>
      <c r="Q20" s="59"/>
      <c r="R20" s="72"/>
      <c r="S20" s="59"/>
      <c r="T20" s="72"/>
      <c r="U20" s="59"/>
      <c r="V20" s="74"/>
      <c r="W20" s="59"/>
      <c r="X20" s="72"/>
      <c r="Z20" s="73"/>
    </row>
    <row r="21" ht="15.0" customHeight="1">
      <c r="A21" s="65"/>
      <c r="B21" s="66" t="s">
        <v>151</v>
      </c>
      <c r="C21" s="67">
        <v>349.52402110103</v>
      </c>
      <c r="D21" s="66" t="s">
        <v>151</v>
      </c>
      <c r="E21" s="68"/>
      <c r="F21" s="66" t="s">
        <v>151</v>
      </c>
      <c r="G21" s="68"/>
      <c r="H21" s="66" t="s">
        <v>151</v>
      </c>
      <c r="I21" s="68"/>
      <c r="J21" s="69">
        <f t="shared" si="3"/>
        <v>349.5240211</v>
      </c>
      <c r="K21" s="24">
        <f t="shared" si="4"/>
        <v>349524.0211</v>
      </c>
      <c r="M21" s="59"/>
      <c r="N21" s="72"/>
      <c r="O21" s="59"/>
      <c r="P21" s="72"/>
      <c r="Q21" s="59"/>
      <c r="R21" s="72"/>
      <c r="S21" s="59"/>
      <c r="T21" s="72"/>
      <c r="U21" s="59"/>
      <c r="V21" s="72"/>
      <c r="W21" s="59"/>
      <c r="X21" s="72"/>
      <c r="Z21" s="73"/>
    </row>
    <row r="22" ht="15.0" customHeight="1">
      <c r="A22" s="65"/>
      <c r="B22" s="66" t="s">
        <v>284</v>
      </c>
      <c r="C22" s="67">
        <v>27.2505039584</v>
      </c>
      <c r="D22" s="66" t="s">
        <v>284</v>
      </c>
      <c r="E22" s="68"/>
      <c r="F22" s="66" t="s">
        <v>284</v>
      </c>
      <c r="G22" s="68"/>
      <c r="H22" s="66" t="s">
        <v>284</v>
      </c>
      <c r="I22" s="68"/>
      <c r="J22" s="69">
        <f t="shared" si="3"/>
        <v>27.25050396</v>
      </c>
      <c r="K22" s="24">
        <f t="shared" si="4"/>
        <v>27250.50396</v>
      </c>
      <c r="M22" s="59"/>
      <c r="N22" s="72"/>
      <c r="O22" s="59"/>
      <c r="P22" s="72"/>
      <c r="Q22" s="59"/>
      <c r="R22" s="74"/>
      <c r="S22" s="59"/>
      <c r="T22" s="74"/>
      <c r="U22" s="59"/>
      <c r="V22" s="74"/>
      <c r="W22" s="59"/>
      <c r="X22" s="74"/>
      <c r="Z22" s="73"/>
    </row>
    <row r="23" ht="15.0" customHeight="1">
      <c r="A23" s="65"/>
      <c r="B23" s="66" t="s">
        <v>183</v>
      </c>
      <c r="C23" s="67">
        <v>298.06880334898</v>
      </c>
      <c r="D23" s="66" t="s">
        <v>183</v>
      </c>
      <c r="E23" s="68"/>
      <c r="F23" s="66" t="s">
        <v>183</v>
      </c>
      <c r="G23" s="68"/>
      <c r="H23" s="66" t="s">
        <v>183</v>
      </c>
      <c r="I23" s="68"/>
      <c r="J23" s="69">
        <f t="shared" si="3"/>
        <v>298.0688033</v>
      </c>
      <c r="K23" s="24">
        <f t="shared" si="4"/>
        <v>298068.8033</v>
      </c>
      <c r="M23" s="59"/>
      <c r="N23" s="72"/>
      <c r="O23" s="59"/>
      <c r="P23" s="74"/>
      <c r="Q23" s="59"/>
      <c r="R23" s="74"/>
      <c r="S23" s="59"/>
      <c r="T23" s="74"/>
      <c r="U23" s="59"/>
      <c r="V23" s="74"/>
      <c r="W23" s="59"/>
      <c r="X23" s="74"/>
      <c r="Z23" s="73"/>
    </row>
    <row r="24" ht="15.0" customHeight="1">
      <c r="A24" s="65"/>
      <c r="B24" s="66" t="s">
        <v>224</v>
      </c>
      <c r="C24" s="67">
        <v>1932.4459096327</v>
      </c>
      <c r="D24" s="66" t="s">
        <v>224</v>
      </c>
      <c r="E24" s="67">
        <v>11.62794509907</v>
      </c>
      <c r="F24" s="66" t="s">
        <v>224</v>
      </c>
      <c r="G24" s="67">
        <v>28.675488385923</v>
      </c>
      <c r="H24" s="66" t="s">
        <v>224</v>
      </c>
      <c r="I24" s="67">
        <v>0.31170482200303</v>
      </c>
      <c r="J24" s="69">
        <f t="shared" si="3"/>
        <v>1973.061048</v>
      </c>
      <c r="K24" s="24">
        <f t="shared" si="4"/>
        <v>1973061.048</v>
      </c>
      <c r="M24" s="59"/>
      <c r="N24" s="72"/>
      <c r="O24" s="59"/>
      <c r="P24" s="74"/>
      <c r="Q24" s="59"/>
      <c r="R24" s="74"/>
      <c r="S24" s="59"/>
      <c r="T24" s="74"/>
      <c r="U24" s="59"/>
      <c r="V24" s="74"/>
      <c r="W24" s="59"/>
      <c r="X24" s="74"/>
      <c r="Z24" s="73"/>
    </row>
    <row r="25" ht="15.0" customHeight="1">
      <c r="A25" s="65"/>
      <c r="B25" s="66" t="s">
        <v>213</v>
      </c>
      <c r="C25" s="67">
        <v>289.67103710113</v>
      </c>
      <c r="D25" s="66" t="s">
        <v>213</v>
      </c>
      <c r="E25" s="68"/>
      <c r="F25" s="66" t="s">
        <v>213</v>
      </c>
      <c r="G25" s="68"/>
      <c r="H25" s="66" t="s">
        <v>213</v>
      </c>
      <c r="I25" s="68"/>
      <c r="J25" s="69">
        <f t="shared" si="3"/>
        <v>289.6710371</v>
      </c>
      <c r="K25" s="24">
        <f t="shared" si="4"/>
        <v>289671.0371</v>
      </c>
      <c r="M25" s="59"/>
      <c r="N25" s="72"/>
      <c r="O25" s="59"/>
      <c r="P25" s="72"/>
      <c r="Q25" s="59"/>
      <c r="R25" s="72"/>
      <c r="S25" s="59"/>
      <c r="T25" s="72"/>
      <c r="U25" s="59"/>
      <c r="V25" s="72"/>
      <c r="W25" s="59"/>
      <c r="X25" s="72"/>
      <c r="Z25" s="73"/>
    </row>
    <row r="26" ht="15.0" customHeight="1">
      <c r="M26" s="59"/>
      <c r="N26" s="72"/>
      <c r="O26" s="59"/>
      <c r="P26" s="72"/>
      <c r="Q26" s="59"/>
      <c r="R26" s="74"/>
      <c r="S26" s="59"/>
      <c r="T26" s="74"/>
      <c r="U26" s="59"/>
      <c r="V26" s="74"/>
      <c r="W26" s="59"/>
      <c r="X26" s="72"/>
      <c r="Z26" s="73"/>
    </row>
    <row r="27" ht="15.0" customHeight="1">
      <c r="A27" s="60"/>
      <c r="B27" s="60" t="s">
        <v>713</v>
      </c>
      <c r="C27" s="60"/>
    </row>
    <row r="28">
      <c r="A28" s="61"/>
      <c r="B28" s="62"/>
      <c r="C28" s="75">
        <v>2024.0</v>
      </c>
      <c r="Y28" s="73"/>
    </row>
    <row r="29">
      <c r="A29" s="61"/>
      <c r="B29" s="62" t="s">
        <v>7</v>
      </c>
      <c r="C29" s="76">
        <v>1770.8265190065</v>
      </c>
      <c r="D29" s="20">
        <f t="shared" ref="D29:D38" si="5">C29*1000</f>
        <v>1770826.519</v>
      </c>
      <c r="Y29" s="73"/>
    </row>
    <row r="30">
      <c r="A30" s="61"/>
      <c r="B30" s="62" t="s">
        <v>274</v>
      </c>
      <c r="C30" s="68"/>
      <c r="D30" s="20">
        <f t="shared" si="5"/>
        <v>0</v>
      </c>
      <c r="Y30" s="73"/>
    </row>
    <row r="31">
      <c r="A31" s="61"/>
      <c r="B31" s="62" t="s">
        <v>9</v>
      </c>
      <c r="C31" s="76">
        <v>56.02551472739</v>
      </c>
      <c r="D31" s="20">
        <f t="shared" si="5"/>
        <v>56025.51473</v>
      </c>
      <c r="Y31" s="73"/>
    </row>
    <row r="32">
      <c r="A32" s="61"/>
      <c r="B32" s="62" t="s">
        <v>105</v>
      </c>
      <c r="C32" s="76">
        <v>547.52568680482</v>
      </c>
      <c r="D32" s="20">
        <f t="shared" si="5"/>
        <v>547525.6868</v>
      </c>
      <c r="Y32" s="73"/>
    </row>
    <row r="33">
      <c r="A33" s="61"/>
      <c r="B33" s="62" t="s">
        <v>51</v>
      </c>
      <c r="C33" s="76">
        <v>300.33400993407</v>
      </c>
      <c r="D33" s="20">
        <f t="shared" si="5"/>
        <v>300334.0099</v>
      </c>
      <c r="Y33" s="73"/>
    </row>
    <row r="34">
      <c r="A34" s="61"/>
      <c r="B34" s="62" t="s">
        <v>151</v>
      </c>
      <c r="C34" s="76">
        <v>51.259414372873</v>
      </c>
      <c r="D34" s="20">
        <f t="shared" si="5"/>
        <v>51259.41437</v>
      </c>
      <c r="Y34" s="73"/>
    </row>
    <row r="35">
      <c r="A35" s="61"/>
      <c r="B35" s="62" t="s">
        <v>284</v>
      </c>
      <c r="C35" s="68"/>
      <c r="D35" s="20">
        <f t="shared" si="5"/>
        <v>0</v>
      </c>
      <c r="Y35" s="73"/>
    </row>
    <row r="36">
      <c r="A36" s="61"/>
      <c r="B36" s="62" t="s">
        <v>183</v>
      </c>
      <c r="C36" s="76">
        <v>3.3451891293835</v>
      </c>
      <c r="D36" s="20">
        <f t="shared" si="5"/>
        <v>3345.189129</v>
      </c>
      <c r="Y36" s="73"/>
    </row>
    <row r="37">
      <c r="A37" s="61"/>
      <c r="B37" s="62" t="s">
        <v>224</v>
      </c>
      <c r="C37" s="76">
        <v>685.8590459431</v>
      </c>
      <c r="D37" s="20">
        <f t="shared" si="5"/>
        <v>685859.0459</v>
      </c>
      <c r="Y37" s="73"/>
    </row>
    <row r="38">
      <c r="A38" s="61"/>
      <c r="B38" s="62" t="s">
        <v>213</v>
      </c>
      <c r="C38" s="76">
        <v>126.47765809489</v>
      </c>
      <c r="D38" s="20">
        <f t="shared" si="5"/>
        <v>126477.6581</v>
      </c>
    </row>
  </sheetData>
  <autoFilter ref="$A$2:$O$12">
    <sortState ref="A2:O12">
      <sortCondition ref="A2:A12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10.5"/>
  </cols>
  <sheetData>
    <row r="1" ht="15.75" customHeight="1">
      <c r="A1" s="77" t="s">
        <v>714</v>
      </c>
      <c r="B1" s="77" t="s">
        <v>0</v>
      </c>
      <c r="C1" s="78" t="s">
        <v>1</v>
      </c>
      <c r="D1" s="79" t="s">
        <v>715</v>
      </c>
      <c r="E1" s="80" t="s">
        <v>716</v>
      </c>
      <c r="F1" s="79" t="s">
        <v>717</v>
      </c>
      <c r="G1" s="81" t="s">
        <v>718</v>
      </c>
      <c r="H1" s="81" t="s">
        <v>719</v>
      </c>
      <c r="I1" s="81" t="s">
        <v>720</v>
      </c>
      <c r="J1" s="80" t="s">
        <v>721</v>
      </c>
      <c r="K1" s="82" t="s">
        <v>722</v>
      </c>
      <c r="L1" s="83" t="s">
        <v>723</v>
      </c>
      <c r="M1" s="83" t="s">
        <v>719</v>
      </c>
      <c r="N1" s="83" t="s">
        <v>720</v>
      </c>
      <c r="O1" s="84" t="s">
        <v>721</v>
      </c>
      <c r="P1" s="79" t="s">
        <v>724</v>
      </c>
      <c r="Q1" s="81" t="s">
        <v>725</v>
      </c>
      <c r="R1" s="81" t="s">
        <v>719</v>
      </c>
      <c r="S1" s="81" t="s">
        <v>720</v>
      </c>
      <c r="T1" s="80" t="s">
        <v>721</v>
      </c>
      <c r="U1" s="85" t="s">
        <v>726</v>
      </c>
      <c r="V1" s="85" t="s">
        <v>727</v>
      </c>
      <c r="W1" s="86" t="s">
        <v>728</v>
      </c>
      <c r="X1" s="87" t="s">
        <v>729</v>
      </c>
      <c r="Y1" s="86" t="s">
        <v>730</v>
      </c>
      <c r="Z1" s="88" t="s">
        <v>731</v>
      </c>
      <c r="AA1" s="88" t="s">
        <v>719</v>
      </c>
      <c r="AB1" s="88" t="s">
        <v>720</v>
      </c>
      <c r="AC1" s="87" t="s">
        <v>721</v>
      </c>
      <c r="AD1" s="86" t="s">
        <v>732</v>
      </c>
      <c r="AE1" s="88" t="s">
        <v>733</v>
      </c>
      <c r="AF1" s="88" t="s">
        <v>719</v>
      </c>
      <c r="AG1" s="88" t="s">
        <v>720</v>
      </c>
      <c r="AH1" s="87" t="s">
        <v>721</v>
      </c>
      <c r="AI1" s="89" t="s">
        <v>734</v>
      </c>
      <c r="AJ1" s="90" t="s">
        <v>735</v>
      </c>
      <c r="AK1" s="90" t="s">
        <v>719</v>
      </c>
      <c r="AL1" s="90" t="s">
        <v>720</v>
      </c>
      <c r="AM1" s="90" t="s">
        <v>721</v>
      </c>
      <c r="AN1" s="91" t="s">
        <v>726</v>
      </c>
      <c r="AO1" s="85" t="s">
        <v>727</v>
      </c>
      <c r="AP1" s="92"/>
      <c r="AQ1" s="93" t="s">
        <v>736</v>
      </c>
      <c r="AR1" s="94">
        <v>0.00226129</v>
      </c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</row>
    <row r="2" ht="15.75" customHeight="1">
      <c r="A2" s="95">
        <v>10101.0</v>
      </c>
      <c r="B2" s="60" t="s">
        <v>9</v>
      </c>
      <c r="C2" s="60" t="s">
        <v>34</v>
      </c>
      <c r="D2" s="96">
        <v>60425.0</v>
      </c>
      <c r="E2" s="97">
        <v>270403.0</v>
      </c>
      <c r="F2" s="98">
        <v>48495.81986537488</v>
      </c>
      <c r="G2" s="99">
        <v>4.4976043E7</v>
      </c>
      <c r="H2" s="99">
        <f t="shared" ref="H2:H344" si="1">G2*$AR$1</f>
        <v>101703.8763</v>
      </c>
      <c r="I2" s="100">
        <f t="shared" ref="I2:I30" si="2">F2/SUM($F$2:$F$30)</f>
        <v>0.9726721174</v>
      </c>
      <c r="J2" s="101">
        <f t="shared" ref="J2:J344" si="3">(H2*I2)/E2</f>
        <v>0.3658410768</v>
      </c>
      <c r="K2" s="102">
        <v>10191.26701096801</v>
      </c>
      <c r="L2" s="103">
        <v>6.56223E7</v>
      </c>
      <c r="M2" s="99">
        <f t="shared" ref="M2:M344" si="4">L2*$AR$2</f>
        <v>177867.716</v>
      </c>
      <c r="N2" s="100">
        <f t="shared" ref="N2:N30" si="5">K2/SUM($K$2:$K$30)</f>
        <v>0.9646585799</v>
      </c>
      <c r="O2" s="101">
        <f t="shared" ref="O2:O344" si="6">(M2*N2)/E2</f>
        <v>0.6345403651</v>
      </c>
      <c r="P2" s="98">
        <v>1735.985214916497</v>
      </c>
      <c r="Q2" s="99">
        <v>2.2144982973E10</v>
      </c>
      <c r="R2" s="99">
        <f t="shared" ref="R2:R344" si="7">Q2*$AR$3</f>
        <v>43143.00318</v>
      </c>
      <c r="S2" s="100">
        <f t="shared" ref="S2:S30" si="8">P2/SUM($P$2:$P$30)</f>
        <v>0.977456199</v>
      </c>
      <c r="T2" s="101">
        <f t="shared" ref="T2:T344" si="9">(R2*S2)/E2</f>
        <v>0.1559538759</v>
      </c>
      <c r="U2" s="100">
        <f t="shared" ref="U2:U344" si="10">J2+O2+T2</f>
        <v>1.156335318</v>
      </c>
      <c r="V2" s="99">
        <f t="shared" ref="V2:V344" si="11">(H2*I2)+(M2*N2)+(R2*S2)</f>
        <v>312676.5389</v>
      </c>
      <c r="W2" s="96">
        <v>90312.0</v>
      </c>
      <c r="X2" s="97">
        <v>296746.0</v>
      </c>
      <c r="Y2" s="98">
        <v>75895.70438757587</v>
      </c>
      <c r="Z2" s="103">
        <v>8.2356869E7</v>
      </c>
      <c r="AA2" s="99">
        <v>186233.13491299</v>
      </c>
      <c r="AB2" s="100">
        <f t="shared" ref="AB2:AB30" si="12">Y2/SUM($Y$2:$Y$30)</f>
        <v>0.9410514086</v>
      </c>
      <c r="AC2" s="101">
        <f t="shared" ref="AC2:AC344" si="13">(AA2*AB2)/X2</f>
        <v>0.590589103</v>
      </c>
      <c r="AD2" s="98">
        <v>11955.81091958147</v>
      </c>
      <c r="AE2" s="99">
        <v>7.8037527E7</v>
      </c>
      <c r="AF2" s="99">
        <v>152124.05436781</v>
      </c>
      <c r="AG2" s="100">
        <f t="shared" ref="AG2:AG30" si="14">AD2/SUM($AD$2:$AD$30)</f>
        <v>0.9406162912</v>
      </c>
      <c r="AH2" s="101">
        <f t="shared" ref="AH2:AH344" si="15">(AF2*AG2)/X2</f>
        <v>0.4821981217</v>
      </c>
      <c r="AI2" s="102">
        <v>2458.08826428189</v>
      </c>
      <c r="AJ2" s="99">
        <v>2.8757480427E10</v>
      </c>
      <c r="AK2" s="99">
        <v>56025.51472738999</v>
      </c>
      <c r="AL2" s="100">
        <f t="shared" ref="AL2:AL30" si="16">AI2/SUM($AI$2:$AI$30)</f>
        <v>0.9613355041</v>
      </c>
      <c r="AM2" s="100">
        <f t="shared" ref="AM2:AM344" si="17">(AK2*AL2)/X2</f>
        <v>0.1814997218</v>
      </c>
      <c r="AN2" s="104">
        <f t="shared" ref="AN2:AN344" si="18">AC2+AH2+AM2</f>
        <v>1.254286946</v>
      </c>
      <c r="AO2" s="97">
        <f t="shared" ref="AO2:AO344" si="19">(AA2*AB2)+(AF2*AG2)+(AK2*AL2)</f>
        <v>372204.6342</v>
      </c>
      <c r="AQ2" s="105" t="s">
        <v>737</v>
      </c>
      <c r="AR2" s="106">
        <v>0.0027104767130698877</v>
      </c>
    </row>
    <row r="3" ht="15.75" customHeight="1">
      <c r="A3" s="95">
        <v>10102.0</v>
      </c>
      <c r="B3" s="60" t="s">
        <v>9</v>
      </c>
      <c r="C3" s="60" t="s">
        <v>50</v>
      </c>
      <c r="D3" s="96">
        <v>14.0</v>
      </c>
      <c r="E3" s="97">
        <v>9409.75</v>
      </c>
      <c r="F3" s="98">
        <v>8.315899132479657</v>
      </c>
      <c r="G3" s="99">
        <v>4.4976043E7</v>
      </c>
      <c r="H3" s="99">
        <f t="shared" si="1"/>
        <v>101703.8763</v>
      </c>
      <c r="I3" s="100">
        <f t="shared" si="2"/>
        <v>0.0001667905242</v>
      </c>
      <c r="J3" s="101">
        <f t="shared" si="3"/>
        <v>0.001802730449</v>
      </c>
      <c r="K3" s="102">
        <v>5.233134686998333</v>
      </c>
      <c r="L3" s="103">
        <v>6.56223E7</v>
      </c>
      <c r="M3" s="99">
        <f t="shared" si="4"/>
        <v>177867.716</v>
      </c>
      <c r="N3" s="100">
        <f t="shared" si="5"/>
        <v>0.000495344521</v>
      </c>
      <c r="O3" s="101">
        <f t="shared" si="6"/>
        <v>0.009363245419</v>
      </c>
      <c r="P3" s="98">
        <v>0.4503174258425982</v>
      </c>
      <c r="Q3" s="99">
        <v>2.2144982973E10</v>
      </c>
      <c r="R3" s="99">
        <f t="shared" si="7"/>
        <v>43143.00318</v>
      </c>
      <c r="S3" s="100">
        <f t="shared" si="8"/>
        <v>0.000253553749</v>
      </c>
      <c r="T3" s="101">
        <f t="shared" si="9"/>
        <v>0.001162525062</v>
      </c>
      <c r="U3" s="100">
        <f t="shared" si="10"/>
        <v>0.01232850093</v>
      </c>
      <c r="V3" s="99">
        <f t="shared" si="11"/>
        <v>116.0081116</v>
      </c>
      <c r="W3" s="96">
        <v>128.0</v>
      </c>
      <c r="X3" s="97">
        <v>9256.0</v>
      </c>
      <c r="Y3" s="98">
        <v>92.34063338445905</v>
      </c>
      <c r="Z3" s="103">
        <v>8.2356869E7</v>
      </c>
      <c r="AA3" s="99">
        <v>186233.13491299</v>
      </c>
      <c r="AB3" s="100">
        <f t="shared" si="12"/>
        <v>0.00114495654</v>
      </c>
      <c r="AC3" s="101">
        <f t="shared" si="13"/>
        <v>0.02303682431</v>
      </c>
      <c r="AD3" s="98">
        <v>31.35294925998504</v>
      </c>
      <c r="AE3" s="99">
        <v>7.8037527E7</v>
      </c>
      <c r="AF3" s="99">
        <v>152124.05436781</v>
      </c>
      <c r="AG3" s="100">
        <f t="shared" si="14"/>
        <v>0.002466674578</v>
      </c>
      <c r="AH3" s="101">
        <f t="shared" si="15"/>
        <v>0.04054024822</v>
      </c>
      <c r="AI3" s="102">
        <v>4.30164806019649</v>
      </c>
      <c r="AJ3" s="99">
        <v>2.8757480427E10</v>
      </c>
      <c r="AK3" s="99">
        <v>56025.51472738999</v>
      </c>
      <c r="AL3" s="100">
        <f t="shared" si="16"/>
        <v>0.001682334628</v>
      </c>
      <c r="AM3" s="100">
        <f t="shared" si="17"/>
        <v>0.01018298007</v>
      </c>
      <c r="AN3" s="104">
        <f t="shared" si="18"/>
        <v>0.0737600526</v>
      </c>
      <c r="AO3" s="97">
        <f t="shared" si="19"/>
        <v>682.7230469</v>
      </c>
      <c r="AQ3" s="105" t="s">
        <v>738</v>
      </c>
      <c r="AR3" s="107">
        <v>1.948206654E-6</v>
      </c>
    </row>
    <row r="4" ht="15.75" customHeight="1">
      <c r="A4" s="95">
        <v>10103.0</v>
      </c>
      <c r="B4" s="60" t="s">
        <v>9</v>
      </c>
      <c r="C4" s="60" t="s">
        <v>29</v>
      </c>
      <c r="D4" s="96">
        <v>2.0</v>
      </c>
      <c r="E4" s="97">
        <v>15811.25</v>
      </c>
      <c r="F4" s="98">
        <v>0.9563875384674129</v>
      </c>
      <c r="G4" s="99">
        <v>4.4976043E7</v>
      </c>
      <c r="H4" s="99">
        <f t="shared" si="1"/>
        <v>101703.8763</v>
      </c>
      <c r="I4" s="100">
        <f t="shared" si="2"/>
        <v>0.00001918209641</v>
      </c>
      <c r="J4" s="101">
        <f t="shared" si="3"/>
        <v>0.0001233864217</v>
      </c>
      <c r="K4" s="102">
        <v>0.9896368976740825</v>
      </c>
      <c r="L4" s="103">
        <v>6.56223E7</v>
      </c>
      <c r="M4" s="99">
        <f t="shared" si="4"/>
        <v>177867.716</v>
      </c>
      <c r="N4" s="100">
        <f t="shared" si="5"/>
        <v>0.00009367448849</v>
      </c>
      <c r="O4" s="101">
        <f t="shared" si="6"/>
        <v>0.001053785584</v>
      </c>
      <c r="P4" s="98">
        <v>0.05373999646551128</v>
      </c>
      <c r="Q4" s="99">
        <v>2.2144982973E10</v>
      </c>
      <c r="R4" s="99">
        <f t="shared" si="7"/>
        <v>43143.00318</v>
      </c>
      <c r="S4" s="100">
        <f t="shared" si="8"/>
        <v>0.00003025860602</v>
      </c>
      <c r="T4" s="101">
        <f t="shared" si="9"/>
        <v>0.00008256444847</v>
      </c>
      <c r="U4" s="100">
        <f t="shared" si="10"/>
        <v>0.001259736454</v>
      </c>
      <c r="V4" s="99">
        <f t="shared" si="11"/>
        <v>19.91800801</v>
      </c>
      <c r="W4" s="96">
        <v>2.0</v>
      </c>
      <c r="X4" s="97">
        <v>13649.0</v>
      </c>
      <c r="Y4" s="98">
        <v>0.9563875384674129</v>
      </c>
      <c r="Z4" s="103">
        <v>8.2356869E7</v>
      </c>
      <c r="AA4" s="99">
        <v>186233.13491299</v>
      </c>
      <c r="AB4" s="100">
        <f t="shared" si="12"/>
        <v>0.0000118585083</v>
      </c>
      <c r="AC4" s="101">
        <f t="shared" si="13"/>
        <v>0.0001618028556</v>
      </c>
      <c r="AD4" s="98">
        <v>0.9896368976740825</v>
      </c>
      <c r="AE4" s="99">
        <v>7.8037527E7</v>
      </c>
      <c r="AF4" s="99">
        <v>152124.05436781</v>
      </c>
      <c r="AG4" s="100">
        <f t="shared" si="14"/>
        <v>0.0000778590925</v>
      </c>
      <c r="AH4" s="101">
        <f t="shared" si="15"/>
        <v>0.0008677735234</v>
      </c>
      <c r="AI4" s="102">
        <v>0.05373999646551128</v>
      </c>
      <c r="AJ4" s="99">
        <v>2.8757480427E10</v>
      </c>
      <c r="AK4" s="99">
        <v>56025.51472738999</v>
      </c>
      <c r="AL4" s="100">
        <f t="shared" si="16"/>
        <v>0.0000210172138</v>
      </c>
      <c r="AM4" s="100">
        <f t="shared" si="17"/>
        <v>0.00008627007263</v>
      </c>
      <c r="AN4" s="104">
        <f t="shared" si="18"/>
        <v>0.001115846452</v>
      </c>
      <c r="AO4" s="97">
        <f t="shared" si="19"/>
        <v>15.23018822</v>
      </c>
    </row>
    <row r="5" ht="15.75" customHeight="1">
      <c r="A5" s="95">
        <v>10201.0</v>
      </c>
      <c r="B5" s="60" t="s">
        <v>9</v>
      </c>
      <c r="C5" s="60" t="s">
        <v>739</v>
      </c>
      <c r="D5" s="108">
        <v>5.0</v>
      </c>
      <c r="E5" s="109">
        <v>9964.75</v>
      </c>
      <c r="F5" s="110">
        <v>2.0</v>
      </c>
      <c r="G5" s="99">
        <v>4.4976043E7</v>
      </c>
      <c r="H5" s="99">
        <f t="shared" si="1"/>
        <v>101703.8763</v>
      </c>
      <c r="I5" s="100">
        <f t="shared" si="2"/>
        <v>0.00004011364774</v>
      </c>
      <c r="J5" s="101">
        <f t="shared" si="3"/>
        <v>0.0004094145329</v>
      </c>
      <c r="K5" s="111">
        <v>3.0</v>
      </c>
      <c r="L5" s="103">
        <v>6.56223E7</v>
      </c>
      <c r="M5" s="99">
        <f t="shared" si="4"/>
        <v>177867.716</v>
      </c>
      <c r="N5" s="100">
        <f t="shared" si="5"/>
        <v>0.0002839662366</v>
      </c>
      <c r="O5" s="101">
        <f t="shared" si="6"/>
        <v>0.005068709795</v>
      </c>
      <c r="P5" s="110">
        <v>0.0</v>
      </c>
      <c r="Q5" s="99">
        <v>2.2144982973E10</v>
      </c>
      <c r="R5" s="99">
        <f t="shared" si="7"/>
        <v>43143.00318</v>
      </c>
      <c r="S5" s="100">
        <f t="shared" si="8"/>
        <v>0</v>
      </c>
      <c r="T5" s="101">
        <f t="shared" si="9"/>
        <v>0</v>
      </c>
      <c r="U5" s="100">
        <f t="shared" si="10"/>
        <v>0.005478124328</v>
      </c>
      <c r="V5" s="99">
        <f t="shared" si="11"/>
        <v>54.5881394</v>
      </c>
      <c r="W5" s="108">
        <v>5.0</v>
      </c>
      <c r="X5" s="97">
        <v>7903.0</v>
      </c>
      <c r="Y5" s="110">
        <v>2.0</v>
      </c>
      <c r="Z5" s="103">
        <v>8.2356869E7</v>
      </c>
      <c r="AA5" s="99">
        <v>186233.13491299</v>
      </c>
      <c r="AB5" s="100">
        <f t="shared" si="12"/>
        <v>0.00002479854206</v>
      </c>
      <c r="AC5" s="101">
        <f t="shared" si="13"/>
        <v>0.0005843743172</v>
      </c>
      <c r="AD5" s="110">
        <v>3.0</v>
      </c>
      <c r="AE5" s="99">
        <v>7.8037527E7</v>
      </c>
      <c r="AF5" s="99">
        <v>152124.05436781</v>
      </c>
      <c r="AG5" s="100">
        <f t="shared" si="14"/>
        <v>0.0002360232102</v>
      </c>
      <c r="AH5" s="101">
        <f t="shared" si="15"/>
        <v>0.004543187101</v>
      </c>
      <c r="AI5" s="111">
        <v>0.0</v>
      </c>
      <c r="AJ5" s="99">
        <v>2.8757480427E10</v>
      </c>
      <c r="AK5" s="99">
        <v>56025.51472738999</v>
      </c>
      <c r="AL5" s="100">
        <f t="shared" si="16"/>
        <v>0</v>
      </c>
      <c r="AM5" s="100">
        <f t="shared" si="17"/>
        <v>0</v>
      </c>
      <c r="AN5" s="104">
        <f t="shared" si="18"/>
        <v>0.005127561418</v>
      </c>
      <c r="AO5" s="97">
        <f t="shared" si="19"/>
        <v>40.52311789</v>
      </c>
      <c r="AQ5" s="112" t="s">
        <v>714</v>
      </c>
      <c r="AR5" s="112" t="s">
        <v>0</v>
      </c>
      <c r="AS5" s="79" t="s">
        <v>715</v>
      </c>
      <c r="AT5" s="80" t="s">
        <v>716</v>
      </c>
      <c r="AU5" s="79" t="s">
        <v>717</v>
      </c>
      <c r="AV5" s="81" t="s">
        <v>718</v>
      </c>
      <c r="AW5" s="81" t="s">
        <v>719</v>
      </c>
      <c r="AX5" s="80" t="s">
        <v>740</v>
      </c>
      <c r="AY5" s="82" t="s">
        <v>722</v>
      </c>
      <c r="AZ5" s="83" t="s">
        <v>723</v>
      </c>
      <c r="BA5" s="83" t="s">
        <v>719</v>
      </c>
      <c r="BB5" s="84" t="s">
        <v>721</v>
      </c>
      <c r="BC5" s="79" t="s">
        <v>724</v>
      </c>
      <c r="BD5" s="81" t="s">
        <v>725</v>
      </c>
      <c r="BE5" s="81" t="s">
        <v>719</v>
      </c>
      <c r="BF5" s="80" t="s">
        <v>740</v>
      </c>
      <c r="BG5" s="85" t="s">
        <v>741</v>
      </c>
      <c r="BH5" s="85" t="s">
        <v>727</v>
      </c>
      <c r="BI5" s="86" t="s">
        <v>728</v>
      </c>
      <c r="BJ5" s="87" t="s">
        <v>729</v>
      </c>
      <c r="BK5" s="86" t="s">
        <v>730</v>
      </c>
      <c r="BL5" s="88" t="s">
        <v>731</v>
      </c>
      <c r="BM5" s="88" t="s">
        <v>719</v>
      </c>
      <c r="BN5" s="87" t="s">
        <v>721</v>
      </c>
      <c r="BO5" s="86" t="s">
        <v>732</v>
      </c>
      <c r="BP5" s="88" t="s">
        <v>733</v>
      </c>
      <c r="BQ5" s="88" t="s">
        <v>719</v>
      </c>
      <c r="BR5" s="87" t="s">
        <v>721</v>
      </c>
      <c r="BS5" s="89" t="s">
        <v>734</v>
      </c>
      <c r="BT5" s="90" t="s">
        <v>735</v>
      </c>
      <c r="BU5" s="90" t="s">
        <v>719</v>
      </c>
      <c r="BV5" s="90" t="s">
        <v>721</v>
      </c>
      <c r="BW5" s="113" t="s">
        <v>742</v>
      </c>
      <c r="BX5" s="85" t="s">
        <v>727</v>
      </c>
    </row>
    <row r="6" ht="15.75" customHeight="1">
      <c r="A6" s="95">
        <v>10202.0</v>
      </c>
      <c r="B6" s="60" t="s">
        <v>9</v>
      </c>
      <c r="C6" s="60" t="s">
        <v>743</v>
      </c>
      <c r="D6" s="108">
        <v>2.0</v>
      </c>
      <c r="E6" s="109">
        <v>14898.75</v>
      </c>
      <c r="F6" s="110">
        <v>2.0</v>
      </c>
      <c r="G6" s="99">
        <v>4.4976043E7</v>
      </c>
      <c r="H6" s="99">
        <f t="shared" si="1"/>
        <v>101703.8763</v>
      </c>
      <c r="I6" s="100">
        <f t="shared" si="2"/>
        <v>0.00004011364774</v>
      </c>
      <c r="J6" s="101">
        <f t="shared" si="3"/>
        <v>0.0002738292452</v>
      </c>
      <c r="K6" s="111">
        <v>0.0</v>
      </c>
      <c r="L6" s="103">
        <v>6.56223E7</v>
      </c>
      <c r="M6" s="99">
        <f t="shared" si="4"/>
        <v>177867.716</v>
      </c>
      <c r="N6" s="100">
        <f t="shared" si="5"/>
        <v>0</v>
      </c>
      <c r="O6" s="101">
        <f t="shared" si="6"/>
        <v>0</v>
      </c>
      <c r="P6" s="110">
        <v>0.0</v>
      </c>
      <c r="Q6" s="99">
        <v>2.2144982973E10</v>
      </c>
      <c r="R6" s="99">
        <f t="shared" si="7"/>
        <v>43143.00318</v>
      </c>
      <c r="S6" s="100">
        <f t="shared" si="8"/>
        <v>0</v>
      </c>
      <c r="T6" s="101">
        <f t="shared" si="9"/>
        <v>0</v>
      </c>
      <c r="U6" s="100">
        <f t="shared" si="10"/>
        <v>0.0002738292452</v>
      </c>
      <c r="V6" s="99">
        <f t="shared" si="11"/>
        <v>4.079713466</v>
      </c>
      <c r="W6" s="108">
        <v>2.0</v>
      </c>
      <c r="X6" s="97">
        <v>16812.0</v>
      </c>
      <c r="Y6" s="110">
        <v>2.0</v>
      </c>
      <c r="Z6" s="103">
        <v>8.2356869E7</v>
      </c>
      <c r="AA6" s="99">
        <v>186233.13491299</v>
      </c>
      <c r="AB6" s="100">
        <f t="shared" si="12"/>
        <v>0.00002479854206</v>
      </c>
      <c r="AC6" s="101">
        <f t="shared" si="13"/>
        <v>0.0002747032018</v>
      </c>
      <c r="AD6" s="110">
        <v>0.0</v>
      </c>
      <c r="AE6" s="99">
        <v>7.8037527E7</v>
      </c>
      <c r="AF6" s="99">
        <v>152124.05436781</v>
      </c>
      <c r="AG6" s="100">
        <f t="shared" si="14"/>
        <v>0</v>
      </c>
      <c r="AH6" s="101">
        <f t="shared" si="15"/>
        <v>0</v>
      </c>
      <c r="AI6" s="111">
        <v>0.0</v>
      </c>
      <c r="AJ6" s="99">
        <v>2.8757480427E10</v>
      </c>
      <c r="AK6" s="99">
        <v>56025.51472738999</v>
      </c>
      <c r="AL6" s="100">
        <f t="shared" si="16"/>
        <v>0</v>
      </c>
      <c r="AM6" s="100">
        <f t="shared" si="17"/>
        <v>0</v>
      </c>
      <c r="AN6" s="104">
        <f t="shared" si="18"/>
        <v>0.0002747032018</v>
      </c>
      <c r="AO6" s="97">
        <f t="shared" si="19"/>
        <v>4.618310229</v>
      </c>
      <c r="AQ6" s="20">
        <v>1.0</v>
      </c>
      <c r="AR6" s="20" t="s">
        <v>9</v>
      </c>
      <c r="AS6" s="20">
        <f t="shared" ref="AS6:AU6" si="20">SUM(D2:D30)</f>
        <v>62202</v>
      </c>
      <c r="AT6" s="24">
        <f t="shared" si="20"/>
        <v>587199</v>
      </c>
      <c r="AU6" s="14">
        <f t="shared" si="20"/>
        <v>49858.3428</v>
      </c>
      <c r="AV6" s="24">
        <v>4.4976043E7</v>
      </c>
      <c r="AW6" s="99">
        <f t="shared" ref="AW6:AW14" si="23">AV6*$AR$1</f>
        <v>101703.8763</v>
      </c>
      <c r="AX6" s="114">
        <f t="shared" ref="AX6:AX16" si="24">AW6/AT6</f>
        <v>0.1732017191</v>
      </c>
      <c r="AY6" s="14">
        <f>SUM(K2:K30)</f>
        <v>10564.63626</v>
      </c>
      <c r="AZ6" s="115">
        <v>6.56223E7</v>
      </c>
      <c r="BA6" s="99">
        <f t="shared" ref="BA6:BA14" si="25">AZ6*$AR$2</f>
        <v>177867.716</v>
      </c>
      <c r="BB6" s="114">
        <f t="shared" ref="BB6:BB16" si="26">BA6/AT6</f>
        <v>0.3029087516</v>
      </c>
      <c r="BC6" s="14">
        <f>SUM(P2:P30)</f>
        <v>1776.023536</v>
      </c>
      <c r="BD6" s="24">
        <v>2.2144982973E10</v>
      </c>
      <c r="BE6" s="102">
        <f t="shared" ref="BE6:BE12" si="27">BD6*$AR$3</f>
        <v>43143.00318</v>
      </c>
      <c r="BF6" s="114">
        <f t="shared" ref="BF6:BF16" si="28">BE6/AT6</f>
        <v>0.07347254198</v>
      </c>
      <c r="BG6" s="114">
        <f t="shared" ref="BG6:BG16" si="29">AX6+BB6+BF6</f>
        <v>0.5495830127</v>
      </c>
      <c r="BH6" s="99">
        <f t="shared" ref="BH6:BH16" si="30">AW6+BA6+BE6</f>
        <v>322714.5955</v>
      </c>
      <c r="BI6" s="20">
        <f t="shared" ref="BI6:BK6" si="21">SUM(W2:W30)</f>
        <v>95921</v>
      </c>
      <c r="BJ6" s="24">
        <f t="shared" si="21"/>
        <v>606027</v>
      </c>
      <c r="BK6" s="14">
        <f t="shared" si="21"/>
        <v>80649.90254</v>
      </c>
      <c r="BL6" s="24">
        <v>8.2356869E7</v>
      </c>
      <c r="BM6" s="24">
        <v>186233.13491299</v>
      </c>
      <c r="BN6" s="114">
        <f t="shared" ref="BN6:BN16" si="32">BM6/BJ6</f>
        <v>0.3073017125</v>
      </c>
      <c r="BO6" s="14">
        <f>SUM(AD2:AD30)</f>
        <v>12710.61434</v>
      </c>
      <c r="BP6" s="24">
        <v>7.8037527E7</v>
      </c>
      <c r="BQ6" s="24">
        <v>152124.05436781</v>
      </c>
      <c r="BR6" s="114">
        <f t="shared" ref="BR6:BR16" si="33">BQ6/BJ6</f>
        <v>0.2510186087</v>
      </c>
      <c r="BS6" s="14">
        <f>SUM(AI2:AI30)</f>
        <v>2556.951505</v>
      </c>
      <c r="BT6" s="24">
        <v>2.8757480427E10</v>
      </c>
      <c r="BU6" s="99">
        <v>56025.51472738999</v>
      </c>
      <c r="BV6" s="114">
        <f t="shared" ref="BV6:BV16" si="34">BU6/BJ6</f>
        <v>0.0924472255</v>
      </c>
      <c r="BW6" s="114">
        <f t="shared" ref="BW6:BW16" si="35">BN6+BR6+BV6</f>
        <v>0.6507675467</v>
      </c>
      <c r="BX6" s="99">
        <f t="shared" ref="BX6:BX16" si="36">BM6+BQ6+BU6</f>
        <v>394382.704</v>
      </c>
    </row>
    <row r="7" ht="15.75" customHeight="1">
      <c r="A7" s="95">
        <v>10301.0</v>
      </c>
      <c r="B7" s="60" t="s">
        <v>9</v>
      </c>
      <c r="C7" s="60" t="s">
        <v>744</v>
      </c>
      <c r="D7" s="108">
        <v>2.0</v>
      </c>
      <c r="E7" s="109">
        <v>11945.0</v>
      </c>
      <c r="F7" s="110">
        <v>1.0</v>
      </c>
      <c r="G7" s="99">
        <v>4.4976043E7</v>
      </c>
      <c r="H7" s="99">
        <f t="shared" si="1"/>
        <v>101703.8763</v>
      </c>
      <c r="I7" s="100">
        <f t="shared" si="2"/>
        <v>0.00002005682387</v>
      </c>
      <c r="J7" s="101">
        <f t="shared" si="3"/>
        <v>0.0001707707604</v>
      </c>
      <c r="K7" s="111">
        <v>1.0</v>
      </c>
      <c r="L7" s="103">
        <v>6.56223E7</v>
      </c>
      <c r="M7" s="99">
        <f t="shared" si="4"/>
        <v>177867.716</v>
      </c>
      <c r="N7" s="100">
        <f t="shared" si="5"/>
        <v>0.00009465541221</v>
      </c>
      <c r="O7" s="101">
        <f t="shared" si="6"/>
        <v>0.001409471911</v>
      </c>
      <c r="P7" s="110">
        <v>0.0</v>
      </c>
      <c r="Q7" s="99">
        <v>2.2144982973E10</v>
      </c>
      <c r="R7" s="99">
        <f t="shared" si="7"/>
        <v>43143.00318</v>
      </c>
      <c r="S7" s="100">
        <f t="shared" si="8"/>
        <v>0</v>
      </c>
      <c r="T7" s="101">
        <f t="shared" si="9"/>
        <v>0</v>
      </c>
      <c r="U7" s="100">
        <f t="shared" si="10"/>
        <v>0.001580242672</v>
      </c>
      <c r="V7" s="99">
        <f t="shared" si="11"/>
        <v>18.87599871</v>
      </c>
      <c r="W7" s="116">
        <v>1278.0</v>
      </c>
      <c r="X7" s="97">
        <v>13694.0</v>
      </c>
      <c r="Y7" s="110">
        <v>1253.856039295324</v>
      </c>
      <c r="Z7" s="103">
        <v>8.2356869E7</v>
      </c>
      <c r="AA7" s="99">
        <v>186233.13491299</v>
      </c>
      <c r="AB7" s="100">
        <f t="shared" si="12"/>
        <v>0.01554690086</v>
      </c>
      <c r="AC7" s="101">
        <f t="shared" si="13"/>
        <v>0.2114318742</v>
      </c>
      <c r="AD7" s="110">
        <v>19.95688022156223</v>
      </c>
      <c r="AE7" s="99">
        <v>7.8037527E7</v>
      </c>
      <c r="AF7" s="99">
        <v>152124.05436781</v>
      </c>
      <c r="AG7" s="100">
        <f t="shared" si="14"/>
        <v>0.001570095645</v>
      </c>
      <c r="AH7" s="101">
        <f t="shared" si="15"/>
        <v>0.01744189538</v>
      </c>
      <c r="AI7" s="111">
        <v>4.18321817419487</v>
      </c>
      <c r="AJ7" s="99">
        <v>2.8757480427E10</v>
      </c>
      <c r="AK7" s="99">
        <v>56025.51472738999</v>
      </c>
      <c r="AL7" s="100">
        <f t="shared" si="16"/>
        <v>0.001636017799</v>
      </c>
      <c r="AM7" s="100">
        <f t="shared" si="17"/>
        <v>0.006693350321</v>
      </c>
      <c r="AN7" s="104">
        <f t="shared" si="18"/>
        <v>0.2355671199</v>
      </c>
      <c r="AO7" s="97">
        <f t="shared" si="19"/>
        <v>3225.85614</v>
      </c>
      <c r="AQ7" s="20">
        <v>2.0</v>
      </c>
      <c r="AR7" s="20" t="s">
        <v>51</v>
      </c>
      <c r="AS7" s="24">
        <f t="shared" ref="AS7:AU7" si="22">SUM(D31:D117)</f>
        <v>380862</v>
      </c>
      <c r="AT7" s="24">
        <f t="shared" si="22"/>
        <v>2797237.25</v>
      </c>
      <c r="AU7" s="14">
        <f t="shared" si="22"/>
        <v>324495.1081</v>
      </c>
      <c r="AV7" s="24">
        <v>4.22290885E8</v>
      </c>
      <c r="AW7" s="99">
        <f t="shared" si="23"/>
        <v>954922.1553</v>
      </c>
      <c r="AX7" s="114">
        <f t="shared" si="24"/>
        <v>0.3413804658</v>
      </c>
      <c r="AY7" s="14">
        <f>SUM(K31:K117)</f>
        <v>42123.63784</v>
      </c>
      <c r="AZ7" s="24">
        <v>3.2111817E8</v>
      </c>
      <c r="BA7" s="99">
        <f t="shared" si="25"/>
        <v>870383.3219</v>
      </c>
      <c r="BB7" s="114">
        <f t="shared" si="26"/>
        <v>0.3111582051</v>
      </c>
      <c r="BC7" s="14">
        <f>SUM(P31:P117)</f>
        <v>14223.25059</v>
      </c>
      <c r="BD7" s="24">
        <v>1.15475189454E11</v>
      </c>
      <c r="BE7" s="102">
        <f t="shared" si="27"/>
        <v>224969.5325</v>
      </c>
      <c r="BF7" s="114">
        <f t="shared" si="28"/>
        <v>0.08042561726</v>
      </c>
      <c r="BG7" s="114">
        <f t="shared" si="29"/>
        <v>0.7329642882</v>
      </c>
      <c r="BH7" s="99">
        <f t="shared" si="30"/>
        <v>2050275.01</v>
      </c>
      <c r="BI7" s="24">
        <f t="shared" ref="BI7:BK7" si="31">SUM(W31:W117)</f>
        <v>579499</v>
      </c>
      <c r="BJ7" s="24">
        <f t="shared" si="31"/>
        <v>3030917</v>
      </c>
      <c r="BK7" s="14">
        <f t="shared" si="31"/>
        <v>497652.3294</v>
      </c>
      <c r="BL7" s="24">
        <v>6.1411406E8</v>
      </c>
      <c r="BM7" s="24">
        <v>1389217.3666199013</v>
      </c>
      <c r="BN7" s="114">
        <f t="shared" si="32"/>
        <v>0.4583488649</v>
      </c>
      <c r="BO7" s="14">
        <f>SUM(AD31:AD117)</f>
        <v>60812.39881</v>
      </c>
      <c r="BP7" s="24">
        <v>5.29749132E8</v>
      </c>
      <c r="BQ7" s="24">
        <v>1298243.3714842624</v>
      </c>
      <c r="BR7" s="114">
        <f t="shared" si="33"/>
        <v>0.4283335279</v>
      </c>
      <c r="BS7" s="14">
        <f>SUM(AI31:AI117)</f>
        <v>21011.47738</v>
      </c>
      <c r="BT7" s="24">
        <v>1.54159215745E11</v>
      </c>
      <c r="BU7" s="99">
        <v>300334.00993407</v>
      </c>
      <c r="BV7" s="114">
        <f t="shared" si="34"/>
        <v>0.09909014662</v>
      </c>
      <c r="BW7" s="114">
        <f t="shared" si="35"/>
        <v>0.9857725395</v>
      </c>
      <c r="BX7" s="99">
        <f t="shared" si="36"/>
        <v>2987794.748</v>
      </c>
    </row>
    <row r="8" ht="15.75" customHeight="1">
      <c r="A8" s="95">
        <v>10302.0</v>
      </c>
      <c r="B8" s="60" t="s">
        <v>9</v>
      </c>
      <c r="C8" s="60" t="s">
        <v>745</v>
      </c>
      <c r="D8" s="108"/>
      <c r="E8" s="109">
        <v>12423.5</v>
      </c>
      <c r="F8" s="110"/>
      <c r="G8" s="99">
        <v>4.4976043E7</v>
      </c>
      <c r="H8" s="99">
        <f t="shared" si="1"/>
        <v>101703.8763</v>
      </c>
      <c r="I8" s="100">
        <f t="shared" si="2"/>
        <v>0</v>
      </c>
      <c r="J8" s="101">
        <f t="shared" si="3"/>
        <v>0</v>
      </c>
      <c r="K8" s="111"/>
      <c r="L8" s="103">
        <v>6.56223E7</v>
      </c>
      <c r="M8" s="99">
        <f t="shared" si="4"/>
        <v>177867.716</v>
      </c>
      <c r="N8" s="100">
        <f t="shared" si="5"/>
        <v>0</v>
      </c>
      <c r="O8" s="101">
        <f t="shared" si="6"/>
        <v>0</v>
      </c>
      <c r="P8" s="110"/>
      <c r="Q8" s="99">
        <v>2.2144982973E10</v>
      </c>
      <c r="R8" s="99">
        <f t="shared" si="7"/>
        <v>43143.00318</v>
      </c>
      <c r="S8" s="100">
        <f t="shared" si="8"/>
        <v>0</v>
      </c>
      <c r="T8" s="101">
        <f t="shared" si="9"/>
        <v>0</v>
      </c>
      <c r="U8" s="100">
        <f t="shared" si="10"/>
        <v>0</v>
      </c>
      <c r="V8" s="99">
        <f t="shared" si="11"/>
        <v>0</v>
      </c>
      <c r="W8" s="108"/>
      <c r="X8" s="97">
        <v>12539.0</v>
      </c>
      <c r="Y8" s="110"/>
      <c r="Z8" s="103">
        <v>8.2356869E7</v>
      </c>
      <c r="AA8" s="99">
        <v>186233.13491299</v>
      </c>
      <c r="AB8" s="100">
        <f t="shared" si="12"/>
        <v>0</v>
      </c>
      <c r="AC8" s="101">
        <f t="shared" si="13"/>
        <v>0</v>
      </c>
      <c r="AD8" s="110"/>
      <c r="AE8" s="99">
        <v>7.8037527E7</v>
      </c>
      <c r="AF8" s="99">
        <v>152124.05436781</v>
      </c>
      <c r="AG8" s="100">
        <f t="shared" si="14"/>
        <v>0</v>
      </c>
      <c r="AH8" s="101">
        <f t="shared" si="15"/>
        <v>0</v>
      </c>
      <c r="AI8" s="111"/>
      <c r="AJ8" s="99">
        <v>2.8757480427E10</v>
      </c>
      <c r="AK8" s="99">
        <v>56025.51472738999</v>
      </c>
      <c r="AL8" s="100">
        <f t="shared" si="16"/>
        <v>0</v>
      </c>
      <c r="AM8" s="100">
        <f t="shared" si="17"/>
        <v>0</v>
      </c>
      <c r="AN8" s="104">
        <f t="shared" si="18"/>
        <v>0</v>
      </c>
      <c r="AO8" s="97">
        <f t="shared" si="19"/>
        <v>0</v>
      </c>
      <c r="AQ8" s="20">
        <v>3.0</v>
      </c>
      <c r="AR8" s="20" t="s">
        <v>105</v>
      </c>
      <c r="AS8" s="20">
        <f t="shared" ref="AS8:AU8" si="37">SUM(D118:D165)</f>
        <v>340323</v>
      </c>
      <c r="AT8" s="24">
        <f t="shared" si="37"/>
        <v>1826160</v>
      </c>
      <c r="AU8" s="14">
        <f t="shared" si="37"/>
        <v>277349.5419</v>
      </c>
      <c r="AV8" s="24">
        <v>2.20240099E8</v>
      </c>
      <c r="AW8" s="99">
        <f t="shared" si="23"/>
        <v>498026.7335</v>
      </c>
      <c r="AX8" s="114">
        <f t="shared" si="24"/>
        <v>0.2727180167</v>
      </c>
      <c r="AY8" s="14">
        <f>SUM(K118:K165)</f>
        <v>46680.78039</v>
      </c>
      <c r="AZ8" s="24">
        <v>3.0028409E8</v>
      </c>
      <c r="BA8" s="99">
        <f t="shared" si="25"/>
        <v>813913.0333</v>
      </c>
      <c r="BB8" s="114">
        <f t="shared" si="26"/>
        <v>0.4456964523</v>
      </c>
      <c r="BC8" s="14">
        <f>SUM(P118:P165)</f>
        <v>16260.69863</v>
      </c>
      <c r="BD8" s="24">
        <v>2.15025815918E11</v>
      </c>
      <c r="BE8" s="102">
        <f t="shared" si="27"/>
        <v>418914.7254</v>
      </c>
      <c r="BF8" s="114">
        <f t="shared" si="28"/>
        <v>0.2293965071</v>
      </c>
      <c r="BG8" s="114">
        <f t="shared" si="29"/>
        <v>0.9478109761</v>
      </c>
      <c r="BH8" s="99">
        <f t="shared" si="30"/>
        <v>1730854.492</v>
      </c>
      <c r="BI8" s="20">
        <f t="shared" ref="BI8:BK8" si="38">SUM(W118:W165)</f>
        <v>537705</v>
      </c>
      <c r="BJ8" s="24">
        <f t="shared" si="38"/>
        <v>2016357</v>
      </c>
      <c r="BK8" s="14">
        <f t="shared" si="38"/>
        <v>456715.7266</v>
      </c>
      <c r="BL8" s="24">
        <v>3.78780105E8</v>
      </c>
      <c r="BM8" s="24">
        <v>866801.9064986615</v>
      </c>
      <c r="BN8" s="114">
        <f t="shared" si="32"/>
        <v>0.4298851377</v>
      </c>
      <c r="BO8" s="14">
        <f>SUM(AD118:AD165)</f>
        <v>58804.44534</v>
      </c>
      <c r="BP8" s="24">
        <v>3.26008197E8</v>
      </c>
      <c r="BQ8" s="24">
        <v>760140.49290227</v>
      </c>
      <c r="BR8" s="114">
        <f t="shared" si="33"/>
        <v>0.3769870578</v>
      </c>
      <c r="BS8" s="14">
        <f>SUM(AI118:AI165)</f>
        <v>22132.72489</v>
      </c>
      <c r="BT8" s="24">
        <v>2.8104086679E11</v>
      </c>
      <c r="BU8" s="99">
        <v>547525.68680482</v>
      </c>
      <c r="BV8" s="114">
        <f t="shared" si="34"/>
        <v>0.2715420369</v>
      </c>
      <c r="BW8" s="114">
        <f t="shared" si="35"/>
        <v>1.078414232</v>
      </c>
      <c r="BX8" s="99">
        <f t="shared" si="36"/>
        <v>2174468.086</v>
      </c>
    </row>
    <row r="9" ht="15.75" customHeight="1">
      <c r="A9" s="95">
        <v>10303.0</v>
      </c>
      <c r="B9" s="60" t="s">
        <v>9</v>
      </c>
      <c r="C9" s="60" t="s">
        <v>746</v>
      </c>
      <c r="D9" s="108">
        <v>6.0</v>
      </c>
      <c r="E9" s="109">
        <v>8314.75</v>
      </c>
      <c r="F9" s="110">
        <v>4.0</v>
      </c>
      <c r="G9" s="99">
        <v>4.4976043E7</v>
      </c>
      <c r="H9" s="99">
        <f t="shared" si="1"/>
        <v>101703.8763</v>
      </c>
      <c r="I9" s="100">
        <f t="shared" si="2"/>
        <v>0.00008022729548</v>
      </c>
      <c r="J9" s="101">
        <f t="shared" si="3"/>
        <v>0.0009813195746</v>
      </c>
      <c r="K9" s="111">
        <v>2.0</v>
      </c>
      <c r="L9" s="103">
        <v>6.56223E7</v>
      </c>
      <c r="M9" s="99">
        <f t="shared" si="4"/>
        <v>177867.716</v>
      </c>
      <c r="N9" s="100">
        <f t="shared" si="5"/>
        <v>0.0001893108244</v>
      </c>
      <c r="O9" s="101">
        <f t="shared" si="6"/>
        <v>0.004049704917</v>
      </c>
      <c r="P9" s="110">
        <v>0.0</v>
      </c>
      <c r="Q9" s="99">
        <v>2.2144982973E10</v>
      </c>
      <c r="R9" s="99">
        <f t="shared" si="7"/>
        <v>43143.00318</v>
      </c>
      <c r="S9" s="100">
        <f t="shared" si="8"/>
        <v>0</v>
      </c>
      <c r="T9" s="101">
        <f t="shared" si="9"/>
        <v>0</v>
      </c>
      <c r="U9" s="100">
        <f t="shared" si="10"/>
        <v>0.005031024491</v>
      </c>
      <c r="V9" s="99">
        <f t="shared" si="11"/>
        <v>41.83171089</v>
      </c>
      <c r="W9" s="108">
        <v>52.0</v>
      </c>
      <c r="X9" s="97">
        <v>9055.0</v>
      </c>
      <c r="Y9" s="110">
        <v>39.08039760376859</v>
      </c>
      <c r="Z9" s="103">
        <v>8.2356869E7</v>
      </c>
      <c r="AA9" s="99">
        <v>186233.13491299</v>
      </c>
      <c r="AB9" s="100">
        <f t="shared" si="12"/>
        <v>0.0004845684418</v>
      </c>
      <c r="AC9" s="101">
        <f t="shared" si="13"/>
        <v>0.009966062949</v>
      </c>
      <c r="AD9" s="110">
        <v>11.550618624989346</v>
      </c>
      <c r="AE9" s="99">
        <v>7.8037527E7</v>
      </c>
      <c r="AF9" s="99">
        <v>152124.05436781</v>
      </c>
      <c r="AG9" s="100">
        <f t="shared" si="14"/>
        <v>0.0009087380291</v>
      </c>
      <c r="AH9" s="101">
        <f t="shared" si="15"/>
        <v>0.01526680435</v>
      </c>
      <c r="AI9" s="111">
        <v>1.3666318747068638</v>
      </c>
      <c r="AJ9" s="99">
        <v>2.8757480427E10</v>
      </c>
      <c r="AK9" s="99">
        <v>56025.51472738999</v>
      </c>
      <c r="AL9" s="100">
        <f t="shared" si="16"/>
        <v>0.0005344770411</v>
      </c>
      <c r="AM9" s="100">
        <f t="shared" si="17"/>
        <v>0.003306941064</v>
      </c>
      <c r="AN9" s="104">
        <f t="shared" si="18"/>
        <v>0.02853980836</v>
      </c>
      <c r="AO9" s="97">
        <f t="shared" si="19"/>
        <v>258.4279647</v>
      </c>
      <c r="AQ9" s="20">
        <v>4.0</v>
      </c>
      <c r="AR9" s="20" t="s">
        <v>151</v>
      </c>
      <c r="AS9" s="20">
        <f t="shared" ref="AS9:AU9" si="39">SUM(D166:D200)</f>
        <v>86626</v>
      </c>
      <c r="AT9" s="24">
        <f t="shared" si="39"/>
        <v>513808</v>
      </c>
      <c r="AU9" s="14">
        <f t="shared" si="39"/>
        <v>66220.4371</v>
      </c>
      <c r="AV9" s="24">
        <v>9.101262E7</v>
      </c>
      <c r="AW9" s="99">
        <f t="shared" si="23"/>
        <v>205805.9275</v>
      </c>
      <c r="AX9" s="114">
        <f t="shared" si="24"/>
        <v>0.400550259</v>
      </c>
      <c r="AY9" s="14">
        <f>SUM(K166:K200)</f>
        <v>15048.37332</v>
      </c>
      <c r="AZ9" s="24">
        <v>1.167634E8</v>
      </c>
      <c r="BA9" s="99">
        <f t="shared" si="25"/>
        <v>316484.4766</v>
      </c>
      <c r="BB9" s="114">
        <f t="shared" si="26"/>
        <v>0.6159586395</v>
      </c>
      <c r="BC9" s="14">
        <f>SUM(P166:P200)</f>
        <v>5353.199079</v>
      </c>
      <c r="BD9" s="24">
        <v>1.6330426269E10</v>
      </c>
      <c r="BE9" s="102">
        <f t="shared" si="27"/>
        <v>31815.04512</v>
      </c>
      <c r="BF9" s="114">
        <f t="shared" si="28"/>
        <v>0.06192010463</v>
      </c>
      <c r="BG9" s="114">
        <f t="shared" si="29"/>
        <v>1.078429003</v>
      </c>
      <c r="BH9" s="99">
        <f t="shared" si="30"/>
        <v>554105.4492</v>
      </c>
      <c r="BI9" s="20">
        <f t="shared" ref="BI9:BK9" si="40">SUM(W166:W200)</f>
        <v>124008</v>
      </c>
      <c r="BJ9" s="24">
        <f t="shared" si="40"/>
        <v>571471</v>
      </c>
      <c r="BK9" s="14">
        <f t="shared" si="40"/>
        <v>97729.54097</v>
      </c>
      <c r="BL9" s="24">
        <v>1.54428964E8</v>
      </c>
      <c r="BM9" s="24">
        <v>349209.366945279</v>
      </c>
      <c r="BN9" s="114">
        <f t="shared" si="32"/>
        <v>0.6110710201</v>
      </c>
      <c r="BO9" s="14">
        <f>SUM(AD166:AD200)</f>
        <v>18918.64862</v>
      </c>
      <c r="BP9" s="24">
        <v>1.51576304E8</v>
      </c>
      <c r="BQ9" s="24">
        <v>349524.02110103</v>
      </c>
      <c r="BR9" s="114">
        <f t="shared" si="33"/>
        <v>0.611621624</v>
      </c>
      <c r="BS9" s="14">
        <f>SUM(AI166:AI200)</f>
        <v>7353.58858</v>
      </c>
      <c r="BT9" s="24">
        <v>2.6311076528E10</v>
      </c>
      <c r="BU9" s="99">
        <v>51259.414372873005</v>
      </c>
      <c r="BV9" s="114">
        <f t="shared" si="34"/>
        <v>0.08969731513</v>
      </c>
      <c r="BW9" s="114">
        <f t="shared" si="35"/>
        <v>1.312389959</v>
      </c>
      <c r="BX9" s="99">
        <f t="shared" si="36"/>
        <v>749992.8024</v>
      </c>
    </row>
    <row r="10" ht="15.75" customHeight="1">
      <c r="A10" s="95">
        <v>10304.0</v>
      </c>
      <c r="B10" s="60" t="s">
        <v>9</v>
      </c>
      <c r="C10" s="60" t="s">
        <v>747</v>
      </c>
      <c r="D10" s="108">
        <v>3.0</v>
      </c>
      <c r="E10" s="109">
        <v>8119.25</v>
      </c>
      <c r="F10" s="110">
        <v>2.0</v>
      </c>
      <c r="G10" s="99">
        <v>4.4976043E7</v>
      </c>
      <c r="H10" s="99">
        <f t="shared" si="1"/>
        <v>101703.8763</v>
      </c>
      <c r="I10" s="100">
        <f t="shared" si="2"/>
        <v>0.00004011364774</v>
      </c>
      <c r="J10" s="101">
        <f t="shared" si="3"/>
        <v>0.0005024741776</v>
      </c>
      <c r="K10" s="111">
        <v>1.0</v>
      </c>
      <c r="L10" s="103">
        <v>6.56223E7</v>
      </c>
      <c r="M10" s="99">
        <f t="shared" si="4"/>
        <v>177867.716</v>
      </c>
      <c r="N10" s="100">
        <f t="shared" si="5"/>
        <v>0.00009465541221</v>
      </c>
      <c r="O10" s="101">
        <f t="shared" si="6"/>
        <v>0.002073608028</v>
      </c>
      <c r="P10" s="110">
        <v>0.0</v>
      </c>
      <c r="Q10" s="99">
        <v>2.2144982973E10</v>
      </c>
      <c r="R10" s="99">
        <f t="shared" si="7"/>
        <v>43143.00318</v>
      </c>
      <c r="S10" s="100">
        <f t="shared" si="8"/>
        <v>0</v>
      </c>
      <c r="T10" s="101">
        <f t="shared" si="9"/>
        <v>0</v>
      </c>
      <c r="U10" s="100">
        <f t="shared" si="10"/>
        <v>0.002576082205</v>
      </c>
      <c r="V10" s="99">
        <f t="shared" si="11"/>
        <v>20.91585544</v>
      </c>
      <c r="W10" s="108">
        <v>2.0</v>
      </c>
      <c r="X10" s="97">
        <v>9155.0</v>
      </c>
      <c r="Y10" s="110">
        <v>2.0</v>
      </c>
      <c r="Z10" s="103">
        <v>8.2356869E7</v>
      </c>
      <c r="AA10" s="99">
        <v>186233.13491299</v>
      </c>
      <c r="AB10" s="100">
        <f t="shared" si="12"/>
        <v>0.00002479854206</v>
      </c>
      <c r="AC10" s="101">
        <f t="shared" si="13"/>
        <v>0.0005044576984</v>
      </c>
      <c r="AD10" s="110">
        <v>0.0</v>
      </c>
      <c r="AE10" s="99">
        <v>7.8037527E7</v>
      </c>
      <c r="AF10" s="99">
        <v>152124.05436781</v>
      </c>
      <c r="AG10" s="100">
        <f t="shared" si="14"/>
        <v>0</v>
      </c>
      <c r="AH10" s="101">
        <f t="shared" si="15"/>
        <v>0</v>
      </c>
      <c r="AI10" s="111">
        <v>0.0</v>
      </c>
      <c r="AJ10" s="99">
        <v>2.8757480427E10</v>
      </c>
      <c r="AK10" s="99">
        <v>56025.51472738999</v>
      </c>
      <c r="AL10" s="100">
        <f t="shared" si="16"/>
        <v>0</v>
      </c>
      <c r="AM10" s="100">
        <f t="shared" si="17"/>
        <v>0</v>
      </c>
      <c r="AN10" s="104">
        <f t="shared" si="18"/>
        <v>0.0005044576984</v>
      </c>
      <c r="AO10" s="97">
        <f t="shared" si="19"/>
        <v>4.618310229</v>
      </c>
      <c r="AQ10" s="20">
        <v>5.0</v>
      </c>
      <c r="AR10" s="20" t="s">
        <v>183</v>
      </c>
      <c r="AS10" s="20">
        <f t="shared" ref="AS10:AU10" si="41">SUM(D201:D242)</f>
        <v>57204</v>
      </c>
      <c r="AT10" s="24">
        <f t="shared" si="41"/>
        <v>836710.75</v>
      </c>
      <c r="AU10" s="14">
        <f t="shared" si="41"/>
        <v>45038.19021</v>
      </c>
      <c r="AV10" s="24">
        <v>8.0715608E7</v>
      </c>
      <c r="AW10" s="99">
        <f t="shared" si="23"/>
        <v>182521.3972</v>
      </c>
      <c r="AX10" s="114">
        <f t="shared" si="24"/>
        <v>0.2181415707</v>
      </c>
      <c r="AY10" s="14">
        <f>SUM(K201:K242)</f>
        <v>10639.39515</v>
      </c>
      <c r="AZ10" s="24">
        <v>1.02296881E8</v>
      </c>
      <c r="BA10" s="99">
        <f t="shared" si="25"/>
        <v>277273.3138</v>
      </c>
      <c r="BB10" s="114">
        <f t="shared" si="26"/>
        <v>0.3313849066</v>
      </c>
      <c r="BC10" s="14">
        <f>SUM(P201:P242)</f>
        <v>1468.072686</v>
      </c>
      <c r="BD10" s="24">
        <v>1.312701719E9</v>
      </c>
      <c r="BE10" s="102">
        <f t="shared" si="27"/>
        <v>2557.414224</v>
      </c>
      <c r="BF10" s="114">
        <f t="shared" si="28"/>
        <v>0.003056509342</v>
      </c>
      <c r="BG10" s="114">
        <f t="shared" si="29"/>
        <v>0.5525829867</v>
      </c>
      <c r="BH10" s="99">
        <f t="shared" si="30"/>
        <v>462352.1252</v>
      </c>
      <c r="BI10" s="20">
        <f t="shared" ref="BI10:BK10" si="42">SUM(W201:W242)</f>
        <v>88873</v>
      </c>
      <c r="BJ10" s="24">
        <f t="shared" si="42"/>
        <v>861292</v>
      </c>
      <c r="BK10" s="14">
        <f t="shared" si="42"/>
        <v>72858.69417</v>
      </c>
      <c r="BL10" s="24">
        <v>1.21716258E8</v>
      </c>
      <c r="BM10" s="24">
        <v>275236.30478495</v>
      </c>
      <c r="BN10" s="114">
        <f t="shared" si="32"/>
        <v>0.3195621285</v>
      </c>
      <c r="BO10" s="14">
        <f>SUM(AD201:AD242)</f>
        <v>13842.96102</v>
      </c>
      <c r="BP10" s="24">
        <v>1.4807467E8</v>
      </c>
      <c r="BQ10" s="24">
        <v>298068.80334898003</v>
      </c>
      <c r="BR10" s="114">
        <f t="shared" si="33"/>
        <v>0.3460717194</v>
      </c>
      <c r="BS10" s="14">
        <f>SUM(AI201:AI242)</f>
        <v>2164.061331</v>
      </c>
      <c r="BT10" s="24">
        <v>1.717060725E9</v>
      </c>
      <c r="BU10" s="99">
        <v>3345.1891293834997</v>
      </c>
      <c r="BV10" s="114">
        <f t="shared" si="34"/>
        <v>0.003883919889</v>
      </c>
      <c r="BW10" s="114">
        <f t="shared" si="35"/>
        <v>0.6695177678</v>
      </c>
      <c r="BX10" s="99">
        <f t="shared" si="36"/>
        <v>576650.2973</v>
      </c>
    </row>
    <row r="11" ht="15.75" customHeight="1">
      <c r="A11" s="95">
        <v>10401.0</v>
      </c>
      <c r="B11" s="60" t="s">
        <v>9</v>
      </c>
      <c r="C11" s="60" t="s">
        <v>27</v>
      </c>
      <c r="D11" s="96">
        <v>7.0</v>
      </c>
      <c r="E11" s="97">
        <v>10085.25</v>
      </c>
      <c r="F11" s="98">
        <v>4.605227971960401</v>
      </c>
      <c r="G11" s="99">
        <v>4.4976043E7</v>
      </c>
      <c r="H11" s="99">
        <f t="shared" si="1"/>
        <v>101703.8763</v>
      </c>
      <c r="I11" s="100">
        <f t="shared" si="2"/>
        <v>0.00009236624631</v>
      </c>
      <c r="J11" s="101">
        <f t="shared" si="3"/>
        <v>0.0009314598336</v>
      </c>
      <c r="K11" s="102">
        <v>2.165622515561511</v>
      </c>
      <c r="L11" s="103">
        <v>6.56223E7</v>
      </c>
      <c r="M11" s="99">
        <f t="shared" si="4"/>
        <v>177867.716</v>
      </c>
      <c r="N11" s="100">
        <f t="shared" si="5"/>
        <v>0.0002049878919</v>
      </c>
      <c r="O11" s="101">
        <f t="shared" si="6"/>
        <v>0.003615252784</v>
      </c>
      <c r="P11" s="98">
        <v>0.2287363251916675</v>
      </c>
      <c r="Q11" s="99">
        <v>2.2144982973E10</v>
      </c>
      <c r="R11" s="99">
        <f t="shared" si="7"/>
        <v>43143.00318</v>
      </c>
      <c r="S11" s="100">
        <f t="shared" si="8"/>
        <v>0.0001287912691</v>
      </c>
      <c r="T11" s="101">
        <f t="shared" si="9"/>
        <v>0.0005509473869</v>
      </c>
      <c r="U11" s="100">
        <f t="shared" si="10"/>
        <v>0.005097660005</v>
      </c>
      <c r="V11" s="99">
        <f t="shared" si="11"/>
        <v>51.41117556</v>
      </c>
      <c r="W11" s="96">
        <v>246.0</v>
      </c>
      <c r="X11" s="97">
        <v>9192.0</v>
      </c>
      <c r="Y11" s="98">
        <v>184.5644090326186</v>
      </c>
      <c r="Z11" s="103">
        <v>8.2356869E7</v>
      </c>
      <c r="AA11" s="99">
        <v>186233.13491299</v>
      </c>
      <c r="AB11" s="100">
        <f t="shared" si="12"/>
        <v>0.00228846413</v>
      </c>
      <c r="AC11" s="101">
        <f t="shared" si="13"/>
        <v>0.04636508367</v>
      </c>
      <c r="AD11" s="98">
        <v>55.65869663571919</v>
      </c>
      <c r="AE11" s="99">
        <v>7.8037527E7</v>
      </c>
      <c r="AF11" s="99">
        <v>152124.05436781</v>
      </c>
      <c r="AG11" s="100">
        <f t="shared" si="14"/>
        <v>0.004378914751</v>
      </c>
      <c r="AH11" s="101">
        <f t="shared" si="15"/>
        <v>0.07246935006</v>
      </c>
      <c r="AI11" s="102">
        <v>5.767413688442895</v>
      </c>
      <c r="AJ11" s="99">
        <v>2.8757480427E10</v>
      </c>
      <c r="AK11" s="99">
        <v>56025.51472738999</v>
      </c>
      <c r="AL11" s="100">
        <f t="shared" si="16"/>
        <v>0.00225558196</v>
      </c>
      <c r="AM11" s="100">
        <f t="shared" si="17"/>
        <v>0.01374783946</v>
      </c>
      <c r="AN11" s="104">
        <f t="shared" si="18"/>
        <v>0.1325822732</v>
      </c>
      <c r="AO11" s="97">
        <f t="shared" si="19"/>
        <v>1218.696255</v>
      </c>
      <c r="AQ11" s="20">
        <v>6.0</v>
      </c>
      <c r="AR11" s="20" t="s">
        <v>213</v>
      </c>
      <c r="AS11" s="20">
        <f t="shared" ref="AS11:AU11" si="43">SUM(D243:D253)</f>
        <v>87301</v>
      </c>
      <c r="AT11" s="24">
        <f t="shared" si="43"/>
        <v>496191</v>
      </c>
      <c r="AU11" s="14">
        <f t="shared" si="43"/>
        <v>69987</v>
      </c>
      <c r="AV11" s="24">
        <v>7.3166581E7</v>
      </c>
      <c r="AW11" s="99">
        <f t="shared" si="23"/>
        <v>165450.8579</v>
      </c>
      <c r="AX11" s="114">
        <f t="shared" si="24"/>
        <v>0.3334418761</v>
      </c>
      <c r="AY11" s="14">
        <f>SUM(K243:K253)</f>
        <v>15365</v>
      </c>
      <c r="AZ11" s="24">
        <v>1.09525629E8</v>
      </c>
      <c r="BA11" s="99">
        <f t="shared" si="25"/>
        <v>296866.6669</v>
      </c>
      <c r="BB11" s="114">
        <f t="shared" si="26"/>
        <v>0.5982911155</v>
      </c>
      <c r="BC11" s="14">
        <f>SUM(P243:P253)</f>
        <v>1942</v>
      </c>
      <c r="BD11" s="24">
        <v>4.3388942926E10</v>
      </c>
      <c r="BE11" s="102">
        <f t="shared" si="27"/>
        <v>84530.62732</v>
      </c>
      <c r="BF11" s="114">
        <f t="shared" si="28"/>
        <v>0.1703590499</v>
      </c>
      <c r="BG11" s="114">
        <f t="shared" si="29"/>
        <v>1.102092041</v>
      </c>
      <c r="BH11" s="99">
        <f t="shared" si="30"/>
        <v>546848.1522</v>
      </c>
      <c r="BI11" s="20">
        <f t="shared" ref="BI11:BK11" si="44">SUM(W243:W253)</f>
        <v>148210</v>
      </c>
      <c r="BJ11" s="24">
        <f t="shared" si="44"/>
        <v>534210</v>
      </c>
      <c r="BK11" s="14">
        <f t="shared" si="44"/>
        <v>126110.3157</v>
      </c>
      <c r="BL11" s="24">
        <v>9.7868E7</v>
      </c>
      <c r="BM11" s="24">
        <v>223054.08948726588</v>
      </c>
      <c r="BN11" s="114">
        <f t="shared" si="32"/>
        <v>0.4175400863</v>
      </c>
      <c r="BO11" s="14">
        <f>SUM(AD243:AD253)</f>
        <v>19335.69221</v>
      </c>
      <c r="BP11" s="24">
        <v>1.19919247E8</v>
      </c>
      <c r="BQ11" s="24">
        <v>289671.03710113</v>
      </c>
      <c r="BR11" s="114">
        <f t="shared" si="33"/>
        <v>0.5422418845</v>
      </c>
      <c r="BS11" s="14">
        <f>SUM(AI243:AI253)</f>
        <v>2755.055939</v>
      </c>
      <c r="BT11" s="24">
        <v>1.3268452106E10</v>
      </c>
      <c r="BU11" s="99">
        <v>126477.65809489001</v>
      </c>
      <c r="BV11" s="114">
        <f t="shared" si="34"/>
        <v>0.2367564405</v>
      </c>
      <c r="BW11" s="114">
        <f t="shared" si="35"/>
        <v>1.196538411</v>
      </c>
      <c r="BX11" s="99">
        <f t="shared" si="36"/>
        <v>639202.7847</v>
      </c>
    </row>
    <row r="12" ht="15.75" customHeight="1">
      <c r="A12" s="95">
        <v>10402.0</v>
      </c>
      <c r="B12" s="60" t="s">
        <v>9</v>
      </c>
      <c r="C12" s="60" t="s">
        <v>748</v>
      </c>
      <c r="D12" s="108">
        <v>7.0</v>
      </c>
      <c r="E12" s="109">
        <v>8497.75</v>
      </c>
      <c r="F12" s="110">
        <v>4.0</v>
      </c>
      <c r="G12" s="99">
        <v>4.4976043E7</v>
      </c>
      <c r="H12" s="99">
        <f t="shared" si="1"/>
        <v>101703.8763</v>
      </c>
      <c r="I12" s="100">
        <f t="shared" si="2"/>
        <v>0.00008022729548</v>
      </c>
      <c r="J12" s="101">
        <f t="shared" si="3"/>
        <v>0.0009601867474</v>
      </c>
      <c r="K12" s="111">
        <v>3.0</v>
      </c>
      <c r="L12" s="103">
        <v>6.56223E7</v>
      </c>
      <c r="M12" s="99">
        <f t="shared" si="4"/>
        <v>177867.716</v>
      </c>
      <c r="N12" s="100">
        <f t="shared" si="5"/>
        <v>0.0002839662366</v>
      </c>
      <c r="O12" s="101">
        <f t="shared" si="6"/>
        <v>0.0059437411</v>
      </c>
      <c r="P12" s="110">
        <v>0.0</v>
      </c>
      <c r="Q12" s="99">
        <v>2.2144982973E10</v>
      </c>
      <c r="R12" s="99">
        <f t="shared" si="7"/>
        <v>43143.00318</v>
      </c>
      <c r="S12" s="100">
        <f t="shared" si="8"/>
        <v>0</v>
      </c>
      <c r="T12" s="101">
        <f t="shared" si="9"/>
        <v>0</v>
      </c>
      <c r="U12" s="100">
        <f t="shared" si="10"/>
        <v>0.006903927848</v>
      </c>
      <c r="V12" s="99">
        <f t="shared" si="11"/>
        <v>58.66785287</v>
      </c>
      <c r="W12" s="108">
        <v>386.0</v>
      </c>
      <c r="X12" s="97">
        <v>8509.0</v>
      </c>
      <c r="Y12" s="110">
        <v>354.2642595320455</v>
      </c>
      <c r="Z12" s="103">
        <v>8.2356869E7</v>
      </c>
      <c r="AA12" s="99">
        <v>186233.13491299</v>
      </c>
      <c r="AB12" s="100">
        <f t="shared" si="12"/>
        <v>0.00439261857</v>
      </c>
      <c r="AC12" s="101">
        <f t="shared" si="13"/>
        <v>0.09613951425</v>
      </c>
      <c r="AD12" s="110">
        <v>28.56592765080461</v>
      </c>
      <c r="AE12" s="99">
        <v>7.8037527E7</v>
      </c>
      <c r="AF12" s="99">
        <v>152124.05436781</v>
      </c>
      <c r="AG12" s="100">
        <f t="shared" si="14"/>
        <v>0.002247407315</v>
      </c>
      <c r="AH12" s="101">
        <f t="shared" si="15"/>
        <v>0.04017918823</v>
      </c>
      <c r="AI12" s="111">
        <v>3.1651594167895674</v>
      </c>
      <c r="AJ12" s="99">
        <v>2.8757480427E10</v>
      </c>
      <c r="AK12" s="99">
        <v>56025.51472738999</v>
      </c>
      <c r="AL12" s="100">
        <f t="shared" si="16"/>
        <v>0.001237864469</v>
      </c>
      <c r="AM12" s="100">
        <f t="shared" si="17"/>
        <v>0.008150428256</v>
      </c>
      <c r="AN12" s="104">
        <f t="shared" si="18"/>
        <v>0.1444691307</v>
      </c>
      <c r="AO12" s="97">
        <f t="shared" si="19"/>
        <v>1229.287833</v>
      </c>
      <c r="AQ12" s="20">
        <v>7.0</v>
      </c>
      <c r="AR12" s="20" t="s">
        <v>224</v>
      </c>
      <c r="AS12" s="20">
        <f t="shared" ref="AS12:AU12" si="45">SUM(D254:D309)</f>
        <v>519811</v>
      </c>
      <c r="AT12" s="24">
        <f t="shared" si="45"/>
        <v>2773972.75</v>
      </c>
      <c r="AU12" s="14">
        <f t="shared" si="45"/>
        <v>420566.0446</v>
      </c>
      <c r="AV12" s="24">
        <v>5.02722601E8</v>
      </c>
      <c r="AW12" s="99">
        <f t="shared" si="23"/>
        <v>1136801.59</v>
      </c>
      <c r="AX12" s="114">
        <f t="shared" si="24"/>
        <v>0.4098099343</v>
      </c>
      <c r="AY12" s="14">
        <f>SUM(K254:K309)</f>
        <v>79012.87211</v>
      </c>
      <c r="AZ12" s="24">
        <v>6.96325692E8</v>
      </c>
      <c r="BA12" s="99">
        <f t="shared" si="25"/>
        <v>1887374.573</v>
      </c>
      <c r="BB12" s="114">
        <f t="shared" si="26"/>
        <v>0.6803868469</v>
      </c>
      <c r="BC12" s="14">
        <f>SUM(P254:P309)</f>
        <v>20210.56702</v>
      </c>
      <c r="BD12" s="24">
        <v>2.75172858841E11</v>
      </c>
      <c r="BE12" s="102">
        <f t="shared" si="27"/>
        <v>536093.5946</v>
      </c>
      <c r="BF12" s="114">
        <f t="shared" si="28"/>
        <v>0.1932584214</v>
      </c>
      <c r="BG12" s="114">
        <f t="shared" si="29"/>
        <v>1.283455203</v>
      </c>
      <c r="BH12" s="99">
        <f t="shared" si="30"/>
        <v>3560269.758</v>
      </c>
      <c r="BI12" s="20">
        <f t="shared" ref="BI12:BK12" si="46">SUM(W254:W309)</f>
        <v>937799</v>
      </c>
      <c r="BJ12" s="24">
        <f t="shared" si="46"/>
        <v>3122605</v>
      </c>
      <c r="BK12" s="14">
        <f t="shared" si="46"/>
        <v>801532.4417</v>
      </c>
      <c r="BL12" s="24">
        <v>7.8233493E8</v>
      </c>
      <c r="BM12" s="24">
        <v>1771534.1337791323</v>
      </c>
      <c r="BN12" s="114">
        <f t="shared" si="32"/>
        <v>0.5673257212</v>
      </c>
      <c r="BO12" s="14">
        <f>SUM(AD254:AD309)</f>
        <v>107559.7109</v>
      </c>
      <c r="BP12" s="24">
        <v>8.54728458E8</v>
      </c>
      <c r="BQ12" s="24">
        <v>1973061.047939696</v>
      </c>
      <c r="BR12" s="114">
        <f t="shared" si="33"/>
        <v>0.6318637958</v>
      </c>
      <c r="BS12" s="14">
        <f>SUM(AI254:AI309)</f>
        <v>28656.67645</v>
      </c>
      <c r="BT12" s="24">
        <v>3.52046352185E11</v>
      </c>
      <c r="BU12" s="99">
        <v>685859.0459431</v>
      </c>
      <c r="BV12" s="114">
        <f t="shared" si="34"/>
        <v>0.2196432293</v>
      </c>
      <c r="BW12" s="114">
        <f t="shared" si="35"/>
        <v>1.418832746</v>
      </c>
      <c r="BX12" s="99">
        <f t="shared" si="36"/>
        <v>4430454.228</v>
      </c>
    </row>
    <row r="13" ht="15.75" customHeight="1">
      <c r="A13" s="95">
        <v>10403.0</v>
      </c>
      <c r="B13" s="60" t="s">
        <v>9</v>
      </c>
      <c r="C13" s="60" t="s">
        <v>33</v>
      </c>
      <c r="D13" s="96">
        <v>4.0</v>
      </c>
      <c r="E13" s="97">
        <v>7219.5</v>
      </c>
      <c r="F13" s="98">
        <v>3.582410593350892</v>
      </c>
      <c r="G13" s="99">
        <v>4.4976043E7</v>
      </c>
      <c r="H13" s="99">
        <f t="shared" si="1"/>
        <v>101703.8763</v>
      </c>
      <c r="I13" s="100">
        <f t="shared" si="2"/>
        <v>0.0000718517783</v>
      </c>
      <c r="J13" s="101">
        <f t="shared" si="3"/>
        <v>0.001012203666</v>
      </c>
      <c r="K13" s="102">
        <v>0.2436587972835207</v>
      </c>
      <c r="L13" s="103">
        <v>6.56223E7</v>
      </c>
      <c r="M13" s="99">
        <f t="shared" si="4"/>
        <v>177867.716</v>
      </c>
      <c r="N13" s="100">
        <f t="shared" si="5"/>
        <v>0.0000230636239</v>
      </c>
      <c r="O13" s="101">
        <f t="shared" si="6"/>
        <v>0.0005682213596</v>
      </c>
      <c r="P13" s="98">
        <v>0.1739306093655878</v>
      </c>
      <c r="Q13" s="99">
        <v>2.2144982973E10</v>
      </c>
      <c r="R13" s="99">
        <f t="shared" si="7"/>
        <v>43143.00318</v>
      </c>
      <c r="S13" s="100">
        <f t="shared" si="8"/>
        <v>0.00009793260384</v>
      </c>
      <c r="T13" s="101">
        <f t="shared" si="9"/>
        <v>0.0005852353541</v>
      </c>
      <c r="U13" s="100">
        <f t="shared" si="10"/>
        <v>0.00216566038</v>
      </c>
      <c r="V13" s="99">
        <f t="shared" si="11"/>
        <v>15.63498511</v>
      </c>
      <c r="W13" s="96">
        <v>117.0</v>
      </c>
      <c r="X13" s="97">
        <v>6942.0</v>
      </c>
      <c r="Y13" s="98">
        <v>103.2816218471074</v>
      </c>
      <c r="Z13" s="103">
        <v>8.2356869E7</v>
      </c>
      <c r="AA13" s="99">
        <v>186233.13491299</v>
      </c>
      <c r="AB13" s="100">
        <f t="shared" si="12"/>
        <v>0.001280616822</v>
      </c>
      <c r="AC13" s="101">
        <f t="shared" si="13"/>
        <v>0.03435512609</v>
      </c>
      <c r="AD13" s="98">
        <v>11.09499127215829</v>
      </c>
      <c r="AE13" s="99">
        <v>7.8037527E7</v>
      </c>
      <c r="AF13" s="99">
        <v>152124.05436781</v>
      </c>
      <c r="AG13" s="100">
        <f t="shared" si="14"/>
        <v>0.000872891819</v>
      </c>
      <c r="AH13" s="101">
        <f t="shared" si="15"/>
        <v>0.01912818244</v>
      </c>
      <c r="AI13" s="102">
        <v>2.621513673774519</v>
      </c>
      <c r="AJ13" s="99">
        <v>2.8757480427E10</v>
      </c>
      <c r="AK13" s="99">
        <v>56025.51472738999</v>
      </c>
      <c r="AL13" s="100">
        <f t="shared" si="16"/>
        <v>0.001025249665</v>
      </c>
      <c r="AM13" s="100">
        <f t="shared" si="17"/>
        <v>0.008274292739</v>
      </c>
      <c r="AN13" s="104">
        <f t="shared" si="18"/>
        <v>0.06175760127</v>
      </c>
      <c r="AO13" s="97">
        <f t="shared" si="19"/>
        <v>428.721268</v>
      </c>
      <c r="AQ13" s="20">
        <v>8.0</v>
      </c>
      <c r="AR13" s="20" t="s">
        <v>274</v>
      </c>
      <c r="AS13" s="20">
        <f t="shared" ref="AS13:AU13" si="47">SUM(D310:D329)</f>
        <v>36759</v>
      </c>
      <c r="AT13" s="24">
        <f t="shared" si="47"/>
        <v>438571</v>
      </c>
      <c r="AU13" s="14">
        <f t="shared" si="47"/>
        <v>35005.03758</v>
      </c>
      <c r="AV13" s="24">
        <v>6.2494613E7</v>
      </c>
      <c r="AW13" s="99">
        <f t="shared" si="23"/>
        <v>141318.4434</v>
      </c>
      <c r="AX13" s="114">
        <f t="shared" si="24"/>
        <v>0.3222247787</v>
      </c>
      <c r="AY13" s="14">
        <f>SUM(K310:K329)</f>
        <v>1617.360823</v>
      </c>
      <c r="AZ13" s="24">
        <v>6.9208298E7</v>
      </c>
      <c r="BA13" s="99">
        <f t="shared" si="25"/>
        <v>187587.4801</v>
      </c>
      <c r="BB13" s="114">
        <f t="shared" si="26"/>
        <v>0.4277243139</v>
      </c>
      <c r="BC13" s="14">
        <f>SUM(P310:P329)</f>
        <v>121.6138831</v>
      </c>
      <c r="BF13" s="114">
        <f t="shared" si="28"/>
        <v>0</v>
      </c>
      <c r="BG13" s="114">
        <f t="shared" si="29"/>
        <v>0.7499490926</v>
      </c>
      <c r="BH13" s="99">
        <f t="shared" si="30"/>
        <v>328905.9235</v>
      </c>
      <c r="BI13" s="20">
        <f t="shared" ref="BI13:BK13" si="48">SUM(W310:W329)</f>
        <v>56552</v>
      </c>
      <c r="BJ13" s="24">
        <f t="shared" si="48"/>
        <v>488260</v>
      </c>
      <c r="BK13" s="14">
        <f t="shared" si="48"/>
        <v>54356.95215</v>
      </c>
      <c r="BL13" s="24">
        <v>8.814083E7</v>
      </c>
      <c r="BM13" s="24">
        <v>199312.37411093</v>
      </c>
      <c r="BN13" s="114">
        <f t="shared" si="32"/>
        <v>0.4082095075</v>
      </c>
      <c r="BO13" s="14">
        <f>SUM(AD310:AD329)</f>
        <v>2018.996996</v>
      </c>
      <c r="BP13" s="24">
        <v>7.3585374E7</v>
      </c>
      <c r="BQ13" s="24">
        <v>118292.19145099001</v>
      </c>
      <c r="BR13" s="114">
        <f t="shared" si="33"/>
        <v>0.2422729518</v>
      </c>
      <c r="BS13" s="14">
        <f>SUM(AI310:AI329)</f>
        <v>152.0424034</v>
      </c>
      <c r="BU13" s="24"/>
      <c r="BV13" s="114">
        <f t="shared" si="34"/>
        <v>0</v>
      </c>
      <c r="BW13" s="114">
        <f t="shared" si="35"/>
        <v>0.6504824593</v>
      </c>
      <c r="BX13" s="99">
        <f t="shared" si="36"/>
        <v>317604.5656</v>
      </c>
    </row>
    <row r="14" ht="15.75" customHeight="1">
      <c r="A14" s="95">
        <v>10404.0</v>
      </c>
      <c r="B14" s="60" t="s">
        <v>9</v>
      </c>
      <c r="C14" s="60" t="s">
        <v>10</v>
      </c>
      <c r="D14" s="96">
        <v>0.0</v>
      </c>
      <c r="E14" s="97">
        <v>4618.5</v>
      </c>
      <c r="F14" s="98">
        <v>0.0</v>
      </c>
      <c r="G14" s="99">
        <v>4.4976043E7</v>
      </c>
      <c r="H14" s="99">
        <f t="shared" si="1"/>
        <v>101703.8763</v>
      </c>
      <c r="I14" s="100">
        <f t="shared" si="2"/>
        <v>0</v>
      </c>
      <c r="J14" s="101">
        <f t="shared" si="3"/>
        <v>0</v>
      </c>
      <c r="K14" s="102">
        <v>0.0</v>
      </c>
      <c r="L14" s="103">
        <v>6.56223E7</v>
      </c>
      <c r="M14" s="99">
        <f t="shared" si="4"/>
        <v>177867.716</v>
      </c>
      <c r="N14" s="100">
        <f t="shared" si="5"/>
        <v>0</v>
      </c>
      <c r="O14" s="101">
        <f t="shared" si="6"/>
        <v>0</v>
      </c>
      <c r="P14" s="98">
        <v>0.0</v>
      </c>
      <c r="Q14" s="99">
        <v>2.2144982973E10</v>
      </c>
      <c r="R14" s="99">
        <f t="shared" si="7"/>
        <v>43143.00318</v>
      </c>
      <c r="S14" s="100">
        <f t="shared" si="8"/>
        <v>0</v>
      </c>
      <c r="T14" s="101">
        <f t="shared" si="9"/>
        <v>0</v>
      </c>
      <c r="U14" s="100">
        <f t="shared" si="10"/>
        <v>0</v>
      </c>
      <c r="V14" s="99">
        <f t="shared" si="11"/>
        <v>0</v>
      </c>
      <c r="W14" s="96">
        <v>0.0</v>
      </c>
      <c r="X14" s="97">
        <v>3768.0</v>
      </c>
      <c r="Y14" s="98">
        <v>0.0</v>
      </c>
      <c r="Z14" s="103">
        <v>8.2356869E7</v>
      </c>
      <c r="AA14" s="99">
        <v>186233.13491299</v>
      </c>
      <c r="AB14" s="100">
        <f t="shared" si="12"/>
        <v>0</v>
      </c>
      <c r="AC14" s="101">
        <f t="shared" si="13"/>
        <v>0</v>
      </c>
      <c r="AD14" s="98">
        <v>0.0</v>
      </c>
      <c r="AE14" s="99">
        <v>7.8037527E7</v>
      </c>
      <c r="AF14" s="99">
        <v>152124.05436781</v>
      </c>
      <c r="AG14" s="100">
        <f t="shared" si="14"/>
        <v>0</v>
      </c>
      <c r="AH14" s="101">
        <f t="shared" si="15"/>
        <v>0</v>
      </c>
      <c r="AI14" s="102">
        <v>0.0</v>
      </c>
      <c r="AJ14" s="99">
        <v>2.8757480427E10</v>
      </c>
      <c r="AK14" s="99">
        <v>56025.51472738999</v>
      </c>
      <c r="AL14" s="100">
        <f t="shared" si="16"/>
        <v>0</v>
      </c>
      <c r="AM14" s="100">
        <f t="shared" si="17"/>
        <v>0</v>
      </c>
      <c r="AN14" s="104">
        <f t="shared" si="18"/>
        <v>0</v>
      </c>
      <c r="AO14" s="97">
        <f t="shared" si="19"/>
        <v>0</v>
      </c>
      <c r="AQ14" s="20">
        <v>9.0</v>
      </c>
      <c r="AR14" s="20" t="s">
        <v>284</v>
      </c>
      <c r="AS14" s="20">
        <f t="shared" ref="AS14:AU14" si="49">SUM(D330:D344)</f>
        <v>3243</v>
      </c>
      <c r="AT14" s="24">
        <f t="shared" si="49"/>
        <v>116375.5</v>
      </c>
      <c r="AU14" s="14">
        <f t="shared" si="49"/>
        <v>2813</v>
      </c>
      <c r="AV14" s="24">
        <v>1.677422E7</v>
      </c>
      <c r="AW14" s="99">
        <f t="shared" si="23"/>
        <v>37931.37594</v>
      </c>
      <c r="AX14" s="114">
        <f t="shared" si="24"/>
        <v>0.3259395315</v>
      </c>
      <c r="AY14" s="14">
        <f>SUM(K330:K344)</f>
        <v>377</v>
      </c>
      <c r="AZ14" s="24">
        <v>1.135584E7</v>
      </c>
      <c r="BA14" s="99">
        <f t="shared" si="25"/>
        <v>30779.73988</v>
      </c>
      <c r="BB14" s="114">
        <f t="shared" si="26"/>
        <v>0.2644864244</v>
      </c>
      <c r="BC14" s="14">
        <f>SUM(P330:P344)</f>
        <v>53</v>
      </c>
      <c r="BF14" s="114">
        <f t="shared" si="28"/>
        <v>0</v>
      </c>
      <c r="BG14" s="114">
        <f t="shared" si="29"/>
        <v>0.5904259558</v>
      </c>
      <c r="BH14" s="99">
        <f t="shared" si="30"/>
        <v>68711.11582</v>
      </c>
      <c r="BI14" s="20">
        <f t="shared" ref="BI14:BK14" si="50">SUM(W330:W344)</f>
        <v>10271</v>
      </c>
      <c r="BJ14" s="24">
        <f t="shared" si="50"/>
        <v>134194</v>
      </c>
      <c r="BK14" s="14">
        <f t="shared" si="50"/>
        <v>9690.622724</v>
      </c>
      <c r="BL14" s="24">
        <v>2.191982E7</v>
      </c>
      <c r="BM14" s="24">
        <v>49567.168408605</v>
      </c>
      <c r="BN14" s="114">
        <f t="shared" si="32"/>
        <v>0.3693694831</v>
      </c>
      <c r="BO14" s="14">
        <f>SUM(AD330:AD344)</f>
        <v>493.3379293</v>
      </c>
      <c r="BP14" s="24">
        <v>1.6485919E7</v>
      </c>
      <c r="BQ14" s="24">
        <v>27250.5039584</v>
      </c>
      <c r="BR14" s="114">
        <f t="shared" si="33"/>
        <v>0.2030679759</v>
      </c>
      <c r="BS14" s="14">
        <f>SUM(AI330:AI344)</f>
        <v>87.03934632</v>
      </c>
      <c r="BU14" s="24"/>
      <c r="BV14" s="114">
        <f t="shared" si="34"/>
        <v>0</v>
      </c>
      <c r="BW14" s="114">
        <f t="shared" si="35"/>
        <v>0.572437459</v>
      </c>
      <c r="BX14" s="99">
        <f t="shared" si="36"/>
        <v>76817.67237</v>
      </c>
    </row>
    <row r="15" ht="15.75" customHeight="1">
      <c r="A15" s="95">
        <v>10405.0</v>
      </c>
      <c r="B15" s="60" t="s">
        <v>9</v>
      </c>
      <c r="C15" s="60" t="s">
        <v>23</v>
      </c>
      <c r="D15" s="96">
        <v>1.0</v>
      </c>
      <c r="E15" s="97">
        <v>4762.25</v>
      </c>
      <c r="F15" s="98">
        <v>0.860929374266063</v>
      </c>
      <c r="G15" s="99">
        <v>4.4976043E7</v>
      </c>
      <c r="H15" s="99">
        <f t="shared" si="1"/>
        <v>101703.8763</v>
      </c>
      <c r="I15" s="100">
        <f t="shared" si="2"/>
        <v>0.00001726750882</v>
      </c>
      <c r="J15" s="101">
        <f t="shared" si="3"/>
        <v>0.0003687695062</v>
      </c>
      <c r="K15" s="102">
        <v>0.0811944304646871</v>
      </c>
      <c r="L15" s="103">
        <v>6.56223E7</v>
      </c>
      <c r="M15" s="99">
        <f t="shared" si="4"/>
        <v>177867.716</v>
      </c>
      <c r="N15" s="100">
        <f t="shared" si="5"/>
        <v>0.000007685492285</v>
      </c>
      <c r="O15" s="101">
        <f t="shared" si="6"/>
        <v>0.0002870493903</v>
      </c>
      <c r="P15" s="98">
        <v>0.0578761952692501</v>
      </c>
      <c r="Q15" s="99">
        <v>2.2144982973E10</v>
      </c>
      <c r="R15" s="99">
        <f t="shared" si="7"/>
        <v>43143.00318</v>
      </c>
      <c r="S15" s="100">
        <f t="shared" si="8"/>
        <v>0.00003258751593</v>
      </c>
      <c r="T15" s="101">
        <f t="shared" si="9"/>
        <v>0.0002952224901</v>
      </c>
      <c r="U15" s="100">
        <f t="shared" si="10"/>
        <v>0.0009510413866</v>
      </c>
      <c r="V15" s="99">
        <f t="shared" si="11"/>
        <v>4.529096843</v>
      </c>
      <c r="W15" s="96">
        <v>1.0</v>
      </c>
      <c r="X15" s="97">
        <v>5654.0</v>
      </c>
      <c r="Y15" s="98">
        <v>0.860929374266063</v>
      </c>
      <c r="Z15" s="103">
        <v>8.2356869E7</v>
      </c>
      <c r="AA15" s="99">
        <v>186233.13491299</v>
      </c>
      <c r="AB15" s="100">
        <f t="shared" si="12"/>
        <v>0.00001067489665</v>
      </c>
      <c r="AC15" s="101">
        <f t="shared" si="13"/>
        <v>0.0003516129232</v>
      </c>
      <c r="AD15" s="98">
        <v>0.0811944304646871</v>
      </c>
      <c r="AE15" s="99">
        <v>7.8037527E7</v>
      </c>
      <c r="AF15" s="99">
        <v>152124.05436781</v>
      </c>
      <c r="AG15" s="100">
        <f t="shared" si="14"/>
        <v>0.000006387923376</v>
      </c>
      <c r="AH15" s="101">
        <f t="shared" si="15"/>
        <v>0.0001718706761</v>
      </c>
      <c r="AI15" s="102">
        <v>0.0578761952692501</v>
      </c>
      <c r="AJ15" s="99">
        <v>2.8757480427E10</v>
      </c>
      <c r="AK15" s="99">
        <v>56025.51472738999</v>
      </c>
      <c r="AL15" s="100">
        <f t="shared" si="16"/>
        <v>0.00002263484276</v>
      </c>
      <c r="AM15" s="100">
        <f t="shared" si="17"/>
        <v>0.0002242887719</v>
      </c>
      <c r="AN15" s="104">
        <f t="shared" si="18"/>
        <v>0.0007477723713</v>
      </c>
      <c r="AO15" s="97">
        <f t="shared" si="19"/>
        <v>4.227904987</v>
      </c>
      <c r="AQ15" s="20">
        <v>10.0</v>
      </c>
      <c r="AR15" s="117" t="s">
        <v>749</v>
      </c>
      <c r="AS15" s="20">
        <f t="shared" ref="AS15:AU15" si="51">SUM(D246:D248)</f>
        <v>19806</v>
      </c>
      <c r="AT15" s="24">
        <f t="shared" si="51"/>
        <v>150424.5</v>
      </c>
      <c r="AU15" s="14">
        <f t="shared" si="51"/>
        <v>15938.6844</v>
      </c>
      <c r="AV15" s="24">
        <v>7.3166581E7</v>
      </c>
      <c r="AW15" s="99">
        <f>J361</f>
        <v>37679.41202</v>
      </c>
      <c r="AX15" s="114">
        <f t="shared" si="24"/>
        <v>0.2504872014</v>
      </c>
      <c r="AY15" s="14">
        <f>SUM(K246:K248)</f>
        <v>3380.534389</v>
      </c>
      <c r="AZ15" s="24">
        <v>1.09525629E8</v>
      </c>
      <c r="BA15" s="99">
        <f>O361</f>
        <v>65315.19533</v>
      </c>
      <c r="BB15" s="114">
        <f t="shared" si="26"/>
        <v>0.434205833</v>
      </c>
      <c r="BC15" s="14">
        <f>SUM(P246:P248)</f>
        <v>485.4210435</v>
      </c>
      <c r="BD15" s="24">
        <v>4.3388942926E10</v>
      </c>
      <c r="BE15" s="102">
        <f>T361</f>
        <v>21129.22004</v>
      </c>
      <c r="BF15" s="114">
        <f t="shared" si="28"/>
        <v>0.1404639539</v>
      </c>
      <c r="BG15" s="114">
        <f t="shared" si="29"/>
        <v>0.8251569883</v>
      </c>
      <c r="BH15" s="99">
        <f t="shared" si="30"/>
        <v>124123.8274</v>
      </c>
      <c r="BI15" s="20">
        <f t="shared" ref="BI15:BK15" si="52">SUM(W246:W248)</f>
        <v>28113</v>
      </c>
      <c r="BJ15" s="24">
        <f t="shared" si="52"/>
        <v>159264</v>
      </c>
      <c r="BK15" s="14">
        <f t="shared" si="52"/>
        <v>23683.28991</v>
      </c>
      <c r="BL15" s="24">
        <v>9.7868E7</v>
      </c>
      <c r="BM15" s="99">
        <f>AC361</f>
        <v>41889.15582</v>
      </c>
      <c r="BN15" s="114">
        <f t="shared" si="32"/>
        <v>0.2630171026</v>
      </c>
      <c r="BO15" s="14">
        <f>SUM(AD246:AD248)</f>
        <v>3828.964107</v>
      </c>
      <c r="BP15" s="24">
        <v>1.19919247E8</v>
      </c>
      <c r="BQ15" s="99">
        <f>AH361</f>
        <v>57362.31173</v>
      </c>
      <c r="BR15" s="114">
        <f t="shared" si="33"/>
        <v>0.360171236</v>
      </c>
      <c r="BS15" s="14">
        <f>SUM(AI246:AI248)</f>
        <v>599.1155657</v>
      </c>
      <c r="BT15" s="24">
        <f>SUM(AF246:AF248)</f>
        <v>869013.1113</v>
      </c>
      <c r="BU15" s="99">
        <f>AM361</f>
        <v>27503.88208</v>
      </c>
      <c r="BV15" s="114">
        <f t="shared" si="34"/>
        <v>0.1726936538</v>
      </c>
      <c r="BW15" s="114">
        <f t="shared" si="35"/>
        <v>0.7958819924</v>
      </c>
      <c r="BX15" s="99">
        <f t="shared" si="36"/>
        <v>126755.3496</v>
      </c>
    </row>
    <row r="16" ht="15.75" customHeight="1">
      <c r="A16" s="95">
        <v>10501.0</v>
      </c>
      <c r="B16" s="60" t="s">
        <v>9</v>
      </c>
      <c r="C16" s="60" t="s">
        <v>750</v>
      </c>
      <c r="D16" s="108">
        <v>1320.0</v>
      </c>
      <c r="E16" s="109">
        <v>24363.75</v>
      </c>
      <c r="F16" s="110">
        <v>1048.9515980015017</v>
      </c>
      <c r="G16" s="99">
        <v>4.4976043E7</v>
      </c>
      <c r="H16" s="99">
        <f t="shared" si="1"/>
        <v>101703.8763</v>
      </c>
      <c r="I16" s="100">
        <f t="shared" si="2"/>
        <v>0.02103863745</v>
      </c>
      <c r="J16" s="101">
        <f t="shared" si="3"/>
        <v>0.08782354851</v>
      </c>
      <c r="K16" s="111">
        <v>240.92734191443674</v>
      </c>
      <c r="L16" s="103">
        <v>6.56223E7</v>
      </c>
      <c r="M16" s="99">
        <f t="shared" si="4"/>
        <v>177867.716</v>
      </c>
      <c r="N16" s="100">
        <f t="shared" si="5"/>
        <v>0.02280507686</v>
      </c>
      <c r="O16" s="101">
        <f t="shared" si="6"/>
        <v>0.1664886126</v>
      </c>
      <c r="P16" s="110">
        <v>30.073165477285777</v>
      </c>
      <c r="Q16" s="99">
        <v>2.2144982973E10</v>
      </c>
      <c r="R16" s="99">
        <f t="shared" si="7"/>
        <v>43143.00318</v>
      </c>
      <c r="S16" s="100">
        <f t="shared" si="8"/>
        <v>0.01693286427</v>
      </c>
      <c r="T16" s="101">
        <f t="shared" si="9"/>
        <v>0.02998448995</v>
      </c>
      <c r="U16" s="100">
        <f t="shared" si="10"/>
        <v>0.284296651</v>
      </c>
      <c r="V16" s="99">
        <f t="shared" si="11"/>
        <v>6926.532532</v>
      </c>
      <c r="W16" s="116">
        <v>2309.0</v>
      </c>
      <c r="X16" s="97">
        <v>24546.0</v>
      </c>
      <c r="Y16" s="110">
        <v>1863.9826857669896</v>
      </c>
      <c r="Z16" s="103">
        <v>8.2356869E7</v>
      </c>
      <c r="AA16" s="99">
        <v>186233.13491299</v>
      </c>
      <c r="AB16" s="100">
        <f t="shared" si="12"/>
        <v>0.02311202651</v>
      </c>
      <c r="AC16" s="101">
        <f t="shared" si="13"/>
        <v>0.1753534243</v>
      </c>
      <c r="AD16" s="110">
        <v>394.8442882784356</v>
      </c>
      <c r="AE16" s="99">
        <v>7.8037527E7</v>
      </c>
      <c r="AF16" s="99">
        <v>152124.05436781</v>
      </c>
      <c r="AG16" s="100">
        <f t="shared" si="14"/>
        <v>0.03106413881</v>
      </c>
      <c r="AH16" s="101">
        <f t="shared" si="15"/>
        <v>0.1925202779</v>
      </c>
      <c r="AI16" s="111">
        <v>50.09838998683975</v>
      </c>
      <c r="AJ16" s="99">
        <v>2.8757480427E10</v>
      </c>
      <c r="AK16" s="99">
        <v>56025.51472738999</v>
      </c>
      <c r="AL16" s="100">
        <f t="shared" si="16"/>
        <v>0.01959301531</v>
      </c>
      <c r="AM16" s="100">
        <f t="shared" si="17"/>
        <v>0.04472047453</v>
      </c>
      <c r="AN16" s="104">
        <f t="shared" si="18"/>
        <v>0.4125941767</v>
      </c>
      <c r="AO16" s="97">
        <f t="shared" si="19"/>
        <v>10127.53666</v>
      </c>
      <c r="AQ16" s="20">
        <v>11.0</v>
      </c>
      <c r="AR16" s="20" t="s">
        <v>7</v>
      </c>
      <c r="AS16" s="20">
        <f t="shared" ref="AS16:AW16" si="53">SUM(AS6:AS14)</f>
        <v>1574331</v>
      </c>
      <c r="AT16" s="24">
        <f t="shared" si="53"/>
        <v>10386225.25</v>
      </c>
      <c r="AU16" s="14">
        <f t="shared" si="53"/>
        <v>1291332.702</v>
      </c>
      <c r="AV16" s="24">
        <f t="shared" si="53"/>
        <v>1514393270</v>
      </c>
      <c r="AW16" s="24">
        <f t="shared" si="53"/>
        <v>3424482.358</v>
      </c>
      <c r="AX16" s="114">
        <f t="shared" si="24"/>
        <v>0.3297138542</v>
      </c>
      <c r="AY16" s="14">
        <f t="shared" ref="AY16:BA16" si="54">SUM(AY6:AY14)</f>
        <v>221429.0559</v>
      </c>
      <c r="AZ16" s="115">
        <f t="shared" si="54"/>
        <v>1792500300</v>
      </c>
      <c r="BA16" s="24">
        <f t="shared" si="54"/>
        <v>4858530.321</v>
      </c>
      <c r="BB16" s="114">
        <f t="shared" si="26"/>
        <v>0.4677859573</v>
      </c>
      <c r="BC16" s="14">
        <f t="shared" ref="BC16:BE16" si="55">SUM(BC6:BC14)</f>
        <v>61408.42543</v>
      </c>
      <c r="BD16" s="24">
        <f t="shared" si="55"/>
        <v>688850918100</v>
      </c>
      <c r="BE16" s="14">
        <f t="shared" si="55"/>
        <v>1342023.942</v>
      </c>
      <c r="BF16" s="114">
        <f t="shared" si="28"/>
        <v>0.1292119042</v>
      </c>
      <c r="BG16" s="114">
        <f t="shared" si="29"/>
        <v>0.9267117157</v>
      </c>
      <c r="BH16" s="99">
        <f t="shared" si="30"/>
        <v>9625036.621</v>
      </c>
      <c r="BI16" s="20">
        <f t="shared" ref="BI16:BM16" si="56">SUM(BI6:BI14)</f>
        <v>2578838</v>
      </c>
      <c r="BJ16" s="24">
        <f t="shared" si="56"/>
        <v>11365333</v>
      </c>
      <c r="BK16" s="14">
        <f t="shared" si="56"/>
        <v>2197296.526</v>
      </c>
      <c r="BL16" s="24">
        <f t="shared" si="56"/>
        <v>2341659836</v>
      </c>
      <c r="BM16" s="24">
        <f t="shared" si="56"/>
        <v>5310165.846</v>
      </c>
      <c r="BN16" s="114">
        <f t="shared" si="32"/>
        <v>0.4672248359</v>
      </c>
      <c r="BO16" s="14">
        <f t="shared" ref="BO16:BQ16" si="57">SUM(BO6:BO14)</f>
        <v>294496.8061</v>
      </c>
      <c r="BP16" s="24">
        <f t="shared" si="57"/>
        <v>2298164828</v>
      </c>
      <c r="BQ16" s="24">
        <f t="shared" si="57"/>
        <v>5266375.524</v>
      </c>
      <c r="BR16" s="114">
        <f t="shared" si="33"/>
        <v>0.4633718628</v>
      </c>
      <c r="BS16" s="14">
        <f t="shared" ref="BS16:BU16" si="58">SUM(BS6:BS14)</f>
        <v>86869.61781</v>
      </c>
      <c r="BT16" s="24">
        <f t="shared" si="58"/>
        <v>857300504506</v>
      </c>
      <c r="BU16" s="24">
        <f t="shared" si="58"/>
        <v>1770826.519</v>
      </c>
      <c r="BV16" s="114">
        <f t="shared" si="34"/>
        <v>0.1558094707</v>
      </c>
      <c r="BW16" s="114">
        <f t="shared" si="35"/>
        <v>1.086406169</v>
      </c>
      <c r="BX16" s="99">
        <f t="shared" si="36"/>
        <v>12347367.89</v>
      </c>
    </row>
    <row r="17" ht="15.75" customHeight="1">
      <c r="A17" s="95">
        <v>10502.0</v>
      </c>
      <c r="B17" s="60" t="s">
        <v>9</v>
      </c>
      <c r="C17" s="60" t="s">
        <v>751</v>
      </c>
      <c r="D17" s="108">
        <v>4.0</v>
      </c>
      <c r="E17" s="109">
        <v>8061.75</v>
      </c>
      <c r="F17" s="110">
        <v>4.0</v>
      </c>
      <c r="G17" s="99">
        <v>4.4976043E7</v>
      </c>
      <c r="H17" s="99">
        <f t="shared" si="1"/>
        <v>101703.8763</v>
      </c>
      <c r="I17" s="100">
        <f t="shared" si="2"/>
        <v>0.00008022729548</v>
      </c>
      <c r="J17" s="101">
        <f t="shared" si="3"/>
        <v>0.001012116096</v>
      </c>
      <c r="K17" s="111">
        <v>0.0</v>
      </c>
      <c r="L17" s="103">
        <v>6.56223E7</v>
      </c>
      <c r="M17" s="99">
        <f t="shared" si="4"/>
        <v>177867.716</v>
      </c>
      <c r="N17" s="100">
        <f t="shared" si="5"/>
        <v>0</v>
      </c>
      <c r="O17" s="101">
        <f t="shared" si="6"/>
        <v>0</v>
      </c>
      <c r="P17" s="110">
        <v>0.0</v>
      </c>
      <c r="Q17" s="99">
        <v>2.2144982973E10</v>
      </c>
      <c r="R17" s="99">
        <f t="shared" si="7"/>
        <v>43143.00318</v>
      </c>
      <c r="S17" s="100">
        <f t="shared" si="8"/>
        <v>0</v>
      </c>
      <c r="T17" s="101">
        <f t="shared" si="9"/>
        <v>0</v>
      </c>
      <c r="U17" s="100">
        <f t="shared" si="10"/>
        <v>0.001012116096</v>
      </c>
      <c r="V17" s="99">
        <f t="shared" si="11"/>
        <v>8.159426933</v>
      </c>
      <c r="W17" s="108">
        <v>4.0</v>
      </c>
      <c r="X17" s="97">
        <v>7200.0</v>
      </c>
      <c r="Y17" s="110">
        <v>4.0</v>
      </c>
      <c r="Z17" s="103">
        <v>8.2356869E7</v>
      </c>
      <c r="AA17" s="99">
        <v>186233.13491299</v>
      </c>
      <c r="AB17" s="100">
        <f t="shared" si="12"/>
        <v>0.00004959708412</v>
      </c>
      <c r="AC17" s="101">
        <f t="shared" si="13"/>
        <v>0.001282863952</v>
      </c>
      <c r="AD17" s="110">
        <v>0.0</v>
      </c>
      <c r="AE17" s="99">
        <v>7.8037527E7</v>
      </c>
      <c r="AF17" s="99">
        <v>152124.05436781</v>
      </c>
      <c r="AG17" s="100">
        <f t="shared" si="14"/>
        <v>0</v>
      </c>
      <c r="AH17" s="101">
        <f t="shared" si="15"/>
        <v>0</v>
      </c>
      <c r="AI17" s="111">
        <v>0.0</v>
      </c>
      <c r="AJ17" s="99">
        <v>2.8757480427E10</v>
      </c>
      <c r="AK17" s="99">
        <v>56025.51472738999</v>
      </c>
      <c r="AL17" s="100">
        <f t="shared" si="16"/>
        <v>0</v>
      </c>
      <c r="AM17" s="100">
        <f t="shared" si="17"/>
        <v>0</v>
      </c>
      <c r="AN17" s="104">
        <f t="shared" si="18"/>
        <v>0.001282863952</v>
      </c>
      <c r="AO17" s="97">
        <f t="shared" si="19"/>
        <v>9.236620458</v>
      </c>
      <c r="AW17" s="114"/>
    </row>
    <row r="18" ht="15.75" customHeight="1">
      <c r="A18" s="95">
        <v>10601.0</v>
      </c>
      <c r="B18" s="60" t="s">
        <v>9</v>
      </c>
      <c r="C18" s="60" t="s">
        <v>38</v>
      </c>
      <c r="D18" s="96">
        <v>18.0</v>
      </c>
      <c r="E18" s="97">
        <v>16038.75</v>
      </c>
      <c r="F18" s="98">
        <v>9.500905145363875</v>
      </c>
      <c r="G18" s="99">
        <v>4.4976043E7</v>
      </c>
      <c r="H18" s="99">
        <f t="shared" si="1"/>
        <v>101703.8763</v>
      </c>
      <c r="I18" s="100">
        <f t="shared" si="2"/>
        <v>0.0001905579811</v>
      </c>
      <c r="J18" s="101">
        <f t="shared" si="3"/>
        <v>0.001208353851</v>
      </c>
      <c r="K18" s="102">
        <v>8.054045639203682</v>
      </c>
      <c r="L18" s="103">
        <v>6.56223E7</v>
      </c>
      <c r="M18" s="99">
        <f t="shared" si="4"/>
        <v>177867.716</v>
      </c>
      <c r="N18" s="100">
        <f t="shared" si="5"/>
        <v>0.00076235901</v>
      </c>
      <c r="O18" s="101">
        <f t="shared" si="6"/>
        <v>0.008454465334</v>
      </c>
      <c r="P18" s="98">
        <v>0.443747928678884</v>
      </c>
      <c r="Q18" s="99">
        <v>2.2144982973E10</v>
      </c>
      <c r="R18" s="99">
        <f t="shared" si="7"/>
        <v>43143.00318</v>
      </c>
      <c r="S18" s="100">
        <f t="shared" si="8"/>
        <v>0.0002498547568</v>
      </c>
      <c r="T18" s="101">
        <f t="shared" si="9"/>
        <v>0.0006720900674</v>
      </c>
      <c r="U18" s="100">
        <f t="shared" si="10"/>
        <v>0.01033490925</v>
      </c>
      <c r="V18" s="99">
        <f t="shared" si="11"/>
        <v>165.7590258</v>
      </c>
      <c r="W18" s="96">
        <v>17.0</v>
      </c>
      <c r="X18" s="97">
        <v>13323.0</v>
      </c>
      <c r="Y18" s="98">
        <v>10.39669625969164</v>
      </c>
      <c r="Z18" s="103">
        <v>8.2356869E7</v>
      </c>
      <c r="AA18" s="99">
        <v>186233.13491299</v>
      </c>
      <c r="AB18" s="100">
        <f t="shared" si="12"/>
        <v>0.0001289114547</v>
      </c>
      <c r="AC18" s="101">
        <f t="shared" si="13"/>
        <v>0.001801965349</v>
      </c>
      <c r="AD18" s="98">
        <v>6.165583150490813</v>
      </c>
      <c r="AE18" s="99">
        <v>7.8037527E7</v>
      </c>
      <c r="AF18" s="99">
        <v>152124.05436781</v>
      </c>
      <c r="AG18" s="100">
        <f t="shared" si="14"/>
        <v>0.0004850735759</v>
      </c>
      <c r="AH18" s="101">
        <f t="shared" si="15"/>
        <v>0.005538644377</v>
      </c>
      <c r="AI18" s="102">
        <v>0.4367165953512775</v>
      </c>
      <c r="AJ18" s="99">
        <v>2.8757480427E10</v>
      </c>
      <c r="AK18" s="99">
        <v>56025.51472738999</v>
      </c>
      <c r="AL18" s="100">
        <f t="shared" si="16"/>
        <v>0.0001707958068</v>
      </c>
      <c r="AM18" s="100">
        <f t="shared" si="17"/>
        <v>0.0007182258493</v>
      </c>
      <c r="AN18" s="104">
        <f t="shared" si="18"/>
        <v>0.008058835575</v>
      </c>
      <c r="AO18" s="97">
        <f t="shared" si="19"/>
        <v>107.3678664</v>
      </c>
    </row>
    <row r="19" ht="15.75" customHeight="1">
      <c r="A19" s="95">
        <v>10602.0</v>
      </c>
      <c r="B19" s="60" t="s">
        <v>9</v>
      </c>
      <c r="C19" s="60" t="s">
        <v>49</v>
      </c>
      <c r="D19" s="96">
        <v>45.0</v>
      </c>
      <c r="E19" s="97">
        <v>9703.25</v>
      </c>
      <c r="F19" s="98">
        <v>25.83739191701912</v>
      </c>
      <c r="G19" s="99">
        <v>4.4976043E7</v>
      </c>
      <c r="H19" s="99">
        <f t="shared" si="1"/>
        <v>101703.8763</v>
      </c>
      <c r="I19" s="100">
        <f t="shared" si="2"/>
        <v>0.0005182160189</v>
      </c>
      <c r="J19" s="101">
        <f t="shared" si="3"/>
        <v>0.005431641756</v>
      </c>
      <c r="K19" s="102">
        <v>18.07432773729979</v>
      </c>
      <c r="L19" s="103">
        <v>6.56223E7</v>
      </c>
      <c r="M19" s="99">
        <f t="shared" si="4"/>
        <v>177867.716</v>
      </c>
      <c r="N19" s="100">
        <f t="shared" si="5"/>
        <v>0.001710832942</v>
      </c>
      <c r="O19" s="101">
        <f t="shared" si="6"/>
        <v>0.03136082735</v>
      </c>
      <c r="P19" s="98">
        <v>1.086036789355555</v>
      </c>
      <c r="Q19" s="99">
        <v>2.2144982973E10</v>
      </c>
      <c r="R19" s="99">
        <f t="shared" si="7"/>
        <v>43143.00318</v>
      </c>
      <c r="S19" s="100">
        <f t="shared" si="8"/>
        <v>0.0006114990975</v>
      </c>
      <c r="T19" s="101">
        <f t="shared" si="9"/>
        <v>0.002718873316</v>
      </c>
      <c r="U19" s="100">
        <f t="shared" si="10"/>
        <v>0.03951134242</v>
      </c>
      <c r="V19" s="99">
        <f t="shared" si="11"/>
        <v>383.3884333</v>
      </c>
      <c r="W19" s="96">
        <v>238.0</v>
      </c>
      <c r="X19" s="97">
        <v>8480.0</v>
      </c>
      <c r="Y19" s="98">
        <v>178.0894858392615</v>
      </c>
      <c r="Z19" s="103">
        <v>8.2356869E7</v>
      </c>
      <c r="AA19" s="99">
        <v>186233.13491299</v>
      </c>
      <c r="AB19" s="100">
        <f t="shared" si="12"/>
        <v>0.002208179802</v>
      </c>
      <c r="AC19" s="101">
        <f t="shared" si="13"/>
        <v>0.04849484045</v>
      </c>
      <c r="AD19" s="98">
        <v>52.53893235626895</v>
      </c>
      <c r="AE19" s="99">
        <v>7.8037527E7</v>
      </c>
      <c r="AF19" s="99">
        <v>152124.05436781</v>
      </c>
      <c r="AG19" s="100">
        <f t="shared" si="14"/>
        <v>0.004133469158</v>
      </c>
      <c r="AH19" s="101">
        <f t="shared" si="15"/>
        <v>0.07415095365</v>
      </c>
      <c r="AI19" s="102">
        <v>7.364490831732789</v>
      </c>
      <c r="AJ19" s="99">
        <v>2.8757480427E10</v>
      </c>
      <c r="AK19" s="99">
        <v>56025.51472738999</v>
      </c>
      <c r="AL19" s="100">
        <f t="shared" si="16"/>
        <v>0.002880184007</v>
      </c>
      <c r="AM19" s="100">
        <f t="shared" si="17"/>
        <v>0.019028749</v>
      </c>
      <c r="AN19" s="104">
        <f t="shared" si="18"/>
        <v>0.1416745431</v>
      </c>
      <c r="AO19" s="97">
        <f t="shared" si="19"/>
        <v>1201.400125</v>
      </c>
    </row>
    <row r="20" ht="15.75" customHeight="1">
      <c r="A20" s="95">
        <v>10701.0</v>
      </c>
      <c r="B20" s="60" t="s">
        <v>9</v>
      </c>
      <c r="C20" s="60" t="s">
        <v>13</v>
      </c>
      <c r="D20" s="96">
        <v>130.0</v>
      </c>
      <c r="E20" s="97">
        <v>15411.25</v>
      </c>
      <c r="F20" s="98">
        <v>103.5960413153398</v>
      </c>
      <c r="G20" s="99">
        <v>4.4976043E7</v>
      </c>
      <c r="H20" s="99">
        <f t="shared" si="1"/>
        <v>101703.8763</v>
      </c>
      <c r="I20" s="100">
        <f t="shared" si="2"/>
        <v>0.002077807554</v>
      </c>
      <c r="J20" s="101">
        <f t="shared" si="3"/>
        <v>0.01371213123</v>
      </c>
      <c r="K20" s="102">
        <v>23.87327759827463</v>
      </c>
      <c r="L20" s="103">
        <v>6.56223E7</v>
      </c>
      <c r="M20" s="99">
        <f t="shared" si="4"/>
        <v>177867.716</v>
      </c>
      <c r="N20" s="100">
        <f t="shared" si="5"/>
        <v>0.002259734932</v>
      </c>
      <c r="O20" s="101">
        <f t="shared" si="6"/>
        <v>0.02608055097</v>
      </c>
      <c r="P20" s="98">
        <v>2.526661331125696</v>
      </c>
      <c r="Q20" s="99">
        <v>2.2144982973E10</v>
      </c>
      <c r="R20" s="99">
        <f t="shared" si="7"/>
        <v>43143.00318</v>
      </c>
      <c r="S20" s="100">
        <f t="shared" si="8"/>
        <v>0.001422650815</v>
      </c>
      <c r="T20" s="101">
        <f t="shared" si="9"/>
        <v>0.00398263792</v>
      </c>
      <c r="U20" s="100">
        <f t="shared" si="10"/>
        <v>0.04377532012</v>
      </c>
      <c r="V20" s="99">
        <f t="shared" si="11"/>
        <v>674.6324022</v>
      </c>
      <c r="W20" s="96">
        <v>350.0</v>
      </c>
      <c r="X20" s="97">
        <v>14713.0</v>
      </c>
      <c r="Y20" s="98">
        <v>312.8614024302204</v>
      </c>
      <c r="Z20" s="103">
        <v>8.2356869E7</v>
      </c>
      <c r="AA20" s="99">
        <v>186233.13491299</v>
      </c>
      <c r="AB20" s="100">
        <f t="shared" si="12"/>
        <v>0.003879253323</v>
      </c>
      <c r="AC20" s="101">
        <f t="shared" si="13"/>
        <v>0.04910252889</v>
      </c>
      <c r="AD20" s="98">
        <v>31.39803150887207</v>
      </c>
      <c r="AE20" s="99">
        <v>7.8037527E7</v>
      </c>
      <c r="AF20" s="99">
        <v>152124.05436781</v>
      </c>
      <c r="AG20" s="100">
        <f t="shared" si="14"/>
        <v>0.002470221397</v>
      </c>
      <c r="AH20" s="101">
        <f t="shared" si="15"/>
        <v>0.0255406847</v>
      </c>
      <c r="AI20" s="102">
        <v>5.734981723159382</v>
      </c>
      <c r="AJ20" s="99">
        <v>2.8757480427E10</v>
      </c>
      <c r="AK20" s="99">
        <v>56025.51472738999</v>
      </c>
      <c r="AL20" s="100">
        <f t="shared" si="16"/>
        <v>0.00224289812</v>
      </c>
      <c r="AM20" s="100">
        <f t="shared" si="17"/>
        <v>0.008540713766</v>
      </c>
      <c r="AN20" s="104">
        <f t="shared" si="18"/>
        <v>0.08318392736</v>
      </c>
      <c r="AO20" s="97">
        <f t="shared" si="19"/>
        <v>1223.885123</v>
      </c>
    </row>
    <row r="21" ht="15.75" customHeight="1">
      <c r="A21" s="95">
        <v>10702.0</v>
      </c>
      <c r="B21" s="60" t="s">
        <v>9</v>
      </c>
      <c r="C21" s="60" t="s">
        <v>30</v>
      </c>
      <c r="D21" s="96">
        <v>29.0</v>
      </c>
      <c r="E21" s="97">
        <v>31068.75</v>
      </c>
      <c r="F21" s="98">
        <v>16.75591509746862</v>
      </c>
      <c r="G21" s="99">
        <v>4.4976043E7</v>
      </c>
      <c r="H21" s="99">
        <f t="shared" si="1"/>
        <v>101703.8763</v>
      </c>
      <c r="I21" s="100">
        <f t="shared" si="2"/>
        <v>0.0003360704379</v>
      </c>
      <c r="J21" s="101">
        <f t="shared" si="3"/>
        <v>0.001100130074</v>
      </c>
      <c r="K21" s="102">
        <v>11.53974904608729</v>
      </c>
      <c r="L21" s="103">
        <v>6.56223E7</v>
      </c>
      <c r="M21" s="99">
        <f t="shared" si="4"/>
        <v>177867.716</v>
      </c>
      <c r="N21" s="100">
        <f t="shared" si="5"/>
        <v>0.001092299703</v>
      </c>
      <c r="O21" s="101">
        <f t="shared" si="6"/>
        <v>0.006253384939</v>
      </c>
      <c r="P21" s="98">
        <v>0.7023820376163938</v>
      </c>
      <c r="Q21" s="99">
        <v>2.2144982973E10</v>
      </c>
      <c r="R21" s="99">
        <f t="shared" si="7"/>
        <v>43143.00318</v>
      </c>
      <c r="S21" s="100">
        <f t="shared" si="8"/>
        <v>0.0003954801405</v>
      </c>
      <c r="T21" s="101">
        <f t="shared" si="9"/>
        <v>0.0005491756495</v>
      </c>
      <c r="U21" s="100">
        <f t="shared" si="10"/>
        <v>0.007902690663</v>
      </c>
      <c r="V21" s="99">
        <f t="shared" si="11"/>
        <v>245.5267205</v>
      </c>
      <c r="W21" s="96">
        <v>121.0</v>
      </c>
      <c r="X21" s="97">
        <v>26715.0</v>
      </c>
      <c r="Y21" s="98">
        <v>90.7864803298892</v>
      </c>
      <c r="Z21" s="103">
        <v>8.2356869E7</v>
      </c>
      <c r="AA21" s="99">
        <v>186233.13491299</v>
      </c>
      <c r="AB21" s="100">
        <f t="shared" si="12"/>
        <v>0.001125686175</v>
      </c>
      <c r="AC21" s="101">
        <f t="shared" si="13"/>
        <v>0.007847279258</v>
      </c>
      <c r="AD21" s="98">
        <v>24.77249348608557</v>
      </c>
      <c r="AE21" s="99">
        <v>7.8037527E7</v>
      </c>
      <c r="AF21" s="99">
        <v>152124.05436781</v>
      </c>
      <c r="AG21" s="100">
        <f t="shared" si="14"/>
        <v>0.001948961146</v>
      </c>
      <c r="AH21" s="101">
        <f t="shared" si="15"/>
        <v>0.01109802999</v>
      </c>
      <c r="AI21" s="102">
        <v>5.436827522293408</v>
      </c>
      <c r="AJ21" s="99">
        <v>2.8757480427E10</v>
      </c>
      <c r="AK21" s="99">
        <v>56025.51472738999</v>
      </c>
      <c r="AL21" s="100">
        <f t="shared" si="16"/>
        <v>0.002126292779</v>
      </c>
      <c r="AM21" s="100">
        <f t="shared" si="17"/>
        <v>0.004459167038</v>
      </c>
      <c r="AN21" s="104">
        <f t="shared" si="18"/>
        <v>0.02340447629</v>
      </c>
      <c r="AO21" s="97">
        <f t="shared" si="19"/>
        <v>625.2505841</v>
      </c>
    </row>
    <row r="22" ht="15.75" customHeight="1">
      <c r="A22" s="95">
        <v>10703.0</v>
      </c>
      <c r="B22" s="60" t="s">
        <v>9</v>
      </c>
      <c r="C22" s="60" t="s">
        <v>24</v>
      </c>
      <c r="D22" s="96">
        <v>15.0</v>
      </c>
      <c r="E22" s="97">
        <v>13913.0</v>
      </c>
      <c r="F22" s="98">
        <v>3.379946204503339</v>
      </c>
      <c r="G22" s="99">
        <v>4.4976043E7</v>
      </c>
      <c r="H22" s="99">
        <f t="shared" si="1"/>
        <v>101703.8763</v>
      </c>
      <c r="I22" s="100">
        <f t="shared" si="2"/>
        <v>0.00006779098571</v>
      </c>
      <c r="J22" s="101">
        <f t="shared" si="3"/>
        <v>0.0004955513565</v>
      </c>
      <c r="K22" s="102">
        <v>11.43150513864096</v>
      </c>
      <c r="L22" s="103">
        <v>6.56223E7</v>
      </c>
      <c r="M22" s="99">
        <f t="shared" si="4"/>
        <v>177867.716</v>
      </c>
      <c r="N22" s="100">
        <f t="shared" si="5"/>
        <v>0.001082053831</v>
      </c>
      <c r="O22" s="101">
        <f t="shared" si="6"/>
        <v>0.01383328136</v>
      </c>
      <c r="P22" s="98">
        <v>0.1864172181345709</v>
      </c>
      <c r="Q22" s="99">
        <v>2.2144982973E10</v>
      </c>
      <c r="R22" s="99">
        <f t="shared" si="7"/>
        <v>43143.00318</v>
      </c>
      <c r="S22" s="100">
        <f t="shared" si="8"/>
        <v>0.0001049632589</v>
      </c>
      <c r="T22" s="101">
        <f t="shared" si="9"/>
        <v>0.0003254819385</v>
      </c>
      <c r="U22" s="100">
        <f t="shared" si="10"/>
        <v>0.01465431465</v>
      </c>
      <c r="V22" s="99">
        <f t="shared" si="11"/>
        <v>203.8854798</v>
      </c>
      <c r="W22" s="96">
        <v>15.0</v>
      </c>
      <c r="X22" s="97">
        <v>16484.0</v>
      </c>
      <c r="Y22" s="98">
        <v>3.379946204503339</v>
      </c>
      <c r="Z22" s="103">
        <v>8.2356869E7</v>
      </c>
      <c r="AA22" s="99">
        <v>186233.13491299</v>
      </c>
      <c r="AB22" s="100">
        <f t="shared" si="12"/>
        <v>0.00004190886905</v>
      </c>
      <c r="AC22" s="101">
        <f t="shared" si="13"/>
        <v>0.0004734785285</v>
      </c>
      <c r="AD22" s="98">
        <v>11.43150513864096</v>
      </c>
      <c r="AE22" s="99">
        <v>7.8037527E7</v>
      </c>
      <c r="AF22" s="99">
        <v>152124.05436781</v>
      </c>
      <c r="AG22" s="100">
        <f t="shared" si="14"/>
        <v>0.0008993668467</v>
      </c>
      <c r="AH22" s="101">
        <f t="shared" si="15"/>
        <v>0.008299886622</v>
      </c>
      <c r="AI22" s="102">
        <v>0.1864172181345709</v>
      </c>
      <c r="AJ22" s="99">
        <v>2.8757480427E10</v>
      </c>
      <c r="AK22" s="99">
        <v>56025.51472738999</v>
      </c>
      <c r="AL22" s="100">
        <f t="shared" si="16"/>
        <v>0.00007290604368</v>
      </c>
      <c r="AM22" s="100">
        <f t="shared" si="17"/>
        <v>0.0002477917146</v>
      </c>
      <c r="AN22" s="104">
        <f t="shared" si="18"/>
        <v>0.009021156865</v>
      </c>
      <c r="AO22" s="97">
        <f t="shared" si="19"/>
        <v>148.7047498</v>
      </c>
    </row>
    <row r="23" ht="15.75" customHeight="1">
      <c r="A23" s="95">
        <v>10704.0</v>
      </c>
      <c r="B23" s="60" t="s">
        <v>9</v>
      </c>
      <c r="C23" s="60" t="s">
        <v>752</v>
      </c>
      <c r="D23" s="108"/>
      <c r="E23" s="109">
        <v>15683.0</v>
      </c>
      <c r="F23" s="110"/>
      <c r="G23" s="99">
        <v>4.4976043E7</v>
      </c>
      <c r="H23" s="99">
        <f t="shared" si="1"/>
        <v>101703.8763</v>
      </c>
      <c r="I23" s="100">
        <f t="shared" si="2"/>
        <v>0</v>
      </c>
      <c r="J23" s="101">
        <f t="shared" si="3"/>
        <v>0</v>
      </c>
      <c r="K23" s="111"/>
      <c r="L23" s="103">
        <v>6.56223E7</v>
      </c>
      <c r="M23" s="99">
        <f t="shared" si="4"/>
        <v>177867.716</v>
      </c>
      <c r="N23" s="100">
        <f t="shared" si="5"/>
        <v>0</v>
      </c>
      <c r="O23" s="101">
        <f t="shared" si="6"/>
        <v>0</v>
      </c>
      <c r="P23" s="110"/>
      <c r="Q23" s="99">
        <v>2.2144982973E10</v>
      </c>
      <c r="R23" s="99">
        <f t="shared" si="7"/>
        <v>43143.00318</v>
      </c>
      <c r="S23" s="100">
        <f t="shared" si="8"/>
        <v>0</v>
      </c>
      <c r="T23" s="101">
        <f t="shared" si="9"/>
        <v>0</v>
      </c>
      <c r="U23" s="100">
        <f t="shared" si="10"/>
        <v>0</v>
      </c>
      <c r="V23" s="99">
        <f t="shared" si="11"/>
        <v>0</v>
      </c>
      <c r="W23" s="108"/>
      <c r="X23" s="97">
        <v>14282.0</v>
      </c>
      <c r="Y23" s="110"/>
      <c r="Z23" s="103">
        <v>8.2356869E7</v>
      </c>
      <c r="AA23" s="99">
        <v>186233.13491299</v>
      </c>
      <c r="AB23" s="100">
        <f t="shared" si="12"/>
        <v>0</v>
      </c>
      <c r="AC23" s="101">
        <f t="shared" si="13"/>
        <v>0</v>
      </c>
      <c r="AD23" s="110"/>
      <c r="AE23" s="99">
        <v>7.8037527E7</v>
      </c>
      <c r="AF23" s="99">
        <v>152124.05436781</v>
      </c>
      <c r="AG23" s="100">
        <f t="shared" si="14"/>
        <v>0</v>
      </c>
      <c r="AH23" s="101">
        <f t="shared" si="15"/>
        <v>0</v>
      </c>
      <c r="AI23" s="111"/>
      <c r="AJ23" s="99">
        <v>2.8757480427E10</v>
      </c>
      <c r="AK23" s="99">
        <v>56025.51472738999</v>
      </c>
      <c r="AL23" s="100">
        <f t="shared" si="16"/>
        <v>0</v>
      </c>
      <c r="AM23" s="100">
        <f t="shared" si="17"/>
        <v>0</v>
      </c>
      <c r="AN23" s="104">
        <f t="shared" si="18"/>
        <v>0</v>
      </c>
      <c r="AO23" s="97">
        <f t="shared" si="19"/>
        <v>0</v>
      </c>
    </row>
    <row r="24" ht="15.75" customHeight="1">
      <c r="A24" s="95">
        <v>10801.0</v>
      </c>
      <c r="B24" s="60" t="s">
        <v>9</v>
      </c>
      <c r="C24" s="60" t="s">
        <v>45</v>
      </c>
      <c r="D24" s="96">
        <v>45.0</v>
      </c>
      <c r="E24" s="97">
        <v>10647.5</v>
      </c>
      <c r="F24" s="98">
        <v>35.49857381097337</v>
      </c>
      <c r="G24" s="99">
        <v>4.4976043E7</v>
      </c>
      <c r="H24" s="99">
        <f t="shared" si="1"/>
        <v>101703.8763</v>
      </c>
      <c r="I24" s="100">
        <f t="shared" si="2"/>
        <v>0.0007119886425</v>
      </c>
      <c r="J24" s="101">
        <f t="shared" si="3"/>
        <v>0.00680084572</v>
      </c>
      <c r="K24" s="102">
        <v>8.283356834940953</v>
      </c>
      <c r="L24" s="103">
        <v>6.56223E7</v>
      </c>
      <c r="M24" s="99">
        <f t="shared" si="4"/>
        <v>177867.716</v>
      </c>
      <c r="N24" s="100">
        <f t="shared" si="5"/>
        <v>0.0007840645557</v>
      </c>
      <c r="O24" s="101">
        <f t="shared" si="6"/>
        <v>0.01309788887</v>
      </c>
      <c r="P24" s="98">
        <v>1.216710119832561</v>
      </c>
      <c r="Q24" s="99">
        <v>2.2144982973E10</v>
      </c>
      <c r="R24" s="99">
        <f t="shared" si="7"/>
        <v>43143.00318</v>
      </c>
      <c r="S24" s="100">
        <f t="shared" si="8"/>
        <v>0.0006850754481</v>
      </c>
      <c r="T24" s="101">
        <f t="shared" si="9"/>
        <v>0.002775882812</v>
      </c>
      <c r="U24" s="100">
        <f t="shared" si="10"/>
        <v>0.0226746174</v>
      </c>
      <c r="V24" s="99">
        <f t="shared" si="11"/>
        <v>241.4279888</v>
      </c>
      <c r="W24" s="96">
        <v>208.0</v>
      </c>
      <c r="X24" s="97">
        <v>9107.0</v>
      </c>
      <c r="Y24" s="98">
        <v>164.5621548143941</v>
      </c>
      <c r="Z24" s="103">
        <v>8.2356869E7</v>
      </c>
      <c r="AA24" s="99">
        <v>186233.13491299</v>
      </c>
      <c r="AB24" s="100">
        <f t="shared" si="12"/>
        <v>0.002040450759</v>
      </c>
      <c r="AC24" s="101">
        <f t="shared" si="13"/>
        <v>0.04172609437</v>
      </c>
      <c r="AD24" s="98">
        <v>38.03395468936107</v>
      </c>
      <c r="AE24" s="99">
        <v>7.8037527E7</v>
      </c>
      <c r="AF24" s="99">
        <v>152124.05436781</v>
      </c>
      <c r="AG24" s="100">
        <f t="shared" si="14"/>
        <v>0.002992298694</v>
      </c>
      <c r="AH24" s="101">
        <f t="shared" si="15"/>
        <v>0.04998359605</v>
      </c>
      <c r="AI24" s="102">
        <v>5.397341224556357</v>
      </c>
      <c r="AJ24" s="99">
        <v>2.8757480427E10</v>
      </c>
      <c r="AK24" s="99">
        <v>56025.51472738999</v>
      </c>
      <c r="AL24" s="100">
        <f t="shared" si="16"/>
        <v>0.002110850055</v>
      </c>
      <c r="AM24" s="100">
        <f t="shared" si="17"/>
        <v>0.01298577587</v>
      </c>
      <c r="AN24" s="104">
        <f t="shared" si="18"/>
        <v>0.1046954663</v>
      </c>
      <c r="AO24" s="97">
        <f t="shared" si="19"/>
        <v>953.4616114</v>
      </c>
    </row>
    <row r="25" ht="15.75" customHeight="1">
      <c r="A25" s="95">
        <v>10901.0</v>
      </c>
      <c r="B25" s="60" t="s">
        <v>9</v>
      </c>
      <c r="C25" s="60" t="s">
        <v>753</v>
      </c>
      <c r="D25" s="108">
        <v>2.0</v>
      </c>
      <c r="E25" s="109">
        <v>3979.25</v>
      </c>
      <c r="F25" s="110">
        <v>1.0</v>
      </c>
      <c r="G25" s="99">
        <v>4.4976043E7</v>
      </c>
      <c r="H25" s="99">
        <f t="shared" si="1"/>
        <v>101703.8763</v>
      </c>
      <c r="I25" s="100">
        <f t="shared" si="2"/>
        <v>0.00002005682387</v>
      </c>
      <c r="J25" s="101">
        <f t="shared" si="3"/>
        <v>0.0005126234173</v>
      </c>
      <c r="K25" s="111">
        <v>1.0</v>
      </c>
      <c r="L25" s="103">
        <v>6.56223E7</v>
      </c>
      <c r="M25" s="99">
        <f t="shared" si="4"/>
        <v>177867.716</v>
      </c>
      <c r="N25" s="100">
        <f t="shared" si="5"/>
        <v>0.00009465541221</v>
      </c>
      <c r="O25" s="101">
        <f t="shared" si="6"/>
        <v>0.004230983723</v>
      </c>
      <c r="P25" s="110">
        <v>0.0</v>
      </c>
      <c r="Q25" s="99">
        <v>2.2144982973E10</v>
      </c>
      <c r="R25" s="99">
        <f t="shared" si="7"/>
        <v>43143.00318</v>
      </c>
      <c r="S25" s="100">
        <f t="shared" si="8"/>
        <v>0</v>
      </c>
      <c r="T25" s="101">
        <f t="shared" si="9"/>
        <v>0</v>
      </c>
      <c r="U25" s="100">
        <f t="shared" si="10"/>
        <v>0.00474360714</v>
      </c>
      <c r="V25" s="99">
        <f t="shared" si="11"/>
        <v>18.87599871</v>
      </c>
      <c r="W25" s="108">
        <v>2.0</v>
      </c>
      <c r="X25" s="97">
        <v>5375.0</v>
      </c>
      <c r="Y25" s="110">
        <v>1.0</v>
      </c>
      <c r="Z25" s="103">
        <v>8.2356869E7</v>
      </c>
      <c r="AA25" s="99">
        <v>186233.13491299</v>
      </c>
      <c r="AB25" s="100">
        <f t="shared" si="12"/>
        <v>0.00001239927103</v>
      </c>
      <c r="AC25" s="101">
        <f t="shared" si="13"/>
        <v>0.0004296102538</v>
      </c>
      <c r="AD25" s="110">
        <v>1.0</v>
      </c>
      <c r="AE25" s="99">
        <v>7.8037527E7</v>
      </c>
      <c r="AF25" s="99">
        <v>152124.05436781</v>
      </c>
      <c r="AG25" s="100">
        <f t="shared" si="14"/>
        <v>0.00007867440339</v>
      </c>
      <c r="AH25" s="101">
        <f t="shared" si="15"/>
        <v>0.002226654738</v>
      </c>
      <c r="AI25" s="111">
        <v>0.0</v>
      </c>
      <c r="AJ25" s="99">
        <v>2.8757480427E10</v>
      </c>
      <c r="AK25" s="99">
        <v>56025.51472738999</v>
      </c>
      <c r="AL25" s="100">
        <f t="shared" si="16"/>
        <v>0</v>
      </c>
      <c r="AM25" s="100">
        <f t="shared" si="17"/>
        <v>0</v>
      </c>
      <c r="AN25" s="104">
        <f t="shared" si="18"/>
        <v>0.002656264992</v>
      </c>
      <c r="AO25" s="97">
        <f t="shared" si="19"/>
        <v>14.27742433</v>
      </c>
    </row>
    <row r="26" ht="15.75" customHeight="1">
      <c r="A26" s="95">
        <v>10902.0</v>
      </c>
      <c r="B26" s="60" t="s">
        <v>9</v>
      </c>
      <c r="C26" s="60" t="s">
        <v>22</v>
      </c>
      <c r="D26" s="96">
        <v>91.0</v>
      </c>
      <c r="E26" s="97">
        <v>17010.25</v>
      </c>
      <c r="F26" s="98">
        <v>66.26145934638468</v>
      </c>
      <c r="G26" s="99">
        <v>4.4976043E7</v>
      </c>
      <c r="H26" s="99">
        <f t="shared" si="1"/>
        <v>101703.8763</v>
      </c>
      <c r="I26" s="100">
        <f t="shared" si="2"/>
        <v>0.001328994419</v>
      </c>
      <c r="J26" s="101">
        <f t="shared" si="3"/>
        <v>0.00794602572</v>
      </c>
      <c r="K26" s="102">
        <v>22.313775198973</v>
      </c>
      <c r="L26" s="103">
        <v>6.56223E7</v>
      </c>
      <c r="M26" s="99">
        <f t="shared" si="4"/>
        <v>177867.716</v>
      </c>
      <c r="N26" s="100">
        <f t="shared" si="5"/>
        <v>0.002112119589</v>
      </c>
      <c r="O26" s="101">
        <f t="shared" si="6"/>
        <v>0.02208538307</v>
      </c>
      <c r="P26" s="98">
        <v>2.418775484397269</v>
      </c>
      <c r="Q26" s="99">
        <v>2.2144982973E10</v>
      </c>
      <c r="R26" s="99">
        <f t="shared" si="7"/>
        <v>43143.00318</v>
      </c>
      <c r="S26" s="100">
        <f t="shared" si="8"/>
        <v>0.001361905085</v>
      </c>
      <c r="T26" s="101">
        <f t="shared" si="9"/>
        <v>0.003454192349</v>
      </c>
      <c r="U26" s="100">
        <f t="shared" si="10"/>
        <v>0.03348560114</v>
      </c>
      <c r="V26" s="99">
        <f t="shared" si="11"/>
        <v>569.5984467</v>
      </c>
      <c r="W26" s="96">
        <v>103.0</v>
      </c>
      <c r="X26" s="97">
        <v>14848.0</v>
      </c>
      <c r="Y26" s="98">
        <v>77.23622419793955</v>
      </c>
      <c r="Z26" s="103">
        <v>8.2356869E7</v>
      </c>
      <c r="AA26" s="99">
        <v>186233.13491299</v>
      </c>
      <c r="AB26" s="100">
        <f t="shared" si="12"/>
        <v>0.0009576728771</v>
      </c>
      <c r="AC26" s="101">
        <f t="shared" si="13"/>
        <v>0.01201174718</v>
      </c>
      <c r="AD26" s="98">
        <v>23.37150432316812</v>
      </c>
      <c r="AE26" s="99">
        <v>7.8037527E7</v>
      </c>
      <c r="AF26" s="99">
        <v>152124.05436781</v>
      </c>
      <c r="AG26" s="100">
        <f t="shared" si="14"/>
        <v>0.001838739159</v>
      </c>
      <c r="AH26" s="101">
        <f t="shared" si="15"/>
        <v>0.01883866216</v>
      </c>
      <c r="AI26" s="102">
        <v>2.38680303614337</v>
      </c>
      <c r="AJ26" s="99">
        <v>2.8757480427E10</v>
      </c>
      <c r="AK26" s="99">
        <v>56025.51472738999</v>
      </c>
      <c r="AL26" s="100">
        <f t="shared" si="16"/>
        <v>0.0009334565131</v>
      </c>
      <c r="AM26" s="100">
        <f t="shared" si="17"/>
        <v>0.003522183568</v>
      </c>
      <c r="AN26" s="104">
        <f t="shared" si="18"/>
        <v>0.03437259291</v>
      </c>
      <c r="AO26" s="97">
        <f t="shared" si="19"/>
        <v>510.3642595</v>
      </c>
    </row>
    <row r="27" ht="15.75" customHeight="1">
      <c r="A27" s="95">
        <v>10903.0</v>
      </c>
      <c r="B27" s="60" t="s">
        <v>9</v>
      </c>
      <c r="C27" s="60" t="s">
        <v>25</v>
      </c>
      <c r="D27" s="96">
        <v>7.0</v>
      </c>
      <c r="E27" s="97">
        <v>4320.0</v>
      </c>
      <c r="F27" s="98">
        <v>2.054007949242605</v>
      </c>
      <c r="G27" s="99">
        <v>4.4976043E7</v>
      </c>
      <c r="H27" s="99">
        <f t="shared" si="1"/>
        <v>101703.8763</v>
      </c>
      <c r="I27" s="100">
        <f t="shared" si="2"/>
        <v>0.00004119687566</v>
      </c>
      <c r="J27" s="101">
        <f t="shared" si="3"/>
        <v>0.0009698800799</v>
      </c>
      <c r="K27" s="102">
        <v>4.824022963948914</v>
      </c>
      <c r="L27" s="103">
        <v>6.56223E7</v>
      </c>
      <c r="M27" s="99">
        <f t="shared" si="4"/>
        <v>177867.716</v>
      </c>
      <c r="N27" s="100">
        <f t="shared" si="5"/>
        <v>0.0004566198822</v>
      </c>
      <c r="O27" s="101">
        <f t="shared" si="6"/>
        <v>0.01880044804</v>
      </c>
      <c r="P27" s="98">
        <v>0.1210809873413421</v>
      </c>
      <c r="Q27" s="99">
        <v>2.2144982973E10</v>
      </c>
      <c r="R27" s="99">
        <f t="shared" si="7"/>
        <v>43143.00318</v>
      </c>
      <c r="S27" s="100">
        <f t="shared" si="8"/>
        <v>0.00006817532813</v>
      </c>
      <c r="T27" s="101">
        <f t="shared" si="9"/>
        <v>0.000680853796</v>
      </c>
      <c r="U27" s="100">
        <f t="shared" si="10"/>
        <v>0.02045118191</v>
      </c>
      <c r="V27" s="99">
        <f t="shared" si="11"/>
        <v>88.34910587</v>
      </c>
      <c r="W27" s="96">
        <v>7.0</v>
      </c>
      <c r="X27" s="97">
        <v>5016.0</v>
      </c>
      <c r="Y27" s="98">
        <v>2.054007949242605</v>
      </c>
      <c r="Z27" s="103">
        <v>8.2356869E7</v>
      </c>
      <c r="AA27" s="99">
        <v>186233.13491299</v>
      </c>
      <c r="AB27" s="100">
        <f t="shared" si="12"/>
        <v>0.00002546820126</v>
      </c>
      <c r="AC27" s="101">
        <f t="shared" si="13"/>
        <v>0.0009455787402</v>
      </c>
      <c r="AD27" s="98">
        <v>4.824022963948914</v>
      </c>
      <c r="AE27" s="99">
        <v>7.8037527E7</v>
      </c>
      <c r="AF27" s="99">
        <v>152124.05436781</v>
      </c>
      <c r="AG27" s="100">
        <f t="shared" si="14"/>
        <v>0.0003795271286</v>
      </c>
      <c r="AH27" s="101">
        <f t="shared" si="15"/>
        <v>0.01151020844</v>
      </c>
      <c r="AI27" s="102">
        <v>0.1210809873413421</v>
      </c>
      <c r="AJ27" s="99">
        <v>2.8757480427E10</v>
      </c>
      <c r="AK27" s="99">
        <v>56025.51472738999</v>
      </c>
      <c r="AL27" s="100">
        <f t="shared" si="16"/>
        <v>0.00004735365027</v>
      </c>
      <c r="AM27" s="100">
        <f t="shared" si="17"/>
        <v>0.0005289100141</v>
      </c>
      <c r="AN27" s="104">
        <f t="shared" si="18"/>
        <v>0.0129846972</v>
      </c>
      <c r="AO27" s="97">
        <f t="shared" si="19"/>
        <v>65.13124114</v>
      </c>
    </row>
    <row r="28" ht="15.75" customHeight="1">
      <c r="A28" s="95">
        <v>11001.0</v>
      </c>
      <c r="B28" s="60" t="s">
        <v>9</v>
      </c>
      <c r="C28" s="60" t="s">
        <v>754</v>
      </c>
      <c r="D28" s="108">
        <v>9.0</v>
      </c>
      <c r="E28" s="109">
        <v>10610.5</v>
      </c>
      <c r="F28" s="110">
        <v>6.0</v>
      </c>
      <c r="G28" s="99">
        <v>4.4976043E7</v>
      </c>
      <c r="H28" s="99">
        <f t="shared" si="1"/>
        <v>101703.8763</v>
      </c>
      <c r="I28" s="100">
        <f t="shared" si="2"/>
        <v>0.0001203409432</v>
      </c>
      <c r="J28" s="101">
        <f t="shared" si="3"/>
        <v>0.001153493275</v>
      </c>
      <c r="K28" s="111">
        <v>2.0</v>
      </c>
      <c r="L28" s="103">
        <v>6.56223E7</v>
      </c>
      <c r="M28" s="99">
        <f t="shared" si="4"/>
        <v>177867.716</v>
      </c>
      <c r="N28" s="100">
        <f t="shared" si="5"/>
        <v>0.0001893108244</v>
      </c>
      <c r="O28" s="101">
        <f t="shared" si="6"/>
        <v>0.003173487013</v>
      </c>
      <c r="P28" s="110">
        <v>0.0</v>
      </c>
      <c r="Q28" s="99">
        <v>2.2144982973E10</v>
      </c>
      <c r="R28" s="99">
        <f t="shared" si="7"/>
        <v>43143.00318</v>
      </c>
      <c r="S28" s="100">
        <f t="shared" si="8"/>
        <v>0</v>
      </c>
      <c r="T28" s="101">
        <f t="shared" si="9"/>
        <v>0</v>
      </c>
      <c r="U28" s="100">
        <f t="shared" si="10"/>
        <v>0.004326980289</v>
      </c>
      <c r="V28" s="99">
        <f t="shared" si="11"/>
        <v>45.91142436</v>
      </c>
      <c r="W28" s="108">
        <v>9.0</v>
      </c>
      <c r="X28" s="97">
        <v>13282.0</v>
      </c>
      <c r="Y28" s="110">
        <v>6.0</v>
      </c>
      <c r="Z28" s="103">
        <v>8.2356869E7</v>
      </c>
      <c r="AA28" s="99">
        <v>186233.13491299</v>
      </c>
      <c r="AB28" s="100">
        <f t="shared" si="12"/>
        <v>0.00007439562617</v>
      </c>
      <c r="AC28" s="101">
        <f t="shared" si="13"/>
        <v>0.001043135875</v>
      </c>
      <c r="AD28" s="110">
        <v>2.0</v>
      </c>
      <c r="AE28" s="99">
        <v>7.8037527E7</v>
      </c>
      <c r="AF28" s="99">
        <v>152124.05436781</v>
      </c>
      <c r="AG28" s="100">
        <f t="shared" si="14"/>
        <v>0.0001573488068</v>
      </c>
      <c r="AH28" s="101">
        <f t="shared" si="15"/>
        <v>0.001802178771</v>
      </c>
      <c r="AI28" s="111">
        <v>0.0</v>
      </c>
      <c r="AJ28" s="99">
        <v>2.8757480427E10</v>
      </c>
      <c r="AK28" s="99">
        <v>56025.51472738999</v>
      </c>
      <c r="AL28" s="100">
        <f t="shared" si="16"/>
        <v>0</v>
      </c>
      <c r="AM28" s="100">
        <f t="shared" si="17"/>
        <v>0</v>
      </c>
      <c r="AN28" s="104">
        <f t="shared" si="18"/>
        <v>0.002845314646</v>
      </c>
      <c r="AO28" s="97">
        <f t="shared" si="19"/>
        <v>37.79146912</v>
      </c>
    </row>
    <row r="29" ht="15.75" customHeight="1">
      <c r="A29" s="95">
        <v>11002.0</v>
      </c>
      <c r="B29" s="60" t="s">
        <v>9</v>
      </c>
      <c r="C29" s="60" t="s">
        <v>755</v>
      </c>
      <c r="D29" s="108"/>
      <c r="E29" s="109">
        <v>2542.5</v>
      </c>
      <c r="F29" s="110"/>
      <c r="G29" s="99">
        <v>4.4976043E7</v>
      </c>
      <c r="H29" s="99">
        <f t="shared" si="1"/>
        <v>101703.8763</v>
      </c>
      <c r="I29" s="100">
        <f t="shared" si="2"/>
        <v>0</v>
      </c>
      <c r="J29" s="101">
        <f t="shared" si="3"/>
        <v>0</v>
      </c>
      <c r="K29" s="111"/>
      <c r="L29" s="103">
        <v>6.56223E7</v>
      </c>
      <c r="M29" s="99">
        <f t="shared" si="4"/>
        <v>177867.716</v>
      </c>
      <c r="N29" s="100">
        <f t="shared" si="5"/>
        <v>0</v>
      </c>
      <c r="O29" s="101">
        <f t="shared" si="6"/>
        <v>0</v>
      </c>
      <c r="P29" s="110"/>
      <c r="Q29" s="99">
        <v>2.2144982973E10</v>
      </c>
      <c r="R29" s="99">
        <f t="shared" si="7"/>
        <v>43143.00318</v>
      </c>
      <c r="S29" s="100">
        <f t="shared" si="8"/>
        <v>0</v>
      </c>
      <c r="T29" s="101">
        <f t="shared" si="9"/>
        <v>0</v>
      </c>
      <c r="U29" s="100">
        <f t="shared" si="10"/>
        <v>0</v>
      </c>
      <c r="V29" s="99">
        <f t="shared" si="11"/>
        <v>0</v>
      </c>
      <c r="W29" s="108"/>
      <c r="X29" s="97">
        <v>2547.0</v>
      </c>
      <c r="Y29" s="110"/>
      <c r="Z29" s="103">
        <v>8.2356869E7</v>
      </c>
      <c r="AA29" s="99">
        <v>186233.13491299</v>
      </c>
      <c r="AB29" s="100">
        <f t="shared" si="12"/>
        <v>0</v>
      </c>
      <c r="AC29" s="101">
        <f t="shared" si="13"/>
        <v>0</v>
      </c>
      <c r="AD29" s="110"/>
      <c r="AE29" s="99">
        <v>7.8037527E7</v>
      </c>
      <c r="AF29" s="99">
        <v>152124.05436781</v>
      </c>
      <c r="AG29" s="100">
        <f t="shared" si="14"/>
        <v>0</v>
      </c>
      <c r="AH29" s="101">
        <f t="shared" si="15"/>
        <v>0</v>
      </c>
      <c r="AI29" s="111"/>
      <c r="AJ29" s="99">
        <v>2.8757480427E10</v>
      </c>
      <c r="AK29" s="99">
        <v>56025.51472738999</v>
      </c>
      <c r="AL29" s="100">
        <f t="shared" si="16"/>
        <v>0</v>
      </c>
      <c r="AM29" s="100">
        <f t="shared" si="17"/>
        <v>0</v>
      </c>
      <c r="AN29" s="104">
        <f t="shared" si="18"/>
        <v>0</v>
      </c>
      <c r="AO29" s="97">
        <f t="shared" si="19"/>
        <v>0</v>
      </c>
    </row>
    <row r="30" ht="15.75" customHeight="1">
      <c r="A30" s="95">
        <v>11003.0</v>
      </c>
      <c r="B30" s="60" t="s">
        <v>9</v>
      </c>
      <c r="C30" s="60" t="s">
        <v>26</v>
      </c>
      <c r="D30" s="96">
        <v>9.0</v>
      </c>
      <c r="E30" s="97">
        <v>7372.25</v>
      </c>
      <c r="F30" s="98">
        <v>6.366244780356729</v>
      </c>
      <c r="G30" s="99">
        <v>4.4976043E7</v>
      </c>
      <c r="H30" s="99">
        <f t="shared" si="1"/>
        <v>101703.8763</v>
      </c>
      <c r="I30" s="100">
        <f t="shared" si="2"/>
        <v>0.0001276866503</v>
      </c>
      <c r="J30" s="101">
        <f t="shared" si="3"/>
        <v>0.001761501208</v>
      </c>
      <c r="K30" s="102">
        <v>2.334598879009511</v>
      </c>
      <c r="L30" s="103">
        <v>6.56223E7</v>
      </c>
      <c r="M30" s="99">
        <f t="shared" si="4"/>
        <v>177867.716</v>
      </c>
      <c r="N30" s="100">
        <f t="shared" si="5"/>
        <v>0.0002209824192</v>
      </c>
      <c r="O30" s="101">
        <f t="shared" si="6"/>
        <v>0.005331566101</v>
      </c>
      <c r="P30" s="98">
        <v>0.2987431533473403</v>
      </c>
      <c r="Q30" s="99">
        <v>2.2144982973E10</v>
      </c>
      <c r="R30" s="99">
        <f t="shared" si="7"/>
        <v>43143.00318</v>
      </c>
      <c r="S30" s="100">
        <f t="shared" si="8"/>
        <v>0.0001682090058</v>
      </c>
      <c r="T30" s="101">
        <f t="shared" si="9"/>
        <v>0.000984372705</v>
      </c>
      <c r="U30" s="100">
        <f t="shared" si="10"/>
        <v>0.008077440014</v>
      </c>
      <c r="V30" s="99">
        <f t="shared" si="11"/>
        <v>59.54890714</v>
      </c>
      <c r="W30" s="96">
        <v>7.0</v>
      </c>
      <c r="X30" s="97">
        <v>7235.0</v>
      </c>
      <c r="Y30" s="98">
        <v>4.644386031824602</v>
      </c>
      <c r="Z30" s="103">
        <v>8.2356869E7</v>
      </c>
      <c r="AA30" s="99">
        <v>186233.13491299</v>
      </c>
      <c r="AB30" s="100">
        <f t="shared" si="12"/>
        <v>0.00005758700117</v>
      </c>
      <c r="AC30" s="101">
        <f t="shared" si="13"/>
        <v>0.001482323118</v>
      </c>
      <c r="AD30" s="98">
        <v>2.172210018080137</v>
      </c>
      <c r="AE30" s="99">
        <v>7.8037527E7</v>
      </c>
      <c r="AF30" s="99">
        <v>152124.05436781</v>
      </c>
      <c r="AG30" s="100">
        <f t="shared" si="14"/>
        <v>0.0001708973272</v>
      </c>
      <c r="AH30" s="101">
        <f t="shared" si="15"/>
        <v>0.003593309509</v>
      </c>
      <c r="AI30" s="102">
        <v>0.1829907628088401</v>
      </c>
      <c r="AJ30" s="99">
        <v>2.8757480427E10</v>
      </c>
      <c r="AK30" s="99">
        <v>56025.51472738999</v>
      </c>
      <c r="AL30" s="100">
        <f t="shared" si="16"/>
        <v>0.00007156598881</v>
      </c>
      <c r="AM30" s="100">
        <f t="shared" si="17"/>
        <v>0.0005541840166</v>
      </c>
      <c r="AN30" s="104">
        <f t="shared" si="18"/>
        <v>0.005629816643</v>
      </c>
      <c r="AO30" s="97">
        <f t="shared" si="19"/>
        <v>40.73172342</v>
      </c>
    </row>
    <row r="31" ht="15.75" customHeight="1">
      <c r="A31" s="95">
        <v>20101.0</v>
      </c>
      <c r="B31" s="60" t="s">
        <v>51</v>
      </c>
      <c r="C31" s="60" t="s">
        <v>756</v>
      </c>
      <c r="D31" s="116">
        <v>261003.0</v>
      </c>
      <c r="E31" s="109">
        <v>764208.75</v>
      </c>
      <c r="F31" s="110">
        <v>230376.19023656019</v>
      </c>
      <c r="G31" s="118">
        <v>4.22290885E8</v>
      </c>
      <c r="H31" s="99">
        <f t="shared" si="1"/>
        <v>954922.1553</v>
      </c>
      <c r="I31" s="100">
        <f t="shared" ref="I31:I117" si="59">F31/SUM($F$31:$F$117)</f>
        <v>0.7099527374</v>
      </c>
      <c r="J31" s="101">
        <f t="shared" si="3"/>
        <v>0.8871261919</v>
      </c>
      <c r="K31" s="111">
        <v>21699.4115919437</v>
      </c>
      <c r="L31" s="119">
        <v>3.2111817E8</v>
      </c>
      <c r="M31" s="99">
        <f t="shared" si="4"/>
        <v>870383.3219</v>
      </c>
      <c r="N31" s="100">
        <f t="shared" ref="N31:N117" si="60">K31/SUM($K$31:$K$117)</f>
        <v>0.5151362205</v>
      </c>
      <c r="O31" s="101">
        <f t="shared" si="6"/>
        <v>0.5867061517</v>
      </c>
      <c r="P31" s="110">
        <v>8913.487949481261</v>
      </c>
      <c r="Q31" s="99">
        <v>1.15475189454E11</v>
      </c>
      <c r="R31" s="99">
        <f t="shared" si="7"/>
        <v>224969.5325</v>
      </c>
      <c r="S31" s="100">
        <f t="shared" ref="S31:S117" si="61">P31/SUM($P$31:$P$117)</f>
        <v>0.6266843075</v>
      </c>
      <c r="T31" s="101">
        <f t="shared" si="9"/>
        <v>0.1844847702</v>
      </c>
      <c r="U31" s="100">
        <f t="shared" si="10"/>
        <v>1.658317114</v>
      </c>
      <c r="V31" s="99">
        <f t="shared" si="11"/>
        <v>1267300.449</v>
      </c>
      <c r="W31" s="116">
        <v>303571.0</v>
      </c>
      <c r="X31" s="97">
        <v>757431.0</v>
      </c>
      <c r="Y31" s="110">
        <v>273335.56784917053</v>
      </c>
      <c r="Z31" s="119">
        <v>6.1411406E8</v>
      </c>
      <c r="AA31" s="99">
        <v>1389217.3666199013</v>
      </c>
      <c r="AB31" s="100">
        <f t="shared" ref="AB31:AB117" si="62">Y31/SUM($Y$31:$Y$117)</f>
        <v>0.5492500521</v>
      </c>
      <c r="AC31" s="101">
        <f t="shared" si="13"/>
        <v>1.00738907</v>
      </c>
      <c r="AD31" s="110">
        <v>20214.105967831943</v>
      </c>
      <c r="AE31" s="118">
        <v>5.29749132E8</v>
      </c>
      <c r="AF31" s="99">
        <v>1298243.3714842624</v>
      </c>
      <c r="AG31" s="100">
        <f t="shared" ref="AG31:AG117" si="63">AD31/SUM($AD$31:$AD$117)</f>
        <v>0.3324010623</v>
      </c>
      <c r="AH31" s="101">
        <f t="shared" si="15"/>
        <v>0.5697383337</v>
      </c>
      <c r="AI31" s="111">
        <v>10010.46036529335</v>
      </c>
      <c r="AJ31" s="118">
        <v>1.54159215745E11</v>
      </c>
      <c r="AK31" s="118">
        <v>300334.00993407</v>
      </c>
      <c r="AL31" s="100">
        <f t="shared" ref="AL31:AL117" si="64">AI31/SUM($AI$31:$AI$117)</f>
        <v>0.4764282009</v>
      </c>
      <c r="AM31" s="100">
        <f t="shared" si="17"/>
        <v>0.1889117187</v>
      </c>
      <c r="AN31" s="104">
        <f t="shared" si="18"/>
        <v>1.766039123</v>
      </c>
      <c r="AO31" s="97">
        <f t="shared" si="19"/>
        <v>1337652.779</v>
      </c>
    </row>
    <row r="32" ht="15.75" customHeight="1">
      <c r="A32" s="95">
        <v>20102.0</v>
      </c>
      <c r="B32" s="60" t="s">
        <v>51</v>
      </c>
      <c r="C32" s="60" t="s">
        <v>89</v>
      </c>
      <c r="D32" s="96">
        <v>34.0</v>
      </c>
      <c r="E32" s="97">
        <v>17898.75</v>
      </c>
      <c r="F32" s="98">
        <v>25.49116991374611</v>
      </c>
      <c r="G32" s="118">
        <v>4.22290885E8</v>
      </c>
      <c r="H32" s="99">
        <f t="shared" si="1"/>
        <v>954922.1553</v>
      </c>
      <c r="I32" s="100">
        <f t="shared" si="59"/>
        <v>0.00007855640742</v>
      </c>
      <c r="J32" s="101">
        <f t="shared" si="3"/>
        <v>0.00419108898</v>
      </c>
      <c r="K32" s="102">
        <v>6.421833595228473</v>
      </c>
      <c r="L32" s="119">
        <v>3.2111817E8</v>
      </c>
      <c r="M32" s="99">
        <f t="shared" si="4"/>
        <v>870383.3219</v>
      </c>
      <c r="N32" s="100">
        <f t="shared" si="60"/>
        <v>0.000152452018</v>
      </c>
      <c r="O32" s="101">
        <f t="shared" si="6"/>
        <v>0.007413461491</v>
      </c>
      <c r="P32" s="98">
        <v>2.085577666851588</v>
      </c>
      <c r="Q32" s="99">
        <v>1.15475189454E11</v>
      </c>
      <c r="R32" s="99">
        <f t="shared" si="7"/>
        <v>224969.5325</v>
      </c>
      <c r="S32" s="100">
        <f t="shared" si="61"/>
        <v>0.0001466315771</v>
      </c>
      <c r="T32" s="101">
        <f t="shared" si="9"/>
        <v>0.001843013471</v>
      </c>
      <c r="U32" s="100">
        <f t="shared" si="10"/>
        <v>0.01344756394</v>
      </c>
      <c r="V32" s="99">
        <f t="shared" si="11"/>
        <v>240.6945851</v>
      </c>
      <c r="W32" s="96">
        <v>2569.0</v>
      </c>
      <c r="X32" s="97">
        <v>21729.0</v>
      </c>
      <c r="Y32" s="98">
        <v>2202.028416856362</v>
      </c>
      <c r="Z32" s="119">
        <v>6.1411406E8</v>
      </c>
      <c r="AA32" s="99">
        <v>1389217.3666199013</v>
      </c>
      <c r="AB32" s="100">
        <f t="shared" si="62"/>
        <v>0.004424832934</v>
      </c>
      <c r="AC32" s="101">
        <f t="shared" si="13"/>
        <v>0.2828963485</v>
      </c>
      <c r="AD32" s="98">
        <v>289.9353171985688</v>
      </c>
      <c r="AE32" s="118">
        <v>5.29749132E8</v>
      </c>
      <c r="AF32" s="99">
        <v>1298243.3714842624</v>
      </c>
      <c r="AG32" s="100">
        <f t="shared" si="63"/>
        <v>0.004767700713</v>
      </c>
      <c r="AH32" s="101">
        <f t="shared" si="15"/>
        <v>0.2848559919</v>
      </c>
      <c r="AI32" s="102">
        <v>76.95413317852996</v>
      </c>
      <c r="AJ32" s="118">
        <v>1.54159215745E11</v>
      </c>
      <c r="AK32" s="118">
        <v>300334.00993407</v>
      </c>
      <c r="AL32" s="100">
        <f t="shared" si="64"/>
        <v>0.003662480834</v>
      </c>
      <c r="AM32" s="100">
        <f t="shared" si="17"/>
        <v>0.05062209743</v>
      </c>
      <c r="AN32" s="104">
        <f t="shared" si="18"/>
        <v>0.6183744378</v>
      </c>
      <c r="AO32" s="97">
        <f t="shared" si="19"/>
        <v>13436.65816</v>
      </c>
    </row>
    <row r="33" ht="15.75" customHeight="1">
      <c r="A33" s="95">
        <v>20103.0</v>
      </c>
      <c r="B33" s="60" t="s">
        <v>51</v>
      </c>
      <c r="C33" s="60" t="s">
        <v>87</v>
      </c>
      <c r="D33" s="96">
        <v>110.0</v>
      </c>
      <c r="E33" s="97">
        <v>16987.0</v>
      </c>
      <c r="F33" s="98">
        <v>94.51873636988601</v>
      </c>
      <c r="G33" s="118">
        <v>4.22290885E8</v>
      </c>
      <c r="H33" s="99">
        <f t="shared" si="1"/>
        <v>954922.1553</v>
      </c>
      <c r="I33" s="100">
        <f t="shared" si="59"/>
        <v>0.0002912793876</v>
      </c>
      <c r="J33" s="101">
        <f t="shared" si="3"/>
        <v>0.01637423563</v>
      </c>
      <c r="K33" s="102">
        <v>11.67684304992627</v>
      </c>
      <c r="L33" s="119">
        <v>3.2111817E8</v>
      </c>
      <c r="M33" s="99">
        <f t="shared" si="4"/>
        <v>870383.3219</v>
      </c>
      <c r="N33" s="100">
        <f t="shared" si="60"/>
        <v>0.0002772040509</v>
      </c>
      <c r="O33" s="101">
        <f t="shared" si="6"/>
        <v>0.0142034369</v>
      </c>
      <c r="P33" s="98">
        <v>3.800846603465065</v>
      </c>
      <c r="Q33" s="99">
        <v>1.15475189454E11</v>
      </c>
      <c r="R33" s="99">
        <f t="shared" si="7"/>
        <v>224969.5325</v>
      </c>
      <c r="S33" s="100">
        <f t="shared" si="61"/>
        <v>0.0002672277043</v>
      </c>
      <c r="T33" s="101">
        <f t="shared" si="9"/>
        <v>0.003539064678</v>
      </c>
      <c r="U33" s="100">
        <f t="shared" si="10"/>
        <v>0.03411673721</v>
      </c>
      <c r="V33" s="99">
        <f t="shared" si="11"/>
        <v>579.541015</v>
      </c>
      <c r="W33" s="96">
        <v>1068.0</v>
      </c>
      <c r="X33" s="97">
        <v>20446.0</v>
      </c>
      <c r="Y33" s="98">
        <v>922.8920783350228</v>
      </c>
      <c r="Z33" s="119">
        <v>6.1411406E8</v>
      </c>
      <c r="AA33" s="99">
        <v>1389217.3666199013</v>
      </c>
      <c r="AB33" s="100">
        <f t="shared" si="62"/>
        <v>0.001854491627</v>
      </c>
      <c r="AC33" s="101">
        <f t="shared" si="13"/>
        <v>0.1260046941</v>
      </c>
      <c r="AD33" s="98">
        <v>107.9882719783941</v>
      </c>
      <c r="AE33" s="118">
        <v>5.29749132E8</v>
      </c>
      <c r="AF33" s="99">
        <v>1298243.3714842624</v>
      </c>
      <c r="AG33" s="100">
        <f t="shared" si="63"/>
        <v>0.001775760767</v>
      </c>
      <c r="AH33" s="101">
        <f t="shared" si="15"/>
        <v>0.1127540666</v>
      </c>
      <c r="AI33" s="102">
        <v>37.08269610475035</v>
      </c>
      <c r="AJ33" s="118">
        <v>1.54159215745E11</v>
      </c>
      <c r="AK33" s="118">
        <v>300334.00993407</v>
      </c>
      <c r="AL33" s="100">
        <f t="shared" si="64"/>
        <v>0.001764878092</v>
      </c>
      <c r="AM33" s="100">
        <f t="shared" si="17"/>
        <v>0.02592452873</v>
      </c>
      <c r="AN33" s="104">
        <f t="shared" si="18"/>
        <v>0.2646832894</v>
      </c>
      <c r="AO33" s="97">
        <f t="shared" si="19"/>
        <v>5411.714535</v>
      </c>
    </row>
    <row r="34" ht="15.75" customHeight="1">
      <c r="A34" s="95">
        <v>20104.0</v>
      </c>
      <c r="B34" s="60" t="s">
        <v>51</v>
      </c>
      <c r="C34" s="60" t="s">
        <v>54</v>
      </c>
      <c r="D34" s="96">
        <v>1965.0</v>
      </c>
      <c r="E34" s="97">
        <v>28370.25</v>
      </c>
      <c r="F34" s="98">
        <v>1501.787313851012</v>
      </c>
      <c r="G34" s="118">
        <v>4.22290885E8</v>
      </c>
      <c r="H34" s="99">
        <f t="shared" si="1"/>
        <v>954922.1553</v>
      </c>
      <c r="I34" s="100">
        <f t="shared" si="59"/>
        <v>0.004628073818</v>
      </c>
      <c r="J34" s="101">
        <f t="shared" si="3"/>
        <v>0.1557776271</v>
      </c>
      <c r="K34" s="102">
        <v>402.2593834203358</v>
      </c>
      <c r="L34" s="119">
        <v>3.2111817E8</v>
      </c>
      <c r="M34" s="99">
        <f t="shared" si="4"/>
        <v>870383.3219</v>
      </c>
      <c r="N34" s="100">
        <f t="shared" si="60"/>
        <v>0.009549492969</v>
      </c>
      <c r="O34" s="101">
        <f t="shared" si="6"/>
        <v>0.2929730761</v>
      </c>
      <c r="P34" s="98">
        <v>60.87555110474607</v>
      </c>
      <c r="Q34" s="99">
        <v>1.15475189454E11</v>
      </c>
      <c r="R34" s="99">
        <f t="shared" si="7"/>
        <v>224969.5325</v>
      </c>
      <c r="S34" s="100">
        <f t="shared" si="61"/>
        <v>0.004280002711</v>
      </c>
      <c r="T34" s="101">
        <f t="shared" si="9"/>
        <v>0.03393943335</v>
      </c>
      <c r="U34" s="100">
        <f t="shared" si="10"/>
        <v>0.4826901366</v>
      </c>
      <c r="V34" s="99">
        <f t="shared" si="11"/>
        <v>13694.03985</v>
      </c>
      <c r="W34" s="96">
        <v>46310.0</v>
      </c>
      <c r="X34" s="97">
        <v>46188.0</v>
      </c>
      <c r="Y34" s="98">
        <v>39371.3687293125</v>
      </c>
      <c r="Z34" s="119">
        <v>6.1411406E8</v>
      </c>
      <c r="AA34" s="99">
        <v>1389217.3666199013</v>
      </c>
      <c r="AB34" s="100">
        <f t="shared" si="62"/>
        <v>0.07911420564</v>
      </c>
      <c r="AC34" s="101">
        <f t="shared" si="13"/>
        <v>2.379553746</v>
      </c>
      <c r="AD34" s="98">
        <v>5070.741227177663</v>
      </c>
      <c r="AE34" s="118">
        <v>5.29749132E8</v>
      </c>
      <c r="AF34" s="99">
        <v>1298243.3714842624</v>
      </c>
      <c r="AG34" s="100">
        <f t="shared" si="63"/>
        <v>0.08338334494</v>
      </c>
      <c r="AH34" s="101">
        <f t="shared" si="15"/>
        <v>2.343722934</v>
      </c>
      <c r="AI34" s="102">
        <v>1866.230372432959</v>
      </c>
      <c r="AJ34" s="118">
        <v>1.54159215745E11</v>
      </c>
      <c r="AK34" s="118">
        <v>300334.00993407</v>
      </c>
      <c r="AL34" s="100">
        <f t="shared" si="64"/>
        <v>0.08881956937</v>
      </c>
      <c r="AM34" s="100">
        <f t="shared" si="17"/>
        <v>0.5775425961</v>
      </c>
      <c r="AN34" s="104">
        <f t="shared" si="18"/>
        <v>5.300819276</v>
      </c>
      <c r="AO34" s="97">
        <f t="shared" si="19"/>
        <v>244834.2407</v>
      </c>
    </row>
    <row r="35" ht="15.75" customHeight="1">
      <c r="A35" s="95">
        <v>20105.0</v>
      </c>
      <c r="B35" s="60" t="s">
        <v>51</v>
      </c>
      <c r="C35" s="60" t="s">
        <v>74</v>
      </c>
      <c r="D35" s="96">
        <v>102242.0</v>
      </c>
      <c r="E35" s="97">
        <v>857795.25</v>
      </c>
      <c r="F35" s="98">
        <v>79476.85863151216</v>
      </c>
      <c r="G35" s="118">
        <v>4.22290885E8</v>
      </c>
      <c r="H35" s="99">
        <f t="shared" si="1"/>
        <v>954922.1553</v>
      </c>
      <c r="I35" s="100">
        <f t="shared" si="59"/>
        <v>0.2449246742</v>
      </c>
      <c r="J35" s="101">
        <f t="shared" si="3"/>
        <v>0.272657138</v>
      </c>
      <c r="K35" s="102">
        <v>18063.96277346225</v>
      </c>
      <c r="L35" s="119">
        <v>3.2111817E8</v>
      </c>
      <c r="M35" s="99">
        <f t="shared" si="4"/>
        <v>870383.3219</v>
      </c>
      <c r="N35" s="100">
        <f t="shared" si="60"/>
        <v>0.4288319741</v>
      </c>
      <c r="O35" s="101">
        <f t="shared" si="6"/>
        <v>0.4351250466</v>
      </c>
      <c r="P35" s="98">
        <v>4696.693184371256</v>
      </c>
      <c r="Q35" s="99">
        <v>1.15475189454E11</v>
      </c>
      <c r="R35" s="99">
        <f t="shared" si="7"/>
        <v>224969.5325</v>
      </c>
      <c r="S35" s="100">
        <f t="shared" si="61"/>
        <v>0.3302123627</v>
      </c>
      <c r="T35" s="101">
        <f t="shared" si="9"/>
        <v>0.08660309189</v>
      </c>
      <c r="U35" s="100">
        <f t="shared" si="10"/>
        <v>0.7943852765</v>
      </c>
      <c r="V35" s="99">
        <f t="shared" si="11"/>
        <v>681419.9168</v>
      </c>
      <c r="W35" s="96">
        <v>123758.0</v>
      </c>
      <c r="X35" s="97">
        <v>885825.0</v>
      </c>
      <c r="Y35" s="98">
        <v>99023.3517289262</v>
      </c>
      <c r="Z35" s="119">
        <v>6.1411406E8</v>
      </c>
      <c r="AA35" s="99">
        <v>1389217.3666199013</v>
      </c>
      <c r="AB35" s="100">
        <f t="shared" si="62"/>
        <v>0.1989809871</v>
      </c>
      <c r="AC35" s="101">
        <f t="shared" si="13"/>
        <v>0.3120569445</v>
      </c>
      <c r="AD35" s="98">
        <v>19587.96273444108</v>
      </c>
      <c r="AE35" s="118">
        <v>5.29749132E8</v>
      </c>
      <c r="AF35" s="99">
        <v>1298243.3714842624</v>
      </c>
      <c r="AG35" s="100">
        <f t="shared" si="63"/>
        <v>0.3221047536</v>
      </c>
      <c r="AH35" s="101">
        <f t="shared" si="15"/>
        <v>0.4720688186</v>
      </c>
      <c r="AI35" s="102">
        <v>5141.524070755477</v>
      </c>
      <c r="AJ35" s="118">
        <v>1.54159215745E11</v>
      </c>
      <c r="AK35" s="118">
        <v>300334.00993407</v>
      </c>
      <c r="AL35" s="100">
        <f t="shared" si="64"/>
        <v>0.2447007404</v>
      </c>
      <c r="AM35" s="100">
        <f t="shared" si="17"/>
        <v>0.08296441689</v>
      </c>
      <c r="AN35" s="104">
        <f t="shared" si="18"/>
        <v>0.86709018</v>
      </c>
      <c r="AO35" s="97">
        <f t="shared" si="19"/>
        <v>768090.1587</v>
      </c>
    </row>
    <row r="36" ht="15.75" customHeight="1">
      <c r="A36" s="95">
        <v>20201.0</v>
      </c>
      <c r="B36" s="60" t="s">
        <v>51</v>
      </c>
      <c r="C36" s="60" t="s">
        <v>52</v>
      </c>
      <c r="D36" s="96">
        <v>164.0</v>
      </c>
      <c r="E36" s="97">
        <v>46357.75</v>
      </c>
      <c r="F36" s="98">
        <v>133.8389809928188</v>
      </c>
      <c r="G36" s="118">
        <v>4.22290885E8</v>
      </c>
      <c r="H36" s="99">
        <f t="shared" si="1"/>
        <v>954922.1553</v>
      </c>
      <c r="I36" s="100">
        <f t="shared" si="59"/>
        <v>0.0004124530006</v>
      </c>
      <c r="J36" s="101">
        <f t="shared" si="3"/>
        <v>0.008496109244</v>
      </c>
      <c r="K36" s="102">
        <v>18.87871231294866</v>
      </c>
      <c r="L36" s="119">
        <v>3.2111817E8</v>
      </c>
      <c r="M36" s="99">
        <f t="shared" si="4"/>
        <v>870383.3219</v>
      </c>
      <c r="N36" s="100">
        <f t="shared" si="60"/>
        <v>0.0004481738349</v>
      </c>
      <c r="O36" s="101">
        <f t="shared" si="6"/>
        <v>0.008414623903</v>
      </c>
      <c r="P36" s="98">
        <v>11.27346669602163</v>
      </c>
      <c r="Q36" s="99">
        <v>1.15475189454E11</v>
      </c>
      <c r="R36" s="99">
        <f t="shared" si="7"/>
        <v>224969.5325</v>
      </c>
      <c r="S36" s="100">
        <f t="shared" si="61"/>
        <v>0.0007926083156</v>
      </c>
      <c r="T36" s="101">
        <f t="shared" si="9"/>
        <v>0.003846449023</v>
      </c>
      <c r="U36" s="100">
        <f t="shared" si="10"/>
        <v>0.02075718217</v>
      </c>
      <c r="V36" s="99">
        <f t="shared" si="11"/>
        <v>962.2562617</v>
      </c>
      <c r="W36" s="96">
        <v>2180.0</v>
      </c>
      <c r="X36" s="97">
        <v>47257.0</v>
      </c>
      <c r="Y36" s="98">
        <v>1724.582510161548</v>
      </c>
      <c r="Z36" s="119">
        <v>6.1411406E8</v>
      </c>
      <c r="AA36" s="99">
        <v>1389217.3666199013</v>
      </c>
      <c r="AB36" s="100">
        <f t="shared" si="62"/>
        <v>0.003465436426</v>
      </c>
      <c r="AC36" s="101">
        <f t="shared" si="13"/>
        <v>0.1018736794</v>
      </c>
      <c r="AD36" s="98">
        <v>374.0324709228548</v>
      </c>
      <c r="AE36" s="118">
        <v>5.29749132E8</v>
      </c>
      <c r="AF36" s="99">
        <v>1298243.3714842624</v>
      </c>
      <c r="AG36" s="100">
        <f t="shared" si="63"/>
        <v>0.006150595573</v>
      </c>
      <c r="AH36" s="101">
        <f t="shared" si="15"/>
        <v>0.1689690402</v>
      </c>
      <c r="AI36" s="102">
        <v>81.28713271793896</v>
      </c>
      <c r="AJ36" s="118">
        <v>1.54159215745E11</v>
      </c>
      <c r="AK36" s="118">
        <v>300334.00993407</v>
      </c>
      <c r="AL36" s="100">
        <f t="shared" si="64"/>
        <v>0.003868701437</v>
      </c>
      <c r="AM36" s="100">
        <f t="shared" si="17"/>
        <v>0.02458688905</v>
      </c>
      <c r="AN36" s="104">
        <f t="shared" si="18"/>
        <v>0.2954296086</v>
      </c>
      <c r="AO36" s="97">
        <f t="shared" si="19"/>
        <v>13961.11702</v>
      </c>
    </row>
    <row r="37" ht="15.75" customHeight="1">
      <c r="A37" s="95">
        <v>20202.0</v>
      </c>
      <c r="B37" s="60" t="s">
        <v>51</v>
      </c>
      <c r="C37" s="60" t="s">
        <v>757</v>
      </c>
      <c r="D37" s="108"/>
      <c r="E37" s="109">
        <v>14090.25</v>
      </c>
      <c r="F37" s="110"/>
      <c r="G37" s="118">
        <v>4.22290885E8</v>
      </c>
      <c r="H37" s="99">
        <f t="shared" si="1"/>
        <v>954922.1553</v>
      </c>
      <c r="I37" s="100">
        <f t="shared" si="59"/>
        <v>0</v>
      </c>
      <c r="J37" s="101">
        <f t="shared" si="3"/>
        <v>0</v>
      </c>
      <c r="K37" s="111"/>
      <c r="L37" s="119">
        <v>3.2111817E8</v>
      </c>
      <c r="M37" s="99">
        <f t="shared" si="4"/>
        <v>870383.3219</v>
      </c>
      <c r="N37" s="100">
        <f t="shared" si="60"/>
        <v>0</v>
      </c>
      <c r="O37" s="101">
        <f t="shared" si="6"/>
        <v>0</v>
      </c>
      <c r="P37" s="110"/>
      <c r="Q37" s="99">
        <v>1.15475189454E11</v>
      </c>
      <c r="R37" s="99">
        <f t="shared" si="7"/>
        <v>224969.5325</v>
      </c>
      <c r="S37" s="100">
        <f t="shared" si="61"/>
        <v>0</v>
      </c>
      <c r="T37" s="101">
        <f t="shared" si="9"/>
        <v>0</v>
      </c>
      <c r="U37" s="100">
        <f t="shared" si="10"/>
        <v>0</v>
      </c>
      <c r="V37" s="99">
        <f t="shared" si="11"/>
        <v>0</v>
      </c>
      <c r="W37" s="108">
        <v>2002.0</v>
      </c>
      <c r="X37" s="97">
        <v>16953.0</v>
      </c>
      <c r="Y37" s="110">
        <v>1807.0739742776525</v>
      </c>
      <c r="Z37" s="119">
        <v>6.1411406E8</v>
      </c>
      <c r="AA37" s="99">
        <v>1389217.3666199013</v>
      </c>
      <c r="AB37" s="100">
        <f t="shared" si="62"/>
        <v>0.00363119766</v>
      </c>
      <c r="AC37" s="101">
        <f t="shared" si="13"/>
        <v>0.2975593023</v>
      </c>
      <c r="AD37" s="110">
        <v>128.80883834227043</v>
      </c>
      <c r="AE37" s="118">
        <v>5.29749132E8</v>
      </c>
      <c r="AF37" s="99">
        <v>1298243.3714842624</v>
      </c>
      <c r="AG37" s="100">
        <f t="shared" si="63"/>
        <v>0.002118134473</v>
      </c>
      <c r="AH37" s="101">
        <f t="shared" si="15"/>
        <v>0.1622045679</v>
      </c>
      <c r="AI37" s="111">
        <v>66.06248909980087</v>
      </c>
      <c r="AJ37" s="118">
        <v>1.54159215745E11</v>
      </c>
      <c r="AK37" s="118">
        <v>300334.00993407</v>
      </c>
      <c r="AL37" s="100">
        <f t="shared" si="64"/>
        <v>0.003144114424</v>
      </c>
      <c r="AM37" s="100">
        <f t="shared" si="17"/>
        <v>0.05570014114</v>
      </c>
      <c r="AN37" s="104">
        <f t="shared" si="18"/>
        <v>0.5154640113</v>
      </c>
      <c r="AO37" s="97">
        <f t="shared" si="19"/>
        <v>8738.661384</v>
      </c>
    </row>
    <row r="38" ht="15.75" customHeight="1">
      <c r="A38" s="95">
        <v>20203.0</v>
      </c>
      <c r="B38" s="60" t="s">
        <v>51</v>
      </c>
      <c r="C38" s="60" t="s">
        <v>319</v>
      </c>
      <c r="D38" s="108"/>
      <c r="E38" s="109">
        <v>5558.75</v>
      </c>
      <c r="F38" s="110"/>
      <c r="G38" s="118">
        <v>4.22290885E8</v>
      </c>
      <c r="H38" s="99">
        <f t="shared" si="1"/>
        <v>954922.1553</v>
      </c>
      <c r="I38" s="100">
        <f t="shared" si="59"/>
        <v>0</v>
      </c>
      <c r="J38" s="101">
        <f t="shared" si="3"/>
        <v>0</v>
      </c>
      <c r="K38" s="111"/>
      <c r="L38" s="119">
        <v>3.2111817E8</v>
      </c>
      <c r="M38" s="99">
        <f t="shared" si="4"/>
        <v>870383.3219</v>
      </c>
      <c r="N38" s="100">
        <f t="shared" si="60"/>
        <v>0</v>
      </c>
      <c r="O38" s="101">
        <f t="shared" si="6"/>
        <v>0</v>
      </c>
      <c r="P38" s="110"/>
      <c r="Q38" s="99">
        <v>1.15475189454E11</v>
      </c>
      <c r="R38" s="99">
        <f t="shared" si="7"/>
        <v>224969.5325</v>
      </c>
      <c r="S38" s="100">
        <f t="shared" si="61"/>
        <v>0</v>
      </c>
      <c r="T38" s="101">
        <f t="shared" si="9"/>
        <v>0</v>
      </c>
      <c r="U38" s="100">
        <f t="shared" si="10"/>
        <v>0</v>
      </c>
      <c r="V38" s="99">
        <f t="shared" si="11"/>
        <v>0</v>
      </c>
      <c r="W38" s="96">
        <v>763.0</v>
      </c>
      <c r="X38" s="97">
        <v>7226.0</v>
      </c>
      <c r="Y38" s="98">
        <v>652.6759147276475</v>
      </c>
      <c r="Z38" s="119">
        <v>6.1411406E8</v>
      </c>
      <c r="AA38" s="99">
        <v>1389217.3666199013</v>
      </c>
      <c r="AB38" s="100">
        <f t="shared" si="62"/>
        <v>0.001311509815</v>
      </c>
      <c r="AC38" s="101">
        <f t="shared" si="13"/>
        <v>0.2521411863</v>
      </c>
      <c r="AD38" s="98">
        <v>76.48060960937914</v>
      </c>
      <c r="AE38" s="118">
        <v>5.29749132E8</v>
      </c>
      <c r="AF38" s="99">
        <v>1298243.3714842624</v>
      </c>
      <c r="AG38" s="100">
        <f t="shared" si="63"/>
        <v>0.001257648294</v>
      </c>
      <c r="AH38" s="101">
        <f t="shared" si="15"/>
        <v>0.2259526102</v>
      </c>
      <c r="AI38" s="102">
        <v>33.80681625540623</v>
      </c>
      <c r="AJ38" s="118">
        <v>1.54159215745E11</v>
      </c>
      <c r="AK38" s="118">
        <v>300334.00993407</v>
      </c>
      <c r="AL38" s="100">
        <f t="shared" si="64"/>
        <v>0.001608969024</v>
      </c>
      <c r="AM38" s="100">
        <f t="shared" si="17"/>
        <v>0.06687352878</v>
      </c>
      <c r="AN38" s="104">
        <f t="shared" si="18"/>
        <v>0.5449673252</v>
      </c>
      <c r="AO38" s="97">
        <f t="shared" si="19"/>
        <v>3937.933892</v>
      </c>
    </row>
    <row r="39" ht="15.75" customHeight="1">
      <c r="A39" s="95">
        <v>20204.0</v>
      </c>
      <c r="B39" s="60" t="s">
        <v>51</v>
      </c>
      <c r="C39" s="60" t="s">
        <v>79</v>
      </c>
      <c r="D39" s="96">
        <v>0.0</v>
      </c>
      <c r="E39" s="97">
        <v>8130.75</v>
      </c>
      <c r="F39" s="98">
        <v>0.0</v>
      </c>
      <c r="G39" s="118">
        <v>4.22290885E8</v>
      </c>
      <c r="H39" s="99">
        <f t="shared" si="1"/>
        <v>954922.1553</v>
      </c>
      <c r="I39" s="100">
        <f t="shared" si="59"/>
        <v>0</v>
      </c>
      <c r="J39" s="101">
        <f t="shared" si="3"/>
        <v>0</v>
      </c>
      <c r="K39" s="102">
        <v>0.0</v>
      </c>
      <c r="L39" s="119">
        <v>3.2111817E8</v>
      </c>
      <c r="M39" s="99">
        <f t="shared" si="4"/>
        <v>870383.3219</v>
      </c>
      <c r="N39" s="100">
        <f t="shared" si="60"/>
        <v>0</v>
      </c>
      <c r="O39" s="101">
        <f t="shared" si="6"/>
        <v>0</v>
      </c>
      <c r="P39" s="98">
        <v>0.0</v>
      </c>
      <c r="Q39" s="99">
        <v>1.15475189454E11</v>
      </c>
      <c r="R39" s="99">
        <f t="shared" si="7"/>
        <v>224969.5325</v>
      </c>
      <c r="S39" s="100">
        <f t="shared" si="61"/>
        <v>0</v>
      </c>
      <c r="T39" s="101">
        <f t="shared" si="9"/>
        <v>0</v>
      </c>
      <c r="U39" s="100">
        <f t="shared" si="10"/>
        <v>0</v>
      </c>
      <c r="V39" s="99">
        <f t="shared" si="11"/>
        <v>0</v>
      </c>
      <c r="W39" s="96">
        <v>3707.0</v>
      </c>
      <c r="X39" s="97">
        <v>8679.0</v>
      </c>
      <c r="Y39" s="98">
        <v>3129.765068086728</v>
      </c>
      <c r="Z39" s="119">
        <v>6.1411406E8</v>
      </c>
      <c r="AA39" s="99">
        <v>1389217.3666199013</v>
      </c>
      <c r="AB39" s="100">
        <f t="shared" si="62"/>
        <v>0.006289059415</v>
      </c>
      <c r="AC39" s="101">
        <f t="shared" si="13"/>
        <v>1.006667883</v>
      </c>
      <c r="AD39" s="98">
        <v>417.2337452670868</v>
      </c>
      <c r="AE39" s="118">
        <v>5.29749132E8</v>
      </c>
      <c r="AF39" s="99">
        <v>1298243.3714842624</v>
      </c>
      <c r="AG39" s="100">
        <f t="shared" si="63"/>
        <v>0.006860997977</v>
      </c>
      <c r="AH39" s="101">
        <f t="shared" si="15"/>
        <v>1.026298554</v>
      </c>
      <c r="AI39" s="102">
        <v>159.8535223520432</v>
      </c>
      <c r="AJ39" s="118">
        <v>1.54159215745E11</v>
      </c>
      <c r="AK39" s="118">
        <v>300334.00993407</v>
      </c>
      <c r="AL39" s="100">
        <f t="shared" si="64"/>
        <v>0.00760791445</v>
      </c>
      <c r="AM39" s="100">
        <f t="shared" si="17"/>
        <v>0.2632694382</v>
      </c>
      <c r="AN39" s="104">
        <f t="shared" si="18"/>
        <v>2.296235875</v>
      </c>
      <c r="AO39" s="97">
        <f t="shared" si="19"/>
        <v>19929.03116</v>
      </c>
    </row>
    <row r="40" ht="15.75" customHeight="1">
      <c r="A40" s="95">
        <v>20205.0</v>
      </c>
      <c r="B40" s="60" t="s">
        <v>51</v>
      </c>
      <c r="C40" s="60" t="s">
        <v>96</v>
      </c>
      <c r="D40" s="96">
        <v>0.0</v>
      </c>
      <c r="E40" s="97">
        <v>8743.25</v>
      </c>
      <c r="F40" s="98">
        <v>0.0</v>
      </c>
      <c r="G40" s="118">
        <v>4.22290885E8</v>
      </c>
      <c r="H40" s="99">
        <f t="shared" si="1"/>
        <v>954922.1553</v>
      </c>
      <c r="I40" s="100">
        <f t="shared" si="59"/>
        <v>0</v>
      </c>
      <c r="J40" s="101">
        <f t="shared" si="3"/>
        <v>0</v>
      </c>
      <c r="K40" s="102">
        <v>0.0</v>
      </c>
      <c r="L40" s="119">
        <v>3.2111817E8</v>
      </c>
      <c r="M40" s="99">
        <f t="shared" si="4"/>
        <v>870383.3219</v>
      </c>
      <c r="N40" s="100">
        <f t="shared" si="60"/>
        <v>0</v>
      </c>
      <c r="O40" s="101">
        <f t="shared" si="6"/>
        <v>0</v>
      </c>
      <c r="P40" s="98">
        <v>0.0</v>
      </c>
      <c r="Q40" s="99">
        <v>1.15475189454E11</v>
      </c>
      <c r="R40" s="99">
        <f t="shared" si="7"/>
        <v>224969.5325</v>
      </c>
      <c r="S40" s="100">
        <f t="shared" si="61"/>
        <v>0</v>
      </c>
      <c r="T40" s="101">
        <f t="shared" si="9"/>
        <v>0</v>
      </c>
      <c r="U40" s="100">
        <f t="shared" si="10"/>
        <v>0</v>
      </c>
      <c r="V40" s="99">
        <f t="shared" si="11"/>
        <v>0</v>
      </c>
      <c r="W40" s="96">
        <v>4844.0</v>
      </c>
      <c r="X40" s="97">
        <v>9287.0</v>
      </c>
      <c r="Y40" s="98">
        <v>4318.01158664699</v>
      </c>
      <c r="Z40" s="119">
        <v>6.1411406E8</v>
      </c>
      <c r="AA40" s="99">
        <v>1389217.3666199013</v>
      </c>
      <c r="AB40" s="100">
        <f t="shared" si="62"/>
        <v>0.008676763538</v>
      </c>
      <c r="AC40" s="101">
        <f t="shared" si="13"/>
        <v>1.297933735</v>
      </c>
      <c r="AD40" s="98">
        <v>355.5571140247934</v>
      </c>
      <c r="AE40" s="118">
        <v>5.29749132E8</v>
      </c>
      <c r="AF40" s="99">
        <v>1298243.3714842624</v>
      </c>
      <c r="AG40" s="100">
        <f t="shared" si="63"/>
        <v>0.005846786526</v>
      </c>
      <c r="AH40" s="101">
        <f t="shared" si="15"/>
        <v>0.8173308767</v>
      </c>
      <c r="AI40" s="102">
        <v>170.2896504713993</v>
      </c>
      <c r="AJ40" s="118">
        <v>1.54159215745E11</v>
      </c>
      <c r="AK40" s="118">
        <v>300334.00993407</v>
      </c>
      <c r="AL40" s="100">
        <f t="shared" si="64"/>
        <v>0.008104601472</v>
      </c>
      <c r="AM40" s="100">
        <f t="shared" si="17"/>
        <v>0.2620962053</v>
      </c>
      <c r="AN40" s="104">
        <f t="shared" si="18"/>
        <v>2.377360817</v>
      </c>
      <c r="AO40" s="97">
        <f t="shared" si="19"/>
        <v>22078.5499</v>
      </c>
    </row>
    <row r="41" ht="15.75" customHeight="1">
      <c r="A41" s="95">
        <v>20206.0</v>
      </c>
      <c r="B41" s="60" t="s">
        <v>51</v>
      </c>
      <c r="C41" s="60" t="s">
        <v>80</v>
      </c>
      <c r="D41" s="96">
        <v>0.0</v>
      </c>
      <c r="E41" s="97">
        <v>4224.75</v>
      </c>
      <c r="F41" s="98">
        <v>0.0</v>
      </c>
      <c r="G41" s="118">
        <v>4.22290885E8</v>
      </c>
      <c r="H41" s="99">
        <f t="shared" si="1"/>
        <v>954922.1553</v>
      </c>
      <c r="I41" s="100">
        <f t="shared" si="59"/>
        <v>0</v>
      </c>
      <c r="J41" s="101">
        <f t="shared" si="3"/>
        <v>0</v>
      </c>
      <c r="K41" s="102">
        <v>0.0</v>
      </c>
      <c r="L41" s="119">
        <v>3.2111817E8</v>
      </c>
      <c r="M41" s="99">
        <f t="shared" si="4"/>
        <v>870383.3219</v>
      </c>
      <c r="N41" s="100">
        <f t="shared" si="60"/>
        <v>0</v>
      </c>
      <c r="O41" s="101">
        <f t="shared" si="6"/>
        <v>0</v>
      </c>
      <c r="P41" s="98">
        <v>0.0</v>
      </c>
      <c r="Q41" s="99">
        <v>1.15475189454E11</v>
      </c>
      <c r="R41" s="99">
        <f t="shared" si="7"/>
        <v>224969.5325</v>
      </c>
      <c r="S41" s="100">
        <f t="shared" si="61"/>
        <v>0</v>
      </c>
      <c r="T41" s="101">
        <f t="shared" si="9"/>
        <v>0</v>
      </c>
      <c r="U41" s="100">
        <f t="shared" si="10"/>
        <v>0</v>
      </c>
      <c r="V41" s="99">
        <f t="shared" si="11"/>
        <v>0</v>
      </c>
      <c r="W41" s="96">
        <v>3189.0</v>
      </c>
      <c r="X41" s="97">
        <v>5118.0</v>
      </c>
      <c r="Y41" s="98">
        <v>2742.159424182641</v>
      </c>
      <c r="Z41" s="119">
        <v>6.1411406E8</v>
      </c>
      <c r="AA41" s="99">
        <v>1389217.3666199013</v>
      </c>
      <c r="AB41" s="100">
        <f t="shared" si="62"/>
        <v>0.005510191075</v>
      </c>
      <c r="AC41" s="101">
        <f t="shared" si="13"/>
        <v>1.49567275</v>
      </c>
      <c r="AD41" s="98">
        <v>340.4598883208398</v>
      </c>
      <c r="AE41" s="118">
        <v>5.29749132E8</v>
      </c>
      <c r="AF41" s="99">
        <v>1298243.3714842624</v>
      </c>
      <c r="AG41" s="100">
        <f t="shared" si="63"/>
        <v>0.00559852752</v>
      </c>
      <c r="AH41" s="101">
        <f t="shared" si="15"/>
        <v>1.420135061</v>
      </c>
      <c r="AI41" s="102">
        <v>106.2776870849932</v>
      </c>
      <c r="AJ41" s="118">
        <v>1.54159215745E11</v>
      </c>
      <c r="AK41" s="118">
        <v>300334.00993407</v>
      </c>
      <c r="AL41" s="100">
        <f t="shared" si="64"/>
        <v>0.005058077791</v>
      </c>
      <c r="AM41" s="100">
        <f t="shared" si="17"/>
        <v>0.2968176604</v>
      </c>
      <c r="AN41" s="104">
        <f t="shared" si="18"/>
        <v>3.212625472</v>
      </c>
      <c r="AO41" s="97">
        <f t="shared" si="19"/>
        <v>16442.21716</v>
      </c>
    </row>
    <row r="42" ht="15.75" customHeight="1">
      <c r="A42" s="95">
        <v>20301.0</v>
      </c>
      <c r="B42" s="60" t="s">
        <v>51</v>
      </c>
      <c r="C42" s="60" t="s">
        <v>758</v>
      </c>
      <c r="D42" s="108">
        <v>1.0</v>
      </c>
      <c r="E42" s="109">
        <v>11373.0</v>
      </c>
      <c r="F42" s="110">
        <v>0.0</v>
      </c>
      <c r="G42" s="118">
        <v>4.22290885E8</v>
      </c>
      <c r="H42" s="99">
        <f t="shared" si="1"/>
        <v>954922.1553</v>
      </c>
      <c r="I42" s="100">
        <f t="shared" si="59"/>
        <v>0</v>
      </c>
      <c r="J42" s="101">
        <f t="shared" si="3"/>
        <v>0</v>
      </c>
      <c r="K42" s="111">
        <v>1.0</v>
      </c>
      <c r="L42" s="119">
        <v>3.2111817E8</v>
      </c>
      <c r="M42" s="99">
        <f t="shared" si="4"/>
        <v>870383.3219</v>
      </c>
      <c r="N42" s="100">
        <f t="shared" si="60"/>
        <v>0.00002373964005</v>
      </c>
      <c r="O42" s="101">
        <f t="shared" si="6"/>
        <v>0.001816810584</v>
      </c>
      <c r="P42" s="110">
        <v>0.0</v>
      </c>
      <c r="Q42" s="99">
        <v>1.15475189454E11</v>
      </c>
      <c r="R42" s="99">
        <f t="shared" si="7"/>
        <v>224969.5325</v>
      </c>
      <c r="S42" s="100">
        <f t="shared" si="61"/>
        <v>0</v>
      </c>
      <c r="T42" s="101">
        <f t="shared" si="9"/>
        <v>0</v>
      </c>
      <c r="U42" s="100">
        <f t="shared" si="10"/>
        <v>0.001816810584</v>
      </c>
      <c r="V42" s="99">
        <f t="shared" si="11"/>
        <v>20.66258677</v>
      </c>
      <c r="W42" s="116">
        <v>265.0</v>
      </c>
      <c r="X42" s="97">
        <v>13551.0</v>
      </c>
      <c r="Y42" s="110">
        <v>215.4937597028392</v>
      </c>
      <c r="Z42" s="119">
        <v>6.1411406E8</v>
      </c>
      <c r="AA42" s="99">
        <v>1389217.3666199013</v>
      </c>
      <c r="AB42" s="100">
        <f t="shared" si="62"/>
        <v>0.0004330206993</v>
      </c>
      <c r="AC42" s="101">
        <f t="shared" si="13"/>
        <v>0.04439228659</v>
      </c>
      <c r="AD42" s="110">
        <v>39.32457880277541</v>
      </c>
      <c r="AE42" s="118">
        <v>5.29749132E8</v>
      </c>
      <c r="AF42" s="99">
        <v>1298243.3714842624</v>
      </c>
      <c r="AG42" s="100">
        <f t="shared" si="63"/>
        <v>0.0006466539648</v>
      </c>
      <c r="AH42" s="101">
        <f t="shared" si="15"/>
        <v>0.06195219714</v>
      </c>
      <c r="AI42" s="111">
        <v>10.170416989208306</v>
      </c>
      <c r="AJ42" s="118">
        <v>1.54159215745E11</v>
      </c>
      <c r="AK42" s="118">
        <v>300334.00993407</v>
      </c>
      <c r="AL42" s="100">
        <f t="shared" si="64"/>
        <v>0.0004840410223</v>
      </c>
      <c r="AM42" s="100">
        <f t="shared" si="17"/>
        <v>0.01072791537</v>
      </c>
      <c r="AN42" s="104">
        <f t="shared" si="18"/>
        <v>0.1170723991</v>
      </c>
      <c r="AO42" s="97">
        <f t="shared" si="19"/>
        <v>1586.44808</v>
      </c>
    </row>
    <row r="43" ht="15.75" customHeight="1">
      <c r="A43" s="95">
        <v>20302.0</v>
      </c>
      <c r="B43" s="60" t="s">
        <v>51</v>
      </c>
      <c r="C43" s="60" t="s">
        <v>62</v>
      </c>
      <c r="D43" s="96">
        <v>2.0</v>
      </c>
      <c r="E43" s="97">
        <v>14907.75</v>
      </c>
      <c r="F43" s="98">
        <v>0.35759481961147</v>
      </c>
      <c r="G43" s="118">
        <v>4.22290885E8</v>
      </c>
      <c r="H43" s="99">
        <f t="shared" si="1"/>
        <v>954922.1553</v>
      </c>
      <c r="I43" s="100">
        <f t="shared" si="59"/>
        <v>0.00000110200373</v>
      </c>
      <c r="J43" s="101">
        <f t="shared" si="3"/>
        <v>0.00007058930942</v>
      </c>
      <c r="K43" s="102">
        <v>1.638556891766882</v>
      </c>
      <c r="L43" s="119">
        <v>3.2111817E8</v>
      </c>
      <c r="M43" s="99">
        <f t="shared" si="4"/>
        <v>870383.3219</v>
      </c>
      <c r="N43" s="100">
        <f t="shared" si="60"/>
        <v>0.00003889875081</v>
      </c>
      <c r="O43" s="101">
        <f t="shared" si="6"/>
        <v>0.002271088793</v>
      </c>
      <c r="P43" s="98">
        <v>0.00362627197039778</v>
      </c>
      <c r="Q43" s="99">
        <v>1.15475189454E11</v>
      </c>
      <c r="R43" s="99">
        <f t="shared" si="7"/>
        <v>224969.5325</v>
      </c>
      <c r="S43" s="100">
        <f t="shared" si="61"/>
        <v>0.0000002549538129</v>
      </c>
      <c r="T43" s="101">
        <f t="shared" si="9"/>
        <v>0.000003847451163</v>
      </c>
      <c r="U43" s="100">
        <f t="shared" si="10"/>
        <v>0.002345525553</v>
      </c>
      <c r="V43" s="99">
        <f t="shared" si="11"/>
        <v>34.96650857</v>
      </c>
      <c r="W43" s="96">
        <v>2.0</v>
      </c>
      <c r="X43" s="97">
        <v>15570.0</v>
      </c>
      <c r="Y43" s="98">
        <v>0.35759481961147</v>
      </c>
      <c r="Z43" s="119">
        <v>6.1411406E8</v>
      </c>
      <c r="AA43" s="99">
        <v>1389217.3666199013</v>
      </c>
      <c r="AB43" s="100">
        <f t="shared" si="62"/>
        <v>0.0000007185635402</v>
      </c>
      <c r="AC43" s="101">
        <f t="shared" si="13"/>
        <v>0.00006411309884</v>
      </c>
      <c r="AD43" s="98">
        <v>1.638556891766882</v>
      </c>
      <c r="AE43" s="118">
        <v>5.29749132E8</v>
      </c>
      <c r="AF43" s="99">
        <v>1298243.3714842624</v>
      </c>
      <c r="AG43" s="100">
        <f t="shared" si="63"/>
        <v>0.00002694445415</v>
      </c>
      <c r="AH43" s="101">
        <f t="shared" si="15"/>
        <v>0.002246657611</v>
      </c>
      <c r="AI43" s="102">
        <v>0.00362627197039778</v>
      </c>
      <c r="AJ43" s="118">
        <v>1.54159215745E11</v>
      </c>
      <c r="AK43" s="118">
        <v>300334.00993407</v>
      </c>
      <c r="AL43" s="100">
        <f t="shared" si="64"/>
        <v>0.0000001725852926</v>
      </c>
      <c r="AM43" s="100">
        <f t="shared" si="17"/>
        <v>0.000003329045149</v>
      </c>
      <c r="AN43" s="104">
        <f t="shared" si="18"/>
        <v>0.002314099755</v>
      </c>
      <c r="AO43" s="97">
        <f t="shared" si="19"/>
        <v>36.03053318</v>
      </c>
    </row>
    <row r="44" ht="15.75" customHeight="1">
      <c r="A44" s="95">
        <v>20303.0</v>
      </c>
      <c r="B44" s="60" t="s">
        <v>51</v>
      </c>
      <c r="C44" s="60" t="s">
        <v>60</v>
      </c>
      <c r="D44" s="96">
        <v>4.0</v>
      </c>
      <c r="E44" s="97">
        <v>10464.0</v>
      </c>
      <c r="F44" s="98">
        <v>1.536114281782539</v>
      </c>
      <c r="G44" s="118">
        <v>4.22290885E8</v>
      </c>
      <c r="H44" s="99">
        <f t="shared" si="1"/>
        <v>954922.1553</v>
      </c>
      <c r="I44" s="100">
        <f t="shared" si="59"/>
        <v>0.000004733859598</v>
      </c>
      <c r="J44" s="101">
        <f t="shared" si="3"/>
        <v>0.000432001855</v>
      </c>
      <c r="K44" s="102">
        <v>2.457835337650323</v>
      </c>
      <c r="L44" s="119">
        <v>3.2111817E8</v>
      </c>
      <c r="M44" s="99">
        <f t="shared" si="4"/>
        <v>870383.3219</v>
      </c>
      <c r="N44" s="100">
        <f t="shared" si="60"/>
        <v>0.00005834812622</v>
      </c>
      <c r="O44" s="101">
        <f t="shared" si="6"/>
        <v>0.004853329121</v>
      </c>
      <c r="P44" s="98">
        <v>0.005717355590262299</v>
      </c>
      <c r="Q44" s="99">
        <v>1.15475189454E11</v>
      </c>
      <c r="R44" s="99">
        <f t="shared" si="7"/>
        <v>224969.5325</v>
      </c>
      <c r="S44" s="100">
        <f t="shared" si="61"/>
        <v>0.0000004019724993</v>
      </c>
      <c r="T44" s="101">
        <f t="shared" si="9"/>
        <v>0.000008642160287</v>
      </c>
      <c r="U44" s="100">
        <f t="shared" si="10"/>
        <v>0.005293973136</v>
      </c>
      <c r="V44" s="99">
        <f t="shared" si="11"/>
        <v>55.3961349</v>
      </c>
      <c r="W44" s="96">
        <v>176.0</v>
      </c>
      <c r="X44" s="97">
        <v>12219.0</v>
      </c>
      <c r="Y44" s="98">
        <v>149.4604247876678</v>
      </c>
      <c r="Z44" s="119">
        <v>6.1411406E8</v>
      </c>
      <c r="AA44" s="99">
        <v>1389217.3666199013</v>
      </c>
      <c r="AB44" s="100">
        <f t="shared" si="62"/>
        <v>0.0003003310061</v>
      </c>
      <c r="AC44" s="101">
        <f t="shared" si="13"/>
        <v>0.03414559697</v>
      </c>
      <c r="AD44" s="98">
        <v>21.01057321477013</v>
      </c>
      <c r="AE44" s="118">
        <v>5.29749132E8</v>
      </c>
      <c r="AF44" s="99">
        <v>1298243.3714842624</v>
      </c>
      <c r="AG44" s="100">
        <f t="shared" si="63"/>
        <v>0.0003454981817</v>
      </c>
      <c r="AH44" s="101">
        <f t="shared" si="15"/>
        <v>0.03670846421</v>
      </c>
      <c r="AI44" s="102">
        <v>5.524276032566319</v>
      </c>
      <c r="AJ44" s="118">
        <v>1.54159215745E11</v>
      </c>
      <c r="AK44" s="118">
        <v>300334.00993407</v>
      </c>
      <c r="AL44" s="100">
        <f t="shared" si="64"/>
        <v>0.0002629170683</v>
      </c>
      <c r="AM44" s="100">
        <f t="shared" si="17"/>
        <v>0.006462307669</v>
      </c>
      <c r="AN44" s="104">
        <f t="shared" si="18"/>
        <v>0.07731636886</v>
      </c>
      <c r="AO44" s="97">
        <f t="shared" si="19"/>
        <v>944.7287111</v>
      </c>
    </row>
    <row r="45" ht="15.75" customHeight="1">
      <c r="A45" s="95">
        <v>20304.0</v>
      </c>
      <c r="B45" s="60" t="s">
        <v>51</v>
      </c>
      <c r="C45" s="60" t="s">
        <v>759</v>
      </c>
      <c r="D45" s="108"/>
      <c r="E45" s="109">
        <v>4219.5</v>
      </c>
      <c r="F45" s="110"/>
      <c r="G45" s="118">
        <v>4.22290885E8</v>
      </c>
      <c r="H45" s="99">
        <f t="shared" si="1"/>
        <v>954922.1553</v>
      </c>
      <c r="I45" s="100">
        <f t="shared" si="59"/>
        <v>0</v>
      </c>
      <c r="J45" s="101">
        <f t="shared" si="3"/>
        <v>0</v>
      </c>
      <c r="K45" s="111"/>
      <c r="L45" s="119">
        <v>3.2111817E8</v>
      </c>
      <c r="M45" s="99">
        <f t="shared" si="4"/>
        <v>870383.3219</v>
      </c>
      <c r="N45" s="100">
        <f t="shared" si="60"/>
        <v>0</v>
      </c>
      <c r="O45" s="101">
        <f t="shared" si="6"/>
        <v>0</v>
      </c>
      <c r="P45" s="110"/>
      <c r="Q45" s="99">
        <v>1.15475189454E11</v>
      </c>
      <c r="R45" s="99">
        <f t="shared" si="7"/>
        <v>224969.5325</v>
      </c>
      <c r="S45" s="100">
        <f t="shared" si="61"/>
        <v>0</v>
      </c>
      <c r="T45" s="101">
        <f t="shared" si="9"/>
        <v>0</v>
      </c>
      <c r="U45" s="100">
        <f t="shared" si="10"/>
        <v>0</v>
      </c>
      <c r="V45" s="99">
        <f t="shared" si="11"/>
        <v>0</v>
      </c>
      <c r="W45" s="108"/>
      <c r="X45" s="97">
        <v>5238.0</v>
      </c>
      <c r="Y45" s="110"/>
      <c r="Z45" s="119">
        <v>6.1411406E8</v>
      </c>
      <c r="AA45" s="99">
        <v>1389217.3666199013</v>
      </c>
      <c r="AB45" s="100">
        <f t="shared" si="62"/>
        <v>0</v>
      </c>
      <c r="AC45" s="101">
        <f t="shared" si="13"/>
        <v>0</v>
      </c>
      <c r="AD45" s="110"/>
      <c r="AE45" s="118">
        <v>5.29749132E8</v>
      </c>
      <c r="AF45" s="99">
        <v>1298243.3714842624</v>
      </c>
      <c r="AG45" s="100">
        <f t="shared" si="63"/>
        <v>0</v>
      </c>
      <c r="AH45" s="101">
        <f t="shared" si="15"/>
        <v>0</v>
      </c>
      <c r="AI45" s="111"/>
      <c r="AJ45" s="118">
        <v>1.54159215745E11</v>
      </c>
      <c r="AK45" s="118">
        <v>300334.00993407</v>
      </c>
      <c r="AL45" s="100">
        <f t="shared" si="64"/>
        <v>0</v>
      </c>
      <c r="AM45" s="100">
        <f t="shared" si="17"/>
        <v>0</v>
      </c>
      <c r="AN45" s="104">
        <f t="shared" si="18"/>
        <v>0</v>
      </c>
      <c r="AO45" s="97">
        <f t="shared" si="19"/>
        <v>0</v>
      </c>
    </row>
    <row r="46" ht="15.75" customHeight="1">
      <c r="A46" s="95">
        <v>20305.0</v>
      </c>
      <c r="B46" s="60" t="s">
        <v>51</v>
      </c>
      <c r="C46" s="60" t="s">
        <v>64</v>
      </c>
      <c r="D46" s="96">
        <v>1.0</v>
      </c>
      <c r="E46" s="97">
        <v>3489.75</v>
      </c>
      <c r="F46" s="98">
        <v>0.142974979378609</v>
      </c>
      <c r="G46" s="118">
        <v>4.22290885E8</v>
      </c>
      <c r="H46" s="99">
        <f t="shared" si="1"/>
        <v>954922.1553</v>
      </c>
      <c r="I46" s="100">
        <f t="shared" si="59"/>
        <v>0.0000004406075032</v>
      </c>
      <c r="J46" s="101">
        <f t="shared" si="3"/>
        <v>0.0001205661915</v>
      </c>
      <c r="K46" s="102">
        <v>0.852350838603245</v>
      </c>
      <c r="L46" s="119">
        <v>3.2111817E8</v>
      </c>
      <c r="M46" s="99">
        <f t="shared" si="4"/>
        <v>870383.3219</v>
      </c>
      <c r="N46" s="100">
        <f t="shared" si="60"/>
        <v>0.0000202345021</v>
      </c>
      <c r="O46" s="101">
        <f t="shared" si="6"/>
        <v>0.005046714853</v>
      </c>
      <c r="P46" s="98">
        <v>0.00467418201814682</v>
      </c>
      <c r="Q46" s="99">
        <v>1.15475189454E11</v>
      </c>
      <c r="R46" s="99">
        <f t="shared" si="7"/>
        <v>224969.5325</v>
      </c>
      <c r="S46" s="100">
        <f t="shared" si="61"/>
        <v>0.0000003286296608</v>
      </c>
      <c r="T46" s="101">
        <f t="shared" si="9"/>
        <v>0.00002118537464</v>
      </c>
      <c r="U46" s="100">
        <f t="shared" si="10"/>
        <v>0.005188466419</v>
      </c>
      <c r="V46" s="99">
        <f t="shared" si="11"/>
        <v>18.10645069</v>
      </c>
      <c r="W46" s="96">
        <v>121.0</v>
      </c>
      <c r="X46" s="97">
        <v>4221.0</v>
      </c>
      <c r="Y46" s="98">
        <v>57.32315674793787</v>
      </c>
      <c r="Z46" s="119">
        <v>6.1411406E8</v>
      </c>
      <c r="AA46" s="99">
        <v>1389217.3666199013</v>
      </c>
      <c r="AB46" s="100">
        <f t="shared" si="62"/>
        <v>0.0001151871565</v>
      </c>
      <c r="AC46" s="101">
        <f t="shared" si="13"/>
        <v>0.03791044734</v>
      </c>
      <c r="AD46" s="98">
        <v>60.75903421916388</v>
      </c>
      <c r="AE46" s="118">
        <v>5.29749132E8</v>
      </c>
      <c r="AF46" s="99">
        <v>1298243.3714842624</v>
      </c>
      <c r="AG46" s="100">
        <f t="shared" si="63"/>
        <v>0.0009991224718</v>
      </c>
      <c r="AH46" s="101">
        <f t="shared" si="15"/>
        <v>0.3072978267</v>
      </c>
      <c r="AI46" s="102">
        <v>2.914192053117459</v>
      </c>
      <c r="AJ46" s="118">
        <v>1.54159215745E11</v>
      </c>
      <c r="AK46" s="118">
        <v>300334.00993407</v>
      </c>
      <c r="AL46" s="100">
        <f t="shared" si="64"/>
        <v>0.0001386952474</v>
      </c>
      <c r="AM46" s="100">
        <f t="shared" si="17"/>
        <v>0.009868490834</v>
      </c>
      <c r="AN46" s="104">
        <f t="shared" si="18"/>
        <v>0.3550767648</v>
      </c>
      <c r="AO46" s="97">
        <f t="shared" si="19"/>
        <v>1498.779024</v>
      </c>
    </row>
    <row r="47" ht="15.75" customHeight="1">
      <c r="A47" s="95">
        <v>20306.0</v>
      </c>
      <c r="B47" s="60" t="s">
        <v>51</v>
      </c>
      <c r="C47" s="60" t="s">
        <v>760</v>
      </c>
      <c r="D47" s="108"/>
      <c r="E47" s="109">
        <v>5412.25</v>
      </c>
      <c r="F47" s="110"/>
      <c r="G47" s="118">
        <v>4.22290885E8</v>
      </c>
      <c r="H47" s="99">
        <f t="shared" si="1"/>
        <v>954922.1553</v>
      </c>
      <c r="I47" s="100">
        <f t="shared" si="59"/>
        <v>0</v>
      </c>
      <c r="J47" s="101">
        <f t="shared" si="3"/>
        <v>0</v>
      </c>
      <c r="K47" s="111"/>
      <c r="L47" s="119">
        <v>3.2111817E8</v>
      </c>
      <c r="M47" s="99">
        <f t="shared" si="4"/>
        <v>870383.3219</v>
      </c>
      <c r="N47" s="100">
        <f t="shared" si="60"/>
        <v>0</v>
      </c>
      <c r="O47" s="101">
        <f t="shared" si="6"/>
        <v>0</v>
      </c>
      <c r="P47" s="110"/>
      <c r="Q47" s="99">
        <v>1.15475189454E11</v>
      </c>
      <c r="R47" s="99">
        <f t="shared" si="7"/>
        <v>224969.5325</v>
      </c>
      <c r="S47" s="100">
        <f t="shared" si="61"/>
        <v>0</v>
      </c>
      <c r="T47" s="101">
        <f t="shared" si="9"/>
        <v>0</v>
      </c>
      <c r="U47" s="100">
        <f t="shared" si="10"/>
        <v>0</v>
      </c>
      <c r="V47" s="99">
        <f t="shared" si="11"/>
        <v>0</v>
      </c>
      <c r="W47" s="108">
        <v>284.0</v>
      </c>
      <c r="X47" s="97">
        <v>6442.0</v>
      </c>
      <c r="Y47" s="110">
        <v>268.7311423885983</v>
      </c>
      <c r="Z47" s="119">
        <v>6.1411406E8</v>
      </c>
      <c r="AA47" s="99">
        <v>1389217.3666199013</v>
      </c>
      <c r="AB47" s="100">
        <f t="shared" si="62"/>
        <v>0.0005399977585</v>
      </c>
      <c r="AC47" s="101">
        <f t="shared" si="13"/>
        <v>0.1164505222</v>
      </c>
      <c r="AD47" s="110">
        <v>10.649084076637685</v>
      </c>
      <c r="AE47" s="118">
        <v>5.29749132E8</v>
      </c>
      <c r="AF47" s="99">
        <v>1298243.3714842624</v>
      </c>
      <c r="AG47" s="100">
        <f t="shared" si="63"/>
        <v>0.0001751136986</v>
      </c>
      <c r="AH47" s="101">
        <f t="shared" si="15"/>
        <v>0.03529031333</v>
      </c>
      <c r="AI47" s="111">
        <v>4.615305352377806</v>
      </c>
      <c r="AJ47" s="118">
        <v>1.54159215745E11</v>
      </c>
      <c r="AK47" s="118">
        <v>300334.00993407</v>
      </c>
      <c r="AL47" s="100">
        <f t="shared" si="64"/>
        <v>0.000219656394</v>
      </c>
      <c r="AM47" s="100">
        <f t="shared" si="17"/>
        <v>0.01024065284</v>
      </c>
      <c r="AN47" s="104">
        <f t="shared" si="18"/>
        <v>0.1619814884</v>
      </c>
      <c r="AO47" s="97">
        <f t="shared" si="19"/>
        <v>1043.484748</v>
      </c>
    </row>
    <row r="48" ht="15.75" customHeight="1">
      <c r="A48" s="95">
        <v>20307.0</v>
      </c>
      <c r="B48" s="60" t="s">
        <v>51</v>
      </c>
      <c r="C48" s="60" t="s">
        <v>761</v>
      </c>
      <c r="D48" s="108"/>
      <c r="E48" s="109">
        <v>1469.75</v>
      </c>
      <c r="F48" s="110"/>
      <c r="G48" s="118">
        <v>4.22290885E8</v>
      </c>
      <c r="H48" s="99">
        <f t="shared" si="1"/>
        <v>954922.1553</v>
      </c>
      <c r="I48" s="100">
        <f t="shared" si="59"/>
        <v>0</v>
      </c>
      <c r="J48" s="101">
        <f t="shared" si="3"/>
        <v>0</v>
      </c>
      <c r="K48" s="111"/>
      <c r="L48" s="119">
        <v>3.2111817E8</v>
      </c>
      <c r="M48" s="99">
        <f t="shared" si="4"/>
        <v>870383.3219</v>
      </c>
      <c r="N48" s="100">
        <f t="shared" si="60"/>
        <v>0</v>
      </c>
      <c r="O48" s="101">
        <f t="shared" si="6"/>
        <v>0</v>
      </c>
      <c r="P48" s="110"/>
      <c r="Q48" s="99">
        <v>1.15475189454E11</v>
      </c>
      <c r="R48" s="99">
        <f t="shared" si="7"/>
        <v>224969.5325</v>
      </c>
      <c r="S48" s="100">
        <f t="shared" si="61"/>
        <v>0</v>
      </c>
      <c r="T48" s="101">
        <f t="shared" si="9"/>
        <v>0</v>
      </c>
      <c r="U48" s="100">
        <f t="shared" si="10"/>
        <v>0</v>
      </c>
      <c r="V48" s="99">
        <f t="shared" si="11"/>
        <v>0</v>
      </c>
      <c r="W48" s="108"/>
      <c r="X48" s="97">
        <v>4022.0</v>
      </c>
      <c r="Y48" s="110"/>
      <c r="Z48" s="119">
        <v>6.1411406E8</v>
      </c>
      <c r="AA48" s="99">
        <v>1389217.3666199013</v>
      </c>
      <c r="AB48" s="100">
        <f t="shared" si="62"/>
        <v>0</v>
      </c>
      <c r="AC48" s="101">
        <f t="shared" si="13"/>
        <v>0</v>
      </c>
      <c r="AD48" s="110"/>
      <c r="AE48" s="118">
        <v>5.29749132E8</v>
      </c>
      <c r="AF48" s="99">
        <v>1298243.3714842624</v>
      </c>
      <c r="AG48" s="100">
        <f t="shared" si="63"/>
        <v>0</v>
      </c>
      <c r="AH48" s="101">
        <f t="shared" si="15"/>
        <v>0</v>
      </c>
      <c r="AI48" s="111"/>
      <c r="AJ48" s="118">
        <v>1.54159215745E11</v>
      </c>
      <c r="AK48" s="118">
        <v>300334.00993407</v>
      </c>
      <c r="AL48" s="100">
        <f t="shared" si="64"/>
        <v>0</v>
      </c>
      <c r="AM48" s="100">
        <f t="shared" si="17"/>
        <v>0</v>
      </c>
      <c r="AN48" s="104">
        <f t="shared" si="18"/>
        <v>0</v>
      </c>
      <c r="AO48" s="97">
        <f t="shared" si="19"/>
        <v>0</v>
      </c>
    </row>
    <row r="49" ht="15.75" customHeight="1">
      <c r="A49" s="95">
        <v>20308.0</v>
      </c>
      <c r="B49" s="60" t="s">
        <v>51</v>
      </c>
      <c r="C49" s="60" t="s">
        <v>388</v>
      </c>
      <c r="D49" s="108"/>
      <c r="E49" s="109">
        <v>7476.0</v>
      </c>
      <c r="F49" s="110"/>
      <c r="G49" s="118">
        <v>4.22290885E8</v>
      </c>
      <c r="H49" s="99">
        <f t="shared" si="1"/>
        <v>954922.1553</v>
      </c>
      <c r="I49" s="100">
        <f t="shared" si="59"/>
        <v>0</v>
      </c>
      <c r="J49" s="101">
        <f t="shared" si="3"/>
        <v>0</v>
      </c>
      <c r="K49" s="111"/>
      <c r="L49" s="119">
        <v>3.2111817E8</v>
      </c>
      <c r="M49" s="99">
        <f t="shared" si="4"/>
        <v>870383.3219</v>
      </c>
      <c r="N49" s="100">
        <f t="shared" si="60"/>
        <v>0</v>
      </c>
      <c r="O49" s="101">
        <f t="shared" si="6"/>
        <v>0</v>
      </c>
      <c r="P49" s="110"/>
      <c r="Q49" s="99">
        <v>1.15475189454E11</v>
      </c>
      <c r="R49" s="99">
        <f t="shared" si="7"/>
        <v>224969.5325</v>
      </c>
      <c r="S49" s="100">
        <f t="shared" si="61"/>
        <v>0</v>
      </c>
      <c r="T49" s="101">
        <f t="shared" si="9"/>
        <v>0</v>
      </c>
      <c r="U49" s="100">
        <f t="shared" si="10"/>
        <v>0</v>
      </c>
      <c r="V49" s="99">
        <f t="shared" si="11"/>
        <v>0</v>
      </c>
      <c r="W49" s="96">
        <v>31.0</v>
      </c>
      <c r="X49" s="97">
        <v>8037.0</v>
      </c>
      <c r="Y49" s="98">
        <v>28.73862982136171</v>
      </c>
      <c r="Z49" s="119">
        <v>6.1411406E8</v>
      </c>
      <c r="AA49" s="99">
        <v>1389217.3666199013</v>
      </c>
      <c r="AB49" s="100">
        <f t="shared" si="62"/>
        <v>0.00005774840812</v>
      </c>
      <c r="AC49" s="101">
        <f t="shared" si="13"/>
        <v>0.009981969821</v>
      </c>
      <c r="AD49" s="98">
        <v>1.909841240220701</v>
      </c>
      <c r="AE49" s="118">
        <v>5.29749132E8</v>
      </c>
      <c r="AF49" s="99">
        <v>1298243.3714842624</v>
      </c>
      <c r="AG49" s="100">
        <f t="shared" si="63"/>
        <v>0.00003140545806</v>
      </c>
      <c r="AH49" s="101">
        <f t="shared" si="15"/>
        <v>0.005073028213</v>
      </c>
      <c r="AI49" s="102">
        <v>0.3510541397465072</v>
      </c>
      <c r="AJ49" s="118">
        <v>1.54159215745E11</v>
      </c>
      <c r="AK49" s="118">
        <v>300334.00993407</v>
      </c>
      <c r="AL49" s="100">
        <f t="shared" si="64"/>
        <v>0.00001670773232</v>
      </c>
      <c r="AM49" s="100">
        <f t="shared" si="17"/>
        <v>0.0006243499124</v>
      </c>
      <c r="AN49" s="104">
        <f t="shared" si="18"/>
        <v>0.01567934795</v>
      </c>
      <c r="AO49" s="97">
        <f t="shared" si="19"/>
        <v>126.0149194</v>
      </c>
    </row>
    <row r="50" ht="15.75" customHeight="1">
      <c r="A50" s="95">
        <v>20401.0</v>
      </c>
      <c r="B50" s="60" t="s">
        <v>51</v>
      </c>
      <c r="C50" s="60" t="s">
        <v>93</v>
      </c>
      <c r="D50" s="96">
        <v>8.0</v>
      </c>
      <c r="E50" s="97">
        <v>11970.5</v>
      </c>
      <c r="F50" s="98">
        <v>4.778242385595179</v>
      </c>
      <c r="G50" s="118">
        <v>4.22290885E8</v>
      </c>
      <c r="H50" s="99">
        <f t="shared" si="1"/>
        <v>954922.1553</v>
      </c>
      <c r="I50" s="100">
        <f t="shared" si="59"/>
        <v>0.00001472516</v>
      </c>
      <c r="J50" s="101">
        <f t="shared" si="3"/>
        <v>0.001174669523</v>
      </c>
      <c r="K50" s="102">
        <v>2.776433945432376</v>
      </c>
      <c r="L50" s="119">
        <v>3.2111817E8</v>
      </c>
      <c r="M50" s="99">
        <f t="shared" si="4"/>
        <v>870383.3219</v>
      </c>
      <c r="N50" s="100">
        <f t="shared" si="60"/>
        <v>0.00006591154249</v>
      </c>
      <c r="O50" s="101">
        <f t="shared" si="6"/>
        <v>0.004792473773</v>
      </c>
      <c r="P50" s="98">
        <v>0.4447049057439157</v>
      </c>
      <c r="Q50" s="99">
        <v>1.15475189454E11</v>
      </c>
      <c r="R50" s="99">
        <f t="shared" si="7"/>
        <v>224969.5325</v>
      </c>
      <c r="S50" s="100">
        <f t="shared" si="61"/>
        <v>0.00003126605292</v>
      </c>
      <c r="T50" s="101">
        <f t="shared" si="9"/>
        <v>0.0005876036345</v>
      </c>
      <c r="U50" s="100">
        <f t="shared" si="10"/>
        <v>0.006554746931</v>
      </c>
      <c r="V50" s="99">
        <f t="shared" si="11"/>
        <v>78.46359813</v>
      </c>
      <c r="W50" s="96">
        <v>2799.0</v>
      </c>
      <c r="X50" s="97">
        <v>14012.0</v>
      </c>
      <c r="Y50" s="98">
        <v>2365.090356136126</v>
      </c>
      <c r="Z50" s="119">
        <v>6.1411406E8</v>
      </c>
      <c r="AA50" s="99">
        <v>1389217.3666199013</v>
      </c>
      <c r="AB50" s="100">
        <f t="shared" si="62"/>
        <v>0.004752495299</v>
      </c>
      <c r="AC50" s="101">
        <f t="shared" si="13"/>
        <v>0.4711853414</v>
      </c>
      <c r="AD50" s="98">
        <v>335.7772633660061</v>
      </c>
      <c r="AE50" s="118">
        <v>5.29749132E8</v>
      </c>
      <c r="AF50" s="99">
        <v>1298243.3714842624</v>
      </c>
      <c r="AG50" s="100">
        <f t="shared" si="63"/>
        <v>0.005521526365</v>
      </c>
      <c r="AH50" s="101">
        <f t="shared" si="15"/>
        <v>0.5115818587</v>
      </c>
      <c r="AI50" s="102">
        <v>98.0381843364447</v>
      </c>
      <c r="AJ50" s="118">
        <v>1.54159215745E11</v>
      </c>
      <c r="AK50" s="118">
        <v>300334.00993407</v>
      </c>
      <c r="AL50" s="100">
        <f t="shared" si="64"/>
        <v>0.00466593484</v>
      </c>
      <c r="AM50" s="100">
        <f t="shared" si="17"/>
        <v>0.1000099144</v>
      </c>
      <c r="AN50" s="104">
        <f t="shared" si="18"/>
        <v>1.082777114</v>
      </c>
      <c r="AO50" s="97">
        <f t="shared" si="19"/>
        <v>15171.87293</v>
      </c>
    </row>
    <row r="51" ht="15.75" customHeight="1">
      <c r="A51" s="95">
        <v>20402.0</v>
      </c>
      <c r="B51" s="60" t="s">
        <v>51</v>
      </c>
      <c r="C51" s="60" t="s">
        <v>762</v>
      </c>
      <c r="D51" s="108">
        <v>2.0</v>
      </c>
      <c r="E51" s="109">
        <v>16201.5</v>
      </c>
      <c r="F51" s="110">
        <v>1.0</v>
      </c>
      <c r="G51" s="118">
        <v>4.22290885E8</v>
      </c>
      <c r="H51" s="99">
        <f t="shared" si="1"/>
        <v>954922.1553</v>
      </c>
      <c r="I51" s="100">
        <f t="shared" si="59"/>
        <v>0.000003081710556</v>
      </c>
      <c r="J51" s="101">
        <f t="shared" si="3"/>
        <v>0.000181637113</v>
      </c>
      <c r="K51" s="111">
        <v>1.0</v>
      </c>
      <c r="L51" s="119">
        <v>3.2111817E8</v>
      </c>
      <c r="M51" s="99">
        <f t="shared" si="4"/>
        <v>870383.3219</v>
      </c>
      <c r="N51" s="100">
        <f t="shared" si="60"/>
        <v>0.00002373964005</v>
      </c>
      <c r="O51" s="101">
        <f t="shared" si="6"/>
        <v>0.001275350231</v>
      </c>
      <c r="P51" s="110">
        <v>0.0</v>
      </c>
      <c r="Q51" s="99">
        <v>1.15475189454E11</v>
      </c>
      <c r="R51" s="99">
        <f t="shared" si="7"/>
        <v>224969.5325</v>
      </c>
      <c r="S51" s="100">
        <f t="shared" si="61"/>
        <v>0</v>
      </c>
      <c r="T51" s="101">
        <f t="shared" si="9"/>
        <v>0</v>
      </c>
      <c r="U51" s="100">
        <f t="shared" si="10"/>
        <v>0.001456987344</v>
      </c>
      <c r="V51" s="99">
        <f t="shared" si="11"/>
        <v>23.60538045</v>
      </c>
      <c r="W51" s="108">
        <v>83.0</v>
      </c>
      <c r="X51" s="97">
        <v>17811.0</v>
      </c>
      <c r="Y51" s="110">
        <v>70.36325751398059</v>
      </c>
      <c r="Z51" s="119">
        <v>6.1411406E8</v>
      </c>
      <c r="AA51" s="99">
        <v>1389217.3666199013</v>
      </c>
      <c r="AB51" s="100">
        <f t="shared" si="62"/>
        <v>0.0001413903911</v>
      </c>
      <c r="AC51" s="101">
        <f t="shared" si="13"/>
        <v>0.01102812795</v>
      </c>
      <c r="AD51" s="110">
        <v>9.724695186541311</v>
      </c>
      <c r="AE51" s="118">
        <v>5.29749132E8</v>
      </c>
      <c r="AF51" s="99">
        <v>1298243.3714842624</v>
      </c>
      <c r="AG51" s="100">
        <f t="shared" si="63"/>
        <v>0.0001599130338</v>
      </c>
      <c r="AH51" s="101">
        <f t="shared" si="15"/>
        <v>0.01165605728</v>
      </c>
      <c r="AI51" s="111">
        <v>2.9074455890665973</v>
      </c>
      <c r="AJ51" s="118">
        <v>1.54159215745E11</v>
      </c>
      <c r="AK51" s="118">
        <v>300334.00993407</v>
      </c>
      <c r="AL51" s="100">
        <f t="shared" si="64"/>
        <v>0.0001383741627</v>
      </c>
      <c r="AM51" s="100">
        <f t="shared" si="17"/>
        <v>0.002333303417</v>
      </c>
      <c r="AN51" s="104">
        <f t="shared" si="18"/>
        <v>0.02501748864</v>
      </c>
      <c r="AO51" s="97">
        <f t="shared" si="19"/>
        <v>445.5864901</v>
      </c>
    </row>
    <row r="52" ht="15.75" customHeight="1">
      <c r="A52" s="95">
        <v>20403.0</v>
      </c>
      <c r="B52" s="60" t="s">
        <v>51</v>
      </c>
      <c r="C52" s="60" t="s">
        <v>763</v>
      </c>
      <c r="D52" s="108">
        <v>0.0</v>
      </c>
      <c r="E52" s="109">
        <v>15275.75</v>
      </c>
      <c r="F52" s="110">
        <v>0.0</v>
      </c>
      <c r="G52" s="118">
        <v>4.22290885E8</v>
      </c>
      <c r="H52" s="99">
        <f t="shared" si="1"/>
        <v>954922.1553</v>
      </c>
      <c r="I52" s="100">
        <f t="shared" si="59"/>
        <v>0</v>
      </c>
      <c r="J52" s="101">
        <f t="shared" si="3"/>
        <v>0</v>
      </c>
      <c r="K52" s="111">
        <v>0.0</v>
      </c>
      <c r="L52" s="119">
        <v>3.2111817E8</v>
      </c>
      <c r="M52" s="99">
        <f t="shared" si="4"/>
        <v>870383.3219</v>
      </c>
      <c r="N52" s="100">
        <f t="shared" si="60"/>
        <v>0</v>
      </c>
      <c r="O52" s="101">
        <f t="shared" si="6"/>
        <v>0</v>
      </c>
      <c r="P52" s="110">
        <v>0.0</v>
      </c>
      <c r="Q52" s="99">
        <v>1.15475189454E11</v>
      </c>
      <c r="R52" s="99">
        <f t="shared" si="7"/>
        <v>224969.5325</v>
      </c>
      <c r="S52" s="100">
        <f t="shared" si="61"/>
        <v>0</v>
      </c>
      <c r="T52" s="101">
        <f t="shared" si="9"/>
        <v>0</v>
      </c>
      <c r="U52" s="100">
        <f t="shared" si="10"/>
        <v>0</v>
      </c>
      <c r="V52" s="99">
        <f t="shared" si="11"/>
        <v>0</v>
      </c>
      <c r="W52" s="116">
        <v>1557.0</v>
      </c>
      <c r="X52" s="97">
        <v>17336.0</v>
      </c>
      <c r="Y52" s="110">
        <v>1429.6996465827456</v>
      </c>
      <c r="Z52" s="119">
        <v>6.1411406E8</v>
      </c>
      <c r="AA52" s="99">
        <v>1389217.3666199013</v>
      </c>
      <c r="AB52" s="100">
        <f t="shared" si="62"/>
        <v>0.002872888485</v>
      </c>
      <c r="AC52" s="101">
        <f t="shared" si="13"/>
        <v>0.2302184227</v>
      </c>
      <c r="AD52" s="110">
        <v>85.17452297568732</v>
      </c>
      <c r="AE52" s="118">
        <v>5.29749132E8</v>
      </c>
      <c r="AF52" s="99">
        <v>1298243.3714842624</v>
      </c>
      <c r="AG52" s="100">
        <f t="shared" si="63"/>
        <v>0.001400611136</v>
      </c>
      <c r="AH52" s="101">
        <f t="shared" si="15"/>
        <v>0.1048877551</v>
      </c>
      <c r="AI52" s="111">
        <v>42.088577277694036</v>
      </c>
      <c r="AJ52" s="118">
        <v>1.54159215745E11</v>
      </c>
      <c r="AK52" s="118">
        <v>300334.00993407</v>
      </c>
      <c r="AL52" s="100">
        <f t="shared" si="64"/>
        <v>0.002003123175</v>
      </c>
      <c r="AM52" s="100">
        <f t="shared" si="17"/>
        <v>0.03470270048</v>
      </c>
      <c r="AN52" s="104">
        <f t="shared" si="18"/>
        <v>0.3698088783</v>
      </c>
      <c r="AO52" s="97">
        <f t="shared" si="19"/>
        <v>6411.006714</v>
      </c>
    </row>
    <row r="53" ht="15.75" customHeight="1">
      <c r="A53" s="95">
        <v>20404.0</v>
      </c>
      <c r="B53" s="60" t="s">
        <v>51</v>
      </c>
      <c r="C53" s="60" t="s">
        <v>346</v>
      </c>
      <c r="D53" s="108"/>
      <c r="E53" s="109">
        <v>5421.0</v>
      </c>
      <c r="F53" s="110"/>
      <c r="G53" s="118">
        <v>4.22290885E8</v>
      </c>
      <c r="H53" s="99">
        <f t="shared" si="1"/>
        <v>954922.1553</v>
      </c>
      <c r="I53" s="100">
        <f t="shared" si="59"/>
        <v>0</v>
      </c>
      <c r="J53" s="101">
        <f t="shared" si="3"/>
        <v>0</v>
      </c>
      <c r="K53" s="111"/>
      <c r="L53" s="119">
        <v>3.2111817E8</v>
      </c>
      <c r="M53" s="99">
        <f t="shared" si="4"/>
        <v>870383.3219</v>
      </c>
      <c r="N53" s="100">
        <f t="shared" si="60"/>
        <v>0</v>
      </c>
      <c r="O53" s="101">
        <f t="shared" si="6"/>
        <v>0</v>
      </c>
      <c r="P53" s="110"/>
      <c r="Q53" s="99">
        <v>1.15475189454E11</v>
      </c>
      <c r="R53" s="99">
        <f t="shared" si="7"/>
        <v>224969.5325</v>
      </c>
      <c r="S53" s="100">
        <f t="shared" si="61"/>
        <v>0</v>
      </c>
      <c r="T53" s="101">
        <f t="shared" si="9"/>
        <v>0</v>
      </c>
      <c r="U53" s="100">
        <f t="shared" si="10"/>
        <v>0</v>
      </c>
      <c r="V53" s="99">
        <f t="shared" si="11"/>
        <v>0</v>
      </c>
      <c r="W53" s="96">
        <v>446.0</v>
      </c>
      <c r="X53" s="97">
        <v>5658.0</v>
      </c>
      <c r="Y53" s="98">
        <v>388.589964597228</v>
      </c>
      <c r="Z53" s="119">
        <v>6.1411406E8</v>
      </c>
      <c r="AA53" s="99">
        <v>1389217.3666199013</v>
      </c>
      <c r="AB53" s="100">
        <f t="shared" si="62"/>
        <v>0.0007808462688</v>
      </c>
      <c r="AC53" s="101">
        <f t="shared" si="13"/>
        <v>0.1917223749</v>
      </c>
      <c r="AD53" s="98">
        <v>44.25314611872716</v>
      </c>
      <c r="AE53" s="118">
        <v>5.29749132E8</v>
      </c>
      <c r="AF53" s="99">
        <v>1298243.3714842624</v>
      </c>
      <c r="AG53" s="100">
        <f t="shared" si="63"/>
        <v>0.0007276993998</v>
      </c>
      <c r="AH53" s="101">
        <f t="shared" si="15"/>
        <v>0.1669725914</v>
      </c>
      <c r="AI53" s="102">
        <v>13.14413841512851</v>
      </c>
      <c r="AJ53" s="118">
        <v>1.54159215745E11</v>
      </c>
      <c r="AK53" s="118">
        <v>300334.00993407</v>
      </c>
      <c r="AL53" s="100">
        <f t="shared" si="64"/>
        <v>0.0006255694533</v>
      </c>
      <c r="AM53" s="100">
        <f t="shared" si="17"/>
        <v>0.03320604143</v>
      </c>
      <c r="AN53" s="104">
        <f t="shared" si="18"/>
        <v>0.3919010078</v>
      </c>
      <c r="AO53" s="97">
        <f t="shared" si="19"/>
        <v>2217.375902</v>
      </c>
    </row>
    <row r="54" ht="15.75" customHeight="1">
      <c r="A54" s="95">
        <v>20405.0</v>
      </c>
      <c r="B54" s="60" t="s">
        <v>51</v>
      </c>
      <c r="C54" s="60" t="s">
        <v>339</v>
      </c>
      <c r="D54" s="108"/>
      <c r="E54" s="109">
        <v>7598.75</v>
      </c>
      <c r="F54" s="110"/>
      <c r="G54" s="118">
        <v>4.22290885E8</v>
      </c>
      <c r="H54" s="99">
        <f t="shared" si="1"/>
        <v>954922.1553</v>
      </c>
      <c r="I54" s="100">
        <f t="shared" si="59"/>
        <v>0</v>
      </c>
      <c r="J54" s="101">
        <f t="shared" si="3"/>
        <v>0</v>
      </c>
      <c r="K54" s="111"/>
      <c r="L54" s="119">
        <v>3.2111817E8</v>
      </c>
      <c r="M54" s="99">
        <f t="shared" si="4"/>
        <v>870383.3219</v>
      </c>
      <c r="N54" s="100">
        <f t="shared" si="60"/>
        <v>0</v>
      </c>
      <c r="O54" s="101">
        <f t="shared" si="6"/>
        <v>0</v>
      </c>
      <c r="P54" s="110"/>
      <c r="Q54" s="99">
        <v>1.15475189454E11</v>
      </c>
      <c r="R54" s="99">
        <f t="shared" si="7"/>
        <v>224969.5325</v>
      </c>
      <c r="S54" s="100">
        <f t="shared" si="61"/>
        <v>0</v>
      </c>
      <c r="T54" s="101">
        <f t="shared" si="9"/>
        <v>0</v>
      </c>
      <c r="U54" s="100">
        <f t="shared" si="10"/>
        <v>0</v>
      </c>
      <c r="V54" s="99">
        <f t="shared" si="11"/>
        <v>0</v>
      </c>
      <c r="W54" s="96">
        <v>178.0</v>
      </c>
      <c r="X54" s="97">
        <v>8837.0</v>
      </c>
      <c r="Y54" s="98">
        <v>141.2397304251611</v>
      </c>
      <c r="Z54" s="119">
        <v>6.1411406E8</v>
      </c>
      <c r="AA54" s="99">
        <v>1389217.3666199013</v>
      </c>
      <c r="AB54" s="100">
        <f t="shared" si="62"/>
        <v>0.0002838120553</v>
      </c>
      <c r="AC54" s="101">
        <f t="shared" si="13"/>
        <v>0.04461657079</v>
      </c>
      <c r="AD54" s="98">
        <v>24.97617697079442</v>
      </c>
      <c r="AE54" s="118">
        <v>5.29749132E8</v>
      </c>
      <c r="AF54" s="99">
        <v>1298243.3714842624</v>
      </c>
      <c r="AG54" s="100">
        <f t="shared" si="63"/>
        <v>0.0004107086295</v>
      </c>
      <c r="AH54" s="101">
        <f t="shared" si="15"/>
        <v>0.06033719088</v>
      </c>
      <c r="AI54" s="102">
        <v>11.77054829066336</v>
      </c>
      <c r="AJ54" s="118">
        <v>1.54159215745E11</v>
      </c>
      <c r="AK54" s="118">
        <v>300334.00993407</v>
      </c>
      <c r="AL54" s="100">
        <f t="shared" si="64"/>
        <v>0.000560196129</v>
      </c>
      <c r="AM54" s="100">
        <f t="shared" si="17"/>
        <v>0.01903880839</v>
      </c>
      <c r="AN54" s="104">
        <f t="shared" si="18"/>
        <v>0.1239925701</v>
      </c>
      <c r="AO54" s="97">
        <f t="shared" si="19"/>
        <v>1095.722342</v>
      </c>
    </row>
    <row r="55" ht="15.75" customHeight="1">
      <c r="A55" s="95">
        <v>20501.0</v>
      </c>
      <c r="B55" s="60" t="s">
        <v>51</v>
      </c>
      <c r="C55" s="60" t="s">
        <v>66</v>
      </c>
      <c r="D55" s="96">
        <v>2.0</v>
      </c>
      <c r="E55" s="97">
        <v>13062.25</v>
      </c>
      <c r="F55" s="98">
        <v>1.849872476620714</v>
      </c>
      <c r="G55" s="118">
        <v>4.22290885E8</v>
      </c>
      <c r="H55" s="99">
        <f t="shared" si="1"/>
        <v>954922.1553</v>
      </c>
      <c r="I55" s="100">
        <f t="shared" si="59"/>
        <v>0.000005700771539</v>
      </c>
      <c r="J55" s="101">
        <f t="shared" si="3"/>
        <v>0.000416757683</v>
      </c>
      <c r="K55" s="102">
        <v>0.0702128723599326</v>
      </c>
      <c r="L55" s="119">
        <v>3.2111817E8</v>
      </c>
      <c r="M55" s="99">
        <f t="shared" si="4"/>
        <v>870383.3219</v>
      </c>
      <c r="N55" s="100">
        <f t="shared" si="60"/>
        <v>0.000001666828317</v>
      </c>
      <c r="O55" s="101">
        <f t="shared" si="6"/>
        <v>0.0001110665902</v>
      </c>
      <c r="P55" s="98">
        <v>0.079864641851006</v>
      </c>
      <c r="Q55" s="99">
        <v>1.15475189454E11</v>
      </c>
      <c r="R55" s="99">
        <f t="shared" si="7"/>
        <v>224969.5325</v>
      </c>
      <c r="S55" s="100">
        <f t="shared" si="61"/>
        <v>0.000005615076618</v>
      </c>
      <c r="T55" s="101">
        <f t="shared" si="9"/>
        <v>0.00009670777711</v>
      </c>
      <c r="U55" s="100">
        <f t="shared" si="10"/>
        <v>0.0006245320503</v>
      </c>
      <c r="V55" s="99">
        <f t="shared" si="11"/>
        <v>8.157793774</v>
      </c>
      <c r="W55" s="96">
        <v>2.0</v>
      </c>
      <c r="X55" s="97">
        <v>17830.0</v>
      </c>
      <c r="Y55" s="98">
        <v>1.849872476620714</v>
      </c>
      <c r="Z55" s="119">
        <v>6.1411406E8</v>
      </c>
      <c r="AA55" s="99">
        <v>1389217.3666199013</v>
      </c>
      <c r="AB55" s="100">
        <f t="shared" si="62"/>
        <v>0.000003717198468</v>
      </c>
      <c r="AC55" s="101">
        <f t="shared" si="13"/>
        <v>0.0002896240419</v>
      </c>
      <c r="AD55" s="98">
        <v>0.0702128723599326</v>
      </c>
      <c r="AE55" s="118">
        <v>5.29749132E8</v>
      </c>
      <c r="AF55" s="99">
        <v>1298243.3714842624</v>
      </c>
      <c r="AG55" s="100">
        <f t="shared" si="63"/>
        <v>0.000001154581528</v>
      </c>
      <c r="AH55" s="101">
        <f t="shared" si="15"/>
        <v>0.00008406774066</v>
      </c>
      <c r="AI55" s="102">
        <v>0.079864641851006</v>
      </c>
      <c r="AJ55" s="118">
        <v>1.54159215745E11</v>
      </c>
      <c r="AK55" s="118">
        <v>300334.00993407</v>
      </c>
      <c r="AL55" s="100">
        <f t="shared" si="64"/>
        <v>0.000003801000778</v>
      </c>
      <c r="AM55" s="100">
        <f t="shared" si="17"/>
        <v>0.00006402522745</v>
      </c>
      <c r="AN55" s="104">
        <f t="shared" si="18"/>
        <v>0.00043771701</v>
      </c>
      <c r="AO55" s="97">
        <f t="shared" si="19"/>
        <v>7.804494288</v>
      </c>
    </row>
    <row r="56" ht="15.75" customHeight="1">
      <c r="A56" s="95">
        <v>20502.0</v>
      </c>
      <c r="B56" s="60" t="s">
        <v>51</v>
      </c>
      <c r="C56" s="60" t="s">
        <v>57</v>
      </c>
      <c r="D56" s="96">
        <v>0.0</v>
      </c>
      <c r="E56" s="97">
        <v>8564.75</v>
      </c>
      <c r="F56" s="98">
        <v>0.0</v>
      </c>
      <c r="G56" s="118">
        <v>4.22290885E8</v>
      </c>
      <c r="H56" s="99">
        <f t="shared" si="1"/>
        <v>954922.1553</v>
      </c>
      <c r="I56" s="100">
        <f t="shared" si="59"/>
        <v>0</v>
      </c>
      <c r="J56" s="101">
        <f t="shared" si="3"/>
        <v>0</v>
      </c>
      <c r="K56" s="102">
        <v>0.0</v>
      </c>
      <c r="L56" s="119">
        <v>3.2111817E8</v>
      </c>
      <c r="M56" s="99">
        <f t="shared" si="4"/>
        <v>870383.3219</v>
      </c>
      <c r="N56" s="100">
        <f t="shared" si="60"/>
        <v>0</v>
      </c>
      <c r="O56" s="101">
        <f t="shared" si="6"/>
        <v>0</v>
      </c>
      <c r="P56" s="98">
        <v>0.0</v>
      </c>
      <c r="Q56" s="99">
        <v>1.15475189454E11</v>
      </c>
      <c r="R56" s="99">
        <f t="shared" si="7"/>
        <v>224969.5325</v>
      </c>
      <c r="S56" s="100">
        <f t="shared" si="61"/>
        <v>0</v>
      </c>
      <c r="T56" s="101">
        <f t="shared" si="9"/>
        <v>0</v>
      </c>
      <c r="U56" s="100">
        <f t="shared" si="10"/>
        <v>0</v>
      </c>
      <c r="V56" s="99">
        <f t="shared" si="11"/>
        <v>0</v>
      </c>
      <c r="W56" s="108"/>
      <c r="X56" s="97">
        <v>9029.0</v>
      </c>
      <c r="Y56" s="98">
        <v>0.0</v>
      </c>
      <c r="Z56" s="119">
        <v>6.1411406E8</v>
      </c>
      <c r="AA56" s="99">
        <v>1389217.3666199013</v>
      </c>
      <c r="AB56" s="100">
        <f t="shared" si="62"/>
        <v>0</v>
      </c>
      <c r="AC56" s="101">
        <f t="shared" si="13"/>
        <v>0</v>
      </c>
      <c r="AD56" s="98">
        <v>0.0</v>
      </c>
      <c r="AE56" s="118">
        <v>5.29749132E8</v>
      </c>
      <c r="AF56" s="99">
        <v>1298243.3714842624</v>
      </c>
      <c r="AG56" s="100">
        <f t="shared" si="63"/>
        <v>0</v>
      </c>
      <c r="AH56" s="101">
        <f t="shared" si="15"/>
        <v>0</v>
      </c>
      <c r="AI56" s="102">
        <v>0.0</v>
      </c>
      <c r="AJ56" s="118">
        <v>1.54159215745E11</v>
      </c>
      <c r="AK56" s="118">
        <v>300334.00993407</v>
      </c>
      <c r="AL56" s="100">
        <f t="shared" si="64"/>
        <v>0</v>
      </c>
      <c r="AM56" s="100">
        <f t="shared" si="17"/>
        <v>0</v>
      </c>
      <c r="AN56" s="104">
        <f t="shared" si="18"/>
        <v>0</v>
      </c>
      <c r="AO56" s="97">
        <f t="shared" si="19"/>
        <v>0</v>
      </c>
    </row>
    <row r="57" ht="15.75" customHeight="1">
      <c r="A57" s="95">
        <v>20503.0</v>
      </c>
      <c r="B57" s="60" t="s">
        <v>51</v>
      </c>
      <c r="C57" s="60" t="s">
        <v>764</v>
      </c>
      <c r="D57" s="108"/>
      <c r="E57" s="109">
        <v>5801.5</v>
      </c>
      <c r="F57" s="110"/>
      <c r="G57" s="118">
        <v>4.22290885E8</v>
      </c>
      <c r="H57" s="99">
        <f t="shared" si="1"/>
        <v>954922.1553</v>
      </c>
      <c r="I57" s="100">
        <f t="shared" si="59"/>
        <v>0</v>
      </c>
      <c r="J57" s="101">
        <f t="shared" si="3"/>
        <v>0</v>
      </c>
      <c r="K57" s="111"/>
      <c r="L57" s="119">
        <v>3.2111817E8</v>
      </c>
      <c r="M57" s="99">
        <f t="shared" si="4"/>
        <v>870383.3219</v>
      </c>
      <c r="N57" s="100">
        <f t="shared" si="60"/>
        <v>0</v>
      </c>
      <c r="O57" s="101">
        <f t="shared" si="6"/>
        <v>0</v>
      </c>
      <c r="P57" s="110"/>
      <c r="Q57" s="99">
        <v>1.15475189454E11</v>
      </c>
      <c r="R57" s="99">
        <f t="shared" si="7"/>
        <v>224969.5325</v>
      </c>
      <c r="S57" s="100">
        <f t="shared" si="61"/>
        <v>0</v>
      </c>
      <c r="T57" s="101">
        <f t="shared" si="9"/>
        <v>0</v>
      </c>
      <c r="U57" s="100">
        <f t="shared" si="10"/>
        <v>0</v>
      </c>
      <c r="V57" s="99">
        <f t="shared" si="11"/>
        <v>0</v>
      </c>
      <c r="W57" s="108"/>
      <c r="X57" s="97">
        <v>6721.0</v>
      </c>
      <c r="Y57" s="110"/>
      <c r="Z57" s="119">
        <v>6.1411406E8</v>
      </c>
      <c r="AA57" s="99">
        <v>1389217.3666199013</v>
      </c>
      <c r="AB57" s="100">
        <f t="shared" si="62"/>
        <v>0</v>
      </c>
      <c r="AC57" s="101">
        <f t="shared" si="13"/>
        <v>0</v>
      </c>
      <c r="AD57" s="110"/>
      <c r="AE57" s="118">
        <v>5.29749132E8</v>
      </c>
      <c r="AF57" s="99">
        <v>1298243.3714842624</v>
      </c>
      <c r="AG57" s="100">
        <f t="shared" si="63"/>
        <v>0</v>
      </c>
      <c r="AH57" s="101">
        <f t="shared" si="15"/>
        <v>0</v>
      </c>
      <c r="AI57" s="111"/>
      <c r="AJ57" s="118">
        <v>1.54159215745E11</v>
      </c>
      <c r="AK57" s="118">
        <v>300334.00993407</v>
      </c>
      <c r="AL57" s="100">
        <f t="shared" si="64"/>
        <v>0</v>
      </c>
      <c r="AM57" s="100">
        <f t="shared" si="17"/>
        <v>0</v>
      </c>
      <c r="AN57" s="104">
        <f t="shared" si="18"/>
        <v>0</v>
      </c>
      <c r="AO57" s="97">
        <f t="shared" si="19"/>
        <v>0</v>
      </c>
    </row>
    <row r="58" ht="15.75" customHeight="1">
      <c r="A58" s="95">
        <v>20601.0</v>
      </c>
      <c r="B58" s="60" t="s">
        <v>51</v>
      </c>
      <c r="C58" s="60" t="s">
        <v>99</v>
      </c>
      <c r="D58" s="96">
        <v>9.0</v>
      </c>
      <c r="E58" s="97">
        <v>25154.75</v>
      </c>
      <c r="F58" s="98">
        <v>5.292772589963391</v>
      </c>
      <c r="G58" s="118">
        <v>4.22290885E8</v>
      </c>
      <c r="H58" s="99">
        <f t="shared" si="1"/>
        <v>954922.1553</v>
      </c>
      <c r="I58" s="100">
        <f t="shared" si="59"/>
        <v>0.00001631079316</v>
      </c>
      <c r="J58" s="101">
        <f t="shared" si="3"/>
        <v>0.0006191887322</v>
      </c>
      <c r="K58" s="102">
        <v>3.512143138899428</v>
      </c>
      <c r="L58" s="119">
        <v>3.2111817E8</v>
      </c>
      <c r="M58" s="99">
        <f t="shared" si="4"/>
        <v>870383.3219</v>
      </c>
      <c r="N58" s="100">
        <f t="shared" si="60"/>
        <v>0.00008337701392</v>
      </c>
      <c r="O58" s="101">
        <f t="shared" si="6"/>
        <v>0.002884940711</v>
      </c>
      <c r="P58" s="98">
        <v>0.194681447877344</v>
      </c>
      <c r="Q58" s="99">
        <v>1.15475189454E11</v>
      </c>
      <c r="R58" s="99">
        <f t="shared" si="7"/>
        <v>224969.5325</v>
      </c>
      <c r="S58" s="100">
        <f t="shared" si="61"/>
        <v>0.00001368754959</v>
      </c>
      <c r="T58" s="101">
        <f t="shared" si="9"/>
        <v>0.0001224135256</v>
      </c>
      <c r="U58" s="100">
        <f t="shared" si="10"/>
        <v>0.003626542969</v>
      </c>
      <c r="V58" s="99">
        <f t="shared" si="11"/>
        <v>91.22478174</v>
      </c>
      <c r="W58" s="96">
        <v>591.0</v>
      </c>
      <c r="X58" s="97">
        <v>30083.0</v>
      </c>
      <c r="Y58" s="98">
        <v>514.3536785539717</v>
      </c>
      <c r="Z58" s="119">
        <v>6.1411406E8</v>
      </c>
      <c r="AA58" s="99">
        <v>1389217.3666199013</v>
      </c>
      <c r="AB58" s="100">
        <f t="shared" si="62"/>
        <v>0.001033560275</v>
      </c>
      <c r="AC58" s="101">
        <f t="shared" si="13"/>
        <v>0.04772927845</v>
      </c>
      <c r="AD58" s="98">
        <v>57.8767094009617</v>
      </c>
      <c r="AE58" s="118">
        <v>5.29749132E8</v>
      </c>
      <c r="AF58" s="99">
        <v>1298243.3714842624</v>
      </c>
      <c r="AG58" s="100">
        <f t="shared" si="63"/>
        <v>0.0009517254792</v>
      </c>
      <c r="AH58" s="101">
        <f t="shared" si="15"/>
        <v>0.04107207708</v>
      </c>
      <c r="AI58" s="102">
        <v>18.7453426283135</v>
      </c>
      <c r="AJ58" s="118">
        <v>1.54159215745E11</v>
      </c>
      <c r="AK58" s="118">
        <v>300334.00993407</v>
      </c>
      <c r="AL58" s="100">
        <f t="shared" si="64"/>
        <v>0.0008921477673</v>
      </c>
      <c r="AM58" s="100">
        <f t="shared" si="17"/>
        <v>0.008906768487</v>
      </c>
      <c r="AN58" s="104">
        <f t="shared" si="18"/>
        <v>0.09770812402</v>
      </c>
      <c r="AO58" s="97">
        <f t="shared" si="19"/>
        <v>2939.353495</v>
      </c>
    </row>
    <row r="59" ht="15.75" customHeight="1">
      <c r="A59" s="95">
        <v>20602.0</v>
      </c>
      <c r="B59" s="60" t="s">
        <v>51</v>
      </c>
      <c r="C59" s="60" t="s">
        <v>77</v>
      </c>
      <c r="D59" s="96">
        <v>17.0</v>
      </c>
      <c r="E59" s="97">
        <v>15187.5</v>
      </c>
      <c r="F59" s="98">
        <v>15.80463654397587</v>
      </c>
      <c r="G59" s="118">
        <v>4.22290885E8</v>
      </c>
      <c r="H59" s="99">
        <f t="shared" si="1"/>
        <v>954922.1553</v>
      </c>
      <c r="I59" s="100">
        <f t="shared" si="59"/>
        <v>0.00004870531528</v>
      </c>
      <c r="J59" s="101">
        <f t="shared" si="3"/>
        <v>0.003062372651</v>
      </c>
      <c r="K59" s="102">
        <v>0.51923646460281</v>
      </c>
      <c r="L59" s="119">
        <v>3.2111817E8</v>
      </c>
      <c r="M59" s="99">
        <f t="shared" si="4"/>
        <v>870383.3219</v>
      </c>
      <c r="N59" s="100">
        <f t="shared" si="60"/>
        <v>0.00001232648677</v>
      </c>
      <c r="O59" s="101">
        <f t="shared" si="6"/>
        <v>0.0007064209714</v>
      </c>
      <c r="P59" s="98">
        <v>0.6757421496445735</v>
      </c>
      <c r="Q59" s="99">
        <v>1.15475189454E11</v>
      </c>
      <c r="R59" s="99">
        <f t="shared" si="7"/>
        <v>224969.5325</v>
      </c>
      <c r="S59" s="100">
        <f t="shared" si="61"/>
        <v>0.00004750968459</v>
      </c>
      <c r="T59" s="101">
        <f t="shared" si="9"/>
        <v>0.0007037518703</v>
      </c>
      <c r="U59" s="100">
        <f t="shared" si="10"/>
        <v>0.004472545493</v>
      </c>
      <c r="V59" s="99">
        <f t="shared" si="11"/>
        <v>67.92678467</v>
      </c>
      <c r="W59" s="96">
        <v>671.0</v>
      </c>
      <c r="X59" s="97">
        <v>16386.0</v>
      </c>
      <c r="Y59" s="98">
        <v>578.8965626636691</v>
      </c>
      <c r="Z59" s="119">
        <v>6.1411406E8</v>
      </c>
      <c r="AA59" s="99">
        <v>1389217.3666199013</v>
      </c>
      <c r="AB59" s="100">
        <f t="shared" si="62"/>
        <v>0.001163255004</v>
      </c>
      <c r="AC59" s="101">
        <f t="shared" si="13"/>
        <v>0.09862163151</v>
      </c>
      <c r="AD59" s="98">
        <v>68.55056995432929</v>
      </c>
      <c r="AE59" s="118">
        <v>5.29749132E8</v>
      </c>
      <c r="AF59" s="99">
        <v>1298243.3714842624</v>
      </c>
      <c r="AG59" s="100">
        <f t="shared" si="63"/>
        <v>0.001127246603</v>
      </c>
      <c r="AH59" s="101">
        <f t="shared" si="15"/>
        <v>0.08931041314</v>
      </c>
      <c r="AI59" s="102">
        <v>23.53057506685852</v>
      </c>
      <c r="AJ59" s="118">
        <v>1.54159215745E11</v>
      </c>
      <c r="AK59" s="118">
        <v>300334.00993407</v>
      </c>
      <c r="AL59" s="100">
        <f t="shared" si="64"/>
        <v>0.001119891507</v>
      </c>
      <c r="AM59" s="100">
        <f t="shared" si="17"/>
        <v>0.0205261508</v>
      </c>
      <c r="AN59" s="104">
        <f t="shared" si="18"/>
        <v>0.2084581955</v>
      </c>
      <c r="AO59" s="97">
        <f t="shared" si="19"/>
        <v>3415.795991</v>
      </c>
    </row>
    <row r="60" ht="15.75" customHeight="1">
      <c r="A60" s="95">
        <v>20603.0</v>
      </c>
      <c r="B60" s="60" t="s">
        <v>51</v>
      </c>
      <c r="C60" s="60" t="s">
        <v>100</v>
      </c>
      <c r="D60" s="96">
        <v>0.0</v>
      </c>
      <c r="E60" s="97">
        <v>8576.75</v>
      </c>
      <c r="F60" s="98">
        <v>0.0</v>
      </c>
      <c r="G60" s="118">
        <v>4.22290885E8</v>
      </c>
      <c r="H60" s="99">
        <f t="shared" si="1"/>
        <v>954922.1553</v>
      </c>
      <c r="I60" s="100">
        <f t="shared" si="59"/>
        <v>0</v>
      </c>
      <c r="J60" s="101">
        <f t="shared" si="3"/>
        <v>0</v>
      </c>
      <c r="K60" s="102">
        <v>0.0</v>
      </c>
      <c r="L60" s="119">
        <v>3.2111817E8</v>
      </c>
      <c r="M60" s="99">
        <f t="shared" si="4"/>
        <v>870383.3219</v>
      </c>
      <c r="N60" s="100">
        <f t="shared" si="60"/>
        <v>0</v>
      </c>
      <c r="O60" s="101">
        <f t="shared" si="6"/>
        <v>0</v>
      </c>
      <c r="P60" s="98">
        <v>0.0</v>
      </c>
      <c r="Q60" s="99">
        <v>1.15475189454E11</v>
      </c>
      <c r="R60" s="99">
        <f t="shared" si="7"/>
        <v>224969.5325</v>
      </c>
      <c r="S60" s="100">
        <f t="shared" si="61"/>
        <v>0</v>
      </c>
      <c r="T60" s="101">
        <f t="shared" si="9"/>
        <v>0</v>
      </c>
      <c r="U60" s="100">
        <f t="shared" si="10"/>
        <v>0</v>
      </c>
      <c r="V60" s="99">
        <f t="shared" si="11"/>
        <v>0</v>
      </c>
      <c r="W60" s="108"/>
      <c r="X60" s="97">
        <v>9761.0</v>
      </c>
      <c r="Y60" s="98">
        <v>0.0</v>
      </c>
      <c r="Z60" s="119">
        <v>6.1411406E8</v>
      </c>
      <c r="AA60" s="99">
        <v>1389217.3666199013</v>
      </c>
      <c r="AB60" s="100">
        <f t="shared" si="62"/>
        <v>0</v>
      </c>
      <c r="AC60" s="101">
        <f t="shared" si="13"/>
        <v>0</v>
      </c>
      <c r="AD60" s="98">
        <v>0.0</v>
      </c>
      <c r="AE60" s="118">
        <v>5.29749132E8</v>
      </c>
      <c r="AF60" s="99">
        <v>1298243.3714842624</v>
      </c>
      <c r="AG60" s="100">
        <f t="shared" si="63"/>
        <v>0</v>
      </c>
      <c r="AH60" s="101">
        <f t="shared" si="15"/>
        <v>0</v>
      </c>
      <c r="AI60" s="102">
        <v>0.0</v>
      </c>
      <c r="AJ60" s="118">
        <v>1.54159215745E11</v>
      </c>
      <c r="AK60" s="118">
        <v>300334.00993407</v>
      </c>
      <c r="AL60" s="100">
        <f t="shared" si="64"/>
        <v>0</v>
      </c>
      <c r="AM60" s="100">
        <f t="shared" si="17"/>
        <v>0</v>
      </c>
      <c r="AN60" s="104">
        <f t="shared" si="18"/>
        <v>0</v>
      </c>
      <c r="AO60" s="97">
        <f t="shared" si="19"/>
        <v>0</v>
      </c>
    </row>
    <row r="61" ht="15.75" customHeight="1">
      <c r="A61" s="95">
        <v>20604.0</v>
      </c>
      <c r="B61" s="60" t="s">
        <v>51</v>
      </c>
      <c r="C61" s="60" t="s">
        <v>765</v>
      </c>
      <c r="D61" s="108"/>
      <c r="E61" s="109">
        <v>3069.0</v>
      </c>
      <c r="F61" s="110"/>
      <c r="G61" s="118">
        <v>4.22290885E8</v>
      </c>
      <c r="H61" s="99">
        <f t="shared" si="1"/>
        <v>954922.1553</v>
      </c>
      <c r="I61" s="100">
        <f t="shared" si="59"/>
        <v>0</v>
      </c>
      <c r="J61" s="101">
        <f t="shared" si="3"/>
        <v>0</v>
      </c>
      <c r="K61" s="111"/>
      <c r="L61" s="119">
        <v>3.2111817E8</v>
      </c>
      <c r="M61" s="99">
        <f t="shared" si="4"/>
        <v>870383.3219</v>
      </c>
      <c r="N61" s="100">
        <f t="shared" si="60"/>
        <v>0</v>
      </c>
      <c r="O61" s="101">
        <f t="shared" si="6"/>
        <v>0</v>
      </c>
      <c r="P61" s="110"/>
      <c r="Q61" s="99">
        <v>1.15475189454E11</v>
      </c>
      <c r="R61" s="99">
        <f t="shared" si="7"/>
        <v>224969.5325</v>
      </c>
      <c r="S61" s="100">
        <f t="shared" si="61"/>
        <v>0</v>
      </c>
      <c r="T61" s="101">
        <f t="shared" si="9"/>
        <v>0</v>
      </c>
      <c r="U61" s="100">
        <f t="shared" si="10"/>
        <v>0</v>
      </c>
      <c r="V61" s="99">
        <f t="shared" si="11"/>
        <v>0</v>
      </c>
      <c r="W61" s="108"/>
      <c r="X61" s="97">
        <v>4224.0</v>
      </c>
      <c r="Y61" s="110"/>
      <c r="Z61" s="119">
        <v>6.1411406E8</v>
      </c>
      <c r="AA61" s="99">
        <v>1389217.3666199013</v>
      </c>
      <c r="AB61" s="100">
        <f t="shared" si="62"/>
        <v>0</v>
      </c>
      <c r="AC61" s="101">
        <f t="shared" si="13"/>
        <v>0</v>
      </c>
      <c r="AD61" s="110"/>
      <c r="AE61" s="118">
        <v>5.29749132E8</v>
      </c>
      <c r="AF61" s="99">
        <v>1298243.3714842624</v>
      </c>
      <c r="AG61" s="100">
        <f t="shared" si="63"/>
        <v>0</v>
      </c>
      <c r="AH61" s="101">
        <f t="shared" si="15"/>
        <v>0</v>
      </c>
      <c r="AI61" s="111"/>
      <c r="AJ61" s="118">
        <v>1.54159215745E11</v>
      </c>
      <c r="AK61" s="118">
        <v>300334.00993407</v>
      </c>
      <c r="AL61" s="100">
        <f t="shared" si="64"/>
        <v>0</v>
      </c>
      <c r="AM61" s="100">
        <f t="shared" si="17"/>
        <v>0</v>
      </c>
      <c r="AN61" s="104">
        <f t="shared" si="18"/>
        <v>0</v>
      </c>
      <c r="AO61" s="97">
        <f t="shared" si="19"/>
        <v>0</v>
      </c>
    </row>
    <row r="62" ht="15.75" customHeight="1">
      <c r="A62" s="95">
        <v>20605.0</v>
      </c>
      <c r="B62" s="60" t="s">
        <v>51</v>
      </c>
      <c r="C62" s="60" t="s">
        <v>328</v>
      </c>
      <c r="D62" s="108"/>
      <c r="E62" s="109">
        <v>3680.5</v>
      </c>
      <c r="F62" s="110"/>
      <c r="G62" s="118">
        <v>4.22290885E8</v>
      </c>
      <c r="H62" s="99">
        <f t="shared" si="1"/>
        <v>954922.1553</v>
      </c>
      <c r="I62" s="100">
        <f t="shared" si="59"/>
        <v>0</v>
      </c>
      <c r="J62" s="101">
        <f t="shared" si="3"/>
        <v>0</v>
      </c>
      <c r="K62" s="111"/>
      <c r="L62" s="119">
        <v>3.2111817E8</v>
      </c>
      <c r="M62" s="99">
        <f t="shared" si="4"/>
        <v>870383.3219</v>
      </c>
      <c r="N62" s="100">
        <f t="shared" si="60"/>
        <v>0</v>
      </c>
      <c r="O62" s="101">
        <f t="shared" si="6"/>
        <v>0</v>
      </c>
      <c r="P62" s="110"/>
      <c r="Q62" s="99">
        <v>1.15475189454E11</v>
      </c>
      <c r="R62" s="99">
        <f t="shared" si="7"/>
        <v>224969.5325</v>
      </c>
      <c r="S62" s="100">
        <f t="shared" si="61"/>
        <v>0</v>
      </c>
      <c r="T62" s="101">
        <f t="shared" si="9"/>
        <v>0</v>
      </c>
      <c r="U62" s="100">
        <f t="shared" si="10"/>
        <v>0</v>
      </c>
      <c r="V62" s="99">
        <f t="shared" si="11"/>
        <v>0</v>
      </c>
      <c r="W62" s="96">
        <v>223.0</v>
      </c>
      <c r="X62" s="97">
        <v>3529.0</v>
      </c>
      <c r="Y62" s="98">
        <v>197.9275688738308</v>
      </c>
      <c r="Z62" s="119">
        <v>6.1411406E8</v>
      </c>
      <c r="AA62" s="99">
        <v>1389217.3666199013</v>
      </c>
      <c r="AB62" s="100">
        <f t="shared" si="62"/>
        <v>0.0003977225809</v>
      </c>
      <c r="AC62" s="101">
        <f t="shared" si="13"/>
        <v>0.1565664824</v>
      </c>
      <c r="AD62" s="98">
        <v>20.5132061343894</v>
      </c>
      <c r="AE62" s="118">
        <v>5.29749132E8</v>
      </c>
      <c r="AF62" s="99">
        <v>1298243.3714842624</v>
      </c>
      <c r="AG62" s="100">
        <f t="shared" si="63"/>
        <v>0.0003373194699</v>
      </c>
      <c r="AH62" s="101">
        <f t="shared" si="15"/>
        <v>0.1240925945</v>
      </c>
      <c r="AI62" s="102">
        <v>4.554994700533556</v>
      </c>
      <c r="AJ62" s="118">
        <v>1.54159215745E11</v>
      </c>
      <c r="AK62" s="118">
        <v>300334.00993407</v>
      </c>
      <c r="AL62" s="100">
        <f t="shared" si="64"/>
        <v>0.0002167860269</v>
      </c>
      <c r="AM62" s="100">
        <f t="shared" si="17"/>
        <v>0.01844948052</v>
      </c>
      <c r="AN62" s="104">
        <f t="shared" si="18"/>
        <v>0.2991085574</v>
      </c>
      <c r="AO62" s="97">
        <f t="shared" si="19"/>
        <v>1055.554099</v>
      </c>
    </row>
    <row r="63" ht="15.75" customHeight="1">
      <c r="A63" s="95">
        <v>20606.0</v>
      </c>
      <c r="B63" s="60" t="s">
        <v>51</v>
      </c>
      <c r="C63" s="60" t="s">
        <v>766</v>
      </c>
      <c r="D63" s="108"/>
      <c r="E63" s="109">
        <v>9417.75</v>
      </c>
      <c r="F63" s="110"/>
      <c r="G63" s="118">
        <v>4.22290885E8</v>
      </c>
      <c r="H63" s="99">
        <f t="shared" si="1"/>
        <v>954922.1553</v>
      </c>
      <c r="I63" s="100">
        <f t="shared" si="59"/>
        <v>0</v>
      </c>
      <c r="J63" s="101">
        <f t="shared" si="3"/>
        <v>0</v>
      </c>
      <c r="K63" s="111"/>
      <c r="L63" s="119">
        <v>3.2111817E8</v>
      </c>
      <c r="M63" s="99">
        <f t="shared" si="4"/>
        <v>870383.3219</v>
      </c>
      <c r="N63" s="100">
        <f t="shared" si="60"/>
        <v>0</v>
      </c>
      <c r="O63" s="101">
        <f t="shared" si="6"/>
        <v>0</v>
      </c>
      <c r="P63" s="110"/>
      <c r="Q63" s="99">
        <v>1.15475189454E11</v>
      </c>
      <c r="R63" s="99">
        <f t="shared" si="7"/>
        <v>224969.5325</v>
      </c>
      <c r="S63" s="100">
        <f t="shared" si="61"/>
        <v>0</v>
      </c>
      <c r="T63" s="101">
        <f t="shared" si="9"/>
        <v>0</v>
      </c>
      <c r="U63" s="100">
        <f t="shared" si="10"/>
        <v>0</v>
      </c>
      <c r="V63" s="99">
        <f t="shared" si="11"/>
        <v>0</v>
      </c>
      <c r="W63" s="108"/>
      <c r="X63" s="97">
        <v>7716.0</v>
      </c>
      <c r="Y63" s="110"/>
      <c r="Z63" s="119">
        <v>6.1411406E8</v>
      </c>
      <c r="AA63" s="99">
        <v>1389217.3666199013</v>
      </c>
      <c r="AB63" s="100">
        <f t="shared" si="62"/>
        <v>0</v>
      </c>
      <c r="AC63" s="101">
        <f t="shared" si="13"/>
        <v>0</v>
      </c>
      <c r="AD63" s="110"/>
      <c r="AE63" s="118">
        <v>5.29749132E8</v>
      </c>
      <c r="AF63" s="99">
        <v>1298243.3714842624</v>
      </c>
      <c r="AG63" s="100">
        <f t="shared" si="63"/>
        <v>0</v>
      </c>
      <c r="AH63" s="101">
        <f t="shared" si="15"/>
        <v>0</v>
      </c>
      <c r="AI63" s="111"/>
      <c r="AJ63" s="118">
        <v>1.54159215745E11</v>
      </c>
      <c r="AK63" s="118">
        <v>300334.00993407</v>
      </c>
      <c r="AL63" s="100">
        <f t="shared" si="64"/>
        <v>0</v>
      </c>
      <c r="AM63" s="100">
        <f t="shared" si="17"/>
        <v>0</v>
      </c>
      <c r="AN63" s="104">
        <f t="shared" si="18"/>
        <v>0</v>
      </c>
      <c r="AO63" s="97">
        <f t="shared" si="19"/>
        <v>0</v>
      </c>
    </row>
    <row r="64" ht="15.75" customHeight="1">
      <c r="A64" s="95">
        <v>20607.0</v>
      </c>
      <c r="B64" s="60" t="s">
        <v>51</v>
      </c>
      <c r="C64" s="60" t="s">
        <v>767</v>
      </c>
      <c r="D64" s="108"/>
      <c r="E64" s="109">
        <v>15879.0</v>
      </c>
      <c r="F64" s="110"/>
      <c r="G64" s="118">
        <v>4.22290885E8</v>
      </c>
      <c r="H64" s="99">
        <f t="shared" si="1"/>
        <v>954922.1553</v>
      </c>
      <c r="I64" s="100">
        <f t="shared" si="59"/>
        <v>0</v>
      </c>
      <c r="J64" s="101">
        <f t="shared" si="3"/>
        <v>0</v>
      </c>
      <c r="K64" s="111"/>
      <c r="L64" s="119">
        <v>3.2111817E8</v>
      </c>
      <c r="M64" s="99">
        <f t="shared" si="4"/>
        <v>870383.3219</v>
      </c>
      <c r="N64" s="100">
        <f t="shared" si="60"/>
        <v>0</v>
      </c>
      <c r="O64" s="101">
        <f t="shared" si="6"/>
        <v>0</v>
      </c>
      <c r="P64" s="110"/>
      <c r="Q64" s="99">
        <v>1.15475189454E11</v>
      </c>
      <c r="R64" s="99">
        <f t="shared" si="7"/>
        <v>224969.5325</v>
      </c>
      <c r="S64" s="100">
        <f t="shared" si="61"/>
        <v>0</v>
      </c>
      <c r="T64" s="101">
        <f t="shared" si="9"/>
        <v>0</v>
      </c>
      <c r="U64" s="100">
        <f t="shared" si="10"/>
        <v>0</v>
      </c>
      <c r="V64" s="99">
        <f t="shared" si="11"/>
        <v>0</v>
      </c>
      <c r="W64" s="108"/>
      <c r="X64" s="97">
        <v>21843.0</v>
      </c>
      <c r="Y64" s="110"/>
      <c r="Z64" s="119">
        <v>6.1411406E8</v>
      </c>
      <c r="AA64" s="99">
        <v>1389217.3666199013</v>
      </c>
      <c r="AB64" s="100">
        <f t="shared" si="62"/>
        <v>0</v>
      </c>
      <c r="AC64" s="101">
        <f t="shared" si="13"/>
        <v>0</v>
      </c>
      <c r="AD64" s="110"/>
      <c r="AE64" s="118">
        <v>5.29749132E8</v>
      </c>
      <c r="AF64" s="99">
        <v>1298243.3714842624</v>
      </c>
      <c r="AG64" s="100">
        <f t="shared" si="63"/>
        <v>0</v>
      </c>
      <c r="AH64" s="101">
        <f t="shared" si="15"/>
        <v>0</v>
      </c>
      <c r="AI64" s="111"/>
      <c r="AJ64" s="118">
        <v>1.54159215745E11</v>
      </c>
      <c r="AK64" s="118">
        <v>300334.00993407</v>
      </c>
      <c r="AL64" s="100">
        <f t="shared" si="64"/>
        <v>0</v>
      </c>
      <c r="AM64" s="100">
        <f t="shared" si="17"/>
        <v>0</v>
      </c>
      <c r="AN64" s="104">
        <f t="shared" si="18"/>
        <v>0</v>
      </c>
      <c r="AO64" s="97">
        <f t="shared" si="19"/>
        <v>0</v>
      </c>
    </row>
    <row r="65" ht="15.75" customHeight="1">
      <c r="A65" s="95">
        <v>20608.0</v>
      </c>
      <c r="B65" s="60" t="s">
        <v>51</v>
      </c>
      <c r="C65" s="60" t="s">
        <v>768</v>
      </c>
      <c r="D65" s="108"/>
      <c r="E65" s="109">
        <v>10356.5</v>
      </c>
      <c r="F65" s="110"/>
      <c r="G65" s="118">
        <v>4.22290885E8</v>
      </c>
      <c r="H65" s="99">
        <f t="shared" si="1"/>
        <v>954922.1553</v>
      </c>
      <c r="I65" s="100">
        <f t="shared" si="59"/>
        <v>0</v>
      </c>
      <c r="J65" s="101">
        <f t="shared" si="3"/>
        <v>0</v>
      </c>
      <c r="K65" s="111"/>
      <c r="L65" s="119">
        <v>3.2111817E8</v>
      </c>
      <c r="M65" s="99">
        <f t="shared" si="4"/>
        <v>870383.3219</v>
      </c>
      <c r="N65" s="100">
        <f t="shared" si="60"/>
        <v>0</v>
      </c>
      <c r="O65" s="101">
        <f t="shared" si="6"/>
        <v>0</v>
      </c>
      <c r="P65" s="110"/>
      <c r="Q65" s="99">
        <v>1.15475189454E11</v>
      </c>
      <c r="R65" s="99">
        <f t="shared" si="7"/>
        <v>224969.5325</v>
      </c>
      <c r="S65" s="100">
        <f t="shared" si="61"/>
        <v>0</v>
      </c>
      <c r="T65" s="101">
        <f t="shared" si="9"/>
        <v>0</v>
      </c>
      <c r="U65" s="100">
        <f t="shared" si="10"/>
        <v>0</v>
      </c>
      <c r="V65" s="99">
        <f t="shared" si="11"/>
        <v>0</v>
      </c>
      <c r="W65" s="108"/>
      <c r="X65" s="97">
        <v>13379.0</v>
      </c>
      <c r="Y65" s="110"/>
      <c r="Z65" s="119">
        <v>6.1411406E8</v>
      </c>
      <c r="AA65" s="99">
        <v>1389217.3666199013</v>
      </c>
      <c r="AB65" s="100">
        <f t="shared" si="62"/>
        <v>0</v>
      </c>
      <c r="AC65" s="101">
        <f t="shared" si="13"/>
        <v>0</v>
      </c>
      <c r="AD65" s="110"/>
      <c r="AE65" s="118">
        <v>5.29749132E8</v>
      </c>
      <c r="AF65" s="99">
        <v>1298243.3714842624</v>
      </c>
      <c r="AG65" s="100">
        <f t="shared" si="63"/>
        <v>0</v>
      </c>
      <c r="AH65" s="101">
        <f t="shared" si="15"/>
        <v>0</v>
      </c>
      <c r="AI65" s="111"/>
      <c r="AJ65" s="118">
        <v>1.54159215745E11</v>
      </c>
      <c r="AK65" s="118">
        <v>300334.00993407</v>
      </c>
      <c r="AL65" s="100">
        <f t="shared" si="64"/>
        <v>0</v>
      </c>
      <c r="AM65" s="100">
        <f t="shared" si="17"/>
        <v>0</v>
      </c>
      <c r="AN65" s="104">
        <f t="shared" si="18"/>
        <v>0</v>
      </c>
      <c r="AO65" s="97">
        <f t="shared" si="19"/>
        <v>0</v>
      </c>
    </row>
    <row r="66" ht="15.75" customHeight="1">
      <c r="A66" s="95">
        <v>20701.0</v>
      </c>
      <c r="B66" s="60" t="s">
        <v>51</v>
      </c>
      <c r="C66" s="60" t="s">
        <v>299</v>
      </c>
      <c r="D66" s="108"/>
      <c r="E66" s="109">
        <v>20020.0</v>
      </c>
      <c r="F66" s="110"/>
      <c r="G66" s="118">
        <v>4.22290885E8</v>
      </c>
      <c r="H66" s="99">
        <f t="shared" si="1"/>
        <v>954922.1553</v>
      </c>
      <c r="I66" s="100">
        <f t="shared" si="59"/>
        <v>0</v>
      </c>
      <c r="J66" s="101">
        <f t="shared" si="3"/>
        <v>0</v>
      </c>
      <c r="K66" s="111"/>
      <c r="L66" s="119">
        <v>3.2111817E8</v>
      </c>
      <c r="M66" s="99">
        <f t="shared" si="4"/>
        <v>870383.3219</v>
      </c>
      <c r="N66" s="100">
        <f t="shared" si="60"/>
        <v>0</v>
      </c>
      <c r="O66" s="101">
        <f t="shared" si="6"/>
        <v>0</v>
      </c>
      <c r="P66" s="110"/>
      <c r="Q66" s="99">
        <v>1.15475189454E11</v>
      </c>
      <c r="R66" s="99">
        <f t="shared" si="7"/>
        <v>224969.5325</v>
      </c>
      <c r="S66" s="100">
        <f t="shared" si="61"/>
        <v>0</v>
      </c>
      <c r="T66" s="101">
        <f t="shared" si="9"/>
        <v>0</v>
      </c>
      <c r="U66" s="100">
        <f t="shared" si="10"/>
        <v>0</v>
      </c>
      <c r="V66" s="99">
        <f t="shared" si="11"/>
        <v>0</v>
      </c>
      <c r="W66" s="96">
        <v>34.0</v>
      </c>
      <c r="X66" s="97">
        <v>19156.0</v>
      </c>
      <c r="Y66" s="98">
        <v>31.0035007062552</v>
      </c>
      <c r="Z66" s="119">
        <v>6.1411406E8</v>
      </c>
      <c r="AA66" s="99">
        <v>1389217.3666199013</v>
      </c>
      <c r="AB66" s="100">
        <f t="shared" si="62"/>
        <v>0.00006229951891</v>
      </c>
      <c r="AC66" s="101">
        <f t="shared" si="13"/>
        <v>0.004518039966</v>
      </c>
      <c r="AD66" s="98">
        <v>2.23237177127136</v>
      </c>
      <c r="AE66" s="118">
        <v>5.29749132E8</v>
      </c>
      <c r="AF66" s="99">
        <v>1298243.3714842624</v>
      </c>
      <c r="AG66" s="100">
        <f t="shared" si="63"/>
        <v>0.00003670915495</v>
      </c>
      <c r="AH66" s="101">
        <f t="shared" si="15"/>
        <v>0.002487858483</v>
      </c>
      <c r="AI66" s="102">
        <v>0.7631272937704912</v>
      </c>
      <c r="AJ66" s="118">
        <v>1.54159215745E11</v>
      </c>
      <c r="AK66" s="118">
        <v>300334.00993407</v>
      </c>
      <c r="AL66" s="100">
        <f t="shared" si="64"/>
        <v>0.00003631954479</v>
      </c>
      <c r="AM66" s="100">
        <f t="shared" si="17"/>
        <v>0.0005694296579</v>
      </c>
      <c r="AN66" s="104">
        <f t="shared" si="18"/>
        <v>0.007575328107</v>
      </c>
      <c r="AO66" s="97">
        <f t="shared" si="19"/>
        <v>145.1129852</v>
      </c>
    </row>
    <row r="67" ht="15.75" customHeight="1">
      <c r="A67" s="95">
        <v>20702.0</v>
      </c>
      <c r="B67" s="60" t="s">
        <v>51</v>
      </c>
      <c r="C67" s="60" t="s">
        <v>373</v>
      </c>
      <c r="D67" s="108"/>
      <c r="E67" s="109">
        <v>7350.0</v>
      </c>
      <c r="F67" s="110"/>
      <c r="G67" s="118">
        <v>4.22290885E8</v>
      </c>
      <c r="H67" s="99">
        <f t="shared" si="1"/>
        <v>954922.1553</v>
      </c>
      <c r="I67" s="100">
        <f t="shared" si="59"/>
        <v>0</v>
      </c>
      <c r="J67" s="101">
        <f t="shared" si="3"/>
        <v>0</v>
      </c>
      <c r="K67" s="111"/>
      <c r="L67" s="119">
        <v>3.2111817E8</v>
      </c>
      <c r="M67" s="99">
        <f t="shared" si="4"/>
        <v>870383.3219</v>
      </c>
      <c r="N67" s="100">
        <f t="shared" si="60"/>
        <v>0</v>
      </c>
      <c r="O67" s="101">
        <f t="shared" si="6"/>
        <v>0</v>
      </c>
      <c r="P67" s="110"/>
      <c r="Q67" s="99">
        <v>1.15475189454E11</v>
      </c>
      <c r="R67" s="99">
        <f t="shared" si="7"/>
        <v>224969.5325</v>
      </c>
      <c r="S67" s="100">
        <f t="shared" si="61"/>
        <v>0</v>
      </c>
      <c r="T67" s="101">
        <f t="shared" si="9"/>
        <v>0</v>
      </c>
      <c r="U67" s="100">
        <f t="shared" si="10"/>
        <v>0</v>
      </c>
      <c r="V67" s="99">
        <f t="shared" si="11"/>
        <v>0</v>
      </c>
      <c r="W67" s="96">
        <v>123.0</v>
      </c>
      <c r="X67" s="97">
        <v>9060.0</v>
      </c>
      <c r="Y67" s="98">
        <v>80.88358986558353</v>
      </c>
      <c r="Z67" s="119">
        <v>6.1411406E8</v>
      </c>
      <c r="AA67" s="99">
        <v>1389217.3666199013</v>
      </c>
      <c r="AB67" s="100">
        <f t="shared" si="62"/>
        <v>0.000162530315</v>
      </c>
      <c r="AC67" s="101">
        <f t="shared" si="13"/>
        <v>0.02492162651</v>
      </c>
      <c r="AD67" s="98">
        <v>38.71619253339725</v>
      </c>
      <c r="AE67" s="118">
        <v>5.29749132E8</v>
      </c>
      <c r="AF67" s="99">
        <v>1298243.3714842624</v>
      </c>
      <c r="AG67" s="100">
        <f t="shared" si="63"/>
        <v>0.0006366496518</v>
      </c>
      <c r="AH67" s="101">
        <f t="shared" si="15"/>
        <v>0.09122805634</v>
      </c>
      <c r="AI67" s="102">
        <v>3.394449496274449</v>
      </c>
      <c r="AJ67" s="118">
        <v>1.54159215745E11</v>
      </c>
      <c r="AK67" s="118">
        <v>300334.00993407</v>
      </c>
      <c r="AL67" s="100">
        <f t="shared" si="64"/>
        <v>0.0001615521572</v>
      </c>
      <c r="AM67" s="100">
        <f t="shared" si="17"/>
        <v>0.005355365032</v>
      </c>
      <c r="AN67" s="104">
        <f t="shared" si="18"/>
        <v>0.1215050479</v>
      </c>
      <c r="AO67" s="97">
        <f t="shared" si="19"/>
        <v>1100.835734</v>
      </c>
    </row>
    <row r="68" ht="15.75" customHeight="1">
      <c r="A68" s="95">
        <v>20801.0</v>
      </c>
      <c r="B68" s="60" t="s">
        <v>51</v>
      </c>
      <c r="C68" s="60" t="s">
        <v>104</v>
      </c>
      <c r="D68" s="96">
        <v>9018.0</v>
      </c>
      <c r="E68" s="97">
        <v>88931.5</v>
      </c>
      <c r="F68" s="98">
        <v>7596.560175552343</v>
      </c>
      <c r="G68" s="118">
        <v>4.22290885E8</v>
      </c>
      <c r="H68" s="99">
        <f t="shared" si="1"/>
        <v>954922.1553</v>
      </c>
      <c r="I68" s="100">
        <f t="shared" si="59"/>
        <v>0.02341039968</v>
      </c>
      <c r="J68" s="101">
        <f t="shared" si="3"/>
        <v>0.2513744773</v>
      </c>
      <c r="K68" s="102">
        <v>1070.075797141741</v>
      </c>
      <c r="L68" s="119">
        <v>3.2111817E8</v>
      </c>
      <c r="M68" s="99">
        <f t="shared" si="4"/>
        <v>870383.3219</v>
      </c>
      <c r="N68" s="100">
        <f t="shared" si="60"/>
        <v>0.02540321425</v>
      </c>
      <c r="O68" s="101">
        <f t="shared" si="6"/>
        <v>0.2486243233</v>
      </c>
      <c r="P68" s="98">
        <v>351.0290280431129</v>
      </c>
      <c r="Q68" s="99">
        <v>1.15475189454E11</v>
      </c>
      <c r="R68" s="99">
        <f t="shared" si="7"/>
        <v>224969.5325</v>
      </c>
      <c r="S68" s="100">
        <f t="shared" si="61"/>
        <v>0.02467994399</v>
      </c>
      <c r="T68" s="101">
        <f t="shared" si="9"/>
        <v>0.06243272025</v>
      </c>
      <c r="U68" s="100">
        <f t="shared" si="10"/>
        <v>0.5624315208</v>
      </c>
      <c r="V68" s="99">
        <f t="shared" si="11"/>
        <v>50017.87879</v>
      </c>
      <c r="W68" s="96">
        <v>16073.0</v>
      </c>
      <c r="X68" s="97">
        <v>113554.0</v>
      </c>
      <c r="Y68" s="98">
        <v>13273.64476936586</v>
      </c>
      <c r="Z68" s="119">
        <v>6.1411406E8</v>
      </c>
      <c r="AA68" s="99">
        <v>1389217.3666199013</v>
      </c>
      <c r="AB68" s="100">
        <f t="shared" si="62"/>
        <v>0.02667252615</v>
      </c>
      <c r="AC68" s="101">
        <f t="shared" si="13"/>
        <v>0.3263111518</v>
      </c>
      <c r="AD68" s="98">
        <v>2199.889076615625</v>
      </c>
      <c r="AE68" s="118">
        <v>5.29749132E8</v>
      </c>
      <c r="AF68" s="99">
        <v>1298243.3714842624</v>
      </c>
      <c r="AG68" s="100">
        <f t="shared" si="63"/>
        <v>0.03617500904</v>
      </c>
      <c r="AH68" s="101">
        <f t="shared" si="15"/>
        <v>0.4135826628</v>
      </c>
      <c r="AI68" s="102">
        <v>598.8527065508689</v>
      </c>
      <c r="AJ68" s="118">
        <v>1.54159215745E11</v>
      </c>
      <c r="AK68" s="118">
        <v>300334.00993407</v>
      </c>
      <c r="AL68" s="100">
        <f t="shared" si="64"/>
        <v>0.02850121844</v>
      </c>
      <c r="AM68" s="100">
        <f t="shared" si="17"/>
        <v>0.07538162657</v>
      </c>
      <c r="AN68" s="104">
        <f t="shared" si="18"/>
        <v>0.8152754412</v>
      </c>
      <c r="AO68" s="97">
        <f t="shared" si="19"/>
        <v>92577.78745</v>
      </c>
    </row>
    <row r="69" ht="15.75" customHeight="1">
      <c r="A69" s="95">
        <v>20802.0</v>
      </c>
      <c r="B69" s="60" t="s">
        <v>51</v>
      </c>
      <c r="C69" s="60" t="s">
        <v>769</v>
      </c>
      <c r="D69" s="108">
        <v>3.0</v>
      </c>
      <c r="E69" s="109">
        <v>7606.5</v>
      </c>
      <c r="F69" s="110">
        <v>1.0</v>
      </c>
      <c r="G69" s="118">
        <v>4.22290885E8</v>
      </c>
      <c r="H69" s="99">
        <f t="shared" si="1"/>
        <v>954922.1553</v>
      </c>
      <c r="I69" s="100">
        <f t="shared" si="59"/>
        <v>0.000003081710556</v>
      </c>
      <c r="J69" s="101">
        <f t="shared" si="3"/>
        <v>0.0003868788124</v>
      </c>
      <c r="K69" s="111">
        <v>2.0</v>
      </c>
      <c r="L69" s="119">
        <v>3.2111817E8</v>
      </c>
      <c r="M69" s="99">
        <f t="shared" si="4"/>
        <v>870383.3219</v>
      </c>
      <c r="N69" s="100">
        <f t="shared" si="60"/>
        <v>0.0000474792801</v>
      </c>
      <c r="O69" s="101">
        <f t="shared" si="6"/>
        <v>0.005432876295</v>
      </c>
      <c r="P69" s="110">
        <v>0.0</v>
      </c>
      <c r="Q69" s="99">
        <v>1.15475189454E11</v>
      </c>
      <c r="R69" s="99">
        <f t="shared" si="7"/>
        <v>224969.5325</v>
      </c>
      <c r="S69" s="100">
        <f t="shared" si="61"/>
        <v>0</v>
      </c>
      <c r="T69" s="101">
        <f t="shared" si="9"/>
        <v>0</v>
      </c>
      <c r="U69" s="100">
        <f t="shared" si="10"/>
        <v>0.005819755107</v>
      </c>
      <c r="V69" s="99">
        <f t="shared" si="11"/>
        <v>44.26796722</v>
      </c>
      <c r="W69" s="116">
        <v>1638.0</v>
      </c>
      <c r="X69" s="97">
        <v>8592.0</v>
      </c>
      <c r="Y69" s="110">
        <v>1458.2445372183752</v>
      </c>
      <c r="Z69" s="119">
        <v>6.1411406E8</v>
      </c>
      <c r="AA69" s="99">
        <v>1389217.3666199013</v>
      </c>
      <c r="AB69" s="100">
        <f t="shared" si="62"/>
        <v>0.002930247586</v>
      </c>
      <c r="AC69" s="101">
        <f t="shared" si="13"/>
        <v>0.4737838496</v>
      </c>
      <c r="AD69" s="110">
        <v>121.83641000942183</v>
      </c>
      <c r="AE69" s="118">
        <v>5.29749132E8</v>
      </c>
      <c r="AF69" s="99">
        <v>1298243.3714842624</v>
      </c>
      <c r="AG69" s="100">
        <f t="shared" si="63"/>
        <v>0.002003479757</v>
      </c>
      <c r="AH69" s="101">
        <f t="shared" si="15"/>
        <v>0.3027239659</v>
      </c>
      <c r="AI69" s="111">
        <v>57.868200305062885</v>
      </c>
      <c r="AJ69" s="118">
        <v>1.54159215745E11</v>
      </c>
      <c r="AK69" s="118">
        <v>300334.00993407</v>
      </c>
      <c r="AL69" s="100">
        <f t="shared" si="64"/>
        <v>0.002754123343</v>
      </c>
      <c r="AM69" s="100">
        <f t="shared" si="17"/>
        <v>0.09627058977</v>
      </c>
      <c r="AN69" s="104">
        <f t="shared" si="18"/>
        <v>0.8727784052</v>
      </c>
      <c r="AO69" s="97">
        <f t="shared" si="19"/>
        <v>7498.912058</v>
      </c>
    </row>
    <row r="70" ht="15.75" customHeight="1">
      <c r="A70" s="95">
        <v>20803.0</v>
      </c>
      <c r="B70" s="60" t="s">
        <v>51</v>
      </c>
      <c r="C70" s="60" t="s">
        <v>770</v>
      </c>
      <c r="D70" s="108">
        <v>1.0</v>
      </c>
      <c r="E70" s="109">
        <v>12553.75</v>
      </c>
      <c r="F70" s="110">
        <v>1.0</v>
      </c>
      <c r="G70" s="118">
        <v>4.22290885E8</v>
      </c>
      <c r="H70" s="99">
        <f t="shared" si="1"/>
        <v>954922.1553</v>
      </c>
      <c r="I70" s="100">
        <f t="shared" si="59"/>
        <v>0.000003081710556</v>
      </c>
      <c r="J70" s="101">
        <f t="shared" si="3"/>
        <v>0.0002344155082</v>
      </c>
      <c r="K70" s="111">
        <v>0.0</v>
      </c>
      <c r="L70" s="119">
        <v>3.2111817E8</v>
      </c>
      <c r="M70" s="99">
        <f t="shared" si="4"/>
        <v>870383.3219</v>
      </c>
      <c r="N70" s="100">
        <f t="shared" si="60"/>
        <v>0</v>
      </c>
      <c r="O70" s="101">
        <f t="shared" si="6"/>
        <v>0</v>
      </c>
      <c r="P70" s="110">
        <v>0.0</v>
      </c>
      <c r="Q70" s="99">
        <v>1.15475189454E11</v>
      </c>
      <c r="R70" s="99">
        <f t="shared" si="7"/>
        <v>224969.5325</v>
      </c>
      <c r="S70" s="100">
        <f t="shared" si="61"/>
        <v>0</v>
      </c>
      <c r="T70" s="101">
        <f t="shared" si="9"/>
        <v>0</v>
      </c>
      <c r="U70" s="100">
        <f t="shared" si="10"/>
        <v>0.0002344155082</v>
      </c>
      <c r="V70" s="99">
        <f t="shared" si="11"/>
        <v>2.942793687</v>
      </c>
      <c r="W70" s="108">
        <v>427.0</v>
      </c>
      <c r="X70" s="97">
        <v>13648.0</v>
      </c>
      <c r="Y70" s="110">
        <v>356.7020410825917</v>
      </c>
      <c r="Z70" s="119">
        <v>6.1411406E8</v>
      </c>
      <c r="AA70" s="99">
        <v>1389217.3666199013</v>
      </c>
      <c r="AB70" s="100">
        <f t="shared" si="62"/>
        <v>0.0007167695598</v>
      </c>
      <c r="AC70" s="101">
        <f t="shared" si="13"/>
        <v>0.07295931421</v>
      </c>
      <c r="AD70" s="110">
        <v>45.23192016817394</v>
      </c>
      <c r="AE70" s="118">
        <v>5.29749132E8</v>
      </c>
      <c r="AF70" s="99">
        <v>1298243.3714842624</v>
      </c>
      <c r="AG70" s="100">
        <f t="shared" si="63"/>
        <v>0.000743794375</v>
      </c>
      <c r="AH70" s="101">
        <f t="shared" si="15"/>
        <v>0.0707522067</v>
      </c>
      <c r="AI70" s="111">
        <v>25.048274870847195</v>
      </c>
      <c r="AJ70" s="118">
        <v>1.54159215745E11</v>
      </c>
      <c r="AK70" s="118">
        <v>300334.00993407</v>
      </c>
      <c r="AL70" s="100">
        <f t="shared" si="64"/>
        <v>0.001192123449</v>
      </c>
      <c r="AM70" s="100">
        <f t="shared" si="17"/>
        <v>0.02623352987</v>
      </c>
      <c r="AN70" s="104">
        <f t="shared" si="18"/>
        <v>0.1699450508</v>
      </c>
      <c r="AO70" s="97">
        <f t="shared" si="19"/>
        <v>2319.410053</v>
      </c>
    </row>
    <row r="71" ht="15.75" customHeight="1">
      <c r="A71" s="95">
        <v>20804.0</v>
      </c>
      <c r="B71" s="60" t="s">
        <v>51</v>
      </c>
      <c r="C71" s="60" t="s">
        <v>73</v>
      </c>
      <c r="D71" s="96">
        <v>3.0</v>
      </c>
      <c r="E71" s="97">
        <v>7214.5</v>
      </c>
      <c r="F71" s="98">
        <v>0.869421002229732</v>
      </c>
      <c r="G71" s="118">
        <v>4.22290885E8</v>
      </c>
      <c r="H71" s="99">
        <f t="shared" si="1"/>
        <v>954922.1553</v>
      </c>
      <c r="I71" s="100">
        <f t="shared" si="59"/>
        <v>0.00000267930388</v>
      </c>
      <c r="J71" s="101">
        <f t="shared" si="3"/>
        <v>0.0003546367228</v>
      </c>
      <c r="K71" s="102">
        <v>2.115179554033109</v>
      </c>
      <c r="L71" s="119">
        <v>3.2111817E8</v>
      </c>
      <c r="M71" s="99">
        <f t="shared" si="4"/>
        <v>870383.3219</v>
      </c>
      <c r="N71" s="100">
        <f t="shared" si="60"/>
        <v>0.00005021360125</v>
      </c>
      <c r="O71" s="101">
        <f t="shared" si="6"/>
        <v>0.006057950109</v>
      </c>
      <c r="P71" s="98">
        <v>0.01517742708590938</v>
      </c>
      <c r="Q71" s="99">
        <v>1.15475189454E11</v>
      </c>
      <c r="R71" s="99">
        <f t="shared" si="7"/>
        <v>224969.5325</v>
      </c>
      <c r="S71" s="100">
        <f t="shared" si="61"/>
        <v>0.000001067085684</v>
      </c>
      <c r="T71" s="101">
        <f t="shared" si="9"/>
        <v>0.00003327490018</v>
      </c>
      <c r="U71" s="100">
        <f t="shared" si="10"/>
        <v>0.006445861732</v>
      </c>
      <c r="V71" s="99">
        <f t="shared" si="11"/>
        <v>46.50366947</v>
      </c>
      <c r="W71" s="96">
        <v>4554.0</v>
      </c>
      <c r="X71" s="97">
        <v>7897.0</v>
      </c>
      <c r="Y71" s="98">
        <v>3620.488477124824</v>
      </c>
      <c r="Z71" s="119">
        <v>6.1411406E8</v>
      </c>
      <c r="AA71" s="99">
        <v>1389217.3666199013</v>
      </c>
      <c r="AB71" s="100">
        <f t="shared" si="62"/>
        <v>0.0072751362</v>
      </c>
      <c r="AC71" s="101">
        <f t="shared" si="13"/>
        <v>1.279820888</v>
      </c>
      <c r="AD71" s="98">
        <v>744.0087965425731</v>
      </c>
      <c r="AE71" s="118">
        <v>5.29749132E8</v>
      </c>
      <c r="AF71" s="99">
        <v>1298243.3714842624</v>
      </c>
      <c r="AG71" s="100">
        <f t="shared" si="63"/>
        <v>0.01223449183</v>
      </c>
      <c r="AH71" s="101">
        <f t="shared" si="15"/>
        <v>2.01131416</v>
      </c>
      <c r="AI71" s="102">
        <v>189.3146503073083</v>
      </c>
      <c r="AJ71" s="118">
        <v>1.54159215745E11</v>
      </c>
      <c r="AK71" s="118">
        <v>300334.00993407</v>
      </c>
      <c r="AL71" s="100">
        <f t="shared" si="64"/>
        <v>0.009010058975</v>
      </c>
      <c r="AM71" s="100">
        <f t="shared" si="17"/>
        <v>0.3426652072</v>
      </c>
      <c r="AN71" s="104">
        <f t="shared" si="18"/>
        <v>3.633800256</v>
      </c>
      <c r="AO71" s="97">
        <f t="shared" si="19"/>
        <v>28696.12062</v>
      </c>
    </row>
    <row r="72" ht="15.75" customHeight="1">
      <c r="A72" s="95">
        <v>20805.0</v>
      </c>
      <c r="B72" s="60" t="s">
        <v>51</v>
      </c>
      <c r="C72" s="60" t="s">
        <v>771</v>
      </c>
      <c r="D72" s="108"/>
      <c r="E72" s="109">
        <v>6592.75</v>
      </c>
      <c r="F72" s="110"/>
      <c r="G72" s="118">
        <v>4.22290885E8</v>
      </c>
      <c r="H72" s="99">
        <f t="shared" si="1"/>
        <v>954922.1553</v>
      </c>
      <c r="I72" s="100">
        <f t="shared" si="59"/>
        <v>0</v>
      </c>
      <c r="J72" s="101">
        <f t="shared" si="3"/>
        <v>0</v>
      </c>
      <c r="K72" s="111"/>
      <c r="L72" s="119">
        <v>3.2111817E8</v>
      </c>
      <c r="M72" s="99">
        <f t="shared" si="4"/>
        <v>870383.3219</v>
      </c>
      <c r="N72" s="100">
        <f t="shared" si="60"/>
        <v>0</v>
      </c>
      <c r="O72" s="101">
        <f t="shared" si="6"/>
        <v>0</v>
      </c>
      <c r="P72" s="110"/>
      <c r="Q72" s="99">
        <v>1.15475189454E11</v>
      </c>
      <c r="R72" s="99">
        <f t="shared" si="7"/>
        <v>224969.5325</v>
      </c>
      <c r="S72" s="100">
        <f t="shared" si="61"/>
        <v>0</v>
      </c>
      <c r="T72" s="101">
        <f t="shared" si="9"/>
        <v>0</v>
      </c>
      <c r="U72" s="100">
        <f t="shared" si="10"/>
        <v>0</v>
      </c>
      <c r="V72" s="99">
        <f t="shared" si="11"/>
        <v>0</v>
      </c>
      <c r="W72" s="108">
        <v>75.0</v>
      </c>
      <c r="X72" s="97">
        <v>7936.0</v>
      </c>
      <c r="Y72" s="110">
        <v>47.84519184020891</v>
      </c>
      <c r="Z72" s="119">
        <v>6.1411406E8</v>
      </c>
      <c r="AA72" s="99">
        <v>1389217.3666199013</v>
      </c>
      <c r="AB72" s="100">
        <f t="shared" si="62"/>
        <v>0.00009614180224</v>
      </c>
      <c r="AC72" s="101">
        <f t="shared" si="13"/>
        <v>0.01682987164</v>
      </c>
      <c r="AD72" s="110">
        <v>24.17605624159056</v>
      </c>
      <c r="AE72" s="118">
        <v>5.29749132E8</v>
      </c>
      <c r="AF72" s="99">
        <v>1298243.3714842624</v>
      </c>
      <c r="AG72" s="100">
        <f t="shared" si="63"/>
        <v>0.0003975514322</v>
      </c>
      <c r="AH72" s="101">
        <f t="shared" si="15"/>
        <v>0.06503509471</v>
      </c>
      <c r="AI72" s="111">
        <v>2.97524372768979</v>
      </c>
      <c r="AJ72" s="118">
        <v>1.54159215745E11</v>
      </c>
      <c r="AK72" s="118">
        <v>300334.00993407</v>
      </c>
      <c r="AL72" s="100">
        <f t="shared" si="64"/>
        <v>0.000141600882</v>
      </c>
      <c r="AM72" s="100">
        <f t="shared" si="17"/>
        <v>0.005358815611</v>
      </c>
      <c r="AN72" s="104">
        <f t="shared" si="18"/>
        <v>0.08722378196</v>
      </c>
      <c r="AO72" s="97">
        <f t="shared" si="19"/>
        <v>692.2079336</v>
      </c>
    </row>
    <row r="73" ht="15.75" customHeight="1">
      <c r="A73" s="95">
        <v>20806.0</v>
      </c>
      <c r="B73" s="60" t="s">
        <v>51</v>
      </c>
      <c r="C73" s="60" t="s">
        <v>772</v>
      </c>
      <c r="D73" s="108">
        <v>27.0</v>
      </c>
      <c r="E73" s="109">
        <v>15533.25</v>
      </c>
      <c r="F73" s="110">
        <v>16.0</v>
      </c>
      <c r="G73" s="118">
        <v>4.22290885E8</v>
      </c>
      <c r="H73" s="99">
        <f t="shared" si="1"/>
        <v>954922.1553</v>
      </c>
      <c r="I73" s="100">
        <f t="shared" si="59"/>
        <v>0.0000493073689</v>
      </c>
      <c r="J73" s="101">
        <f t="shared" si="3"/>
        <v>0.003031220059</v>
      </c>
      <c r="K73" s="111">
        <v>10.0</v>
      </c>
      <c r="L73" s="119">
        <v>3.2111817E8</v>
      </c>
      <c r="M73" s="99">
        <f t="shared" si="4"/>
        <v>870383.3219</v>
      </c>
      <c r="N73" s="100">
        <f t="shared" si="60"/>
        <v>0.0002373964005</v>
      </c>
      <c r="O73" s="101">
        <f t="shared" si="6"/>
        <v>0.01330216585</v>
      </c>
      <c r="P73" s="110">
        <v>1.0</v>
      </c>
      <c r="Q73" s="99">
        <v>1.15475189454E11</v>
      </c>
      <c r="R73" s="99">
        <f t="shared" si="7"/>
        <v>224969.5325</v>
      </c>
      <c r="S73" s="100">
        <f t="shared" si="61"/>
        <v>0.00007030741625</v>
      </c>
      <c r="T73" s="101">
        <f t="shared" si="9"/>
        <v>0.001018268975</v>
      </c>
      <c r="U73" s="100">
        <f t="shared" si="10"/>
        <v>0.01735165488</v>
      </c>
      <c r="V73" s="99">
        <f t="shared" si="11"/>
        <v>269.5275932</v>
      </c>
      <c r="W73" s="108">
        <v>48.0</v>
      </c>
      <c r="X73" s="97">
        <v>17016.0</v>
      </c>
      <c r="Y73" s="110">
        <v>37.482588001298055</v>
      </c>
      <c r="Z73" s="119">
        <v>6.1411406E8</v>
      </c>
      <c r="AA73" s="99">
        <v>1389217.3666199013</v>
      </c>
      <c r="AB73" s="100">
        <f t="shared" si="62"/>
        <v>0.00007531882357</v>
      </c>
      <c r="AC73" s="101">
        <f t="shared" si="13"/>
        <v>0.006149166534</v>
      </c>
      <c r="AD73" s="110">
        <v>8.485740824129392</v>
      </c>
      <c r="AE73" s="118">
        <v>5.29749132E8</v>
      </c>
      <c r="AF73" s="99">
        <v>1298243.3714842624</v>
      </c>
      <c r="AG73" s="100">
        <f t="shared" si="63"/>
        <v>0.0001395396496</v>
      </c>
      <c r="AH73" s="101">
        <f t="shared" si="15"/>
        <v>0.01064624031</v>
      </c>
      <c r="AI73" s="111">
        <v>1.0302045719572648</v>
      </c>
      <c r="AJ73" s="118">
        <v>1.54159215745E11</v>
      </c>
      <c r="AK73" s="118">
        <v>300334.00993407</v>
      </c>
      <c r="AL73" s="100">
        <f t="shared" si="64"/>
        <v>0.00004903056332</v>
      </c>
      <c r="AM73" s="100">
        <f t="shared" si="17"/>
        <v>0.0008653940815</v>
      </c>
      <c r="AN73" s="104">
        <f t="shared" si="18"/>
        <v>0.01766080093</v>
      </c>
      <c r="AO73" s="97">
        <f t="shared" si="19"/>
        <v>300.5161886</v>
      </c>
    </row>
    <row r="74" ht="15.75" customHeight="1">
      <c r="A74" s="95">
        <v>20807.0</v>
      </c>
      <c r="B74" s="60" t="s">
        <v>51</v>
      </c>
      <c r="C74" s="60" t="s">
        <v>101</v>
      </c>
      <c r="D74" s="96">
        <v>0.0</v>
      </c>
      <c r="E74" s="97">
        <v>6837.25</v>
      </c>
      <c r="F74" s="98">
        <v>0.0</v>
      </c>
      <c r="G74" s="118">
        <v>4.22290885E8</v>
      </c>
      <c r="H74" s="99">
        <f t="shared" si="1"/>
        <v>954922.1553</v>
      </c>
      <c r="I74" s="100">
        <f t="shared" si="59"/>
        <v>0</v>
      </c>
      <c r="J74" s="101">
        <f t="shared" si="3"/>
        <v>0</v>
      </c>
      <c r="K74" s="102">
        <v>0.0</v>
      </c>
      <c r="L74" s="119">
        <v>3.2111817E8</v>
      </c>
      <c r="M74" s="99">
        <f t="shared" si="4"/>
        <v>870383.3219</v>
      </c>
      <c r="N74" s="100">
        <f t="shared" si="60"/>
        <v>0</v>
      </c>
      <c r="O74" s="101">
        <f t="shared" si="6"/>
        <v>0</v>
      </c>
      <c r="P74" s="98">
        <v>0.0</v>
      </c>
      <c r="Q74" s="99">
        <v>1.15475189454E11</v>
      </c>
      <c r="R74" s="99">
        <f t="shared" si="7"/>
        <v>224969.5325</v>
      </c>
      <c r="S74" s="100">
        <f t="shared" si="61"/>
        <v>0</v>
      </c>
      <c r="T74" s="101">
        <f t="shared" si="9"/>
        <v>0</v>
      </c>
      <c r="U74" s="100">
        <f t="shared" si="10"/>
        <v>0</v>
      </c>
      <c r="V74" s="99">
        <f t="shared" si="11"/>
        <v>0</v>
      </c>
      <c r="W74" s="96">
        <v>2592.0</v>
      </c>
      <c r="X74" s="97">
        <v>7540.0</v>
      </c>
      <c r="Y74" s="98">
        <v>2160.753081939778</v>
      </c>
      <c r="Z74" s="119">
        <v>6.1411406E8</v>
      </c>
      <c r="AA74" s="99">
        <v>1389217.3666199013</v>
      </c>
      <c r="AB74" s="100">
        <f t="shared" si="62"/>
        <v>0.004341892832</v>
      </c>
      <c r="AC74" s="101">
        <f t="shared" si="13"/>
        <v>0.7999778416</v>
      </c>
      <c r="AD74" s="98">
        <v>311.0132495220766</v>
      </c>
      <c r="AE74" s="118">
        <v>5.29749132E8</v>
      </c>
      <c r="AF74" s="99">
        <v>1298243.3714842624</v>
      </c>
      <c r="AG74" s="100">
        <f t="shared" si="63"/>
        <v>0.005114306549</v>
      </c>
      <c r="AH74" s="101">
        <f t="shared" si="15"/>
        <v>0.8805854877</v>
      </c>
      <c r="AI74" s="102">
        <v>120.126482559356</v>
      </c>
      <c r="AJ74" s="118">
        <v>1.54159215745E11</v>
      </c>
      <c r="AK74" s="118">
        <v>300334.00993407</v>
      </c>
      <c r="AL74" s="100">
        <f t="shared" si="64"/>
        <v>0.005717184014</v>
      </c>
      <c r="AM74" s="100">
        <f t="shared" si="17"/>
        <v>0.2277274271</v>
      </c>
      <c r="AN74" s="104">
        <f t="shared" si="18"/>
        <v>1.908290756</v>
      </c>
      <c r="AO74" s="97">
        <f t="shared" si="19"/>
        <v>14388.5123</v>
      </c>
    </row>
    <row r="75" ht="15.75" customHeight="1">
      <c r="A75" s="95">
        <v>20901.0</v>
      </c>
      <c r="B75" s="60" t="s">
        <v>51</v>
      </c>
      <c r="C75" s="60" t="s">
        <v>86</v>
      </c>
      <c r="D75" s="96">
        <v>37.0</v>
      </c>
      <c r="E75" s="97">
        <v>11030.0</v>
      </c>
      <c r="F75" s="98">
        <v>23.16823803300468</v>
      </c>
      <c r="G75" s="118">
        <v>4.22290885E8</v>
      </c>
      <c r="H75" s="99">
        <f t="shared" si="1"/>
        <v>954922.1553</v>
      </c>
      <c r="I75" s="100">
        <f t="shared" si="59"/>
        <v>0.00007139780372</v>
      </c>
      <c r="J75" s="101">
        <f t="shared" si="3"/>
        <v>0.006181264244</v>
      </c>
      <c r="K75" s="102">
        <v>13.28042282872209</v>
      </c>
      <c r="L75" s="119">
        <v>3.2111817E8</v>
      </c>
      <c r="M75" s="99">
        <f t="shared" si="4"/>
        <v>870383.3219</v>
      </c>
      <c r="N75" s="100">
        <f t="shared" si="60"/>
        <v>0.0003152724577</v>
      </c>
      <c r="O75" s="101">
        <f t="shared" si="6"/>
        <v>0.02487832176</v>
      </c>
      <c r="P75" s="98">
        <v>0.5496896508615535</v>
      </c>
      <c r="Q75" s="99">
        <v>1.15475189454E11</v>
      </c>
      <c r="R75" s="99">
        <f t="shared" si="7"/>
        <v>224969.5325</v>
      </c>
      <c r="S75" s="100">
        <f t="shared" si="61"/>
        <v>0.00003864725909</v>
      </c>
      <c r="T75" s="101">
        <f t="shared" si="9"/>
        <v>0.0007882552864</v>
      </c>
      <c r="U75" s="100">
        <f t="shared" si="10"/>
        <v>0.03184784129</v>
      </c>
      <c r="V75" s="99">
        <f t="shared" si="11"/>
        <v>351.2816894</v>
      </c>
      <c r="W75" s="96">
        <v>31.0</v>
      </c>
      <c r="X75" s="97">
        <v>10703.0</v>
      </c>
      <c r="Y75" s="98">
        <v>21.38513717609278</v>
      </c>
      <c r="Z75" s="119">
        <v>6.1411406E8</v>
      </c>
      <c r="AA75" s="99">
        <v>1389217.3666199013</v>
      </c>
      <c r="AB75" s="100">
        <f t="shared" si="62"/>
        <v>0.00004297204275</v>
      </c>
      <c r="AC75" s="101">
        <f t="shared" si="13"/>
        <v>0.005577642537</v>
      </c>
      <c r="AD75" s="98">
        <v>9.115851770405115</v>
      </c>
      <c r="AE75" s="118">
        <v>5.29749132E8</v>
      </c>
      <c r="AF75" s="99">
        <v>1298243.3714842624</v>
      </c>
      <c r="AG75" s="100">
        <f t="shared" si="63"/>
        <v>0.0001499012035</v>
      </c>
      <c r="AH75" s="101">
        <f t="shared" si="15"/>
        <v>0.01818258842</v>
      </c>
      <c r="AI75" s="102">
        <v>0.4978306039771082</v>
      </c>
      <c r="AJ75" s="118">
        <v>1.54159215745E11</v>
      </c>
      <c r="AK75" s="118">
        <v>300334.00993407</v>
      </c>
      <c r="AL75" s="100">
        <f t="shared" si="64"/>
        <v>0.00002369326988</v>
      </c>
      <c r="AM75" s="100">
        <f t="shared" si="17"/>
        <v>0.0006648504859</v>
      </c>
      <c r="AN75" s="104">
        <f t="shared" si="18"/>
        <v>0.02442508144</v>
      </c>
      <c r="AO75" s="97">
        <f t="shared" si="19"/>
        <v>261.4216466</v>
      </c>
    </row>
    <row r="76" ht="15.75" customHeight="1">
      <c r="A76" s="95">
        <v>20902.0</v>
      </c>
      <c r="B76" s="60" t="s">
        <v>51</v>
      </c>
      <c r="C76" s="60" t="s">
        <v>97</v>
      </c>
      <c r="D76" s="96">
        <v>2.0</v>
      </c>
      <c r="E76" s="97">
        <v>13487.25</v>
      </c>
      <c r="F76" s="98">
        <v>1.12413824441267</v>
      </c>
      <c r="G76" s="118">
        <v>4.22290885E8</v>
      </c>
      <c r="H76" s="99">
        <f t="shared" si="1"/>
        <v>954922.1553</v>
      </c>
      <c r="I76" s="100">
        <f t="shared" si="59"/>
        <v>0.000003464268695</v>
      </c>
      <c r="J76" s="101">
        <f t="shared" si="3"/>
        <v>0.0002452766078</v>
      </c>
      <c r="K76" s="102">
        <v>0.8551103602861533</v>
      </c>
      <c r="L76" s="119">
        <v>3.2111817E8</v>
      </c>
      <c r="M76" s="99">
        <f t="shared" si="4"/>
        <v>870383.3219</v>
      </c>
      <c r="N76" s="100">
        <f t="shared" si="60"/>
        <v>0.00002030001216</v>
      </c>
      <c r="O76" s="101">
        <f t="shared" si="6"/>
        <v>0.001310036665</v>
      </c>
      <c r="P76" s="98">
        <v>0.02071140223330952</v>
      </c>
      <c r="Q76" s="99">
        <v>1.15475189454E11</v>
      </c>
      <c r="R76" s="99">
        <f t="shared" si="7"/>
        <v>224969.5325</v>
      </c>
      <c r="S76" s="100">
        <f t="shared" si="61"/>
        <v>0.000001456165178</v>
      </c>
      <c r="T76" s="101">
        <f t="shared" si="9"/>
        <v>0.00002428907296</v>
      </c>
      <c r="U76" s="100">
        <f t="shared" si="10"/>
        <v>0.001579602346</v>
      </c>
      <c r="V76" s="99">
        <f t="shared" si="11"/>
        <v>21.30449174</v>
      </c>
      <c r="W76" s="96">
        <v>1077.0</v>
      </c>
      <c r="X76" s="97">
        <v>16497.0</v>
      </c>
      <c r="Y76" s="98">
        <v>803.409954447034</v>
      </c>
      <c r="Z76" s="119">
        <v>6.1411406E8</v>
      </c>
      <c r="AA76" s="99">
        <v>1389217.3666199013</v>
      </c>
      <c r="AB76" s="100">
        <f t="shared" si="62"/>
        <v>0.001614400068</v>
      </c>
      <c r="AC76" s="101">
        <f t="shared" si="13"/>
        <v>0.1359491187</v>
      </c>
      <c r="AD76" s="98">
        <v>228.2549015102128</v>
      </c>
      <c r="AE76" s="118">
        <v>5.29749132E8</v>
      </c>
      <c r="AF76" s="99">
        <v>1298243.3714842624</v>
      </c>
      <c r="AG76" s="100">
        <f t="shared" si="63"/>
        <v>0.003753427031</v>
      </c>
      <c r="AH76" s="101">
        <f t="shared" si="15"/>
        <v>0.2953786605</v>
      </c>
      <c r="AI76" s="102">
        <v>45.29031793407911</v>
      </c>
      <c r="AJ76" s="118">
        <v>1.54159215745E11</v>
      </c>
      <c r="AK76" s="118">
        <v>300334.00993407</v>
      </c>
      <c r="AL76" s="100">
        <f t="shared" si="64"/>
        <v>0.002155503734</v>
      </c>
      <c r="AM76" s="100">
        <f t="shared" si="17"/>
        <v>0.03924174576</v>
      </c>
      <c r="AN76" s="104">
        <f t="shared" si="18"/>
        <v>0.470569525</v>
      </c>
      <c r="AO76" s="97">
        <f t="shared" si="19"/>
        <v>7762.985454</v>
      </c>
    </row>
    <row r="77" ht="15.75" customHeight="1">
      <c r="A77" s="95">
        <v>20903.0</v>
      </c>
      <c r="B77" s="60" t="s">
        <v>51</v>
      </c>
      <c r="C77" s="60" t="s">
        <v>407</v>
      </c>
      <c r="D77" s="108"/>
      <c r="E77" s="109">
        <v>8560.25</v>
      </c>
      <c r="F77" s="110"/>
      <c r="G77" s="118">
        <v>4.22290885E8</v>
      </c>
      <c r="H77" s="99">
        <f t="shared" si="1"/>
        <v>954922.1553</v>
      </c>
      <c r="I77" s="100">
        <f t="shared" si="59"/>
        <v>0</v>
      </c>
      <c r="J77" s="101">
        <f t="shared" si="3"/>
        <v>0</v>
      </c>
      <c r="K77" s="111"/>
      <c r="L77" s="119">
        <v>3.2111817E8</v>
      </c>
      <c r="M77" s="99">
        <f t="shared" si="4"/>
        <v>870383.3219</v>
      </c>
      <c r="N77" s="100">
        <f t="shared" si="60"/>
        <v>0</v>
      </c>
      <c r="O77" s="101">
        <f t="shared" si="6"/>
        <v>0</v>
      </c>
      <c r="P77" s="110"/>
      <c r="Q77" s="99">
        <v>1.15475189454E11</v>
      </c>
      <c r="R77" s="99">
        <f t="shared" si="7"/>
        <v>224969.5325</v>
      </c>
      <c r="S77" s="100">
        <f t="shared" si="61"/>
        <v>0</v>
      </c>
      <c r="T77" s="101">
        <f t="shared" si="9"/>
        <v>0</v>
      </c>
      <c r="U77" s="100">
        <f t="shared" si="10"/>
        <v>0</v>
      </c>
      <c r="V77" s="99">
        <f t="shared" si="11"/>
        <v>0</v>
      </c>
      <c r="W77" s="96">
        <v>24.0</v>
      </c>
      <c r="X77" s="97">
        <v>12296.0</v>
      </c>
      <c r="Y77" s="98">
        <v>20.61511444403133</v>
      </c>
      <c r="Z77" s="119">
        <v>6.1411406E8</v>
      </c>
      <c r="AA77" s="99">
        <v>1389217.3666199013</v>
      </c>
      <c r="AB77" s="100">
        <f t="shared" si="62"/>
        <v>0.00004142473214</v>
      </c>
      <c r="AC77" s="101">
        <f t="shared" si="13"/>
        <v>0.004680217737</v>
      </c>
      <c r="AD77" s="98">
        <v>2.398208842461148</v>
      </c>
      <c r="AE77" s="118">
        <v>5.29749132E8</v>
      </c>
      <c r="AF77" s="99">
        <v>1298243.3714842624</v>
      </c>
      <c r="AG77" s="100">
        <f t="shared" si="63"/>
        <v>0.00003943618225</v>
      </c>
      <c r="AH77" s="101">
        <f t="shared" si="15"/>
        <v>0.004163773764</v>
      </c>
      <c r="AI77" s="102">
        <v>0.9855564980749674</v>
      </c>
      <c r="AJ77" s="118">
        <v>1.54159215745E11</v>
      </c>
      <c r="AK77" s="118">
        <v>300334.00993407</v>
      </c>
      <c r="AL77" s="100">
        <f t="shared" si="64"/>
        <v>0.00004690562593</v>
      </c>
      <c r="AM77" s="100">
        <f t="shared" si="17"/>
        <v>0.001145685973</v>
      </c>
      <c r="AN77" s="104">
        <f t="shared" si="18"/>
        <v>0.009989677473</v>
      </c>
      <c r="AO77" s="97">
        <f t="shared" si="19"/>
        <v>122.8330742</v>
      </c>
    </row>
    <row r="78" ht="15.75" customHeight="1">
      <c r="A78" s="95">
        <v>20904.0</v>
      </c>
      <c r="B78" s="60" t="s">
        <v>51</v>
      </c>
      <c r="C78" s="60" t="s">
        <v>773</v>
      </c>
      <c r="D78" s="108"/>
      <c r="E78" s="109">
        <v>5209.25</v>
      </c>
      <c r="F78" s="110"/>
      <c r="G78" s="118">
        <v>4.22290885E8</v>
      </c>
      <c r="H78" s="99">
        <f t="shared" si="1"/>
        <v>954922.1553</v>
      </c>
      <c r="I78" s="100">
        <f t="shared" si="59"/>
        <v>0</v>
      </c>
      <c r="J78" s="101">
        <f t="shared" si="3"/>
        <v>0</v>
      </c>
      <c r="K78" s="111"/>
      <c r="L78" s="119">
        <v>3.2111817E8</v>
      </c>
      <c r="M78" s="99">
        <f t="shared" si="4"/>
        <v>870383.3219</v>
      </c>
      <c r="N78" s="100">
        <f t="shared" si="60"/>
        <v>0</v>
      </c>
      <c r="O78" s="101">
        <f t="shared" si="6"/>
        <v>0</v>
      </c>
      <c r="P78" s="110"/>
      <c r="Q78" s="99">
        <v>1.15475189454E11</v>
      </c>
      <c r="R78" s="99">
        <f t="shared" si="7"/>
        <v>224969.5325</v>
      </c>
      <c r="S78" s="100">
        <f t="shared" si="61"/>
        <v>0</v>
      </c>
      <c r="T78" s="101">
        <f t="shared" si="9"/>
        <v>0</v>
      </c>
      <c r="U78" s="100">
        <f t="shared" si="10"/>
        <v>0</v>
      </c>
      <c r="V78" s="99">
        <f t="shared" si="11"/>
        <v>0</v>
      </c>
      <c r="W78" s="108"/>
      <c r="X78" s="97">
        <v>5297.0</v>
      </c>
      <c r="Y78" s="110"/>
      <c r="Z78" s="119">
        <v>6.1411406E8</v>
      </c>
      <c r="AA78" s="99">
        <v>1389217.3666199013</v>
      </c>
      <c r="AB78" s="100">
        <f t="shared" si="62"/>
        <v>0</v>
      </c>
      <c r="AC78" s="101">
        <f t="shared" si="13"/>
        <v>0</v>
      </c>
      <c r="AD78" s="110"/>
      <c r="AE78" s="118">
        <v>5.29749132E8</v>
      </c>
      <c r="AF78" s="99">
        <v>1298243.3714842624</v>
      </c>
      <c r="AG78" s="100">
        <f t="shared" si="63"/>
        <v>0</v>
      </c>
      <c r="AH78" s="101">
        <f t="shared" si="15"/>
        <v>0</v>
      </c>
      <c r="AI78" s="111"/>
      <c r="AJ78" s="118">
        <v>1.54159215745E11</v>
      </c>
      <c r="AK78" s="118">
        <v>300334.00993407</v>
      </c>
      <c r="AL78" s="100">
        <f t="shared" si="64"/>
        <v>0</v>
      </c>
      <c r="AM78" s="100">
        <f t="shared" si="17"/>
        <v>0</v>
      </c>
      <c r="AN78" s="104">
        <f t="shared" si="18"/>
        <v>0</v>
      </c>
      <c r="AO78" s="97">
        <f t="shared" si="19"/>
        <v>0</v>
      </c>
    </row>
    <row r="79" ht="15.75" customHeight="1">
      <c r="A79" s="95">
        <v>20905.0</v>
      </c>
      <c r="B79" s="60" t="s">
        <v>51</v>
      </c>
      <c r="C79" s="60" t="s">
        <v>304</v>
      </c>
      <c r="D79" s="108"/>
      <c r="E79" s="109">
        <v>11915.75</v>
      </c>
      <c r="F79" s="110"/>
      <c r="G79" s="118">
        <v>4.22290885E8</v>
      </c>
      <c r="H79" s="99">
        <f t="shared" si="1"/>
        <v>954922.1553</v>
      </c>
      <c r="I79" s="100">
        <f t="shared" si="59"/>
        <v>0</v>
      </c>
      <c r="J79" s="101">
        <f t="shared" si="3"/>
        <v>0</v>
      </c>
      <c r="K79" s="111"/>
      <c r="L79" s="119">
        <v>3.2111817E8</v>
      </c>
      <c r="M79" s="99">
        <f t="shared" si="4"/>
        <v>870383.3219</v>
      </c>
      <c r="N79" s="100">
        <f t="shared" si="60"/>
        <v>0</v>
      </c>
      <c r="O79" s="101">
        <f t="shared" si="6"/>
        <v>0</v>
      </c>
      <c r="P79" s="110"/>
      <c r="Q79" s="99">
        <v>1.15475189454E11</v>
      </c>
      <c r="R79" s="99">
        <f t="shared" si="7"/>
        <v>224969.5325</v>
      </c>
      <c r="S79" s="100">
        <f t="shared" si="61"/>
        <v>0</v>
      </c>
      <c r="T79" s="101">
        <f t="shared" si="9"/>
        <v>0</v>
      </c>
      <c r="U79" s="100">
        <f t="shared" si="10"/>
        <v>0</v>
      </c>
      <c r="V79" s="99">
        <f t="shared" si="11"/>
        <v>0</v>
      </c>
      <c r="W79" s="96">
        <v>19.0</v>
      </c>
      <c r="X79" s="97">
        <v>13598.0</v>
      </c>
      <c r="Y79" s="98">
        <v>11.8733029502539</v>
      </c>
      <c r="Z79" s="119">
        <v>6.1411406E8</v>
      </c>
      <c r="AA79" s="99">
        <v>1389217.3666199013</v>
      </c>
      <c r="AB79" s="100">
        <f t="shared" si="62"/>
        <v>0.00002385863031</v>
      </c>
      <c r="AC79" s="101">
        <f t="shared" si="13"/>
        <v>0.002437477833</v>
      </c>
      <c r="AD79" s="98">
        <v>6.240121762802207</v>
      </c>
      <c r="AE79" s="118">
        <v>5.29749132E8</v>
      </c>
      <c r="AF79" s="99">
        <v>1298243.3714842624</v>
      </c>
      <c r="AG79" s="100">
        <f t="shared" si="63"/>
        <v>0.000102612656</v>
      </c>
      <c r="AH79" s="101">
        <f t="shared" si="15"/>
        <v>0.009796749562</v>
      </c>
      <c r="AI79" s="102">
        <v>0.8860083315792572</v>
      </c>
      <c r="AJ79" s="118">
        <v>1.54159215745E11</v>
      </c>
      <c r="AK79" s="118">
        <v>300334.00993407</v>
      </c>
      <c r="AL79" s="100">
        <f t="shared" si="64"/>
        <v>0.00004216782645</v>
      </c>
      <c r="AM79" s="100">
        <f t="shared" si="17"/>
        <v>0.0009313452279</v>
      </c>
      <c r="AN79" s="104">
        <f t="shared" si="18"/>
        <v>0.01316557262</v>
      </c>
      <c r="AO79" s="97">
        <f t="shared" si="19"/>
        <v>179.0254565</v>
      </c>
    </row>
    <row r="80" ht="15.75" customHeight="1">
      <c r="A80" s="95">
        <v>21001.0</v>
      </c>
      <c r="B80" s="60" t="s">
        <v>51</v>
      </c>
      <c r="C80" s="60" t="s">
        <v>81</v>
      </c>
      <c r="D80" s="96">
        <v>0.0</v>
      </c>
      <c r="E80" s="97">
        <v>15707.5</v>
      </c>
      <c r="F80" s="98">
        <v>0.0</v>
      </c>
      <c r="G80" s="118">
        <v>4.22290885E8</v>
      </c>
      <c r="H80" s="99">
        <f t="shared" si="1"/>
        <v>954922.1553</v>
      </c>
      <c r="I80" s="100">
        <f t="shared" si="59"/>
        <v>0</v>
      </c>
      <c r="J80" s="101">
        <f t="shared" si="3"/>
        <v>0</v>
      </c>
      <c r="K80" s="102">
        <v>0.0</v>
      </c>
      <c r="L80" s="119">
        <v>3.2111817E8</v>
      </c>
      <c r="M80" s="99">
        <f t="shared" si="4"/>
        <v>870383.3219</v>
      </c>
      <c r="N80" s="100">
        <f t="shared" si="60"/>
        <v>0</v>
      </c>
      <c r="O80" s="101">
        <f t="shared" si="6"/>
        <v>0</v>
      </c>
      <c r="P80" s="98">
        <v>0.0</v>
      </c>
      <c r="Q80" s="99">
        <v>1.15475189454E11</v>
      </c>
      <c r="R80" s="99">
        <f t="shared" si="7"/>
        <v>224969.5325</v>
      </c>
      <c r="S80" s="100">
        <f t="shared" si="61"/>
        <v>0</v>
      </c>
      <c r="T80" s="101">
        <f t="shared" si="9"/>
        <v>0</v>
      </c>
      <c r="U80" s="100">
        <f t="shared" si="10"/>
        <v>0</v>
      </c>
      <c r="V80" s="99">
        <f t="shared" si="11"/>
        <v>0</v>
      </c>
      <c r="W80" s="96">
        <v>3061.0</v>
      </c>
      <c r="X80" s="97">
        <v>18679.0</v>
      </c>
      <c r="Y80" s="98">
        <v>2284.017437863772</v>
      </c>
      <c r="Z80" s="119">
        <v>6.1411406E8</v>
      </c>
      <c r="AA80" s="99">
        <v>1389217.3666199013</v>
      </c>
      <c r="AB80" s="100">
        <f t="shared" si="62"/>
        <v>0.004589584541</v>
      </c>
      <c r="AC80" s="101">
        <f t="shared" si="13"/>
        <v>0.3413421784</v>
      </c>
      <c r="AD80" s="98">
        <v>677.3421125883693</v>
      </c>
      <c r="AE80" s="118">
        <v>5.29749132E8</v>
      </c>
      <c r="AF80" s="99">
        <v>1298243.3714842624</v>
      </c>
      <c r="AG80" s="100">
        <f t="shared" si="63"/>
        <v>0.01113822388</v>
      </c>
      <c r="AH80" s="101">
        <f t="shared" si="15"/>
        <v>0.7741380866</v>
      </c>
      <c r="AI80" s="102">
        <v>99.52177741057916</v>
      </c>
      <c r="AJ80" s="118">
        <v>1.54159215745E11</v>
      </c>
      <c r="AK80" s="118">
        <v>300334.00993407</v>
      </c>
      <c r="AL80" s="100">
        <f t="shared" si="64"/>
        <v>0.004736543539</v>
      </c>
      <c r="AM80" s="100">
        <f t="shared" si="17"/>
        <v>0.07615745566</v>
      </c>
      <c r="AN80" s="104">
        <f t="shared" si="18"/>
        <v>1.191637721</v>
      </c>
      <c r="AO80" s="97">
        <f t="shared" si="19"/>
        <v>22258.60098</v>
      </c>
    </row>
    <row r="81" ht="15.75" customHeight="1">
      <c r="A81" s="95">
        <v>21002.0</v>
      </c>
      <c r="B81" s="60" t="s">
        <v>51</v>
      </c>
      <c r="C81" s="60" t="s">
        <v>95</v>
      </c>
      <c r="D81" s="96">
        <v>3.0</v>
      </c>
      <c r="E81" s="97">
        <v>8921.25</v>
      </c>
      <c r="F81" s="98">
        <v>2.051299226343953</v>
      </c>
      <c r="G81" s="118">
        <v>4.22290885E8</v>
      </c>
      <c r="H81" s="99">
        <f t="shared" si="1"/>
        <v>954922.1553</v>
      </c>
      <c r="I81" s="100">
        <f t="shared" si="59"/>
        <v>0.00000632151048</v>
      </c>
      <c r="J81" s="101">
        <f t="shared" si="3"/>
        <v>0.000676648498</v>
      </c>
      <c r="K81" s="102">
        <v>0.900788746828999</v>
      </c>
      <c r="L81" s="119">
        <v>3.2111817E8</v>
      </c>
      <c r="M81" s="99">
        <f t="shared" si="4"/>
        <v>870383.3219</v>
      </c>
      <c r="N81" s="100">
        <f t="shared" si="60"/>
        <v>0.00002138440061</v>
      </c>
      <c r="O81" s="101">
        <f t="shared" si="6"/>
        <v>0.002086324858</v>
      </c>
      <c r="P81" s="98">
        <v>0.04781722395991282</v>
      </c>
      <c r="Q81" s="99">
        <v>1.15475189454E11</v>
      </c>
      <c r="R81" s="99">
        <f t="shared" si="7"/>
        <v>224969.5325</v>
      </c>
      <c r="S81" s="100">
        <f t="shared" si="61"/>
        <v>0.000003361905469</v>
      </c>
      <c r="T81" s="101">
        <f t="shared" si="9"/>
        <v>0.00008477806378</v>
      </c>
      <c r="U81" s="100">
        <f t="shared" si="10"/>
        <v>0.00284775142</v>
      </c>
      <c r="V81" s="99">
        <f t="shared" si="11"/>
        <v>25.40550235</v>
      </c>
      <c r="W81" s="96">
        <v>901.0</v>
      </c>
      <c r="X81" s="97">
        <v>10887.0</v>
      </c>
      <c r="Y81" s="98">
        <v>703.1016017348728</v>
      </c>
      <c r="Z81" s="119">
        <v>6.1411406E8</v>
      </c>
      <c r="AA81" s="99">
        <v>1389217.3666199013</v>
      </c>
      <c r="AB81" s="100">
        <f t="shared" si="62"/>
        <v>0.001412836955</v>
      </c>
      <c r="AC81" s="101">
        <f t="shared" si="13"/>
        <v>0.1802826889</v>
      </c>
      <c r="AD81" s="98">
        <v>169.4146518429675</v>
      </c>
      <c r="AE81" s="118">
        <v>5.29749132E8</v>
      </c>
      <c r="AF81" s="99">
        <v>1298243.3714842624</v>
      </c>
      <c r="AG81" s="100">
        <f t="shared" si="63"/>
        <v>0.002785857081</v>
      </c>
      <c r="AH81" s="101">
        <f t="shared" si="15"/>
        <v>0.3322054275</v>
      </c>
      <c r="AI81" s="102">
        <v>28.4470881805202</v>
      </c>
      <c r="AJ81" s="118">
        <v>1.54159215745E11</v>
      </c>
      <c r="AK81" s="118">
        <v>300334.00993407</v>
      </c>
      <c r="AL81" s="100">
        <f t="shared" si="64"/>
        <v>0.001353883293</v>
      </c>
      <c r="AM81" s="100">
        <f t="shared" si="17"/>
        <v>0.03734887465</v>
      </c>
      <c r="AN81" s="104">
        <f t="shared" si="18"/>
        <v>0.549836991</v>
      </c>
      <c r="AO81" s="97">
        <f t="shared" si="19"/>
        <v>5986.075321</v>
      </c>
    </row>
    <row r="82" ht="15.75" customHeight="1">
      <c r="A82" s="95">
        <v>21003.0</v>
      </c>
      <c r="B82" s="60" t="s">
        <v>51</v>
      </c>
      <c r="C82" s="60" t="s">
        <v>307</v>
      </c>
      <c r="D82" s="108"/>
      <c r="E82" s="109">
        <v>11734.75</v>
      </c>
      <c r="F82" s="110"/>
      <c r="G82" s="118">
        <v>4.22290885E8</v>
      </c>
      <c r="H82" s="99">
        <f t="shared" si="1"/>
        <v>954922.1553</v>
      </c>
      <c r="I82" s="100">
        <f t="shared" si="59"/>
        <v>0</v>
      </c>
      <c r="J82" s="101">
        <f t="shared" si="3"/>
        <v>0</v>
      </c>
      <c r="K82" s="111"/>
      <c r="L82" s="119">
        <v>3.2111817E8</v>
      </c>
      <c r="M82" s="99">
        <f t="shared" si="4"/>
        <v>870383.3219</v>
      </c>
      <c r="N82" s="100">
        <f t="shared" si="60"/>
        <v>0</v>
      </c>
      <c r="O82" s="101">
        <f t="shared" si="6"/>
        <v>0</v>
      </c>
      <c r="P82" s="110"/>
      <c r="Q82" s="99">
        <v>1.15475189454E11</v>
      </c>
      <c r="R82" s="99">
        <f t="shared" si="7"/>
        <v>224969.5325</v>
      </c>
      <c r="S82" s="100">
        <f t="shared" si="61"/>
        <v>0</v>
      </c>
      <c r="T82" s="101">
        <f t="shared" si="9"/>
        <v>0</v>
      </c>
      <c r="U82" s="100">
        <f t="shared" si="10"/>
        <v>0</v>
      </c>
      <c r="V82" s="99">
        <f t="shared" si="11"/>
        <v>0</v>
      </c>
      <c r="W82" s="96">
        <v>23.0</v>
      </c>
      <c r="X82" s="97">
        <v>15565.0</v>
      </c>
      <c r="Y82" s="98">
        <v>17.86425436933109</v>
      </c>
      <c r="Z82" s="119">
        <v>6.1411406E8</v>
      </c>
      <c r="AA82" s="99">
        <v>1389217.3666199013</v>
      </c>
      <c r="AB82" s="100">
        <f t="shared" si="62"/>
        <v>0.00003589705767</v>
      </c>
      <c r="AC82" s="101">
        <f t="shared" si="13"/>
        <v>0.003203907223</v>
      </c>
      <c r="AD82" s="98">
        <v>4.54715427541821</v>
      </c>
      <c r="AE82" s="118">
        <v>5.29749132E8</v>
      </c>
      <c r="AF82" s="99">
        <v>1298243.3714842624</v>
      </c>
      <c r="AG82" s="100">
        <f t="shared" si="63"/>
        <v>0.00007477347324</v>
      </c>
      <c r="AH82" s="101">
        <f t="shared" si="15"/>
        <v>0.006236695535</v>
      </c>
      <c r="AI82" s="102">
        <v>0.5877572873728367</v>
      </c>
      <c r="AJ82" s="118">
        <v>1.54159215745E11</v>
      </c>
      <c r="AK82" s="118">
        <v>300334.00993407</v>
      </c>
      <c r="AL82" s="100">
        <f t="shared" si="64"/>
        <v>0.00002797315376</v>
      </c>
      <c r="AM82" s="100">
        <f t="shared" si="17"/>
        <v>0.000539755184</v>
      </c>
      <c r="AN82" s="104">
        <f t="shared" si="18"/>
        <v>0.009980357942</v>
      </c>
      <c r="AO82" s="97">
        <f t="shared" si="19"/>
        <v>155.3442714</v>
      </c>
    </row>
    <row r="83" ht="15.75" customHeight="1">
      <c r="A83" s="95">
        <v>21004.0</v>
      </c>
      <c r="B83" s="60" t="s">
        <v>51</v>
      </c>
      <c r="C83" s="60" t="s">
        <v>69</v>
      </c>
      <c r="D83" s="96">
        <v>6.0</v>
      </c>
      <c r="E83" s="97">
        <v>20591.25</v>
      </c>
      <c r="F83" s="98">
        <v>4.769520296988992</v>
      </c>
      <c r="G83" s="118">
        <v>4.22290885E8</v>
      </c>
      <c r="H83" s="99">
        <f t="shared" si="1"/>
        <v>954922.1553</v>
      </c>
      <c r="I83" s="100">
        <f t="shared" si="59"/>
        <v>0.00001469828105</v>
      </c>
      <c r="J83" s="101">
        <f t="shared" si="3"/>
        <v>0.0006816348798</v>
      </c>
      <c r="K83" s="102">
        <v>0.9713595549578922</v>
      </c>
      <c r="L83" s="119">
        <v>3.2111817E8</v>
      </c>
      <c r="M83" s="99">
        <f t="shared" si="4"/>
        <v>870383.3219</v>
      </c>
      <c r="N83" s="100">
        <f t="shared" si="60"/>
        <v>0.00002305972619</v>
      </c>
      <c r="O83" s="101">
        <f t="shared" si="6"/>
        <v>0.0009747247538</v>
      </c>
      <c r="P83" s="98">
        <v>0.2589841351433167</v>
      </c>
      <c r="Q83" s="99">
        <v>1.15475189454E11</v>
      </c>
      <c r="R83" s="99">
        <f t="shared" si="7"/>
        <v>224969.5325</v>
      </c>
      <c r="S83" s="100">
        <f t="shared" si="61"/>
        <v>0.00001820850539</v>
      </c>
      <c r="T83" s="101">
        <f t="shared" si="9"/>
        <v>0.0001989368759</v>
      </c>
      <c r="U83" s="100">
        <f t="shared" si="10"/>
        <v>0.001855296509</v>
      </c>
      <c r="V83" s="99">
        <f t="shared" si="11"/>
        <v>38.20287425</v>
      </c>
      <c r="W83" s="96">
        <v>254.0</v>
      </c>
      <c r="X83" s="97">
        <v>23505.0</v>
      </c>
      <c r="Y83" s="98">
        <v>201.8833478637719</v>
      </c>
      <c r="Z83" s="119">
        <v>6.1411406E8</v>
      </c>
      <c r="AA83" s="99">
        <v>1389217.3666199013</v>
      </c>
      <c r="AB83" s="100">
        <f t="shared" si="62"/>
        <v>0.0004056714616</v>
      </c>
      <c r="AC83" s="101">
        <f t="shared" si="13"/>
        <v>0.02397642372</v>
      </c>
      <c r="AD83" s="98">
        <v>40.77741239613788</v>
      </c>
      <c r="AE83" s="118">
        <v>5.29749132E8</v>
      </c>
      <c r="AF83" s="99">
        <v>1298243.3714842624</v>
      </c>
      <c r="AG83" s="100">
        <f t="shared" si="63"/>
        <v>0.0006705443822</v>
      </c>
      <c r="AH83" s="101">
        <f t="shared" si="15"/>
        <v>0.03703594127</v>
      </c>
      <c r="AI83" s="102">
        <v>11.32901826529201</v>
      </c>
      <c r="AJ83" s="118">
        <v>1.54159215745E11</v>
      </c>
      <c r="AK83" s="118">
        <v>300334.00993407</v>
      </c>
      <c r="AL83" s="100">
        <f t="shared" si="64"/>
        <v>0.0005391823746</v>
      </c>
      <c r="AM83" s="100">
        <f t="shared" si="17"/>
        <v>0.006889376926</v>
      </c>
      <c r="AN83" s="104">
        <f t="shared" si="18"/>
        <v>0.06790174192</v>
      </c>
      <c r="AO83" s="97">
        <f t="shared" si="19"/>
        <v>1596.030444</v>
      </c>
    </row>
    <row r="84" ht="15.75" customHeight="1">
      <c r="A84" s="95">
        <v>21005.0</v>
      </c>
      <c r="B84" s="60" t="s">
        <v>51</v>
      </c>
      <c r="C84" s="60" t="s">
        <v>774</v>
      </c>
      <c r="D84" s="108"/>
      <c r="E84" s="109">
        <v>8322.75</v>
      </c>
      <c r="F84" s="110"/>
      <c r="G84" s="118">
        <v>4.22290885E8</v>
      </c>
      <c r="H84" s="99">
        <f t="shared" si="1"/>
        <v>954922.1553</v>
      </c>
      <c r="I84" s="100">
        <f t="shared" si="59"/>
        <v>0</v>
      </c>
      <c r="J84" s="101">
        <f t="shared" si="3"/>
        <v>0</v>
      </c>
      <c r="K84" s="111"/>
      <c r="L84" s="119">
        <v>3.2111817E8</v>
      </c>
      <c r="M84" s="99">
        <f t="shared" si="4"/>
        <v>870383.3219</v>
      </c>
      <c r="N84" s="100">
        <f t="shared" si="60"/>
        <v>0</v>
      </c>
      <c r="O84" s="101">
        <f t="shared" si="6"/>
        <v>0</v>
      </c>
      <c r="P84" s="110"/>
      <c r="Q84" s="99">
        <v>1.15475189454E11</v>
      </c>
      <c r="R84" s="99">
        <f t="shared" si="7"/>
        <v>224969.5325</v>
      </c>
      <c r="S84" s="100">
        <f t="shared" si="61"/>
        <v>0</v>
      </c>
      <c r="T84" s="101">
        <f t="shared" si="9"/>
        <v>0</v>
      </c>
      <c r="U84" s="100">
        <f t="shared" si="10"/>
        <v>0</v>
      </c>
      <c r="V84" s="99">
        <f t="shared" si="11"/>
        <v>0</v>
      </c>
      <c r="W84" s="108"/>
      <c r="X84" s="97">
        <v>9552.0</v>
      </c>
      <c r="Y84" s="110"/>
      <c r="Z84" s="119">
        <v>6.1411406E8</v>
      </c>
      <c r="AA84" s="99">
        <v>1389217.3666199013</v>
      </c>
      <c r="AB84" s="100">
        <f t="shared" si="62"/>
        <v>0</v>
      </c>
      <c r="AC84" s="101">
        <f t="shared" si="13"/>
        <v>0</v>
      </c>
      <c r="AD84" s="110"/>
      <c r="AE84" s="118">
        <v>5.29749132E8</v>
      </c>
      <c r="AF84" s="99">
        <v>1298243.3714842624</v>
      </c>
      <c r="AG84" s="100">
        <f t="shared" si="63"/>
        <v>0</v>
      </c>
      <c r="AH84" s="101">
        <f t="shared" si="15"/>
        <v>0</v>
      </c>
      <c r="AI84" s="111"/>
      <c r="AJ84" s="118">
        <v>1.54159215745E11</v>
      </c>
      <c r="AK84" s="118">
        <v>300334.00993407</v>
      </c>
      <c r="AL84" s="100">
        <f t="shared" si="64"/>
        <v>0</v>
      </c>
      <c r="AM84" s="100">
        <f t="shared" si="17"/>
        <v>0</v>
      </c>
      <c r="AN84" s="104">
        <f t="shared" si="18"/>
        <v>0</v>
      </c>
      <c r="AO84" s="97">
        <f t="shared" si="19"/>
        <v>0</v>
      </c>
    </row>
    <row r="85" ht="15.75" customHeight="1">
      <c r="A85" s="95">
        <v>21006.0</v>
      </c>
      <c r="B85" s="60" t="s">
        <v>51</v>
      </c>
      <c r="C85" s="60" t="s">
        <v>775</v>
      </c>
      <c r="D85" s="108"/>
      <c r="E85" s="109">
        <v>6085.25</v>
      </c>
      <c r="F85" s="110"/>
      <c r="G85" s="118">
        <v>4.22290885E8</v>
      </c>
      <c r="H85" s="99">
        <f t="shared" si="1"/>
        <v>954922.1553</v>
      </c>
      <c r="I85" s="100">
        <f t="shared" si="59"/>
        <v>0</v>
      </c>
      <c r="J85" s="101">
        <f t="shared" si="3"/>
        <v>0</v>
      </c>
      <c r="K85" s="111"/>
      <c r="L85" s="119">
        <v>3.2111817E8</v>
      </c>
      <c r="M85" s="99">
        <f t="shared" si="4"/>
        <v>870383.3219</v>
      </c>
      <c r="N85" s="100">
        <f t="shared" si="60"/>
        <v>0</v>
      </c>
      <c r="O85" s="101">
        <f t="shared" si="6"/>
        <v>0</v>
      </c>
      <c r="P85" s="110"/>
      <c r="Q85" s="99">
        <v>1.15475189454E11</v>
      </c>
      <c r="R85" s="99">
        <f t="shared" si="7"/>
        <v>224969.5325</v>
      </c>
      <c r="S85" s="100">
        <f t="shared" si="61"/>
        <v>0</v>
      </c>
      <c r="T85" s="101">
        <f t="shared" si="9"/>
        <v>0</v>
      </c>
      <c r="U85" s="100">
        <f t="shared" si="10"/>
        <v>0</v>
      </c>
      <c r="V85" s="99">
        <f t="shared" si="11"/>
        <v>0</v>
      </c>
      <c r="W85" s="108"/>
      <c r="X85" s="97">
        <v>7877.0</v>
      </c>
      <c r="Y85" s="110"/>
      <c r="Z85" s="119">
        <v>6.1411406E8</v>
      </c>
      <c r="AA85" s="99">
        <v>1389217.3666199013</v>
      </c>
      <c r="AB85" s="100">
        <f t="shared" si="62"/>
        <v>0</v>
      </c>
      <c r="AC85" s="101">
        <f t="shared" si="13"/>
        <v>0</v>
      </c>
      <c r="AD85" s="110"/>
      <c r="AE85" s="118">
        <v>5.29749132E8</v>
      </c>
      <c r="AF85" s="99">
        <v>1298243.3714842624</v>
      </c>
      <c r="AG85" s="100">
        <f t="shared" si="63"/>
        <v>0</v>
      </c>
      <c r="AH85" s="101">
        <f t="shared" si="15"/>
        <v>0</v>
      </c>
      <c r="AI85" s="111"/>
      <c r="AJ85" s="118">
        <v>1.54159215745E11</v>
      </c>
      <c r="AK85" s="118">
        <v>300334.00993407</v>
      </c>
      <c r="AL85" s="100">
        <f t="shared" si="64"/>
        <v>0</v>
      </c>
      <c r="AM85" s="100">
        <f t="shared" si="17"/>
        <v>0</v>
      </c>
      <c r="AN85" s="104">
        <f t="shared" si="18"/>
        <v>0</v>
      </c>
      <c r="AO85" s="97">
        <f t="shared" si="19"/>
        <v>0</v>
      </c>
    </row>
    <row r="86" ht="15.75" customHeight="1">
      <c r="A86" s="95">
        <v>21101.0</v>
      </c>
      <c r="B86" s="60" t="s">
        <v>51</v>
      </c>
      <c r="C86" s="60" t="s">
        <v>65</v>
      </c>
      <c r="D86" s="96">
        <v>21.0</v>
      </c>
      <c r="E86" s="97">
        <v>17943.0</v>
      </c>
      <c r="F86" s="98">
        <v>14.18065471361849</v>
      </c>
      <c r="G86" s="118">
        <v>4.22290885E8</v>
      </c>
      <c r="H86" s="99">
        <f t="shared" si="1"/>
        <v>954922.1553</v>
      </c>
      <c r="I86" s="100">
        <f t="shared" si="59"/>
        <v>0.00004370067333</v>
      </c>
      <c r="J86" s="101">
        <f t="shared" si="3"/>
        <v>0.00232573935</v>
      </c>
      <c r="K86" s="102">
        <v>5.989178703028688</v>
      </c>
      <c r="L86" s="119">
        <v>3.2111817E8</v>
      </c>
      <c r="M86" s="99">
        <f t="shared" si="4"/>
        <v>870383.3219</v>
      </c>
      <c r="N86" s="100">
        <f t="shared" si="60"/>
        <v>0.0001421809466</v>
      </c>
      <c r="O86" s="101">
        <f t="shared" si="6"/>
        <v>0.006896947256</v>
      </c>
      <c r="P86" s="98">
        <v>0.8292330423878026</v>
      </c>
      <c r="Q86" s="99">
        <v>1.15475189454E11</v>
      </c>
      <c r="R86" s="99">
        <f t="shared" si="7"/>
        <v>224969.5325</v>
      </c>
      <c r="S86" s="100">
        <f t="shared" si="61"/>
        <v>0.00005830123268</v>
      </c>
      <c r="T86" s="101">
        <f t="shared" si="9"/>
        <v>0.0007309815002</v>
      </c>
      <c r="U86" s="100">
        <f t="shared" si="10"/>
        <v>0.009953668107</v>
      </c>
      <c r="V86" s="99">
        <f t="shared" si="11"/>
        <v>178.5986668</v>
      </c>
      <c r="W86" s="96">
        <v>275.0</v>
      </c>
      <c r="X86" s="97">
        <v>18303.0</v>
      </c>
      <c r="Y86" s="98">
        <v>178.8350919417401</v>
      </c>
      <c r="Z86" s="119">
        <v>6.1411406E8</v>
      </c>
      <c r="AA86" s="99">
        <v>1389217.3666199013</v>
      </c>
      <c r="AB86" s="100">
        <f t="shared" si="62"/>
        <v>0.0003593574899</v>
      </c>
      <c r="AC86" s="101">
        <f t="shared" si="13"/>
        <v>0.02727561961</v>
      </c>
      <c r="AD86" s="98">
        <v>88.00564208300877</v>
      </c>
      <c r="AE86" s="118">
        <v>5.29749132E8</v>
      </c>
      <c r="AF86" s="99">
        <v>1298243.3714842624</v>
      </c>
      <c r="AG86" s="100">
        <f t="shared" si="63"/>
        <v>0.001447166101</v>
      </c>
      <c r="AH86" s="101">
        <f t="shared" si="15"/>
        <v>0.1026484073</v>
      </c>
      <c r="AI86" s="102">
        <v>8.148893878135471</v>
      </c>
      <c r="AJ86" s="118">
        <v>1.54159215745E11</v>
      </c>
      <c r="AK86" s="118">
        <v>300334.00993407</v>
      </c>
      <c r="AL86" s="100">
        <f t="shared" si="64"/>
        <v>0.0003878306</v>
      </c>
      <c r="AM86" s="100">
        <f t="shared" si="17"/>
        <v>0.006363914073</v>
      </c>
      <c r="AN86" s="104">
        <f t="shared" si="18"/>
        <v>0.1362879409</v>
      </c>
      <c r="AO86" s="97">
        <f t="shared" si="19"/>
        <v>2494.478183</v>
      </c>
    </row>
    <row r="87" ht="15.75" customHeight="1">
      <c r="A87" s="95">
        <v>21102.0</v>
      </c>
      <c r="B87" s="60" t="s">
        <v>51</v>
      </c>
      <c r="C87" s="60" t="s">
        <v>82</v>
      </c>
      <c r="D87" s="96">
        <v>421.0</v>
      </c>
      <c r="E87" s="97">
        <v>18776.75</v>
      </c>
      <c r="F87" s="98">
        <v>375.5898663159355</v>
      </c>
      <c r="G87" s="118">
        <v>4.22290885E8</v>
      </c>
      <c r="H87" s="99">
        <f t="shared" si="1"/>
        <v>954922.1553</v>
      </c>
      <c r="I87" s="100">
        <f t="shared" si="59"/>
        <v>0.001157459256</v>
      </c>
      <c r="J87" s="101">
        <f t="shared" si="3"/>
        <v>0.05886447268</v>
      </c>
      <c r="K87" s="102">
        <v>30.06190156280876</v>
      </c>
      <c r="L87" s="119">
        <v>3.2111817E8</v>
      </c>
      <c r="M87" s="99">
        <f t="shared" si="4"/>
        <v>870383.3219</v>
      </c>
      <c r="N87" s="100">
        <f t="shared" si="60"/>
        <v>0.0007136587223</v>
      </c>
      <c r="O87" s="101">
        <f t="shared" si="6"/>
        <v>0.03308115885</v>
      </c>
      <c r="P87" s="98">
        <v>15.33436305606652</v>
      </c>
      <c r="Q87" s="99">
        <v>1.15475189454E11</v>
      </c>
      <c r="R87" s="99">
        <f t="shared" si="7"/>
        <v>224969.5325</v>
      </c>
      <c r="S87" s="100">
        <f t="shared" si="61"/>
        <v>0.001078119446</v>
      </c>
      <c r="T87" s="101">
        <f t="shared" si="9"/>
        <v>0.01291725287</v>
      </c>
      <c r="U87" s="100">
        <f t="shared" si="10"/>
        <v>0.1048628844</v>
      </c>
      <c r="V87" s="99">
        <f t="shared" si="11"/>
        <v>1968.984165</v>
      </c>
      <c r="W87" s="96">
        <v>354.0</v>
      </c>
      <c r="X87" s="97">
        <v>23279.0</v>
      </c>
      <c r="Y87" s="98">
        <v>313.390488914235</v>
      </c>
      <c r="Z87" s="119">
        <v>6.1411406E8</v>
      </c>
      <c r="AA87" s="99">
        <v>1389217.3666199013</v>
      </c>
      <c r="AB87" s="100">
        <f t="shared" si="62"/>
        <v>0.0006297378117</v>
      </c>
      <c r="AC87" s="101">
        <f t="shared" si="13"/>
        <v>0.03758076826</v>
      </c>
      <c r="AD87" s="98">
        <v>30.0636999794565</v>
      </c>
      <c r="AE87" s="118">
        <v>5.29749132E8</v>
      </c>
      <c r="AF87" s="99">
        <v>1298243.3714842624</v>
      </c>
      <c r="AG87" s="100">
        <f t="shared" si="63"/>
        <v>0.0004943679343</v>
      </c>
      <c r="AH87" s="101">
        <f t="shared" si="15"/>
        <v>0.0275703378</v>
      </c>
      <c r="AI87" s="102">
        <v>10.53454591629806</v>
      </c>
      <c r="AJ87" s="118">
        <v>1.54159215745E11</v>
      </c>
      <c r="AK87" s="118">
        <v>300334.00993407</v>
      </c>
      <c r="AL87" s="100">
        <f t="shared" si="64"/>
        <v>0.0005013710234</v>
      </c>
      <c r="AM87" s="100">
        <f t="shared" si="17"/>
        <v>0.006468438074</v>
      </c>
      <c r="AN87" s="104">
        <f t="shared" si="18"/>
        <v>0.07161954414</v>
      </c>
      <c r="AO87" s="97">
        <f t="shared" si="19"/>
        <v>1667.231368</v>
      </c>
    </row>
    <row r="88" ht="15.75" customHeight="1">
      <c r="A88" s="95">
        <v>21103.0</v>
      </c>
      <c r="B88" s="60" t="s">
        <v>51</v>
      </c>
      <c r="C88" s="60" t="s">
        <v>776</v>
      </c>
      <c r="D88" s="108"/>
      <c r="E88" s="109">
        <v>6718.75</v>
      </c>
      <c r="F88" s="110"/>
      <c r="G88" s="118">
        <v>4.22290885E8</v>
      </c>
      <c r="H88" s="99">
        <f t="shared" si="1"/>
        <v>954922.1553</v>
      </c>
      <c r="I88" s="100">
        <f t="shared" si="59"/>
        <v>0</v>
      </c>
      <c r="J88" s="101">
        <f t="shared" si="3"/>
        <v>0</v>
      </c>
      <c r="K88" s="111"/>
      <c r="L88" s="119">
        <v>3.2111817E8</v>
      </c>
      <c r="M88" s="99">
        <f t="shared" si="4"/>
        <v>870383.3219</v>
      </c>
      <c r="N88" s="100">
        <f t="shared" si="60"/>
        <v>0</v>
      </c>
      <c r="O88" s="101">
        <f t="shared" si="6"/>
        <v>0</v>
      </c>
      <c r="P88" s="110"/>
      <c r="Q88" s="99">
        <v>1.15475189454E11</v>
      </c>
      <c r="R88" s="99">
        <f t="shared" si="7"/>
        <v>224969.5325</v>
      </c>
      <c r="S88" s="100">
        <f t="shared" si="61"/>
        <v>0</v>
      </c>
      <c r="T88" s="101">
        <f t="shared" si="9"/>
        <v>0</v>
      </c>
      <c r="U88" s="100">
        <f t="shared" si="10"/>
        <v>0</v>
      </c>
      <c r="V88" s="99">
        <f t="shared" si="11"/>
        <v>0</v>
      </c>
      <c r="W88" s="108"/>
      <c r="X88" s="97">
        <v>7615.0</v>
      </c>
      <c r="Y88" s="110"/>
      <c r="Z88" s="119">
        <v>6.1411406E8</v>
      </c>
      <c r="AA88" s="99">
        <v>1389217.3666199013</v>
      </c>
      <c r="AB88" s="100">
        <f t="shared" si="62"/>
        <v>0</v>
      </c>
      <c r="AC88" s="101">
        <f t="shared" si="13"/>
        <v>0</v>
      </c>
      <c r="AD88" s="110"/>
      <c r="AE88" s="118">
        <v>5.29749132E8</v>
      </c>
      <c r="AF88" s="99">
        <v>1298243.3714842624</v>
      </c>
      <c r="AG88" s="100">
        <f t="shared" si="63"/>
        <v>0</v>
      </c>
      <c r="AH88" s="101">
        <f t="shared" si="15"/>
        <v>0</v>
      </c>
      <c r="AI88" s="111"/>
      <c r="AJ88" s="118">
        <v>1.54159215745E11</v>
      </c>
      <c r="AK88" s="118">
        <v>300334.00993407</v>
      </c>
      <c r="AL88" s="100">
        <f t="shared" si="64"/>
        <v>0</v>
      </c>
      <c r="AM88" s="100">
        <f t="shared" si="17"/>
        <v>0</v>
      </c>
      <c r="AN88" s="104">
        <f t="shared" si="18"/>
        <v>0</v>
      </c>
      <c r="AO88" s="97">
        <f t="shared" si="19"/>
        <v>0</v>
      </c>
    </row>
    <row r="89" ht="15.75" customHeight="1">
      <c r="A89" s="95">
        <v>21104.0</v>
      </c>
      <c r="B89" s="60" t="s">
        <v>51</v>
      </c>
      <c r="C89" s="60" t="s">
        <v>90</v>
      </c>
      <c r="D89" s="96">
        <v>360.0</v>
      </c>
      <c r="E89" s="97">
        <v>25332.5</v>
      </c>
      <c r="F89" s="98">
        <v>342.3555484761276</v>
      </c>
      <c r="G89" s="118">
        <v>4.22290885E8</v>
      </c>
      <c r="H89" s="99">
        <f t="shared" si="1"/>
        <v>954922.1553</v>
      </c>
      <c r="I89" s="100">
        <f t="shared" si="59"/>
        <v>0.001055040708</v>
      </c>
      <c r="J89" s="101">
        <f t="shared" si="3"/>
        <v>0.03977032455</v>
      </c>
      <c r="K89" s="102">
        <v>10.3597527554887</v>
      </c>
      <c r="L89" s="119">
        <v>3.2111817E8</v>
      </c>
      <c r="M89" s="99">
        <f t="shared" si="4"/>
        <v>870383.3219</v>
      </c>
      <c r="N89" s="100">
        <f t="shared" si="60"/>
        <v>0.0002459368014</v>
      </c>
      <c r="O89" s="101">
        <f t="shared" si="6"/>
        <v>0.008449986784</v>
      </c>
      <c r="P89" s="98">
        <v>7.279727931457255</v>
      </c>
      <c r="Q89" s="99">
        <v>1.15475189454E11</v>
      </c>
      <c r="R89" s="99">
        <f t="shared" si="7"/>
        <v>224969.5325</v>
      </c>
      <c r="S89" s="100">
        <f t="shared" si="61"/>
        <v>0.0005118188619</v>
      </c>
      <c r="T89" s="101">
        <f t="shared" si="9"/>
        <v>0.004545293598</v>
      </c>
      <c r="U89" s="100">
        <f t="shared" si="10"/>
        <v>0.05276560493</v>
      </c>
      <c r="V89" s="99">
        <f t="shared" si="11"/>
        <v>1336.684687</v>
      </c>
      <c r="W89" s="96">
        <v>310.0</v>
      </c>
      <c r="X89" s="97">
        <v>27137.0</v>
      </c>
      <c r="Y89" s="98">
        <v>297.3673346661006</v>
      </c>
      <c r="Z89" s="119">
        <v>6.1411406E8</v>
      </c>
      <c r="AA89" s="99">
        <v>1389217.3666199013</v>
      </c>
      <c r="AB89" s="100">
        <f t="shared" si="62"/>
        <v>0.000597540325</v>
      </c>
      <c r="AC89" s="101">
        <f t="shared" si="13"/>
        <v>0.03058972608</v>
      </c>
      <c r="AD89" s="98">
        <v>7.535391759141721</v>
      </c>
      <c r="AE89" s="118">
        <v>5.29749132E8</v>
      </c>
      <c r="AF89" s="99">
        <v>1298243.3714842624</v>
      </c>
      <c r="AG89" s="100">
        <f t="shared" si="63"/>
        <v>0.0001239120953</v>
      </c>
      <c r="AH89" s="101">
        <f t="shared" si="15"/>
        <v>0.005927997067</v>
      </c>
      <c r="AI89" s="102">
        <v>5.093865251684583</v>
      </c>
      <c r="AJ89" s="118">
        <v>1.54159215745E11</v>
      </c>
      <c r="AK89" s="118">
        <v>300334.00993407</v>
      </c>
      <c r="AL89" s="100">
        <f t="shared" si="64"/>
        <v>0.0002424325125</v>
      </c>
      <c r="AM89" s="100">
        <f t="shared" si="17"/>
        <v>0.002683079508</v>
      </c>
      <c r="AN89" s="104">
        <f t="shared" si="18"/>
        <v>0.03920080266</v>
      </c>
      <c r="AO89" s="97">
        <f t="shared" si="19"/>
        <v>1063.792182</v>
      </c>
    </row>
    <row r="90" ht="15.75" customHeight="1">
      <c r="A90" s="95">
        <v>21105.0</v>
      </c>
      <c r="B90" s="60" t="s">
        <v>51</v>
      </c>
      <c r="C90" s="60" t="s">
        <v>354</v>
      </c>
      <c r="D90" s="108"/>
      <c r="E90" s="109">
        <v>41530.25</v>
      </c>
      <c r="F90" s="110"/>
      <c r="G90" s="118">
        <v>4.22290885E8</v>
      </c>
      <c r="H90" s="99">
        <f t="shared" si="1"/>
        <v>954922.1553</v>
      </c>
      <c r="I90" s="100">
        <f t="shared" si="59"/>
        <v>0</v>
      </c>
      <c r="J90" s="101">
        <f t="shared" si="3"/>
        <v>0</v>
      </c>
      <c r="K90" s="111"/>
      <c r="L90" s="119">
        <v>3.2111817E8</v>
      </c>
      <c r="M90" s="99">
        <f t="shared" si="4"/>
        <v>870383.3219</v>
      </c>
      <c r="N90" s="100">
        <f t="shared" si="60"/>
        <v>0</v>
      </c>
      <c r="O90" s="101">
        <f t="shared" si="6"/>
        <v>0</v>
      </c>
      <c r="P90" s="110"/>
      <c r="Q90" s="99">
        <v>1.15475189454E11</v>
      </c>
      <c r="R90" s="99">
        <f t="shared" si="7"/>
        <v>224969.5325</v>
      </c>
      <c r="S90" s="100">
        <f t="shared" si="61"/>
        <v>0</v>
      </c>
      <c r="T90" s="101">
        <f t="shared" si="9"/>
        <v>0</v>
      </c>
      <c r="U90" s="100">
        <f t="shared" si="10"/>
        <v>0</v>
      </c>
      <c r="V90" s="99">
        <f t="shared" si="11"/>
        <v>0</v>
      </c>
      <c r="W90" s="96">
        <v>53.0</v>
      </c>
      <c r="X90" s="97">
        <v>45587.0</v>
      </c>
      <c r="Y90" s="98">
        <v>43.72015109941836</v>
      </c>
      <c r="Z90" s="119">
        <v>6.1411406E8</v>
      </c>
      <c r="AA90" s="99">
        <v>1389217.3666199013</v>
      </c>
      <c r="AB90" s="100">
        <f t="shared" si="62"/>
        <v>0.00008785280107</v>
      </c>
      <c r="AC90" s="101">
        <f t="shared" si="13"/>
        <v>0.00267722458</v>
      </c>
      <c r="AD90" s="98">
        <v>7.728535830151928</v>
      </c>
      <c r="AE90" s="118">
        <v>5.29749132E8</v>
      </c>
      <c r="AF90" s="99">
        <v>1298243.3714842624</v>
      </c>
      <c r="AG90" s="100">
        <f t="shared" si="63"/>
        <v>0.0001270881593</v>
      </c>
      <c r="AH90" s="101">
        <f t="shared" si="15"/>
        <v>0.003619263396</v>
      </c>
      <c r="AI90" s="102">
        <v>1.54936788840816</v>
      </c>
      <c r="AJ90" s="118">
        <v>1.54159215745E11</v>
      </c>
      <c r="AK90" s="118">
        <v>300334.00993407</v>
      </c>
      <c r="AL90" s="100">
        <f t="shared" si="64"/>
        <v>0.00007373912175</v>
      </c>
      <c r="AM90" s="100">
        <f t="shared" si="17"/>
        <v>0.0004858044206</v>
      </c>
      <c r="AN90" s="104">
        <f t="shared" si="18"/>
        <v>0.006782292398</v>
      </c>
      <c r="AO90" s="97">
        <f t="shared" si="19"/>
        <v>309.1843635</v>
      </c>
    </row>
    <row r="91" ht="15.75" customHeight="1">
      <c r="A91" s="95">
        <v>21201.0</v>
      </c>
      <c r="B91" s="60" t="s">
        <v>51</v>
      </c>
      <c r="C91" s="60" t="s">
        <v>92</v>
      </c>
      <c r="D91" s="96">
        <v>105.0</v>
      </c>
      <c r="E91" s="97">
        <v>35055.5</v>
      </c>
      <c r="F91" s="98">
        <v>98.83921880753257</v>
      </c>
      <c r="G91" s="118">
        <v>4.22290885E8</v>
      </c>
      <c r="H91" s="99">
        <f t="shared" si="1"/>
        <v>954922.1553</v>
      </c>
      <c r="I91" s="100">
        <f t="shared" si="59"/>
        <v>0.000304593864</v>
      </c>
      <c r="J91" s="101">
        <f t="shared" si="3"/>
        <v>0.008297226658</v>
      </c>
      <c r="K91" s="102">
        <v>4.354519674825848</v>
      </c>
      <c r="L91" s="119">
        <v>3.2111817E8</v>
      </c>
      <c r="M91" s="99">
        <f t="shared" si="4"/>
        <v>870383.3219</v>
      </c>
      <c r="N91" s="100">
        <f t="shared" si="60"/>
        <v>0.0001033747297</v>
      </c>
      <c r="O91" s="101">
        <f t="shared" si="6"/>
        <v>0.002566662595</v>
      </c>
      <c r="P91" s="98">
        <v>1.804269629870992</v>
      </c>
      <c r="Q91" s="99">
        <v>1.15475189454E11</v>
      </c>
      <c r="R91" s="99">
        <f t="shared" si="7"/>
        <v>224969.5325</v>
      </c>
      <c r="S91" s="100">
        <f t="shared" si="61"/>
        <v>0.0001268535359</v>
      </c>
      <c r="T91" s="101">
        <f t="shared" si="9"/>
        <v>0.0008140856831</v>
      </c>
      <c r="U91" s="100">
        <f t="shared" si="10"/>
        <v>0.01167797494</v>
      </c>
      <c r="V91" s="99">
        <f t="shared" si="11"/>
        <v>409.3772504</v>
      </c>
      <c r="W91" s="96">
        <v>2324.0</v>
      </c>
      <c r="X91" s="97">
        <v>49850.0</v>
      </c>
      <c r="Y91" s="98">
        <v>1963.588647421437</v>
      </c>
      <c r="Z91" s="119">
        <v>6.1411406E8</v>
      </c>
      <c r="AA91" s="99">
        <v>1389217.3666199013</v>
      </c>
      <c r="AB91" s="100">
        <f t="shared" si="62"/>
        <v>0.00394570372</v>
      </c>
      <c r="AC91" s="101">
        <f t="shared" si="13"/>
        <v>0.1099586787</v>
      </c>
      <c r="AD91" s="98">
        <v>285.0945579866522</v>
      </c>
      <c r="AE91" s="118">
        <v>5.29749132E8</v>
      </c>
      <c r="AF91" s="99">
        <v>1298243.3714842624</v>
      </c>
      <c r="AG91" s="100">
        <f t="shared" si="63"/>
        <v>0.004688099196</v>
      </c>
      <c r="AH91" s="101">
        <f t="shared" si="15"/>
        <v>0.1220921506</v>
      </c>
      <c r="AI91" s="102">
        <v>75.24037541927072</v>
      </c>
      <c r="AJ91" s="118">
        <v>1.54159215745E11</v>
      </c>
      <c r="AK91" s="118">
        <v>300334.00993407</v>
      </c>
      <c r="AL91" s="100">
        <f t="shared" si="64"/>
        <v>0.003580917899</v>
      </c>
      <c r="AM91" s="100">
        <f t="shared" si="17"/>
        <v>0.02157415109</v>
      </c>
      <c r="AN91" s="104">
        <f t="shared" si="18"/>
        <v>0.2536249803</v>
      </c>
      <c r="AO91" s="97">
        <f t="shared" si="19"/>
        <v>12643.20527</v>
      </c>
    </row>
    <row r="92" ht="15.75" customHeight="1">
      <c r="A92" s="95">
        <v>21202.0</v>
      </c>
      <c r="B92" s="60" t="s">
        <v>51</v>
      </c>
      <c r="C92" s="60" t="s">
        <v>85</v>
      </c>
      <c r="D92" s="96">
        <v>19.0</v>
      </c>
      <c r="E92" s="97">
        <v>28061.25</v>
      </c>
      <c r="F92" s="98">
        <v>15.47153269145996</v>
      </c>
      <c r="G92" s="118">
        <v>4.22290885E8</v>
      </c>
      <c r="H92" s="99">
        <f t="shared" si="1"/>
        <v>954922.1553</v>
      </c>
      <c r="I92" s="100">
        <f t="shared" si="59"/>
        <v>0.00004767878562</v>
      </c>
      <c r="J92" s="101">
        <f t="shared" si="3"/>
        <v>0.001622505367</v>
      </c>
      <c r="K92" s="102">
        <v>3.389262481870543</v>
      </c>
      <c r="L92" s="119">
        <v>3.2111817E8</v>
      </c>
      <c r="M92" s="99">
        <f t="shared" si="4"/>
        <v>870383.3219</v>
      </c>
      <c r="N92" s="100">
        <f t="shared" si="60"/>
        <v>0.00008045987135</v>
      </c>
      <c r="O92" s="101">
        <f t="shared" si="6"/>
        <v>0.002495645422</v>
      </c>
      <c r="P92" s="98">
        <v>0.1387778236325733</v>
      </c>
      <c r="Q92" s="99">
        <v>1.15475189454E11</v>
      </c>
      <c r="R92" s="99">
        <f t="shared" si="7"/>
        <v>224969.5325</v>
      </c>
      <c r="S92" s="100">
        <f t="shared" si="61"/>
        <v>0.000009757110213</v>
      </c>
      <c r="T92" s="101">
        <f t="shared" si="9"/>
        <v>0.00007822361879</v>
      </c>
      <c r="U92" s="100">
        <f t="shared" si="10"/>
        <v>0.004196374408</v>
      </c>
      <c r="V92" s="99">
        <f t="shared" si="11"/>
        <v>117.7555114</v>
      </c>
      <c r="W92" s="96">
        <v>6985.0</v>
      </c>
      <c r="X92" s="97">
        <v>38652.0</v>
      </c>
      <c r="Y92" s="98">
        <v>5560.320407477073</v>
      </c>
      <c r="Z92" s="119">
        <v>6.1411406E8</v>
      </c>
      <c r="AA92" s="99">
        <v>1389217.3666199013</v>
      </c>
      <c r="AB92" s="100">
        <f t="shared" si="62"/>
        <v>0.01117310234</v>
      </c>
      <c r="AC92" s="101">
        <f t="shared" si="13"/>
        <v>0.4015799393</v>
      </c>
      <c r="AD92" s="98">
        <v>1139.655642645779</v>
      </c>
      <c r="AE92" s="118">
        <v>5.29749132E8</v>
      </c>
      <c r="AF92" s="99">
        <v>1298243.3714842624</v>
      </c>
      <c r="AG92" s="100">
        <f t="shared" si="63"/>
        <v>0.01874051451</v>
      </c>
      <c r="AH92" s="101">
        <f t="shared" si="15"/>
        <v>0.6294563993</v>
      </c>
      <c r="AI92" s="102">
        <v>284.7597462991826</v>
      </c>
      <c r="AJ92" s="118">
        <v>1.54159215745E11</v>
      </c>
      <c r="AK92" s="118">
        <v>300334.00993407</v>
      </c>
      <c r="AL92" s="100">
        <f t="shared" si="64"/>
        <v>0.01355258087</v>
      </c>
      <c r="AM92" s="100">
        <f t="shared" si="17"/>
        <v>0.1053063478</v>
      </c>
      <c r="AN92" s="104">
        <f t="shared" si="18"/>
        <v>1.136342686</v>
      </c>
      <c r="AO92" s="97">
        <f t="shared" si="19"/>
        <v>43921.91752</v>
      </c>
    </row>
    <row r="93" ht="15.75" customHeight="1">
      <c r="A93" s="95">
        <v>21203.0</v>
      </c>
      <c r="B93" s="60" t="s">
        <v>51</v>
      </c>
      <c r="C93" s="60" t="s">
        <v>59</v>
      </c>
      <c r="D93" s="96">
        <v>4.0</v>
      </c>
      <c r="E93" s="97">
        <v>18221.25</v>
      </c>
      <c r="F93" s="98">
        <v>2.061324164375448</v>
      </c>
      <c r="G93" s="118">
        <v>4.22290885E8</v>
      </c>
      <c r="H93" s="99">
        <f t="shared" si="1"/>
        <v>954922.1553</v>
      </c>
      <c r="I93" s="100">
        <f t="shared" si="59"/>
        <v>0.000006352404437</v>
      </c>
      <c r="J93" s="101">
        <f t="shared" si="3"/>
        <v>0.0003329108451</v>
      </c>
      <c r="K93" s="102">
        <v>1.783052504600719</v>
      </c>
      <c r="L93" s="119">
        <v>3.2111817E8</v>
      </c>
      <c r="M93" s="99">
        <f t="shared" si="4"/>
        <v>870383.3219</v>
      </c>
      <c r="N93" s="100">
        <f t="shared" si="60"/>
        <v>0.00004232902465</v>
      </c>
      <c r="O93" s="101">
        <f t="shared" si="6"/>
        <v>0.002021951133</v>
      </c>
      <c r="P93" s="98">
        <v>0.1554333331218627</v>
      </c>
      <c r="Q93" s="99">
        <v>1.15475189454E11</v>
      </c>
      <c r="R93" s="99">
        <f t="shared" si="7"/>
        <v>224969.5325</v>
      </c>
      <c r="S93" s="100">
        <f t="shared" si="61"/>
        <v>0.00001092811605</v>
      </c>
      <c r="T93" s="101">
        <f t="shared" si="9"/>
        <v>0.0001349245062</v>
      </c>
      <c r="U93" s="100">
        <f t="shared" si="10"/>
        <v>0.002489786485</v>
      </c>
      <c r="V93" s="99">
        <f t="shared" si="11"/>
        <v>45.36702198</v>
      </c>
      <c r="W93" s="96">
        <v>706.0</v>
      </c>
      <c r="X93" s="97">
        <v>20607.0</v>
      </c>
      <c r="Y93" s="98">
        <v>535.3639165189425</v>
      </c>
      <c r="Z93" s="119">
        <v>6.1411406E8</v>
      </c>
      <c r="AA93" s="99">
        <v>1389217.3666199013</v>
      </c>
      <c r="AB93" s="100">
        <f t="shared" si="62"/>
        <v>0.001075778982</v>
      </c>
      <c r="AC93" s="101">
        <f t="shared" si="13"/>
        <v>0.07252345537</v>
      </c>
      <c r="AD93" s="98">
        <v>140.2041451821637</v>
      </c>
      <c r="AE93" s="118">
        <v>5.29749132E8</v>
      </c>
      <c r="AF93" s="99">
        <v>1298243.3714842624</v>
      </c>
      <c r="AG93" s="100">
        <f t="shared" si="63"/>
        <v>0.00230551907</v>
      </c>
      <c r="AH93" s="101">
        <f t="shared" si="15"/>
        <v>0.1452479668</v>
      </c>
      <c r="AI93" s="102">
        <v>30.40354703314586</v>
      </c>
      <c r="AJ93" s="118">
        <v>1.54159215745E11</v>
      </c>
      <c r="AK93" s="118">
        <v>300334.00993407</v>
      </c>
      <c r="AL93" s="100">
        <f t="shared" si="64"/>
        <v>0.00144699711</v>
      </c>
      <c r="AM93" s="100">
        <f t="shared" si="17"/>
        <v>0.02108906897</v>
      </c>
      <c r="AN93" s="104">
        <f t="shared" si="18"/>
        <v>0.2388604911</v>
      </c>
      <c r="AO93" s="97">
        <f t="shared" si="19"/>
        <v>4922.19814</v>
      </c>
    </row>
    <row r="94" ht="15.75" customHeight="1">
      <c r="A94" s="95">
        <v>21204.0</v>
      </c>
      <c r="B94" s="60" t="s">
        <v>51</v>
      </c>
      <c r="C94" s="60" t="s">
        <v>777</v>
      </c>
      <c r="D94" s="108"/>
      <c r="E94" s="109">
        <v>6848.5</v>
      </c>
      <c r="F94" s="110"/>
      <c r="G94" s="118">
        <v>4.22290885E8</v>
      </c>
      <c r="H94" s="99">
        <f t="shared" si="1"/>
        <v>954922.1553</v>
      </c>
      <c r="I94" s="100">
        <f t="shared" si="59"/>
        <v>0</v>
      </c>
      <c r="J94" s="101">
        <f t="shared" si="3"/>
        <v>0</v>
      </c>
      <c r="K94" s="111"/>
      <c r="L94" s="119">
        <v>3.2111817E8</v>
      </c>
      <c r="M94" s="99">
        <f t="shared" si="4"/>
        <v>870383.3219</v>
      </c>
      <c r="N94" s="100">
        <f t="shared" si="60"/>
        <v>0</v>
      </c>
      <c r="O94" s="101">
        <f t="shared" si="6"/>
        <v>0</v>
      </c>
      <c r="P94" s="110"/>
      <c r="Q94" s="99">
        <v>1.15475189454E11</v>
      </c>
      <c r="R94" s="99">
        <f t="shared" si="7"/>
        <v>224969.5325</v>
      </c>
      <c r="S94" s="100">
        <f t="shared" si="61"/>
        <v>0</v>
      </c>
      <c r="T94" s="101">
        <f t="shared" si="9"/>
        <v>0</v>
      </c>
      <c r="U94" s="100">
        <f t="shared" si="10"/>
        <v>0</v>
      </c>
      <c r="V94" s="99">
        <f t="shared" si="11"/>
        <v>0</v>
      </c>
      <c r="W94" s="116">
        <v>624.0</v>
      </c>
      <c r="X94" s="97">
        <v>7900.0</v>
      </c>
      <c r="Y94" s="110">
        <v>593.536156637123</v>
      </c>
      <c r="Z94" s="119">
        <v>6.1411406E8</v>
      </c>
      <c r="AA94" s="99">
        <v>1389217.3666199013</v>
      </c>
      <c r="AB94" s="100">
        <f t="shared" si="62"/>
        <v>0.001192672317</v>
      </c>
      <c r="AC94" s="101">
        <f t="shared" si="13"/>
        <v>0.2097317842</v>
      </c>
      <c r="AD94" s="110">
        <v>20.966956075550986</v>
      </c>
      <c r="AE94" s="118">
        <v>5.29749132E8</v>
      </c>
      <c r="AF94" s="99">
        <v>1298243.3714842624</v>
      </c>
      <c r="AG94" s="100">
        <f t="shared" si="63"/>
        <v>0.0003447809408</v>
      </c>
      <c r="AH94" s="101">
        <f t="shared" si="15"/>
        <v>0.05665943937</v>
      </c>
      <c r="AI94" s="111">
        <v>9.487430122507236</v>
      </c>
      <c r="AJ94" s="118">
        <v>1.54159215745E11</v>
      </c>
      <c r="AK94" s="118">
        <v>300334.00993407</v>
      </c>
      <c r="AL94" s="100">
        <f t="shared" si="64"/>
        <v>0.0004515356037</v>
      </c>
      <c r="AM94" s="100">
        <f t="shared" si="17"/>
        <v>0.01716601247</v>
      </c>
      <c r="AN94" s="104">
        <f t="shared" si="18"/>
        <v>0.283557236</v>
      </c>
      <c r="AO94" s="97">
        <f t="shared" si="19"/>
        <v>2240.102164</v>
      </c>
    </row>
    <row r="95" ht="15.75" customHeight="1">
      <c r="A95" s="95">
        <v>21301.0</v>
      </c>
      <c r="B95" s="60" t="s">
        <v>51</v>
      </c>
      <c r="C95" s="60" t="s">
        <v>778</v>
      </c>
      <c r="D95" s="108">
        <v>22.0</v>
      </c>
      <c r="E95" s="109">
        <v>31955.25</v>
      </c>
      <c r="F95" s="110">
        <v>13.0</v>
      </c>
      <c r="G95" s="118">
        <v>4.22290885E8</v>
      </c>
      <c r="H95" s="99">
        <f t="shared" si="1"/>
        <v>954922.1553</v>
      </c>
      <c r="I95" s="100">
        <f t="shared" si="59"/>
        <v>0.00004006223723</v>
      </c>
      <c r="J95" s="101">
        <f t="shared" si="3"/>
        <v>0.001197184122</v>
      </c>
      <c r="K95" s="111">
        <v>8.0</v>
      </c>
      <c r="L95" s="119">
        <v>3.2111817E8</v>
      </c>
      <c r="M95" s="99">
        <f t="shared" si="4"/>
        <v>870383.3219</v>
      </c>
      <c r="N95" s="100">
        <f t="shared" si="60"/>
        <v>0.0001899171204</v>
      </c>
      <c r="O95" s="101">
        <f t="shared" si="6"/>
        <v>0.005172880642</v>
      </c>
      <c r="P95" s="110">
        <v>0.0</v>
      </c>
      <c r="Q95" s="99">
        <v>1.15475189454E11</v>
      </c>
      <c r="R95" s="99">
        <f t="shared" si="7"/>
        <v>224969.5325</v>
      </c>
      <c r="S95" s="100">
        <f t="shared" si="61"/>
        <v>0</v>
      </c>
      <c r="T95" s="101">
        <f t="shared" si="9"/>
        <v>0</v>
      </c>
      <c r="U95" s="100">
        <f t="shared" si="10"/>
        <v>0.006370064765</v>
      </c>
      <c r="V95" s="99">
        <f t="shared" si="11"/>
        <v>203.5570121</v>
      </c>
      <c r="W95" s="116">
        <v>4441.0</v>
      </c>
      <c r="X95" s="97">
        <v>33885.0</v>
      </c>
      <c r="Y95" s="110">
        <v>3536.0411821249536</v>
      </c>
      <c r="Z95" s="119">
        <v>6.1411406E8</v>
      </c>
      <c r="AA95" s="99">
        <v>1389217.3666199013</v>
      </c>
      <c r="AB95" s="100">
        <f t="shared" si="62"/>
        <v>0.007105444852</v>
      </c>
      <c r="AC95" s="101">
        <f t="shared" si="13"/>
        <v>0.2913090567</v>
      </c>
      <c r="AD95" s="110">
        <v>740.4221738363203</v>
      </c>
      <c r="AE95" s="118">
        <v>5.29749132E8</v>
      </c>
      <c r="AF95" s="99">
        <v>1298243.3714842624</v>
      </c>
      <c r="AG95" s="100">
        <f t="shared" si="63"/>
        <v>0.01217551335</v>
      </c>
      <c r="AH95" s="101">
        <f t="shared" si="15"/>
        <v>0.46648309</v>
      </c>
      <c r="AI95" s="111">
        <v>164.3354226952281</v>
      </c>
      <c r="AJ95" s="118">
        <v>1.54159215745E11</v>
      </c>
      <c r="AK95" s="118">
        <v>300334.00993407</v>
      </c>
      <c r="AL95" s="100">
        <f t="shared" si="64"/>
        <v>0.007821221695</v>
      </c>
      <c r="AM95" s="100">
        <f t="shared" si="17"/>
        <v>0.06932208571</v>
      </c>
      <c r="AN95" s="104">
        <f t="shared" si="18"/>
        <v>0.8271142324</v>
      </c>
      <c r="AO95" s="97">
        <f t="shared" si="19"/>
        <v>28026.76577</v>
      </c>
    </row>
    <row r="96" ht="15.75" customHeight="1">
      <c r="A96" s="95">
        <v>21302.0</v>
      </c>
      <c r="B96" s="60" t="s">
        <v>51</v>
      </c>
      <c r="C96" s="60" t="s">
        <v>103</v>
      </c>
      <c r="D96" s="96">
        <v>4.0</v>
      </c>
      <c r="E96" s="97">
        <v>8952.75</v>
      </c>
      <c r="F96" s="98">
        <v>2.163155289712926</v>
      </c>
      <c r="G96" s="118">
        <v>4.22290885E8</v>
      </c>
      <c r="H96" s="99">
        <f t="shared" si="1"/>
        <v>954922.1553</v>
      </c>
      <c r="I96" s="100">
        <f t="shared" si="59"/>
        <v>0.000006666218491</v>
      </c>
      <c r="J96" s="101">
        <f t="shared" si="3"/>
        <v>0.0007110351266</v>
      </c>
      <c r="K96" s="102">
        <v>1.735979388890273</v>
      </c>
      <c r="L96" s="119">
        <v>3.2111817E8</v>
      </c>
      <c r="M96" s="99">
        <f t="shared" si="4"/>
        <v>870383.3219</v>
      </c>
      <c r="N96" s="100">
        <f t="shared" si="60"/>
        <v>0.00004121152583</v>
      </c>
      <c r="O96" s="101">
        <f t="shared" si="6"/>
        <v>0.004006570579</v>
      </c>
      <c r="P96" s="98">
        <v>0.1007293084870024</v>
      </c>
      <c r="Q96" s="99">
        <v>1.15475189454E11</v>
      </c>
      <c r="R96" s="99">
        <f t="shared" si="7"/>
        <v>224969.5325</v>
      </c>
      <c r="S96" s="100">
        <f t="shared" si="61"/>
        <v>0.00000708201742</v>
      </c>
      <c r="T96" s="101">
        <f t="shared" si="9"/>
        <v>0.0001779607549</v>
      </c>
      <c r="U96" s="100">
        <f t="shared" si="10"/>
        <v>0.00489556646</v>
      </c>
      <c r="V96" s="99">
        <f t="shared" si="11"/>
        <v>43.82878263</v>
      </c>
      <c r="W96" s="96">
        <v>274.0</v>
      </c>
      <c r="X96" s="97">
        <v>9102.0</v>
      </c>
      <c r="Y96" s="98">
        <v>236.8213827076366</v>
      </c>
      <c r="Z96" s="119">
        <v>6.1411406E8</v>
      </c>
      <c r="AA96" s="99">
        <v>1389217.3666199013</v>
      </c>
      <c r="AB96" s="100">
        <f t="shared" si="62"/>
        <v>0.0004758771711</v>
      </c>
      <c r="AC96" s="101">
        <f t="shared" si="13"/>
        <v>0.07263204026</v>
      </c>
      <c r="AD96" s="98">
        <v>22.56776493044363</v>
      </c>
      <c r="AE96" s="118">
        <v>5.29749132E8</v>
      </c>
      <c r="AF96" s="99">
        <v>1298243.3714842624</v>
      </c>
      <c r="AG96" s="100">
        <f t="shared" si="63"/>
        <v>0.0003711046657</v>
      </c>
      <c r="AH96" s="101">
        <f t="shared" si="15"/>
        <v>0.0529316823</v>
      </c>
      <c r="AI96" s="102">
        <v>14.60110363427543</v>
      </c>
      <c r="AJ96" s="118">
        <v>1.54159215745E11</v>
      </c>
      <c r="AK96" s="118">
        <v>300334.00993407</v>
      </c>
      <c r="AL96" s="100">
        <f t="shared" si="64"/>
        <v>0.0006949108515</v>
      </c>
      <c r="AM96" s="100">
        <f t="shared" si="17"/>
        <v>0.02292961575</v>
      </c>
      <c r="AN96" s="104">
        <f t="shared" si="18"/>
        <v>0.1484933383</v>
      </c>
      <c r="AO96" s="97">
        <f t="shared" si="19"/>
        <v>1351.586365</v>
      </c>
    </row>
    <row r="97" ht="15.75" customHeight="1">
      <c r="A97" s="95">
        <v>21303.0</v>
      </c>
      <c r="B97" s="60" t="s">
        <v>51</v>
      </c>
      <c r="C97" s="60" t="s">
        <v>58</v>
      </c>
      <c r="D97" s="96">
        <v>1.0</v>
      </c>
      <c r="E97" s="97">
        <v>8663.0</v>
      </c>
      <c r="F97" s="98">
        <v>0.178797409805735</v>
      </c>
      <c r="G97" s="118">
        <v>4.22290885E8</v>
      </c>
      <c r="H97" s="99">
        <f t="shared" si="1"/>
        <v>954922.1553</v>
      </c>
      <c r="I97" s="100">
        <f t="shared" si="59"/>
        <v>0.0000005510018652</v>
      </c>
      <c r="J97" s="101">
        <f t="shared" si="3"/>
        <v>0.00006073691432</v>
      </c>
      <c r="K97" s="102">
        <v>0.819278445883441</v>
      </c>
      <c r="L97" s="119">
        <v>3.2111817E8</v>
      </c>
      <c r="M97" s="99">
        <f t="shared" si="4"/>
        <v>870383.3219</v>
      </c>
      <c r="N97" s="100">
        <f t="shared" si="60"/>
        <v>0.00001944937541</v>
      </c>
      <c r="O97" s="101">
        <f t="shared" si="6"/>
        <v>0.001954105042</v>
      </c>
      <c r="P97" s="98">
        <v>0.00181313598519889</v>
      </c>
      <c r="Q97" s="99">
        <v>1.15475189454E11</v>
      </c>
      <c r="R97" s="99">
        <f t="shared" si="7"/>
        <v>224969.5325</v>
      </c>
      <c r="S97" s="100">
        <f t="shared" si="61"/>
        <v>0.0000001274769064</v>
      </c>
      <c r="T97" s="101">
        <f t="shared" si="9"/>
        <v>0.000003310449041</v>
      </c>
      <c r="U97" s="100">
        <f t="shared" si="10"/>
        <v>0.002018152405</v>
      </c>
      <c r="V97" s="99">
        <f t="shared" si="11"/>
        <v>17.48325428</v>
      </c>
      <c r="W97" s="96">
        <v>4359.0</v>
      </c>
      <c r="X97" s="97">
        <v>11258.0</v>
      </c>
      <c r="Y97" s="98">
        <v>3985.339544672169</v>
      </c>
      <c r="Z97" s="119">
        <v>6.1411406E8</v>
      </c>
      <c r="AA97" s="99">
        <v>1389217.3666199013</v>
      </c>
      <c r="AB97" s="100">
        <f t="shared" si="62"/>
        <v>0.008008280699</v>
      </c>
      <c r="AC97" s="101">
        <f t="shared" si="13"/>
        <v>0.98820773</v>
      </c>
      <c r="AD97" s="98">
        <v>274.5966049716586</v>
      </c>
      <c r="AE97" s="118">
        <v>5.29749132E8</v>
      </c>
      <c r="AF97" s="99">
        <v>1298243.3714842624</v>
      </c>
      <c r="AG97" s="100">
        <f t="shared" si="63"/>
        <v>0.004515470699</v>
      </c>
      <c r="AH97" s="101">
        <f t="shared" si="15"/>
        <v>0.5207123738</v>
      </c>
      <c r="AI97" s="102">
        <v>98.9640838292807</v>
      </c>
      <c r="AJ97" s="118">
        <v>1.54159215745E11</v>
      </c>
      <c r="AK97" s="118">
        <v>300334.00993407</v>
      </c>
      <c r="AL97" s="100">
        <f t="shared" si="64"/>
        <v>0.004710001208</v>
      </c>
      <c r="AM97" s="100">
        <f t="shared" si="17"/>
        <v>0.1256505196</v>
      </c>
      <c r="AN97" s="104">
        <f t="shared" si="18"/>
        <v>1.634570623</v>
      </c>
      <c r="AO97" s="97">
        <f t="shared" si="19"/>
        <v>18401.99608</v>
      </c>
    </row>
    <row r="98" ht="15.75" customHeight="1">
      <c r="A98" s="95">
        <v>21304.0</v>
      </c>
      <c r="B98" s="60" t="s">
        <v>51</v>
      </c>
      <c r="C98" s="60" t="s">
        <v>61</v>
      </c>
      <c r="D98" s="96">
        <v>1486.0</v>
      </c>
      <c r="E98" s="97">
        <v>13141.5</v>
      </c>
      <c r="F98" s="98">
        <v>1014.275556146447</v>
      </c>
      <c r="G98" s="118">
        <v>4.22290885E8</v>
      </c>
      <c r="H98" s="99">
        <f t="shared" si="1"/>
        <v>954922.1553</v>
      </c>
      <c r="I98" s="100">
        <f t="shared" si="59"/>
        <v>0.003125703688</v>
      </c>
      <c r="J98" s="101">
        <f t="shared" si="3"/>
        <v>0.227128083</v>
      </c>
      <c r="K98" s="102">
        <v>442.4659536397162</v>
      </c>
      <c r="L98" s="119">
        <v>3.2111817E8</v>
      </c>
      <c r="M98" s="99">
        <f t="shared" si="4"/>
        <v>870383.3219</v>
      </c>
      <c r="N98" s="100">
        <f t="shared" si="60"/>
        <v>0.01050398247</v>
      </c>
      <c r="O98" s="101">
        <f t="shared" si="6"/>
        <v>0.6956961655</v>
      </c>
      <c r="P98" s="98">
        <v>29.20434276714962</v>
      </c>
      <c r="Q98" s="99">
        <v>1.15475189454E11</v>
      </c>
      <c r="R98" s="99">
        <f t="shared" si="7"/>
        <v>224969.5325</v>
      </c>
      <c r="S98" s="100">
        <f t="shared" si="61"/>
        <v>0.002053281883</v>
      </c>
      <c r="T98" s="101">
        <f t="shared" si="9"/>
        <v>0.03515016287</v>
      </c>
      <c r="U98" s="100">
        <f t="shared" si="10"/>
        <v>0.9579744114</v>
      </c>
      <c r="V98" s="99">
        <f t="shared" si="11"/>
        <v>12589.22073</v>
      </c>
      <c r="W98" s="96">
        <v>12648.0</v>
      </c>
      <c r="X98" s="97">
        <v>15327.0</v>
      </c>
      <c r="Y98" s="98">
        <v>9401.28328288146</v>
      </c>
      <c r="Z98" s="119">
        <v>6.1411406E8</v>
      </c>
      <c r="AA98" s="99">
        <v>1389217.3666199013</v>
      </c>
      <c r="AB98" s="100">
        <f t="shared" si="62"/>
        <v>0.01889126751</v>
      </c>
      <c r="AC98" s="101">
        <f t="shared" si="13"/>
        <v>1.712277478</v>
      </c>
      <c r="AD98" s="98">
        <v>2562.69770239517</v>
      </c>
      <c r="AE98" s="118">
        <v>5.29749132E8</v>
      </c>
      <c r="AF98" s="99">
        <v>1298243.3714842624</v>
      </c>
      <c r="AG98" s="100">
        <f t="shared" si="63"/>
        <v>0.04214103953</v>
      </c>
      <c r="AH98" s="101">
        <f t="shared" si="15"/>
        <v>3.56947382</v>
      </c>
      <c r="AI98" s="102">
        <v>683.3856390154061</v>
      </c>
      <c r="AJ98" s="118">
        <v>1.54159215745E11</v>
      </c>
      <c r="AK98" s="118">
        <v>300334.00993407</v>
      </c>
      <c r="AL98" s="100">
        <f t="shared" si="64"/>
        <v>0.03252439735</v>
      </c>
      <c r="AM98" s="100">
        <f t="shared" si="17"/>
        <v>0.6373186322</v>
      </c>
      <c r="AN98" s="104">
        <f t="shared" si="18"/>
        <v>5.91906993</v>
      </c>
      <c r="AO98" s="97">
        <f t="shared" si="19"/>
        <v>90721.58482</v>
      </c>
    </row>
    <row r="99" ht="15.75" customHeight="1">
      <c r="A99" s="95">
        <v>21305.0</v>
      </c>
      <c r="B99" s="60" t="s">
        <v>51</v>
      </c>
      <c r="C99" s="60" t="s">
        <v>91</v>
      </c>
      <c r="D99" s="96">
        <v>462.0</v>
      </c>
      <c r="E99" s="97">
        <v>23430.5</v>
      </c>
      <c r="F99" s="98">
        <v>366.0464382128854</v>
      </c>
      <c r="G99" s="118">
        <v>4.22290885E8</v>
      </c>
      <c r="H99" s="99">
        <f t="shared" si="1"/>
        <v>954922.1553</v>
      </c>
      <c r="I99" s="100">
        <f t="shared" si="59"/>
        <v>0.001128049173</v>
      </c>
      <c r="J99" s="101">
        <f t="shared" si="3"/>
        <v>0.04597422792</v>
      </c>
      <c r="K99" s="102">
        <v>81.54958276939874</v>
      </c>
      <c r="L99" s="119">
        <v>3.2111817E8</v>
      </c>
      <c r="M99" s="99">
        <f t="shared" si="4"/>
        <v>870383.3219</v>
      </c>
      <c r="N99" s="100">
        <f t="shared" si="60"/>
        <v>0.001935957741</v>
      </c>
      <c r="O99" s="101">
        <f t="shared" si="6"/>
        <v>0.07191589295</v>
      </c>
      <c r="P99" s="98">
        <v>14.38822135133886</v>
      </c>
      <c r="Q99" s="99">
        <v>1.15475189454E11</v>
      </c>
      <c r="R99" s="99">
        <f t="shared" si="7"/>
        <v>224969.5325</v>
      </c>
      <c r="S99" s="100">
        <f t="shared" si="61"/>
        <v>0.001011598668</v>
      </c>
      <c r="T99" s="101">
        <f t="shared" si="9"/>
        <v>0.009712933113</v>
      </c>
      <c r="U99" s="100">
        <f t="shared" si="10"/>
        <v>0.127603054</v>
      </c>
      <c r="V99" s="99">
        <f t="shared" si="11"/>
        <v>2989.803357</v>
      </c>
      <c r="W99" s="96">
        <v>4307.0</v>
      </c>
      <c r="X99" s="97">
        <v>25148.0</v>
      </c>
      <c r="Y99" s="98">
        <v>3225.989924453932</v>
      </c>
      <c r="Z99" s="119">
        <v>6.1411406E8</v>
      </c>
      <c r="AA99" s="99">
        <v>1389217.3666199013</v>
      </c>
      <c r="AB99" s="100">
        <f t="shared" si="62"/>
        <v>0.006482417008</v>
      </c>
      <c r="AC99" s="101">
        <f t="shared" si="13"/>
        <v>0.3580995024</v>
      </c>
      <c r="AD99" s="98">
        <v>931.7359408300316</v>
      </c>
      <c r="AE99" s="118">
        <v>5.29749132E8</v>
      </c>
      <c r="AF99" s="99">
        <v>1298243.3714842624</v>
      </c>
      <c r="AG99" s="100">
        <f t="shared" si="63"/>
        <v>0.01532147981</v>
      </c>
      <c r="AH99" s="101">
        <f t="shared" si="15"/>
        <v>0.7909579135</v>
      </c>
      <c r="AI99" s="102">
        <v>149.076437548275</v>
      </c>
      <c r="AJ99" s="118">
        <v>1.54159215745E11</v>
      </c>
      <c r="AK99" s="118">
        <v>300334.00993407</v>
      </c>
      <c r="AL99" s="100">
        <f t="shared" si="64"/>
        <v>0.007095000265</v>
      </c>
      <c r="AM99" s="100">
        <f t="shared" si="17"/>
        <v>0.0847331748</v>
      </c>
      <c r="AN99" s="104">
        <f t="shared" si="18"/>
        <v>1.233790591</v>
      </c>
      <c r="AO99" s="97">
        <f t="shared" si="19"/>
        <v>31027.36577</v>
      </c>
    </row>
    <row r="100" ht="15.75" customHeight="1">
      <c r="A100" s="95">
        <v>21306.0</v>
      </c>
      <c r="B100" s="60" t="s">
        <v>51</v>
      </c>
      <c r="C100" s="60" t="s">
        <v>68</v>
      </c>
      <c r="D100" s="96">
        <v>3.0</v>
      </c>
      <c r="E100" s="97">
        <v>10531.75</v>
      </c>
      <c r="F100" s="98">
        <v>0.500569798990079</v>
      </c>
      <c r="G100" s="118">
        <v>4.22290885E8</v>
      </c>
      <c r="H100" s="99">
        <f t="shared" si="1"/>
        <v>954922.1553</v>
      </c>
      <c r="I100" s="100">
        <f t="shared" si="59"/>
        <v>0.000001542611234</v>
      </c>
      <c r="J100" s="101">
        <f t="shared" si="3"/>
        <v>0.0001398697884</v>
      </c>
      <c r="K100" s="102">
        <v>2.490907730370127</v>
      </c>
      <c r="L100" s="119">
        <v>3.2111817E8</v>
      </c>
      <c r="M100" s="99">
        <f t="shared" si="4"/>
        <v>870383.3219</v>
      </c>
      <c r="N100" s="100">
        <f t="shared" si="60"/>
        <v>0.00005913325291</v>
      </c>
      <c r="O100" s="101">
        <f t="shared" si="6"/>
        <v>0.004886993815</v>
      </c>
      <c r="P100" s="98">
        <v>0.0083004539885446</v>
      </c>
      <c r="Q100" s="99">
        <v>1.15475189454E11</v>
      </c>
      <c r="R100" s="99">
        <f t="shared" si="7"/>
        <v>224969.5325</v>
      </c>
      <c r="S100" s="100">
        <f t="shared" si="61"/>
        <v>0.0000005835834736</v>
      </c>
      <c r="T100" s="101">
        <f t="shared" si="9"/>
        <v>0.00001246597206</v>
      </c>
      <c r="U100" s="100">
        <f t="shared" si="10"/>
        <v>0.005039329575</v>
      </c>
      <c r="V100" s="99">
        <f t="shared" si="11"/>
        <v>53.07295925</v>
      </c>
      <c r="W100" s="96">
        <v>242.0</v>
      </c>
      <c r="X100" s="97">
        <v>12490.0</v>
      </c>
      <c r="Y100" s="98">
        <v>76.0680928970431</v>
      </c>
      <c r="Z100" s="119">
        <v>6.1411406E8</v>
      </c>
      <c r="AA100" s="99">
        <v>1389217.3666199013</v>
      </c>
      <c r="AB100" s="100">
        <f t="shared" si="62"/>
        <v>0.0001528538869</v>
      </c>
      <c r="AC100" s="101">
        <f t="shared" si="13"/>
        <v>0.01700138305</v>
      </c>
      <c r="AD100" s="98">
        <v>162.3404090801996</v>
      </c>
      <c r="AE100" s="118">
        <v>5.29749132E8</v>
      </c>
      <c r="AF100" s="99">
        <v>1298243.3714842624</v>
      </c>
      <c r="AG100" s="100">
        <f t="shared" si="63"/>
        <v>0.002669528127</v>
      </c>
      <c r="AH100" s="101">
        <f t="shared" si="15"/>
        <v>0.2774777578</v>
      </c>
      <c r="AI100" s="102">
        <v>3.571563067674214</v>
      </c>
      <c r="AJ100" s="118">
        <v>1.54159215745E11</v>
      </c>
      <c r="AK100" s="118">
        <v>300334.00993407</v>
      </c>
      <c r="AL100" s="100">
        <f t="shared" si="64"/>
        <v>0.0001699815298</v>
      </c>
      <c r="AM100" s="100">
        <f t="shared" si="17"/>
        <v>0.004087368651</v>
      </c>
      <c r="AN100" s="104">
        <f t="shared" si="18"/>
        <v>0.2985665095</v>
      </c>
      <c r="AO100" s="97">
        <f t="shared" si="19"/>
        <v>3729.095704</v>
      </c>
    </row>
    <row r="101" ht="15.75" customHeight="1">
      <c r="A101" s="95">
        <v>21307.0</v>
      </c>
      <c r="B101" s="60" t="s">
        <v>51</v>
      </c>
      <c r="C101" s="60" t="s">
        <v>67</v>
      </c>
      <c r="D101" s="96">
        <v>127.0</v>
      </c>
      <c r="E101" s="97">
        <v>5163.0</v>
      </c>
      <c r="F101" s="98">
        <v>64.82971905347611</v>
      </c>
      <c r="G101" s="118">
        <v>4.22290885E8</v>
      </c>
      <c r="H101" s="99">
        <f t="shared" si="1"/>
        <v>954922.1553</v>
      </c>
      <c r="I101" s="100">
        <f t="shared" si="59"/>
        <v>0.0001997864296</v>
      </c>
      <c r="J101" s="101">
        <f t="shared" si="3"/>
        <v>0.03695147936</v>
      </c>
      <c r="K101" s="102">
        <v>59.45571806180073</v>
      </c>
      <c r="L101" s="119">
        <v>3.2111817E8</v>
      </c>
      <c r="M101" s="99">
        <f t="shared" si="4"/>
        <v>870383.3219</v>
      </c>
      <c r="N101" s="100">
        <f t="shared" si="60"/>
        <v>0.001411457346</v>
      </c>
      <c r="O101" s="101">
        <f t="shared" si="6"/>
        <v>0.2379447866</v>
      </c>
      <c r="P101" s="98">
        <v>2.706085690785481</v>
      </c>
      <c r="Q101" s="99">
        <v>1.15475189454E11</v>
      </c>
      <c r="R101" s="99">
        <f t="shared" si="7"/>
        <v>224969.5325</v>
      </c>
      <c r="S101" s="100">
        <f t="shared" si="61"/>
        <v>0.0001902578931</v>
      </c>
      <c r="T101" s="101">
        <f t="shared" si="9"/>
        <v>0.008290185794</v>
      </c>
      <c r="U101" s="100">
        <f t="shared" si="10"/>
        <v>0.2831864518</v>
      </c>
      <c r="V101" s="99">
        <f t="shared" si="11"/>
        <v>1462.09165</v>
      </c>
      <c r="W101" s="96">
        <v>437.0</v>
      </c>
      <c r="X101" s="97">
        <v>5526.0</v>
      </c>
      <c r="Y101" s="98">
        <v>239.2682951079661</v>
      </c>
      <c r="Z101" s="119">
        <v>6.1411406E8</v>
      </c>
      <c r="AA101" s="99">
        <v>1389217.3666199013</v>
      </c>
      <c r="AB101" s="100">
        <f t="shared" si="62"/>
        <v>0.0004807940824</v>
      </c>
      <c r="AC101" s="101">
        <f t="shared" si="13"/>
        <v>0.1208699763</v>
      </c>
      <c r="AD101" s="98">
        <v>184.1477275128474</v>
      </c>
      <c r="AE101" s="118">
        <v>5.29749132E8</v>
      </c>
      <c r="AF101" s="99">
        <v>1298243.3714842624</v>
      </c>
      <c r="AG101" s="100">
        <f t="shared" si="63"/>
        <v>0.003028127999</v>
      </c>
      <c r="AH101" s="101">
        <f t="shared" si="15"/>
        <v>0.7114091752</v>
      </c>
      <c r="AI101" s="102">
        <v>13.55981284533629</v>
      </c>
      <c r="AJ101" s="118">
        <v>1.54159215745E11</v>
      </c>
      <c r="AK101" s="118">
        <v>300334.00993407</v>
      </c>
      <c r="AL101" s="100">
        <f t="shared" si="64"/>
        <v>0.0006453526614</v>
      </c>
      <c r="AM101" s="100">
        <f t="shared" si="17"/>
        <v>0.03507443949</v>
      </c>
      <c r="AN101" s="104">
        <f t="shared" si="18"/>
        <v>0.867353591</v>
      </c>
      <c r="AO101" s="97">
        <f t="shared" si="19"/>
        <v>4792.995944</v>
      </c>
    </row>
    <row r="102" ht="15.75" customHeight="1">
      <c r="A102" s="95">
        <v>21401.0</v>
      </c>
      <c r="B102" s="60" t="s">
        <v>51</v>
      </c>
      <c r="C102" s="60" t="s">
        <v>72</v>
      </c>
      <c r="D102" s="96">
        <v>29.0</v>
      </c>
      <c r="E102" s="97">
        <v>21475.5</v>
      </c>
      <c r="F102" s="98">
        <v>15.98823891242515</v>
      </c>
      <c r="G102" s="118">
        <v>4.22290885E8</v>
      </c>
      <c r="H102" s="99">
        <f t="shared" si="1"/>
        <v>954922.1553</v>
      </c>
      <c r="I102" s="100">
        <f t="shared" si="59"/>
        <v>0.00004927112463</v>
      </c>
      <c r="J102" s="101">
        <f t="shared" si="3"/>
        <v>0.002190872787</v>
      </c>
      <c r="K102" s="102">
        <v>12.53158339664017</v>
      </c>
      <c r="L102" s="119">
        <v>3.2111817E8</v>
      </c>
      <c r="M102" s="99">
        <f t="shared" si="4"/>
        <v>870383.3219</v>
      </c>
      <c r="N102" s="100">
        <f t="shared" si="60"/>
        <v>0.0002974952791</v>
      </c>
      <c r="O102" s="101">
        <f t="shared" si="6"/>
        <v>0.01205722471</v>
      </c>
      <c r="P102" s="98">
        <v>0.4782129972129017</v>
      </c>
      <c r="Q102" s="99">
        <v>1.15475189454E11</v>
      </c>
      <c r="R102" s="99">
        <f t="shared" si="7"/>
        <v>224969.5325</v>
      </c>
      <c r="S102" s="100">
        <f t="shared" si="61"/>
        <v>0.00003362192025</v>
      </c>
      <c r="T102" s="101">
        <f t="shared" si="9"/>
        <v>0.0003522110163</v>
      </c>
      <c r="U102" s="100">
        <f t="shared" si="10"/>
        <v>0.01460030851</v>
      </c>
      <c r="V102" s="99">
        <f t="shared" si="11"/>
        <v>313.5489255</v>
      </c>
      <c r="W102" s="96">
        <v>45.0</v>
      </c>
      <c r="X102" s="97">
        <v>27711.0</v>
      </c>
      <c r="Y102" s="98">
        <v>37.9824799407457</v>
      </c>
      <c r="Z102" s="119">
        <v>6.1411406E8</v>
      </c>
      <c r="AA102" s="99">
        <v>1389217.3666199013</v>
      </c>
      <c r="AB102" s="100">
        <f t="shared" si="62"/>
        <v>0.00007632332392</v>
      </c>
      <c r="AC102" s="101">
        <f t="shared" si="13"/>
        <v>0.003826267081</v>
      </c>
      <c r="AD102" s="98">
        <v>5.271183397536865</v>
      </c>
      <c r="AE102" s="118">
        <v>5.29749132E8</v>
      </c>
      <c r="AF102" s="99">
        <v>1298243.3714842624</v>
      </c>
      <c r="AG102" s="100">
        <f t="shared" si="63"/>
        <v>0.000086679419</v>
      </c>
      <c r="AH102" s="101">
        <f t="shared" si="15"/>
        <v>0.004060877672</v>
      </c>
      <c r="AI102" s="102">
        <v>1.744381909296389</v>
      </c>
      <c r="AJ102" s="118">
        <v>1.54159215745E11</v>
      </c>
      <c r="AK102" s="118">
        <v>300334.00993407</v>
      </c>
      <c r="AL102" s="100">
        <f t="shared" si="64"/>
        <v>0.00008302043107</v>
      </c>
      <c r="AM102" s="100">
        <f t="shared" si="17"/>
        <v>0.0008997819989</v>
      </c>
      <c r="AN102" s="104">
        <f t="shared" si="18"/>
        <v>0.008786926751</v>
      </c>
      <c r="AO102" s="97">
        <f t="shared" si="19"/>
        <v>243.4945272</v>
      </c>
    </row>
    <row r="103" ht="15.75" customHeight="1">
      <c r="A103" s="95">
        <v>21402.0</v>
      </c>
      <c r="B103" s="60" t="s">
        <v>51</v>
      </c>
      <c r="C103" s="60" t="s">
        <v>334</v>
      </c>
      <c r="D103" s="108"/>
      <c r="E103" s="109">
        <v>18580.0</v>
      </c>
      <c r="F103" s="110"/>
      <c r="G103" s="118">
        <v>4.22290885E8</v>
      </c>
      <c r="H103" s="99">
        <f t="shared" si="1"/>
        <v>954922.1553</v>
      </c>
      <c r="I103" s="100">
        <f t="shared" si="59"/>
        <v>0</v>
      </c>
      <c r="J103" s="101">
        <f t="shared" si="3"/>
        <v>0</v>
      </c>
      <c r="K103" s="111"/>
      <c r="L103" s="119">
        <v>3.2111817E8</v>
      </c>
      <c r="M103" s="99">
        <f t="shared" si="4"/>
        <v>870383.3219</v>
      </c>
      <c r="N103" s="100">
        <f t="shared" si="60"/>
        <v>0</v>
      </c>
      <c r="O103" s="101">
        <f t="shared" si="6"/>
        <v>0</v>
      </c>
      <c r="P103" s="110"/>
      <c r="Q103" s="99">
        <v>1.15475189454E11</v>
      </c>
      <c r="R103" s="99">
        <f t="shared" si="7"/>
        <v>224969.5325</v>
      </c>
      <c r="S103" s="100">
        <f t="shared" si="61"/>
        <v>0</v>
      </c>
      <c r="T103" s="101">
        <f t="shared" si="9"/>
        <v>0</v>
      </c>
      <c r="U103" s="100">
        <f t="shared" si="10"/>
        <v>0</v>
      </c>
      <c r="V103" s="99">
        <f t="shared" si="11"/>
        <v>0</v>
      </c>
      <c r="W103" s="96">
        <v>36.0</v>
      </c>
      <c r="X103" s="97">
        <v>23530.0</v>
      </c>
      <c r="Y103" s="98">
        <v>29.68858251360311</v>
      </c>
      <c r="Z103" s="119">
        <v>6.1411406E8</v>
      </c>
      <c r="AA103" s="99">
        <v>1389217.3666199013</v>
      </c>
      <c r="AB103" s="100">
        <f t="shared" si="62"/>
        <v>0.00005965727629</v>
      </c>
      <c r="AC103" s="101">
        <f t="shared" si="13"/>
        <v>0.003522181227</v>
      </c>
      <c r="AD103" s="98">
        <v>4.164225641444782</v>
      </c>
      <c r="AE103" s="118">
        <v>5.29749132E8</v>
      </c>
      <c r="AF103" s="99">
        <v>1298243.3714842624</v>
      </c>
      <c r="AG103" s="100">
        <f t="shared" si="63"/>
        <v>0.00006847658903</v>
      </c>
      <c r="AH103" s="101">
        <f t="shared" si="15"/>
        <v>0.003778124854</v>
      </c>
      <c r="AI103" s="102">
        <v>2.145430264728775</v>
      </c>
      <c r="AJ103" s="118">
        <v>1.54159215745E11</v>
      </c>
      <c r="AK103" s="118">
        <v>300334.00993407</v>
      </c>
      <c r="AL103" s="100">
        <f t="shared" si="64"/>
        <v>0.0001021075399</v>
      </c>
      <c r="AM103" s="100">
        <f t="shared" si="17"/>
        <v>0.001303288011</v>
      </c>
      <c r="AN103" s="104">
        <f t="shared" si="18"/>
        <v>0.008603594092</v>
      </c>
      <c r="AO103" s="97">
        <f t="shared" si="19"/>
        <v>202.442569</v>
      </c>
    </row>
    <row r="104" ht="15.75" customHeight="1">
      <c r="A104" s="95">
        <v>21501.0</v>
      </c>
      <c r="B104" s="60" t="s">
        <v>51</v>
      </c>
      <c r="C104" s="60" t="s">
        <v>353</v>
      </c>
      <c r="D104" s="108"/>
      <c r="E104" s="109">
        <v>10170.25</v>
      </c>
      <c r="F104" s="110"/>
      <c r="G104" s="118">
        <v>4.22290885E8</v>
      </c>
      <c r="H104" s="99">
        <f t="shared" si="1"/>
        <v>954922.1553</v>
      </c>
      <c r="I104" s="100">
        <f t="shared" si="59"/>
        <v>0</v>
      </c>
      <c r="J104" s="101">
        <f t="shared" si="3"/>
        <v>0</v>
      </c>
      <c r="K104" s="111"/>
      <c r="L104" s="119">
        <v>3.2111817E8</v>
      </c>
      <c r="M104" s="99">
        <f t="shared" si="4"/>
        <v>870383.3219</v>
      </c>
      <c r="N104" s="100">
        <f t="shared" si="60"/>
        <v>0</v>
      </c>
      <c r="O104" s="101">
        <f t="shared" si="6"/>
        <v>0</v>
      </c>
      <c r="P104" s="110"/>
      <c r="Q104" s="99">
        <v>1.15475189454E11</v>
      </c>
      <c r="R104" s="99">
        <f t="shared" si="7"/>
        <v>224969.5325</v>
      </c>
      <c r="S104" s="100">
        <f t="shared" si="61"/>
        <v>0</v>
      </c>
      <c r="T104" s="101">
        <f t="shared" si="9"/>
        <v>0</v>
      </c>
      <c r="U104" s="100">
        <f t="shared" si="10"/>
        <v>0</v>
      </c>
      <c r="V104" s="99">
        <f t="shared" si="11"/>
        <v>0</v>
      </c>
      <c r="W104" s="96">
        <v>57.0</v>
      </c>
      <c r="X104" s="97">
        <v>12595.0</v>
      </c>
      <c r="Y104" s="98">
        <v>46.8547523957327</v>
      </c>
      <c r="Z104" s="119">
        <v>6.1411406E8</v>
      </c>
      <c r="AA104" s="99">
        <v>1389217.3666199013</v>
      </c>
      <c r="AB104" s="100">
        <f t="shared" si="62"/>
        <v>0.00009415157857</v>
      </c>
      <c r="AC104" s="101">
        <f t="shared" si="13"/>
        <v>0.01038483589</v>
      </c>
      <c r="AD104" s="98">
        <v>9.149750691131723</v>
      </c>
      <c r="AE104" s="118">
        <v>5.29749132E8</v>
      </c>
      <c r="AF104" s="99">
        <v>1298243.3714842624</v>
      </c>
      <c r="AG104" s="100">
        <f t="shared" si="63"/>
        <v>0.0001504586379</v>
      </c>
      <c r="AH104" s="101">
        <f t="shared" si="15"/>
        <v>0.01550868831</v>
      </c>
      <c r="AI104" s="102">
        <v>0.9940124843195599</v>
      </c>
      <c r="AJ104" s="118">
        <v>1.54159215745E11</v>
      </c>
      <c r="AK104" s="118">
        <v>300334.00993407</v>
      </c>
      <c r="AL104" s="100">
        <f t="shared" si="64"/>
        <v>0.00004730807199</v>
      </c>
      <c r="AM104" s="100">
        <f t="shared" si="17"/>
        <v>0.001128084396</v>
      </c>
      <c r="AN104" s="104">
        <f t="shared" si="18"/>
        <v>0.0270216086</v>
      </c>
      <c r="AO104" s="97">
        <f t="shared" si="19"/>
        <v>340.3371603</v>
      </c>
    </row>
    <row r="105" ht="15.75" customHeight="1">
      <c r="A105" s="95">
        <v>21502.0</v>
      </c>
      <c r="B105" s="60" t="s">
        <v>51</v>
      </c>
      <c r="C105" s="60" t="s">
        <v>384</v>
      </c>
      <c r="D105" s="108"/>
      <c r="E105" s="109">
        <v>9059.5</v>
      </c>
      <c r="F105" s="110"/>
      <c r="G105" s="118">
        <v>4.22290885E8</v>
      </c>
      <c r="H105" s="99">
        <f t="shared" si="1"/>
        <v>954922.1553</v>
      </c>
      <c r="I105" s="100">
        <f t="shared" si="59"/>
        <v>0</v>
      </c>
      <c r="J105" s="101">
        <f t="shared" si="3"/>
        <v>0</v>
      </c>
      <c r="K105" s="111"/>
      <c r="L105" s="119">
        <v>3.2111817E8</v>
      </c>
      <c r="M105" s="99">
        <f t="shared" si="4"/>
        <v>870383.3219</v>
      </c>
      <c r="N105" s="100">
        <f t="shared" si="60"/>
        <v>0</v>
      </c>
      <c r="O105" s="101">
        <f t="shared" si="6"/>
        <v>0</v>
      </c>
      <c r="P105" s="110"/>
      <c r="Q105" s="99">
        <v>1.15475189454E11</v>
      </c>
      <c r="R105" s="99">
        <f t="shared" si="7"/>
        <v>224969.5325</v>
      </c>
      <c r="S105" s="100">
        <f t="shared" si="61"/>
        <v>0</v>
      </c>
      <c r="T105" s="101">
        <f t="shared" si="9"/>
        <v>0</v>
      </c>
      <c r="U105" s="100">
        <f t="shared" si="10"/>
        <v>0</v>
      </c>
      <c r="V105" s="99">
        <f t="shared" si="11"/>
        <v>0</v>
      </c>
      <c r="W105" s="96">
        <v>90.0</v>
      </c>
      <c r="X105" s="97">
        <v>10105.0</v>
      </c>
      <c r="Y105" s="98">
        <v>51.82709114330731</v>
      </c>
      <c r="Z105" s="119">
        <v>6.1411406E8</v>
      </c>
      <c r="AA105" s="99">
        <v>1389217.3666199013</v>
      </c>
      <c r="AB105" s="100">
        <f t="shared" si="62"/>
        <v>0.00010414317</v>
      </c>
      <c r="AC105" s="101">
        <f t="shared" si="13"/>
        <v>0.01431741716</v>
      </c>
      <c r="AD105" s="98">
        <v>37.34022063491163</v>
      </c>
      <c r="AE105" s="118">
        <v>5.29749132E8</v>
      </c>
      <c r="AF105" s="99">
        <v>1298243.3714842624</v>
      </c>
      <c r="AG105" s="100">
        <f t="shared" si="63"/>
        <v>0.0006140231493</v>
      </c>
      <c r="AH105" s="101">
        <f t="shared" si="15"/>
        <v>0.07888683656</v>
      </c>
      <c r="AI105" s="102">
        <v>0.8296136165553305</v>
      </c>
      <c r="AJ105" s="118">
        <v>1.54159215745E11</v>
      </c>
      <c r="AK105" s="118">
        <v>300334.00993407</v>
      </c>
      <c r="AL105" s="100">
        <f t="shared" si="64"/>
        <v>0.00003948383075</v>
      </c>
      <c r="AM105" s="100">
        <f t="shared" si="17"/>
        <v>0.001173511847</v>
      </c>
      <c r="AN105" s="104">
        <f t="shared" si="18"/>
        <v>0.09437776557</v>
      </c>
      <c r="AO105" s="97">
        <f t="shared" si="19"/>
        <v>953.6873211</v>
      </c>
    </row>
    <row r="106" ht="15.75" customHeight="1">
      <c r="A106" s="95">
        <v>21601.0</v>
      </c>
      <c r="B106" s="60" t="s">
        <v>51</v>
      </c>
      <c r="C106" s="60" t="s">
        <v>779</v>
      </c>
      <c r="D106" s="108">
        <v>0.0</v>
      </c>
      <c r="E106" s="109">
        <v>13708.0</v>
      </c>
      <c r="F106" s="110">
        <v>0.0</v>
      </c>
      <c r="G106" s="118">
        <v>4.22290885E8</v>
      </c>
      <c r="H106" s="99">
        <f t="shared" si="1"/>
        <v>954922.1553</v>
      </c>
      <c r="I106" s="100">
        <f t="shared" si="59"/>
        <v>0</v>
      </c>
      <c r="J106" s="101">
        <f t="shared" si="3"/>
        <v>0</v>
      </c>
      <c r="K106" s="111">
        <v>0.0</v>
      </c>
      <c r="L106" s="119">
        <v>3.2111817E8</v>
      </c>
      <c r="M106" s="99">
        <f t="shared" si="4"/>
        <v>870383.3219</v>
      </c>
      <c r="N106" s="100">
        <f t="shared" si="60"/>
        <v>0</v>
      </c>
      <c r="O106" s="101">
        <f t="shared" si="6"/>
        <v>0</v>
      </c>
      <c r="P106" s="110">
        <v>0.0</v>
      </c>
      <c r="Q106" s="99">
        <v>1.15475189454E11</v>
      </c>
      <c r="R106" s="99">
        <f t="shared" si="7"/>
        <v>224969.5325</v>
      </c>
      <c r="S106" s="100">
        <f t="shared" si="61"/>
        <v>0</v>
      </c>
      <c r="T106" s="101">
        <f t="shared" si="9"/>
        <v>0</v>
      </c>
      <c r="U106" s="100">
        <f t="shared" si="10"/>
        <v>0</v>
      </c>
      <c r="V106" s="99">
        <f t="shared" si="11"/>
        <v>0</v>
      </c>
      <c r="W106" s="116">
        <v>41.0</v>
      </c>
      <c r="X106" s="97">
        <v>15763.0</v>
      </c>
      <c r="Y106" s="110">
        <v>29.590756066848385</v>
      </c>
      <c r="Z106" s="119">
        <v>6.1411406E8</v>
      </c>
      <c r="AA106" s="99">
        <v>1389217.3666199013</v>
      </c>
      <c r="AB106" s="100">
        <f t="shared" si="62"/>
        <v>0.00005946070041</v>
      </c>
      <c r="AC106" s="101">
        <f t="shared" si="13"/>
        <v>0.005240362725</v>
      </c>
      <c r="AD106" s="110">
        <v>9.690551565842458</v>
      </c>
      <c r="AE106" s="118">
        <v>5.29749132E8</v>
      </c>
      <c r="AF106" s="99">
        <v>1298243.3714842624</v>
      </c>
      <c r="AG106" s="100">
        <f t="shared" si="63"/>
        <v>0.0001593515756</v>
      </c>
      <c r="AH106" s="101">
        <f t="shared" si="15"/>
        <v>0.01312422297</v>
      </c>
      <c r="AI106" s="111">
        <v>1.7166904050405045</v>
      </c>
      <c r="AJ106" s="118">
        <v>1.54159215745E11</v>
      </c>
      <c r="AK106" s="118">
        <v>300334.00993407</v>
      </c>
      <c r="AL106" s="100">
        <f t="shared" si="64"/>
        <v>0.00008170250831</v>
      </c>
      <c r="AM106" s="100">
        <f t="shared" si="17"/>
        <v>0.001556686033</v>
      </c>
      <c r="AN106" s="104">
        <f t="shared" si="18"/>
        <v>0.01992127173</v>
      </c>
      <c r="AO106" s="97">
        <f t="shared" si="19"/>
        <v>314.0190063</v>
      </c>
    </row>
    <row r="107" ht="15.75" customHeight="1">
      <c r="A107" s="95">
        <v>21602.0</v>
      </c>
      <c r="B107" s="60" t="s">
        <v>51</v>
      </c>
      <c r="C107" s="60" t="s">
        <v>780</v>
      </c>
      <c r="D107" s="108"/>
      <c r="E107" s="109">
        <v>4116.5</v>
      </c>
      <c r="F107" s="110"/>
      <c r="G107" s="118">
        <v>4.22290885E8</v>
      </c>
      <c r="H107" s="99">
        <f t="shared" si="1"/>
        <v>954922.1553</v>
      </c>
      <c r="I107" s="100">
        <f t="shared" si="59"/>
        <v>0</v>
      </c>
      <c r="J107" s="101">
        <f t="shared" si="3"/>
        <v>0</v>
      </c>
      <c r="K107" s="111"/>
      <c r="L107" s="119">
        <v>3.2111817E8</v>
      </c>
      <c r="M107" s="99">
        <f t="shared" si="4"/>
        <v>870383.3219</v>
      </c>
      <c r="N107" s="100">
        <f t="shared" si="60"/>
        <v>0</v>
      </c>
      <c r="O107" s="101">
        <f t="shared" si="6"/>
        <v>0</v>
      </c>
      <c r="P107" s="110"/>
      <c r="Q107" s="99">
        <v>1.15475189454E11</v>
      </c>
      <c r="R107" s="99">
        <f t="shared" si="7"/>
        <v>224969.5325</v>
      </c>
      <c r="S107" s="100">
        <f t="shared" si="61"/>
        <v>0</v>
      </c>
      <c r="T107" s="101">
        <f t="shared" si="9"/>
        <v>0</v>
      </c>
      <c r="U107" s="100">
        <f t="shared" si="10"/>
        <v>0</v>
      </c>
      <c r="V107" s="99">
        <f t="shared" si="11"/>
        <v>0</v>
      </c>
      <c r="W107" s="108"/>
      <c r="X107" s="97">
        <v>6611.0</v>
      </c>
      <c r="Y107" s="110"/>
      <c r="Z107" s="119">
        <v>6.1411406E8</v>
      </c>
      <c r="AA107" s="99">
        <v>1389217.3666199013</v>
      </c>
      <c r="AB107" s="100">
        <f t="shared" si="62"/>
        <v>0</v>
      </c>
      <c r="AC107" s="101">
        <f t="shared" si="13"/>
        <v>0</v>
      </c>
      <c r="AD107" s="110"/>
      <c r="AE107" s="118">
        <v>5.29749132E8</v>
      </c>
      <c r="AF107" s="99">
        <v>1298243.3714842624</v>
      </c>
      <c r="AG107" s="100">
        <f t="shared" si="63"/>
        <v>0</v>
      </c>
      <c r="AH107" s="101">
        <f t="shared" si="15"/>
        <v>0</v>
      </c>
      <c r="AI107" s="111"/>
      <c r="AJ107" s="118">
        <v>1.54159215745E11</v>
      </c>
      <c r="AK107" s="118">
        <v>300334.00993407</v>
      </c>
      <c r="AL107" s="100">
        <f t="shared" si="64"/>
        <v>0</v>
      </c>
      <c r="AM107" s="100">
        <f t="shared" si="17"/>
        <v>0</v>
      </c>
      <c r="AN107" s="104">
        <f t="shared" si="18"/>
        <v>0</v>
      </c>
      <c r="AO107" s="97">
        <f t="shared" si="19"/>
        <v>0</v>
      </c>
    </row>
    <row r="108" ht="15.75" customHeight="1">
      <c r="A108" s="95">
        <v>21701.0</v>
      </c>
      <c r="B108" s="60" t="s">
        <v>51</v>
      </c>
      <c r="C108" s="60" t="s">
        <v>70</v>
      </c>
      <c r="D108" s="96">
        <v>2.0</v>
      </c>
      <c r="E108" s="97">
        <v>15564.0</v>
      </c>
      <c r="F108" s="98">
        <v>1.849872476620714</v>
      </c>
      <c r="G108" s="118">
        <v>4.22290885E8</v>
      </c>
      <c r="H108" s="99">
        <f t="shared" si="1"/>
        <v>954922.1553</v>
      </c>
      <c r="I108" s="100">
        <f t="shared" si="59"/>
        <v>0.000005700771539</v>
      </c>
      <c r="J108" s="101">
        <f t="shared" si="3"/>
        <v>0.0003497682501</v>
      </c>
      <c r="K108" s="102">
        <v>0.0702128723599326</v>
      </c>
      <c r="L108" s="119">
        <v>3.2111817E8</v>
      </c>
      <c r="M108" s="99">
        <f t="shared" si="4"/>
        <v>870383.3219</v>
      </c>
      <c r="N108" s="100">
        <f t="shared" si="60"/>
        <v>0.000001666828317</v>
      </c>
      <c r="O108" s="101">
        <f t="shared" si="6"/>
        <v>0.00009321379898</v>
      </c>
      <c r="P108" s="98">
        <v>0.079864641851006</v>
      </c>
      <c r="Q108" s="99">
        <v>1.15475189454E11</v>
      </c>
      <c r="R108" s="99">
        <f t="shared" si="7"/>
        <v>224969.5325</v>
      </c>
      <c r="S108" s="100">
        <f t="shared" si="61"/>
        <v>0.000005615076618</v>
      </c>
      <c r="T108" s="101">
        <f t="shared" si="9"/>
        <v>0.00008116301475</v>
      </c>
      <c r="U108" s="100">
        <f t="shared" si="10"/>
        <v>0.0005241450639</v>
      </c>
      <c r="V108" s="99">
        <f t="shared" si="11"/>
        <v>8.157793774</v>
      </c>
      <c r="W108" s="96">
        <v>222.0</v>
      </c>
      <c r="X108" s="97">
        <v>17463.0</v>
      </c>
      <c r="Y108" s="98">
        <v>175.0491637476713</v>
      </c>
      <c r="Z108" s="119">
        <v>6.1411406E8</v>
      </c>
      <c r="AA108" s="99">
        <v>1389217.3666199013</v>
      </c>
      <c r="AB108" s="100">
        <f t="shared" si="62"/>
        <v>0.0003517499133</v>
      </c>
      <c r="AC108" s="101">
        <f t="shared" si="13"/>
        <v>0.02798242503</v>
      </c>
      <c r="AD108" s="98">
        <v>37.52911782379883</v>
      </c>
      <c r="AE108" s="118">
        <v>5.29749132E8</v>
      </c>
      <c r="AF108" s="99">
        <v>1298243.3714842624</v>
      </c>
      <c r="AG108" s="100">
        <f t="shared" si="63"/>
        <v>0.0006171293775</v>
      </c>
      <c r="AH108" s="101">
        <f t="shared" si="15"/>
        <v>0.04587895113</v>
      </c>
      <c r="AI108" s="102">
        <v>9.408744577921322</v>
      </c>
      <c r="AJ108" s="118">
        <v>1.54159215745E11</v>
      </c>
      <c r="AK108" s="118">
        <v>300334.00993407</v>
      </c>
      <c r="AL108" s="100">
        <f t="shared" si="64"/>
        <v>0.0004477907198</v>
      </c>
      <c r="AM108" s="100">
        <f t="shared" si="17"/>
        <v>0.007701241624</v>
      </c>
      <c r="AN108" s="104">
        <f t="shared" si="18"/>
        <v>0.08156261779</v>
      </c>
      <c r="AO108" s="97">
        <f t="shared" si="19"/>
        <v>1424.327994</v>
      </c>
    </row>
    <row r="109" ht="15.75" customHeight="1">
      <c r="A109" s="95">
        <v>21702.0</v>
      </c>
      <c r="B109" s="60" t="s">
        <v>51</v>
      </c>
      <c r="C109" s="60" t="s">
        <v>386</v>
      </c>
      <c r="D109" s="108"/>
      <c r="E109" s="109">
        <v>6830.0</v>
      </c>
      <c r="F109" s="110"/>
      <c r="G109" s="118">
        <v>4.22290885E8</v>
      </c>
      <c r="H109" s="99">
        <f t="shared" si="1"/>
        <v>954922.1553</v>
      </c>
      <c r="I109" s="100">
        <f t="shared" si="59"/>
        <v>0</v>
      </c>
      <c r="J109" s="101">
        <f t="shared" si="3"/>
        <v>0</v>
      </c>
      <c r="K109" s="111"/>
      <c r="L109" s="119">
        <v>3.2111817E8</v>
      </c>
      <c r="M109" s="99">
        <f t="shared" si="4"/>
        <v>870383.3219</v>
      </c>
      <c r="N109" s="100">
        <f t="shared" si="60"/>
        <v>0</v>
      </c>
      <c r="O109" s="101">
        <f t="shared" si="6"/>
        <v>0</v>
      </c>
      <c r="P109" s="110"/>
      <c r="Q109" s="99">
        <v>1.15475189454E11</v>
      </c>
      <c r="R109" s="99">
        <f t="shared" si="7"/>
        <v>224969.5325</v>
      </c>
      <c r="S109" s="100">
        <f t="shared" si="61"/>
        <v>0</v>
      </c>
      <c r="T109" s="101">
        <f t="shared" si="9"/>
        <v>0</v>
      </c>
      <c r="U109" s="100">
        <f t="shared" si="10"/>
        <v>0</v>
      </c>
      <c r="V109" s="99">
        <f t="shared" si="11"/>
        <v>0</v>
      </c>
      <c r="W109" s="96">
        <v>615.0</v>
      </c>
      <c r="X109" s="97">
        <v>9164.0</v>
      </c>
      <c r="Y109" s="98">
        <v>477.8918357019933</v>
      </c>
      <c r="Z109" s="119">
        <v>6.1411406E8</v>
      </c>
      <c r="AA109" s="99">
        <v>1389217.3666199013</v>
      </c>
      <c r="AB109" s="100">
        <f t="shared" si="62"/>
        <v>0.0009602925726</v>
      </c>
      <c r="AC109" s="101">
        <f t="shared" si="13"/>
        <v>0.145575635</v>
      </c>
      <c r="AD109" s="98">
        <v>111.8416039660605</v>
      </c>
      <c r="AE109" s="118">
        <v>5.29749132E8</v>
      </c>
      <c r="AF109" s="99">
        <v>1298243.3714842624</v>
      </c>
      <c r="AG109" s="100">
        <f t="shared" si="63"/>
        <v>0.001839125016</v>
      </c>
      <c r="AH109" s="101">
        <f t="shared" si="15"/>
        <v>0.2605447252</v>
      </c>
      <c r="AI109" s="102">
        <v>25.23755902938403</v>
      </c>
      <c r="AJ109" s="118">
        <v>1.54159215745E11</v>
      </c>
      <c r="AK109" s="118">
        <v>300334.00993407</v>
      </c>
      <c r="AL109" s="100">
        <f t="shared" si="64"/>
        <v>0.001201132056</v>
      </c>
      <c r="AM109" s="100">
        <f t="shared" si="17"/>
        <v>0.03936499421</v>
      </c>
      <c r="AN109" s="104">
        <f t="shared" si="18"/>
        <v>0.4454853544</v>
      </c>
      <c r="AO109" s="97">
        <f t="shared" si="19"/>
        <v>4082.427788</v>
      </c>
    </row>
    <row r="110" ht="15.75" customHeight="1">
      <c r="A110" s="95">
        <v>21703.0</v>
      </c>
      <c r="B110" s="60" t="s">
        <v>51</v>
      </c>
      <c r="C110" s="60" t="s">
        <v>400</v>
      </c>
      <c r="D110" s="108"/>
      <c r="E110" s="109">
        <v>6577.0</v>
      </c>
      <c r="F110" s="110"/>
      <c r="G110" s="118">
        <v>4.22290885E8</v>
      </c>
      <c r="H110" s="99">
        <f t="shared" si="1"/>
        <v>954922.1553</v>
      </c>
      <c r="I110" s="100">
        <f t="shared" si="59"/>
        <v>0</v>
      </c>
      <c r="J110" s="101">
        <f t="shared" si="3"/>
        <v>0</v>
      </c>
      <c r="K110" s="111"/>
      <c r="L110" s="119">
        <v>3.2111817E8</v>
      </c>
      <c r="M110" s="99">
        <f t="shared" si="4"/>
        <v>870383.3219</v>
      </c>
      <c r="N110" s="100">
        <f t="shared" si="60"/>
        <v>0</v>
      </c>
      <c r="O110" s="101">
        <f t="shared" si="6"/>
        <v>0</v>
      </c>
      <c r="P110" s="110"/>
      <c r="Q110" s="99">
        <v>1.15475189454E11</v>
      </c>
      <c r="R110" s="99">
        <f t="shared" si="7"/>
        <v>224969.5325</v>
      </c>
      <c r="S110" s="100">
        <f t="shared" si="61"/>
        <v>0</v>
      </c>
      <c r="T110" s="101">
        <f t="shared" si="9"/>
        <v>0</v>
      </c>
      <c r="U110" s="100">
        <f t="shared" si="10"/>
        <v>0</v>
      </c>
      <c r="V110" s="99">
        <f t="shared" si="11"/>
        <v>0</v>
      </c>
      <c r="W110" s="96">
        <v>137.0</v>
      </c>
      <c r="X110" s="97">
        <v>7525.0</v>
      </c>
      <c r="Y110" s="98">
        <v>136.5404315099853</v>
      </c>
      <c r="Z110" s="119">
        <v>6.1411406E8</v>
      </c>
      <c r="AA110" s="99">
        <v>1389217.3666199013</v>
      </c>
      <c r="AB110" s="100">
        <f t="shared" si="62"/>
        <v>0.0002743691196</v>
      </c>
      <c r="AC110" s="101">
        <f t="shared" si="13"/>
        <v>0.05065227187</v>
      </c>
      <c r="AD110" s="98">
        <v>0.1757733245176201</v>
      </c>
      <c r="AE110" s="118">
        <v>5.29749132E8</v>
      </c>
      <c r="AF110" s="99">
        <v>1298243.3714842624</v>
      </c>
      <c r="AG110" s="100">
        <f t="shared" si="63"/>
        <v>0.00000289041919</v>
      </c>
      <c r="AH110" s="101">
        <f t="shared" si="15"/>
        <v>0.0004986667846</v>
      </c>
      <c r="AI110" s="102">
        <v>0.2836911713365387</v>
      </c>
      <c r="AJ110" s="118">
        <v>1.54159215745E11</v>
      </c>
      <c r="AK110" s="118">
        <v>300334.00993407</v>
      </c>
      <c r="AL110" s="100">
        <f t="shared" si="64"/>
        <v>0.00001350172414</v>
      </c>
      <c r="AM110" s="100">
        <f t="shared" si="17"/>
        <v>0.0005388740136</v>
      </c>
      <c r="AN110" s="104">
        <f t="shared" si="18"/>
        <v>0.05168981267</v>
      </c>
      <c r="AO110" s="97">
        <f t="shared" si="19"/>
        <v>388.9658404</v>
      </c>
    </row>
    <row r="111" ht="15.75" customHeight="1">
      <c r="A111" s="95">
        <v>21801.0</v>
      </c>
      <c r="B111" s="60" t="s">
        <v>51</v>
      </c>
      <c r="C111" s="60" t="s">
        <v>781</v>
      </c>
      <c r="D111" s="108"/>
      <c r="E111" s="109">
        <v>8947.75</v>
      </c>
      <c r="F111" s="110"/>
      <c r="G111" s="118">
        <v>4.22290885E8</v>
      </c>
      <c r="H111" s="99">
        <f t="shared" si="1"/>
        <v>954922.1553</v>
      </c>
      <c r="I111" s="100">
        <f t="shared" si="59"/>
        <v>0</v>
      </c>
      <c r="J111" s="101">
        <f t="shared" si="3"/>
        <v>0</v>
      </c>
      <c r="K111" s="111"/>
      <c r="L111" s="119">
        <v>3.2111817E8</v>
      </c>
      <c r="M111" s="99">
        <f t="shared" si="4"/>
        <v>870383.3219</v>
      </c>
      <c r="N111" s="100">
        <f t="shared" si="60"/>
        <v>0</v>
      </c>
      <c r="O111" s="101">
        <f t="shared" si="6"/>
        <v>0</v>
      </c>
      <c r="P111" s="110"/>
      <c r="Q111" s="99">
        <v>1.15475189454E11</v>
      </c>
      <c r="R111" s="99">
        <f t="shared" si="7"/>
        <v>224969.5325</v>
      </c>
      <c r="S111" s="100">
        <f t="shared" si="61"/>
        <v>0</v>
      </c>
      <c r="T111" s="101">
        <f t="shared" si="9"/>
        <v>0</v>
      </c>
      <c r="U111" s="100">
        <f t="shared" si="10"/>
        <v>0</v>
      </c>
      <c r="V111" s="99">
        <f t="shared" si="11"/>
        <v>0</v>
      </c>
      <c r="W111" s="108"/>
      <c r="X111" s="97">
        <v>9217.0</v>
      </c>
      <c r="Y111" s="110"/>
      <c r="Z111" s="119">
        <v>6.1411406E8</v>
      </c>
      <c r="AA111" s="99">
        <v>1389217.3666199013</v>
      </c>
      <c r="AB111" s="100">
        <f t="shared" si="62"/>
        <v>0</v>
      </c>
      <c r="AC111" s="101">
        <f t="shared" si="13"/>
        <v>0</v>
      </c>
      <c r="AD111" s="110"/>
      <c r="AE111" s="118">
        <v>5.29749132E8</v>
      </c>
      <c r="AF111" s="99">
        <v>1298243.3714842624</v>
      </c>
      <c r="AG111" s="100">
        <f t="shared" si="63"/>
        <v>0</v>
      </c>
      <c r="AH111" s="101">
        <f t="shared" si="15"/>
        <v>0</v>
      </c>
      <c r="AI111" s="111"/>
      <c r="AJ111" s="118">
        <v>1.54159215745E11</v>
      </c>
      <c r="AK111" s="118">
        <v>300334.00993407</v>
      </c>
      <c r="AL111" s="100">
        <f t="shared" si="64"/>
        <v>0</v>
      </c>
      <c r="AM111" s="100">
        <f t="shared" si="17"/>
        <v>0</v>
      </c>
      <c r="AN111" s="104">
        <f t="shared" si="18"/>
        <v>0</v>
      </c>
      <c r="AO111" s="97">
        <f t="shared" si="19"/>
        <v>0</v>
      </c>
    </row>
    <row r="112" ht="15.75" customHeight="1">
      <c r="A112" s="95">
        <v>21802.0</v>
      </c>
      <c r="B112" s="60" t="s">
        <v>51</v>
      </c>
      <c r="C112" s="60" t="s">
        <v>369</v>
      </c>
      <c r="D112" s="108"/>
      <c r="E112" s="109">
        <v>6914.5</v>
      </c>
      <c r="F112" s="110"/>
      <c r="G112" s="118">
        <v>4.22290885E8</v>
      </c>
      <c r="H112" s="99">
        <f t="shared" si="1"/>
        <v>954922.1553</v>
      </c>
      <c r="I112" s="100">
        <f t="shared" si="59"/>
        <v>0</v>
      </c>
      <c r="J112" s="101">
        <f t="shared" si="3"/>
        <v>0</v>
      </c>
      <c r="K112" s="111"/>
      <c r="L112" s="119">
        <v>3.2111817E8</v>
      </c>
      <c r="M112" s="99">
        <f t="shared" si="4"/>
        <v>870383.3219</v>
      </c>
      <c r="N112" s="100">
        <f t="shared" si="60"/>
        <v>0</v>
      </c>
      <c r="O112" s="101">
        <f t="shared" si="6"/>
        <v>0</v>
      </c>
      <c r="P112" s="110"/>
      <c r="Q112" s="99">
        <v>1.15475189454E11</v>
      </c>
      <c r="R112" s="99">
        <f t="shared" si="7"/>
        <v>224969.5325</v>
      </c>
      <c r="S112" s="100">
        <f t="shared" si="61"/>
        <v>0</v>
      </c>
      <c r="T112" s="101">
        <f t="shared" si="9"/>
        <v>0</v>
      </c>
      <c r="U112" s="100">
        <f t="shared" si="10"/>
        <v>0</v>
      </c>
      <c r="V112" s="99">
        <f t="shared" si="11"/>
        <v>0</v>
      </c>
      <c r="W112" s="96">
        <v>3776.0</v>
      </c>
      <c r="X112" s="97">
        <v>6649.0</v>
      </c>
      <c r="Y112" s="98">
        <v>2345.213192121448</v>
      </c>
      <c r="Z112" s="119">
        <v>6.1411406E8</v>
      </c>
      <c r="AA112" s="99">
        <v>1389217.3666199013</v>
      </c>
      <c r="AB112" s="100">
        <f t="shared" si="62"/>
        <v>0.00471255343</v>
      </c>
      <c r="AC112" s="101">
        <f t="shared" si="13"/>
        <v>0.984623412</v>
      </c>
      <c r="AD112" s="98">
        <v>1327.531677107391</v>
      </c>
      <c r="AE112" s="118">
        <v>5.29749132E8</v>
      </c>
      <c r="AF112" s="99">
        <v>1298243.3714842624</v>
      </c>
      <c r="AG112" s="100">
        <f t="shared" si="63"/>
        <v>0.02182995085</v>
      </c>
      <c r="AH112" s="101">
        <f t="shared" si="15"/>
        <v>4.262383665</v>
      </c>
      <c r="AI112" s="102">
        <v>103.0403550858901</v>
      </c>
      <c r="AJ112" s="118">
        <v>1.54159215745E11</v>
      </c>
      <c r="AK112" s="118">
        <v>300334.00993407</v>
      </c>
      <c r="AL112" s="100">
        <f t="shared" si="64"/>
        <v>0.004904003333</v>
      </c>
      <c r="AM112" s="100">
        <f t="shared" si="17"/>
        <v>0.2215128569</v>
      </c>
      <c r="AN112" s="104">
        <f t="shared" si="18"/>
        <v>5.468519934</v>
      </c>
      <c r="AO112" s="97">
        <f t="shared" si="19"/>
        <v>36360.18904</v>
      </c>
    </row>
    <row r="113" ht="15.75" customHeight="1">
      <c r="A113" s="95">
        <v>21803.0</v>
      </c>
      <c r="B113" s="60" t="s">
        <v>51</v>
      </c>
      <c r="C113" s="60" t="s">
        <v>782</v>
      </c>
      <c r="D113" s="108"/>
      <c r="E113" s="109">
        <v>2016.0</v>
      </c>
      <c r="F113" s="110"/>
      <c r="G113" s="118">
        <v>4.22290885E8</v>
      </c>
      <c r="H113" s="99">
        <f t="shared" si="1"/>
        <v>954922.1553</v>
      </c>
      <c r="I113" s="100">
        <f t="shared" si="59"/>
        <v>0</v>
      </c>
      <c r="J113" s="101">
        <f t="shared" si="3"/>
        <v>0</v>
      </c>
      <c r="K113" s="111"/>
      <c r="L113" s="119">
        <v>3.2111817E8</v>
      </c>
      <c r="M113" s="99">
        <f t="shared" si="4"/>
        <v>870383.3219</v>
      </c>
      <c r="N113" s="100">
        <f t="shared" si="60"/>
        <v>0</v>
      </c>
      <c r="O113" s="101">
        <f t="shared" si="6"/>
        <v>0</v>
      </c>
      <c r="P113" s="110"/>
      <c r="Q113" s="99">
        <v>1.15475189454E11</v>
      </c>
      <c r="R113" s="99">
        <f t="shared" si="7"/>
        <v>224969.5325</v>
      </c>
      <c r="S113" s="100">
        <f t="shared" si="61"/>
        <v>0</v>
      </c>
      <c r="T113" s="101">
        <f t="shared" si="9"/>
        <v>0</v>
      </c>
      <c r="U113" s="100">
        <f t="shared" si="10"/>
        <v>0</v>
      </c>
      <c r="V113" s="99">
        <f t="shared" si="11"/>
        <v>0</v>
      </c>
      <c r="W113" s="108"/>
      <c r="X113" s="97">
        <v>2052.0</v>
      </c>
      <c r="Y113" s="110"/>
      <c r="Z113" s="119">
        <v>6.1411406E8</v>
      </c>
      <c r="AA113" s="99">
        <v>1389217.3666199013</v>
      </c>
      <c r="AB113" s="100">
        <f t="shared" si="62"/>
        <v>0</v>
      </c>
      <c r="AC113" s="101">
        <f t="shared" si="13"/>
        <v>0</v>
      </c>
      <c r="AD113" s="110"/>
      <c r="AE113" s="118">
        <v>5.29749132E8</v>
      </c>
      <c r="AF113" s="99">
        <v>1298243.3714842624</v>
      </c>
      <c r="AG113" s="100">
        <f t="shared" si="63"/>
        <v>0</v>
      </c>
      <c r="AH113" s="101">
        <f t="shared" si="15"/>
        <v>0</v>
      </c>
      <c r="AI113" s="111"/>
      <c r="AJ113" s="118">
        <v>1.54159215745E11</v>
      </c>
      <c r="AK113" s="118">
        <v>300334.00993407</v>
      </c>
      <c r="AL113" s="100">
        <f t="shared" si="64"/>
        <v>0</v>
      </c>
      <c r="AM113" s="100">
        <f t="shared" si="17"/>
        <v>0</v>
      </c>
      <c r="AN113" s="104">
        <f t="shared" si="18"/>
        <v>0</v>
      </c>
      <c r="AO113" s="97">
        <f t="shared" si="19"/>
        <v>0</v>
      </c>
    </row>
    <row r="114" ht="15.75" customHeight="1">
      <c r="A114" s="95">
        <v>21901.0</v>
      </c>
      <c r="B114" s="60" t="s">
        <v>51</v>
      </c>
      <c r="C114" s="60" t="s">
        <v>783</v>
      </c>
      <c r="D114" s="108"/>
      <c r="E114" s="109">
        <v>5146.0</v>
      </c>
      <c r="F114" s="110"/>
      <c r="G114" s="118">
        <v>4.22290885E8</v>
      </c>
      <c r="H114" s="99">
        <f t="shared" si="1"/>
        <v>954922.1553</v>
      </c>
      <c r="I114" s="100">
        <f t="shared" si="59"/>
        <v>0</v>
      </c>
      <c r="J114" s="101">
        <f t="shared" si="3"/>
        <v>0</v>
      </c>
      <c r="K114" s="111"/>
      <c r="L114" s="119">
        <v>3.2111817E8</v>
      </c>
      <c r="M114" s="99">
        <f t="shared" si="4"/>
        <v>870383.3219</v>
      </c>
      <c r="N114" s="100">
        <f t="shared" si="60"/>
        <v>0</v>
      </c>
      <c r="O114" s="101">
        <f t="shared" si="6"/>
        <v>0</v>
      </c>
      <c r="P114" s="110"/>
      <c r="Q114" s="99">
        <v>1.15475189454E11</v>
      </c>
      <c r="R114" s="99">
        <f t="shared" si="7"/>
        <v>224969.5325</v>
      </c>
      <c r="S114" s="100">
        <f t="shared" si="61"/>
        <v>0</v>
      </c>
      <c r="T114" s="101">
        <f t="shared" si="9"/>
        <v>0</v>
      </c>
      <c r="U114" s="100">
        <f t="shared" si="10"/>
        <v>0</v>
      </c>
      <c r="V114" s="99">
        <f t="shared" si="11"/>
        <v>0</v>
      </c>
      <c r="W114" s="108"/>
      <c r="X114" s="97">
        <v>6805.0</v>
      </c>
      <c r="Y114" s="110"/>
      <c r="Z114" s="119">
        <v>6.1411406E8</v>
      </c>
      <c r="AA114" s="99">
        <v>1389217.3666199013</v>
      </c>
      <c r="AB114" s="100">
        <f t="shared" si="62"/>
        <v>0</v>
      </c>
      <c r="AC114" s="101">
        <f t="shared" si="13"/>
        <v>0</v>
      </c>
      <c r="AD114" s="110"/>
      <c r="AE114" s="118">
        <v>5.29749132E8</v>
      </c>
      <c r="AF114" s="99">
        <v>1298243.3714842624</v>
      </c>
      <c r="AG114" s="100">
        <f t="shared" si="63"/>
        <v>0</v>
      </c>
      <c r="AH114" s="101">
        <f t="shared" si="15"/>
        <v>0</v>
      </c>
      <c r="AI114" s="111"/>
      <c r="AJ114" s="118">
        <v>1.54159215745E11</v>
      </c>
      <c r="AK114" s="118">
        <v>300334.00993407</v>
      </c>
      <c r="AL114" s="100">
        <f t="shared" si="64"/>
        <v>0</v>
      </c>
      <c r="AM114" s="100">
        <f t="shared" si="17"/>
        <v>0</v>
      </c>
      <c r="AN114" s="104">
        <f t="shared" si="18"/>
        <v>0</v>
      </c>
      <c r="AO114" s="97">
        <f t="shared" si="19"/>
        <v>0</v>
      </c>
    </row>
    <row r="115" ht="15.75" customHeight="1">
      <c r="A115" s="95">
        <v>21902.0</v>
      </c>
      <c r="B115" s="60" t="s">
        <v>51</v>
      </c>
      <c r="C115" s="60" t="s">
        <v>784</v>
      </c>
      <c r="D115" s="108"/>
      <c r="E115" s="109">
        <v>3498.5</v>
      </c>
      <c r="F115" s="110"/>
      <c r="G115" s="118">
        <v>4.22290885E8</v>
      </c>
      <c r="H115" s="99">
        <f t="shared" si="1"/>
        <v>954922.1553</v>
      </c>
      <c r="I115" s="100">
        <f t="shared" si="59"/>
        <v>0</v>
      </c>
      <c r="J115" s="101">
        <f t="shared" si="3"/>
        <v>0</v>
      </c>
      <c r="K115" s="111"/>
      <c r="L115" s="119">
        <v>3.2111817E8</v>
      </c>
      <c r="M115" s="99">
        <f t="shared" si="4"/>
        <v>870383.3219</v>
      </c>
      <c r="N115" s="100">
        <f t="shared" si="60"/>
        <v>0</v>
      </c>
      <c r="O115" s="101">
        <f t="shared" si="6"/>
        <v>0</v>
      </c>
      <c r="P115" s="110"/>
      <c r="Q115" s="99">
        <v>1.15475189454E11</v>
      </c>
      <c r="R115" s="99">
        <f t="shared" si="7"/>
        <v>224969.5325</v>
      </c>
      <c r="S115" s="100">
        <f t="shared" si="61"/>
        <v>0</v>
      </c>
      <c r="T115" s="101">
        <f t="shared" si="9"/>
        <v>0</v>
      </c>
      <c r="U115" s="100">
        <f t="shared" si="10"/>
        <v>0</v>
      </c>
      <c r="V115" s="99">
        <f t="shared" si="11"/>
        <v>0</v>
      </c>
      <c r="W115" s="108"/>
      <c r="X115" s="97">
        <v>5351.0</v>
      </c>
      <c r="Y115" s="110"/>
      <c r="Z115" s="119">
        <v>6.1411406E8</v>
      </c>
      <c r="AA115" s="99">
        <v>1389217.3666199013</v>
      </c>
      <c r="AB115" s="100">
        <f t="shared" si="62"/>
        <v>0</v>
      </c>
      <c r="AC115" s="101">
        <f t="shared" si="13"/>
        <v>0</v>
      </c>
      <c r="AD115" s="110"/>
      <c r="AE115" s="118">
        <v>5.29749132E8</v>
      </c>
      <c r="AF115" s="99">
        <v>1298243.3714842624</v>
      </c>
      <c r="AG115" s="100">
        <f t="shared" si="63"/>
        <v>0</v>
      </c>
      <c r="AH115" s="101">
        <f t="shared" si="15"/>
        <v>0</v>
      </c>
      <c r="AI115" s="111"/>
      <c r="AJ115" s="118">
        <v>1.54159215745E11</v>
      </c>
      <c r="AK115" s="118">
        <v>300334.00993407</v>
      </c>
      <c r="AL115" s="100">
        <f t="shared" si="64"/>
        <v>0</v>
      </c>
      <c r="AM115" s="100">
        <f t="shared" si="17"/>
        <v>0</v>
      </c>
      <c r="AN115" s="104">
        <f t="shared" si="18"/>
        <v>0</v>
      </c>
      <c r="AO115" s="97">
        <f t="shared" si="19"/>
        <v>0</v>
      </c>
    </row>
    <row r="116" ht="15.75" customHeight="1">
      <c r="A116" s="95">
        <v>22001.0</v>
      </c>
      <c r="B116" s="60" t="s">
        <v>51</v>
      </c>
      <c r="C116" s="60" t="s">
        <v>63</v>
      </c>
      <c r="D116" s="96">
        <v>2811.0</v>
      </c>
      <c r="E116" s="97">
        <v>52666.5</v>
      </c>
      <c r="F116" s="98">
        <v>2583.002136150772</v>
      </c>
      <c r="G116" s="118">
        <v>4.22290885E8</v>
      </c>
      <c r="H116" s="99">
        <f t="shared" si="1"/>
        <v>954922.1553</v>
      </c>
      <c r="I116" s="100">
        <f t="shared" si="59"/>
        <v>0.00796006495</v>
      </c>
      <c r="J116" s="101">
        <f t="shared" si="3"/>
        <v>0.1443278437</v>
      </c>
      <c r="K116" s="102">
        <v>130.7451723958754</v>
      </c>
      <c r="L116" s="119">
        <v>3.2111817E8</v>
      </c>
      <c r="M116" s="99">
        <f t="shared" si="4"/>
        <v>870383.3219</v>
      </c>
      <c r="N116" s="100">
        <f t="shared" si="60"/>
        <v>0.003103843331</v>
      </c>
      <c r="O116" s="101">
        <f t="shared" si="6"/>
        <v>0.05129510161</v>
      </c>
      <c r="P116" s="98">
        <v>97.18595960361597</v>
      </c>
      <c r="Q116" s="99">
        <v>1.15475189454E11</v>
      </c>
      <c r="R116" s="99">
        <f t="shared" si="7"/>
        <v>224969.5325</v>
      </c>
      <c r="S116" s="100">
        <f t="shared" si="61"/>
        <v>0.006832893716</v>
      </c>
      <c r="T116" s="101">
        <f t="shared" si="9"/>
        <v>0.02918729941</v>
      </c>
      <c r="U116" s="100">
        <f t="shared" si="10"/>
        <v>0.2248102447</v>
      </c>
      <c r="V116" s="99">
        <f t="shared" si="11"/>
        <v>11839.96875</v>
      </c>
      <c r="W116" s="96">
        <v>3432.0</v>
      </c>
      <c r="X116" s="97">
        <v>59676.0</v>
      </c>
      <c r="Y116" s="98">
        <v>3054.483454731345</v>
      </c>
      <c r="Z116" s="119">
        <v>6.1411406E8</v>
      </c>
      <c r="AA116" s="99">
        <v>1389217.3666199013</v>
      </c>
      <c r="AB116" s="100">
        <f t="shared" si="62"/>
        <v>0.006137785908</v>
      </c>
      <c r="AC116" s="101">
        <f t="shared" si="13"/>
        <v>0.1428835508</v>
      </c>
      <c r="AD116" s="98">
        <v>248.4286437587349</v>
      </c>
      <c r="AE116" s="118">
        <v>5.29749132E8</v>
      </c>
      <c r="AF116" s="99">
        <v>1298243.3714842624</v>
      </c>
      <c r="AG116" s="100">
        <f t="shared" si="63"/>
        <v>0.004085164351</v>
      </c>
      <c r="AH116" s="101">
        <f t="shared" si="15"/>
        <v>0.08887220224</v>
      </c>
      <c r="AI116" s="102">
        <v>128.99094116347</v>
      </c>
      <c r="AJ116" s="118">
        <v>1.54159215745E11</v>
      </c>
      <c r="AK116" s="118">
        <v>300334.00993407</v>
      </c>
      <c r="AL116" s="100">
        <f t="shared" si="64"/>
        <v>0.006139070511</v>
      </c>
      <c r="AM116" s="100">
        <f t="shared" si="17"/>
        <v>0.03089636812</v>
      </c>
      <c r="AN116" s="104">
        <f t="shared" si="18"/>
        <v>0.2626521211</v>
      </c>
      <c r="AO116" s="97">
        <f t="shared" si="19"/>
        <v>15674.02798</v>
      </c>
    </row>
    <row r="117" ht="15.75" customHeight="1">
      <c r="A117" s="95">
        <v>22002.0</v>
      </c>
      <c r="B117" s="60" t="s">
        <v>51</v>
      </c>
      <c r="C117" s="60" t="s">
        <v>56</v>
      </c>
      <c r="D117" s="96">
        <v>321.0</v>
      </c>
      <c r="E117" s="97">
        <v>11041.75</v>
      </c>
      <c r="F117" s="98">
        <v>298.7853635063483</v>
      </c>
      <c r="G117" s="118">
        <v>4.22290885E8</v>
      </c>
      <c r="H117" s="99">
        <f t="shared" si="1"/>
        <v>954922.1553</v>
      </c>
      <c r="I117" s="100">
        <f t="shared" si="59"/>
        <v>0.0009207700088</v>
      </c>
      <c r="J117" s="101">
        <f t="shared" si="3"/>
        <v>0.07963082676</v>
      </c>
      <c r="K117" s="102">
        <v>11.19922285510261</v>
      </c>
      <c r="L117" s="119">
        <v>3.2111817E8</v>
      </c>
      <c r="M117" s="99">
        <f t="shared" si="4"/>
        <v>870383.3219</v>
      </c>
      <c r="N117" s="100">
        <f t="shared" si="60"/>
        <v>0.0002658655194</v>
      </c>
      <c r="O117" s="101">
        <f t="shared" si="6"/>
        <v>0.020957268</v>
      </c>
      <c r="P117" s="98">
        <v>11.0082650951951</v>
      </c>
      <c r="Q117" s="99">
        <v>1.15475189454E11</v>
      </c>
      <c r="R117" s="99">
        <f t="shared" si="7"/>
        <v>224969.5325</v>
      </c>
      <c r="S117" s="100">
        <f t="shared" si="61"/>
        <v>0.0007739626763</v>
      </c>
      <c r="T117" s="101">
        <f t="shared" si="9"/>
        <v>0.01576906029</v>
      </c>
      <c r="U117" s="100">
        <f t="shared" si="10"/>
        <v>0.1163571551</v>
      </c>
      <c r="V117" s="99">
        <f t="shared" si="11"/>
        <v>1284.786617</v>
      </c>
      <c r="W117" s="96">
        <v>365.0</v>
      </c>
      <c r="X117" s="97">
        <v>10585.0</v>
      </c>
      <c r="Y117" s="98">
        <v>311.483243049509</v>
      </c>
      <c r="Z117" s="119">
        <v>6.1411406E8</v>
      </c>
      <c r="AA117" s="99">
        <v>1389217.3666199013</v>
      </c>
      <c r="AB117" s="100">
        <f t="shared" si="62"/>
        <v>0.0006259053251</v>
      </c>
      <c r="AC117" s="101">
        <f t="shared" si="13"/>
        <v>0.08214629641</v>
      </c>
      <c r="AD117" s="98">
        <v>44.31858599102745</v>
      </c>
      <c r="AE117" s="118">
        <v>5.29749132E8</v>
      </c>
      <c r="AF117" s="99">
        <v>1298243.3714842624</v>
      </c>
      <c r="AG117" s="100">
        <f t="shared" si="63"/>
        <v>0.0007287754941</v>
      </c>
      <c r="AH117" s="101">
        <f t="shared" si="15"/>
        <v>0.08938384076</v>
      </c>
      <c r="AI117" s="102">
        <v>9.187950762558959</v>
      </c>
      <c r="AJ117" s="118">
        <v>1.54159215745E11</v>
      </c>
      <c r="AK117" s="118">
        <v>300334.00993407</v>
      </c>
      <c r="AL117" s="100">
        <f t="shared" si="64"/>
        <v>0.0004372824718</v>
      </c>
      <c r="AM117" s="100">
        <f t="shared" si="17"/>
        <v>0.01240725538</v>
      </c>
      <c r="AN117" s="104">
        <f t="shared" si="18"/>
        <v>0.1839373926</v>
      </c>
      <c r="AO117" s="97">
        <f t="shared" si="19"/>
        <v>1946.9773</v>
      </c>
    </row>
    <row r="118" ht="15.75" customHeight="1">
      <c r="A118" s="95">
        <v>30101.0</v>
      </c>
      <c r="B118" s="60" t="s">
        <v>105</v>
      </c>
      <c r="C118" s="60" t="s">
        <v>105</v>
      </c>
      <c r="D118" s="96">
        <v>205083.0</v>
      </c>
      <c r="E118" s="97">
        <v>640386.0</v>
      </c>
      <c r="F118" s="98">
        <v>177329.2979258381</v>
      </c>
      <c r="G118" s="99">
        <v>2.20240099E8</v>
      </c>
      <c r="H118" s="99">
        <f t="shared" si="1"/>
        <v>498026.7335</v>
      </c>
      <c r="I118" s="100">
        <f t="shared" ref="I118:I165" si="65">F118/SUM($F$118:$F$165)</f>
        <v>0.6393711585</v>
      </c>
      <c r="J118" s="101">
        <f t="shared" si="3"/>
        <v>0.4972374936</v>
      </c>
      <c r="K118" s="102">
        <v>18242.61915456692</v>
      </c>
      <c r="L118" s="103">
        <v>3.0028409E8</v>
      </c>
      <c r="M118" s="99">
        <f t="shared" si="4"/>
        <v>813913.0333</v>
      </c>
      <c r="N118" s="100">
        <f t="shared" ref="N118:N165" si="66">K118/SUM($K$118:$K$165)</f>
        <v>0.3907950768</v>
      </c>
      <c r="O118" s="101">
        <f t="shared" si="6"/>
        <v>0.4966898188</v>
      </c>
      <c r="P118" s="98">
        <v>9492.978060571233</v>
      </c>
      <c r="Q118" s="99">
        <v>2.15025815918E11</v>
      </c>
      <c r="R118" s="99">
        <f t="shared" si="7"/>
        <v>418914.7254</v>
      </c>
      <c r="S118" s="100">
        <f t="shared" ref="S118:S165" si="67">P118/SUM($P$118:$P$165)</f>
        <v>0.5837989055</v>
      </c>
      <c r="T118" s="101">
        <f t="shared" si="9"/>
        <v>0.3818977276</v>
      </c>
      <c r="U118" s="100">
        <f t="shared" si="10"/>
        <v>1.37582504</v>
      </c>
      <c r="V118" s="99">
        <f t="shared" si="11"/>
        <v>881059.094</v>
      </c>
      <c r="W118" s="96">
        <v>305332.0</v>
      </c>
      <c r="X118" s="97">
        <v>665505.0</v>
      </c>
      <c r="Y118" s="98">
        <v>274949.6017501415</v>
      </c>
      <c r="Z118" s="103">
        <v>3.78780105E8</v>
      </c>
      <c r="AA118" s="99">
        <v>866801.9064986615</v>
      </c>
      <c r="AB118" s="100">
        <f t="shared" ref="AB118:AB165" si="68">Y118/SUM($Y$118:$Y$165)</f>
        <v>0.6020147452</v>
      </c>
      <c r="AC118" s="101">
        <f t="shared" si="13"/>
        <v>0.7841076008</v>
      </c>
      <c r="AD118" s="98">
        <v>18685.1283778967</v>
      </c>
      <c r="AE118" s="99">
        <v>3.26008197E8</v>
      </c>
      <c r="AF118" s="99">
        <v>760140.49290227</v>
      </c>
      <c r="AG118" s="100">
        <f t="shared" ref="AG118:AG165" si="69">AD118/SUM($AD$118:$AD$165)</f>
        <v>0.3177502699</v>
      </c>
      <c r="AH118" s="101">
        <f t="shared" si="15"/>
        <v>0.3629346839</v>
      </c>
      <c r="AI118" s="102">
        <v>11669.07894028451</v>
      </c>
      <c r="AJ118" s="99">
        <v>2.8104086679E11</v>
      </c>
      <c r="AK118" s="99">
        <v>547525.68680482</v>
      </c>
      <c r="AL118" s="100">
        <f t="shared" ref="AL118:AL165" si="70">AI118/SUM($AI$118:$AI$165)</f>
        <v>0.5272319156</v>
      </c>
      <c r="AM118" s="100">
        <f t="shared" si="17"/>
        <v>0.4337653612</v>
      </c>
      <c r="AN118" s="104">
        <f t="shared" si="18"/>
        <v>1.580807646</v>
      </c>
      <c r="AO118" s="97">
        <f t="shared" si="19"/>
        <v>1052035.392</v>
      </c>
    </row>
    <row r="119" ht="15.75" customHeight="1">
      <c r="A119" s="95">
        <v>30201.0</v>
      </c>
      <c r="B119" s="60" t="s">
        <v>105</v>
      </c>
      <c r="C119" s="60" t="s">
        <v>106</v>
      </c>
      <c r="D119" s="96">
        <v>51.0</v>
      </c>
      <c r="E119" s="97">
        <v>23231.0</v>
      </c>
      <c r="F119" s="98">
        <v>39.98614631141591</v>
      </c>
      <c r="G119" s="99">
        <v>2.20240099E8</v>
      </c>
      <c r="H119" s="99">
        <f t="shared" si="1"/>
        <v>498026.7335</v>
      </c>
      <c r="I119" s="100">
        <f t="shared" si="65"/>
        <v>0.00014417239</v>
      </c>
      <c r="J119" s="101">
        <f t="shared" si="3"/>
        <v>0.003090771143</v>
      </c>
      <c r="K119" s="102">
        <v>8.770994614332155</v>
      </c>
      <c r="L119" s="103">
        <v>3.0028409E8</v>
      </c>
      <c r="M119" s="99">
        <f t="shared" si="4"/>
        <v>813913.0333</v>
      </c>
      <c r="N119" s="100">
        <f t="shared" si="66"/>
        <v>0.0001878930588</v>
      </c>
      <c r="O119" s="101">
        <f t="shared" si="6"/>
        <v>0.006582954217</v>
      </c>
      <c r="P119" s="98">
        <v>2.239221576120331</v>
      </c>
      <c r="Q119" s="99">
        <v>2.15025815918E11</v>
      </c>
      <c r="R119" s="99">
        <f t="shared" si="7"/>
        <v>418914.7254</v>
      </c>
      <c r="S119" s="100">
        <f t="shared" si="67"/>
        <v>0.0001377075873</v>
      </c>
      <c r="T119" s="101">
        <f t="shared" si="9"/>
        <v>0.002483222252</v>
      </c>
      <c r="U119" s="100">
        <f t="shared" si="10"/>
        <v>0.01215694761</v>
      </c>
      <c r="V119" s="99">
        <f t="shared" si="11"/>
        <v>282.41805</v>
      </c>
      <c r="W119" s="96">
        <v>62.0</v>
      </c>
      <c r="X119" s="97">
        <v>23123.0</v>
      </c>
      <c r="Y119" s="98">
        <v>49.52046174241615</v>
      </c>
      <c r="Z119" s="103">
        <v>3.78780105E8</v>
      </c>
      <c r="AA119" s="99">
        <v>866801.9064986615</v>
      </c>
      <c r="AB119" s="100">
        <f t="shared" si="68"/>
        <v>0.0001084273189</v>
      </c>
      <c r="AC119" s="101">
        <f t="shared" si="13"/>
        <v>0.004064568039</v>
      </c>
      <c r="AD119" s="98">
        <v>9.198078433869043</v>
      </c>
      <c r="AE119" s="99">
        <v>3.26008197E8</v>
      </c>
      <c r="AF119" s="99">
        <v>760140.49290227</v>
      </c>
      <c r="AG119" s="100">
        <f t="shared" si="69"/>
        <v>0.00015641808</v>
      </c>
      <c r="AH119" s="101">
        <f t="shared" si="15"/>
        <v>0.005142054077</v>
      </c>
      <c r="AI119" s="102">
        <v>3.277050570627346</v>
      </c>
      <c r="AJ119" s="99">
        <v>2.8104086679E11</v>
      </c>
      <c r="AK119" s="99">
        <v>547525.68680482</v>
      </c>
      <c r="AL119" s="100">
        <f t="shared" si="70"/>
        <v>0.000148063584</v>
      </c>
      <c r="AM119" s="100">
        <f t="shared" si="17"/>
        <v>0.00350597308</v>
      </c>
      <c r="AN119" s="104">
        <f t="shared" si="18"/>
        <v>0.0127125952</v>
      </c>
      <c r="AO119" s="97">
        <f t="shared" si="19"/>
        <v>293.9533387</v>
      </c>
    </row>
    <row r="120" ht="15.75" customHeight="1">
      <c r="A120" s="95">
        <v>30202.0</v>
      </c>
      <c r="B120" s="60" t="s">
        <v>105</v>
      </c>
      <c r="C120" s="60" t="s">
        <v>125</v>
      </c>
      <c r="D120" s="96">
        <v>1.0</v>
      </c>
      <c r="E120" s="97">
        <v>6758.5</v>
      </c>
      <c r="F120" s="98">
        <v>0.840430229624022</v>
      </c>
      <c r="G120" s="99">
        <v>2.20240099E8</v>
      </c>
      <c r="H120" s="99">
        <f t="shared" si="1"/>
        <v>498026.7335</v>
      </c>
      <c r="I120" s="100">
        <f t="shared" si="65"/>
        <v>0.000003030220363</v>
      </c>
      <c r="J120" s="101">
        <f t="shared" si="3"/>
        <v>0.0002232937411</v>
      </c>
      <c r="K120" s="102">
        <v>0.0777504415846581</v>
      </c>
      <c r="L120" s="103">
        <v>3.0028409E8</v>
      </c>
      <c r="M120" s="99">
        <f t="shared" si="4"/>
        <v>813913.0333</v>
      </c>
      <c r="N120" s="100">
        <f t="shared" si="66"/>
        <v>0.000001665577159</v>
      </c>
      <c r="O120" s="101">
        <f t="shared" si="6"/>
        <v>0.0002005822235</v>
      </c>
      <c r="P120" s="98">
        <v>0.0817877870300278</v>
      </c>
      <c r="Q120" s="99">
        <v>2.15025815918E11</v>
      </c>
      <c r="R120" s="99">
        <f t="shared" si="7"/>
        <v>418914.7254</v>
      </c>
      <c r="S120" s="100">
        <f t="shared" si="67"/>
        <v>0.000005029783093</v>
      </c>
      <c r="T120" s="101">
        <f t="shared" si="9"/>
        <v>0.0003117629952</v>
      </c>
      <c r="U120" s="100">
        <f t="shared" si="10"/>
        <v>0.0007356389598</v>
      </c>
      <c r="V120" s="99">
        <f t="shared" si="11"/>
        <v>4.97181591</v>
      </c>
      <c r="W120" s="96">
        <v>1.0</v>
      </c>
      <c r="X120" s="97">
        <v>6475.0</v>
      </c>
      <c r="Y120" s="98">
        <v>0.840430229624022</v>
      </c>
      <c r="Z120" s="103">
        <v>3.78780105E8</v>
      </c>
      <c r="AA120" s="99">
        <v>866801.9064986615</v>
      </c>
      <c r="AB120" s="100">
        <f t="shared" si="68"/>
        <v>0.000001840160478</v>
      </c>
      <c r="AC120" s="101">
        <f t="shared" si="13"/>
        <v>0.0002463404804</v>
      </c>
      <c r="AD120" s="98">
        <v>0.0777504415846581</v>
      </c>
      <c r="AE120" s="99">
        <v>3.26008197E8</v>
      </c>
      <c r="AF120" s="99">
        <v>760140.49290227</v>
      </c>
      <c r="AG120" s="100">
        <f t="shared" si="69"/>
        <v>0.000001322186463</v>
      </c>
      <c r="AH120" s="101">
        <f t="shared" si="15"/>
        <v>0.0001552196864</v>
      </c>
      <c r="AI120" s="102">
        <v>0.0817877870300278</v>
      </c>
      <c r="AJ120" s="99">
        <v>2.8104086679E11</v>
      </c>
      <c r="AK120" s="99">
        <v>547525.68680482</v>
      </c>
      <c r="AL120" s="100">
        <f t="shared" si="70"/>
        <v>0.000003695332927</v>
      </c>
      <c r="AM120" s="100">
        <f t="shared" si="17"/>
        <v>0.0003124771735</v>
      </c>
      <c r="AN120" s="104">
        <f t="shared" si="18"/>
        <v>0.0007140373404</v>
      </c>
      <c r="AO120" s="97">
        <f t="shared" si="19"/>
        <v>4.623391779</v>
      </c>
    </row>
    <row r="121" ht="15.75" customHeight="1">
      <c r="A121" s="95">
        <v>30203.0</v>
      </c>
      <c r="B121" s="60" t="s">
        <v>105</v>
      </c>
      <c r="C121" s="60" t="s">
        <v>124</v>
      </c>
      <c r="D121" s="96">
        <v>6.0</v>
      </c>
      <c r="E121" s="97">
        <v>5907.25</v>
      </c>
      <c r="F121" s="98">
        <v>3.31721550898973</v>
      </c>
      <c r="G121" s="99">
        <v>2.20240099E8</v>
      </c>
      <c r="H121" s="99">
        <f t="shared" si="1"/>
        <v>498026.7335</v>
      </c>
      <c r="I121" s="100">
        <f t="shared" si="65"/>
        <v>0.0000119604146</v>
      </c>
      <c r="J121" s="101">
        <f t="shared" si="3"/>
        <v>0.001008355193</v>
      </c>
      <c r="K121" s="102">
        <v>2.660182994853706</v>
      </c>
      <c r="L121" s="103">
        <v>3.0028409E8</v>
      </c>
      <c r="M121" s="99">
        <f t="shared" si="4"/>
        <v>813913.0333</v>
      </c>
      <c r="N121" s="100">
        <f t="shared" si="66"/>
        <v>0.00005698668645</v>
      </c>
      <c r="O121" s="101">
        <f t="shared" si="6"/>
        <v>0.007851742659</v>
      </c>
      <c r="P121" s="98">
        <v>0.02150941297585303</v>
      </c>
      <c r="Q121" s="99">
        <v>2.15025815918E11</v>
      </c>
      <c r="R121" s="99">
        <f t="shared" si="7"/>
        <v>418914.7254</v>
      </c>
      <c r="S121" s="100">
        <f t="shared" si="67"/>
        <v>0.000001322785292</v>
      </c>
      <c r="T121" s="101">
        <f t="shared" si="9"/>
        <v>0.00009380578733</v>
      </c>
      <c r="U121" s="100">
        <f t="shared" si="10"/>
        <v>0.008953903639</v>
      </c>
      <c r="V121" s="99">
        <f t="shared" si="11"/>
        <v>52.89294727</v>
      </c>
      <c r="W121" s="96">
        <v>111.0</v>
      </c>
      <c r="X121" s="97">
        <v>6700.0</v>
      </c>
      <c r="Y121" s="98">
        <v>81.59552533927196</v>
      </c>
      <c r="Z121" s="103">
        <v>3.78780105E8</v>
      </c>
      <c r="AA121" s="99">
        <v>866801.9064986615</v>
      </c>
      <c r="AB121" s="100">
        <f t="shared" si="68"/>
        <v>0.0001786571396</v>
      </c>
      <c r="AC121" s="101">
        <f t="shared" si="13"/>
        <v>0.02311348496</v>
      </c>
      <c r="AD121" s="98">
        <v>26.87665913289947</v>
      </c>
      <c r="AE121" s="99">
        <v>3.26008197E8</v>
      </c>
      <c r="AF121" s="99">
        <v>760140.49290227</v>
      </c>
      <c r="AG121" s="100">
        <f t="shared" si="69"/>
        <v>0.0004570514862</v>
      </c>
      <c r="AH121" s="101">
        <f t="shared" si="15"/>
        <v>0.05185423014</v>
      </c>
      <c r="AI121" s="102">
        <v>2.510317259039337</v>
      </c>
      <c r="AJ121" s="99">
        <v>2.8104086679E11</v>
      </c>
      <c r="AK121" s="99">
        <v>547525.68680482</v>
      </c>
      <c r="AL121" s="100">
        <f t="shared" si="70"/>
        <v>0.0001134210664</v>
      </c>
      <c r="AM121" s="100">
        <f t="shared" si="17"/>
        <v>0.009268798102</v>
      </c>
      <c r="AN121" s="104">
        <f t="shared" si="18"/>
        <v>0.08423651321</v>
      </c>
      <c r="AO121" s="97">
        <f t="shared" si="19"/>
        <v>564.3846385</v>
      </c>
    </row>
    <row r="122" ht="15.75" customHeight="1">
      <c r="A122" s="95">
        <v>30301.0</v>
      </c>
      <c r="B122" s="60" t="s">
        <v>105</v>
      </c>
      <c r="C122" s="60" t="s">
        <v>785</v>
      </c>
      <c r="D122" s="108"/>
      <c r="E122" s="109">
        <v>23197.25</v>
      </c>
      <c r="F122" s="110"/>
      <c r="G122" s="99">
        <v>2.20240099E8</v>
      </c>
      <c r="H122" s="99">
        <f t="shared" si="1"/>
        <v>498026.7335</v>
      </c>
      <c r="I122" s="100">
        <f t="shared" si="65"/>
        <v>0</v>
      </c>
      <c r="J122" s="101">
        <f t="shared" si="3"/>
        <v>0</v>
      </c>
      <c r="K122" s="111"/>
      <c r="L122" s="103">
        <v>3.0028409E8</v>
      </c>
      <c r="M122" s="99">
        <f t="shared" si="4"/>
        <v>813913.0333</v>
      </c>
      <c r="N122" s="100">
        <f t="shared" si="66"/>
        <v>0</v>
      </c>
      <c r="O122" s="101">
        <f t="shared" si="6"/>
        <v>0</v>
      </c>
      <c r="P122" s="110"/>
      <c r="Q122" s="99">
        <v>2.15025815918E11</v>
      </c>
      <c r="R122" s="99">
        <f t="shared" si="7"/>
        <v>418914.7254</v>
      </c>
      <c r="S122" s="100">
        <f t="shared" si="67"/>
        <v>0</v>
      </c>
      <c r="T122" s="101">
        <f t="shared" si="9"/>
        <v>0</v>
      </c>
      <c r="U122" s="100">
        <f t="shared" si="10"/>
        <v>0</v>
      </c>
      <c r="V122" s="99">
        <f t="shared" si="11"/>
        <v>0</v>
      </c>
      <c r="W122" s="108"/>
      <c r="X122" s="97">
        <v>21815.0</v>
      </c>
      <c r="Y122" s="110"/>
      <c r="Z122" s="103">
        <v>3.78780105E8</v>
      </c>
      <c r="AA122" s="99">
        <v>866801.9064986615</v>
      </c>
      <c r="AB122" s="100">
        <f t="shared" si="68"/>
        <v>0</v>
      </c>
      <c r="AC122" s="101">
        <f t="shared" si="13"/>
        <v>0</v>
      </c>
      <c r="AD122" s="110"/>
      <c r="AE122" s="99">
        <v>3.26008197E8</v>
      </c>
      <c r="AF122" s="99">
        <v>760140.49290227</v>
      </c>
      <c r="AG122" s="100">
        <f t="shared" si="69"/>
        <v>0</v>
      </c>
      <c r="AH122" s="101">
        <f t="shared" si="15"/>
        <v>0</v>
      </c>
      <c r="AI122" s="111"/>
      <c r="AJ122" s="99">
        <v>2.8104086679E11</v>
      </c>
      <c r="AK122" s="99">
        <v>547525.68680482</v>
      </c>
      <c r="AL122" s="100">
        <f t="shared" si="70"/>
        <v>0</v>
      </c>
      <c r="AM122" s="100">
        <f t="shared" si="17"/>
        <v>0</v>
      </c>
      <c r="AN122" s="104">
        <f t="shared" si="18"/>
        <v>0</v>
      </c>
      <c r="AO122" s="97">
        <f t="shared" si="19"/>
        <v>0</v>
      </c>
    </row>
    <row r="123" ht="15.75" customHeight="1">
      <c r="A123" s="95">
        <v>30302.0</v>
      </c>
      <c r="B123" s="60" t="s">
        <v>105</v>
      </c>
      <c r="C123" s="60" t="s">
        <v>123</v>
      </c>
      <c r="D123" s="96">
        <v>24.0</v>
      </c>
      <c r="E123" s="97">
        <v>13277.75</v>
      </c>
      <c r="F123" s="98">
        <v>20.12587056153566</v>
      </c>
      <c r="G123" s="99">
        <v>2.20240099E8</v>
      </c>
      <c r="H123" s="99">
        <f t="shared" si="1"/>
        <v>498026.7335</v>
      </c>
      <c r="I123" s="100">
        <f t="shared" si="65"/>
        <v>0.0000725650038</v>
      </c>
      <c r="J123" s="101">
        <f t="shared" si="3"/>
        <v>0.002721794868</v>
      </c>
      <c r="K123" s="102">
        <v>3.198143481424914</v>
      </c>
      <c r="L123" s="103">
        <v>3.0028409E8</v>
      </c>
      <c r="M123" s="99">
        <f t="shared" si="4"/>
        <v>813913.0333</v>
      </c>
      <c r="N123" s="100">
        <f t="shared" si="66"/>
        <v>0.0000685109258</v>
      </c>
      <c r="O123" s="101">
        <f t="shared" si="6"/>
        <v>0.004199652459</v>
      </c>
      <c r="P123" s="98">
        <v>0.6731816485136206</v>
      </c>
      <c r="Q123" s="99">
        <v>2.15025815918E11</v>
      </c>
      <c r="R123" s="99">
        <f t="shared" si="7"/>
        <v>418914.7254</v>
      </c>
      <c r="S123" s="100">
        <f t="shared" si="67"/>
        <v>0.00004139930664</v>
      </c>
      <c r="T123" s="101">
        <f t="shared" si="9"/>
        <v>0.001306153465</v>
      </c>
      <c r="U123" s="100">
        <f t="shared" si="10"/>
        <v>0.008227600791</v>
      </c>
      <c r="V123" s="99">
        <f t="shared" si="11"/>
        <v>109.2440264</v>
      </c>
      <c r="W123" s="96">
        <v>113.0</v>
      </c>
      <c r="X123" s="97">
        <v>14720.0</v>
      </c>
      <c r="Y123" s="98">
        <v>93.43883142680706</v>
      </c>
      <c r="Z123" s="103">
        <v>3.78780105E8</v>
      </c>
      <c r="AA123" s="99">
        <v>866801.9064986615</v>
      </c>
      <c r="AB123" s="100">
        <f t="shared" si="68"/>
        <v>0.0002045886007</v>
      </c>
      <c r="AC123" s="101">
        <f t="shared" si="13"/>
        <v>0.01204740415</v>
      </c>
      <c r="AD123" s="98">
        <v>16.98968327081451</v>
      </c>
      <c r="AE123" s="99">
        <v>3.26008197E8</v>
      </c>
      <c r="AF123" s="99">
        <v>760140.49290227</v>
      </c>
      <c r="AG123" s="100">
        <f t="shared" si="69"/>
        <v>0.0002889183492</v>
      </c>
      <c r="AH123" s="101">
        <f t="shared" si="15"/>
        <v>0.01491973752</v>
      </c>
      <c r="AI123" s="102">
        <v>2.556531326534862</v>
      </c>
      <c r="AJ123" s="99">
        <v>2.8104086679E11</v>
      </c>
      <c r="AK123" s="99">
        <v>547525.68680482</v>
      </c>
      <c r="AL123" s="100">
        <f t="shared" si="70"/>
        <v>0.0001155091088</v>
      </c>
      <c r="AM123" s="100">
        <f t="shared" si="17"/>
        <v>0.004296481258</v>
      </c>
      <c r="AN123" s="104">
        <f t="shared" si="18"/>
        <v>0.03126362294</v>
      </c>
      <c r="AO123" s="97">
        <f t="shared" si="19"/>
        <v>460.2005296</v>
      </c>
    </row>
    <row r="124" ht="15.75" customHeight="1">
      <c r="A124" s="95">
        <v>30303.0</v>
      </c>
      <c r="B124" s="60" t="s">
        <v>105</v>
      </c>
      <c r="C124" s="60" t="s">
        <v>117</v>
      </c>
      <c r="D124" s="96">
        <v>302.0</v>
      </c>
      <c r="E124" s="97">
        <v>18459.0</v>
      </c>
      <c r="F124" s="98">
        <v>242.7214792160612</v>
      </c>
      <c r="G124" s="99">
        <v>2.20240099E8</v>
      </c>
      <c r="H124" s="99">
        <f t="shared" si="1"/>
        <v>498026.7335</v>
      </c>
      <c r="I124" s="100">
        <f t="shared" si="65"/>
        <v>0.000875146494</v>
      </c>
      <c r="J124" s="101">
        <f t="shared" si="3"/>
        <v>0.02361159054</v>
      </c>
      <c r="K124" s="102">
        <v>51.57374876512499</v>
      </c>
      <c r="L124" s="103">
        <v>3.0028409E8</v>
      </c>
      <c r="M124" s="99">
        <f t="shared" si="4"/>
        <v>813913.0333</v>
      </c>
      <c r="N124" s="100">
        <f t="shared" si="66"/>
        <v>0.001104817622</v>
      </c>
      <c r="O124" s="101">
        <f t="shared" si="6"/>
        <v>0.04871474412</v>
      </c>
      <c r="P124" s="98">
        <v>7.669824202546883</v>
      </c>
      <c r="Q124" s="99">
        <v>2.15025815918E11</v>
      </c>
      <c r="R124" s="99">
        <f t="shared" si="7"/>
        <v>418914.7254</v>
      </c>
      <c r="S124" s="100">
        <f t="shared" si="67"/>
        <v>0.0004716786393</v>
      </c>
      <c r="T124" s="101">
        <f t="shared" si="9"/>
        <v>0.01070443294</v>
      </c>
      <c r="U124" s="100">
        <f t="shared" si="10"/>
        <v>0.0830307676</v>
      </c>
      <c r="V124" s="99">
        <f t="shared" si="11"/>
        <v>1532.664939</v>
      </c>
      <c r="W124" s="96">
        <v>640.0</v>
      </c>
      <c r="X124" s="97">
        <v>19608.0</v>
      </c>
      <c r="Y124" s="98">
        <v>440.5355675331447</v>
      </c>
      <c r="Z124" s="103">
        <v>3.78780105E8</v>
      </c>
      <c r="AA124" s="99">
        <v>866801.9064986615</v>
      </c>
      <c r="AB124" s="100">
        <f t="shared" si="68"/>
        <v>0.0009645728008</v>
      </c>
      <c r="AC124" s="101">
        <f t="shared" si="13"/>
        <v>0.04264042955</v>
      </c>
      <c r="AD124" s="98">
        <v>182.5031609417908</v>
      </c>
      <c r="AE124" s="99">
        <v>3.26008197E8</v>
      </c>
      <c r="AF124" s="99">
        <v>760140.49290227</v>
      </c>
      <c r="AG124" s="100">
        <f t="shared" si="69"/>
        <v>0.003103560622</v>
      </c>
      <c r="AH124" s="101">
        <f t="shared" si="15"/>
        <v>0.1203152846</v>
      </c>
      <c r="AI124" s="102">
        <v>16.874728661164</v>
      </c>
      <c r="AJ124" s="99">
        <v>2.8104086679E11</v>
      </c>
      <c r="AK124" s="99">
        <v>547525.68680482</v>
      </c>
      <c r="AL124" s="100">
        <f t="shared" si="70"/>
        <v>0.0007624333989</v>
      </c>
      <c r="AM124" s="100">
        <f t="shared" si="17"/>
        <v>0.02128987507</v>
      </c>
      <c r="AN124" s="104">
        <f t="shared" si="18"/>
        <v>0.1842455892</v>
      </c>
      <c r="AO124" s="97">
        <f t="shared" si="19"/>
        <v>3612.687514</v>
      </c>
    </row>
    <row r="125" ht="15.75" customHeight="1">
      <c r="A125" s="95">
        <v>30401.0</v>
      </c>
      <c r="B125" s="60" t="s">
        <v>105</v>
      </c>
      <c r="C125" s="60" t="s">
        <v>139</v>
      </c>
      <c r="D125" s="96">
        <v>407.0</v>
      </c>
      <c r="E125" s="97">
        <v>8999.75</v>
      </c>
      <c r="F125" s="98">
        <v>327.1930437777102</v>
      </c>
      <c r="G125" s="99">
        <v>2.20240099E8</v>
      </c>
      <c r="H125" s="99">
        <f t="shared" si="1"/>
        <v>498026.7335</v>
      </c>
      <c r="I125" s="100">
        <f t="shared" si="65"/>
        <v>0.001179713662</v>
      </c>
      <c r="J125" s="101">
        <f t="shared" si="3"/>
        <v>0.06528280692</v>
      </c>
      <c r="K125" s="102">
        <v>51.80152260830575</v>
      </c>
      <c r="L125" s="103">
        <v>3.0028409E8</v>
      </c>
      <c r="M125" s="99">
        <f t="shared" si="4"/>
        <v>813913.0333</v>
      </c>
      <c r="N125" s="100">
        <f t="shared" si="66"/>
        <v>0.001109697014</v>
      </c>
      <c r="O125" s="101">
        <f t="shared" si="6"/>
        <v>0.1003579947</v>
      </c>
      <c r="P125" s="98">
        <v>27.97392674198727</v>
      </c>
      <c r="Q125" s="99">
        <v>2.15025815918E11</v>
      </c>
      <c r="R125" s="99">
        <f t="shared" si="7"/>
        <v>418914.7254</v>
      </c>
      <c r="S125" s="100">
        <f t="shared" si="67"/>
        <v>0.001720339783</v>
      </c>
      <c r="T125" s="101">
        <f t="shared" si="9"/>
        <v>0.08007729855</v>
      </c>
      <c r="U125" s="100">
        <f t="shared" si="10"/>
        <v>0.2457181002</v>
      </c>
      <c r="V125" s="99">
        <f t="shared" si="11"/>
        <v>2211.401472</v>
      </c>
      <c r="W125" s="96">
        <v>700.0</v>
      </c>
      <c r="X125" s="97">
        <v>11273.0</v>
      </c>
      <c r="Y125" s="98">
        <v>585.2980912075211</v>
      </c>
      <c r="Z125" s="103">
        <v>3.78780105E8</v>
      </c>
      <c r="AA125" s="99">
        <v>866801.9064986615</v>
      </c>
      <c r="AB125" s="100">
        <f t="shared" si="68"/>
        <v>0.001281536976</v>
      </c>
      <c r="AC125" s="101">
        <f t="shared" si="13"/>
        <v>0.0985397582</v>
      </c>
      <c r="AD125" s="98">
        <v>66.94345141681907</v>
      </c>
      <c r="AE125" s="99">
        <v>3.26008197E8</v>
      </c>
      <c r="AF125" s="99">
        <v>760140.49290227</v>
      </c>
      <c r="AG125" s="100">
        <f t="shared" si="69"/>
        <v>0.001138408007</v>
      </c>
      <c r="AH125" s="101">
        <f t="shared" si="15"/>
        <v>0.07676306427</v>
      </c>
      <c r="AI125" s="102">
        <v>47.70565282379117</v>
      </c>
      <c r="AJ125" s="99">
        <v>2.8104086679E11</v>
      </c>
      <c r="AK125" s="99">
        <v>547525.68680482</v>
      </c>
      <c r="AL125" s="100">
        <f t="shared" si="70"/>
        <v>0.002155435134</v>
      </c>
      <c r="AM125" s="100">
        <f t="shared" si="17"/>
        <v>0.1046887343</v>
      </c>
      <c r="AN125" s="104">
        <f t="shared" si="18"/>
        <v>0.2799915568</v>
      </c>
      <c r="AO125" s="97">
        <f t="shared" si="19"/>
        <v>3156.34482</v>
      </c>
    </row>
    <row r="126" ht="15.75" customHeight="1">
      <c r="A126" s="95">
        <v>30402.0</v>
      </c>
      <c r="B126" s="60" t="s">
        <v>105</v>
      </c>
      <c r="C126" s="60" t="s">
        <v>108</v>
      </c>
      <c r="D126" s="96">
        <v>1.0</v>
      </c>
      <c r="E126" s="97">
        <v>7227.75</v>
      </c>
      <c r="F126" s="98">
        <v>0.999513766486355</v>
      </c>
      <c r="G126" s="99">
        <v>2.20240099E8</v>
      </c>
      <c r="H126" s="99">
        <f t="shared" si="1"/>
        <v>498026.7335</v>
      </c>
      <c r="I126" s="100">
        <f t="shared" si="65"/>
        <v>0.000003603805363</v>
      </c>
      <c r="J126" s="101">
        <f t="shared" si="3"/>
        <v>0.0002483195203</v>
      </c>
      <c r="K126" s="102">
        <v>2.43116756822464E-5</v>
      </c>
      <c r="L126" s="103">
        <v>3.0028409E8</v>
      </c>
      <c r="M126" s="99">
        <f t="shared" si="4"/>
        <v>813913.0333</v>
      </c>
      <c r="N126" s="100">
        <f t="shared" si="66"/>
        <v>0.0000000005208069677</v>
      </c>
      <c r="O126" s="101">
        <f t="shared" si="6"/>
        <v>0.00000005864779203</v>
      </c>
      <c r="P126" s="98">
        <v>3.4036345955145E-4</v>
      </c>
      <c r="Q126" s="99">
        <v>2.15025815918E11</v>
      </c>
      <c r="R126" s="99">
        <f t="shared" si="7"/>
        <v>418914.7254</v>
      </c>
      <c r="S126" s="100">
        <f t="shared" si="67"/>
        <v>0.00000002093166274</v>
      </c>
      <c r="T126" s="101">
        <f t="shared" si="9"/>
        <v>0.000001213182768</v>
      </c>
      <c r="U126" s="100">
        <f t="shared" si="10"/>
        <v>0.0002495913509</v>
      </c>
      <c r="V126" s="99">
        <f t="shared" si="11"/>
        <v>1.803983886</v>
      </c>
      <c r="W126" s="96">
        <v>141.0</v>
      </c>
      <c r="X126" s="97">
        <v>7335.0</v>
      </c>
      <c r="Y126" s="98">
        <v>103.3560312101938</v>
      </c>
      <c r="Z126" s="103">
        <v>3.78780105E8</v>
      </c>
      <c r="AA126" s="99">
        <v>866801.9064986615</v>
      </c>
      <c r="AB126" s="100">
        <f t="shared" si="68"/>
        <v>0.0002263027638</v>
      </c>
      <c r="AC126" s="101">
        <f t="shared" si="13"/>
        <v>0.02674296757</v>
      </c>
      <c r="AD126" s="98">
        <v>29.65082038534807</v>
      </c>
      <c r="AE126" s="99">
        <v>3.26008197E8</v>
      </c>
      <c r="AF126" s="99">
        <v>760140.49290227</v>
      </c>
      <c r="AG126" s="100">
        <f t="shared" si="69"/>
        <v>0.0005042275327</v>
      </c>
      <c r="AH126" s="101">
        <f t="shared" si="15"/>
        <v>0.05225409206</v>
      </c>
      <c r="AI126" s="102">
        <v>7.978186268371062</v>
      </c>
      <c r="AJ126" s="99">
        <v>2.8104086679E11</v>
      </c>
      <c r="AK126" s="99">
        <v>547525.68680482</v>
      </c>
      <c r="AL126" s="100">
        <f t="shared" si="70"/>
        <v>0.0003604701323</v>
      </c>
      <c r="AM126" s="100">
        <f t="shared" si="17"/>
        <v>0.02690751967</v>
      </c>
      <c r="AN126" s="104">
        <f t="shared" si="18"/>
        <v>0.1059045793</v>
      </c>
      <c r="AO126" s="97">
        <f t="shared" si="19"/>
        <v>776.8100892</v>
      </c>
    </row>
    <row r="127" ht="15.75" customHeight="1">
      <c r="A127" s="95">
        <v>30403.0</v>
      </c>
      <c r="B127" s="60" t="s">
        <v>105</v>
      </c>
      <c r="C127" s="60" t="s">
        <v>110</v>
      </c>
      <c r="D127" s="96">
        <v>208.0</v>
      </c>
      <c r="E127" s="97">
        <v>20427.5</v>
      </c>
      <c r="F127" s="98">
        <v>169.2468224156908</v>
      </c>
      <c r="G127" s="99">
        <v>2.20240099E8</v>
      </c>
      <c r="H127" s="99">
        <f t="shared" si="1"/>
        <v>498026.7335</v>
      </c>
      <c r="I127" s="100">
        <f t="shared" si="65"/>
        <v>0.0006102293202</v>
      </c>
      <c r="J127" s="101">
        <f t="shared" si="3"/>
        <v>0.01487751879</v>
      </c>
      <c r="K127" s="102">
        <v>26.92059677123362</v>
      </c>
      <c r="L127" s="103">
        <v>3.0028409E8</v>
      </c>
      <c r="M127" s="99">
        <f t="shared" si="4"/>
        <v>813913.0333</v>
      </c>
      <c r="N127" s="100">
        <f t="shared" si="66"/>
        <v>0.0005766955168</v>
      </c>
      <c r="O127" s="101">
        <f t="shared" si="6"/>
        <v>0.02297784836</v>
      </c>
      <c r="P127" s="98">
        <v>11.81346143606241</v>
      </c>
      <c r="Q127" s="99">
        <v>2.15025815918E11</v>
      </c>
      <c r="R127" s="99">
        <f t="shared" si="7"/>
        <v>418914.7254</v>
      </c>
      <c r="S127" s="100">
        <f t="shared" si="67"/>
        <v>0.0007265039288</v>
      </c>
      <c r="T127" s="101">
        <f t="shared" si="9"/>
        <v>0.01489869998</v>
      </c>
      <c r="U127" s="100">
        <f t="shared" si="10"/>
        <v>0.05275406712</v>
      </c>
      <c r="V127" s="99">
        <f t="shared" si="11"/>
        <v>1077.633706</v>
      </c>
      <c r="W127" s="96">
        <v>2851.0</v>
      </c>
      <c r="X127" s="97">
        <v>29375.0</v>
      </c>
      <c r="Y127" s="98">
        <v>2365.874822551799</v>
      </c>
      <c r="Z127" s="103">
        <v>3.78780105E8</v>
      </c>
      <c r="AA127" s="99">
        <v>866801.9064986615</v>
      </c>
      <c r="AB127" s="100">
        <f t="shared" si="68"/>
        <v>0.005180191277</v>
      </c>
      <c r="AC127" s="101">
        <f t="shared" si="13"/>
        <v>0.1528578613</v>
      </c>
      <c r="AD127" s="98">
        <v>309.3244077300113</v>
      </c>
      <c r="AE127" s="99">
        <v>3.26008197E8</v>
      </c>
      <c r="AF127" s="99">
        <v>760140.49290227</v>
      </c>
      <c r="AG127" s="100">
        <f t="shared" si="69"/>
        <v>0.005260221501</v>
      </c>
      <c r="AH127" s="101">
        <f t="shared" si="15"/>
        <v>0.1361193997</v>
      </c>
      <c r="AI127" s="102">
        <v>175.5729157272832</v>
      </c>
      <c r="AJ127" s="99">
        <v>2.8104086679E11</v>
      </c>
      <c r="AK127" s="99">
        <v>547525.68680482</v>
      </c>
      <c r="AL127" s="100">
        <f t="shared" si="70"/>
        <v>0.007932729324</v>
      </c>
      <c r="AM127" s="100">
        <f t="shared" si="17"/>
        <v>0.1478595088</v>
      </c>
      <c r="AN127" s="104">
        <f t="shared" si="18"/>
        <v>0.4368367697</v>
      </c>
      <c r="AO127" s="97">
        <f t="shared" si="19"/>
        <v>12832.08011</v>
      </c>
    </row>
    <row r="128" ht="15.75" customHeight="1">
      <c r="A128" s="95">
        <v>30404.0</v>
      </c>
      <c r="B128" s="60" t="s">
        <v>105</v>
      </c>
      <c r="C128" s="60" t="s">
        <v>132</v>
      </c>
      <c r="D128" s="96">
        <v>5.0</v>
      </c>
      <c r="E128" s="97">
        <v>4521.25</v>
      </c>
      <c r="F128" s="98">
        <v>3.280750805409334</v>
      </c>
      <c r="G128" s="99">
        <v>2.20240099E8</v>
      </c>
      <c r="H128" s="99">
        <f t="shared" si="1"/>
        <v>498026.7335</v>
      </c>
      <c r="I128" s="100">
        <f t="shared" si="65"/>
        <v>0.00001182893897</v>
      </c>
      <c r="J128" s="101">
        <f t="shared" si="3"/>
        <v>0.001302986527</v>
      </c>
      <c r="K128" s="102">
        <v>1.619624152517956</v>
      </c>
      <c r="L128" s="103">
        <v>3.0028409E8</v>
      </c>
      <c r="M128" s="99">
        <f t="shared" si="4"/>
        <v>813913.0333</v>
      </c>
      <c r="N128" s="100">
        <f t="shared" si="66"/>
        <v>0.00003469573857</v>
      </c>
      <c r="O128" s="101">
        <f t="shared" si="6"/>
        <v>0.006245908503</v>
      </c>
      <c r="P128" s="98">
        <v>0.09902687528716224</v>
      </c>
      <c r="Q128" s="99">
        <v>2.15025815918E11</v>
      </c>
      <c r="R128" s="99">
        <f t="shared" si="7"/>
        <v>418914.7254</v>
      </c>
      <c r="S128" s="100">
        <f t="shared" si="67"/>
        <v>0.000006089952072</v>
      </c>
      <c r="T128" s="101">
        <f t="shared" si="9"/>
        <v>0.0005642622283</v>
      </c>
      <c r="U128" s="100">
        <f t="shared" si="10"/>
        <v>0.008113157259</v>
      </c>
      <c r="V128" s="99">
        <f t="shared" si="11"/>
        <v>36.68161226</v>
      </c>
      <c r="W128" s="96">
        <v>6.0</v>
      </c>
      <c r="X128" s="97">
        <v>4987.0</v>
      </c>
      <c r="Y128" s="98">
        <v>4.121181035033356</v>
      </c>
      <c r="Z128" s="103">
        <v>3.78780105E8</v>
      </c>
      <c r="AA128" s="99">
        <v>866801.9064986615</v>
      </c>
      <c r="AB128" s="100">
        <f t="shared" si="68"/>
        <v>0.000009023514618</v>
      </c>
      <c r="AC128" s="101">
        <f t="shared" si="13"/>
        <v>0.001568397769</v>
      </c>
      <c r="AD128" s="98">
        <v>1.697374594102613</v>
      </c>
      <c r="AE128" s="99">
        <v>3.26008197E8</v>
      </c>
      <c r="AF128" s="99">
        <v>760140.49290227</v>
      </c>
      <c r="AG128" s="100">
        <f t="shared" si="69"/>
        <v>0.00002886473266</v>
      </c>
      <c r="AH128" s="101">
        <f t="shared" si="15"/>
        <v>0.004399689616</v>
      </c>
      <c r="AI128" s="102">
        <v>0.18081466231719</v>
      </c>
      <c r="AJ128" s="99">
        <v>2.8104086679E11</v>
      </c>
      <c r="AK128" s="99">
        <v>547525.68680482</v>
      </c>
      <c r="AL128" s="100">
        <f t="shared" si="70"/>
        <v>0.000008169561735</v>
      </c>
      <c r="AM128" s="100">
        <f t="shared" si="17"/>
        <v>0.0008969410266</v>
      </c>
      <c r="AN128" s="104">
        <f t="shared" si="18"/>
        <v>0.006865028412</v>
      </c>
      <c r="AO128" s="97">
        <f t="shared" si="19"/>
        <v>34.23589669</v>
      </c>
    </row>
    <row r="129" ht="15.75" customHeight="1">
      <c r="A129" s="95">
        <v>30501.0</v>
      </c>
      <c r="B129" s="60" t="s">
        <v>105</v>
      </c>
      <c r="C129" s="60" t="s">
        <v>109</v>
      </c>
      <c r="D129" s="96">
        <v>49.0</v>
      </c>
      <c r="E129" s="97">
        <v>9923.75</v>
      </c>
      <c r="F129" s="98">
        <v>30.62615655873002</v>
      </c>
      <c r="G129" s="99">
        <v>2.20240099E8</v>
      </c>
      <c r="H129" s="99">
        <f t="shared" si="1"/>
        <v>498026.7335</v>
      </c>
      <c r="I129" s="100">
        <f t="shared" si="65"/>
        <v>0.0001104243993</v>
      </c>
      <c r="J129" s="101">
        <f t="shared" si="3"/>
        <v>0.00554168564</v>
      </c>
      <c r="K129" s="102">
        <v>16.26580127268629</v>
      </c>
      <c r="L129" s="103">
        <v>3.0028409E8</v>
      </c>
      <c r="M129" s="99">
        <f t="shared" si="4"/>
        <v>813913.0333</v>
      </c>
      <c r="N129" s="100">
        <f t="shared" si="66"/>
        <v>0.0003484475011</v>
      </c>
      <c r="O129" s="101">
        <f t="shared" si="6"/>
        <v>0.02857850737</v>
      </c>
      <c r="P129" s="98">
        <v>2.100302882933458</v>
      </c>
      <c r="Q129" s="99">
        <v>2.15025815918E11</v>
      </c>
      <c r="R129" s="99">
        <f t="shared" si="7"/>
        <v>418914.7254</v>
      </c>
      <c r="S129" s="100">
        <f t="shared" si="67"/>
        <v>0.0001291643693</v>
      </c>
      <c r="T129" s="101">
        <f t="shared" si="9"/>
        <v>0.005452460643</v>
      </c>
      <c r="U129" s="100">
        <f t="shared" si="10"/>
        <v>0.03957265365</v>
      </c>
      <c r="V129" s="99">
        <f t="shared" si="11"/>
        <v>392.7091217</v>
      </c>
      <c r="W129" s="96">
        <v>469.0</v>
      </c>
      <c r="X129" s="97">
        <v>11183.0</v>
      </c>
      <c r="Y129" s="98">
        <v>381.1674747606786</v>
      </c>
      <c r="Z129" s="103">
        <v>3.78780105E8</v>
      </c>
      <c r="AA129" s="99">
        <v>866801.9064986615</v>
      </c>
      <c r="AB129" s="100">
        <f t="shared" si="68"/>
        <v>0.0008345836427</v>
      </c>
      <c r="AC129" s="101">
        <f t="shared" si="13"/>
        <v>0.06468914358</v>
      </c>
      <c r="AD129" s="98">
        <v>61.42872887992338</v>
      </c>
      <c r="AE129" s="99">
        <v>3.26008197E8</v>
      </c>
      <c r="AF129" s="99">
        <v>760140.49290227</v>
      </c>
      <c r="AG129" s="100">
        <f t="shared" si="69"/>
        <v>0.001044627299</v>
      </c>
      <c r="AH129" s="101">
        <f t="shared" si="15"/>
        <v>0.07100630508</v>
      </c>
      <c r="AI129" s="102">
        <v>26.36043506946255</v>
      </c>
      <c r="AJ129" s="99">
        <v>2.8104086679E11</v>
      </c>
      <c r="AK129" s="99">
        <v>547525.68680482</v>
      </c>
      <c r="AL129" s="100">
        <f t="shared" si="70"/>
        <v>0.001191016253</v>
      </c>
      <c r="AM129" s="100">
        <f t="shared" si="17"/>
        <v>0.0583127955</v>
      </c>
      <c r="AN129" s="104">
        <f t="shared" si="18"/>
        <v>0.1940082442</v>
      </c>
      <c r="AO129" s="97">
        <f t="shared" si="19"/>
        <v>2169.594194</v>
      </c>
    </row>
    <row r="130" ht="15.75" customHeight="1">
      <c r="A130" s="95">
        <v>30502.0</v>
      </c>
      <c r="B130" s="60" t="s">
        <v>105</v>
      </c>
      <c r="C130" s="60" t="s">
        <v>145</v>
      </c>
      <c r="D130" s="96">
        <v>25.0</v>
      </c>
      <c r="E130" s="97">
        <v>8807.25</v>
      </c>
      <c r="F130" s="98">
        <v>14.70702667498536</v>
      </c>
      <c r="G130" s="99">
        <v>2.20240099E8</v>
      </c>
      <c r="H130" s="99">
        <f t="shared" si="1"/>
        <v>498026.7335</v>
      </c>
      <c r="I130" s="100">
        <f t="shared" si="65"/>
        <v>0.00005302704513</v>
      </c>
      <c r="J130" s="101">
        <f t="shared" si="3"/>
        <v>0.002998539393</v>
      </c>
      <c r="K130" s="102">
        <v>9.413750133745816</v>
      </c>
      <c r="L130" s="103">
        <v>3.0028409E8</v>
      </c>
      <c r="M130" s="99">
        <f t="shared" si="4"/>
        <v>813913.0333</v>
      </c>
      <c r="N130" s="100">
        <f t="shared" si="66"/>
        <v>0.0002016622271</v>
      </c>
      <c r="O130" s="101">
        <f t="shared" si="6"/>
        <v>0.0186364092</v>
      </c>
      <c r="P130" s="98">
        <v>0.8746264362890004</v>
      </c>
      <c r="Q130" s="99">
        <v>2.15025815918E11</v>
      </c>
      <c r="R130" s="99">
        <f t="shared" si="7"/>
        <v>418914.7254</v>
      </c>
      <c r="S130" s="100">
        <f t="shared" si="67"/>
        <v>0.00005378775269</v>
      </c>
      <c r="T130" s="101">
        <f t="shared" si="9"/>
        <v>0.002558401504</v>
      </c>
      <c r="U130" s="100">
        <f t="shared" si="10"/>
        <v>0.0241933501</v>
      </c>
      <c r="V130" s="99">
        <f t="shared" si="11"/>
        <v>213.0768826</v>
      </c>
      <c r="W130" s="96">
        <v>137.0</v>
      </c>
      <c r="X130" s="97">
        <v>8409.0</v>
      </c>
      <c r="Y130" s="98">
        <v>97.22346390631418</v>
      </c>
      <c r="Z130" s="103">
        <v>3.78780105E8</v>
      </c>
      <c r="AA130" s="99">
        <v>866801.9064986615</v>
      </c>
      <c r="AB130" s="100">
        <f t="shared" si="68"/>
        <v>0.0002128752269</v>
      </c>
      <c r="AC130" s="101">
        <f t="shared" si="13"/>
        <v>0.02194323374</v>
      </c>
      <c r="AD130" s="98">
        <v>31.41221348729825</v>
      </c>
      <c r="AE130" s="99">
        <v>3.26008197E8</v>
      </c>
      <c r="AF130" s="99">
        <v>760140.49290227</v>
      </c>
      <c r="AG130" s="100">
        <f t="shared" si="69"/>
        <v>0.0005341809332</v>
      </c>
      <c r="AH130" s="101">
        <f t="shared" si="15"/>
        <v>0.04828785324</v>
      </c>
      <c r="AI130" s="102">
        <v>8.350307484883695</v>
      </c>
      <c r="AJ130" s="99">
        <v>2.8104086679E11</v>
      </c>
      <c r="AK130" s="99">
        <v>547525.68680482</v>
      </c>
      <c r="AL130" s="100">
        <f t="shared" si="70"/>
        <v>0.0003772833001</v>
      </c>
      <c r="AM130" s="100">
        <f t="shared" si="17"/>
        <v>0.02456561993</v>
      </c>
      <c r="AN130" s="104">
        <f t="shared" si="18"/>
        <v>0.09479670691</v>
      </c>
      <c r="AO130" s="97">
        <f t="shared" si="19"/>
        <v>797.1455084</v>
      </c>
    </row>
    <row r="131" ht="15.75" customHeight="1">
      <c r="A131" s="95">
        <v>30601.0</v>
      </c>
      <c r="B131" s="60" t="s">
        <v>105</v>
      </c>
      <c r="C131" s="60" t="s">
        <v>111</v>
      </c>
      <c r="D131" s="96">
        <v>4.0</v>
      </c>
      <c r="E131" s="97">
        <v>10605.75</v>
      </c>
      <c r="F131" s="98">
        <v>2.990068833768551</v>
      </c>
      <c r="G131" s="99">
        <v>2.20240099E8</v>
      </c>
      <c r="H131" s="99">
        <f t="shared" si="1"/>
        <v>498026.7335</v>
      </c>
      <c r="I131" s="100">
        <f t="shared" si="65"/>
        <v>0.00001078086812</v>
      </c>
      <c r="J131" s="101">
        <f t="shared" si="3"/>
        <v>0.0005062499618</v>
      </c>
      <c r="K131" s="102">
        <v>0.9254985617009396</v>
      </c>
      <c r="L131" s="103">
        <v>3.0028409E8</v>
      </c>
      <c r="M131" s="99">
        <f t="shared" si="4"/>
        <v>813913.0333</v>
      </c>
      <c r="N131" s="100">
        <f t="shared" si="66"/>
        <v>0.00001982611589</v>
      </c>
      <c r="O131" s="101">
        <f t="shared" si="6"/>
        <v>0.001521508061</v>
      </c>
      <c r="P131" s="98">
        <v>0.08383443774496104</v>
      </c>
      <c r="Q131" s="99">
        <v>2.15025815918E11</v>
      </c>
      <c r="R131" s="99">
        <f t="shared" si="7"/>
        <v>418914.7254</v>
      </c>
      <c r="S131" s="100">
        <f t="shared" si="67"/>
        <v>0.000005155647963</v>
      </c>
      <c r="T131" s="101">
        <f t="shared" si="9"/>
        <v>0.0002036420668</v>
      </c>
      <c r="U131" s="100">
        <f t="shared" si="10"/>
        <v>0.00223140009</v>
      </c>
      <c r="V131" s="99">
        <f t="shared" si="11"/>
        <v>23.6656715</v>
      </c>
      <c r="W131" s="96">
        <v>172.0</v>
      </c>
      <c r="X131" s="97">
        <v>10632.0</v>
      </c>
      <c r="Y131" s="98">
        <v>134.6414538210536</v>
      </c>
      <c r="Z131" s="103">
        <v>3.78780105E8</v>
      </c>
      <c r="AA131" s="99">
        <v>866801.9064986615</v>
      </c>
      <c r="AB131" s="100">
        <f t="shared" si="68"/>
        <v>0.0002948036295</v>
      </c>
      <c r="AC131" s="101">
        <f t="shared" si="13"/>
        <v>0.02403464523</v>
      </c>
      <c r="AD131" s="98">
        <v>27.99602608389546</v>
      </c>
      <c r="AE131" s="99">
        <v>3.26008197E8</v>
      </c>
      <c r="AF131" s="99">
        <v>760140.49290227</v>
      </c>
      <c r="AG131" s="100">
        <f t="shared" si="69"/>
        <v>0.0004760869</v>
      </c>
      <c r="AH131" s="101">
        <f t="shared" si="15"/>
        <v>0.03403808604</v>
      </c>
      <c r="AI131" s="102">
        <v>9.345742594281477</v>
      </c>
      <c r="AJ131" s="99">
        <v>2.8104086679E11</v>
      </c>
      <c r="AK131" s="99">
        <v>547525.68680482</v>
      </c>
      <c r="AL131" s="100">
        <f t="shared" si="70"/>
        <v>0.0004222590143</v>
      </c>
      <c r="AM131" s="100">
        <f t="shared" si="17"/>
        <v>0.02174545305</v>
      </c>
      <c r="AN131" s="104">
        <f t="shared" si="18"/>
        <v>0.07981818432</v>
      </c>
      <c r="AO131" s="97">
        <f t="shared" si="19"/>
        <v>848.6269357</v>
      </c>
    </row>
    <row r="132" ht="15.75" customHeight="1">
      <c r="A132" s="95">
        <v>30602.0</v>
      </c>
      <c r="B132" s="60" t="s">
        <v>105</v>
      </c>
      <c r="C132" s="60" t="s">
        <v>137</v>
      </c>
      <c r="D132" s="96">
        <v>9.0</v>
      </c>
      <c r="E132" s="97">
        <v>10377.25</v>
      </c>
      <c r="F132" s="98">
        <v>7.990994244585727</v>
      </c>
      <c r="G132" s="99">
        <v>2.20240099E8</v>
      </c>
      <c r="H132" s="99">
        <f t="shared" si="1"/>
        <v>498026.7335</v>
      </c>
      <c r="I132" s="100">
        <f t="shared" si="65"/>
        <v>0.00002881199727</v>
      </c>
      <c r="J132" s="101">
        <f t="shared" si="3"/>
        <v>0.001382750236</v>
      </c>
      <c r="K132" s="102">
        <v>0.9219372089226472</v>
      </c>
      <c r="L132" s="103">
        <v>3.0028409E8</v>
      </c>
      <c r="M132" s="99">
        <f t="shared" si="4"/>
        <v>813913.0333</v>
      </c>
      <c r="N132" s="100">
        <f t="shared" si="66"/>
        <v>0.00001974982426</v>
      </c>
      <c r="O132" s="101">
        <f t="shared" si="6"/>
        <v>0.001549026897</v>
      </c>
      <c r="P132" s="98">
        <v>0.08584505222941609</v>
      </c>
      <c r="Q132" s="99">
        <v>2.15025815918E11</v>
      </c>
      <c r="R132" s="99">
        <f t="shared" si="7"/>
        <v>418914.7254</v>
      </c>
      <c r="S132" s="100">
        <f t="shared" si="67"/>
        <v>0.000005279296678</v>
      </c>
      <c r="T132" s="101">
        <f t="shared" si="9"/>
        <v>0.0002131176485</v>
      </c>
      <c r="U132" s="100">
        <f t="shared" si="10"/>
        <v>0.003144894782</v>
      </c>
      <c r="V132" s="99">
        <f t="shared" si="11"/>
        <v>32.63535937</v>
      </c>
      <c r="W132" s="96">
        <v>272.0</v>
      </c>
      <c r="X132" s="97">
        <v>10750.0</v>
      </c>
      <c r="Y132" s="98">
        <v>209.2136087795541</v>
      </c>
      <c r="Z132" s="103">
        <v>3.78780105E8</v>
      </c>
      <c r="AA132" s="99">
        <v>866801.9064986615</v>
      </c>
      <c r="AB132" s="100">
        <f t="shared" si="68"/>
        <v>0.000458082778</v>
      </c>
      <c r="AC132" s="101">
        <f t="shared" si="13"/>
        <v>0.03693646747</v>
      </c>
      <c r="AD132" s="98">
        <v>49.92572452822683</v>
      </c>
      <c r="AE132" s="99">
        <v>3.26008197E8</v>
      </c>
      <c r="AF132" s="99">
        <v>760140.49290227</v>
      </c>
      <c r="AG132" s="100">
        <f t="shared" si="69"/>
        <v>0.0008490127616</v>
      </c>
      <c r="AH132" s="101">
        <f t="shared" si="15"/>
        <v>0.06003432364</v>
      </c>
      <c r="AI132" s="102">
        <v>12.83101458057297</v>
      </c>
      <c r="AJ132" s="99">
        <v>2.8104086679E11</v>
      </c>
      <c r="AK132" s="99">
        <v>547525.68680482</v>
      </c>
      <c r="AL132" s="100">
        <f t="shared" si="70"/>
        <v>0.000579730451</v>
      </c>
      <c r="AM132" s="100">
        <f t="shared" si="17"/>
        <v>0.02952719194</v>
      </c>
      <c r="AN132" s="104">
        <f t="shared" si="18"/>
        <v>0.126497983</v>
      </c>
      <c r="AO132" s="97">
        <f t="shared" si="19"/>
        <v>1359.853318</v>
      </c>
    </row>
    <row r="133" ht="15.75" customHeight="1">
      <c r="A133" s="95">
        <v>30701.0</v>
      </c>
      <c r="B133" s="60" t="s">
        <v>105</v>
      </c>
      <c r="C133" s="60" t="s">
        <v>113</v>
      </c>
      <c r="D133" s="96">
        <v>966.0</v>
      </c>
      <c r="E133" s="97">
        <v>19464.5</v>
      </c>
      <c r="F133" s="98">
        <v>675.5814247351061</v>
      </c>
      <c r="G133" s="99">
        <v>2.20240099E8</v>
      </c>
      <c r="H133" s="99">
        <f t="shared" si="1"/>
        <v>498026.7335</v>
      </c>
      <c r="I133" s="100">
        <f t="shared" si="65"/>
        <v>0.002435848353</v>
      </c>
      <c r="J133" s="101">
        <f t="shared" si="3"/>
        <v>0.06232462166</v>
      </c>
      <c r="K133" s="102">
        <v>264.2971447930028</v>
      </c>
      <c r="L133" s="103">
        <v>3.0028409E8</v>
      </c>
      <c r="M133" s="99">
        <f t="shared" si="4"/>
        <v>813913.0333</v>
      </c>
      <c r="N133" s="100">
        <f t="shared" si="66"/>
        <v>0.005661797909</v>
      </c>
      <c r="O133" s="101">
        <f t="shared" si="6"/>
        <v>0.236749524</v>
      </c>
      <c r="P133" s="98">
        <v>25.99715635693101</v>
      </c>
      <c r="Q133" s="99">
        <v>2.15025815918E11</v>
      </c>
      <c r="R133" s="99">
        <f t="shared" si="7"/>
        <v>418914.7254</v>
      </c>
      <c r="S133" s="100">
        <f t="shared" si="67"/>
        <v>0.001598772412</v>
      </c>
      <c r="T133" s="101">
        <f t="shared" si="9"/>
        <v>0.03440875983</v>
      </c>
      <c r="U133" s="100">
        <f t="shared" si="10"/>
        <v>0.3334829055</v>
      </c>
      <c r="V133" s="99">
        <f t="shared" si="11"/>
        <v>6491.078014</v>
      </c>
      <c r="W133" s="96">
        <v>3728.0</v>
      </c>
      <c r="X133" s="97">
        <v>19427.0</v>
      </c>
      <c r="Y133" s="98">
        <v>3151.62137137126</v>
      </c>
      <c r="Z133" s="103">
        <v>3.78780105E8</v>
      </c>
      <c r="AA133" s="99">
        <v>866801.9064986615</v>
      </c>
      <c r="AB133" s="100">
        <f t="shared" si="68"/>
        <v>0.006900619331</v>
      </c>
      <c r="AC133" s="101">
        <f t="shared" si="13"/>
        <v>0.3078946822</v>
      </c>
      <c r="AD133" s="98">
        <v>509.6756100103485</v>
      </c>
      <c r="AE133" s="99">
        <v>3.26008197E8</v>
      </c>
      <c r="AF133" s="99">
        <v>760140.49290227</v>
      </c>
      <c r="AG133" s="100">
        <f t="shared" si="69"/>
        <v>0.008667297295</v>
      </c>
      <c r="AH133" s="101">
        <f t="shared" si="15"/>
        <v>0.339134382</v>
      </c>
      <c r="AI133" s="102">
        <v>66.2557264857978</v>
      </c>
      <c r="AJ133" s="99">
        <v>2.8104086679E11</v>
      </c>
      <c r="AK133" s="99">
        <v>547525.68680482</v>
      </c>
      <c r="AL133" s="100">
        <f t="shared" si="70"/>
        <v>0.002993563912</v>
      </c>
      <c r="AM133" s="100">
        <f t="shared" si="17"/>
        <v>0.08436985313</v>
      </c>
      <c r="AN133" s="104">
        <f t="shared" si="18"/>
        <v>0.7313989173</v>
      </c>
      <c r="AO133" s="97">
        <f t="shared" si="19"/>
        <v>14208.88677</v>
      </c>
    </row>
    <row r="134" ht="15.75" customHeight="1">
      <c r="A134" s="95">
        <v>30702.0</v>
      </c>
      <c r="B134" s="60" t="s">
        <v>105</v>
      </c>
      <c r="C134" s="60" t="s">
        <v>134</v>
      </c>
      <c r="D134" s="96">
        <v>43.0</v>
      </c>
      <c r="E134" s="97">
        <v>6880.25</v>
      </c>
      <c r="F134" s="98">
        <v>28.99476409333624</v>
      </c>
      <c r="G134" s="99">
        <v>2.20240099E8</v>
      </c>
      <c r="H134" s="99">
        <f t="shared" si="1"/>
        <v>498026.7335</v>
      </c>
      <c r="I134" s="100">
        <f t="shared" si="65"/>
        <v>0.0001045423183</v>
      </c>
      <c r="J134" s="101">
        <f t="shared" si="3"/>
        <v>0.007567293238</v>
      </c>
      <c r="K134" s="102">
        <v>11.92794000243923</v>
      </c>
      <c r="L134" s="103">
        <v>3.0028409E8</v>
      </c>
      <c r="M134" s="99">
        <f t="shared" si="4"/>
        <v>813913.0333</v>
      </c>
      <c r="N134" s="100">
        <f t="shared" si="66"/>
        <v>0.0002555214352</v>
      </c>
      <c r="O134" s="101">
        <f t="shared" si="6"/>
        <v>0.0302274229</v>
      </c>
      <c r="P134" s="98">
        <v>2.07158509810313</v>
      </c>
      <c r="Q134" s="99">
        <v>2.15025815918E11</v>
      </c>
      <c r="R134" s="99">
        <f t="shared" si="7"/>
        <v>418914.7254</v>
      </c>
      <c r="S134" s="100">
        <f t="shared" si="67"/>
        <v>0.0001273982838</v>
      </c>
      <c r="T134" s="101">
        <f t="shared" si="9"/>
        <v>0.007756842711</v>
      </c>
      <c r="U134" s="100">
        <f t="shared" si="10"/>
        <v>0.04555155885</v>
      </c>
      <c r="V134" s="99">
        <f t="shared" si="11"/>
        <v>313.4061128</v>
      </c>
      <c r="W134" s="96">
        <v>339.0</v>
      </c>
      <c r="X134" s="97">
        <v>7940.0</v>
      </c>
      <c r="Y134" s="98">
        <v>250.62978342462</v>
      </c>
      <c r="Z134" s="103">
        <v>3.78780105E8</v>
      </c>
      <c r="AA134" s="99">
        <v>866801.9064986615</v>
      </c>
      <c r="AB134" s="100">
        <f t="shared" si="68"/>
        <v>0.0005487653892</v>
      </c>
      <c r="AC134" s="101">
        <f t="shared" si="13"/>
        <v>0.05990817198</v>
      </c>
      <c r="AD134" s="98">
        <v>75.34616519545395</v>
      </c>
      <c r="AE134" s="99">
        <v>3.26008197E8</v>
      </c>
      <c r="AF134" s="99">
        <v>760140.49290227</v>
      </c>
      <c r="AG134" s="100">
        <f t="shared" si="69"/>
        <v>0.0012813005</v>
      </c>
      <c r="AH134" s="101">
        <f t="shared" si="15"/>
        <v>0.1226660445</v>
      </c>
      <c r="AI134" s="102">
        <v>12.98287654436959</v>
      </c>
      <c r="AJ134" s="99">
        <v>2.8104086679E11</v>
      </c>
      <c r="AK134" s="99">
        <v>547525.68680482</v>
      </c>
      <c r="AL134" s="100">
        <f t="shared" si="70"/>
        <v>0.0005865918729</v>
      </c>
      <c r="AM134" s="100">
        <f t="shared" si="17"/>
        <v>0.04045014082</v>
      </c>
      <c r="AN134" s="104">
        <f t="shared" si="18"/>
        <v>0.2230243573</v>
      </c>
      <c r="AO134" s="97">
        <f t="shared" si="19"/>
        <v>1770.813397</v>
      </c>
    </row>
    <row r="135" ht="15.75" customHeight="1">
      <c r="A135" s="95">
        <v>30703.0</v>
      </c>
      <c r="B135" s="60" t="s">
        <v>105</v>
      </c>
      <c r="C135" s="60" t="s">
        <v>786</v>
      </c>
      <c r="D135" s="108"/>
      <c r="E135" s="109">
        <v>3800.0</v>
      </c>
      <c r="F135" s="110"/>
      <c r="G135" s="99">
        <v>2.20240099E8</v>
      </c>
      <c r="H135" s="99">
        <f t="shared" si="1"/>
        <v>498026.7335</v>
      </c>
      <c r="I135" s="100">
        <f t="shared" si="65"/>
        <v>0</v>
      </c>
      <c r="J135" s="101">
        <f t="shared" si="3"/>
        <v>0</v>
      </c>
      <c r="K135" s="111"/>
      <c r="L135" s="103">
        <v>3.0028409E8</v>
      </c>
      <c r="M135" s="99">
        <f t="shared" si="4"/>
        <v>813913.0333</v>
      </c>
      <c r="N135" s="100">
        <f t="shared" si="66"/>
        <v>0</v>
      </c>
      <c r="O135" s="101">
        <f t="shared" si="6"/>
        <v>0</v>
      </c>
      <c r="P135" s="110"/>
      <c r="Q135" s="99">
        <v>2.15025815918E11</v>
      </c>
      <c r="R135" s="99">
        <f t="shared" si="7"/>
        <v>418914.7254</v>
      </c>
      <c r="S135" s="100">
        <f t="shared" si="67"/>
        <v>0</v>
      </c>
      <c r="T135" s="101">
        <f t="shared" si="9"/>
        <v>0</v>
      </c>
      <c r="U135" s="100">
        <f t="shared" si="10"/>
        <v>0</v>
      </c>
      <c r="V135" s="99">
        <f t="shared" si="11"/>
        <v>0</v>
      </c>
      <c r="W135" s="108"/>
      <c r="X135" s="97">
        <v>3980.0</v>
      </c>
      <c r="Y135" s="110"/>
      <c r="Z135" s="103">
        <v>3.78780105E8</v>
      </c>
      <c r="AA135" s="99">
        <v>866801.9064986615</v>
      </c>
      <c r="AB135" s="100">
        <f t="shared" si="68"/>
        <v>0</v>
      </c>
      <c r="AC135" s="101">
        <f t="shared" si="13"/>
        <v>0</v>
      </c>
      <c r="AD135" s="110"/>
      <c r="AE135" s="99">
        <v>3.26008197E8</v>
      </c>
      <c r="AF135" s="99">
        <v>760140.49290227</v>
      </c>
      <c r="AG135" s="100">
        <f t="shared" si="69"/>
        <v>0</v>
      </c>
      <c r="AH135" s="101">
        <f t="shared" si="15"/>
        <v>0</v>
      </c>
      <c r="AI135" s="111"/>
      <c r="AJ135" s="99">
        <v>2.8104086679E11</v>
      </c>
      <c r="AK135" s="99">
        <v>547525.68680482</v>
      </c>
      <c r="AL135" s="100">
        <f t="shared" si="70"/>
        <v>0</v>
      </c>
      <c r="AM135" s="100">
        <f t="shared" si="17"/>
        <v>0</v>
      </c>
      <c r="AN135" s="104">
        <f t="shared" si="18"/>
        <v>0</v>
      </c>
      <c r="AO135" s="97">
        <f t="shared" si="19"/>
        <v>0</v>
      </c>
    </row>
    <row r="136" ht="15.75" customHeight="1">
      <c r="A136" s="95">
        <v>30801.0</v>
      </c>
      <c r="B136" s="60" t="s">
        <v>105</v>
      </c>
      <c r="C136" s="60" t="s">
        <v>116</v>
      </c>
      <c r="D136" s="96">
        <v>2086.0</v>
      </c>
      <c r="E136" s="97">
        <v>21713.0</v>
      </c>
      <c r="F136" s="98">
        <v>1617.362627502407</v>
      </c>
      <c r="G136" s="99">
        <v>2.20240099E8</v>
      </c>
      <c r="H136" s="99">
        <f t="shared" si="1"/>
        <v>498026.7335</v>
      </c>
      <c r="I136" s="100">
        <f t="shared" si="65"/>
        <v>0.005831495579</v>
      </c>
      <c r="J136" s="101">
        <f t="shared" si="3"/>
        <v>0.1337558465</v>
      </c>
      <c r="K136" s="102">
        <v>352.1532055995989</v>
      </c>
      <c r="L136" s="103">
        <v>3.0028409E8</v>
      </c>
      <c r="M136" s="99">
        <f t="shared" si="4"/>
        <v>813913.0333</v>
      </c>
      <c r="N136" s="100">
        <f t="shared" si="66"/>
        <v>0.007543858579</v>
      </c>
      <c r="O136" s="101">
        <f t="shared" si="6"/>
        <v>0.2827819656</v>
      </c>
      <c r="P136" s="98">
        <v>116.2859051839383</v>
      </c>
      <c r="Q136" s="99">
        <v>2.15025815918E11</v>
      </c>
      <c r="R136" s="99">
        <f t="shared" si="7"/>
        <v>418914.7254</v>
      </c>
      <c r="S136" s="100">
        <f t="shared" si="67"/>
        <v>0.007151347421</v>
      </c>
      <c r="T136" s="101">
        <f t="shared" si="9"/>
        <v>0.1379728615</v>
      </c>
      <c r="U136" s="100">
        <f t="shared" si="10"/>
        <v>0.5545106735</v>
      </c>
      <c r="V136" s="99">
        <f t="shared" si="11"/>
        <v>12040.09025</v>
      </c>
      <c r="W136" s="96">
        <v>4265.0</v>
      </c>
      <c r="X136" s="97">
        <v>21155.0</v>
      </c>
      <c r="Y136" s="98">
        <v>3285.619603621926</v>
      </c>
      <c r="Z136" s="103">
        <v>3.78780105E8</v>
      </c>
      <c r="AA136" s="99">
        <v>866801.9064986615</v>
      </c>
      <c r="AB136" s="100">
        <f t="shared" si="68"/>
        <v>0.007194014597</v>
      </c>
      <c r="AC136" s="101">
        <f t="shared" si="13"/>
        <v>0.2947665123</v>
      </c>
      <c r="AD136" s="98">
        <v>738.5411216454607</v>
      </c>
      <c r="AE136" s="99">
        <v>3.26008197E8</v>
      </c>
      <c r="AF136" s="99">
        <v>760140.49290227</v>
      </c>
      <c r="AG136" s="100">
        <f t="shared" si="69"/>
        <v>0.01255927366</v>
      </c>
      <c r="AH136" s="101">
        <f t="shared" si="15"/>
        <v>0.4512792472</v>
      </c>
      <c r="AI136" s="102">
        <v>240.428264530332</v>
      </c>
      <c r="AJ136" s="99">
        <v>2.8104086679E11</v>
      </c>
      <c r="AK136" s="99">
        <v>547525.68680482</v>
      </c>
      <c r="AL136" s="100">
        <f t="shared" si="70"/>
        <v>0.01086302142</v>
      </c>
      <c r="AM136" s="100">
        <f t="shared" si="17"/>
        <v>0.2811526005</v>
      </c>
      <c r="AN136" s="104">
        <f t="shared" si="18"/>
        <v>1.02719836</v>
      </c>
      <c r="AO136" s="97">
        <f t="shared" si="19"/>
        <v>21730.38131</v>
      </c>
    </row>
    <row r="137" ht="15.75" customHeight="1">
      <c r="A137" s="95">
        <v>30802.0</v>
      </c>
      <c r="B137" s="60" t="s">
        <v>105</v>
      </c>
      <c r="C137" s="60" t="s">
        <v>142</v>
      </c>
      <c r="D137" s="96">
        <v>18.0</v>
      </c>
      <c r="E137" s="97">
        <v>7138.25</v>
      </c>
      <c r="F137" s="98">
        <v>13.83942630127164</v>
      </c>
      <c r="G137" s="99">
        <v>2.20240099E8</v>
      </c>
      <c r="H137" s="99">
        <f t="shared" si="1"/>
        <v>498026.7335</v>
      </c>
      <c r="I137" s="100">
        <f t="shared" si="65"/>
        <v>0.00004989886122</v>
      </c>
      <c r="J137" s="101">
        <f t="shared" si="3"/>
        <v>0.003481380851</v>
      </c>
      <c r="K137" s="102">
        <v>3.237723859948836</v>
      </c>
      <c r="L137" s="103">
        <v>3.0028409E8</v>
      </c>
      <c r="M137" s="99">
        <f t="shared" si="4"/>
        <v>813913.0333</v>
      </c>
      <c r="N137" s="100">
        <f t="shared" si="66"/>
        <v>0.00006935882034</v>
      </c>
      <c r="O137" s="101">
        <f t="shared" si="6"/>
        <v>0.007908387608</v>
      </c>
      <c r="P137" s="98">
        <v>0.9208594140314335</v>
      </c>
      <c r="Q137" s="99">
        <v>2.15025815918E11</v>
      </c>
      <c r="R137" s="99">
        <f t="shared" si="7"/>
        <v>418914.7254</v>
      </c>
      <c r="S137" s="100">
        <f t="shared" si="67"/>
        <v>0.0000566309871</v>
      </c>
      <c r="T137" s="101">
        <f t="shared" si="9"/>
        <v>0.003323441236</v>
      </c>
      <c r="U137" s="100">
        <f t="shared" si="10"/>
        <v>0.0147132097</v>
      </c>
      <c r="V137" s="99">
        <f t="shared" si="11"/>
        <v>105.0265691</v>
      </c>
      <c r="W137" s="96">
        <v>108.0</v>
      </c>
      <c r="X137" s="97">
        <v>7382.0</v>
      </c>
      <c r="Y137" s="98">
        <v>84.86043870857937</v>
      </c>
      <c r="Z137" s="103">
        <v>3.78780105E8</v>
      </c>
      <c r="AA137" s="99">
        <v>866801.9064986615</v>
      </c>
      <c r="AB137" s="100">
        <f t="shared" si="68"/>
        <v>0.000185805817</v>
      </c>
      <c r="AC137" s="101">
        <f t="shared" si="13"/>
        <v>0.02181750696</v>
      </c>
      <c r="AD137" s="98">
        <v>18.94049405658941</v>
      </c>
      <c r="AE137" s="99">
        <v>3.26008197E8</v>
      </c>
      <c r="AF137" s="99">
        <v>760140.49290227</v>
      </c>
      <c r="AG137" s="100">
        <f t="shared" si="69"/>
        <v>0.0003220928953</v>
      </c>
      <c r="AH137" s="101">
        <f t="shared" si="15"/>
        <v>0.03316660149</v>
      </c>
      <c r="AI137" s="102">
        <v>4.186668467002169</v>
      </c>
      <c r="AJ137" s="99">
        <v>2.8104086679E11</v>
      </c>
      <c r="AK137" s="99">
        <v>547525.68680482</v>
      </c>
      <c r="AL137" s="100">
        <f t="shared" si="70"/>
        <v>0.0001891619079</v>
      </c>
      <c r="AM137" s="100">
        <f t="shared" si="17"/>
        <v>0.0140302091</v>
      </c>
      <c r="AN137" s="104">
        <f t="shared" si="18"/>
        <v>0.06901431755</v>
      </c>
      <c r="AO137" s="97">
        <f t="shared" si="19"/>
        <v>509.4636922</v>
      </c>
    </row>
    <row r="138" ht="15.75" customHeight="1">
      <c r="A138" s="95">
        <v>30803.0</v>
      </c>
      <c r="B138" s="60" t="s">
        <v>105</v>
      </c>
      <c r="C138" s="60" t="s">
        <v>143</v>
      </c>
      <c r="D138" s="96">
        <v>29.0</v>
      </c>
      <c r="E138" s="97">
        <v>6328.25</v>
      </c>
      <c r="F138" s="98">
        <v>19.67093891003255</v>
      </c>
      <c r="G138" s="99">
        <v>2.20240099E8</v>
      </c>
      <c r="H138" s="99">
        <f t="shared" si="1"/>
        <v>498026.7335</v>
      </c>
      <c r="I138" s="100">
        <f t="shared" si="65"/>
        <v>0.00007092472111</v>
      </c>
      <c r="J138" s="101">
        <f t="shared" si="3"/>
        <v>0.005581702236</v>
      </c>
      <c r="K138" s="102">
        <v>7.840878492194162</v>
      </c>
      <c r="L138" s="103">
        <v>3.0028409E8</v>
      </c>
      <c r="M138" s="99">
        <f t="shared" si="4"/>
        <v>813913.0333</v>
      </c>
      <c r="N138" s="100">
        <f t="shared" si="66"/>
        <v>0.0001679680251</v>
      </c>
      <c r="O138" s="101">
        <f t="shared" si="6"/>
        <v>0.0216033445</v>
      </c>
      <c r="P138" s="98">
        <v>1.48493352784492</v>
      </c>
      <c r="Q138" s="99">
        <v>2.15025815918E11</v>
      </c>
      <c r="R138" s="99">
        <f t="shared" si="7"/>
        <v>418914.7254</v>
      </c>
      <c r="S138" s="100">
        <f t="shared" si="67"/>
        <v>0.00009132040154</v>
      </c>
      <c r="T138" s="101">
        <f t="shared" si="9"/>
        <v>0.006045187995</v>
      </c>
      <c r="U138" s="100">
        <f t="shared" si="10"/>
        <v>0.03323023473</v>
      </c>
      <c r="V138" s="99">
        <f t="shared" si="11"/>
        <v>210.2892329</v>
      </c>
      <c r="W138" s="96">
        <v>315.0</v>
      </c>
      <c r="X138" s="97">
        <v>8687.0</v>
      </c>
      <c r="Y138" s="98">
        <v>250.5374254076131</v>
      </c>
      <c r="Z138" s="103">
        <v>3.78780105E8</v>
      </c>
      <c r="AA138" s="99">
        <v>866801.9064986615</v>
      </c>
      <c r="AB138" s="100">
        <f t="shared" si="68"/>
        <v>0.0005485631671</v>
      </c>
      <c r="AC138" s="101">
        <f t="shared" si="13"/>
        <v>0.05473645666</v>
      </c>
      <c r="AD138" s="98">
        <v>47.7035499791441</v>
      </c>
      <c r="AE138" s="99">
        <v>3.26008197E8</v>
      </c>
      <c r="AF138" s="99">
        <v>760140.49290227</v>
      </c>
      <c r="AG138" s="100">
        <f t="shared" si="69"/>
        <v>0.0008112235343</v>
      </c>
      <c r="AH138" s="101">
        <f t="shared" si="15"/>
        <v>0.07098467333</v>
      </c>
      <c r="AI138" s="102">
        <v>16.72954641387835</v>
      </c>
      <c r="AJ138" s="99">
        <v>2.8104086679E11</v>
      </c>
      <c r="AK138" s="99">
        <v>547525.68680482</v>
      </c>
      <c r="AL138" s="100">
        <f t="shared" si="70"/>
        <v>0.0007558737797</v>
      </c>
      <c r="AM138" s="100">
        <f t="shared" si="17"/>
        <v>0.04764133882</v>
      </c>
      <c r="AN138" s="104">
        <f t="shared" si="18"/>
        <v>0.1733624688</v>
      </c>
      <c r="AO138" s="97">
        <f t="shared" si="19"/>
        <v>1505.999767</v>
      </c>
    </row>
    <row r="139" ht="15.75" customHeight="1">
      <c r="A139" s="95">
        <v>30901.0</v>
      </c>
      <c r="B139" s="60" t="s">
        <v>105</v>
      </c>
      <c r="C139" s="60" t="s">
        <v>130</v>
      </c>
      <c r="D139" s="96">
        <v>61899.0</v>
      </c>
      <c r="E139" s="97">
        <v>144571.75</v>
      </c>
      <c r="F139" s="98">
        <v>44025.56048456128</v>
      </c>
      <c r="G139" s="99">
        <v>2.20240099E8</v>
      </c>
      <c r="H139" s="99">
        <f t="shared" si="1"/>
        <v>498026.7335</v>
      </c>
      <c r="I139" s="100">
        <f t="shared" si="65"/>
        <v>0.1587367341</v>
      </c>
      <c r="J139" s="101">
        <f t="shared" si="3"/>
        <v>0.5468228555</v>
      </c>
      <c r="K139" s="102">
        <v>14651.0084284219</v>
      </c>
      <c r="L139" s="103">
        <v>3.0028409E8</v>
      </c>
      <c r="M139" s="99">
        <f t="shared" si="4"/>
        <v>813913.0333</v>
      </c>
      <c r="N139" s="100">
        <f t="shared" si="66"/>
        <v>0.3138552592</v>
      </c>
      <c r="O139" s="101">
        <f t="shared" si="6"/>
        <v>1.766948841</v>
      </c>
      <c r="P139" s="98">
        <v>3216.173311396512</v>
      </c>
      <c r="Q139" s="99">
        <v>2.15025815918E11</v>
      </c>
      <c r="R139" s="99">
        <f t="shared" si="7"/>
        <v>418914.7254</v>
      </c>
      <c r="S139" s="100">
        <f t="shared" si="67"/>
        <v>0.1977881385</v>
      </c>
      <c r="T139" s="101">
        <f t="shared" si="9"/>
        <v>0.573115866</v>
      </c>
      <c r="U139" s="100">
        <f t="shared" si="10"/>
        <v>2.886887562</v>
      </c>
      <c r="V139" s="99">
        <f t="shared" si="11"/>
        <v>417362.3869</v>
      </c>
      <c r="W139" s="96">
        <v>69591.0</v>
      </c>
      <c r="X139" s="97">
        <v>166741.0</v>
      </c>
      <c r="Y139" s="98">
        <v>51715.75549428909</v>
      </c>
      <c r="Z139" s="103">
        <v>3.78780105E8</v>
      </c>
      <c r="AA139" s="99">
        <v>866801.9064986615</v>
      </c>
      <c r="AB139" s="100">
        <f t="shared" si="68"/>
        <v>0.1132340151</v>
      </c>
      <c r="AC139" s="101">
        <f t="shared" si="13"/>
        <v>0.588646225</v>
      </c>
      <c r="AD139" s="98">
        <v>14256.41965027833</v>
      </c>
      <c r="AE139" s="99">
        <v>3.26008197E8</v>
      </c>
      <c r="AF139" s="99">
        <v>760140.49290227</v>
      </c>
      <c r="AG139" s="100">
        <f t="shared" si="69"/>
        <v>0.242437788</v>
      </c>
      <c r="AH139" s="101">
        <f t="shared" si="15"/>
        <v>1.105227746</v>
      </c>
      <c r="AI139" s="102">
        <v>3612.089257013209</v>
      </c>
      <c r="AJ139" s="99">
        <v>2.8104086679E11</v>
      </c>
      <c r="AK139" s="99">
        <v>547525.68680482</v>
      </c>
      <c r="AL139" s="100">
        <f t="shared" si="70"/>
        <v>0.1632012902</v>
      </c>
      <c r="AM139" s="100">
        <f t="shared" si="17"/>
        <v>0.5359023785</v>
      </c>
      <c r="AN139" s="104">
        <f t="shared" si="18"/>
        <v>2.22977635</v>
      </c>
      <c r="AO139" s="97">
        <f t="shared" si="19"/>
        <v>371795.1384</v>
      </c>
    </row>
    <row r="140" ht="15.75" customHeight="1">
      <c r="A140" s="95">
        <v>30902.0</v>
      </c>
      <c r="B140" s="60" t="s">
        <v>105</v>
      </c>
      <c r="C140" s="60" t="s">
        <v>787</v>
      </c>
      <c r="D140" s="108"/>
      <c r="E140" s="109">
        <v>45155.25</v>
      </c>
      <c r="F140" s="110"/>
      <c r="G140" s="99">
        <v>2.20240099E8</v>
      </c>
      <c r="H140" s="99">
        <f t="shared" si="1"/>
        <v>498026.7335</v>
      </c>
      <c r="I140" s="100">
        <f t="shared" si="65"/>
        <v>0</v>
      </c>
      <c r="J140" s="101">
        <f t="shared" si="3"/>
        <v>0</v>
      </c>
      <c r="K140" s="111"/>
      <c r="L140" s="103">
        <v>3.0028409E8</v>
      </c>
      <c r="M140" s="99">
        <f t="shared" si="4"/>
        <v>813913.0333</v>
      </c>
      <c r="N140" s="100">
        <f t="shared" si="66"/>
        <v>0</v>
      </c>
      <c r="O140" s="101">
        <f t="shared" si="6"/>
        <v>0</v>
      </c>
      <c r="P140" s="110"/>
      <c r="Q140" s="99">
        <v>2.15025815918E11</v>
      </c>
      <c r="R140" s="99">
        <f t="shared" si="7"/>
        <v>418914.7254</v>
      </c>
      <c r="S140" s="100">
        <f t="shared" si="67"/>
        <v>0</v>
      </c>
      <c r="T140" s="101">
        <f t="shared" si="9"/>
        <v>0</v>
      </c>
      <c r="U140" s="100">
        <f t="shared" si="10"/>
        <v>0</v>
      </c>
      <c r="V140" s="99">
        <f t="shared" si="11"/>
        <v>0</v>
      </c>
      <c r="W140" s="108"/>
      <c r="X140" s="97">
        <v>55908.0</v>
      </c>
      <c r="Y140" s="110"/>
      <c r="Z140" s="103">
        <v>3.78780105E8</v>
      </c>
      <c r="AA140" s="99">
        <v>866801.9064986615</v>
      </c>
      <c r="AB140" s="100">
        <f t="shared" si="68"/>
        <v>0</v>
      </c>
      <c r="AC140" s="101">
        <f t="shared" si="13"/>
        <v>0</v>
      </c>
      <c r="AD140" s="110"/>
      <c r="AE140" s="99">
        <v>3.26008197E8</v>
      </c>
      <c r="AF140" s="99">
        <v>760140.49290227</v>
      </c>
      <c r="AG140" s="100">
        <f t="shared" si="69"/>
        <v>0</v>
      </c>
      <c r="AH140" s="101">
        <f t="shared" si="15"/>
        <v>0</v>
      </c>
      <c r="AI140" s="111"/>
      <c r="AJ140" s="99">
        <v>2.8104086679E11</v>
      </c>
      <c r="AK140" s="99">
        <v>547525.68680482</v>
      </c>
      <c r="AL140" s="100">
        <f t="shared" si="70"/>
        <v>0</v>
      </c>
      <c r="AM140" s="100">
        <f t="shared" si="17"/>
        <v>0</v>
      </c>
      <c r="AN140" s="104">
        <f t="shared" si="18"/>
        <v>0</v>
      </c>
      <c r="AO140" s="97">
        <f t="shared" si="19"/>
        <v>0</v>
      </c>
    </row>
    <row r="141" ht="15.75" customHeight="1">
      <c r="A141" s="95">
        <v>30903.0</v>
      </c>
      <c r="B141" s="60" t="s">
        <v>105</v>
      </c>
      <c r="C141" s="60" t="s">
        <v>140</v>
      </c>
      <c r="D141" s="96">
        <v>4121.0</v>
      </c>
      <c r="E141" s="97">
        <v>55888.0</v>
      </c>
      <c r="F141" s="98">
        <v>3482.244929627937</v>
      </c>
      <c r="G141" s="99">
        <v>2.20240099E8</v>
      </c>
      <c r="H141" s="99">
        <f t="shared" si="1"/>
        <v>498026.7335</v>
      </c>
      <c r="I141" s="100">
        <f t="shared" si="65"/>
        <v>0.01255543783</v>
      </c>
      <c r="J141" s="101">
        <f t="shared" si="3"/>
        <v>0.1118834757</v>
      </c>
      <c r="K141" s="102">
        <v>432.699949959441</v>
      </c>
      <c r="L141" s="103">
        <v>3.0028409E8</v>
      </c>
      <c r="M141" s="99">
        <f t="shared" si="4"/>
        <v>813913.0333</v>
      </c>
      <c r="N141" s="100">
        <f t="shared" si="66"/>
        <v>0.009269338396</v>
      </c>
      <c r="O141" s="101">
        <f t="shared" si="6"/>
        <v>0.1349920435</v>
      </c>
      <c r="P141" s="98">
        <v>205.6979734024642</v>
      </c>
      <c r="Q141" s="99">
        <v>2.15025815918E11</v>
      </c>
      <c r="R141" s="99">
        <f t="shared" si="7"/>
        <v>418914.7254</v>
      </c>
      <c r="S141" s="100">
        <f t="shared" si="67"/>
        <v>0.01265000835</v>
      </c>
      <c r="T141" s="101">
        <f t="shared" si="9"/>
        <v>0.09481954577</v>
      </c>
      <c r="U141" s="100">
        <f t="shared" si="10"/>
        <v>0.341695065</v>
      </c>
      <c r="V141" s="99">
        <f t="shared" si="11"/>
        <v>19096.65379</v>
      </c>
      <c r="W141" s="96">
        <v>17345.0</v>
      </c>
      <c r="X141" s="97">
        <v>61840.0</v>
      </c>
      <c r="Y141" s="98">
        <v>14554.11360128917</v>
      </c>
      <c r="Z141" s="103">
        <v>3.78780105E8</v>
      </c>
      <c r="AA141" s="99">
        <v>866801.9064986615</v>
      </c>
      <c r="AB141" s="100">
        <f t="shared" si="68"/>
        <v>0.03186689828</v>
      </c>
      <c r="AC141" s="101">
        <f t="shared" si="13"/>
        <v>0.4466734829</v>
      </c>
      <c r="AD141" s="98">
        <v>1924.346867982171</v>
      </c>
      <c r="AE141" s="99">
        <v>3.26008197E8</v>
      </c>
      <c r="AF141" s="99">
        <v>760140.49290227</v>
      </c>
      <c r="AG141" s="100">
        <f t="shared" si="69"/>
        <v>0.03272451355</v>
      </c>
      <c r="AH141" s="101">
        <f t="shared" si="15"/>
        <v>0.4022514207</v>
      </c>
      <c r="AI141" s="102">
        <v>865.0247148573209</v>
      </c>
      <c r="AJ141" s="99">
        <v>2.8104086679E11</v>
      </c>
      <c r="AK141" s="99">
        <v>547525.68680482</v>
      </c>
      <c r="AL141" s="100">
        <f t="shared" si="70"/>
        <v>0.03908351634</v>
      </c>
      <c r="AM141" s="100">
        <f t="shared" si="17"/>
        <v>0.3460418682</v>
      </c>
      <c r="AN141" s="104">
        <f t="shared" si="18"/>
        <v>1.194966772</v>
      </c>
      <c r="AO141" s="97">
        <f t="shared" si="19"/>
        <v>73896.74517</v>
      </c>
    </row>
    <row r="142" ht="15.75" customHeight="1">
      <c r="A142" s="95">
        <v>30904.0</v>
      </c>
      <c r="B142" s="60" t="s">
        <v>105</v>
      </c>
      <c r="C142" s="60" t="s">
        <v>150</v>
      </c>
      <c r="D142" s="96">
        <v>4045.0</v>
      </c>
      <c r="E142" s="97">
        <v>52992.0</v>
      </c>
      <c r="F142" s="98">
        <v>2945.991120468445</v>
      </c>
      <c r="G142" s="99">
        <v>2.20240099E8</v>
      </c>
      <c r="H142" s="99">
        <f t="shared" si="1"/>
        <v>498026.7335</v>
      </c>
      <c r="I142" s="100">
        <f t="shared" si="65"/>
        <v>0.01062194334</v>
      </c>
      <c r="J142" s="101">
        <f t="shared" si="3"/>
        <v>0.09982661055</v>
      </c>
      <c r="K142" s="102">
        <v>899.7151013879738</v>
      </c>
      <c r="L142" s="103">
        <v>3.0028409E8</v>
      </c>
      <c r="M142" s="99">
        <f t="shared" si="4"/>
        <v>813913.0333</v>
      </c>
      <c r="N142" s="100">
        <f t="shared" si="66"/>
        <v>0.01927378021</v>
      </c>
      <c r="O142" s="101">
        <f t="shared" si="6"/>
        <v>0.2960292293</v>
      </c>
      <c r="P142" s="98">
        <v>198.8740058185035</v>
      </c>
      <c r="Q142" s="99">
        <v>2.15025815918E11</v>
      </c>
      <c r="R142" s="99">
        <f t="shared" si="7"/>
        <v>418914.7254</v>
      </c>
      <c r="S142" s="100">
        <f t="shared" si="67"/>
        <v>0.01223034818</v>
      </c>
      <c r="T142" s="101">
        <f t="shared" si="9"/>
        <v>0.09668389471</v>
      </c>
      <c r="U142" s="100">
        <f t="shared" si="10"/>
        <v>0.4925397345</v>
      </c>
      <c r="V142" s="99">
        <f t="shared" si="11"/>
        <v>26100.66561</v>
      </c>
      <c r="W142" s="96">
        <v>16884.0</v>
      </c>
      <c r="X142" s="97">
        <v>56064.0</v>
      </c>
      <c r="Y142" s="98">
        <v>11167.69546265988</v>
      </c>
      <c r="Z142" s="103">
        <v>3.78780105E8</v>
      </c>
      <c r="AA142" s="99">
        <v>866801.9064986615</v>
      </c>
      <c r="AB142" s="100">
        <f t="shared" si="68"/>
        <v>0.02445218067</v>
      </c>
      <c r="AC142" s="101">
        <f t="shared" si="13"/>
        <v>0.3780535964</v>
      </c>
      <c r="AD142" s="98">
        <v>4978.737763986181</v>
      </c>
      <c r="AE142" s="99">
        <v>3.26008197E8</v>
      </c>
      <c r="AF142" s="99">
        <v>760140.49290227</v>
      </c>
      <c r="AG142" s="100">
        <f t="shared" si="69"/>
        <v>0.08466601012</v>
      </c>
      <c r="AH142" s="101">
        <f t="shared" si="15"/>
        <v>1.147939189</v>
      </c>
      <c r="AI142" s="102">
        <v>735.6329933827337</v>
      </c>
      <c r="AJ142" s="99">
        <v>2.8104086679E11</v>
      </c>
      <c r="AK142" s="99">
        <v>547525.68680482</v>
      </c>
      <c r="AL142" s="100">
        <f t="shared" si="70"/>
        <v>0.03323734412</v>
      </c>
      <c r="AM142" s="100">
        <f t="shared" si="17"/>
        <v>0.324598667</v>
      </c>
      <c r="AN142" s="104">
        <f t="shared" si="18"/>
        <v>1.850591452</v>
      </c>
      <c r="AO142" s="97">
        <f t="shared" si="19"/>
        <v>103751.5592</v>
      </c>
    </row>
    <row r="143" ht="15.75" customHeight="1">
      <c r="A143" s="95">
        <v>30905.0</v>
      </c>
      <c r="B143" s="60" t="s">
        <v>105</v>
      </c>
      <c r="C143" s="60" t="s">
        <v>118</v>
      </c>
      <c r="D143" s="96">
        <v>7867.0</v>
      </c>
      <c r="E143" s="97">
        <v>55618.75</v>
      </c>
      <c r="F143" s="98">
        <v>5840.408687860019</v>
      </c>
      <c r="G143" s="99">
        <v>2.20240099E8</v>
      </c>
      <c r="H143" s="99">
        <f t="shared" si="1"/>
        <v>498026.7335</v>
      </c>
      <c r="I143" s="100">
        <f t="shared" si="65"/>
        <v>0.02105793522</v>
      </c>
      <c r="J143" s="101">
        <f t="shared" si="3"/>
        <v>0.1885589786</v>
      </c>
      <c r="K143" s="102">
        <v>1628.049342892681</v>
      </c>
      <c r="L143" s="103">
        <v>3.0028409E8</v>
      </c>
      <c r="M143" s="99">
        <f t="shared" si="4"/>
        <v>813913.0333</v>
      </c>
      <c r="N143" s="100">
        <f t="shared" si="66"/>
        <v>0.03487622378</v>
      </c>
      <c r="O143" s="101">
        <f t="shared" si="6"/>
        <v>0.5103712882</v>
      </c>
      <c r="P143" s="98">
        <v>397.8296301996851</v>
      </c>
      <c r="Q143" s="99">
        <v>2.15025815918E11</v>
      </c>
      <c r="R143" s="99">
        <f t="shared" si="7"/>
        <v>418914.7254</v>
      </c>
      <c r="S143" s="100">
        <f t="shared" si="67"/>
        <v>0.02446571573</v>
      </c>
      <c r="T143" s="101">
        <f t="shared" si="9"/>
        <v>0.1842732637</v>
      </c>
      <c r="U143" s="100">
        <f t="shared" si="10"/>
        <v>0.8832035305</v>
      </c>
      <c r="V143" s="99">
        <f t="shared" si="11"/>
        <v>49122.67636</v>
      </c>
      <c r="W143" s="96">
        <v>13085.0</v>
      </c>
      <c r="X143" s="97">
        <v>66505.0</v>
      </c>
      <c r="Y143" s="98">
        <v>9872.535221403432</v>
      </c>
      <c r="Z143" s="103">
        <v>3.78780105E8</v>
      </c>
      <c r="AA143" s="99">
        <v>866801.9064986615</v>
      </c>
      <c r="AB143" s="100">
        <f t="shared" si="68"/>
        <v>0.02161636801</v>
      </c>
      <c r="AC143" s="101">
        <f t="shared" si="13"/>
        <v>0.2817398542</v>
      </c>
      <c r="AD143" s="98">
        <v>2462.935189398175</v>
      </c>
      <c r="AE143" s="99">
        <v>3.26008197E8</v>
      </c>
      <c r="AF143" s="99">
        <v>760140.49290227</v>
      </c>
      <c r="AG143" s="100">
        <f t="shared" si="69"/>
        <v>0.04188348645</v>
      </c>
      <c r="AH143" s="101">
        <f t="shared" si="15"/>
        <v>0.4787209087</v>
      </c>
      <c r="AI143" s="102">
        <v>748.2417946116619</v>
      </c>
      <c r="AJ143" s="99">
        <v>2.8104086679E11</v>
      </c>
      <c r="AK143" s="99">
        <v>547525.68680482</v>
      </c>
      <c r="AL143" s="100">
        <f t="shared" si="70"/>
        <v>0.03380703454</v>
      </c>
      <c r="AM143" s="100">
        <f t="shared" si="17"/>
        <v>0.278328243</v>
      </c>
      <c r="AN143" s="104">
        <f t="shared" si="18"/>
        <v>1.038789006</v>
      </c>
      <c r="AO143" s="97">
        <f t="shared" si="19"/>
        <v>69084.66284</v>
      </c>
    </row>
    <row r="144" ht="15.75" customHeight="1">
      <c r="A144" s="95">
        <v>31001.0</v>
      </c>
      <c r="B144" s="60" t="s">
        <v>105</v>
      </c>
      <c r="C144" s="60" t="s">
        <v>131</v>
      </c>
      <c r="D144" s="96">
        <v>34426.0</v>
      </c>
      <c r="E144" s="97">
        <v>184122.5</v>
      </c>
      <c r="F144" s="98">
        <v>24911.41044725418</v>
      </c>
      <c r="G144" s="99">
        <v>2.20240099E8</v>
      </c>
      <c r="H144" s="99">
        <f t="shared" si="1"/>
        <v>498026.7335</v>
      </c>
      <c r="I144" s="100">
        <f t="shared" si="65"/>
        <v>0.08981954784</v>
      </c>
      <c r="J144" s="101">
        <f t="shared" si="3"/>
        <v>0.2429498622</v>
      </c>
      <c r="K144" s="102">
        <v>7815.95700070266</v>
      </c>
      <c r="L144" s="103">
        <v>3.0028409E8</v>
      </c>
      <c r="M144" s="99">
        <f t="shared" si="4"/>
        <v>813913.0333</v>
      </c>
      <c r="N144" s="100">
        <f t="shared" si="66"/>
        <v>0.1674341546</v>
      </c>
      <c r="O144" s="101">
        <f t="shared" si="6"/>
        <v>0.7401422458</v>
      </c>
      <c r="P144" s="98">
        <v>1694.785592286188</v>
      </c>
      <c r="Q144" s="99">
        <v>2.15025815918E11</v>
      </c>
      <c r="R144" s="99">
        <f t="shared" si="7"/>
        <v>418914.7254</v>
      </c>
      <c r="S144" s="100">
        <f t="shared" si="67"/>
        <v>0.1042258781</v>
      </c>
      <c r="T144" s="101">
        <f t="shared" si="9"/>
        <v>0.2371342725</v>
      </c>
      <c r="U144" s="100">
        <f t="shared" si="10"/>
        <v>1.220226381</v>
      </c>
      <c r="V144" s="99">
        <f t="shared" si="11"/>
        <v>224671.1318</v>
      </c>
      <c r="W144" s="96">
        <v>53392.0</v>
      </c>
      <c r="X144" s="97">
        <v>219092.0</v>
      </c>
      <c r="Y144" s="98">
        <v>40724.07191266467</v>
      </c>
      <c r="Z144" s="103">
        <v>3.78780105E8</v>
      </c>
      <c r="AA144" s="99">
        <v>866801.9064986615</v>
      </c>
      <c r="AB144" s="100">
        <f t="shared" si="68"/>
        <v>0.08916722054</v>
      </c>
      <c r="AC144" s="101">
        <f t="shared" si="13"/>
        <v>0.3527756228</v>
      </c>
      <c r="AD144" s="98">
        <v>10223.82362433016</v>
      </c>
      <c r="AE144" s="99">
        <v>3.26008197E8</v>
      </c>
      <c r="AF144" s="99">
        <v>760140.49290227</v>
      </c>
      <c r="AG144" s="100">
        <f t="shared" si="69"/>
        <v>0.1738614073</v>
      </c>
      <c r="AH144" s="101">
        <f t="shared" si="15"/>
        <v>0.6032127868</v>
      </c>
      <c r="AI144" s="102">
        <v>2438.28493956461</v>
      </c>
      <c r="AJ144" s="99">
        <v>2.8104086679E11</v>
      </c>
      <c r="AK144" s="99">
        <v>547525.68680482</v>
      </c>
      <c r="AL144" s="100">
        <f t="shared" si="70"/>
        <v>0.1101665047</v>
      </c>
      <c r="AM144" s="100">
        <f t="shared" si="17"/>
        <v>0.2753135264</v>
      </c>
      <c r="AN144" s="104">
        <f t="shared" si="18"/>
        <v>1.231301936</v>
      </c>
      <c r="AO144" s="97">
        <f t="shared" si="19"/>
        <v>269768.4038</v>
      </c>
    </row>
    <row r="145" ht="15.75" customHeight="1">
      <c r="A145" s="95">
        <v>31002.0</v>
      </c>
      <c r="B145" s="60" t="s">
        <v>105</v>
      </c>
      <c r="C145" s="60" t="s">
        <v>119</v>
      </c>
      <c r="D145" s="96">
        <v>547.0</v>
      </c>
      <c r="E145" s="97">
        <v>19925.25</v>
      </c>
      <c r="F145" s="98">
        <v>339.5715501915072</v>
      </c>
      <c r="G145" s="99">
        <v>2.20240099E8</v>
      </c>
      <c r="H145" s="99">
        <f t="shared" si="1"/>
        <v>498026.7335</v>
      </c>
      <c r="I145" s="100">
        <f t="shared" si="65"/>
        <v>0.001224345091</v>
      </c>
      <c r="J145" s="101">
        <f t="shared" si="3"/>
        <v>0.03060220506</v>
      </c>
      <c r="K145" s="102">
        <v>183.7892717632309</v>
      </c>
      <c r="L145" s="103">
        <v>3.0028409E8</v>
      </c>
      <c r="M145" s="99">
        <f t="shared" si="4"/>
        <v>813913.0333</v>
      </c>
      <c r="N145" s="100">
        <f t="shared" si="66"/>
        <v>0.003937150798</v>
      </c>
      <c r="O145" s="101">
        <f t="shared" si="6"/>
        <v>0.1608260046</v>
      </c>
      <c r="P145" s="98">
        <v>23.55775262883079</v>
      </c>
      <c r="Q145" s="99">
        <v>2.15025815918E11</v>
      </c>
      <c r="R145" s="99">
        <f t="shared" si="7"/>
        <v>418914.7254</v>
      </c>
      <c r="S145" s="100">
        <f t="shared" si="67"/>
        <v>0.001448754028</v>
      </c>
      <c r="T145" s="101">
        <f t="shared" si="9"/>
        <v>0.03045906052</v>
      </c>
      <c r="U145" s="100">
        <f t="shared" si="10"/>
        <v>0.2218872702</v>
      </c>
      <c r="V145" s="99">
        <f t="shared" si="11"/>
        <v>4421.159331</v>
      </c>
      <c r="W145" s="96">
        <v>1332.0</v>
      </c>
      <c r="X145" s="97">
        <v>21846.0</v>
      </c>
      <c r="Y145" s="98">
        <v>1055.973054684817</v>
      </c>
      <c r="Z145" s="103">
        <v>3.78780105E8</v>
      </c>
      <c r="AA145" s="99">
        <v>866801.9064986615</v>
      </c>
      <c r="AB145" s="100">
        <f t="shared" si="68"/>
        <v>0.002312101365</v>
      </c>
      <c r="AC145" s="101">
        <f t="shared" si="13"/>
        <v>0.09173916831</v>
      </c>
      <c r="AD145" s="98">
        <v>231.8503832465832</v>
      </c>
      <c r="AE145" s="99">
        <v>3.26008197E8</v>
      </c>
      <c r="AF145" s="99">
        <v>760140.49290227</v>
      </c>
      <c r="AG145" s="100">
        <f t="shared" si="69"/>
        <v>0.003942735654</v>
      </c>
      <c r="AH145" s="101">
        <f t="shared" si="15"/>
        <v>0.1371890975</v>
      </c>
      <c r="AI145" s="102">
        <v>44.01706605010943</v>
      </c>
      <c r="AJ145" s="99">
        <v>2.8104086679E11</v>
      </c>
      <c r="AK145" s="99">
        <v>547525.68680482</v>
      </c>
      <c r="AL145" s="100">
        <f t="shared" si="70"/>
        <v>0.001988777535</v>
      </c>
      <c r="AM145" s="100">
        <f t="shared" si="17"/>
        <v>0.04984467573</v>
      </c>
      <c r="AN145" s="104">
        <f t="shared" si="18"/>
        <v>0.2787729415</v>
      </c>
      <c r="AO145" s="97">
        <f t="shared" si="19"/>
        <v>6090.07368</v>
      </c>
    </row>
    <row r="146" ht="15.75" customHeight="1">
      <c r="A146" s="95">
        <v>31003.0</v>
      </c>
      <c r="B146" s="60" t="s">
        <v>105</v>
      </c>
      <c r="C146" s="60" t="s">
        <v>149</v>
      </c>
      <c r="D146" s="96">
        <v>4981.0</v>
      </c>
      <c r="E146" s="97">
        <v>76976.25</v>
      </c>
      <c r="F146" s="98">
        <v>4354.104962170612</v>
      </c>
      <c r="G146" s="99">
        <v>2.20240099E8</v>
      </c>
      <c r="H146" s="99">
        <f t="shared" si="1"/>
        <v>498026.7335</v>
      </c>
      <c r="I146" s="100">
        <f t="shared" si="65"/>
        <v>0.01569898018</v>
      </c>
      <c r="J146" s="101">
        <f t="shared" si="3"/>
        <v>0.1015704431</v>
      </c>
      <c r="K146" s="102">
        <v>402.5902693815713</v>
      </c>
      <c r="L146" s="103">
        <v>3.0028409E8</v>
      </c>
      <c r="M146" s="99">
        <f t="shared" si="4"/>
        <v>813913.0333</v>
      </c>
      <c r="N146" s="100">
        <f t="shared" si="66"/>
        <v>0.00862432603</v>
      </c>
      <c r="O146" s="101">
        <f t="shared" si="6"/>
        <v>0.09118983269</v>
      </c>
      <c r="P146" s="98">
        <v>223.841179844633</v>
      </c>
      <c r="Q146" s="99">
        <v>2.15025815918E11</v>
      </c>
      <c r="R146" s="99">
        <f t="shared" si="7"/>
        <v>418914.7254</v>
      </c>
      <c r="S146" s="100">
        <f t="shared" si="67"/>
        <v>0.01376577877</v>
      </c>
      <c r="T146" s="101">
        <f t="shared" si="9"/>
        <v>0.0749151515</v>
      </c>
      <c r="U146" s="100">
        <f t="shared" si="10"/>
        <v>0.2676754273</v>
      </c>
      <c r="V146" s="99">
        <f t="shared" si="11"/>
        <v>20604.65061</v>
      </c>
      <c r="W146" s="96">
        <v>6267.0</v>
      </c>
      <c r="X146" s="97">
        <v>93747.0</v>
      </c>
      <c r="Y146" s="98">
        <v>5588.642347807138</v>
      </c>
      <c r="Z146" s="103">
        <v>3.78780105E8</v>
      </c>
      <c r="AA146" s="99">
        <v>866801.9064986615</v>
      </c>
      <c r="AB146" s="100">
        <f t="shared" si="68"/>
        <v>0.01223658837</v>
      </c>
      <c r="AC146" s="101">
        <f t="shared" si="13"/>
        <v>0.1131417339</v>
      </c>
      <c r="AD146" s="98">
        <v>468.2660296905153</v>
      </c>
      <c r="AE146" s="99">
        <v>3.26008197E8</v>
      </c>
      <c r="AF146" s="99">
        <v>760140.49290227</v>
      </c>
      <c r="AG146" s="100">
        <f t="shared" si="69"/>
        <v>0.00796310597</v>
      </c>
      <c r="AH146" s="101">
        <f t="shared" si="15"/>
        <v>0.06456824535</v>
      </c>
      <c r="AI146" s="102">
        <v>209.4470893182728</v>
      </c>
      <c r="AJ146" s="99">
        <v>2.8104086679E11</v>
      </c>
      <c r="AK146" s="99">
        <v>547525.68680482</v>
      </c>
      <c r="AL146" s="100">
        <f t="shared" si="70"/>
        <v>0.009463231048</v>
      </c>
      <c r="AM146" s="100">
        <f t="shared" si="17"/>
        <v>0.0552696308</v>
      </c>
      <c r="AN146" s="104">
        <f t="shared" si="18"/>
        <v>0.2329796101</v>
      </c>
      <c r="AO146" s="97">
        <f t="shared" si="19"/>
        <v>21841.1395</v>
      </c>
    </row>
    <row r="147" ht="15.75" customHeight="1">
      <c r="A147" s="95">
        <v>31101.0</v>
      </c>
      <c r="B147" s="60" t="s">
        <v>105</v>
      </c>
      <c r="C147" s="60" t="s">
        <v>138</v>
      </c>
      <c r="D147" s="96">
        <v>13.0</v>
      </c>
      <c r="E147" s="97">
        <v>24635.25</v>
      </c>
      <c r="F147" s="98">
        <v>10.82533611987735</v>
      </c>
      <c r="G147" s="99">
        <v>2.20240099E8</v>
      </c>
      <c r="H147" s="99">
        <f t="shared" si="1"/>
        <v>498026.7335</v>
      </c>
      <c r="I147" s="100">
        <f t="shared" si="65"/>
        <v>0.00003903138273</v>
      </c>
      <c r="J147" s="101">
        <f t="shared" si="3"/>
        <v>0.0007890592563</v>
      </c>
      <c r="K147" s="102">
        <v>1.921478989375859</v>
      </c>
      <c r="L147" s="103">
        <v>3.0028409E8</v>
      </c>
      <c r="M147" s="99">
        <f t="shared" si="4"/>
        <v>813913.0333</v>
      </c>
      <c r="N147" s="100">
        <f t="shared" si="66"/>
        <v>0.00004116210084</v>
      </c>
      <c r="O147" s="101">
        <f t="shared" si="6"/>
        <v>0.001359936284</v>
      </c>
      <c r="P147" s="98">
        <v>0.2514357107315512</v>
      </c>
      <c r="Q147" s="99">
        <v>2.15025815918E11</v>
      </c>
      <c r="R147" s="99">
        <f t="shared" si="7"/>
        <v>418914.7254</v>
      </c>
      <c r="S147" s="100">
        <f t="shared" si="67"/>
        <v>0.00001546278647</v>
      </c>
      <c r="T147" s="101">
        <f t="shared" si="9"/>
        <v>0.0002629398503</v>
      </c>
      <c r="U147" s="100">
        <f t="shared" si="10"/>
        <v>0.002411935391</v>
      </c>
      <c r="V147" s="99">
        <f t="shared" si="11"/>
        <v>59.41863134</v>
      </c>
      <c r="W147" s="96">
        <v>233.0</v>
      </c>
      <c r="X147" s="97">
        <v>24666.0</v>
      </c>
      <c r="Y147" s="98">
        <v>159.4566474231187</v>
      </c>
      <c r="Z147" s="103">
        <v>3.78780105E8</v>
      </c>
      <c r="AA147" s="99">
        <v>866801.9064986615</v>
      </c>
      <c r="AB147" s="100">
        <f t="shared" si="68"/>
        <v>0.0003491376323</v>
      </c>
      <c r="AC147" s="101">
        <f t="shared" si="13"/>
        <v>0.01226924371</v>
      </c>
      <c r="AD147" s="98">
        <v>58.16148604392158</v>
      </c>
      <c r="AE147" s="99">
        <v>3.26008197E8</v>
      </c>
      <c r="AF147" s="99">
        <v>760140.49290227</v>
      </c>
      <c r="AG147" s="100">
        <f t="shared" si="69"/>
        <v>0.0009890661448</v>
      </c>
      <c r="AH147" s="101">
        <f t="shared" si="15"/>
        <v>0.03048038704</v>
      </c>
      <c r="AI147" s="102">
        <v>15.35833962191282</v>
      </c>
      <c r="AJ147" s="99">
        <v>2.8104086679E11</v>
      </c>
      <c r="AK147" s="99">
        <v>547525.68680482</v>
      </c>
      <c r="AL147" s="100">
        <f t="shared" si="70"/>
        <v>0.0006939199624</v>
      </c>
      <c r="AM147" s="100">
        <f t="shared" si="17"/>
        <v>0.0154033489</v>
      </c>
      <c r="AN147" s="104">
        <f t="shared" si="18"/>
        <v>0.05815297966</v>
      </c>
      <c r="AO147" s="97">
        <f t="shared" si="19"/>
        <v>1434.401396</v>
      </c>
    </row>
    <row r="148" ht="15.75" customHeight="1">
      <c r="A148" s="95">
        <v>31201.0</v>
      </c>
      <c r="B148" s="60" t="s">
        <v>105</v>
      </c>
      <c r="C148" s="60" t="s">
        <v>144</v>
      </c>
      <c r="D148" s="96">
        <v>59.0</v>
      </c>
      <c r="E148" s="97">
        <v>14704.0</v>
      </c>
      <c r="F148" s="98">
        <v>27.2220176770148</v>
      </c>
      <c r="G148" s="99">
        <v>2.20240099E8</v>
      </c>
      <c r="H148" s="99">
        <f t="shared" si="1"/>
        <v>498026.7335</v>
      </c>
      <c r="I148" s="100">
        <f t="shared" si="65"/>
        <v>0.00009815057739</v>
      </c>
      <c r="J148" s="101">
        <f t="shared" si="3"/>
        <v>0.003324375098</v>
      </c>
      <c r="K148" s="102">
        <v>30.55683900960716</v>
      </c>
      <c r="L148" s="103">
        <v>3.0028409E8</v>
      </c>
      <c r="M148" s="99">
        <f t="shared" si="4"/>
        <v>813913.0333</v>
      </c>
      <c r="N148" s="100">
        <f t="shared" si="66"/>
        <v>0.0006545914348</v>
      </c>
      <c r="O148" s="101">
        <f t="shared" si="6"/>
        <v>0.03623371193</v>
      </c>
      <c r="P148" s="98">
        <v>1.208376264144217</v>
      </c>
      <c r="Q148" s="99">
        <v>2.15025815918E11</v>
      </c>
      <c r="R148" s="99">
        <f t="shared" si="7"/>
        <v>418914.7254</v>
      </c>
      <c r="S148" s="100">
        <f t="shared" si="67"/>
        <v>0.00007431269049</v>
      </c>
      <c r="T148" s="101">
        <f t="shared" si="9"/>
        <v>0.002117157258</v>
      </c>
      <c r="U148" s="100">
        <f t="shared" si="10"/>
        <v>0.04167524429</v>
      </c>
      <c r="V148" s="99">
        <f t="shared" si="11"/>
        <v>612.792792</v>
      </c>
      <c r="W148" s="96">
        <v>179.0</v>
      </c>
      <c r="X148" s="97">
        <v>14821.0</v>
      </c>
      <c r="Y148" s="98">
        <v>101.5375387419345</v>
      </c>
      <c r="Z148" s="103">
        <v>3.78780105E8</v>
      </c>
      <c r="AA148" s="99">
        <v>866801.9064986615</v>
      </c>
      <c r="AB148" s="100">
        <f t="shared" si="68"/>
        <v>0.0002223210913</v>
      </c>
      <c r="AC148" s="101">
        <f t="shared" si="13"/>
        <v>0.01300238485</v>
      </c>
      <c r="AD148" s="98">
        <v>71.00874598039529</v>
      </c>
      <c r="AE148" s="99">
        <v>3.26008197E8</v>
      </c>
      <c r="AF148" s="99">
        <v>760140.49290227</v>
      </c>
      <c r="AG148" s="100">
        <f t="shared" si="69"/>
        <v>0.001207540443</v>
      </c>
      <c r="AH148" s="101">
        <f t="shared" si="15"/>
        <v>0.06193241938</v>
      </c>
      <c r="AI148" s="102">
        <v>6.422761730388669</v>
      </c>
      <c r="AJ148" s="99">
        <v>2.8104086679E11</v>
      </c>
      <c r="AK148" s="99">
        <v>547525.68680482</v>
      </c>
      <c r="AL148" s="100">
        <f t="shared" si="70"/>
        <v>0.0002901929954</v>
      </c>
      <c r="AM148" s="100">
        <f t="shared" si="17"/>
        <v>0.01072047224</v>
      </c>
      <c r="AN148" s="104">
        <f t="shared" si="18"/>
        <v>0.08565527647</v>
      </c>
      <c r="AO148" s="97">
        <f t="shared" si="19"/>
        <v>1269.496853</v>
      </c>
    </row>
    <row r="149" ht="15.75" customHeight="1">
      <c r="A149" s="95">
        <v>31202.0</v>
      </c>
      <c r="B149" s="60" t="s">
        <v>105</v>
      </c>
      <c r="C149" s="60" t="s">
        <v>127</v>
      </c>
      <c r="D149" s="96">
        <v>38.0</v>
      </c>
      <c r="E149" s="97">
        <v>10583.25</v>
      </c>
      <c r="F149" s="98">
        <v>27.67743093887318</v>
      </c>
      <c r="G149" s="99">
        <v>2.20240099E8</v>
      </c>
      <c r="H149" s="99">
        <f t="shared" si="1"/>
        <v>498026.7335</v>
      </c>
      <c r="I149" s="100">
        <f t="shared" si="65"/>
        <v>0.00009979259655</v>
      </c>
      <c r="J149" s="101">
        <f t="shared" si="3"/>
        <v>0.00469604147</v>
      </c>
      <c r="K149" s="102">
        <v>8.441436542077248</v>
      </c>
      <c r="L149" s="103">
        <v>3.0028409E8</v>
      </c>
      <c r="M149" s="99">
        <f t="shared" si="4"/>
        <v>813913.0333</v>
      </c>
      <c r="N149" s="100">
        <f t="shared" si="66"/>
        <v>0.0001808332353</v>
      </c>
      <c r="O149" s="101">
        <f t="shared" si="6"/>
        <v>0.01390711993</v>
      </c>
      <c r="P149" s="98">
        <v>1.876642034731764</v>
      </c>
      <c r="Q149" s="99">
        <v>2.15025815918E11</v>
      </c>
      <c r="R149" s="99">
        <f t="shared" si="7"/>
        <v>418914.7254</v>
      </c>
      <c r="S149" s="100">
        <f t="shared" si="67"/>
        <v>0.0001154096806</v>
      </c>
      <c r="T149" s="101">
        <f t="shared" si="9"/>
        <v>0.00456823893</v>
      </c>
      <c r="U149" s="100">
        <f t="shared" si="10"/>
        <v>0.02317140033</v>
      </c>
      <c r="V149" s="99">
        <f t="shared" si="11"/>
        <v>245.2287226</v>
      </c>
      <c r="W149" s="96">
        <v>62.0</v>
      </c>
      <c r="X149" s="97">
        <v>11865.0</v>
      </c>
      <c r="Y149" s="98">
        <v>43.27480230104213</v>
      </c>
      <c r="Z149" s="103">
        <v>3.78780105E8</v>
      </c>
      <c r="AA149" s="99">
        <v>866801.9064986615</v>
      </c>
      <c r="AB149" s="100">
        <f t="shared" si="68"/>
        <v>0.00009475216154</v>
      </c>
      <c r="AC149" s="101">
        <f t="shared" si="13"/>
        <v>0.006922153752</v>
      </c>
      <c r="AD149" s="98">
        <v>16.96786925103777</v>
      </c>
      <c r="AE149" s="99">
        <v>3.26008197E8</v>
      </c>
      <c r="AF149" s="99">
        <v>760140.49290227</v>
      </c>
      <c r="AG149" s="100">
        <f t="shared" si="69"/>
        <v>0.0002885473905</v>
      </c>
      <c r="AH149" s="101">
        <f t="shared" si="15"/>
        <v>0.01848601396</v>
      </c>
      <c r="AI149" s="102">
        <v>1.747533859095481</v>
      </c>
      <c r="AJ149" s="99">
        <v>2.8104086679E11</v>
      </c>
      <c r="AK149" s="99">
        <v>547525.68680482</v>
      </c>
      <c r="AL149" s="100">
        <f t="shared" si="70"/>
        <v>0.00007895701357</v>
      </c>
      <c r="AM149" s="100">
        <f t="shared" si="17"/>
        <v>0.003643572952</v>
      </c>
      <c r="AN149" s="104">
        <f t="shared" si="18"/>
        <v>0.02905174066</v>
      </c>
      <c r="AO149" s="97">
        <f t="shared" si="19"/>
        <v>344.698903</v>
      </c>
    </row>
    <row r="150" ht="15.75" customHeight="1">
      <c r="A150" s="95">
        <v>31203.0</v>
      </c>
      <c r="B150" s="60" t="s">
        <v>105</v>
      </c>
      <c r="C150" s="60" t="s">
        <v>126</v>
      </c>
      <c r="D150" s="96">
        <v>67.0</v>
      </c>
      <c r="E150" s="97">
        <v>11127.0</v>
      </c>
      <c r="F150" s="98">
        <v>17.8035819640562</v>
      </c>
      <c r="G150" s="99">
        <v>2.20240099E8</v>
      </c>
      <c r="H150" s="99">
        <f t="shared" si="1"/>
        <v>498026.7335</v>
      </c>
      <c r="I150" s="100">
        <f t="shared" si="65"/>
        <v>0.00006419185639</v>
      </c>
      <c r="J150" s="101">
        <f t="shared" si="3"/>
        <v>0.002873124881</v>
      </c>
      <c r="K150" s="102">
        <v>48.29216266591805</v>
      </c>
      <c r="L150" s="103">
        <v>3.0028409E8</v>
      </c>
      <c r="M150" s="99">
        <f t="shared" si="4"/>
        <v>813913.0333</v>
      </c>
      <c r="N150" s="100">
        <f t="shared" si="66"/>
        <v>0.00103451918</v>
      </c>
      <c r="O150" s="101">
        <f t="shared" si="6"/>
        <v>0.0756725662</v>
      </c>
      <c r="P150" s="98">
        <v>0.8854751878188001</v>
      </c>
      <c r="Q150" s="99">
        <v>2.15025815918E11</v>
      </c>
      <c r="R150" s="99">
        <f t="shared" si="7"/>
        <v>418914.7254</v>
      </c>
      <c r="S150" s="100">
        <f t="shared" si="67"/>
        <v>0.00005445492892</v>
      </c>
      <c r="T150" s="101">
        <f t="shared" si="9"/>
        <v>0.002050145735</v>
      </c>
      <c r="U150" s="100">
        <f t="shared" si="10"/>
        <v>0.08059583681</v>
      </c>
      <c r="V150" s="99">
        <f t="shared" si="11"/>
        <v>896.7898762</v>
      </c>
      <c r="W150" s="96">
        <v>65.0</v>
      </c>
      <c r="X150" s="97">
        <v>12258.0</v>
      </c>
      <c r="Y150" s="98">
        <v>21.17544118348787</v>
      </c>
      <c r="Z150" s="103">
        <v>3.78780105E8</v>
      </c>
      <c r="AA150" s="99">
        <v>866801.9064986615</v>
      </c>
      <c r="AB150" s="100">
        <f t="shared" si="68"/>
        <v>0.00004636459827</v>
      </c>
      <c r="AC150" s="101">
        <f t="shared" si="13"/>
        <v>0.003278587222</v>
      </c>
      <c r="AD150" s="98">
        <v>42.62433307797032</v>
      </c>
      <c r="AE150" s="99">
        <v>3.26008197E8</v>
      </c>
      <c r="AF150" s="99">
        <v>760140.49290227</v>
      </c>
      <c r="AG150" s="100">
        <f t="shared" si="69"/>
        <v>0.0007248488245</v>
      </c>
      <c r="AH150" s="101">
        <f t="shared" si="15"/>
        <v>0.04494917138</v>
      </c>
      <c r="AI150" s="102">
        <v>1.183476394960004</v>
      </c>
      <c r="AJ150" s="99">
        <v>2.8104086679E11</v>
      </c>
      <c r="AK150" s="99">
        <v>547525.68680482</v>
      </c>
      <c r="AL150" s="100">
        <f t="shared" si="70"/>
        <v>0.00005347178899</v>
      </c>
      <c r="AM150" s="100">
        <f t="shared" si="17"/>
        <v>0.002388413933</v>
      </c>
      <c r="AN150" s="104">
        <f t="shared" si="18"/>
        <v>0.05061617253</v>
      </c>
      <c r="AO150" s="97">
        <f t="shared" si="19"/>
        <v>620.4530429</v>
      </c>
    </row>
    <row r="151" ht="15.75" customHeight="1">
      <c r="A151" s="95">
        <v>31204.0</v>
      </c>
      <c r="B151" s="60" t="s">
        <v>105</v>
      </c>
      <c r="C151" s="60" t="s">
        <v>114</v>
      </c>
      <c r="D151" s="96">
        <v>1151.0</v>
      </c>
      <c r="E151" s="97">
        <v>23182.25</v>
      </c>
      <c r="F151" s="98">
        <v>1000.390077488493</v>
      </c>
      <c r="G151" s="99">
        <v>2.20240099E8</v>
      </c>
      <c r="H151" s="99">
        <f t="shared" si="1"/>
        <v>498026.7335</v>
      </c>
      <c r="I151" s="100">
        <f t="shared" si="65"/>
        <v>0.003606964953</v>
      </c>
      <c r="J151" s="101">
        <f t="shared" si="3"/>
        <v>0.07748881034</v>
      </c>
      <c r="K151" s="102">
        <v>91.37271147698108</v>
      </c>
      <c r="L151" s="103">
        <v>3.0028409E8</v>
      </c>
      <c r="M151" s="99">
        <f t="shared" si="4"/>
        <v>813913.0333</v>
      </c>
      <c r="N151" s="100">
        <f t="shared" si="66"/>
        <v>0.001957394686</v>
      </c>
      <c r="O151" s="101">
        <f t="shared" si="6"/>
        <v>0.06872279638</v>
      </c>
      <c r="P151" s="98">
        <v>59.13988314294949</v>
      </c>
      <c r="Q151" s="99">
        <v>2.15025815918E11</v>
      </c>
      <c r="R151" s="99">
        <f t="shared" si="7"/>
        <v>418914.7254</v>
      </c>
      <c r="S151" s="100">
        <f t="shared" si="67"/>
        <v>0.003636982918</v>
      </c>
      <c r="T151" s="101">
        <f t="shared" si="9"/>
        <v>0.06572208049</v>
      </c>
      <c r="U151" s="100">
        <f t="shared" si="10"/>
        <v>0.2119336872</v>
      </c>
      <c r="V151" s="99">
        <f t="shared" si="11"/>
        <v>4913.09972</v>
      </c>
      <c r="W151" s="96">
        <v>3474.0</v>
      </c>
      <c r="X151" s="97">
        <v>27521.0</v>
      </c>
      <c r="Y151" s="98">
        <v>3278.294617081045</v>
      </c>
      <c r="Z151" s="103">
        <v>3.78780105E8</v>
      </c>
      <c r="AA151" s="99">
        <v>866801.9064986615</v>
      </c>
      <c r="AB151" s="100">
        <f t="shared" si="68"/>
        <v>0.007177976204</v>
      </c>
      <c r="AC151" s="101">
        <f t="shared" si="13"/>
        <v>0.2260776664</v>
      </c>
      <c r="AD151" s="98">
        <v>139.6087019278631</v>
      </c>
      <c r="AE151" s="99">
        <v>3.26008197E8</v>
      </c>
      <c r="AF151" s="99">
        <v>760140.49290227</v>
      </c>
      <c r="AG151" s="100">
        <f t="shared" si="69"/>
        <v>0.002374118166</v>
      </c>
      <c r="AH151" s="101">
        <f t="shared" si="15"/>
        <v>0.0655740472</v>
      </c>
      <c r="AI151" s="102">
        <v>55.71344322450543</v>
      </c>
      <c r="AJ151" s="99">
        <v>2.8104086679E11</v>
      </c>
      <c r="AK151" s="99">
        <v>547525.68680482</v>
      </c>
      <c r="AL151" s="100">
        <f t="shared" si="70"/>
        <v>0.002517242839</v>
      </c>
      <c r="AM151" s="100">
        <f t="shared" si="17"/>
        <v>0.05008012478</v>
      </c>
      <c r="AN151" s="104">
        <f t="shared" si="18"/>
        <v>0.3417318384</v>
      </c>
      <c r="AO151" s="97">
        <f t="shared" si="19"/>
        <v>9404.801925</v>
      </c>
    </row>
    <row r="152" ht="15.75" customHeight="1">
      <c r="A152" s="95">
        <v>31205.0</v>
      </c>
      <c r="B152" s="60" t="s">
        <v>105</v>
      </c>
      <c r="C152" s="60" t="s">
        <v>128</v>
      </c>
      <c r="D152" s="96">
        <v>3183.0</v>
      </c>
      <c r="E152" s="97">
        <v>51119.0</v>
      </c>
      <c r="F152" s="98">
        <v>2785.669123983805</v>
      </c>
      <c r="G152" s="99">
        <v>2.20240099E8</v>
      </c>
      <c r="H152" s="99">
        <f t="shared" si="1"/>
        <v>498026.7335</v>
      </c>
      <c r="I152" s="100">
        <f t="shared" si="65"/>
        <v>0.01004389301</v>
      </c>
      <c r="J152" s="101">
        <f t="shared" si="3"/>
        <v>0.09785260324</v>
      </c>
      <c r="K152" s="102">
        <v>288.214697529825</v>
      </c>
      <c r="L152" s="103">
        <v>3.0028409E8</v>
      </c>
      <c r="M152" s="99">
        <f t="shared" si="4"/>
        <v>813913.0333</v>
      </c>
      <c r="N152" s="100">
        <f t="shared" si="66"/>
        <v>0.006174161939</v>
      </c>
      <c r="O152" s="101">
        <f t="shared" si="6"/>
        <v>0.09830456134</v>
      </c>
      <c r="P152" s="98">
        <v>108.7760478941766</v>
      </c>
      <c r="Q152" s="99">
        <v>2.15025815918E11</v>
      </c>
      <c r="R152" s="99">
        <f t="shared" si="7"/>
        <v>418914.7254</v>
      </c>
      <c r="S152" s="100">
        <f t="shared" si="67"/>
        <v>0.006689506423</v>
      </c>
      <c r="T152" s="101">
        <f t="shared" si="9"/>
        <v>0.05481978806</v>
      </c>
      <c r="U152" s="100">
        <f t="shared" si="10"/>
        <v>0.2509769526</v>
      </c>
      <c r="V152" s="99">
        <f t="shared" si="11"/>
        <v>12829.69084</v>
      </c>
      <c r="W152" s="96">
        <v>15132.0</v>
      </c>
      <c r="X152" s="97">
        <v>64595.0</v>
      </c>
      <c r="Y152" s="98">
        <v>14322.74407592613</v>
      </c>
      <c r="Z152" s="103">
        <v>3.78780105E8</v>
      </c>
      <c r="AA152" s="99">
        <v>866801.9064986615</v>
      </c>
      <c r="AB152" s="100">
        <f t="shared" si="68"/>
        <v>0.03136030411</v>
      </c>
      <c r="AC152" s="101">
        <f t="shared" si="13"/>
        <v>0.4208246983</v>
      </c>
      <c r="AD152" s="98">
        <v>589.5616351638558</v>
      </c>
      <c r="AE152" s="99">
        <v>3.26008197E8</v>
      </c>
      <c r="AF152" s="99">
        <v>760140.49290227</v>
      </c>
      <c r="AG152" s="100">
        <f t="shared" si="69"/>
        <v>0.01002580046</v>
      </c>
      <c r="AH152" s="101">
        <f t="shared" si="15"/>
        <v>0.1179815296</v>
      </c>
      <c r="AI152" s="102">
        <v>217.9262711002469</v>
      </c>
      <c r="AJ152" s="99">
        <v>2.8104086679E11</v>
      </c>
      <c r="AK152" s="99">
        <v>547525.68680482</v>
      </c>
      <c r="AL152" s="100">
        <f t="shared" si="70"/>
        <v>0.009846337142</v>
      </c>
      <c r="AM152" s="100">
        <f t="shared" si="17"/>
        <v>0.08346036854</v>
      </c>
      <c r="AN152" s="104">
        <f t="shared" si="18"/>
        <v>0.6222665965</v>
      </c>
      <c r="AO152" s="97">
        <f t="shared" si="19"/>
        <v>40195.3108</v>
      </c>
    </row>
    <row r="153" ht="15.75" customHeight="1">
      <c r="A153" s="95">
        <v>31206.0</v>
      </c>
      <c r="B153" s="60" t="s">
        <v>105</v>
      </c>
      <c r="C153" s="60" t="s">
        <v>120</v>
      </c>
      <c r="D153" s="96">
        <v>1730.0</v>
      </c>
      <c r="E153" s="97">
        <v>35107.5</v>
      </c>
      <c r="F153" s="98">
        <v>1456.169218947989</v>
      </c>
      <c r="G153" s="99">
        <v>2.20240099E8</v>
      </c>
      <c r="H153" s="99">
        <f t="shared" si="1"/>
        <v>498026.7335</v>
      </c>
      <c r="I153" s="100">
        <f t="shared" si="65"/>
        <v>0.005250303314</v>
      </c>
      <c r="J153" s="101">
        <f t="shared" si="3"/>
        <v>0.0744795673</v>
      </c>
      <c r="K153" s="102">
        <v>177.909788633232</v>
      </c>
      <c r="L153" s="103">
        <v>3.0028409E8</v>
      </c>
      <c r="M153" s="99">
        <f t="shared" si="4"/>
        <v>813913.0333</v>
      </c>
      <c r="N153" s="100">
        <f t="shared" si="66"/>
        <v>0.003811199966</v>
      </c>
      <c r="O153" s="101">
        <f t="shared" si="6"/>
        <v>0.08835677063</v>
      </c>
      <c r="P153" s="98">
        <v>95.77797935786528</v>
      </c>
      <c r="Q153" s="99">
        <v>2.15025815918E11</v>
      </c>
      <c r="R153" s="99">
        <f t="shared" si="7"/>
        <v>418914.7254</v>
      </c>
      <c r="S153" s="100">
        <f t="shared" si="67"/>
        <v>0.005890151559</v>
      </c>
      <c r="T153" s="101">
        <f t="shared" si="9"/>
        <v>0.07028330763</v>
      </c>
      <c r="U153" s="100">
        <f t="shared" si="10"/>
        <v>0.2331196456</v>
      </c>
      <c r="V153" s="99">
        <f t="shared" si="11"/>
        <v>8184.247957</v>
      </c>
      <c r="W153" s="96">
        <v>3688.0</v>
      </c>
      <c r="X153" s="97">
        <v>45780.0</v>
      </c>
      <c r="Y153" s="98">
        <v>3215.135833867253</v>
      </c>
      <c r="Z153" s="103">
        <v>3.78780105E8</v>
      </c>
      <c r="AA153" s="99">
        <v>866801.9064986615</v>
      </c>
      <c r="AB153" s="100">
        <f t="shared" si="68"/>
        <v>0.007039687155</v>
      </c>
      <c r="AC153" s="101">
        <f t="shared" si="13"/>
        <v>0.1332899573</v>
      </c>
      <c r="AD153" s="98">
        <v>332.2138174301002</v>
      </c>
      <c r="AE153" s="99">
        <v>3.26008197E8</v>
      </c>
      <c r="AF153" s="99">
        <v>760140.49290227</v>
      </c>
      <c r="AG153" s="100">
        <f t="shared" si="69"/>
        <v>0.005649467749</v>
      </c>
      <c r="AH153" s="101">
        <f t="shared" si="15"/>
        <v>0.09380491917</v>
      </c>
      <c r="AI153" s="102">
        <v>140.2751871020595</v>
      </c>
      <c r="AJ153" s="99">
        <v>2.8104086679E11</v>
      </c>
      <c r="AK153" s="99">
        <v>547525.68680482</v>
      </c>
      <c r="AL153" s="100">
        <f t="shared" si="70"/>
        <v>0.006337908587</v>
      </c>
      <c r="AM153" s="100">
        <f t="shared" si="17"/>
        <v>0.0758009557</v>
      </c>
      <c r="AN153" s="104">
        <f t="shared" si="18"/>
        <v>0.3028958322</v>
      </c>
      <c r="AO153" s="97">
        <f t="shared" si="19"/>
        <v>13866.5712</v>
      </c>
    </row>
    <row r="154" ht="15.75" customHeight="1">
      <c r="A154" s="95">
        <v>31301.0</v>
      </c>
      <c r="B154" s="60" t="s">
        <v>105</v>
      </c>
      <c r="C154" s="60" t="s">
        <v>122</v>
      </c>
      <c r="D154" s="96">
        <v>152.0</v>
      </c>
      <c r="E154" s="97">
        <v>19872.0</v>
      </c>
      <c r="F154" s="98">
        <v>116.1296313297063</v>
      </c>
      <c r="G154" s="99">
        <v>2.20240099E8</v>
      </c>
      <c r="H154" s="99">
        <f t="shared" si="1"/>
        <v>498026.7335</v>
      </c>
      <c r="I154" s="100">
        <f t="shared" si="65"/>
        <v>0.0004187121801</v>
      </c>
      <c r="J154" s="101">
        <f t="shared" si="3"/>
        <v>0.01049365234</v>
      </c>
      <c r="K154" s="102">
        <v>31.64636635451548</v>
      </c>
      <c r="L154" s="103">
        <v>3.0028409E8</v>
      </c>
      <c r="M154" s="99">
        <f t="shared" si="4"/>
        <v>813913.0333</v>
      </c>
      <c r="N154" s="100">
        <f t="shared" si="66"/>
        <v>0.0006779313905</v>
      </c>
      <c r="O154" s="101">
        <f t="shared" si="6"/>
        <v>0.02776656574</v>
      </c>
      <c r="P154" s="98">
        <v>4.203593750444724</v>
      </c>
      <c r="Q154" s="99">
        <v>2.15025815918E11</v>
      </c>
      <c r="R154" s="99">
        <f t="shared" si="7"/>
        <v>418914.7254</v>
      </c>
      <c r="S154" s="100">
        <f t="shared" si="67"/>
        <v>0.0002585124937</v>
      </c>
      <c r="T154" s="101">
        <f t="shared" si="9"/>
        <v>0.005449612031</v>
      </c>
      <c r="U154" s="100">
        <f t="shared" si="10"/>
        <v>0.04370983011</v>
      </c>
      <c r="V154" s="99">
        <f t="shared" si="11"/>
        <v>868.6017439</v>
      </c>
      <c r="W154" s="96">
        <v>392.0</v>
      </c>
      <c r="X154" s="97">
        <v>19896.0</v>
      </c>
      <c r="Y154" s="98">
        <v>340.6888445161694</v>
      </c>
      <c r="Z154" s="103">
        <v>3.78780105E8</v>
      </c>
      <c r="AA154" s="99">
        <v>866801.9064986615</v>
      </c>
      <c r="AB154" s="100">
        <f t="shared" si="68"/>
        <v>0.000745953828</v>
      </c>
      <c r="AC154" s="101">
        <f t="shared" si="13"/>
        <v>0.03249870327</v>
      </c>
      <c r="AD154" s="98">
        <v>44.66763303692609</v>
      </c>
      <c r="AE154" s="99">
        <v>3.26008197E8</v>
      </c>
      <c r="AF154" s="99">
        <v>760140.49290227</v>
      </c>
      <c r="AG154" s="100">
        <f t="shared" si="69"/>
        <v>0.0007595961969</v>
      </c>
      <c r="AH154" s="101">
        <f t="shared" si="15"/>
        <v>0.02902090006</v>
      </c>
      <c r="AI154" s="102">
        <v>6.593729351086374</v>
      </c>
      <c r="AJ154" s="99">
        <v>2.8104086679E11</v>
      </c>
      <c r="AK154" s="99">
        <v>547525.68680482</v>
      </c>
      <c r="AL154" s="100">
        <f t="shared" si="70"/>
        <v>0.0002979176484</v>
      </c>
      <c r="AM154" s="100">
        <f t="shared" si="17"/>
        <v>0.008198510508</v>
      </c>
      <c r="AN154" s="104">
        <f t="shared" si="18"/>
        <v>0.06971811383</v>
      </c>
      <c r="AO154" s="97">
        <f t="shared" si="19"/>
        <v>1387.111593</v>
      </c>
    </row>
    <row r="155" ht="15.75" customHeight="1">
      <c r="A155" s="95">
        <v>31302.0</v>
      </c>
      <c r="B155" s="60" t="s">
        <v>105</v>
      </c>
      <c r="C155" s="60" t="s">
        <v>146</v>
      </c>
      <c r="D155" s="96">
        <v>1.0</v>
      </c>
      <c r="E155" s="97">
        <v>5405.25</v>
      </c>
      <c r="F155" s="98">
        <v>0.999513766486355</v>
      </c>
      <c r="G155" s="99">
        <v>2.20240099E8</v>
      </c>
      <c r="H155" s="99">
        <f t="shared" si="1"/>
        <v>498026.7335</v>
      </c>
      <c r="I155" s="100">
        <f t="shared" si="65"/>
        <v>0.000003603805363</v>
      </c>
      <c r="J155" s="101">
        <f t="shared" si="3"/>
        <v>0.0003320459577</v>
      </c>
      <c r="K155" s="102">
        <v>2.43116756822464E-5</v>
      </c>
      <c r="L155" s="103">
        <v>3.0028409E8</v>
      </c>
      <c r="M155" s="99">
        <f t="shared" si="4"/>
        <v>813913.0333</v>
      </c>
      <c r="N155" s="100">
        <f t="shared" si="66"/>
        <v>0.0000000005208069677</v>
      </c>
      <c r="O155" s="101">
        <f t="shared" si="6"/>
        <v>0.00000007842219672</v>
      </c>
      <c r="P155" s="98">
        <v>3.4036345955145E-4</v>
      </c>
      <c r="Q155" s="99">
        <v>2.15025815918E11</v>
      </c>
      <c r="R155" s="99">
        <f t="shared" si="7"/>
        <v>418914.7254</v>
      </c>
      <c r="S155" s="100">
        <f t="shared" si="67"/>
        <v>0.00000002093166274</v>
      </c>
      <c r="T155" s="101">
        <f t="shared" si="9"/>
        <v>0.000001622234263</v>
      </c>
      <c r="U155" s="100">
        <f t="shared" si="10"/>
        <v>0.0003337466142</v>
      </c>
      <c r="V155" s="99">
        <f t="shared" si="11"/>
        <v>1.803983886</v>
      </c>
      <c r="W155" s="96">
        <v>1.0</v>
      </c>
      <c r="X155" s="97">
        <v>5244.0</v>
      </c>
      <c r="Y155" s="98">
        <v>0.999513766486355</v>
      </c>
      <c r="Z155" s="103">
        <v>3.78780105E8</v>
      </c>
      <c r="AA155" s="99">
        <v>866801.9064986615</v>
      </c>
      <c r="AB155" s="100">
        <f t="shared" si="68"/>
        <v>0.000002188481168</v>
      </c>
      <c r="AC155" s="101">
        <f t="shared" si="13"/>
        <v>0.0003617428773</v>
      </c>
      <c r="AD155" s="98">
        <v>2.43116756822464E-5</v>
      </c>
      <c r="AE155" s="99">
        <v>3.26008197E8</v>
      </c>
      <c r="AF155" s="99">
        <v>760140.49290227</v>
      </c>
      <c r="AG155" s="100">
        <f t="shared" si="69"/>
        <v>0.0000000004134326163</v>
      </c>
      <c r="AH155" s="101">
        <f t="shared" si="15"/>
        <v>0.00000005992884682</v>
      </c>
      <c r="AI155" s="102">
        <v>3.4036345955145E-4</v>
      </c>
      <c r="AJ155" s="99">
        <v>2.8104086679E11</v>
      </c>
      <c r="AK155" s="99">
        <v>547525.68680482</v>
      </c>
      <c r="AL155" s="100">
        <f t="shared" si="70"/>
        <v>0.0000000153782899</v>
      </c>
      <c r="AM155" s="100">
        <f t="shared" si="17"/>
        <v>0.000001605646213</v>
      </c>
      <c r="AN155" s="104">
        <f t="shared" si="18"/>
        <v>0.0003634084523</v>
      </c>
      <c r="AO155" s="97">
        <f t="shared" si="19"/>
        <v>1.905713924</v>
      </c>
    </row>
    <row r="156" ht="15.75" customHeight="1">
      <c r="A156" s="95">
        <v>31303.0</v>
      </c>
      <c r="B156" s="60" t="s">
        <v>105</v>
      </c>
      <c r="C156" s="60" t="s">
        <v>107</v>
      </c>
      <c r="D156" s="96">
        <v>2.0</v>
      </c>
      <c r="E156" s="97">
        <v>3463.25</v>
      </c>
      <c r="F156" s="98">
        <v>1.99902753297271</v>
      </c>
      <c r="G156" s="99">
        <v>2.20240099E8</v>
      </c>
      <c r="H156" s="99">
        <f t="shared" si="1"/>
        <v>498026.7335</v>
      </c>
      <c r="I156" s="100">
        <f t="shared" si="65"/>
        <v>0.000007207610726</v>
      </c>
      <c r="J156" s="101">
        <f t="shared" si="3"/>
        <v>0.001036478113</v>
      </c>
      <c r="K156" s="102">
        <v>4.86233513644928E-5</v>
      </c>
      <c r="L156" s="103">
        <v>3.0028409E8</v>
      </c>
      <c r="M156" s="99">
        <f t="shared" si="4"/>
        <v>813913.0333</v>
      </c>
      <c r="N156" s="100">
        <f t="shared" si="66"/>
        <v>0.000000001041613935</v>
      </c>
      <c r="O156" s="101">
        <f t="shared" si="6"/>
        <v>0.0000002447940973</v>
      </c>
      <c r="P156" s="98">
        <v>6.807269191029E-4</v>
      </c>
      <c r="Q156" s="99">
        <v>2.15025815918E11</v>
      </c>
      <c r="R156" s="99">
        <f t="shared" si="7"/>
        <v>418914.7254</v>
      </c>
      <c r="S156" s="100">
        <f t="shared" si="67"/>
        <v>0.00000004186332548</v>
      </c>
      <c r="T156" s="101">
        <f t="shared" si="9"/>
        <v>0.000005063787915</v>
      </c>
      <c r="U156" s="100">
        <f t="shared" si="10"/>
        <v>0.001041786695</v>
      </c>
      <c r="V156" s="99">
        <f t="shared" si="11"/>
        <v>3.607967772</v>
      </c>
      <c r="W156" s="96">
        <v>2.0</v>
      </c>
      <c r="X156" s="97">
        <v>3512.0</v>
      </c>
      <c r="Y156" s="98">
        <v>1.99902753297271</v>
      </c>
      <c r="Z156" s="103">
        <v>3.78780105E8</v>
      </c>
      <c r="AA156" s="99">
        <v>866801.9064986615</v>
      </c>
      <c r="AB156" s="100">
        <f t="shared" si="68"/>
        <v>0.000004376962335</v>
      </c>
      <c r="AC156" s="101">
        <f t="shared" si="13"/>
        <v>0.001080284538</v>
      </c>
      <c r="AD156" s="98">
        <v>4.86233513644928E-5</v>
      </c>
      <c r="AE156" s="99">
        <v>3.26008197E8</v>
      </c>
      <c r="AF156" s="99">
        <v>760140.49290227</v>
      </c>
      <c r="AG156" s="100">
        <f t="shared" si="69"/>
        <v>0.0000000008268652325</v>
      </c>
      <c r="AH156" s="101">
        <f t="shared" si="15"/>
        <v>0.0000001789674674</v>
      </c>
      <c r="AI156" s="102">
        <v>6.807269191029E-4</v>
      </c>
      <c r="AJ156" s="99">
        <v>2.8104086679E11</v>
      </c>
      <c r="AK156" s="99">
        <v>547525.68680482</v>
      </c>
      <c r="AL156" s="100">
        <f t="shared" si="70"/>
        <v>0.0000000307565798</v>
      </c>
      <c r="AM156" s="100">
        <f t="shared" si="17"/>
        <v>0.000004794993587</v>
      </c>
      <c r="AN156" s="104">
        <f t="shared" si="18"/>
        <v>0.001085258499</v>
      </c>
      <c r="AO156" s="97">
        <f t="shared" si="19"/>
        <v>3.811427848</v>
      </c>
    </row>
    <row r="157" ht="15.75" customHeight="1">
      <c r="A157" s="95">
        <v>31304.0</v>
      </c>
      <c r="B157" s="60" t="s">
        <v>105</v>
      </c>
      <c r="C157" s="60" t="s">
        <v>788</v>
      </c>
      <c r="D157" s="108"/>
      <c r="E157" s="109">
        <v>7291.0</v>
      </c>
      <c r="F157" s="110"/>
      <c r="G157" s="99">
        <v>2.20240099E8</v>
      </c>
      <c r="H157" s="99">
        <f t="shared" si="1"/>
        <v>498026.7335</v>
      </c>
      <c r="I157" s="100">
        <f t="shared" si="65"/>
        <v>0</v>
      </c>
      <c r="J157" s="101">
        <f t="shared" si="3"/>
        <v>0</v>
      </c>
      <c r="K157" s="111"/>
      <c r="L157" s="103">
        <v>3.0028409E8</v>
      </c>
      <c r="M157" s="99">
        <f t="shared" si="4"/>
        <v>813913.0333</v>
      </c>
      <c r="N157" s="100">
        <f t="shared" si="66"/>
        <v>0</v>
      </c>
      <c r="O157" s="101">
        <f t="shared" si="6"/>
        <v>0</v>
      </c>
      <c r="P157" s="110"/>
      <c r="Q157" s="99">
        <v>2.15025815918E11</v>
      </c>
      <c r="R157" s="99">
        <f t="shared" si="7"/>
        <v>418914.7254</v>
      </c>
      <c r="S157" s="100">
        <f t="shared" si="67"/>
        <v>0</v>
      </c>
      <c r="T157" s="101">
        <f t="shared" si="9"/>
        <v>0</v>
      </c>
      <c r="U157" s="100">
        <f t="shared" si="10"/>
        <v>0</v>
      </c>
      <c r="V157" s="99">
        <f t="shared" si="11"/>
        <v>0</v>
      </c>
      <c r="W157" s="108"/>
      <c r="X157" s="97">
        <v>8056.0</v>
      </c>
      <c r="Y157" s="110"/>
      <c r="Z157" s="103">
        <v>3.78780105E8</v>
      </c>
      <c r="AA157" s="99">
        <v>866801.9064986615</v>
      </c>
      <c r="AB157" s="100">
        <f t="shared" si="68"/>
        <v>0</v>
      </c>
      <c r="AC157" s="101">
        <f t="shared" si="13"/>
        <v>0</v>
      </c>
      <c r="AD157" s="110"/>
      <c r="AE157" s="99">
        <v>3.26008197E8</v>
      </c>
      <c r="AF157" s="99">
        <v>760140.49290227</v>
      </c>
      <c r="AG157" s="100">
        <f t="shared" si="69"/>
        <v>0</v>
      </c>
      <c r="AH157" s="101">
        <f t="shared" si="15"/>
        <v>0</v>
      </c>
      <c r="AI157" s="111"/>
      <c r="AJ157" s="99">
        <v>2.8104086679E11</v>
      </c>
      <c r="AK157" s="99">
        <v>547525.68680482</v>
      </c>
      <c r="AL157" s="100">
        <f t="shared" si="70"/>
        <v>0</v>
      </c>
      <c r="AM157" s="100">
        <f t="shared" si="17"/>
        <v>0</v>
      </c>
      <c r="AN157" s="104">
        <f t="shared" si="18"/>
        <v>0</v>
      </c>
      <c r="AO157" s="97">
        <f t="shared" si="19"/>
        <v>0</v>
      </c>
    </row>
    <row r="158" ht="15.75" customHeight="1">
      <c r="A158" s="95">
        <v>31401.0</v>
      </c>
      <c r="B158" s="60" t="s">
        <v>105</v>
      </c>
      <c r="C158" s="60" t="s">
        <v>129</v>
      </c>
      <c r="D158" s="96">
        <v>5272.0</v>
      </c>
      <c r="E158" s="97">
        <v>30477.25</v>
      </c>
      <c r="F158" s="98">
        <v>4257.332717693905</v>
      </c>
      <c r="G158" s="99">
        <v>2.20240099E8</v>
      </c>
      <c r="H158" s="99">
        <f t="shared" si="1"/>
        <v>498026.7335</v>
      </c>
      <c r="I158" s="100">
        <f t="shared" si="65"/>
        <v>0.01535006219</v>
      </c>
      <c r="J158" s="101">
        <f t="shared" si="3"/>
        <v>0.2508343546</v>
      </c>
      <c r="K158" s="102">
        <v>744.4725625054796</v>
      </c>
      <c r="L158" s="103">
        <v>3.0028409E8</v>
      </c>
      <c r="M158" s="99">
        <f t="shared" si="4"/>
        <v>813913.0333</v>
      </c>
      <c r="N158" s="100">
        <f t="shared" si="66"/>
        <v>0.01594816017</v>
      </c>
      <c r="O158" s="101">
        <f t="shared" si="6"/>
        <v>0.4259050741</v>
      </c>
      <c r="P158" s="98">
        <v>269.6873539852792</v>
      </c>
      <c r="Q158" s="99">
        <v>2.15025815918E11</v>
      </c>
      <c r="R158" s="99">
        <f t="shared" si="7"/>
        <v>418914.7254</v>
      </c>
      <c r="S158" s="100">
        <f t="shared" si="67"/>
        <v>0.01658522553</v>
      </c>
      <c r="T158" s="101">
        <f t="shared" si="9"/>
        <v>0.2279666045</v>
      </c>
      <c r="U158" s="100">
        <f t="shared" si="10"/>
        <v>0.9047060332</v>
      </c>
      <c r="V158" s="99">
        <f t="shared" si="11"/>
        <v>27572.95195</v>
      </c>
      <c r="W158" s="96">
        <v>7871.0</v>
      </c>
      <c r="X158" s="97">
        <v>35248.0</v>
      </c>
      <c r="Y158" s="98">
        <v>6502.889625067957</v>
      </c>
      <c r="Z158" s="103">
        <v>3.78780105E8</v>
      </c>
      <c r="AA158" s="99">
        <v>866801.9064986615</v>
      </c>
      <c r="AB158" s="100">
        <f t="shared" si="68"/>
        <v>0.01423837465</v>
      </c>
      <c r="AC158" s="101">
        <f t="shared" si="13"/>
        <v>0.3501432789</v>
      </c>
      <c r="AD158" s="98">
        <v>931.1924941139509</v>
      </c>
      <c r="AE158" s="99">
        <v>3.26008197E8</v>
      </c>
      <c r="AF158" s="99">
        <v>760140.49290227</v>
      </c>
      <c r="AG158" s="100">
        <f t="shared" si="69"/>
        <v>0.01583540987</v>
      </c>
      <c r="AH158" s="101">
        <f t="shared" si="15"/>
        <v>0.3414984188</v>
      </c>
      <c r="AI158" s="102">
        <v>436.2282254720137</v>
      </c>
      <c r="AJ158" s="99">
        <v>2.8104086679E11</v>
      </c>
      <c r="AK158" s="99">
        <v>547525.68680482</v>
      </c>
      <c r="AL158" s="100">
        <f t="shared" si="70"/>
        <v>0.01970964839</v>
      </c>
      <c r="AM158" s="100">
        <f t="shared" si="17"/>
        <v>0.3061603147</v>
      </c>
      <c r="AN158" s="104">
        <f t="shared" si="18"/>
        <v>0.9978020124</v>
      </c>
      <c r="AO158" s="97">
        <f t="shared" si="19"/>
        <v>35170.52533</v>
      </c>
    </row>
    <row r="159" ht="15.75" customHeight="1">
      <c r="A159" s="95">
        <v>31402.0</v>
      </c>
      <c r="B159" s="60" t="s">
        <v>105</v>
      </c>
      <c r="C159" s="60" t="s">
        <v>147</v>
      </c>
      <c r="D159" s="96">
        <v>189.0</v>
      </c>
      <c r="E159" s="97">
        <v>8251.0</v>
      </c>
      <c r="F159" s="98">
        <v>157.9593940553499</v>
      </c>
      <c r="G159" s="99">
        <v>2.20240099E8</v>
      </c>
      <c r="H159" s="99">
        <f t="shared" si="1"/>
        <v>498026.7335</v>
      </c>
      <c r="I159" s="100">
        <f t="shared" si="65"/>
        <v>0.0005695318369</v>
      </c>
      <c r="J159" s="101">
        <f t="shared" si="3"/>
        <v>0.03437669135</v>
      </c>
      <c r="K159" s="102">
        <v>19.14913497214169</v>
      </c>
      <c r="L159" s="103">
        <v>3.0028409E8</v>
      </c>
      <c r="M159" s="99">
        <f t="shared" si="4"/>
        <v>813913.0333</v>
      </c>
      <c r="N159" s="100">
        <f t="shared" si="66"/>
        <v>0.0004102145426</v>
      </c>
      <c r="O159" s="101">
        <f t="shared" si="6"/>
        <v>0.04046527241</v>
      </c>
      <c r="P159" s="98">
        <v>11.87639585776846</v>
      </c>
      <c r="Q159" s="99">
        <v>2.15025815918E11</v>
      </c>
      <c r="R159" s="99">
        <f t="shared" si="7"/>
        <v>418914.7254</v>
      </c>
      <c r="S159" s="100">
        <f t="shared" si="67"/>
        <v>0.0007303742681</v>
      </c>
      <c r="T159" s="101">
        <f t="shared" si="9"/>
        <v>0.03708211561</v>
      </c>
      <c r="U159" s="100">
        <f t="shared" si="10"/>
        <v>0.1119240794</v>
      </c>
      <c r="V159" s="99">
        <f t="shared" si="11"/>
        <v>923.4855789</v>
      </c>
      <c r="W159" s="96">
        <v>407.0</v>
      </c>
      <c r="X159" s="97">
        <v>8599.0</v>
      </c>
      <c r="Y159" s="98">
        <v>341.6638717569521</v>
      </c>
      <c r="Z159" s="103">
        <v>3.78780105E8</v>
      </c>
      <c r="AA159" s="99">
        <v>866801.9064986615</v>
      </c>
      <c r="AB159" s="100">
        <f t="shared" si="68"/>
        <v>0.0007480886948</v>
      </c>
      <c r="AC159" s="101">
        <f t="shared" si="13"/>
        <v>0.07540931583</v>
      </c>
      <c r="AD159" s="98">
        <v>42.51280707357343</v>
      </c>
      <c r="AE159" s="99">
        <v>3.26008197E8</v>
      </c>
      <c r="AF159" s="99">
        <v>760140.49290227</v>
      </c>
      <c r="AG159" s="100">
        <f t="shared" si="69"/>
        <v>0.0007229522671</v>
      </c>
      <c r="AH159" s="101">
        <f t="shared" si="15"/>
        <v>0.0639080466</v>
      </c>
      <c r="AI159" s="102">
        <v>22.78961351871416</v>
      </c>
      <c r="AJ159" s="99">
        <v>2.8104086679E11</v>
      </c>
      <c r="AK159" s="99">
        <v>547525.68680482</v>
      </c>
      <c r="AL159" s="100">
        <f t="shared" si="70"/>
        <v>0.001029679519</v>
      </c>
      <c r="AM159" s="100">
        <f t="shared" si="17"/>
        <v>0.0655629708</v>
      </c>
      <c r="AN159" s="104">
        <f t="shared" si="18"/>
        <v>0.2048803332</v>
      </c>
      <c r="AO159" s="97">
        <f t="shared" si="19"/>
        <v>1761.765985</v>
      </c>
    </row>
    <row r="160" ht="15.75" customHeight="1">
      <c r="A160" s="95">
        <v>31403.0</v>
      </c>
      <c r="B160" s="60" t="s">
        <v>105</v>
      </c>
      <c r="C160" s="60" t="s">
        <v>133</v>
      </c>
      <c r="D160" s="96">
        <v>100.0</v>
      </c>
      <c r="E160" s="97">
        <v>13435.0</v>
      </c>
      <c r="F160" s="98">
        <v>74.047703847466</v>
      </c>
      <c r="G160" s="99">
        <v>2.20240099E8</v>
      </c>
      <c r="H160" s="99">
        <f t="shared" si="1"/>
        <v>498026.7335</v>
      </c>
      <c r="I160" s="100">
        <f t="shared" si="65"/>
        <v>0.0002669833285</v>
      </c>
      <c r="J160" s="101">
        <f t="shared" si="3"/>
        <v>0.00989689877</v>
      </c>
      <c r="K160" s="102">
        <v>20.23551480456952</v>
      </c>
      <c r="L160" s="103">
        <v>3.0028409E8</v>
      </c>
      <c r="M160" s="99">
        <f t="shared" si="4"/>
        <v>813913.0333</v>
      </c>
      <c r="N160" s="100">
        <f t="shared" si="66"/>
        <v>0.0004334870719</v>
      </c>
      <c r="O160" s="101">
        <f t="shared" si="6"/>
        <v>0.02626131579</v>
      </c>
      <c r="P160" s="98">
        <v>5.706155998626712</v>
      </c>
      <c r="Q160" s="99">
        <v>2.15025815918E11</v>
      </c>
      <c r="R160" s="99">
        <f t="shared" si="7"/>
        <v>418914.7254</v>
      </c>
      <c r="S160" s="100">
        <f t="shared" si="67"/>
        <v>0.0003509170258</v>
      </c>
      <c r="T160" s="101">
        <f t="shared" si="9"/>
        <v>0.01094189129</v>
      </c>
      <c r="U160" s="100">
        <f t="shared" si="10"/>
        <v>0.04710010585</v>
      </c>
      <c r="V160" s="99">
        <f t="shared" si="11"/>
        <v>632.789922</v>
      </c>
      <c r="W160" s="96">
        <v>1441.0</v>
      </c>
      <c r="X160" s="97">
        <v>13054.0</v>
      </c>
      <c r="Y160" s="98">
        <v>1094.475789130406</v>
      </c>
      <c r="Z160" s="103">
        <v>3.78780105E8</v>
      </c>
      <c r="AA160" s="99">
        <v>866801.9064986615</v>
      </c>
      <c r="AB160" s="100">
        <f t="shared" si="68"/>
        <v>0.002396404865</v>
      </c>
      <c r="AC160" s="101">
        <f t="shared" si="13"/>
        <v>0.1591242765</v>
      </c>
      <c r="AD160" s="98">
        <v>257.8753494117872</v>
      </c>
      <c r="AE160" s="99">
        <v>3.26008197E8</v>
      </c>
      <c r="AF160" s="99">
        <v>760140.49290227</v>
      </c>
      <c r="AG160" s="100">
        <f t="shared" si="69"/>
        <v>0.004385303661</v>
      </c>
      <c r="AH160" s="101">
        <f t="shared" si="15"/>
        <v>0.2553582723</v>
      </c>
      <c r="AI160" s="102">
        <v>88.50320107992036</v>
      </c>
      <c r="AJ160" s="99">
        <v>2.8104086679E11</v>
      </c>
      <c r="AK160" s="99">
        <v>547525.68680482</v>
      </c>
      <c r="AL160" s="100">
        <f t="shared" si="70"/>
        <v>0.003998748529</v>
      </c>
      <c r="AM160" s="100">
        <f t="shared" si="17"/>
        <v>0.1677200501</v>
      </c>
      <c r="AN160" s="104">
        <f t="shared" si="18"/>
        <v>0.582202599</v>
      </c>
      <c r="AO160" s="97">
        <f t="shared" si="19"/>
        <v>7600.072727</v>
      </c>
    </row>
    <row r="161" ht="15.75" customHeight="1">
      <c r="A161" s="95">
        <v>31404.0</v>
      </c>
      <c r="B161" s="60" t="s">
        <v>105</v>
      </c>
      <c r="C161" s="60" t="s">
        <v>789</v>
      </c>
      <c r="D161" s="108"/>
      <c r="E161" s="109">
        <v>1299.0</v>
      </c>
      <c r="F161" s="110"/>
      <c r="G161" s="99">
        <v>2.20240099E8</v>
      </c>
      <c r="H161" s="99">
        <f t="shared" si="1"/>
        <v>498026.7335</v>
      </c>
      <c r="I161" s="100">
        <f t="shared" si="65"/>
        <v>0</v>
      </c>
      <c r="J161" s="101">
        <f t="shared" si="3"/>
        <v>0</v>
      </c>
      <c r="K161" s="111"/>
      <c r="L161" s="103">
        <v>3.0028409E8</v>
      </c>
      <c r="M161" s="99">
        <f t="shared" si="4"/>
        <v>813913.0333</v>
      </c>
      <c r="N161" s="100">
        <f t="shared" si="66"/>
        <v>0</v>
      </c>
      <c r="O161" s="101">
        <f t="shared" si="6"/>
        <v>0</v>
      </c>
      <c r="P161" s="110"/>
      <c r="Q161" s="99">
        <v>2.15025815918E11</v>
      </c>
      <c r="R161" s="99">
        <f t="shared" si="7"/>
        <v>418914.7254</v>
      </c>
      <c r="S161" s="100">
        <f t="shared" si="67"/>
        <v>0</v>
      </c>
      <c r="T161" s="101">
        <f t="shared" si="9"/>
        <v>0</v>
      </c>
      <c r="U161" s="100">
        <f t="shared" si="10"/>
        <v>0</v>
      </c>
      <c r="V161" s="99">
        <f t="shared" si="11"/>
        <v>0</v>
      </c>
      <c r="W161" s="108"/>
      <c r="X161" s="97">
        <v>1287.0</v>
      </c>
      <c r="Y161" s="110"/>
      <c r="Z161" s="103">
        <v>3.78780105E8</v>
      </c>
      <c r="AA161" s="99">
        <v>866801.9064986615</v>
      </c>
      <c r="AB161" s="100">
        <f t="shared" si="68"/>
        <v>0</v>
      </c>
      <c r="AC161" s="101">
        <f t="shared" si="13"/>
        <v>0</v>
      </c>
      <c r="AD161" s="110"/>
      <c r="AE161" s="99">
        <v>3.26008197E8</v>
      </c>
      <c r="AF161" s="99">
        <v>760140.49290227</v>
      </c>
      <c r="AG161" s="100">
        <f t="shared" si="69"/>
        <v>0</v>
      </c>
      <c r="AH161" s="101">
        <f t="shared" si="15"/>
        <v>0</v>
      </c>
      <c r="AI161" s="111"/>
      <c r="AJ161" s="99">
        <v>2.8104086679E11</v>
      </c>
      <c r="AK161" s="99">
        <v>547525.68680482</v>
      </c>
      <c r="AL161" s="100">
        <f t="shared" si="70"/>
        <v>0</v>
      </c>
      <c r="AM161" s="100">
        <f t="shared" si="17"/>
        <v>0</v>
      </c>
      <c r="AN161" s="104">
        <f t="shared" si="18"/>
        <v>0</v>
      </c>
      <c r="AO161" s="97">
        <f t="shared" si="19"/>
        <v>0</v>
      </c>
    </row>
    <row r="162" ht="15.75" customHeight="1">
      <c r="A162" s="95">
        <v>31405.0</v>
      </c>
      <c r="B162" s="60" t="s">
        <v>105</v>
      </c>
      <c r="C162" s="60" t="s">
        <v>790</v>
      </c>
      <c r="D162" s="108"/>
      <c r="E162" s="109">
        <v>3031.5</v>
      </c>
      <c r="F162" s="110"/>
      <c r="G162" s="99">
        <v>2.20240099E8</v>
      </c>
      <c r="H162" s="99">
        <f t="shared" si="1"/>
        <v>498026.7335</v>
      </c>
      <c r="I162" s="100">
        <f t="shared" si="65"/>
        <v>0</v>
      </c>
      <c r="J162" s="101">
        <f t="shared" si="3"/>
        <v>0</v>
      </c>
      <c r="K162" s="111"/>
      <c r="L162" s="103">
        <v>3.0028409E8</v>
      </c>
      <c r="M162" s="99">
        <f t="shared" si="4"/>
        <v>813913.0333</v>
      </c>
      <c r="N162" s="100">
        <f t="shared" si="66"/>
        <v>0</v>
      </c>
      <c r="O162" s="101">
        <f t="shared" si="6"/>
        <v>0</v>
      </c>
      <c r="P162" s="110"/>
      <c r="Q162" s="99">
        <v>2.15025815918E11</v>
      </c>
      <c r="R162" s="99">
        <f t="shared" si="7"/>
        <v>418914.7254</v>
      </c>
      <c r="S162" s="100">
        <f t="shared" si="67"/>
        <v>0</v>
      </c>
      <c r="T162" s="101">
        <f t="shared" si="9"/>
        <v>0</v>
      </c>
      <c r="U162" s="100">
        <f t="shared" si="10"/>
        <v>0</v>
      </c>
      <c r="V162" s="99">
        <f t="shared" si="11"/>
        <v>0</v>
      </c>
      <c r="W162" s="108"/>
      <c r="X162" s="97">
        <v>3822.0</v>
      </c>
      <c r="Y162" s="110"/>
      <c r="Z162" s="103">
        <v>3.78780105E8</v>
      </c>
      <c r="AA162" s="99">
        <v>866801.9064986615</v>
      </c>
      <c r="AB162" s="100">
        <f t="shared" si="68"/>
        <v>0</v>
      </c>
      <c r="AC162" s="101">
        <f t="shared" si="13"/>
        <v>0</v>
      </c>
      <c r="AD162" s="110"/>
      <c r="AE162" s="99">
        <v>3.26008197E8</v>
      </c>
      <c r="AF162" s="99">
        <v>760140.49290227</v>
      </c>
      <c r="AG162" s="100">
        <f t="shared" si="69"/>
        <v>0</v>
      </c>
      <c r="AH162" s="101">
        <f t="shared" si="15"/>
        <v>0</v>
      </c>
      <c r="AI162" s="111"/>
      <c r="AJ162" s="99">
        <v>2.8104086679E11</v>
      </c>
      <c r="AK162" s="99">
        <v>547525.68680482</v>
      </c>
      <c r="AL162" s="100">
        <f t="shared" si="70"/>
        <v>0</v>
      </c>
      <c r="AM162" s="100">
        <f t="shared" si="17"/>
        <v>0</v>
      </c>
      <c r="AN162" s="104">
        <f t="shared" si="18"/>
        <v>0</v>
      </c>
      <c r="AO162" s="97">
        <f t="shared" si="19"/>
        <v>0</v>
      </c>
    </row>
    <row r="163" ht="15.75" customHeight="1">
      <c r="A163" s="95">
        <v>31501.0</v>
      </c>
      <c r="B163" s="60" t="s">
        <v>105</v>
      </c>
      <c r="C163" s="60" t="s">
        <v>112</v>
      </c>
      <c r="D163" s="96">
        <v>4.0</v>
      </c>
      <c r="E163" s="97">
        <v>7529.75</v>
      </c>
      <c r="F163" s="98">
        <v>2.074428070166899</v>
      </c>
      <c r="G163" s="99">
        <v>2.20240099E8</v>
      </c>
      <c r="H163" s="99">
        <f t="shared" si="1"/>
        <v>498026.7335</v>
      </c>
      <c r="I163" s="100">
        <f t="shared" si="65"/>
        <v>0.000007479471774</v>
      </c>
      <c r="J163" s="101">
        <f t="shared" si="3"/>
        <v>0.000494701271</v>
      </c>
      <c r="K163" s="102">
        <v>1.781236684987407</v>
      </c>
      <c r="L163" s="103">
        <v>3.0028409E8</v>
      </c>
      <c r="M163" s="99">
        <f t="shared" si="4"/>
        <v>813913.0333</v>
      </c>
      <c r="N163" s="100">
        <f t="shared" si="66"/>
        <v>0.00003815781721</v>
      </c>
      <c r="O163" s="101">
        <f t="shared" si="6"/>
        <v>0.004124591752</v>
      </c>
      <c r="P163" s="98">
        <v>0.1435796651221737</v>
      </c>
      <c r="Q163" s="99">
        <v>2.15025815918E11</v>
      </c>
      <c r="R163" s="99">
        <f t="shared" si="7"/>
        <v>418914.7254</v>
      </c>
      <c r="S163" s="100">
        <f t="shared" si="67"/>
        <v>0.000008829858325</v>
      </c>
      <c r="T163" s="101">
        <f t="shared" si="9"/>
        <v>0.0004912457485</v>
      </c>
      <c r="U163" s="100">
        <f t="shared" si="10"/>
        <v>0.005110538772</v>
      </c>
      <c r="V163" s="99">
        <f t="shared" si="11"/>
        <v>38.48107931</v>
      </c>
      <c r="W163" s="96">
        <v>3.0</v>
      </c>
      <c r="X163" s="97">
        <v>8282.0</v>
      </c>
      <c r="Y163" s="98">
        <v>1.92381699899508</v>
      </c>
      <c r="Z163" s="103">
        <v>3.78780105E8</v>
      </c>
      <c r="AA163" s="99">
        <v>866801.9064986615</v>
      </c>
      <c r="AB163" s="100">
        <f t="shared" si="68"/>
        <v>0.000004212285426</v>
      </c>
      <c r="AC163" s="101">
        <f t="shared" si="13"/>
        <v>0.000440861753</v>
      </c>
      <c r="AD163" s="98">
        <v>0.9335371882224897</v>
      </c>
      <c r="AE163" s="99">
        <v>3.26008197E8</v>
      </c>
      <c r="AF163" s="99">
        <v>760140.49290227</v>
      </c>
      <c r="AG163" s="100">
        <f t="shared" si="69"/>
        <v>0.00001587528261</v>
      </c>
      <c r="AH163" s="101">
        <f t="shared" si="15"/>
        <v>0.001457068962</v>
      </c>
      <c r="AI163" s="102">
        <v>0.1422137413263433</v>
      </c>
      <c r="AJ163" s="99">
        <v>2.8104086679E11</v>
      </c>
      <c r="AK163" s="99">
        <v>547525.68680482</v>
      </c>
      <c r="AL163" s="100">
        <f t="shared" si="70"/>
        <v>0.000006425496276</v>
      </c>
      <c r="AM163" s="100">
        <f t="shared" si="17"/>
        <v>0.0004247916278</v>
      </c>
      <c r="AN163" s="104">
        <f t="shared" si="18"/>
        <v>0.002322722343</v>
      </c>
      <c r="AO163" s="97">
        <f t="shared" si="19"/>
        <v>19.23678645</v>
      </c>
    </row>
    <row r="164" ht="15.75" customHeight="1">
      <c r="A164" s="95">
        <v>31601.0</v>
      </c>
      <c r="B164" s="60" t="s">
        <v>105</v>
      </c>
      <c r="C164" s="60" t="s">
        <v>141</v>
      </c>
      <c r="D164" s="96">
        <v>413.0</v>
      </c>
      <c r="E164" s="97">
        <v>20542.0</v>
      </c>
      <c r="F164" s="98">
        <v>283.2661748288191</v>
      </c>
      <c r="G164" s="99">
        <v>2.20240099E8</v>
      </c>
      <c r="H164" s="99">
        <f t="shared" si="1"/>
        <v>498026.7335</v>
      </c>
      <c r="I164" s="100">
        <f t="shared" si="65"/>
        <v>0.001021332766</v>
      </c>
      <c r="J164" s="101">
        <f t="shared" si="3"/>
        <v>0.02476151404</v>
      </c>
      <c r="K164" s="102">
        <v>109.0167534501941</v>
      </c>
      <c r="L164" s="103">
        <v>3.0028409E8</v>
      </c>
      <c r="M164" s="99">
        <f t="shared" si="4"/>
        <v>813913.0333</v>
      </c>
      <c r="N164" s="100">
        <f t="shared" si="66"/>
        <v>0.002335366987</v>
      </c>
      <c r="O164" s="101">
        <f t="shared" si="6"/>
        <v>0.09253167308</v>
      </c>
      <c r="P164" s="98">
        <v>20.66698957462165</v>
      </c>
      <c r="Q164" s="99">
        <v>2.15025815918E11</v>
      </c>
      <c r="R164" s="99">
        <f t="shared" si="7"/>
        <v>418914.7254</v>
      </c>
      <c r="S164" s="100">
        <f t="shared" si="67"/>
        <v>0.00127097796</v>
      </c>
      <c r="T164" s="101">
        <f t="shared" si="9"/>
        <v>0.02591915993</v>
      </c>
      <c r="U164" s="100">
        <f t="shared" si="10"/>
        <v>0.143212347</v>
      </c>
      <c r="V164" s="99">
        <f t="shared" si="11"/>
        <v>2941.868033</v>
      </c>
      <c r="W164" s="96">
        <v>3405.0</v>
      </c>
      <c r="X164" s="97">
        <v>18475.0</v>
      </c>
      <c r="Y164" s="98">
        <v>2530.06000977087</v>
      </c>
      <c r="Z164" s="103">
        <v>3.78780105E8</v>
      </c>
      <c r="AA164" s="99">
        <v>866801.9064986615</v>
      </c>
      <c r="AB164" s="100">
        <f t="shared" si="68"/>
        <v>0.005539682263</v>
      </c>
      <c r="AC164" s="101">
        <f t="shared" si="13"/>
        <v>0.2599083706</v>
      </c>
      <c r="AD164" s="98">
        <v>753.967726625131</v>
      </c>
      <c r="AE164" s="99">
        <v>3.26008197E8</v>
      </c>
      <c r="AF164" s="99">
        <v>760140.49290227</v>
      </c>
      <c r="AG164" s="100">
        <f t="shared" si="69"/>
        <v>0.01282161106</v>
      </c>
      <c r="AH164" s="101">
        <f t="shared" si="15"/>
        <v>0.5275358999</v>
      </c>
      <c r="AI164" s="102">
        <v>120.5688175079495</v>
      </c>
      <c r="AJ164" s="99">
        <v>2.8104086679E11</v>
      </c>
      <c r="AK164" s="99">
        <v>547525.68680482</v>
      </c>
      <c r="AL164" s="100">
        <f t="shared" si="70"/>
        <v>0.005447536086</v>
      </c>
      <c r="AM164" s="100">
        <f t="shared" si="17"/>
        <v>0.1614433525</v>
      </c>
      <c r="AN164" s="104">
        <f t="shared" si="18"/>
        <v>0.948887623</v>
      </c>
      <c r="AO164" s="97">
        <f t="shared" si="19"/>
        <v>17530.69883</v>
      </c>
    </row>
    <row r="165" ht="15.75" customHeight="1">
      <c r="A165" s="95">
        <v>31602.0</v>
      </c>
      <c r="B165" s="60" t="s">
        <v>105</v>
      </c>
      <c r="C165" s="60" t="s">
        <v>135</v>
      </c>
      <c r="D165" s="96">
        <v>746.0</v>
      </c>
      <c r="E165" s="97">
        <v>22423.75</v>
      </c>
      <c r="F165" s="98">
        <v>681.9117178889059</v>
      </c>
      <c r="G165" s="99">
        <v>2.20240099E8</v>
      </c>
      <c r="H165" s="99">
        <f t="shared" si="1"/>
        <v>498026.7335</v>
      </c>
      <c r="I165" s="100">
        <f t="shared" si="65"/>
        <v>0.002458672595</v>
      </c>
      <c r="J165" s="101">
        <f t="shared" si="3"/>
        <v>0.05460659707</v>
      </c>
      <c r="K165" s="102">
        <v>37.73464176760428</v>
      </c>
      <c r="L165" s="103">
        <v>3.0028409E8</v>
      </c>
      <c r="M165" s="99">
        <f t="shared" si="4"/>
        <v>813913.0333</v>
      </c>
      <c r="N165" s="100">
        <f t="shared" si="66"/>
        <v>0.0008083549901</v>
      </c>
      <c r="O165" s="101">
        <f t="shared" si="6"/>
        <v>0.02934079545</v>
      </c>
      <c r="P165" s="98">
        <v>26.28286148009257</v>
      </c>
      <c r="Q165" s="99">
        <v>2.15025815918E11</v>
      </c>
      <c r="R165" s="99">
        <f t="shared" si="7"/>
        <v>418914.7254</v>
      </c>
      <c r="S165" s="100">
        <f t="shared" si="67"/>
        <v>0.001616342698</v>
      </c>
      <c r="T165" s="101">
        <f t="shared" si="9"/>
        <v>0.03019609821</v>
      </c>
      <c r="U165" s="100">
        <f t="shared" si="10"/>
        <v>0.1141434907</v>
      </c>
      <c r="V165" s="99">
        <f t="shared" si="11"/>
        <v>2559.5251</v>
      </c>
      <c r="W165" s="96">
        <v>3692.0</v>
      </c>
      <c r="X165" s="97">
        <v>27172.0</v>
      </c>
      <c r="Y165" s="98">
        <v>3560.92269073939</v>
      </c>
      <c r="Z165" s="103">
        <v>3.78780105E8</v>
      </c>
      <c r="AA165" s="99">
        <v>866801.9064986615</v>
      </c>
      <c r="AB165" s="100">
        <f t="shared" si="68"/>
        <v>0.007796803315</v>
      </c>
      <c r="AC165" s="101">
        <f t="shared" si="13"/>
        <v>0.2487223604</v>
      </c>
      <c r="AD165" s="98">
        <v>87.41021926611718</v>
      </c>
      <c r="AE165" s="99">
        <v>3.26008197E8</v>
      </c>
      <c r="AF165" s="99">
        <v>760140.49290227</v>
      </c>
      <c r="AG165" s="100">
        <f t="shared" si="69"/>
        <v>0.001486455977</v>
      </c>
      <c r="AH165" s="101">
        <f t="shared" si="15"/>
        <v>0.04158381346</v>
      </c>
      <c r="AI165" s="102">
        <v>43.24568931327695</v>
      </c>
      <c r="AJ165" s="99">
        <v>2.8104086679E11</v>
      </c>
      <c r="AK165" s="99">
        <v>547525.68680482</v>
      </c>
      <c r="AL165" s="100">
        <f t="shared" si="70"/>
        <v>0.001953925219</v>
      </c>
      <c r="AM165" s="100">
        <f t="shared" si="17"/>
        <v>0.03937230411</v>
      </c>
      <c r="AN165" s="104">
        <f t="shared" si="18"/>
        <v>0.329678478</v>
      </c>
      <c r="AO165" s="97">
        <f t="shared" si="19"/>
        <v>8958.023605</v>
      </c>
    </row>
    <row r="166" ht="15.75" customHeight="1">
      <c r="A166" s="95">
        <v>40101.0</v>
      </c>
      <c r="B166" s="60" t="s">
        <v>151</v>
      </c>
      <c r="C166" s="60" t="s">
        <v>151</v>
      </c>
      <c r="D166" s="96">
        <v>82992.0</v>
      </c>
      <c r="E166" s="97">
        <v>273294.75</v>
      </c>
      <c r="F166" s="98">
        <v>63636.74602953977</v>
      </c>
      <c r="G166" s="99">
        <v>9.101262E7</v>
      </c>
      <c r="H166" s="99">
        <f t="shared" si="1"/>
        <v>205805.9275</v>
      </c>
      <c r="I166" s="100">
        <f t="shared" ref="I166:I200" si="71">F166/SUM($F$166:$F$200)</f>
        <v>0.960983479</v>
      </c>
      <c r="J166" s="101">
        <f t="shared" si="3"/>
        <v>0.7236732363</v>
      </c>
      <c r="K166" s="102">
        <v>14217.94072613022</v>
      </c>
      <c r="L166" s="103">
        <v>1.167634E8</v>
      </c>
      <c r="M166" s="99">
        <f t="shared" si="4"/>
        <v>316484.4766</v>
      </c>
      <c r="N166" s="100">
        <f t="shared" ref="N166:N200" si="72">K166/SUM($K$166:$K$200)</f>
        <v>0.9448157901</v>
      </c>
      <c r="O166" s="101">
        <f t="shared" si="6"/>
        <v>1.094128339</v>
      </c>
      <c r="P166" s="98">
        <v>5132.538394429022</v>
      </c>
      <c r="Q166" s="99">
        <v>1.6330426269E10</v>
      </c>
      <c r="R166" s="99">
        <f t="shared" si="7"/>
        <v>31815.04512</v>
      </c>
      <c r="S166" s="100">
        <f t="shared" ref="S166:S200" si="73">P166/SUM($P$166:$P$200)</f>
        <v>0.9587796602</v>
      </c>
      <c r="T166" s="101">
        <f t="shared" si="9"/>
        <v>0.1116143583</v>
      </c>
      <c r="U166" s="100">
        <f t="shared" si="10"/>
        <v>1.929415933</v>
      </c>
      <c r="V166" s="99">
        <f t="shared" si="11"/>
        <v>527299.2452</v>
      </c>
      <c r="W166" s="96">
        <v>96008.0</v>
      </c>
      <c r="X166" s="97">
        <v>298350.0</v>
      </c>
      <c r="Y166" s="98">
        <v>76450.42833637916</v>
      </c>
      <c r="Z166" s="103">
        <v>1.54428964E8</v>
      </c>
      <c r="AA166" s="99">
        <v>349209.366945279</v>
      </c>
      <c r="AB166" s="100">
        <f t="shared" ref="AB166:AB200" si="74">Y166/SUM($Y$166:$Y$200)</f>
        <v>0.7822652964</v>
      </c>
      <c r="AC166" s="101">
        <f t="shared" si="13"/>
        <v>0.915617124</v>
      </c>
      <c r="AD166" s="98">
        <v>13731.50028100424</v>
      </c>
      <c r="AE166" s="99">
        <v>1.51576304E8</v>
      </c>
      <c r="AF166" s="99">
        <v>349524.02110103</v>
      </c>
      <c r="AG166" s="100">
        <f t="shared" ref="AG166:AG200" si="75">AD166/SUM($AD$166:$AD$200)</f>
        <v>0.7258182419</v>
      </c>
      <c r="AH166" s="101">
        <f t="shared" si="15"/>
        <v>0.8503130903</v>
      </c>
      <c r="AI166" s="102">
        <v>5821.347286983364</v>
      </c>
      <c r="AJ166" s="99">
        <v>2.6311076528E10</v>
      </c>
      <c r="AK166" s="99">
        <v>51259.414372873005</v>
      </c>
      <c r="AL166" s="100">
        <f t="shared" ref="AL166:AL200" si="76">AI166/SUM($AI$166:$AI$200)</f>
        <v>0.7916335302</v>
      </c>
      <c r="AM166" s="100">
        <f t="shared" si="17"/>
        <v>0.1360102938</v>
      </c>
      <c r="AN166" s="104">
        <f t="shared" si="18"/>
        <v>1.901940508</v>
      </c>
      <c r="AO166" s="97">
        <f t="shared" si="19"/>
        <v>567443.9506</v>
      </c>
    </row>
    <row r="167" ht="15.75" customHeight="1">
      <c r="A167" s="95">
        <v>40102.0</v>
      </c>
      <c r="B167" s="60" t="s">
        <v>151</v>
      </c>
      <c r="C167" s="60" t="s">
        <v>154</v>
      </c>
      <c r="D167" s="96">
        <v>36.0</v>
      </c>
      <c r="E167" s="97">
        <v>23048.75</v>
      </c>
      <c r="F167" s="98">
        <v>24.86014106362433</v>
      </c>
      <c r="G167" s="99">
        <v>9.101262E7</v>
      </c>
      <c r="H167" s="99">
        <f t="shared" si="1"/>
        <v>205805.9275</v>
      </c>
      <c r="I167" s="100">
        <f t="shared" si="71"/>
        <v>0.0003754149346</v>
      </c>
      <c r="J167" s="101">
        <f t="shared" si="3"/>
        <v>0.003352139218</v>
      </c>
      <c r="K167" s="102">
        <v>9.151673933037673</v>
      </c>
      <c r="L167" s="103">
        <v>1.167634E8</v>
      </c>
      <c r="M167" s="99">
        <f t="shared" si="4"/>
        <v>316484.4766</v>
      </c>
      <c r="N167" s="100">
        <f t="shared" si="72"/>
        <v>0.0006081503787</v>
      </c>
      <c r="O167" s="101">
        <f t="shared" si="6"/>
        <v>0.008350568006</v>
      </c>
      <c r="P167" s="98">
        <v>1.985887870090886</v>
      </c>
      <c r="Q167" s="99">
        <v>1.6330426269E10</v>
      </c>
      <c r="R167" s="99">
        <f t="shared" si="7"/>
        <v>31815.04512</v>
      </c>
      <c r="S167" s="100">
        <f t="shared" si="73"/>
        <v>0.0003709721684</v>
      </c>
      <c r="T167" s="101">
        <f t="shared" si="9"/>
        <v>0.0005120666533</v>
      </c>
      <c r="U167" s="100">
        <f t="shared" si="10"/>
        <v>0.01221477388</v>
      </c>
      <c r="V167" s="99">
        <f t="shared" si="11"/>
        <v>281.5352694</v>
      </c>
      <c r="W167" s="96">
        <v>1093.0</v>
      </c>
      <c r="X167" s="97">
        <v>22850.0</v>
      </c>
      <c r="Y167" s="98">
        <v>829.0116278807072</v>
      </c>
      <c r="Z167" s="103">
        <v>1.54428964E8</v>
      </c>
      <c r="AA167" s="99">
        <v>349209.366945279</v>
      </c>
      <c r="AB167" s="100">
        <f t="shared" si="74"/>
        <v>0.008482712797</v>
      </c>
      <c r="AC167" s="101">
        <f t="shared" si="13"/>
        <v>0.1296386331</v>
      </c>
      <c r="AD167" s="98">
        <v>197.8641725682941</v>
      </c>
      <c r="AE167" s="99">
        <v>1.51576304E8</v>
      </c>
      <c r="AF167" s="99">
        <v>349524.02110103</v>
      </c>
      <c r="AG167" s="100">
        <f t="shared" si="75"/>
        <v>0.01045868426</v>
      </c>
      <c r="AH167" s="101">
        <f t="shared" si="15"/>
        <v>0.1599808043</v>
      </c>
      <c r="AI167" s="102">
        <v>66.06613496288531</v>
      </c>
      <c r="AJ167" s="99">
        <v>2.6311076528E10</v>
      </c>
      <c r="AK167" s="99">
        <v>51259.414372873005</v>
      </c>
      <c r="AL167" s="100">
        <f t="shared" si="76"/>
        <v>0.008984203324</v>
      </c>
      <c r="AM167" s="100">
        <f t="shared" si="17"/>
        <v>0.020154267</v>
      </c>
      <c r="AN167" s="104">
        <f t="shared" si="18"/>
        <v>0.3097737044</v>
      </c>
      <c r="AO167" s="97">
        <f t="shared" si="19"/>
        <v>7078.329145</v>
      </c>
    </row>
    <row r="168" ht="15.75" customHeight="1">
      <c r="A168" s="95">
        <v>40103.0</v>
      </c>
      <c r="B168" s="60" t="s">
        <v>151</v>
      </c>
      <c r="C168" s="60" t="s">
        <v>499</v>
      </c>
      <c r="D168" s="108"/>
      <c r="E168" s="109">
        <v>9043.0</v>
      </c>
      <c r="F168" s="110"/>
      <c r="G168" s="99">
        <v>9.101262E7</v>
      </c>
      <c r="H168" s="99">
        <f t="shared" si="1"/>
        <v>205805.9275</v>
      </c>
      <c r="I168" s="100">
        <f t="shared" si="71"/>
        <v>0</v>
      </c>
      <c r="J168" s="101">
        <f t="shared" si="3"/>
        <v>0</v>
      </c>
      <c r="K168" s="111"/>
      <c r="L168" s="103">
        <v>1.167634E8</v>
      </c>
      <c r="M168" s="99">
        <f t="shared" si="4"/>
        <v>316484.4766</v>
      </c>
      <c r="N168" s="100">
        <f t="shared" si="72"/>
        <v>0</v>
      </c>
      <c r="O168" s="101">
        <f t="shared" si="6"/>
        <v>0</v>
      </c>
      <c r="P168" s="110"/>
      <c r="Q168" s="99">
        <v>1.6330426269E10</v>
      </c>
      <c r="R168" s="99">
        <f t="shared" si="7"/>
        <v>31815.04512</v>
      </c>
      <c r="S168" s="100">
        <f t="shared" si="73"/>
        <v>0</v>
      </c>
      <c r="T168" s="101">
        <f t="shared" si="9"/>
        <v>0</v>
      </c>
      <c r="U168" s="100">
        <f t="shared" si="10"/>
        <v>0</v>
      </c>
      <c r="V168" s="99">
        <f t="shared" si="11"/>
        <v>0</v>
      </c>
      <c r="W168" s="96">
        <v>1154.0</v>
      </c>
      <c r="X168" s="97">
        <v>9997.0</v>
      </c>
      <c r="Y168" s="98">
        <v>863.3013550417043</v>
      </c>
      <c r="Z168" s="103">
        <v>1.54428964E8</v>
      </c>
      <c r="AA168" s="99">
        <v>349209.366945279</v>
      </c>
      <c r="AB168" s="100">
        <f t="shared" si="74"/>
        <v>0.008833576281</v>
      </c>
      <c r="AC168" s="101">
        <f t="shared" si="13"/>
        <v>0.3085693289</v>
      </c>
      <c r="AD168" s="98">
        <v>211.3270569604856</v>
      </c>
      <c r="AE168" s="99">
        <v>1.51576304E8</v>
      </c>
      <c r="AF168" s="99">
        <v>349524.02110103</v>
      </c>
      <c r="AG168" s="100">
        <f t="shared" si="75"/>
        <v>0.01117030403</v>
      </c>
      <c r="AH168" s="101">
        <f t="shared" si="15"/>
        <v>0.390546122</v>
      </c>
      <c r="AI168" s="102">
        <v>79.31243452179164</v>
      </c>
      <c r="AJ168" s="99">
        <v>2.6311076528E10</v>
      </c>
      <c r="AK168" s="99">
        <v>51259.414372873005</v>
      </c>
      <c r="AL168" s="100">
        <f t="shared" si="76"/>
        <v>0.01078554146</v>
      </c>
      <c r="AM168" s="100">
        <f t="shared" si="17"/>
        <v>0.0553026447</v>
      </c>
      <c r="AN168" s="104">
        <f t="shared" si="18"/>
        <v>0.7544180956</v>
      </c>
      <c r="AO168" s="97">
        <f t="shared" si="19"/>
        <v>7541.917702</v>
      </c>
    </row>
    <row r="169" ht="15.75" customHeight="1">
      <c r="A169" s="95">
        <v>40104.0</v>
      </c>
      <c r="B169" s="60" t="s">
        <v>151</v>
      </c>
      <c r="C169" s="60" t="s">
        <v>791</v>
      </c>
      <c r="D169" s="108">
        <v>8.0</v>
      </c>
      <c r="E169" s="109">
        <v>13575.5</v>
      </c>
      <c r="F169" s="110">
        <v>6.0</v>
      </c>
      <c r="G169" s="99">
        <v>9.101262E7</v>
      </c>
      <c r="H169" s="99">
        <f t="shared" si="1"/>
        <v>205805.9275</v>
      </c>
      <c r="I169" s="100">
        <f t="shared" si="71"/>
        <v>0.00009060646928</v>
      </c>
      <c r="J169" s="101">
        <f t="shared" si="3"/>
        <v>0.001373603068</v>
      </c>
      <c r="K169" s="111">
        <v>2.0</v>
      </c>
      <c r="L169" s="103">
        <v>1.167634E8</v>
      </c>
      <c r="M169" s="99">
        <f t="shared" si="4"/>
        <v>316484.4766</v>
      </c>
      <c r="N169" s="100">
        <f t="shared" si="72"/>
        <v>0.0001329047305</v>
      </c>
      <c r="O169" s="101">
        <f t="shared" si="6"/>
        <v>0.003098396675</v>
      </c>
      <c r="P169" s="110">
        <v>1.0</v>
      </c>
      <c r="Q169" s="99">
        <v>1.6330426269E10</v>
      </c>
      <c r="R169" s="99">
        <f t="shared" si="7"/>
        <v>31815.04512</v>
      </c>
      <c r="S169" s="100">
        <f t="shared" si="73"/>
        <v>0.0001868041867</v>
      </c>
      <c r="T169" s="101">
        <f t="shared" si="9"/>
        <v>0.0004377874573</v>
      </c>
      <c r="U169" s="100">
        <f t="shared" si="10"/>
        <v>0.0049097872</v>
      </c>
      <c r="V169" s="99">
        <f t="shared" si="11"/>
        <v>66.65281614</v>
      </c>
      <c r="W169" s="116">
        <v>2377.0</v>
      </c>
      <c r="X169" s="97">
        <v>15764.0</v>
      </c>
      <c r="Y169" s="110">
        <v>1846.4979241489177</v>
      </c>
      <c r="Z169" s="103">
        <v>1.54428964E8</v>
      </c>
      <c r="AA169" s="99">
        <v>349209.366945279</v>
      </c>
      <c r="AB169" s="100">
        <f t="shared" si="74"/>
        <v>0.01889395884</v>
      </c>
      <c r="AC169" s="101">
        <f t="shared" si="13"/>
        <v>0.4185452553</v>
      </c>
      <c r="AD169" s="110">
        <v>370.46172707238634</v>
      </c>
      <c r="AE169" s="99">
        <v>1.51576304E8</v>
      </c>
      <c r="AF169" s="99">
        <v>349524.02110103</v>
      </c>
      <c r="AG169" s="100">
        <f t="shared" si="75"/>
        <v>0.0195818282</v>
      </c>
      <c r="AH169" s="101">
        <f t="shared" si="15"/>
        <v>0.4341740252</v>
      </c>
      <c r="AI169" s="111">
        <v>159.92284174307719</v>
      </c>
      <c r="AJ169" s="99">
        <v>2.6311076528E10</v>
      </c>
      <c r="AK169" s="99">
        <v>51259.414372873005</v>
      </c>
      <c r="AL169" s="100">
        <f t="shared" si="76"/>
        <v>0.02174759167</v>
      </c>
      <c r="AM169" s="100">
        <f t="shared" si="17"/>
        <v>0.07071611349</v>
      </c>
      <c r="AN169" s="104">
        <f t="shared" si="18"/>
        <v>0.923435394</v>
      </c>
      <c r="AO169" s="97">
        <f t="shared" si="19"/>
        <v>14557.03555</v>
      </c>
    </row>
    <row r="170" ht="15.75" customHeight="1">
      <c r="A170" s="95">
        <v>40201.0</v>
      </c>
      <c r="B170" s="60" t="s">
        <v>151</v>
      </c>
      <c r="C170" s="60" t="s">
        <v>156</v>
      </c>
      <c r="D170" s="96">
        <v>2446.0</v>
      </c>
      <c r="E170" s="97">
        <v>30545.25</v>
      </c>
      <c r="F170" s="98">
        <v>1781.512254241128</v>
      </c>
      <c r="G170" s="99">
        <v>9.101262E7</v>
      </c>
      <c r="H170" s="99">
        <f t="shared" si="1"/>
        <v>205805.9275</v>
      </c>
      <c r="I170" s="100">
        <f t="shared" si="71"/>
        <v>0.02690275589</v>
      </c>
      <c r="J170" s="101">
        <f t="shared" si="3"/>
        <v>0.1812637522</v>
      </c>
      <c r="K170" s="102">
        <v>514.7123283676917</v>
      </c>
      <c r="L170" s="103">
        <v>1.167634E8</v>
      </c>
      <c r="M170" s="99">
        <f t="shared" si="4"/>
        <v>316484.4766</v>
      </c>
      <c r="N170" s="100">
        <f t="shared" si="72"/>
        <v>0.03420385164</v>
      </c>
      <c r="O170" s="101">
        <f t="shared" si="6"/>
        <v>0.354391864</v>
      </c>
      <c r="P170" s="98">
        <v>149.6349944769896</v>
      </c>
      <c r="Q170" s="99">
        <v>1.6330426269E10</v>
      </c>
      <c r="R170" s="99">
        <f t="shared" si="7"/>
        <v>31815.04512</v>
      </c>
      <c r="S170" s="100">
        <f t="shared" si="73"/>
        <v>0.02795244344</v>
      </c>
      <c r="T170" s="101">
        <f t="shared" si="9"/>
        <v>0.02911445312</v>
      </c>
      <c r="U170" s="100">
        <f t="shared" si="10"/>
        <v>0.5647700694</v>
      </c>
      <c r="V170" s="99">
        <f t="shared" si="11"/>
        <v>17251.04296</v>
      </c>
      <c r="W170" s="96">
        <v>2499.0</v>
      </c>
      <c r="X170" s="97">
        <v>35427.0</v>
      </c>
      <c r="Y170" s="98">
        <v>1762.50775594697</v>
      </c>
      <c r="Z170" s="103">
        <v>1.54428964E8</v>
      </c>
      <c r="AA170" s="99">
        <v>349209.366945279</v>
      </c>
      <c r="AB170" s="100">
        <f t="shared" si="74"/>
        <v>0.0180345445</v>
      </c>
      <c r="AC170" s="101">
        <f t="shared" si="13"/>
        <v>0.1777692683</v>
      </c>
      <c r="AD170" s="98">
        <v>592.1162873148157</v>
      </c>
      <c r="AE170" s="99">
        <v>1.51576304E8</v>
      </c>
      <c r="AF170" s="99">
        <v>349524.02110103</v>
      </c>
      <c r="AG170" s="100">
        <f t="shared" si="75"/>
        <v>0.03129802235</v>
      </c>
      <c r="AH170" s="101">
        <f t="shared" si="15"/>
        <v>0.3087873832</v>
      </c>
      <c r="AI170" s="102">
        <v>144.2077844752668</v>
      </c>
      <c r="AJ170" s="99">
        <v>2.6311076528E10</v>
      </c>
      <c r="AK170" s="99">
        <v>51259.414372873005</v>
      </c>
      <c r="AL170" s="100">
        <f t="shared" si="76"/>
        <v>0.01961053204</v>
      </c>
      <c r="AM170" s="100">
        <f t="shared" si="17"/>
        <v>0.02837452757</v>
      </c>
      <c r="AN170" s="104">
        <f t="shared" si="18"/>
        <v>0.5149311791</v>
      </c>
      <c r="AO170" s="97">
        <f t="shared" si="19"/>
        <v>18242.46688</v>
      </c>
    </row>
    <row r="171" ht="15.75" customHeight="1">
      <c r="A171" s="95">
        <v>40202.0</v>
      </c>
      <c r="B171" s="60" t="s">
        <v>151</v>
      </c>
      <c r="C171" s="60" t="s">
        <v>792</v>
      </c>
      <c r="D171" s="108">
        <v>0.0</v>
      </c>
      <c r="E171" s="109">
        <v>4328.5</v>
      </c>
      <c r="F171" s="110">
        <v>0.0</v>
      </c>
      <c r="G171" s="99">
        <v>9.101262E7</v>
      </c>
      <c r="H171" s="99">
        <f t="shared" si="1"/>
        <v>205805.9275</v>
      </c>
      <c r="I171" s="100">
        <f t="shared" si="71"/>
        <v>0</v>
      </c>
      <c r="J171" s="101">
        <f t="shared" si="3"/>
        <v>0</v>
      </c>
      <c r="K171" s="111">
        <v>0.0</v>
      </c>
      <c r="L171" s="103">
        <v>1.167634E8</v>
      </c>
      <c r="M171" s="99">
        <f t="shared" si="4"/>
        <v>316484.4766</v>
      </c>
      <c r="N171" s="100">
        <f t="shared" si="72"/>
        <v>0</v>
      </c>
      <c r="O171" s="101">
        <f t="shared" si="6"/>
        <v>0</v>
      </c>
      <c r="P171" s="110">
        <v>0.0</v>
      </c>
      <c r="Q171" s="99">
        <v>1.6330426269E10</v>
      </c>
      <c r="R171" s="99">
        <f t="shared" si="7"/>
        <v>31815.04512</v>
      </c>
      <c r="S171" s="100">
        <f t="shared" si="73"/>
        <v>0</v>
      </c>
      <c r="T171" s="101">
        <f t="shared" si="9"/>
        <v>0</v>
      </c>
      <c r="U171" s="100">
        <f t="shared" si="10"/>
        <v>0</v>
      </c>
      <c r="V171" s="99">
        <f t="shared" si="11"/>
        <v>0</v>
      </c>
      <c r="W171" s="108">
        <v>145.0</v>
      </c>
      <c r="X171" s="97">
        <v>5161.0</v>
      </c>
      <c r="Y171" s="110">
        <v>110.60021098110123</v>
      </c>
      <c r="Z171" s="103">
        <v>1.54428964E8</v>
      </c>
      <c r="AA171" s="99">
        <v>349209.366945279</v>
      </c>
      <c r="AB171" s="100">
        <f t="shared" si="74"/>
        <v>0.001131696822</v>
      </c>
      <c r="AC171" s="101">
        <f t="shared" si="13"/>
        <v>0.07657413892</v>
      </c>
      <c r="AD171" s="110">
        <v>24.315161376164067</v>
      </c>
      <c r="AE171" s="99">
        <v>1.51576304E8</v>
      </c>
      <c r="AF171" s="99">
        <v>349524.02110103</v>
      </c>
      <c r="AG171" s="100">
        <f t="shared" si="75"/>
        <v>0.001285248321</v>
      </c>
      <c r="AH171" s="101">
        <f t="shared" si="15"/>
        <v>0.08704227113</v>
      </c>
      <c r="AI171" s="111">
        <v>10.076694103126384</v>
      </c>
      <c r="AJ171" s="99">
        <v>2.6311076528E10</v>
      </c>
      <c r="AK171" s="99">
        <v>51259.414372873005</v>
      </c>
      <c r="AL171" s="100">
        <f t="shared" si="76"/>
        <v>0.001370309747</v>
      </c>
      <c r="AM171" s="100">
        <f t="shared" si="17"/>
        <v>0.01361001262</v>
      </c>
      <c r="AN171" s="104">
        <f t="shared" si="18"/>
        <v>0.1772264227</v>
      </c>
      <c r="AO171" s="97">
        <f t="shared" si="19"/>
        <v>914.6655674</v>
      </c>
    </row>
    <row r="172" ht="15.75" customHeight="1">
      <c r="A172" s="95">
        <v>40301.0</v>
      </c>
      <c r="B172" s="60" t="s">
        <v>151</v>
      </c>
      <c r="C172" s="60" t="s">
        <v>159</v>
      </c>
      <c r="D172" s="96">
        <v>1.0</v>
      </c>
      <c r="E172" s="97">
        <v>10941.0</v>
      </c>
      <c r="F172" s="98">
        <v>0.836035451794207</v>
      </c>
      <c r="G172" s="99">
        <v>9.101262E7</v>
      </c>
      <c r="H172" s="99">
        <f t="shared" si="1"/>
        <v>205805.9275</v>
      </c>
      <c r="I172" s="100">
        <f t="shared" si="71"/>
        <v>0.00001262503675</v>
      </c>
      <c r="J172" s="101">
        <f t="shared" si="3"/>
        <v>0.0002374835387</v>
      </c>
      <c r="K172" s="102">
        <v>0.0583657587548638</v>
      </c>
      <c r="L172" s="103">
        <v>1.167634E8</v>
      </c>
      <c r="M172" s="99">
        <f t="shared" si="4"/>
        <v>316484.4766</v>
      </c>
      <c r="N172" s="100">
        <f t="shared" si="72"/>
        <v>0.000003878542718</v>
      </c>
      <c r="O172" s="101">
        <f t="shared" si="6"/>
        <v>0.0001121925384</v>
      </c>
      <c r="P172" s="98">
        <v>0.10559878945093</v>
      </c>
      <c r="Q172" s="99">
        <v>1.6330426269E10</v>
      </c>
      <c r="R172" s="99">
        <f t="shared" si="7"/>
        <v>31815.04512</v>
      </c>
      <c r="S172" s="100">
        <f t="shared" si="73"/>
        <v>0.00001972629597</v>
      </c>
      <c r="T172" s="101">
        <f t="shared" si="9"/>
        <v>0.0000573615754</v>
      </c>
      <c r="U172" s="100">
        <f t="shared" si="10"/>
        <v>0.0004070376525</v>
      </c>
      <c r="V172" s="99">
        <f t="shared" si="11"/>
        <v>4.453398956</v>
      </c>
      <c r="W172" s="96">
        <v>416.0</v>
      </c>
      <c r="X172" s="97">
        <v>16101.0</v>
      </c>
      <c r="Y172" s="98">
        <v>328.3105539588134</v>
      </c>
      <c r="Z172" s="103">
        <v>1.54428964E8</v>
      </c>
      <c r="AA172" s="99">
        <v>349209.366945279</v>
      </c>
      <c r="AB172" s="100">
        <f t="shared" si="74"/>
        <v>0.00335937886</v>
      </c>
      <c r="AC172" s="101">
        <f t="shared" si="13"/>
        <v>0.07286047855</v>
      </c>
      <c r="AD172" s="98">
        <v>70.52001979592274</v>
      </c>
      <c r="AE172" s="99">
        <v>1.51576304E8</v>
      </c>
      <c r="AF172" s="99">
        <v>349524.02110103</v>
      </c>
      <c r="AG172" s="100">
        <f t="shared" si="75"/>
        <v>0.003727540017</v>
      </c>
      <c r="AH172" s="101">
        <f t="shared" si="15"/>
        <v>0.080918252</v>
      </c>
      <c r="AI172" s="102">
        <v>17.1526885776405</v>
      </c>
      <c r="AJ172" s="99">
        <v>2.6311076528E10</v>
      </c>
      <c r="AK172" s="99">
        <v>51259.414372873005</v>
      </c>
      <c r="AL172" s="100">
        <f t="shared" si="76"/>
        <v>0.002332560272</v>
      </c>
      <c r="AM172" s="100">
        <f t="shared" si="17"/>
        <v>0.007425978109</v>
      </c>
      <c r="AN172" s="104">
        <f t="shared" si="18"/>
        <v>0.1612047087</v>
      </c>
      <c r="AO172" s="97">
        <f t="shared" si="19"/>
        <v>2595.557014</v>
      </c>
    </row>
    <row r="173" ht="15.75" customHeight="1">
      <c r="A173" s="95">
        <v>40302.0</v>
      </c>
      <c r="B173" s="60" t="s">
        <v>151</v>
      </c>
      <c r="C173" s="60" t="s">
        <v>793</v>
      </c>
      <c r="D173" s="108"/>
      <c r="E173" s="109">
        <v>2013.5</v>
      </c>
      <c r="F173" s="110"/>
      <c r="G173" s="99">
        <v>9.101262E7</v>
      </c>
      <c r="H173" s="99">
        <f t="shared" si="1"/>
        <v>205805.9275</v>
      </c>
      <c r="I173" s="100">
        <f t="shared" si="71"/>
        <v>0</v>
      </c>
      <c r="J173" s="101">
        <f t="shared" si="3"/>
        <v>0</v>
      </c>
      <c r="K173" s="111"/>
      <c r="L173" s="103">
        <v>1.167634E8</v>
      </c>
      <c r="M173" s="99">
        <f t="shared" si="4"/>
        <v>316484.4766</v>
      </c>
      <c r="N173" s="100">
        <f t="shared" si="72"/>
        <v>0</v>
      </c>
      <c r="O173" s="101">
        <f t="shared" si="6"/>
        <v>0</v>
      </c>
      <c r="P173" s="110"/>
      <c r="Q173" s="99">
        <v>1.6330426269E10</v>
      </c>
      <c r="R173" s="99">
        <f t="shared" si="7"/>
        <v>31815.04512</v>
      </c>
      <c r="S173" s="100">
        <f t="shared" si="73"/>
        <v>0</v>
      </c>
      <c r="T173" s="101">
        <f t="shared" si="9"/>
        <v>0</v>
      </c>
      <c r="U173" s="100">
        <f t="shared" si="10"/>
        <v>0</v>
      </c>
      <c r="V173" s="99">
        <f t="shared" si="11"/>
        <v>0</v>
      </c>
      <c r="W173" s="108">
        <v>186.0</v>
      </c>
      <c r="X173" s="97">
        <v>2504.0</v>
      </c>
      <c r="Y173" s="110">
        <v>133.1974619820233</v>
      </c>
      <c r="Z173" s="103">
        <v>1.54428964E8</v>
      </c>
      <c r="AA173" s="99">
        <v>349209.366945279</v>
      </c>
      <c r="AB173" s="100">
        <f t="shared" si="74"/>
        <v>0.00136291914</v>
      </c>
      <c r="AC173" s="101">
        <f t="shared" si="13"/>
        <v>0.1900735344</v>
      </c>
      <c r="AD173" s="110">
        <v>41.371811509717375</v>
      </c>
      <c r="AE173" s="99">
        <v>1.51576304E8</v>
      </c>
      <c r="AF173" s="99">
        <v>349524.02110103</v>
      </c>
      <c r="AG173" s="100">
        <f t="shared" si="75"/>
        <v>0.002186826995</v>
      </c>
      <c r="AH173" s="101">
        <f t="shared" si="15"/>
        <v>0.3052510242</v>
      </c>
      <c r="AI173" s="111">
        <v>11.420258118216765</v>
      </c>
      <c r="AJ173" s="99">
        <v>2.6311076528E10</v>
      </c>
      <c r="AK173" s="99">
        <v>51259.414372873005</v>
      </c>
      <c r="AL173" s="100">
        <f t="shared" si="76"/>
        <v>0.001553018366</v>
      </c>
      <c r="AM173" s="100">
        <f t="shared" si="17"/>
        <v>0.0317918578</v>
      </c>
      <c r="AN173" s="104">
        <f t="shared" si="18"/>
        <v>0.5271164165</v>
      </c>
      <c r="AO173" s="97">
        <f t="shared" si="19"/>
        <v>1319.899507</v>
      </c>
    </row>
    <row r="174" ht="15.75" customHeight="1">
      <c r="A174" s="95">
        <v>40401.0</v>
      </c>
      <c r="B174" s="60" t="s">
        <v>151</v>
      </c>
      <c r="C174" s="60" t="s">
        <v>161</v>
      </c>
      <c r="D174" s="96">
        <v>1.0</v>
      </c>
      <c r="E174" s="97">
        <v>4808.75</v>
      </c>
      <c r="F174" s="98">
        <v>0.080360592401803</v>
      </c>
      <c r="G174" s="99">
        <v>9.101262E7</v>
      </c>
      <c r="H174" s="99">
        <f t="shared" si="1"/>
        <v>205805.9275</v>
      </c>
      <c r="I174" s="100">
        <f t="shared" si="71"/>
        <v>0.000001213531591</v>
      </c>
      <c r="J174" s="101">
        <f t="shared" si="3"/>
        <v>0.00005193698875</v>
      </c>
      <c r="K174" s="102">
        <v>0.917192530585963</v>
      </c>
      <c r="L174" s="103">
        <v>1.167634E8</v>
      </c>
      <c r="M174" s="99">
        <f t="shared" si="4"/>
        <v>316484.4766</v>
      </c>
      <c r="N174" s="100">
        <f t="shared" si="72"/>
        <v>0.00006094961304</v>
      </c>
      <c r="O174" s="101">
        <f t="shared" si="6"/>
        <v>0.004011355629</v>
      </c>
      <c r="P174" s="98">
        <v>0.00218931101094656</v>
      </c>
      <c r="Q174" s="99">
        <v>1.6330426269E10</v>
      </c>
      <c r="R174" s="99">
        <f t="shared" si="7"/>
        <v>31815.04512</v>
      </c>
      <c r="S174" s="100">
        <f t="shared" si="73"/>
        <v>0.0000004089724627</v>
      </c>
      <c r="T174" s="101">
        <f t="shared" si="9"/>
        <v>0.000002705792015</v>
      </c>
      <c r="U174" s="100">
        <f t="shared" si="10"/>
        <v>0.00406599841</v>
      </c>
      <c r="V174" s="99">
        <f t="shared" si="11"/>
        <v>19.55236985</v>
      </c>
      <c r="W174" s="96">
        <v>28.0</v>
      </c>
      <c r="X174" s="97">
        <v>6683.0</v>
      </c>
      <c r="Y174" s="98">
        <v>18.23532772736824</v>
      </c>
      <c r="Z174" s="103">
        <v>1.54428964E8</v>
      </c>
      <c r="AA174" s="99">
        <v>349209.366945279</v>
      </c>
      <c r="AB174" s="100">
        <f t="shared" si="74"/>
        <v>0.0001865897204</v>
      </c>
      <c r="AC174" s="101">
        <f t="shared" si="13"/>
        <v>0.009749944359</v>
      </c>
      <c r="AD174" s="98">
        <v>7.499558578407115</v>
      </c>
      <c r="AE174" s="99">
        <v>1.51576304E8</v>
      </c>
      <c r="AF174" s="99">
        <v>349524.02110103</v>
      </c>
      <c r="AG174" s="100">
        <f t="shared" si="75"/>
        <v>0.0003964109027</v>
      </c>
      <c r="AH174" s="101">
        <f t="shared" si="15"/>
        <v>0.02073247535</v>
      </c>
      <c r="AI174" s="102">
        <v>2.262340254256656</v>
      </c>
      <c r="AJ174" s="99">
        <v>2.6311076528E10</v>
      </c>
      <c r="AK174" s="99">
        <v>51259.414372873005</v>
      </c>
      <c r="AL174" s="100">
        <f t="shared" si="76"/>
        <v>0.0003076511869</v>
      </c>
      <c r="AM174" s="100">
        <f t="shared" si="17"/>
        <v>0.002359721632</v>
      </c>
      <c r="AN174" s="104">
        <f t="shared" si="18"/>
        <v>0.03284214134</v>
      </c>
      <c r="AO174" s="97">
        <f t="shared" si="19"/>
        <v>219.4840306</v>
      </c>
    </row>
    <row r="175" ht="15.75" customHeight="1">
      <c r="A175" s="95">
        <v>40402.0</v>
      </c>
      <c r="B175" s="60" t="s">
        <v>151</v>
      </c>
      <c r="C175" s="60" t="s">
        <v>181</v>
      </c>
      <c r="D175" s="96">
        <v>0.0</v>
      </c>
      <c r="E175" s="97">
        <v>5356.0</v>
      </c>
      <c r="F175" s="98">
        <v>0.0</v>
      </c>
      <c r="G175" s="99">
        <v>9.101262E7</v>
      </c>
      <c r="H175" s="99">
        <f t="shared" si="1"/>
        <v>205805.9275</v>
      </c>
      <c r="I175" s="100">
        <f t="shared" si="71"/>
        <v>0</v>
      </c>
      <c r="J175" s="101">
        <f t="shared" si="3"/>
        <v>0</v>
      </c>
      <c r="K175" s="102">
        <v>0.0</v>
      </c>
      <c r="L175" s="103">
        <v>1.167634E8</v>
      </c>
      <c r="M175" s="99">
        <f t="shared" si="4"/>
        <v>316484.4766</v>
      </c>
      <c r="N175" s="100">
        <f t="shared" si="72"/>
        <v>0</v>
      </c>
      <c r="O175" s="101">
        <f t="shared" si="6"/>
        <v>0</v>
      </c>
      <c r="P175" s="98">
        <v>0.0</v>
      </c>
      <c r="Q175" s="99">
        <v>1.6330426269E10</v>
      </c>
      <c r="R175" s="99">
        <f t="shared" si="7"/>
        <v>31815.04512</v>
      </c>
      <c r="S175" s="100">
        <f t="shared" si="73"/>
        <v>0</v>
      </c>
      <c r="T175" s="101">
        <f t="shared" si="9"/>
        <v>0</v>
      </c>
      <c r="U175" s="100">
        <f t="shared" si="10"/>
        <v>0</v>
      </c>
      <c r="V175" s="99">
        <f t="shared" si="11"/>
        <v>0</v>
      </c>
      <c r="W175" s="96">
        <v>400.0</v>
      </c>
      <c r="X175" s="97">
        <v>5803.0</v>
      </c>
      <c r="Y175" s="98">
        <v>279.9612478745854</v>
      </c>
      <c r="Z175" s="103">
        <v>1.54428964E8</v>
      </c>
      <c r="AA175" s="99">
        <v>349209.366945279</v>
      </c>
      <c r="AB175" s="100">
        <f t="shared" si="74"/>
        <v>0.002864653257</v>
      </c>
      <c r="AC175" s="101">
        <f t="shared" si="13"/>
        <v>0.1723873428</v>
      </c>
      <c r="AD175" s="98">
        <v>94.33144176014798</v>
      </c>
      <c r="AE175" s="99">
        <v>1.51576304E8</v>
      </c>
      <c r="AF175" s="99">
        <v>349524.02110103</v>
      </c>
      <c r="AG175" s="100">
        <f t="shared" si="75"/>
        <v>0.004986161731</v>
      </c>
      <c r="AH175" s="101">
        <f t="shared" si="15"/>
        <v>0.3003245387</v>
      </c>
      <c r="AI175" s="102">
        <v>25.67655388036605</v>
      </c>
      <c r="AJ175" s="99">
        <v>2.6311076528E10</v>
      </c>
      <c r="AK175" s="99">
        <v>51259.414372873005</v>
      </c>
      <c r="AL175" s="100">
        <f t="shared" si="76"/>
        <v>0.003491703894</v>
      </c>
      <c r="AM175" s="100">
        <f t="shared" si="17"/>
        <v>0.03084313231</v>
      </c>
      <c r="AN175" s="104">
        <f t="shared" si="18"/>
        <v>0.5035550139</v>
      </c>
      <c r="AO175" s="97">
        <f t="shared" si="19"/>
        <v>2922.129745</v>
      </c>
    </row>
    <row r="176" ht="15.75" customHeight="1">
      <c r="A176" s="95">
        <v>40501.0</v>
      </c>
      <c r="B176" s="60" t="s">
        <v>151</v>
      </c>
      <c r="C176" s="60" t="s">
        <v>166</v>
      </c>
      <c r="D176" s="96">
        <v>33.0</v>
      </c>
      <c r="E176" s="97">
        <v>1755.0</v>
      </c>
      <c r="F176" s="98">
        <v>20.41939724032405</v>
      </c>
      <c r="G176" s="99">
        <v>9.101262E7</v>
      </c>
      <c r="H176" s="99">
        <f t="shared" si="1"/>
        <v>205805.9275</v>
      </c>
      <c r="I176" s="100">
        <f t="shared" si="71"/>
        <v>0.0003083549148</v>
      </c>
      <c r="J176" s="101">
        <f t="shared" si="3"/>
        <v>0.03616026737</v>
      </c>
      <c r="K176" s="102">
        <v>10.70249621438294</v>
      </c>
      <c r="L176" s="103">
        <v>1.167634E8</v>
      </c>
      <c r="M176" s="99">
        <f t="shared" si="4"/>
        <v>316484.4766</v>
      </c>
      <c r="N176" s="100">
        <f t="shared" si="72"/>
        <v>0.0007112061874</v>
      </c>
      <c r="O176" s="101">
        <f t="shared" si="6"/>
        <v>0.1282539704</v>
      </c>
      <c r="P176" s="98">
        <v>1.875270652042991</v>
      </c>
      <c r="Q176" s="99">
        <v>1.6330426269E10</v>
      </c>
      <c r="R176" s="99">
        <f t="shared" si="7"/>
        <v>31815.04512</v>
      </c>
      <c r="S176" s="100">
        <f t="shared" si="73"/>
        <v>0.0003503084089</v>
      </c>
      <c r="T176" s="101">
        <f t="shared" si="9"/>
        <v>0.006350471701</v>
      </c>
      <c r="U176" s="100">
        <f t="shared" si="10"/>
        <v>0.1707647094</v>
      </c>
      <c r="V176" s="99">
        <f t="shared" si="11"/>
        <v>299.6920651</v>
      </c>
      <c r="W176" s="96">
        <v>457.0</v>
      </c>
      <c r="X176" s="97">
        <v>4011.0</v>
      </c>
      <c r="Y176" s="98">
        <v>328.5298657384343</v>
      </c>
      <c r="Z176" s="103">
        <v>1.54428964E8</v>
      </c>
      <c r="AA176" s="99">
        <v>349209.366945279</v>
      </c>
      <c r="AB176" s="100">
        <f t="shared" si="74"/>
        <v>0.003361622929</v>
      </c>
      <c r="AC176" s="101">
        <f t="shared" si="13"/>
        <v>0.2926727038</v>
      </c>
      <c r="AD176" s="98">
        <v>100.070022720595</v>
      </c>
      <c r="AE176" s="99">
        <v>1.51576304E8</v>
      </c>
      <c r="AF176" s="99">
        <v>349524.02110103</v>
      </c>
      <c r="AG176" s="100">
        <f t="shared" si="75"/>
        <v>0.005289491059</v>
      </c>
      <c r="AH176" s="101">
        <f t="shared" si="15"/>
        <v>0.460933479</v>
      </c>
      <c r="AI176" s="102">
        <v>28.37350537273408</v>
      </c>
      <c r="AJ176" s="99">
        <v>2.6311076528E10</v>
      </c>
      <c r="AK176" s="99">
        <v>51259.414372873005</v>
      </c>
      <c r="AL176" s="100">
        <f t="shared" si="76"/>
        <v>0.003858457006</v>
      </c>
      <c r="AM176" s="100">
        <f t="shared" si="17"/>
        <v>0.04930995924</v>
      </c>
      <c r="AN176" s="104">
        <f t="shared" si="18"/>
        <v>0.802916142</v>
      </c>
      <c r="AO176" s="97">
        <f t="shared" si="19"/>
        <v>3220.496646</v>
      </c>
    </row>
    <row r="177" ht="15.75" customHeight="1">
      <c r="A177" s="95">
        <v>40502.0</v>
      </c>
      <c r="B177" s="60" t="s">
        <v>151</v>
      </c>
      <c r="C177" s="60" t="s">
        <v>162</v>
      </c>
      <c r="D177" s="96">
        <v>3.0</v>
      </c>
      <c r="E177" s="97">
        <v>4225.0</v>
      </c>
      <c r="F177" s="98">
        <v>2.671872274131666</v>
      </c>
      <c r="G177" s="99">
        <v>9.101262E7</v>
      </c>
      <c r="H177" s="99">
        <f t="shared" si="1"/>
        <v>205805.9275</v>
      </c>
      <c r="I177" s="100">
        <f t="shared" si="71"/>
        <v>0.00004034815219</v>
      </c>
      <c r="J177" s="101">
        <f t="shared" si="3"/>
        <v>0.001965417487</v>
      </c>
      <c r="K177" s="102">
        <v>0.1168308322381018</v>
      </c>
      <c r="L177" s="103">
        <v>1.167634E8</v>
      </c>
      <c r="M177" s="99">
        <f t="shared" si="4"/>
        <v>316484.4766</v>
      </c>
      <c r="N177" s="100">
        <f t="shared" si="72"/>
        <v>0.000007763685135</v>
      </c>
      <c r="O177" s="101">
        <f t="shared" si="6"/>
        <v>0.0005815587755</v>
      </c>
      <c r="P177" s="98">
        <v>0.2112968936302342</v>
      </c>
      <c r="Q177" s="99">
        <v>1.6330426269E10</v>
      </c>
      <c r="R177" s="99">
        <f t="shared" si="7"/>
        <v>31815.04512</v>
      </c>
      <c r="S177" s="100">
        <f t="shared" si="73"/>
        <v>0.00003947114436</v>
      </c>
      <c r="T177" s="101">
        <f t="shared" si="9"/>
        <v>0.0002972251452</v>
      </c>
      <c r="U177" s="100">
        <f t="shared" si="10"/>
        <v>0.002844201408</v>
      </c>
      <c r="V177" s="99">
        <f t="shared" si="11"/>
        <v>12.01675095</v>
      </c>
      <c r="W177" s="96">
        <v>3259.0</v>
      </c>
      <c r="X177" s="97">
        <v>4231.0</v>
      </c>
      <c r="Y177" s="98">
        <v>2587.350225533925</v>
      </c>
      <c r="Z177" s="103">
        <v>1.54428964E8</v>
      </c>
      <c r="AA177" s="99">
        <v>349209.366945279</v>
      </c>
      <c r="AB177" s="100">
        <f t="shared" si="74"/>
        <v>0.02647459714</v>
      </c>
      <c r="AC177" s="101">
        <f t="shared" si="13"/>
        <v>2.185104539</v>
      </c>
      <c r="AD177" s="98">
        <v>468.9481941438913</v>
      </c>
      <c r="AE177" s="99">
        <v>1.51576304E8</v>
      </c>
      <c r="AF177" s="99">
        <v>349524.02110103</v>
      </c>
      <c r="AG177" s="100">
        <f t="shared" si="75"/>
        <v>0.02478761584</v>
      </c>
      <c r="AH177" s="101">
        <f t="shared" si="15"/>
        <v>2.047711454</v>
      </c>
      <c r="AI177" s="102">
        <v>202.5552738520366</v>
      </c>
      <c r="AJ177" s="99">
        <v>2.6311076528E10</v>
      </c>
      <c r="AK177" s="99">
        <v>51259.414372873005</v>
      </c>
      <c r="AL177" s="100">
        <f t="shared" si="76"/>
        <v>0.02754509199</v>
      </c>
      <c r="AM177" s="100">
        <f t="shared" si="17"/>
        <v>0.3337143191</v>
      </c>
      <c r="AN177" s="104">
        <f t="shared" si="18"/>
        <v>4.566530312</v>
      </c>
      <c r="AO177" s="97">
        <f t="shared" si="19"/>
        <v>19320.98975</v>
      </c>
    </row>
    <row r="178" ht="15.75" customHeight="1">
      <c r="A178" s="95">
        <v>40503.0</v>
      </c>
      <c r="B178" s="60" t="s">
        <v>151</v>
      </c>
      <c r="C178" s="60" t="s">
        <v>794</v>
      </c>
      <c r="D178" s="108">
        <v>0.0</v>
      </c>
      <c r="E178" s="109">
        <v>1854.5</v>
      </c>
      <c r="F178" s="110">
        <v>0.0</v>
      </c>
      <c r="G178" s="99">
        <v>9.101262E7</v>
      </c>
      <c r="H178" s="99">
        <f t="shared" si="1"/>
        <v>205805.9275</v>
      </c>
      <c r="I178" s="100">
        <f t="shared" si="71"/>
        <v>0</v>
      </c>
      <c r="J178" s="101">
        <f t="shared" si="3"/>
        <v>0</v>
      </c>
      <c r="K178" s="111">
        <v>0.0</v>
      </c>
      <c r="L178" s="103">
        <v>1.167634E8</v>
      </c>
      <c r="M178" s="99">
        <f t="shared" si="4"/>
        <v>316484.4766</v>
      </c>
      <c r="N178" s="100">
        <f t="shared" si="72"/>
        <v>0</v>
      </c>
      <c r="O178" s="101">
        <f t="shared" si="6"/>
        <v>0</v>
      </c>
      <c r="P178" s="110">
        <v>0.0</v>
      </c>
      <c r="Q178" s="99">
        <v>1.6330426269E10</v>
      </c>
      <c r="R178" s="99">
        <f t="shared" si="7"/>
        <v>31815.04512</v>
      </c>
      <c r="S178" s="100">
        <f t="shared" si="73"/>
        <v>0</v>
      </c>
      <c r="T178" s="101">
        <f t="shared" si="9"/>
        <v>0</v>
      </c>
      <c r="U178" s="100">
        <f t="shared" si="10"/>
        <v>0</v>
      </c>
      <c r="V178" s="99">
        <f t="shared" si="11"/>
        <v>0</v>
      </c>
      <c r="W178" s="108">
        <v>1190.0</v>
      </c>
      <c r="X178" s="97">
        <v>1517.0</v>
      </c>
      <c r="Y178" s="110">
        <v>834.1050122608463</v>
      </c>
      <c r="Z178" s="103">
        <v>1.54428964E8</v>
      </c>
      <c r="AA178" s="99">
        <v>349209.366945279</v>
      </c>
      <c r="AB178" s="100">
        <f t="shared" si="74"/>
        <v>0.008534829939</v>
      </c>
      <c r="AC178" s="101">
        <f t="shared" si="13"/>
        <v>1.964695162</v>
      </c>
      <c r="AD178" s="110">
        <v>303.5584115458114</v>
      </c>
      <c r="AE178" s="99">
        <v>1.51576304E8</v>
      </c>
      <c r="AF178" s="99">
        <v>349524.02110103</v>
      </c>
      <c r="AG178" s="100">
        <f t="shared" si="75"/>
        <v>0.01604545957</v>
      </c>
      <c r="AH178" s="101">
        <f t="shared" si="15"/>
        <v>3.696950263</v>
      </c>
      <c r="AI178" s="111">
        <v>52.25217927157928</v>
      </c>
      <c r="AJ178" s="99">
        <v>2.6311076528E10</v>
      </c>
      <c r="AK178" s="99">
        <v>51259.414372873005</v>
      </c>
      <c r="AL178" s="100">
        <f t="shared" si="76"/>
        <v>0.007105670749</v>
      </c>
      <c r="AM178" s="100">
        <f t="shared" si="17"/>
        <v>0.2401005414</v>
      </c>
      <c r="AN178" s="104">
        <f t="shared" si="18"/>
        <v>5.901745966</v>
      </c>
      <c r="AO178" s="97">
        <f t="shared" si="19"/>
        <v>8952.948631</v>
      </c>
    </row>
    <row r="179" ht="15.75" customHeight="1">
      <c r="A179" s="95">
        <v>40504.0</v>
      </c>
      <c r="B179" s="60" t="s">
        <v>151</v>
      </c>
      <c r="C179" s="60" t="s">
        <v>795</v>
      </c>
      <c r="D179" s="108"/>
      <c r="E179" s="109">
        <v>604.25</v>
      </c>
      <c r="F179" s="110"/>
      <c r="G179" s="99">
        <v>9.101262E7</v>
      </c>
      <c r="H179" s="99">
        <f t="shared" si="1"/>
        <v>205805.9275</v>
      </c>
      <c r="I179" s="100">
        <f t="shared" si="71"/>
        <v>0</v>
      </c>
      <c r="J179" s="101">
        <f t="shared" si="3"/>
        <v>0</v>
      </c>
      <c r="K179" s="111"/>
      <c r="L179" s="103">
        <v>1.167634E8</v>
      </c>
      <c r="M179" s="99">
        <f t="shared" si="4"/>
        <v>316484.4766</v>
      </c>
      <c r="N179" s="100">
        <f t="shared" si="72"/>
        <v>0</v>
      </c>
      <c r="O179" s="101">
        <f t="shared" si="6"/>
        <v>0</v>
      </c>
      <c r="P179" s="110"/>
      <c r="Q179" s="99">
        <v>1.6330426269E10</v>
      </c>
      <c r="R179" s="99">
        <f t="shared" si="7"/>
        <v>31815.04512</v>
      </c>
      <c r="S179" s="100">
        <f t="shared" si="73"/>
        <v>0</v>
      </c>
      <c r="T179" s="101">
        <f t="shared" si="9"/>
        <v>0</v>
      </c>
      <c r="U179" s="100">
        <f t="shared" si="10"/>
        <v>0</v>
      </c>
      <c r="V179" s="99">
        <f t="shared" si="11"/>
        <v>0</v>
      </c>
      <c r="W179" s="108">
        <v>329.0</v>
      </c>
      <c r="X179" s="97">
        <v>875.0</v>
      </c>
      <c r="Y179" s="110">
        <v>247.13315100213492</v>
      </c>
      <c r="Z179" s="103">
        <v>1.54428964E8</v>
      </c>
      <c r="AA179" s="99">
        <v>349209.366945279</v>
      </c>
      <c r="AB179" s="100">
        <f t="shared" si="74"/>
        <v>0.002528745644</v>
      </c>
      <c r="AC179" s="101">
        <f t="shared" si="13"/>
        <v>1.009213332</v>
      </c>
      <c r="AD179" s="110">
        <v>58.86564016151564</v>
      </c>
      <c r="AE179" s="99">
        <v>1.51576304E8</v>
      </c>
      <c r="AF179" s="99">
        <v>349524.02110103</v>
      </c>
      <c r="AG179" s="100">
        <f t="shared" si="75"/>
        <v>0.003111514006</v>
      </c>
      <c r="AH179" s="101">
        <f t="shared" si="15"/>
        <v>1.242913014</v>
      </c>
      <c r="AI179" s="111">
        <v>22.986020707246972</v>
      </c>
      <c r="AJ179" s="99">
        <v>2.6311076528E10</v>
      </c>
      <c r="AK179" s="99">
        <v>51259.414372873005</v>
      </c>
      <c r="AL179" s="100">
        <f t="shared" si="76"/>
        <v>0.003125823597</v>
      </c>
      <c r="AM179" s="100">
        <f t="shared" si="17"/>
        <v>0.1831175852</v>
      </c>
      <c r="AN179" s="104">
        <f t="shared" si="18"/>
        <v>2.435243931</v>
      </c>
      <c r="AO179" s="97">
        <f t="shared" si="19"/>
        <v>2130.83844</v>
      </c>
    </row>
    <row r="180" ht="15.75" customHeight="1">
      <c r="A180" s="95">
        <v>40505.0</v>
      </c>
      <c r="B180" s="60" t="s">
        <v>151</v>
      </c>
      <c r="C180" s="60" t="s">
        <v>163</v>
      </c>
      <c r="D180" s="96">
        <v>715.0</v>
      </c>
      <c r="E180" s="97">
        <v>2997.0</v>
      </c>
      <c r="F180" s="98">
        <v>484.7020614067536</v>
      </c>
      <c r="G180" s="99">
        <v>9.101262E7</v>
      </c>
      <c r="H180" s="99">
        <f t="shared" si="1"/>
        <v>205805.9275</v>
      </c>
      <c r="I180" s="100">
        <f t="shared" si="71"/>
        <v>0.00731952374</v>
      </c>
      <c r="J180" s="101">
        <f t="shared" si="3"/>
        <v>0.5026364271</v>
      </c>
      <c r="K180" s="102">
        <v>187.8249868906227</v>
      </c>
      <c r="L180" s="103">
        <v>1.167634E8</v>
      </c>
      <c r="M180" s="99">
        <f t="shared" si="4"/>
        <v>316484.4766</v>
      </c>
      <c r="N180" s="100">
        <f t="shared" si="72"/>
        <v>0.01248141463</v>
      </c>
      <c r="O180" s="101">
        <f t="shared" si="6"/>
        <v>1.318042702</v>
      </c>
      <c r="P180" s="98">
        <v>42.42452734033541</v>
      </c>
      <c r="Q180" s="99">
        <v>1.6330426269E10</v>
      </c>
      <c r="R180" s="99">
        <f t="shared" si="7"/>
        <v>31815.04512</v>
      </c>
      <c r="S180" s="100">
        <f t="shared" si="73"/>
        <v>0.007925079324</v>
      </c>
      <c r="T180" s="101">
        <f t="shared" si="9"/>
        <v>0.08412971514</v>
      </c>
      <c r="U180" s="100">
        <f t="shared" si="10"/>
        <v>1.904808844</v>
      </c>
      <c r="V180" s="99">
        <f t="shared" si="11"/>
        <v>5708.712105</v>
      </c>
      <c r="W180" s="96">
        <v>1365.0</v>
      </c>
      <c r="X180" s="97">
        <v>3882.0</v>
      </c>
      <c r="Y180" s="98">
        <v>940.514041766652</v>
      </c>
      <c r="Z180" s="103">
        <v>1.54428964E8</v>
      </c>
      <c r="AA180" s="99">
        <v>349209.366945279</v>
      </c>
      <c r="AB180" s="100">
        <f t="shared" si="74"/>
        <v>0.009623641249</v>
      </c>
      <c r="AC180" s="101">
        <f t="shared" si="13"/>
        <v>0.8657047059</v>
      </c>
      <c r="AD180" s="98">
        <v>350.8001338016735</v>
      </c>
      <c r="AE180" s="99">
        <v>1.51576304E8</v>
      </c>
      <c r="AF180" s="99">
        <v>349524.02110103</v>
      </c>
      <c r="AG180" s="100">
        <f t="shared" si="75"/>
        <v>0.01854255771</v>
      </c>
      <c r="AH180" s="101">
        <f t="shared" si="15"/>
        <v>1.669518117</v>
      </c>
      <c r="AI180" s="102">
        <v>73.59667990219906</v>
      </c>
      <c r="AJ180" s="99">
        <v>2.6311076528E10</v>
      </c>
      <c r="AK180" s="99">
        <v>51259.414372873005</v>
      </c>
      <c r="AL180" s="100">
        <f t="shared" si="76"/>
        <v>0.01000826727</v>
      </c>
      <c r="AM180" s="100">
        <f t="shared" si="17"/>
        <v>0.1321529931</v>
      </c>
      <c r="AN180" s="104">
        <f t="shared" si="18"/>
        <v>2.667375816</v>
      </c>
      <c r="AO180" s="97">
        <f t="shared" si="19"/>
        <v>10354.75292</v>
      </c>
    </row>
    <row r="181" ht="15.75" customHeight="1">
      <c r="A181" s="95">
        <v>40601.0</v>
      </c>
      <c r="B181" s="60" t="s">
        <v>151</v>
      </c>
      <c r="C181" s="60" t="s">
        <v>796</v>
      </c>
      <c r="D181" s="108">
        <v>3.0</v>
      </c>
      <c r="E181" s="109">
        <v>7987.5</v>
      </c>
      <c r="F181" s="110">
        <v>1.0</v>
      </c>
      <c r="G181" s="99">
        <v>9.101262E7</v>
      </c>
      <c r="H181" s="99">
        <f t="shared" si="1"/>
        <v>205805.9275</v>
      </c>
      <c r="I181" s="100">
        <f t="shared" si="71"/>
        <v>0.00001510107821</v>
      </c>
      <c r="J181" s="101">
        <f t="shared" si="3"/>
        <v>0.0003890943859</v>
      </c>
      <c r="K181" s="111">
        <v>2.0</v>
      </c>
      <c r="L181" s="103">
        <v>1.167634E8</v>
      </c>
      <c r="M181" s="99">
        <f t="shared" si="4"/>
        <v>316484.4766</v>
      </c>
      <c r="N181" s="100">
        <f t="shared" si="72"/>
        <v>0.0001329047305</v>
      </c>
      <c r="O181" s="101">
        <f t="shared" si="6"/>
        <v>0.005266013655</v>
      </c>
      <c r="P181" s="110">
        <v>0.0</v>
      </c>
      <c r="Q181" s="99">
        <v>1.6330426269E10</v>
      </c>
      <c r="R181" s="99">
        <f t="shared" si="7"/>
        <v>31815.04512</v>
      </c>
      <c r="S181" s="100">
        <f t="shared" si="73"/>
        <v>0</v>
      </c>
      <c r="T181" s="101">
        <f t="shared" si="9"/>
        <v>0</v>
      </c>
      <c r="U181" s="100">
        <f t="shared" si="10"/>
        <v>0.005655108041</v>
      </c>
      <c r="V181" s="99">
        <f t="shared" si="11"/>
        <v>45.17017547</v>
      </c>
      <c r="W181" s="108">
        <v>729.0</v>
      </c>
      <c r="X181" s="97">
        <v>9189.0</v>
      </c>
      <c r="Y181" s="110">
        <v>543.2577580181072</v>
      </c>
      <c r="Z181" s="103">
        <v>1.54428964E8</v>
      </c>
      <c r="AA181" s="99">
        <v>349209.366945279</v>
      </c>
      <c r="AB181" s="100">
        <f t="shared" si="74"/>
        <v>0.005558787575</v>
      </c>
      <c r="AC181" s="101">
        <f t="shared" si="13"/>
        <v>0.2112504832</v>
      </c>
      <c r="AD181" s="110">
        <v>138.58106461974606</v>
      </c>
      <c r="AE181" s="99">
        <v>1.51576304E8</v>
      </c>
      <c r="AF181" s="99">
        <v>349524.02110103</v>
      </c>
      <c r="AG181" s="100">
        <f t="shared" si="75"/>
        <v>0.007325103785</v>
      </c>
      <c r="AH181" s="101">
        <f t="shared" si="15"/>
        <v>0.2786265894</v>
      </c>
      <c r="AI181" s="111">
        <v>47.11982052619375</v>
      </c>
      <c r="AJ181" s="99">
        <v>2.6311076528E10</v>
      </c>
      <c r="AK181" s="99">
        <v>51259.414372873005</v>
      </c>
      <c r="AL181" s="100">
        <f t="shared" si="76"/>
        <v>0.006407731411</v>
      </c>
      <c r="AM181" s="100">
        <f t="shared" si="17"/>
        <v>0.03574453799</v>
      </c>
      <c r="AN181" s="104">
        <f t="shared" si="18"/>
        <v>0.5256216106</v>
      </c>
      <c r="AO181" s="97">
        <f t="shared" si="19"/>
        <v>4829.936979</v>
      </c>
    </row>
    <row r="182" ht="15.75" customHeight="1">
      <c r="A182" s="95">
        <v>40602.0</v>
      </c>
      <c r="B182" s="60" t="s">
        <v>151</v>
      </c>
      <c r="C182" s="60" t="s">
        <v>170</v>
      </c>
      <c r="D182" s="96">
        <v>4.0</v>
      </c>
      <c r="E182" s="97">
        <v>5529.0</v>
      </c>
      <c r="F182" s="98">
        <v>3.370871713431118</v>
      </c>
      <c r="G182" s="99">
        <v>9.101262E7</v>
      </c>
      <c r="H182" s="99">
        <f t="shared" si="1"/>
        <v>205805.9275</v>
      </c>
      <c r="I182" s="100">
        <f t="shared" si="71"/>
        <v>0.00005090379739</v>
      </c>
      <c r="J182" s="101">
        <f t="shared" si="3"/>
        <v>0.001894791686</v>
      </c>
      <c r="K182" s="102">
        <v>0.2476768531272326</v>
      </c>
      <c r="L182" s="103">
        <v>1.167634E8</v>
      </c>
      <c r="M182" s="99">
        <f t="shared" si="4"/>
        <v>316484.4766</v>
      </c>
      <c r="N182" s="100">
        <f t="shared" si="72"/>
        <v>0.0000164587127</v>
      </c>
      <c r="O182" s="101">
        <f t="shared" si="6"/>
        <v>0.0009421101603</v>
      </c>
      <c r="P182" s="98">
        <v>0.3814514334416514</v>
      </c>
      <c r="Q182" s="99">
        <v>1.6330426269E10</v>
      </c>
      <c r="R182" s="99">
        <f t="shared" si="7"/>
        <v>31815.04512</v>
      </c>
      <c r="S182" s="100">
        <f t="shared" si="73"/>
        <v>0.00007125672477</v>
      </c>
      <c r="T182" s="101">
        <f t="shared" si="9"/>
        <v>0.0004100263906</v>
      </c>
      <c r="U182" s="100">
        <f t="shared" si="10"/>
        <v>0.003246928237</v>
      </c>
      <c r="V182" s="99">
        <f t="shared" si="11"/>
        <v>17.95226622</v>
      </c>
      <c r="W182" s="96">
        <v>71.0</v>
      </c>
      <c r="X182" s="97">
        <v>4251.0</v>
      </c>
      <c r="Y182" s="98">
        <v>55.4243321086</v>
      </c>
      <c r="Z182" s="103">
        <v>1.54428964E8</v>
      </c>
      <c r="AA182" s="99">
        <v>349209.366945279</v>
      </c>
      <c r="AB182" s="100">
        <f t="shared" si="74"/>
        <v>0.0005671195378</v>
      </c>
      <c r="AC182" s="101">
        <f t="shared" si="13"/>
        <v>0.04658749819</v>
      </c>
      <c r="AD182" s="98">
        <v>10.18018444322367</v>
      </c>
      <c r="AE182" s="99">
        <v>1.51576304E8</v>
      </c>
      <c r="AF182" s="99">
        <v>349524.02110103</v>
      </c>
      <c r="AG182" s="100">
        <f t="shared" si="75"/>
        <v>0.0005381031514</v>
      </c>
      <c r="AH182" s="101">
        <f t="shared" si="15"/>
        <v>0.04424370201</v>
      </c>
      <c r="AI182" s="102">
        <v>5.393561017216872</v>
      </c>
      <c r="AJ182" s="99">
        <v>2.6311076528E10</v>
      </c>
      <c r="AK182" s="99">
        <v>51259.414372873005</v>
      </c>
      <c r="AL182" s="100">
        <f t="shared" si="76"/>
        <v>0.0007334597195</v>
      </c>
      <c r="AM182" s="100">
        <f t="shared" si="17"/>
        <v>0.008844205055</v>
      </c>
      <c r="AN182" s="104">
        <f t="shared" si="18"/>
        <v>0.09967540525</v>
      </c>
      <c r="AO182" s="97">
        <f t="shared" si="19"/>
        <v>423.7201477</v>
      </c>
    </row>
    <row r="183" ht="15.75" customHeight="1">
      <c r="A183" s="95">
        <v>40603.0</v>
      </c>
      <c r="B183" s="60" t="s">
        <v>151</v>
      </c>
      <c r="C183" s="60" t="s">
        <v>480</v>
      </c>
      <c r="D183" s="108"/>
      <c r="E183" s="109">
        <v>3364.5</v>
      </c>
      <c r="F183" s="110"/>
      <c r="G183" s="99">
        <v>9.101262E7</v>
      </c>
      <c r="H183" s="99">
        <f t="shared" si="1"/>
        <v>205805.9275</v>
      </c>
      <c r="I183" s="100">
        <f t="shared" si="71"/>
        <v>0</v>
      </c>
      <c r="J183" s="101">
        <f t="shared" si="3"/>
        <v>0</v>
      </c>
      <c r="K183" s="111"/>
      <c r="L183" s="103">
        <v>1.167634E8</v>
      </c>
      <c r="M183" s="99">
        <f t="shared" si="4"/>
        <v>316484.4766</v>
      </c>
      <c r="N183" s="100">
        <f t="shared" si="72"/>
        <v>0</v>
      </c>
      <c r="O183" s="101">
        <f t="shared" si="6"/>
        <v>0</v>
      </c>
      <c r="P183" s="110"/>
      <c r="Q183" s="99">
        <v>1.6330426269E10</v>
      </c>
      <c r="R183" s="99">
        <f t="shared" si="7"/>
        <v>31815.04512</v>
      </c>
      <c r="S183" s="100">
        <f t="shared" si="73"/>
        <v>0</v>
      </c>
      <c r="T183" s="101">
        <f t="shared" si="9"/>
        <v>0</v>
      </c>
      <c r="U183" s="100">
        <f t="shared" si="10"/>
        <v>0</v>
      </c>
      <c r="V183" s="99">
        <f t="shared" si="11"/>
        <v>0</v>
      </c>
      <c r="W183" s="96">
        <v>722.0</v>
      </c>
      <c r="X183" s="97">
        <v>3666.0</v>
      </c>
      <c r="Y183" s="98">
        <v>607.6135257815386</v>
      </c>
      <c r="Z183" s="103">
        <v>1.54428964E8</v>
      </c>
      <c r="AA183" s="99">
        <v>349209.366945279</v>
      </c>
      <c r="AB183" s="100">
        <f t="shared" si="74"/>
        <v>0.006217296426</v>
      </c>
      <c r="AC183" s="101">
        <f t="shared" si="13"/>
        <v>0.5922362654</v>
      </c>
      <c r="AD183" s="98">
        <v>75.54065048744067</v>
      </c>
      <c r="AE183" s="99">
        <v>1.51576304E8</v>
      </c>
      <c r="AF183" s="99">
        <v>349524.02110103</v>
      </c>
      <c r="AG183" s="100">
        <f t="shared" si="75"/>
        <v>0.003992920002</v>
      </c>
      <c r="AH183" s="101">
        <f t="shared" si="15"/>
        <v>0.3806932501</v>
      </c>
      <c r="AI183" s="102">
        <v>38.82503835541069</v>
      </c>
      <c r="AJ183" s="99">
        <v>2.6311076528E10</v>
      </c>
      <c r="AK183" s="99">
        <v>51259.414372873005</v>
      </c>
      <c r="AL183" s="100">
        <f t="shared" si="76"/>
        <v>0.005279740352</v>
      </c>
      <c r="AM183" s="100">
        <f t="shared" si="17"/>
        <v>0.07382334928</v>
      </c>
      <c r="AN183" s="104">
        <f t="shared" si="18"/>
        <v>1.046752865</v>
      </c>
      <c r="AO183" s="97">
        <f t="shared" si="19"/>
        <v>3837.396002</v>
      </c>
    </row>
    <row r="184" ht="15.75" customHeight="1">
      <c r="A184" s="95">
        <v>40701.0</v>
      </c>
      <c r="B184" s="60" t="s">
        <v>151</v>
      </c>
      <c r="C184" s="60" t="s">
        <v>797</v>
      </c>
      <c r="D184" s="108">
        <v>82.0</v>
      </c>
      <c r="E184" s="109">
        <v>23537.25</v>
      </c>
      <c r="F184" s="110">
        <v>64.0</v>
      </c>
      <c r="G184" s="99">
        <v>9.101262E7</v>
      </c>
      <c r="H184" s="99">
        <f t="shared" si="1"/>
        <v>205805.9275</v>
      </c>
      <c r="I184" s="100">
        <f t="shared" si="71"/>
        <v>0.0009664690057</v>
      </c>
      <c r="J184" s="101">
        <f t="shared" si="3"/>
        <v>0.008450649506</v>
      </c>
      <c r="K184" s="111">
        <v>13.0</v>
      </c>
      <c r="L184" s="103">
        <v>1.167634E8</v>
      </c>
      <c r="M184" s="99">
        <f t="shared" si="4"/>
        <v>316484.4766</v>
      </c>
      <c r="N184" s="100">
        <f t="shared" si="72"/>
        <v>0.0008638807481</v>
      </c>
      <c r="O184" s="101">
        <f t="shared" si="6"/>
        <v>0.01161583645</v>
      </c>
      <c r="P184" s="110">
        <v>5.0</v>
      </c>
      <c r="Q184" s="99">
        <v>1.6330426269E10</v>
      </c>
      <c r="R184" s="99">
        <f t="shared" si="7"/>
        <v>31815.04512</v>
      </c>
      <c r="S184" s="100">
        <f t="shared" si="73"/>
        <v>0.0009340209333</v>
      </c>
      <c r="T184" s="101">
        <f t="shared" si="9"/>
        <v>0.001262505948</v>
      </c>
      <c r="U184" s="100">
        <f t="shared" si="10"/>
        <v>0.0213289919</v>
      </c>
      <c r="V184" s="99">
        <f t="shared" si="11"/>
        <v>502.0258147</v>
      </c>
      <c r="W184" s="108">
        <v>1158.0</v>
      </c>
      <c r="X184" s="97">
        <v>20118.0</v>
      </c>
      <c r="Y184" s="110">
        <v>911.6537152800986</v>
      </c>
      <c r="Z184" s="103">
        <v>1.54428964E8</v>
      </c>
      <c r="AA184" s="99">
        <v>349209.366945279</v>
      </c>
      <c r="AB184" s="100">
        <f t="shared" si="74"/>
        <v>0.009328333135</v>
      </c>
      <c r="AC184" s="101">
        <f t="shared" si="13"/>
        <v>0.1619217272</v>
      </c>
      <c r="AD184" s="110">
        <v>177.18161844926246</v>
      </c>
      <c r="AE184" s="99">
        <v>1.51576304E8</v>
      </c>
      <c r="AF184" s="99">
        <v>349524.02110103</v>
      </c>
      <c r="AG184" s="100">
        <f t="shared" si="75"/>
        <v>0.009365447924</v>
      </c>
      <c r="AH184" s="101">
        <f t="shared" si="15"/>
        <v>0.1627124475</v>
      </c>
      <c r="AI184" s="111">
        <v>69.10725719947084</v>
      </c>
      <c r="AJ184" s="99">
        <v>2.6311076528E10</v>
      </c>
      <c r="AK184" s="99">
        <v>51259.414372873005</v>
      </c>
      <c r="AL184" s="100">
        <f t="shared" si="76"/>
        <v>0.009397759536</v>
      </c>
      <c r="AM184" s="100">
        <f t="shared" si="17"/>
        <v>0.02394490756</v>
      </c>
      <c r="AN184" s="104">
        <f t="shared" si="18"/>
        <v>0.3485790822</v>
      </c>
      <c r="AO184" s="97">
        <f t="shared" si="19"/>
        <v>7012.713977</v>
      </c>
    </row>
    <row r="185" ht="15.75" customHeight="1">
      <c r="A185" s="95">
        <v>40702.0</v>
      </c>
      <c r="B185" s="60" t="s">
        <v>151</v>
      </c>
      <c r="C185" s="60" t="s">
        <v>168</v>
      </c>
      <c r="D185" s="96">
        <v>8.0</v>
      </c>
      <c r="E185" s="97">
        <v>5145.0</v>
      </c>
      <c r="F185" s="98">
        <v>3.288154880982521</v>
      </c>
      <c r="G185" s="99">
        <v>9.101262E7</v>
      </c>
      <c r="H185" s="99">
        <f t="shared" si="1"/>
        <v>205805.9275</v>
      </c>
      <c r="I185" s="100">
        <f t="shared" si="71"/>
        <v>0.00004965468404</v>
      </c>
      <c r="J185" s="101">
        <f t="shared" si="3"/>
        <v>0.001986244568</v>
      </c>
      <c r="K185" s="102">
        <v>4.440319588025596</v>
      </c>
      <c r="L185" s="103">
        <v>1.167634E8</v>
      </c>
      <c r="M185" s="99">
        <f t="shared" si="4"/>
        <v>316484.4766</v>
      </c>
      <c r="N185" s="100">
        <f t="shared" si="72"/>
        <v>0.000295069739</v>
      </c>
      <c r="O185" s="101">
        <f t="shared" si="6"/>
        <v>0.01815063011</v>
      </c>
      <c r="P185" s="98">
        <v>0.271148161468373</v>
      </c>
      <c r="Q185" s="99">
        <v>1.6330426269E10</v>
      </c>
      <c r="R185" s="99">
        <f t="shared" si="7"/>
        <v>31815.04512</v>
      </c>
      <c r="S185" s="100">
        <f t="shared" si="73"/>
        <v>0.00005065161176</v>
      </c>
      <c r="T185" s="101">
        <f t="shared" si="9"/>
        <v>0.0003132134721</v>
      </c>
      <c r="U185" s="100">
        <f t="shared" si="10"/>
        <v>0.02045008815</v>
      </c>
      <c r="V185" s="99">
        <f t="shared" si="11"/>
        <v>105.2157035</v>
      </c>
      <c r="W185" s="96">
        <v>107.0</v>
      </c>
      <c r="X185" s="97">
        <v>6120.0</v>
      </c>
      <c r="Y185" s="98">
        <v>79.15219726988123</v>
      </c>
      <c r="Z185" s="103">
        <v>1.54428964E8</v>
      </c>
      <c r="AA185" s="99">
        <v>349209.366945279</v>
      </c>
      <c r="AB185" s="100">
        <f t="shared" si="74"/>
        <v>0.0008099106625</v>
      </c>
      <c r="AC185" s="101">
        <f t="shared" si="13"/>
        <v>0.04621378917</v>
      </c>
      <c r="AD185" s="98">
        <v>20.598200221728</v>
      </c>
      <c r="AE185" s="99">
        <v>1.51576304E8</v>
      </c>
      <c r="AF185" s="99">
        <v>349524.02110103</v>
      </c>
      <c r="AG185" s="100">
        <f t="shared" si="75"/>
        <v>0.001088777567</v>
      </c>
      <c r="AH185" s="101">
        <f t="shared" si="15"/>
        <v>0.06218201199</v>
      </c>
      <c r="AI185" s="102">
        <v>7.243093783889407</v>
      </c>
      <c r="AJ185" s="99">
        <v>2.6311076528E10</v>
      </c>
      <c r="AK185" s="99">
        <v>51259.414372873005</v>
      </c>
      <c r="AL185" s="100">
        <f t="shared" si="76"/>
        <v>0.0009849740308</v>
      </c>
      <c r="AM185" s="100">
        <f t="shared" si="17"/>
        <v>0.008249867972</v>
      </c>
      <c r="AN185" s="104">
        <f t="shared" si="18"/>
        <v>0.1166456691</v>
      </c>
      <c r="AO185" s="97">
        <f t="shared" si="19"/>
        <v>713.8714951</v>
      </c>
    </row>
    <row r="186" ht="15.75" customHeight="1">
      <c r="A186" s="95">
        <v>40801.0</v>
      </c>
      <c r="B186" s="60" t="s">
        <v>151</v>
      </c>
      <c r="C186" s="60" t="s">
        <v>798</v>
      </c>
      <c r="D186" s="108">
        <v>6.0</v>
      </c>
      <c r="E186" s="109">
        <v>12892.0</v>
      </c>
      <c r="F186" s="110">
        <v>2.0</v>
      </c>
      <c r="G186" s="99">
        <v>9.101262E7</v>
      </c>
      <c r="H186" s="99">
        <f t="shared" si="1"/>
        <v>205805.9275</v>
      </c>
      <c r="I186" s="100">
        <f t="shared" si="71"/>
        <v>0.00003020215643</v>
      </c>
      <c r="J186" s="101">
        <f t="shared" si="3"/>
        <v>0.0004821426323</v>
      </c>
      <c r="K186" s="111">
        <v>4.0</v>
      </c>
      <c r="L186" s="103">
        <v>1.167634E8</v>
      </c>
      <c r="M186" s="99">
        <f t="shared" si="4"/>
        <v>316484.4766</v>
      </c>
      <c r="N186" s="100">
        <f t="shared" si="72"/>
        <v>0.0002658094609</v>
      </c>
      <c r="O186" s="101">
        <f t="shared" si="6"/>
        <v>0.006525331068</v>
      </c>
      <c r="P186" s="110">
        <v>0.0</v>
      </c>
      <c r="Q186" s="99">
        <v>1.6330426269E10</v>
      </c>
      <c r="R186" s="99">
        <f t="shared" si="7"/>
        <v>31815.04512</v>
      </c>
      <c r="S186" s="100">
        <f t="shared" si="73"/>
        <v>0</v>
      </c>
      <c r="T186" s="101">
        <f t="shared" si="9"/>
        <v>0</v>
      </c>
      <c r="U186" s="100">
        <f t="shared" si="10"/>
        <v>0.007007473701</v>
      </c>
      <c r="V186" s="99">
        <f t="shared" si="11"/>
        <v>90.34035095</v>
      </c>
      <c r="W186" s="108">
        <v>856.0</v>
      </c>
      <c r="X186" s="97">
        <v>15934.0</v>
      </c>
      <c r="Y186" s="110">
        <v>757.3436782040426</v>
      </c>
      <c r="Z186" s="103">
        <v>1.54428964E8</v>
      </c>
      <c r="AA186" s="99">
        <v>349209.366945279</v>
      </c>
      <c r="AB186" s="100">
        <f t="shared" si="74"/>
        <v>0.007749383356</v>
      </c>
      <c r="AC186" s="101">
        <f t="shared" si="13"/>
        <v>0.1698353995</v>
      </c>
      <c r="AD186" s="110">
        <v>78.3811567627788</v>
      </c>
      <c r="AE186" s="99">
        <v>1.51576304E8</v>
      </c>
      <c r="AF186" s="99">
        <v>349524.02110103</v>
      </c>
      <c r="AG186" s="100">
        <f t="shared" si="75"/>
        <v>0.004143063193</v>
      </c>
      <c r="AH186" s="101">
        <f t="shared" si="15"/>
        <v>0.09088114139</v>
      </c>
      <c r="AI186" s="111">
        <v>20.251613243819662</v>
      </c>
      <c r="AJ186" s="99">
        <v>2.6311076528E10</v>
      </c>
      <c r="AK186" s="99">
        <v>51259.414372873005</v>
      </c>
      <c r="AL186" s="100">
        <f t="shared" si="76"/>
        <v>0.002753976922</v>
      </c>
      <c r="AM186" s="100">
        <f t="shared" si="17"/>
        <v>0.008859498194</v>
      </c>
      <c r="AN186" s="104">
        <f t="shared" si="18"/>
        <v>0.2695760391</v>
      </c>
      <c r="AO186" s="97">
        <f t="shared" si="19"/>
        <v>4295.424607</v>
      </c>
    </row>
    <row r="187" ht="15.75" customHeight="1">
      <c r="A187" s="95">
        <v>40802.0</v>
      </c>
      <c r="B187" s="60" t="s">
        <v>151</v>
      </c>
      <c r="C187" s="60" t="s">
        <v>169</v>
      </c>
      <c r="D187" s="96">
        <v>1.0</v>
      </c>
      <c r="E187" s="97">
        <v>3029.0</v>
      </c>
      <c r="F187" s="98">
        <v>0.080360592401803</v>
      </c>
      <c r="G187" s="99">
        <v>9.101262E7</v>
      </c>
      <c r="H187" s="99">
        <f t="shared" si="1"/>
        <v>205805.9275</v>
      </c>
      <c r="I187" s="100">
        <f t="shared" si="71"/>
        <v>0.000001213531591</v>
      </c>
      <c r="J187" s="101">
        <f t="shared" si="3"/>
        <v>0.00008245361329</v>
      </c>
      <c r="K187" s="102">
        <v>0.917192530585963</v>
      </c>
      <c r="L187" s="103">
        <v>1.167634E8</v>
      </c>
      <c r="M187" s="99">
        <f t="shared" si="4"/>
        <v>316484.4766</v>
      </c>
      <c r="N187" s="100">
        <f t="shared" si="72"/>
        <v>0.00006094961304</v>
      </c>
      <c r="O187" s="101">
        <f t="shared" si="6"/>
        <v>0.006368308479</v>
      </c>
      <c r="P187" s="98">
        <v>0.00218931101094656</v>
      </c>
      <c r="Q187" s="99">
        <v>1.6330426269E10</v>
      </c>
      <c r="R187" s="99">
        <f t="shared" si="7"/>
        <v>31815.04512</v>
      </c>
      <c r="S187" s="100">
        <f t="shared" si="73"/>
        <v>0.0000004089724627</v>
      </c>
      <c r="T187" s="101">
        <f t="shared" si="9"/>
        <v>0.00000429563465</v>
      </c>
      <c r="U187" s="100">
        <f t="shared" si="10"/>
        <v>0.006455057727</v>
      </c>
      <c r="V187" s="99">
        <f t="shared" si="11"/>
        <v>19.55236985</v>
      </c>
      <c r="W187" s="96">
        <v>70.0</v>
      </c>
      <c r="X187" s="97">
        <v>3197.0</v>
      </c>
      <c r="Y187" s="98">
        <v>43.37736718984148</v>
      </c>
      <c r="Z187" s="103">
        <v>1.54428964E8</v>
      </c>
      <c r="AA187" s="99">
        <v>349209.366945279</v>
      </c>
      <c r="AB187" s="100">
        <f t="shared" si="74"/>
        <v>0.0004438511299</v>
      </c>
      <c r="AC187" s="101">
        <f t="shared" si="13"/>
        <v>0.04848200566</v>
      </c>
      <c r="AD187" s="98">
        <v>22.42977209191618</v>
      </c>
      <c r="AE187" s="99">
        <v>1.51576304E8</v>
      </c>
      <c r="AF187" s="99">
        <v>349524.02110103</v>
      </c>
      <c r="AG187" s="100">
        <f t="shared" si="75"/>
        <v>0.001185590606</v>
      </c>
      <c r="AH187" s="101">
        <f t="shared" si="15"/>
        <v>0.1296191417</v>
      </c>
      <c r="AI187" s="102">
        <v>4.186712116001841</v>
      </c>
      <c r="AJ187" s="99">
        <v>2.6311076528E10</v>
      </c>
      <c r="AK187" s="99">
        <v>51259.414372873005</v>
      </c>
      <c r="AL187" s="100">
        <f t="shared" si="76"/>
        <v>0.0005693427189</v>
      </c>
      <c r="AM187" s="100">
        <f t="shared" si="17"/>
        <v>0.009128612559</v>
      </c>
      <c r="AN187" s="104">
        <f t="shared" si="18"/>
        <v>0.18722976</v>
      </c>
      <c r="AO187" s="97">
        <f t="shared" si="19"/>
        <v>598.5735426</v>
      </c>
    </row>
    <row r="188" ht="15.75" customHeight="1">
      <c r="A188" s="95">
        <v>40901.0</v>
      </c>
      <c r="B188" s="60" t="s">
        <v>151</v>
      </c>
      <c r="C188" s="60" t="s">
        <v>173</v>
      </c>
      <c r="D188" s="96">
        <v>125.0</v>
      </c>
      <c r="E188" s="97">
        <v>9889.5</v>
      </c>
      <c r="F188" s="98">
        <v>70.85757858884979</v>
      </c>
      <c r="G188" s="99">
        <v>9.101262E7</v>
      </c>
      <c r="H188" s="99">
        <f t="shared" si="1"/>
        <v>205805.9275</v>
      </c>
      <c r="I188" s="100">
        <f t="shared" si="71"/>
        <v>0.001070025836</v>
      </c>
      <c r="J188" s="101">
        <f t="shared" si="3"/>
        <v>0.02226782544</v>
      </c>
      <c r="K188" s="102">
        <v>46.89963827116436</v>
      </c>
      <c r="L188" s="103">
        <v>1.167634E8</v>
      </c>
      <c r="M188" s="99">
        <f t="shared" si="4"/>
        <v>316484.4766</v>
      </c>
      <c r="N188" s="100">
        <f t="shared" si="72"/>
        <v>0.003116591892</v>
      </c>
      <c r="O188" s="101">
        <f t="shared" si="6"/>
        <v>0.09973739358</v>
      </c>
      <c r="P188" s="98">
        <v>7.23088815321399</v>
      </c>
      <c r="Q188" s="99">
        <v>1.6330426269E10</v>
      </c>
      <c r="R188" s="99">
        <f t="shared" si="7"/>
        <v>31815.04512</v>
      </c>
      <c r="S188" s="100">
        <f t="shared" si="73"/>
        <v>0.00135076018</v>
      </c>
      <c r="T188" s="101">
        <f t="shared" si="9"/>
        <v>0.004345467019</v>
      </c>
      <c r="U188" s="100">
        <f t="shared" si="10"/>
        <v>0.126350686</v>
      </c>
      <c r="V188" s="99">
        <f t="shared" si="11"/>
        <v>1249.54511</v>
      </c>
      <c r="W188" s="96">
        <v>772.0</v>
      </c>
      <c r="X188" s="97">
        <v>15504.0</v>
      </c>
      <c r="Y188" s="98">
        <v>474.0916441548071</v>
      </c>
      <c r="Z188" s="103">
        <v>1.54428964E8</v>
      </c>
      <c r="AA188" s="99">
        <v>349209.366945279</v>
      </c>
      <c r="AB188" s="100">
        <f t="shared" si="74"/>
        <v>0.004851057719</v>
      </c>
      <c r="AC188" s="101">
        <f t="shared" si="13"/>
        <v>0.1092643702</v>
      </c>
      <c r="AD188" s="98">
        <v>249.5341874844003</v>
      </c>
      <c r="AE188" s="99">
        <v>1.51576304E8</v>
      </c>
      <c r="AF188" s="99">
        <v>349524.02110103</v>
      </c>
      <c r="AG188" s="100">
        <f t="shared" si="75"/>
        <v>0.01318985264</v>
      </c>
      <c r="AH188" s="101">
        <f t="shared" si="15"/>
        <v>0.2973536077</v>
      </c>
      <c r="AI188" s="102">
        <v>48.30594354325348</v>
      </c>
      <c r="AJ188" s="99">
        <v>2.6311076528E10</v>
      </c>
      <c r="AK188" s="99">
        <v>51259.414372873005</v>
      </c>
      <c r="AL188" s="100">
        <f t="shared" si="76"/>
        <v>0.00656902994</v>
      </c>
      <c r="AM188" s="100">
        <f t="shared" si="17"/>
        <v>0.02171856474</v>
      </c>
      <c r="AN188" s="104">
        <f t="shared" si="18"/>
        <v>0.4283365426</v>
      </c>
      <c r="AO188" s="97">
        <f t="shared" si="19"/>
        <v>6640.929756</v>
      </c>
    </row>
    <row r="189" ht="15.75" customHeight="1">
      <c r="A189" s="95">
        <v>40902.0</v>
      </c>
      <c r="B189" s="60" t="s">
        <v>151</v>
      </c>
      <c r="C189" s="60" t="s">
        <v>158</v>
      </c>
      <c r="D189" s="96">
        <v>0.0</v>
      </c>
      <c r="E189" s="97">
        <v>1028.75</v>
      </c>
      <c r="F189" s="98">
        <v>0.0</v>
      </c>
      <c r="G189" s="99">
        <v>9.101262E7</v>
      </c>
      <c r="H189" s="99">
        <f t="shared" si="1"/>
        <v>205805.9275</v>
      </c>
      <c r="I189" s="100">
        <f t="shared" si="71"/>
        <v>0</v>
      </c>
      <c r="J189" s="101">
        <f t="shared" si="3"/>
        <v>0</v>
      </c>
      <c r="K189" s="102">
        <v>0.0</v>
      </c>
      <c r="L189" s="103">
        <v>1.167634E8</v>
      </c>
      <c r="M189" s="99">
        <f t="shared" si="4"/>
        <v>316484.4766</v>
      </c>
      <c r="N189" s="100">
        <f t="shared" si="72"/>
        <v>0</v>
      </c>
      <c r="O189" s="101">
        <f t="shared" si="6"/>
        <v>0</v>
      </c>
      <c r="P189" s="98">
        <v>0.0</v>
      </c>
      <c r="Q189" s="99">
        <v>1.6330426269E10</v>
      </c>
      <c r="R189" s="99">
        <f t="shared" si="7"/>
        <v>31815.04512</v>
      </c>
      <c r="S189" s="100">
        <f t="shared" si="73"/>
        <v>0</v>
      </c>
      <c r="T189" s="101">
        <f t="shared" si="9"/>
        <v>0</v>
      </c>
      <c r="U189" s="100">
        <f t="shared" si="10"/>
        <v>0</v>
      </c>
      <c r="V189" s="99">
        <f t="shared" si="11"/>
        <v>0</v>
      </c>
      <c r="W189" s="96">
        <v>2488.0</v>
      </c>
      <c r="X189" s="97">
        <v>1406.0</v>
      </c>
      <c r="Y189" s="98">
        <v>1891.275008073766</v>
      </c>
      <c r="Z189" s="103">
        <v>1.54428964E8</v>
      </c>
      <c r="AA189" s="99">
        <v>349209.366945279</v>
      </c>
      <c r="AB189" s="100">
        <f t="shared" si="74"/>
        <v>0.01935213232</v>
      </c>
      <c r="AC189" s="101">
        <f t="shared" si="13"/>
        <v>4.80650489</v>
      </c>
      <c r="AD189" s="98">
        <v>477.6096178985043</v>
      </c>
      <c r="AE189" s="99">
        <v>1.51576304E8</v>
      </c>
      <c r="AF189" s="99">
        <v>349524.02110103</v>
      </c>
      <c r="AG189" s="100">
        <f t="shared" si="75"/>
        <v>0.02524544049</v>
      </c>
      <c r="AH189" s="101">
        <f t="shared" si="15"/>
        <v>6.275880423</v>
      </c>
      <c r="AI189" s="102">
        <v>118.9743138083244</v>
      </c>
      <c r="AJ189" s="99">
        <v>2.6311076528E10</v>
      </c>
      <c r="AK189" s="99">
        <v>51259.414372873005</v>
      </c>
      <c r="AL189" s="100">
        <f t="shared" si="76"/>
        <v>0.01617908216</v>
      </c>
      <c r="AM189" s="100">
        <f t="shared" si="17"/>
        <v>0.5898508369</v>
      </c>
      <c r="AN189" s="104">
        <f t="shared" si="18"/>
        <v>11.67223615</v>
      </c>
      <c r="AO189" s="97">
        <f t="shared" si="19"/>
        <v>16411.16403</v>
      </c>
    </row>
    <row r="190" ht="15.75" customHeight="1">
      <c r="A190" s="95">
        <v>40903.0</v>
      </c>
      <c r="B190" s="60" t="s">
        <v>151</v>
      </c>
      <c r="C190" s="60" t="s">
        <v>799</v>
      </c>
      <c r="D190" s="108">
        <v>1.0</v>
      </c>
      <c r="E190" s="109">
        <v>2091.0</v>
      </c>
      <c r="F190" s="110">
        <v>0.0</v>
      </c>
      <c r="G190" s="99">
        <v>9.101262E7</v>
      </c>
      <c r="H190" s="99">
        <f t="shared" si="1"/>
        <v>205805.9275</v>
      </c>
      <c r="I190" s="100">
        <f t="shared" si="71"/>
        <v>0</v>
      </c>
      <c r="J190" s="101">
        <f t="shared" si="3"/>
        <v>0</v>
      </c>
      <c r="K190" s="111">
        <v>1.0</v>
      </c>
      <c r="L190" s="103">
        <v>1.167634E8</v>
      </c>
      <c r="M190" s="99">
        <f t="shared" si="4"/>
        <v>316484.4766</v>
      </c>
      <c r="N190" s="100">
        <f t="shared" si="72"/>
        <v>0.00006645236524</v>
      </c>
      <c r="O190" s="101">
        <f t="shared" si="6"/>
        <v>0.01005793498</v>
      </c>
      <c r="P190" s="110">
        <v>0.0</v>
      </c>
      <c r="Q190" s="99">
        <v>1.6330426269E10</v>
      </c>
      <c r="R190" s="99">
        <f t="shared" si="7"/>
        <v>31815.04512</v>
      </c>
      <c r="S190" s="100">
        <f t="shared" si="73"/>
        <v>0</v>
      </c>
      <c r="T190" s="101">
        <f t="shared" si="9"/>
        <v>0</v>
      </c>
      <c r="U190" s="100">
        <f t="shared" si="10"/>
        <v>0.01005793498</v>
      </c>
      <c r="V190" s="99">
        <f t="shared" si="11"/>
        <v>21.03114203</v>
      </c>
      <c r="W190" s="108">
        <v>1.0</v>
      </c>
      <c r="X190" s="97">
        <v>2355.0</v>
      </c>
      <c r="Y190" s="110">
        <v>0.0</v>
      </c>
      <c r="Z190" s="103">
        <v>1.54428964E8</v>
      </c>
      <c r="AA190" s="99">
        <v>349209.366945279</v>
      </c>
      <c r="AB190" s="100">
        <f t="shared" si="74"/>
        <v>0</v>
      </c>
      <c r="AC190" s="101">
        <f t="shared" si="13"/>
        <v>0</v>
      </c>
      <c r="AD190" s="110">
        <v>1.0</v>
      </c>
      <c r="AE190" s="99">
        <v>1.51576304E8</v>
      </c>
      <c r="AF190" s="99">
        <v>349524.02110103</v>
      </c>
      <c r="AG190" s="100">
        <f t="shared" si="75"/>
        <v>0.00005285789805</v>
      </c>
      <c r="AH190" s="101">
        <f t="shared" si="15"/>
        <v>0.007845055233</v>
      </c>
      <c r="AI190" s="111">
        <v>0.0</v>
      </c>
      <c r="AJ190" s="99">
        <v>2.6311076528E10</v>
      </c>
      <c r="AK190" s="99">
        <v>51259.414372873005</v>
      </c>
      <c r="AL190" s="100">
        <f t="shared" si="76"/>
        <v>0</v>
      </c>
      <c r="AM190" s="100">
        <f t="shared" si="17"/>
        <v>0</v>
      </c>
      <c r="AN190" s="104">
        <f t="shared" si="18"/>
        <v>0.007845055233</v>
      </c>
      <c r="AO190" s="97">
        <f t="shared" si="19"/>
        <v>18.47510507</v>
      </c>
    </row>
    <row r="191" ht="15.75" customHeight="1">
      <c r="A191" s="95">
        <v>41001.0</v>
      </c>
      <c r="B191" s="60" t="s">
        <v>151</v>
      </c>
      <c r="C191" s="60" t="s">
        <v>180</v>
      </c>
      <c r="D191" s="96">
        <v>26.0</v>
      </c>
      <c r="E191" s="97">
        <v>10662.25</v>
      </c>
      <c r="F191" s="98">
        <v>22.92613415003894</v>
      </c>
      <c r="G191" s="99">
        <v>9.101262E7</v>
      </c>
      <c r="H191" s="99">
        <f t="shared" si="1"/>
        <v>205805.9275</v>
      </c>
      <c r="I191" s="100">
        <f t="shared" si="71"/>
        <v>0.0003462093449</v>
      </c>
      <c r="J191" s="101">
        <f t="shared" si="3"/>
        <v>0.006682635967</v>
      </c>
      <c r="K191" s="102">
        <v>1.834468503977934</v>
      </c>
      <c r="L191" s="103">
        <v>1.167634E8</v>
      </c>
      <c r="M191" s="99">
        <f t="shared" si="4"/>
        <v>316484.4766</v>
      </c>
      <c r="N191" s="100">
        <f t="shared" si="72"/>
        <v>0.000121904771</v>
      </c>
      <c r="O191" s="101">
        <f t="shared" si="6"/>
        <v>0.003618463989</v>
      </c>
      <c r="P191" s="98">
        <v>1.238918131894244</v>
      </c>
      <c r="Q191" s="99">
        <v>1.6330426269E10</v>
      </c>
      <c r="R191" s="99">
        <f t="shared" si="7"/>
        <v>31815.04512</v>
      </c>
      <c r="S191" s="100">
        <f t="shared" si="73"/>
        <v>0.000231435094</v>
      </c>
      <c r="T191" s="101">
        <f t="shared" si="9"/>
        <v>0.000690578251</v>
      </c>
      <c r="U191" s="100">
        <f t="shared" si="10"/>
        <v>0.01099167821</v>
      </c>
      <c r="V191" s="99">
        <f t="shared" si="11"/>
        <v>117.196021</v>
      </c>
      <c r="W191" s="96">
        <v>86.0</v>
      </c>
      <c r="X191" s="97">
        <v>12202.0</v>
      </c>
      <c r="Y191" s="98">
        <v>69.04331284467077</v>
      </c>
      <c r="Z191" s="103">
        <v>1.54428964E8</v>
      </c>
      <c r="AA191" s="99">
        <v>349209.366945279</v>
      </c>
      <c r="AB191" s="100">
        <f t="shared" si="74"/>
        <v>0.0007064733156</v>
      </c>
      <c r="AC191" s="101">
        <f t="shared" si="13"/>
        <v>0.02021857887</v>
      </c>
      <c r="AD191" s="98">
        <v>12.94090927331152</v>
      </c>
      <c r="AE191" s="99">
        <v>1.51576304E8</v>
      </c>
      <c r="AF191" s="99">
        <v>349524.02110103</v>
      </c>
      <c r="AG191" s="100">
        <f t="shared" si="75"/>
        <v>0.000684029263</v>
      </c>
      <c r="AH191" s="101">
        <f t="shared" si="15"/>
        <v>0.01959389105</v>
      </c>
      <c r="AI191" s="102">
        <v>4.01298519669478</v>
      </c>
      <c r="AJ191" s="99">
        <v>2.6311076528E10</v>
      </c>
      <c r="AK191" s="99">
        <v>51259.414372873005</v>
      </c>
      <c r="AL191" s="100">
        <f t="shared" si="76"/>
        <v>0.000545717938</v>
      </c>
      <c r="AM191" s="100">
        <f t="shared" si="17"/>
        <v>0.002292507943</v>
      </c>
      <c r="AN191" s="104">
        <f t="shared" si="18"/>
        <v>0.04210497786</v>
      </c>
      <c r="AO191" s="97">
        <f t="shared" si="19"/>
        <v>513.7649398</v>
      </c>
    </row>
    <row r="192" ht="15.75" customHeight="1">
      <c r="A192" s="95">
        <v>41101.0</v>
      </c>
      <c r="B192" s="60" t="s">
        <v>151</v>
      </c>
      <c r="C192" s="60" t="s">
        <v>164</v>
      </c>
      <c r="D192" s="96">
        <v>9.0</v>
      </c>
      <c r="E192" s="97">
        <v>5284.0</v>
      </c>
      <c r="F192" s="98">
        <v>5.314428679257385</v>
      </c>
      <c r="G192" s="99">
        <v>9.101262E7</v>
      </c>
      <c r="H192" s="99">
        <f t="shared" si="1"/>
        <v>205805.9275</v>
      </c>
      <c r="I192" s="100">
        <f t="shared" si="71"/>
        <v>0.00008025360315</v>
      </c>
      <c r="J192" s="101">
        <f t="shared" si="3"/>
        <v>0.00312578865</v>
      </c>
      <c r="K192" s="102">
        <v>3.091671061825219</v>
      </c>
      <c r="L192" s="103">
        <v>1.167634E8</v>
      </c>
      <c r="M192" s="99">
        <f t="shared" si="4"/>
        <v>316484.4766</v>
      </c>
      <c r="N192" s="100">
        <f t="shared" si="72"/>
        <v>0.0002054488546</v>
      </c>
      <c r="O192" s="101">
        <f t="shared" si="6"/>
        <v>0.0123053318</v>
      </c>
      <c r="P192" s="98">
        <v>0.591621258546456</v>
      </c>
      <c r="Q192" s="99">
        <v>1.6330426269E10</v>
      </c>
      <c r="R192" s="99">
        <f t="shared" si="7"/>
        <v>31815.04512</v>
      </c>
      <c r="S192" s="100">
        <f t="shared" si="73"/>
        <v>0.000110517328</v>
      </c>
      <c r="T192" s="101">
        <f t="shared" si="9"/>
        <v>0.0006654265286</v>
      </c>
      <c r="U192" s="100">
        <f t="shared" si="10"/>
        <v>0.01609654698</v>
      </c>
      <c r="V192" s="99">
        <f t="shared" si="11"/>
        <v>85.05415423</v>
      </c>
      <c r="W192" s="96">
        <v>150.0</v>
      </c>
      <c r="X192" s="97">
        <v>5335.0</v>
      </c>
      <c r="Y192" s="98">
        <v>108.6851435294653</v>
      </c>
      <c r="Z192" s="103">
        <v>1.54428964E8</v>
      </c>
      <c r="AA192" s="99">
        <v>349209.366945279</v>
      </c>
      <c r="AB192" s="100">
        <f t="shared" si="74"/>
        <v>0.001112101238</v>
      </c>
      <c r="AC192" s="101">
        <f t="shared" si="13"/>
        <v>0.07279403363</v>
      </c>
      <c r="AD192" s="98">
        <v>31.78691072357471</v>
      </c>
      <c r="AE192" s="99">
        <v>1.51576304E8</v>
      </c>
      <c r="AF192" s="99">
        <v>349524.02110103</v>
      </c>
      <c r="AG192" s="100">
        <f t="shared" si="75"/>
        <v>0.001680189286</v>
      </c>
      <c r="AH192" s="101">
        <f t="shared" si="15"/>
        <v>0.1100780723</v>
      </c>
      <c r="AI192" s="102">
        <v>9.515446473789652</v>
      </c>
      <c r="AJ192" s="99">
        <v>2.6311076528E10</v>
      </c>
      <c r="AK192" s="99">
        <v>51259.414372873005</v>
      </c>
      <c r="AL192" s="100">
        <f t="shared" si="76"/>
        <v>0.001293986789</v>
      </c>
      <c r="AM192" s="100">
        <f t="shared" si="17"/>
        <v>0.01243280319</v>
      </c>
      <c r="AN192" s="104">
        <f t="shared" si="18"/>
        <v>0.1953049091</v>
      </c>
      <c r="AO192" s="97">
        <f t="shared" si="19"/>
        <v>1041.95169</v>
      </c>
    </row>
    <row r="193" ht="15.75" customHeight="1">
      <c r="A193" s="95">
        <v>41201.0</v>
      </c>
      <c r="B193" s="60" t="s">
        <v>151</v>
      </c>
      <c r="C193" s="60" t="s">
        <v>152</v>
      </c>
      <c r="D193" s="96">
        <v>1.0</v>
      </c>
      <c r="E193" s="97">
        <v>5489.75</v>
      </c>
      <c r="F193" s="98">
        <v>0.849400404921352</v>
      </c>
      <c r="G193" s="99">
        <v>9.101262E7</v>
      </c>
      <c r="H193" s="99">
        <f t="shared" si="1"/>
        <v>205805.9275</v>
      </c>
      <c r="I193" s="100">
        <f t="shared" si="71"/>
        <v>0.00001282686195</v>
      </c>
      <c r="J193" s="101">
        <f t="shared" si="3"/>
        <v>0.0004808678392</v>
      </c>
      <c r="K193" s="102">
        <v>0.0654726678087525</v>
      </c>
      <c r="L193" s="103">
        <v>1.167634E8</v>
      </c>
      <c r="M193" s="99">
        <f t="shared" si="4"/>
        <v>316484.4766</v>
      </c>
      <c r="N193" s="100">
        <f t="shared" si="72"/>
        <v>0.000004350813634</v>
      </c>
      <c r="O193" s="101">
        <f t="shared" si="6"/>
        <v>0.0002508247144</v>
      </c>
      <c r="P193" s="98">
        <v>0.0851269272698957</v>
      </c>
      <c r="Q193" s="99">
        <v>1.6330426269E10</v>
      </c>
      <c r="R193" s="99">
        <f t="shared" si="7"/>
        <v>31815.04512</v>
      </c>
      <c r="S193" s="100">
        <f t="shared" si="73"/>
        <v>0.00001590206641</v>
      </c>
      <c r="T193" s="101">
        <f t="shared" si="9"/>
        <v>0.00009215810563</v>
      </c>
      <c r="U193" s="100">
        <f t="shared" si="10"/>
        <v>0.0008238506592</v>
      </c>
      <c r="V193" s="99">
        <f t="shared" si="11"/>
        <v>4.522734156</v>
      </c>
      <c r="W193" s="116">
        <v>1069.0</v>
      </c>
      <c r="X193" s="97">
        <v>6311.0</v>
      </c>
      <c r="Y193" s="110">
        <v>880.9041795151317</v>
      </c>
      <c r="Z193" s="103">
        <v>1.54428964E8</v>
      </c>
      <c r="AA193" s="99">
        <v>349209.366945279</v>
      </c>
      <c r="AB193" s="100">
        <f t="shared" si="74"/>
        <v>0.009013694025</v>
      </c>
      <c r="AC193" s="101">
        <f t="shared" si="13"/>
        <v>0.4987587362</v>
      </c>
      <c r="AD193" s="110">
        <v>136.1294526170016</v>
      </c>
      <c r="AE193" s="99">
        <v>1.51576304E8</v>
      </c>
      <c r="AF193" s="99">
        <v>349524.02110103</v>
      </c>
      <c r="AG193" s="100">
        <f t="shared" si="75"/>
        <v>0.007195516728</v>
      </c>
      <c r="AH193" s="101">
        <f t="shared" si="15"/>
        <v>0.3985114785</v>
      </c>
      <c r="AI193" s="111">
        <v>51.92601880809575</v>
      </c>
      <c r="AJ193" s="99">
        <v>2.6311076528E10</v>
      </c>
      <c r="AK193" s="99">
        <v>51259.414372873005</v>
      </c>
      <c r="AL193" s="100">
        <f t="shared" si="76"/>
        <v>0.007061316831</v>
      </c>
      <c r="AM193" s="100">
        <f t="shared" si="17"/>
        <v>0.05735366273</v>
      </c>
      <c r="AN193" s="104">
        <f t="shared" si="18"/>
        <v>0.9546238774</v>
      </c>
      <c r="AO193" s="97">
        <f t="shared" si="19"/>
        <v>6024.63129</v>
      </c>
    </row>
    <row r="194" ht="15.75" customHeight="1">
      <c r="A194" s="95">
        <v>41202.0</v>
      </c>
      <c r="B194" s="60" t="s">
        <v>151</v>
      </c>
      <c r="C194" s="60" t="s">
        <v>153</v>
      </c>
      <c r="D194" s="96">
        <v>0.0</v>
      </c>
      <c r="E194" s="97">
        <v>2277.25</v>
      </c>
      <c r="F194" s="98">
        <v>0.0</v>
      </c>
      <c r="G194" s="99">
        <v>9.101262E7</v>
      </c>
      <c r="H194" s="99">
        <f t="shared" si="1"/>
        <v>205805.9275</v>
      </c>
      <c r="I194" s="100">
        <f t="shared" si="71"/>
        <v>0</v>
      </c>
      <c r="J194" s="101">
        <f t="shared" si="3"/>
        <v>0</v>
      </c>
      <c r="K194" s="102">
        <v>0.0</v>
      </c>
      <c r="L194" s="103">
        <v>1.167634E8</v>
      </c>
      <c r="M194" s="99">
        <f t="shared" si="4"/>
        <v>316484.4766</v>
      </c>
      <c r="N194" s="100">
        <f t="shared" si="72"/>
        <v>0</v>
      </c>
      <c r="O194" s="101">
        <f t="shared" si="6"/>
        <v>0</v>
      </c>
      <c r="P194" s="98">
        <v>0.0</v>
      </c>
      <c r="Q194" s="99">
        <v>1.6330426269E10</v>
      </c>
      <c r="R194" s="99">
        <f t="shared" si="7"/>
        <v>31815.04512</v>
      </c>
      <c r="S194" s="100">
        <f t="shared" si="73"/>
        <v>0</v>
      </c>
      <c r="T194" s="101">
        <f t="shared" si="9"/>
        <v>0</v>
      </c>
      <c r="U194" s="100">
        <f t="shared" si="10"/>
        <v>0</v>
      </c>
      <c r="V194" s="99">
        <f t="shared" si="11"/>
        <v>0</v>
      </c>
      <c r="W194" s="96">
        <v>45.0</v>
      </c>
      <c r="X194" s="97">
        <v>3061.0</v>
      </c>
      <c r="Y194" s="98">
        <v>35.65652262172953</v>
      </c>
      <c r="Z194" s="103">
        <v>1.54428964E8</v>
      </c>
      <c r="AA194" s="99">
        <v>349209.366945279</v>
      </c>
      <c r="AB194" s="100">
        <f t="shared" si="74"/>
        <v>0.0003648489727</v>
      </c>
      <c r="AC194" s="101">
        <f t="shared" si="13"/>
        <v>0.04162322077</v>
      </c>
      <c r="AD194" s="98">
        <v>6.453517928195665</v>
      </c>
      <c r="AE194" s="99">
        <v>1.51576304E8</v>
      </c>
      <c r="AF194" s="99">
        <v>349524.02110103</v>
      </c>
      <c r="AG194" s="100">
        <f t="shared" si="75"/>
        <v>0.0003411193927</v>
      </c>
      <c r="AH194" s="101">
        <f t="shared" si="15"/>
        <v>0.03895113421</v>
      </c>
      <c r="AI194" s="102">
        <v>2.887559868803122</v>
      </c>
      <c r="AJ194" s="99">
        <v>2.6311076528E10</v>
      </c>
      <c r="AK194" s="99">
        <v>51259.414372873005</v>
      </c>
      <c r="AL194" s="100">
        <f t="shared" si="76"/>
        <v>0.0003926735685</v>
      </c>
      <c r="AM194" s="100">
        <f t="shared" si="17"/>
        <v>0.006575699824</v>
      </c>
      <c r="AN194" s="104">
        <f t="shared" si="18"/>
        <v>0.0871500548</v>
      </c>
      <c r="AO194" s="97">
        <f t="shared" si="19"/>
        <v>266.7663177</v>
      </c>
    </row>
    <row r="195" ht="15.75" customHeight="1">
      <c r="A195" s="95">
        <v>41301.0</v>
      </c>
      <c r="B195" s="60" t="s">
        <v>151</v>
      </c>
      <c r="C195" s="60" t="s">
        <v>144</v>
      </c>
      <c r="D195" s="108">
        <v>2.0</v>
      </c>
      <c r="E195" s="109">
        <v>5807.5</v>
      </c>
      <c r="F195" s="110">
        <v>1.0</v>
      </c>
      <c r="G195" s="99">
        <v>9.101262E7</v>
      </c>
      <c r="H195" s="99">
        <f t="shared" si="1"/>
        <v>205805.9275</v>
      </c>
      <c r="I195" s="100">
        <f t="shared" si="71"/>
        <v>0.00001510107821</v>
      </c>
      <c r="J195" s="101">
        <f t="shared" si="3"/>
        <v>0.0005351513401</v>
      </c>
      <c r="K195" s="111">
        <v>1.0</v>
      </c>
      <c r="L195" s="103">
        <v>1.167634E8</v>
      </c>
      <c r="M195" s="99">
        <f t="shared" si="4"/>
        <v>316484.4766</v>
      </c>
      <c r="N195" s="100">
        <f t="shared" si="72"/>
        <v>0.00006645236524</v>
      </c>
      <c r="O195" s="101">
        <f t="shared" si="6"/>
        <v>0.003621376157</v>
      </c>
      <c r="P195" s="110">
        <v>0.0</v>
      </c>
      <c r="Q195" s="99">
        <v>1.6330426269E10</v>
      </c>
      <c r="R195" s="99">
        <f t="shared" si="7"/>
        <v>31815.04512</v>
      </c>
      <c r="S195" s="100">
        <f t="shared" si="73"/>
        <v>0</v>
      </c>
      <c r="T195" s="101">
        <f t="shared" si="9"/>
        <v>0</v>
      </c>
      <c r="U195" s="100">
        <f t="shared" si="10"/>
        <v>0.004156527497</v>
      </c>
      <c r="V195" s="99">
        <f t="shared" si="11"/>
        <v>24.13903344</v>
      </c>
      <c r="W195" s="108">
        <v>2.0</v>
      </c>
      <c r="X195" s="97">
        <v>6637.0</v>
      </c>
      <c r="Y195" s="110">
        <v>1.0</v>
      </c>
      <c r="Z195" s="103">
        <v>1.54428964E8</v>
      </c>
      <c r="AA195" s="99">
        <v>349209.366945279</v>
      </c>
      <c r="AB195" s="100">
        <f t="shared" si="74"/>
        <v>0.00001023232065</v>
      </c>
      <c r="AC195" s="101">
        <f t="shared" si="13"/>
        <v>0.0005383791195</v>
      </c>
      <c r="AD195" s="110">
        <v>1.0</v>
      </c>
      <c r="AE195" s="99">
        <v>1.51576304E8</v>
      </c>
      <c r="AF195" s="99">
        <v>349524.02110103</v>
      </c>
      <c r="AG195" s="100">
        <f t="shared" si="75"/>
        <v>0.00005285789805</v>
      </c>
      <c r="AH195" s="101">
        <f t="shared" si="15"/>
        <v>0.002783653017</v>
      </c>
      <c r="AI195" s="111">
        <v>0.0</v>
      </c>
      <c r="AJ195" s="99">
        <v>2.6311076528E10</v>
      </c>
      <c r="AK195" s="99">
        <v>51259.414372873005</v>
      </c>
      <c r="AL195" s="100">
        <f t="shared" si="76"/>
        <v>0</v>
      </c>
      <c r="AM195" s="100">
        <f t="shared" si="17"/>
        <v>0</v>
      </c>
      <c r="AN195" s="104">
        <f t="shared" si="18"/>
        <v>0.003322032136</v>
      </c>
      <c r="AO195" s="97">
        <f t="shared" si="19"/>
        <v>22.04832729</v>
      </c>
    </row>
    <row r="196" ht="15.75" customHeight="1">
      <c r="A196" s="95">
        <v>41401.0</v>
      </c>
      <c r="B196" s="60" t="s">
        <v>151</v>
      </c>
      <c r="C196" s="60" t="s">
        <v>178</v>
      </c>
      <c r="D196" s="96">
        <v>14.0</v>
      </c>
      <c r="E196" s="97">
        <v>13337.75</v>
      </c>
      <c r="F196" s="98">
        <v>7.746121277501977</v>
      </c>
      <c r="G196" s="99">
        <v>9.101262E7</v>
      </c>
      <c r="H196" s="99">
        <f t="shared" si="1"/>
        <v>205805.9275</v>
      </c>
      <c r="I196" s="100">
        <f t="shared" si="71"/>
        <v>0.0001169747833</v>
      </c>
      <c r="J196" s="101">
        <f t="shared" si="3"/>
        <v>0.001804959889</v>
      </c>
      <c r="K196" s="102">
        <v>5.565984907690087</v>
      </c>
      <c r="L196" s="103">
        <v>1.167634E8</v>
      </c>
      <c r="M196" s="99">
        <f t="shared" si="4"/>
        <v>316484.4766</v>
      </c>
      <c r="N196" s="100">
        <f t="shared" si="72"/>
        <v>0.000369872862</v>
      </c>
      <c r="O196" s="101">
        <f t="shared" si="6"/>
        <v>0.008776519214</v>
      </c>
      <c r="P196" s="98">
        <v>0.6862961628995896</v>
      </c>
      <c r="Q196" s="99">
        <v>1.6330426269E10</v>
      </c>
      <c r="R196" s="99">
        <f t="shared" si="7"/>
        <v>31815.04512</v>
      </c>
      <c r="S196" s="100">
        <f t="shared" si="73"/>
        <v>0.0001282029965</v>
      </c>
      <c r="T196" s="101">
        <f t="shared" si="9"/>
        <v>0.0003058075102</v>
      </c>
      <c r="U196" s="100">
        <f t="shared" si="10"/>
        <v>0.01088728661</v>
      </c>
      <c r="V196" s="99">
        <f t="shared" si="11"/>
        <v>145.211907</v>
      </c>
      <c r="W196" s="96">
        <v>131.0</v>
      </c>
      <c r="X196" s="97">
        <v>13502.0</v>
      </c>
      <c r="Y196" s="98">
        <v>96.1869119763542</v>
      </c>
      <c r="Z196" s="103">
        <v>1.54428964E8</v>
      </c>
      <c r="AA196" s="99">
        <v>349209.366945279</v>
      </c>
      <c r="AB196" s="100">
        <f t="shared" si="74"/>
        <v>0.0009842153255</v>
      </c>
      <c r="AC196" s="101">
        <f t="shared" si="13"/>
        <v>0.0254552815</v>
      </c>
      <c r="AD196" s="98">
        <v>25.92394115158885</v>
      </c>
      <c r="AE196" s="99">
        <v>1.51576304E8</v>
      </c>
      <c r="AF196" s="99">
        <v>349524.02110103</v>
      </c>
      <c r="AG196" s="100">
        <f t="shared" si="75"/>
        <v>0.001370285038</v>
      </c>
      <c r="AH196" s="101">
        <f t="shared" si="15"/>
        <v>0.03547234015</v>
      </c>
      <c r="AI196" s="102">
        <v>8.883974214144333</v>
      </c>
      <c r="AJ196" s="99">
        <v>2.6311076528E10</v>
      </c>
      <c r="AK196" s="99">
        <v>51259.414372873005</v>
      </c>
      <c r="AL196" s="100">
        <f t="shared" si="76"/>
        <v>0.001208114122</v>
      </c>
      <c r="AM196" s="100">
        <f t="shared" si="17"/>
        <v>0.004586522176</v>
      </c>
      <c r="AN196" s="104">
        <f t="shared" si="18"/>
        <v>0.06551414382</v>
      </c>
      <c r="AO196" s="97">
        <f t="shared" si="19"/>
        <v>884.5719698</v>
      </c>
    </row>
    <row r="197" ht="15.75" customHeight="1">
      <c r="A197" s="95">
        <v>41501.0</v>
      </c>
      <c r="B197" s="60" t="s">
        <v>151</v>
      </c>
      <c r="C197" s="60" t="s">
        <v>800</v>
      </c>
      <c r="D197" s="108">
        <v>0.0</v>
      </c>
      <c r="E197" s="109">
        <v>697.25</v>
      </c>
      <c r="F197" s="110">
        <v>0.0</v>
      </c>
      <c r="G197" s="99">
        <v>9.101262E7</v>
      </c>
      <c r="H197" s="99">
        <f t="shared" si="1"/>
        <v>205805.9275</v>
      </c>
      <c r="I197" s="100">
        <f t="shared" si="71"/>
        <v>0</v>
      </c>
      <c r="J197" s="101">
        <f t="shared" si="3"/>
        <v>0</v>
      </c>
      <c r="K197" s="111">
        <v>0.0</v>
      </c>
      <c r="L197" s="103">
        <v>1.167634E8</v>
      </c>
      <c r="M197" s="99">
        <f t="shared" si="4"/>
        <v>316484.4766</v>
      </c>
      <c r="N197" s="100">
        <f t="shared" si="72"/>
        <v>0</v>
      </c>
      <c r="O197" s="101">
        <f t="shared" si="6"/>
        <v>0</v>
      </c>
      <c r="P197" s="110">
        <v>0.0</v>
      </c>
      <c r="Q197" s="99">
        <v>1.6330426269E10</v>
      </c>
      <c r="R197" s="99">
        <f t="shared" si="7"/>
        <v>31815.04512</v>
      </c>
      <c r="S197" s="100">
        <f t="shared" si="73"/>
        <v>0</v>
      </c>
      <c r="T197" s="101">
        <f t="shared" si="9"/>
        <v>0</v>
      </c>
      <c r="U197" s="100">
        <f t="shared" si="10"/>
        <v>0</v>
      </c>
      <c r="V197" s="99">
        <f t="shared" si="11"/>
        <v>0</v>
      </c>
      <c r="W197" s="108">
        <v>1942.0</v>
      </c>
      <c r="X197" s="97">
        <v>1262.0</v>
      </c>
      <c r="Y197" s="110">
        <v>1424.1207647889678</v>
      </c>
      <c r="Z197" s="103">
        <v>1.54428964E8</v>
      </c>
      <c r="AA197" s="99">
        <v>349209.366945279</v>
      </c>
      <c r="AB197" s="100">
        <f t="shared" si="74"/>
        <v>0.01457206031</v>
      </c>
      <c r="AC197" s="101">
        <f t="shared" si="13"/>
        <v>4.03225036</v>
      </c>
      <c r="AD197" s="110">
        <v>427.95428828874674</v>
      </c>
      <c r="AE197" s="99">
        <v>1.51576304E8</v>
      </c>
      <c r="AF197" s="99">
        <v>349524.02110103</v>
      </c>
      <c r="AG197" s="100">
        <f t="shared" si="75"/>
        <v>0.02262076414</v>
      </c>
      <c r="AH197" s="101">
        <f t="shared" si="15"/>
        <v>6.265055818</v>
      </c>
      <c r="AI197" s="111">
        <v>89.7981613644979</v>
      </c>
      <c r="AJ197" s="99">
        <v>2.6311076528E10</v>
      </c>
      <c r="AK197" s="99">
        <v>51259.414372873005</v>
      </c>
      <c r="AL197" s="100">
        <f t="shared" si="76"/>
        <v>0.01221147476</v>
      </c>
      <c r="AM197" s="100">
        <f t="shared" si="17"/>
        <v>0.4960008281</v>
      </c>
      <c r="AN197" s="104">
        <f t="shared" si="18"/>
        <v>10.79330701</v>
      </c>
      <c r="AO197" s="97">
        <f t="shared" si="19"/>
        <v>13621.15344</v>
      </c>
    </row>
    <row r="198" ht="15.75" customHeight="1">
      <c r="A198" s="95">
        <v>41502.0</v>
      </c>
      <c r="B198" s="60" t="s">
        <v>151</v>
      </c>
      <c r="C198" s="60" t="s">
        <v>530</v>
      </c>
      <c r="D198" s="108"/>
      <c r="E198" s="109">
        <v>830.25</v>
      </c>
      <c r="F198" s="110"/>
      <c r="G198" s="99">
        <v>9.101262E7</v>
      </c>
      <c r="H198" s="99">
        <f t="shared" si="1"/>
        <v>205805.9275</v>
      </c>
      <c r="I198" s="100">
        <f t="shared" si="71"/>
        <v>0</v>
      </c>
      <c r="J198" s="101">
        <f t="shared" si="3"/>
        <v>0</v>
      </c>
      <c r="K198" s="111"/>
      <c r="L198" s="103">
        <v>1.167634E8</v>
      </c>
      <c r="M198" s="99">
        <f t="shared" si="4"/>
        <v>316484.4766</v>
      </c>
      <c r="N198" s="100">
        <f t="shared" si="72"/>
        <v>0</v>
      </c>
      <c r="O198" s="101">
        <f t="shared" si="6"/>
        <v>0</v>
      </c>
      <c r="P198" s="110"/>
      <c r="Q198" s="99">
        <v>1.6330426269E10</v>
      </c>
      <c r="R198" s="99">
        <f t="shared" si="7"/>
        <v>31815.04512</v>
      </c>
      <c r="S198" s="100">
        <f t="shared" si="73"/>
        <v>0</v>
      </c>
      <c r="T198" s="101">
        <f t="shared" si="9"/>
        <v>0</v>
      </c>
      <c r="U198" s="100">
        <f t="shared" si="10"/>
        <v>0</v>
      </c>
      <c r="V198" s="99">
        <f t="shared" si="11"/>
        <v>0</v>
      </c>
      <c r="W198" s="96">
        <v>572.0</v>
      </c>
      <c r="X198" s="97">
        <v>1140.0</v>
      </c>
      <c r="Y198" s="98">
        <v>535.1913546448</v>
      </c>
      <c r="Z198" s="103">
        <v>1.54428964E8</v>
      </c>
      <c r="AA198" s="99">
        <v>349209.366945279</v>
      </c>
      <c r="AB198" s="100">
        <f t="shared" si="74"/>
        <v>0.005476249549</v>
      </c>
      <c r="AC198" s="101">
        <f t="shared" si="13"/>
        <v>1.6775067</v>
      </c>
      <c r="AD198" s="98">
        <v>27.81537955246601</v>
      </c>
      <c r="AE198" s="99">
        <v>1.51576304E8</v>
      </c>
      <c r="AF198" s="99">
        <v>349524.02110103</v>
      </c>
      <c r="AG198" s="100">
        <f t="shared" si="75"/>
        <v>0.001470262497</v>
      </c>
      <c r="AH198" s="101">
        <f t="shared" si="15"/>
        <v>0.4507825087</v>
      </c>
      <c r="AI198" s="102">
        <v>8.98392196236144</v>
      </c>
      <c r="AJ198" s="99">
        <v>2.6311076528E10</v>
      </c>
      <c r="AK198" s="99">
        <v>51259.414372873005</v>
      </c>
      <c r="AL198" s="100">
        <f t="shared" si="76"/>
        <v>0.00122170582</v>
      </c>
      <c r="AM198" s="100">
        <f t="shared" si="17"/>
        <v>0.05493326741</v>
      </c>
      <c r="AN198" s="104">
        <f t="shared" si="18"/>
        <v>2.183222476</v>
      </c>
      <c r="AO198" s="97">
        <f t="shared" si="19"/>
        <v>2488.873623</v>
      </c>
    </row>
    <row r="199" ht="15.75" customHeight="1">
      <c r="A199" s="95">
        <v>41503.0</v>
      </c>
      <c r="B199" s="60" t="s">
        <v>151</v>
      </c>
      <c r="C199" s="60" t="s">
        <v>155</v>
      </c>
      <c r="D199" s="96">
        <v>108.0</v>
      </c>
      <c r="E199" s="97">
        <v>912.25</v>
      </c>
      <c r="F199" s="98">
        <v>79.1758992251672</v>
      </c>
      <c r="G199" s="99">
        <v>9.101262E7</v>
      </c>
      <c r="H199" s="99">
        <f t="shared" si="1"/>
        <v>205805.9275</v>
      </c>
      <c r="I199" s="100">
        <f t="shared" si="71"/>
        <v>0.001195641447</v>
      </c>
      <c r="J199" s="101">
        <f t="shared" si="3"/>
        <v>0.2697397609</v>
      </c>
      <c r="K199" s="102">
        <v>20.88629366388675</v>
      </c>
      <c r="L199" s="103">
        <v>1.167634E8</v>
      </c>
      <c r="M199" s="99">
        <f t="shared" si="4"/>
        <v>316484.4766</v>
      </c>
      <c r="N199" s="100">
        <f t="shared" si="72"/>
        <v>0.001387943615</v>
      </c>
      <c r="O199" s="101">
        <f t="shared" si="6"/>
        <v>0.4815156027</v>
      </c>
      <c r="P199" s="98">
        <v>7.933280057501689</v>
      </c>
      <c r="Q199" s="99">
        <v>1.6330426269E10</v>
      </c>
      <c r="R199" s="99">
        <f t="shared" si="7"/>
        <v>31815.04512</v>
      </c>
      <c r="S199" s="100">
        <f t="shared" si="73"/>
        <v>0.001481969929</v>
      </c>
      <c r="T199" s="101">
        <f t="shared" si="9"/>
        <v>0.05168423146</v>
      </c>
      <c r="U199" s="100">
        <f t="shared" si="10"/>
        <v>0.8029395951</v>
      </c>
      <c r="V199" s="99">
        <f t="shared" si="11"/>
        <v>732.4816456</v>
      </c>
      <c r="W199" s="96">
        <v>2130.0</v>
      </c>
      <c r="X199" s="97">
        <v>1129.0</v>
      </c>
      <c r="Y199" s="98">
        <v>1654.879457736997</v>
      </c>
      <c r="Z199" s="103">
        <v>1.54428964E8</v>
      </c>
      <c r="AA199" s="99">
        <v>349209.366945279</v>
      </c>
      <c r="AB199" s="100">
        <f t="shared" si="74"/>
        <v>0.01693325725</v>
      </c>
      <c r="AC199" s="101">
        <f t="shared" si="13"/>
        <v>5.237601455</v>
      </c>
      <c r="AD199" s="98">
        <v>374.0578481948566</v>
      </c>
      <c r="AE199" s="99">
        <v>1.51576304E8</v>
      </c>
      <c r="AF199" s="99">
        <v>349524.02110103</v>
      </c>
      <c r="AG199" s="100">
        <f t="shared" si="75"/>
        <v>0.0197719116</v>
      </c>
      <c r="AH199" s="101">
        <f t="shared" si="15"/>
        <v>6.121132018</v>
      </c>
      <c r="AI199" s="102">
        <v>100.9644814851288</v>
      </c>
      <c r="AJ199" s="99">
        <v>2.6311076528E10</v>
      </c>
      <c r="AK199" s="99">
        <v>51259.414372873005</v>
      </c>
      <c r="AL199" s="100">
        <f t="shared" si="76"/>
        <v>0.0137299606</v>
      </c>
      <c r="AM199" s="100">
        <f t="shared" si="17"/>
        <v>0.6233744374</v>
      </c>
      <c r="AN199" s="104">
        <f t="shared" si="18"/>
        <v>11.98210791</v>
      </c>
      <c r="AO199" s="97">
        <f t="shared" si="19"/>
        <v>13527.79983</v>
      </c>
    </row>
    <row r="200" ht="15.75" customHeight="1">
      <c r="A200" s="95">
        <v>41601.0</v>
      </c>
      <c r="B200" s="60" t="s">
        <v>151</v>
      </c>
      <c r="C200" s="60" t="s">
        <v>801</v>
      </c>
      <c r="D200" s="108">
        <v>1.0</v>
      </c>
      <c r="E200" s="109">
        <v>5625.5</v>
      </c>
      <c r="F200" s="110">
        <v>1.0</v>
      </c>
      <c r="G200" s="99">
        <v>9.101262E7</v>
      </c>
      <c r="H200" s="99">
        <f t="shared" si="1"/>
        <v>205805.9275</v>
      </c>
      <c r="I200" s="100">
        <f t="shared" si="71"/>
        <v>0.00001510107821</v>
      </c>
      <c r="J200" s="101">
        <f t="shared" si="3"/>
        <v>0.00055246492</v>
      </c>
      <c r="K200" s="111">
        <v>0.0</v>
      </c>
      <c r="L200" s="103">
        <v>1.167634E8</v>
      </c>
      <c r="M200" s="99">
        <f t="shared" si="4"/>
        <v>316484.4766</v>
      </c>
      <c r="N200" s="100">
        <f t="shared" si="72"/>
        <v>0</v>
      </c>
      <c r="O200" s="101">
        <f t="shared" si="6"/>
        <v>0</v>
      </c>
      <c r="P200" s="110">
        <v>0.0</v>
      </c>
      <c r="Q200" s="99">
        <v>1.6330426269E10</v>
      </c>
      <c r="R200" s="99">
        <f t="shared" si="7"/>
        <v>31815.04512</v>
      </c>
      <c r="S200" s="100">
        <f t="shared" si="73"/>
        <v>0</v>
      </c>
      <c r="T200" s="101">
        <f t="shared" si="9"/>
        <v>0</v>
      </c>
      <c r="U200" s="100">
        <f t="shared" si="10"/>
        <v>0.00055246492</v>
      </c>
      <c r="V200" s="99">
        <f t="shared" si="11"/>
        <v>3.107891408</v>
      </c>
      <c r="W200" s="108">
        <v>1.0</v>
      </c>
      <c r="X200" s="97">
        <v>5996.0</v>
      </c>
      <c r="Y200" s="110">
        <v>1.0</v>
      </c>
      <c r="Z200" s="103">
        <v>1.54428964E8</v>
      </c>
      <c r="AA200" s="99">
        <v>349209.366945279</v>
      </c>
      <c r="AB200" s="100">
        <f t="shared" si="74"/>
        <v>0.00001023232065</v>
      </c>
      <c r="AC200" s="101">
        <f t="shared" si="13"/>
        <v>0.0005959343255</v>
      </c>
      <c r="AD200" s="110">
        <v>0.0</v>
      </c>
      <c r="AE200" s="99">
        <v>1.51576304E8</v>
      </c>
      <c r="AF200" s="99">
        <v>349524.02110103</v>
      </c>
      <c r="AG200" s="100">
        <f t="shared" si="75"/>
        <v>0</v>
      </c>
      <c r="AH200" s="101">
        <f t="shared" si="15"/>
        <v>0</v>
      </c>
      <c r="AI200" s="111">
        <v>0.0</v>
      </c>
      <c r="AJ200" s="99">
        <v>2.6311076528E10</v>
      </c>
      <c r="AK200" s="99">
        <v>51259.414372873005</v>
      </c>
      <c r="AL200" s="100">
        <f t="shared" si="76"/>
        <v>0</v>
      </c>
      <c r="AM200" s="100">
        <f t="shared" si="17"/>
        <v>0</v>
      </c>
      <c r="AN200" s="104">
        <f t="shared" si="18"/>
        <v>0.0005959343255</v>
      </c>
      <c r="AO200" s="97">
        <f t="shared" si="19"/>
        <v>3.573222216</v>
      </c>
    </row>
    <row r="201" ht="15.75" customHeight="1">
      <c r="A201" s="95">
        <v>50101.0</v>
      </c>
      <c r="B201" s="60" t="s">
        <v>183</v>
      </c>
      <c r="C201" s="60" t="s">
        <v>183</v>
      </c>
      <c r="D201" s="96">
        <v>44803.0</v>
      </c>
      <c r="E201" s="97">
        <v>198152.0</v>
      </c>
      <c r="F201" s="98">
        <v>35051.77469049908</v>
      </c>
      <c r="G201" s="99">
        <v>8.0715608E7</v>
      </c>
      <c r="H201" s="99">
        <f t="shared" si="1"/>
        <v>182521.3972</v>
      </c>
      <c r="I201" s="100">
        <f t="shared" ref="I201:I242" si="77">F201/SUM($F$201:$F$242)</f>
        <v>0.7782678328</v>
      </c>
      <c r="J201" s="101">
        <f t="shared" si="3"/>
        <v>0.716876601</v>
      </c>
      <c r="K201" s="102">
        <v>8615.655854054085</v>
      </c>
      <c r="L201" s="103">
        <v>1.02296881E8</v>
      </c>
      <c r="M201" s="99">
        <f t="shared" si="4"/>
        <v>277273.3138</v>
      </c>
      <c r="N201" s="100">
        <f t="shared" ref="N201:N242" si="78">K201/SUM($K$201:$K$242)</f>
        <v>0.8097881254</v>
      </c>
      <c r="O201" s="101">
        <f t="shared" si="6"/>
        <v>1.133133337</v>
      </c>
      <c r="P201" s="98">
        <v>1130.444711744909</v>
      </c>
      <c r="Q201" s="99">
        <v>1.312701719E9</v>
      </c>
      <c r="R201" s="99">
        <f t="shared" si="7"/>
        <v>2557.414224</v>
      </c>
      <c r="S201" s="100">
        <f t="shared" ref="S201:S242" si="79">P201/SUM($P$201:$P$242)</f>
        <v>0.7700195793</v>
      </c>
      <c r="T201" s="101">
        <f t="shared" si="9"/>
        <v>0.009938123384</v>
      </c>
      <c r="U201" s="100">
        <f t="shared" si="10"/>
        <v>1.859948061</v>
      </c>
      <c r="V201" s="99">
        <f t="shared" si="11"/>
        <v>368552.4282</v>
      </c>
      <c r="W201" s="96">
        <v>66234.0</v>
      </c>
      <c r="X201" s="97">
        <v>218702.0</v>
      </c>
      <c r="Y201" s="98">
        <v>54124.04890292474</v>
      </c>
      <c r="Z201" s="103">
        <v>1.21716258E8</v>
      </c>
      <c r="AA201" s="99">
        <v>275236.30478495</v>
      </c>
      <c r="AB201" s="100">
        <f t="shared" ref="AB201:AB242" si="80">Y201/SUM($Y$201:$Y$242)</f>
        <v>0.7428632852</v>
      </c>
      <c r="AC201" s="101">
        <f t="shared" si="13"/>
        <v>0.9348928934</v>
      </c>
      <c r="AD201" s="98">
        <v>10487.92728598849</v>
      </c>
      <c r="AE201" s="99">
        <v>1.4807467E8</v>
      </c>
      <c r="AF201" s="99">
        <v>298068.80334898003</v>
      </c>
      <c r="AG201" s="100">
        <f t="shared" ref="AG201:AG242" si="81">AD201/SUM($AD$201:$AD$242)</f>
        <v>0.7576361206</v>
      </c>
      <c r="AH201" s="101">
        <f t="shared" si="15"/>
        <v>1.032581741</v>
      </c>
      <c r="AI201" s="102">
        <v>1615.614180336598</v>
      </c>
      <c r="AJ201" s="99">
        <v>1.717060725E9</v>
      </c>
      <c r="AK201" s="99">
        <v>3345.1891293834997</v>
      </c>
      <c r="AL201" s="100">
        <f t="shared" ref="AL201:AL242" si="82">AI201/SUM($AI$201:$AI$242)</f>
        <v>0.7465658007</v>
      </c>
      <c r="AM201" s="100">
        <f t="shared" si="17"/>
        <v>0.01141920879</v>
      </c>
      <c r="AN201" s="104">
        <f t="shared" si="18"/>
        <v>1.978893843</v>
      </c>
      <c r="AO201" s="97">
        <f t="shared" si="19"/>
        <v>432788.0412</v>
      </c>
    </row>
    <row r="202" ht="15.75" customHeight="1">
      <c r="A202" s="95">
        <v>50102.0</v>
      </c>
      <c r="B202" s="60" t="s">
        <v>183</v>
      </c>
      <c r="C202" s="60" t="s">
        <v>802</v>
      </c>
      <c r="D202" s="108">
        <v>0.0</v>
      </c>
      <c r="E202" s="109">
        <v>27635.5</v>
      </c>
      <c r="F202" s="110">
        <v>0.0</v>
      </c>
      <c r="G202" s="99">
        <v>8.0715608E7</v>
      </c>
      <c r="H202" s="99">
        <f t="shared" si="1"/>
        <v>182521.3972</v>
      </c>
      <c r="I202" s="100">
        <f t="shared" si="77"/>
        <v>0</v>
      </c>
      <c r="J202" s="101">
        <f t="shared" si="3"/>
        <v>0</v>
      </c>
      <c r="K202" s="111">
        <v>0.0</v>
      </c>
      <c r="L202" s="103">
        <v>1.02296881E8</v>
      </c>
      <c r="M202" s="99">
        <f t="shared" si="4"/>
        <v>277273.3138</v>
      </c>
      <c r="N202" s="100">
        <f t="shared" si="78"/>
        <v>0</v>
      </c>
      <c r="O202" s="101">
        <f t="shared" si="6"/>
        <v>0</v>
      </c>
      <c r="P202" s="110">
        <v>0.0</v>
      </c>
      <c r="Q202" s="99">
        <v>1.312701719E9</v>
      </c>
      <c r="R202" s="99">
        <f t="shared" si="7"/>
        <v>2557.414224</v>
      </c>
      <c r="S202" s="100">
        <f t="shared" si="79"/>
        <v>0</v>
      </c>
      <c r="T202" s="101">
        <f t="shared" si="9"/>
        <v>0</v>
      </c>
      <c r="U202" s="100">
        <f t="shared" si="10"/>
        <v>0</v>
      </c>
      <c r="V202" s="99">
        <f t="shared" si="11"/>
        <v>0</v>
      </c>
      <c r="W202" s="108">
        <v>0.0</v>
      </c>
      <c r="X202" s="97">
        <v>28942.0</v>
      </c>
      <c r="Y202" s="110">
        <v>0.0</v>
      </c>
      <c r="Z202" s="103">
        <v>1.21716258E8</v>
      </c>
      <c r="AA202" s="99">
        <v>275236.30478495</v>
      </c>
      <c r="AB202" s="100">
        <f t="shared" si="80"/>
        <v>0</v>
      </c>
      <c r="AC202" s="101">
        <f t="shared" si="13"/>
        <v>0</v>
      </c>
      <c r="AD202" s="110">
        <v>0.0</v>
      </c>
      <c r="AE202" s="99">
        <v>1.4807467E8</v>
      </c>
      <c r="AF202" s="99">
        <v>298068.80334898003</v>
      </c>
      <c r="AG202" s="100">
        <f t="shared" si="81"/>
        <v>0</v>
      </c>
      <c r="AH202" s="101">
        <f t="shared" si="15"/>
        <v>0</v>
      </c>
      <c r="AI202" s="111">
        <v>0.0</v>
      </c>
      <c r="AJ202" s="99">
        <v>1.717060725E9</v>
      </c>
      <c r="AK202" s="99">
        <v>3345.1891293834997</v>
      </c>
      <c r="AL202" s="100">
        <f t="shared" si="82"/>
        <v>0</v>
      </c>
      <c r="AM202" s="100">
        <f t="shared" si="17"/>
        <v>0</v>
      </c>
      <c r="AN202" s="104">
        <f t="shared" si="18"/>
        <v>0</v>
      </c>
      <c r="AO202" s="97">
        <f t="shared" si="19"/>
        <v>0</v>
      </c>
    </row>
    <row r="203" ht="15.75" customHeight="1">
      <c r="A203" s="95">
        <v>50103.0</v>
      </c>
      <c r="B203" s="60" t="s">
        <v>183</v>
      </c>
      <c r="C203" s="60" t="s">
        <v>212</v>
      </c>
      <c r="D203" s="96">
        <v>15.0</v>
      </c>
      <c r="E203" s="97">
        <v>9797.5</v>
      </c>
      <c r="F203" s="98">
        <v>11.72120805832791</v>
      </c>
      <c r="G203" s="99">
        <v>8.0715608E7</v>
      </c>
      <c r="H203" s="99">
        <f t="shared" si="1"/>
        <v>182521.3972</v>
      </c>
      <c r="I203" s="100">
        <f t="shared" si="77"/>
        <v>0.0002602504231</v>
      </c>
      <c r="J203" s="101">
        <f t="shared" si="3"/>
        <v>0.004848305266</v>
      </c>
      <c r="K203" s="102">
        <v>2.969846243831832</v>
      </c>
      <c r="L203" s="103">
        <v>1.02296881E8</v>
      </c>
      <c r="M203" s="99">
        <f t="shared" si="4"/>
        <v>277273.3138</v>
      </c>
      <c r="N203" s="100">
        <f t="shared" si="78"/>
        <v>0.0002791367556</v>
      </c>
      <c r="O203" s="101">
        <f t="shared" si="6"/>
        <v>0.007899685963</v>
      </c>
      <c r="P203" s="98">
        <v>0.3071215442744903</v>
      </c>
      <c r="Q203" s="99">
        <v>1.312701719E9</v>
      </c>
      <c r="R203" s="99">
        <f t="shared" si="7"/>
        <v>2557.414224</v>
      </c>
      <c r="S203" s="100">
        <f t="shared" si="79"/>
        <v>0.000209200503</v>
      </c>
      <c r="T203" s="101">
        <f t="shared" si="9"/>
        <v>0.00005460702649</v>
      </c>
      <c r="U203" s="100">
        <f t="shared" si="10"/>
        <v>0.01280259826</v>
      </c>
      <c r="V203" s="99">
        <f t="shared" si="11"/>
        <v>125.4334564</v>
      </c>
      <c r="W203" s="96">
        <v>51.0</v>
      </c>
      <c r="X203" s="97">
        <v>12253.0</v>
      </c>
      <c r="Y203" s="98">
        <v>36.69534323119954</v>
      </c>
      <c r="Z203" s="103">
        <v>1.21716258E8</v>
      </c>
      <c r="AA203" s="99">
        <v>275236.30478495</v>
      </c>
      <c r="AB203" s="100">
        <f t="shared" si="80"/>
        <v>0.0005036508498</v>
      </c>
      <c r="AC203" s="101">
        <f t="shared" si="13"/>
        <v>0.01131339254</v>
      </c>
      <c r="AD203" s="98">
        <v>13.35204180553258</v>
      </c>
      <c r="AE203" s="99">
        <v>1.4807467E8</v>
      </c>
      <c r="AF203" s="99">
        <v>298068.80334898003</v>
      </c>
      <c r="AG203" s="100">
        <f t="shared" si="81"/>
        <v>0.0009645365457</v>
      </c>
      <c r="AH203" s="101">
        <f t="shared" si="15"/>
        <v>0.02346349906</v>
      </c>
      <c r="AI203" s="102">
        <v>0.9484362240376277</v>
      </c>
      <c r="AJ203" s="99">
        <v>1.717060725E9</v>
      </c>
      <c r="AK203" s="99">
        <v>3345.1891293834997</v>
      </c>
      <c r="AL203" s="100">
        <f t="shared" si="82"/>
        <v>0.0004382667951</v>
      </c>
      <c r="AM203" s="100">
        <f t="shared" si="17"/>
        <v>0.0001196511319</v>
      </c>
      <c r="AN203" s="104">
        <f t="shared" si="18"/>
        <v>0.03489654273</v>
      </c>
      <c r="AO203" s="97">
        <f t="shared" si="19"/>
        <v>427.5873381</v>
      </c>
    </row>
    <row r="204" ht="15.75" customHeight="1">
      <c r="A204" s="95">
        <v>50104.0</v>
      </c>
      <c r="B204" s="60" t="s">
        <v>183</v>
      </c>
      <c r="C204" s="60" t="s">
        <v>803</v>
      </c>
      <c r="D204" s="108">
        <v>0.0</v>
      </c>
      <c r="E204" s="109">
        <v>2849.5</v>
      </c>
      <c r="F204" s="110">
        <v>0.0</v>
      </c>
      <c r="G204" s="99">
        <v>8.0715608E7</v>
      </c>
      <c r="H204" s="99">
        <f t="shared" si="1"/>
        <v>182521.3972</v>
      </c>
      <c r="I204" s="100">
        <f t="shared" si="77"/>
        <v>0</v>
      </c>
      <c r="J204" s="101">
        <f t="shared" si="3"/>
        <v>0</v>
      </c>
      <c r="K204" s="111">
        <v>0.0</v>
      </c>
      <c r="L204" s="103">
        <v>1.02296881E8</v>
      </c>
      <c r="M204" s="99">
        <f t="shared" si="4"/>
        <v>277273.3138</v>
      </c>
      <c r="N204" s="100">
        <f t="shared" si="78"/>
        <v>0</v>
      </c>
      <c r="O204" s="101">
        <f t="shared" si="6"/>
        <v>0</v>
      </c>
      <c r="P204" s="110">
        <v>0.0</v>
      </c>
      <c r="Q204" s="99">
        <v>1.312701719E9</v>
      </c>
      <c r="R204" s="99">
        <f t="shared" si="7"/>
        <v>2557.414224</v>
      </c>
      <c r="S204" s="100">
        <f t="shared" si="79"/>
        <v>0</v>
      </c>
      <c r="T204" s="101">
        <f t="shared" si="9"/>
        <v>0</v>
      </c>
      <c r="U204" s="100">
        <f t="shared" si="10"/>
        <v>0</v>
      </c>
      <c r="V204" s="99">
        <f t="shared" si="11"/>
        <v>0</v>
      </c>
      <c r="W204" s="108">
        <v>0.0</v>
      </c>
      <c r="X204" s="97">
        <v>3121.0</v>
      </c>
      <c r="Y204" s="110">
        <v>0.0</v>
      </c>
      <c r="Z204" s="103">
        <v>1.21716258E8</v>
      </c>
      <c r="AA204" s="99">
        <v>275236.30478495</v>
      </c>
      <c r="AB204" s="100">
        <f t="shared" si="80"/>
        <v>0</v>
      </c>
      <c r="AC204" s="101">
        <f t="shared" si="13"/>
        <v>0</v>
      </c>
      <c r="AD204" s="110">
        <v>0.0</v>
      </c>
      <c r="AE204" s="99">
        <v>1.4807467E8</v>
      </c>
      <c r="AF204" s="99">
        <v>298068.80334898003</v>
      </c>
      <c r="AG204" s="100">
        <f t="shared" si="81"/>
        <v>0</v>
      </c>
      <c r="AH204" s="101">
        <f t="shared" si="15"/>
        <v>0</v>
      </c>
      <c r="AI204" s="111">
        <v>0.0</v>
      </c>
      <c r="AJ204" s="99">
        <v>1.717060725E9</v>
      </c>
      <c r="AK204" s="99">
        <v>3345.1891293834997</v>
      </c>
      <c r="AL204" s="100">
        <f t="shared" si="82"/>
        <v>0</v>
      </c>
      <c r="AM204" s="100">
        <f t="shared" si="17"/>
        <v>0</v>
      </c>
      <c r="AN204" s="104">
        <f t="shared" si="18"/>
        <v>0</v>
      </c>
      <c r="AO204" s="97">
        <f t="shared" si="19"/>
        <v>0</v>
      </c>
    </row>
    <row r="205" ht="15.75" customHeight="1">
      <c r="A205" s="95">
        <v>50201.0</v>
      </c>
      <c r="B205" s="60" t="s">
        <v>183</v>
      </c>
      <c r="C205" s="60" t="s">
        <v>208</v>
      </c>
      <c r="D205" s="96">
        <v>466.0</v>
      </c>
      <c r="E205" s="97">
        <v>22207.0</v>
      </c>
      <c r="F205" s="98">
        <v>378.6583802219567</v>
      </c>
      <c r="G205" s="99">
        <v>8.0715608E7</v>
      </c>
      <c r="H205" s="99">
        <f t="shared" si="1"/>
        <v>182521.3972</v>
      </c>
      <c r="I205" s="100">
        <f t="shared" si="77"/>
        <v>0.008407495471</v>
      </c>
      <c r="J205" s="101">
        <f t="shared" si="3"/>
        <v>0.06910198678</v>
      </c>
      <c r="K205" s="102">
        <v>70.69904830342709</v>
      </c>
      <c r="L205" s="103">
        <v>1.02296881E8</v>
      </c>
      <c r="M205" s="99">
        <f t="shared" si="4"/>
        <v>277273.3138</v>
      </c>
      <c r="N205" s="100">
        <f t="shared" si="78"/>
        <v>0.006645025145</v>
      </c>
      <c r="O205" s="101">
        <f t="shared" si="6"/>
        <v>0.08296880002</v>
      </c>
      <c r="P205" s="98">
        <v>16.56142778707513</v>
      </c>
      <c r="Q205" s="99">
        <v>1.312701719E9</v>
      </c>
      <c r="R205" s="99">
        <f t="shared" si="7"/>
        <v>2557.414224</v>
      </c>
      <c r="S205" s="100">
        <f t="shared" si="79"/>
        <v>0.011281068</v>
      </c>
      <c r="T205" s="101">
        <f t="shared" si="9"/>
        <v>0.001299156291</v>
      </c>
      <c r="U205" s="100">
        <f t="shared" si="10"/>
        <v>0.1533699431</v>
      </c>
      <c r="V205" s="99">
        <f t="shared" si="11"/>
        <v>3405.886326</v>
      </c>
      <c r="W205" s="96">
        <v>564.0</v>
      </c>
      <c r="X205" s="97">
        <v>22768.0</v>
      </c>
      <c r="Y205" s="98">
        <v>483.8520323061715</v>
      </c>
      <c r="Z205" s="103">
        <v>1.21716258E8</v>
      </c>
      <c r="AA205" s="99">
        <v>275236.30478495</v>
      </c>
      <c r="AB205" s="100">
        <f t="shared" si="80"/>
        <v>0.006640964923</v>
      </c>
      <c r="AC205" s="101">
        <f t="shared" si="13"/>
        <v>0.08028086111</v>
      </c>
      <c r="AD205" s="98">
        <v>63.88282975043452</v>
      </c>
      <c r="AE205" s="99">
        <v>1.4807467E8</v>
      </c>
      <c r="AF205" s="99">
        <v>298068.80334898003</v>
      </c>
      <c r="AG205" s="100">
        <f t="shared" si="81"/>
        <v>0.004614824072</v>
      </c>
      <c r="AH205" s="101">
        <f t="shared" si="15"/>
        <v>0.06041527973</v>
      </c>
      <c r="AI205" s="102">
        <v>16.19907813951102</v>
      </c>
      <c r="AJ205" s="99">
        <v>1.717060725E9</v>
      </c>
      <c r="AK205" s="99">
        <v>3345.1891293834997</v>
      </c>
      <c r="AL205" s="100">
        <f t="shared" si="82"/>
        <v>0.007485498635</v>
      </c>
      <c r="AM205" s="100">
        <f t="shared" si="17"/>
        <v>0.001099807127</v>
      </c>
      <c r="AN205" s="104">
        <f t="shared" si="18"/>
        <v>0.141795948</v>
      </c>
      <c r="AO205" s="97">
        <f t="shared" si="19"/>
        <v>3228.410143</v>
      </c>
    </row>
    <row r="206" ht="15.75" customHeight="1">
      <c r="A206" s="95">
        <v>50202.0</v>
      </c>
      <c r="B206" s="60" t="s">
        <v>183</v>
      </c>
      <c r="C206" s="60" t="s">
        <v>191</v>
      </c>
      <c r="D206" s="96">
        <v>32.0</v>
      </c>
      <c r="E206" s="97">
        <v>16102.0</v>
      </c>
      <c r="F206" s="98">
        <v>26.77121664288513</v>
      </c>
      <c r="G206" s="99">
        <v>8.0715608E7</v>
      </c>
      <c r="H206" s="99">
        <f t="shared" si="1"/>
        <v>182521.3972</v>
      </c>
      <c r="I206" s="100">
        <f t="shared" si="77"/>
        <v>0.0005944114654</v>
      </c>
      <c r="J206" s="101">
        <f t="shared" si="3"/>
        <v>0.006737846925</v>
      </c>
      <c r="K206" s="102">
        <v>4.334401054040721</v>
      </c>
      <c r="L206" s="103">
        <v>1.02296881E8</v>
      </c>
      <c r="M206" s="99">
        <f t="shared" si="4"/>
        <v>277273.3138</v>
      </c>
      <c r="N206" s="100">
        <f t="shared" si="78"/>
        <v>0.000407391679</v>
      </c>
      <c r="O206" s="101">
        <f t="shared" si="6"/>
        <v>0.007015205617</v>
      </c>
      <c r="P206" s="98">
        <v>0.8895484942851559</v>
      </c>
      <c r="Q206" s="99">
        <v>1.312701719E9</v>
      </c>
      <c r="R206" s="99">
        <f t="shared" si="7"/>
        <v>2557.414224</v>
      </c>
      <c r="S206" s="100">
        <f t="shared" si="79"/>
        <v>0.0006059294632</v>
      </c>
      <c r="T206" s="101">
        <f t="shared" si="9"/>
        <v>0.0000962372766</v>
      </c>
      <c r="U206" s="100">
        <f t="shared" si="10"/>
        <v>0.01384928982</v>
      </c>
      <c r="V206" s="99">
        <f t="shared" si="11"/>
        <v>223.0012647</v>
      </c>
      <c r="W206" s="96">
        <v>31.0</v>
      </c>
      <c r="X206" s="97">
        <v>16021.0</v>
      </c>
      <c r="Y206" s="98">
        <v>25.9715069186471</v>
      </c>
      <c r="Z206" s="103">
        <v>1.21716258E8</v>
      </c>
      <c r="AA206" s="99">
        <v>275236.30478495</v>
      </c>
      <c r="AB206" s="100">
        <f t="shared" si="80"/>
        <v>0.0003564640736</v>
      </c>
      <c r="AC206" s="101">
        <f t="shared" si="13"/>
        <v>0.006123953212</v>
      </c>
      <c r="AD206" s="98">
        <v>4.183820502516773</v>
      </c>
      <c r="AE206" s="99">
        <v>1.4807467E8</v>
      </c>
      <c r="AF206" s="99">
        <v>298068.80334898003</v>
      </c>
      <c r="AG206" s="100">
        <f t="shared" si="81"/>
        <v>0.0003022345072</v>
      </c>
      <c r="AH206" s="101">
        <f t="shared" si="15"/>
        <v>0.005623037132</v>
      </c>
      <c r="AI206" s="102">
        <v>0.840201614749597</v>
      </c>
      <c r="AJ206" s="99">
        <v>1.717060725E9</v>
      </c>
      <c r="AK206" s="99">
        <v>3345.1891293834997</v>
      </c>
      <c r="AL206" s="100">
        <f t="shared" si="82"/>
        <v>0.0003882522194</v>
      </c>
      <c r="AM206" s="100">
        <f t="shared" si="17"/>
        <v>0.00008106716833</v>
      </c>
      <c r="AN206" s="104">
        <f t="shared" si="18"/>
        <v>0.01182805751</v>
      </c>
      <c r="AO206" s="97">
        <f t="shared" si="19"/>
        <v>189.4973094</v>
      </c>
    </row>
    <row r="207" ht="15.75" customHeight="1">
      <c r="A207" s="95">
        <v>50203.0</v>
      </c>
      <c r="B207" s="60" t="s">
        <v>183</v>
      </c>
      <c r="C207" s="60" t="s">
        <v>195</v>
      </c>
      <c r="D207" s="96">
        <v>1687.0</v>
      </c>
      <c r="E207" s="97">
        <v>41249.5</v>
      </c>
      <c r="F207" s="98">
        <v>1387.704569940875</v>
      </c>
      <c r="G207" s="99">
        <v>8.0715608E7</v>
      </c>
      <c r="H207" s="99">
        <f t="shared" si="1"/>
        <v>182521.3972</v>
      </c>
      <c r="I207" s="100">
        <f t="shared" si="77"/>
        <v>0.0308117303</v>
      </c>
      <c r="J207" s="101">
        <f t="shared" si="3"/>
        <v>0.1363361996</v>
      </c>
      <c r="K207" s="102">
        <v>252.7554919681201</v>
      </c>
      <c r="L207" s="103">
        <v>1.02296881E8</v>
      </c>
      <c r="M207" s="99">
        <f t="shared" si="4"/>
        <v>277273.3138</v>
      </c>
      <c r="N207" s="100">
        <f t="shared" si="78"/>
        <v>0.02375656589</v>
      </c>
      <c r="O207" s="101">
        <f t="shared" si="6"/>
        <v>0.1596882811</v>
      </c>
      <c r="P207" s="98">
        <v>46.3305028606656</v>
      </c>
      <c r="Q207" s="99">
        <v>1.312701719E9</v>
      </c>
      <c r="R207" s="99">
        <f t="shared" si="7"/>
        <v>2557.414224</v>
      </c>
      <c r="S207" s="100">
        <f t="shared" si="79"/>
        <v>0.03155872548</v>
      </c>
      <c r="T207" s="101">
        <f t="shared" si="9"/>
        <v>0.001956599072</v>
      </c>
      <c r="U207" s="100">
        <f t="shared" si="10"/>
        <v>0.2979810797</v>
      </c>
      <c r="V207" s="99">
        <f t="shared" si="11"/>
        <v>12291.57055</v>
      </c>
      <c r="W207" s="96">
        <v>3152.0</v>
      </c>
      <c r="X207" s="97">
        <v>41686.0</v>
      </c>
      <c r="Y207" s="98">
        <v>2641.619801983134</v>
      </c>
      <c r="Z207" s="103">
        <v>1.21716258E8</v>
      </c>
      <c r="AA207" s="99">
        <v>275236.30478495</v>
      </c>
      <c r="AB207" s="100">
        <f t="shared" si="80"/>
        <v>0.0362567547</v>
      </c>
      <c r="AC207" s="101">
        <f t="shared" si="13"/>
        <v>0.2393891279</v>
      </c>
      <c r="AD207" s="98">
        <v>421.7706193076178</v>
      </c>
      <c r="AE207" s="99">
        <v>1.4807467E8</v>
      </c>
      <c r="AF207" s="99">
        <v>298068.80334898003</v>
      </c>
      <c r="AG207" s="100">
        <f t="shared" si="81"/>
        <v>0.03046823715</v>
      </c>
      <c r="AH207" s="101">
        <f t="shared" si="15"/>
        <v>0.2178580576</v>
      </c>
      <c r="AI207" s="102">
        <v>88.2265125976915</v>
      </c>
      <c r="AJ207" s="99">
        <v>1.717060725E9</v>
      </c>
      <c r="AK207" s="99">
        <v>3345.1891293834997</v>
      </c>
      <c r="AL207" s="100">
        <f t="shared" si="82"/>
        <v>0.04076895203</v>
      </c>
      <c r="AM207" s="100">
        <f t="shared" si="17"/>
        <v>0.003271598502</v>
      </c>
      <c r="AN207" s="104">
        <f t="shared" si="18"/>
        <v>0.460518784</v>
      </c>
      <c r="AO207" s="97">
        <f t="shared" si="19"/>
        <v>19197.18603</v>
      </c>
    </row>
    <row r="208" ht="15.75" customHeight="1">
      <c r="A208" s="95">
        <v>50204.0</v>
      </c>
      <c r="B208" s="60" t="s">
        <v>183</v>
      </c>
      <c r="C208" s="60" t="s">
        <v>804</v>
      </c>
      <c r="D208" s="108"/>
      <c r="E208" s="109">
        <v>8069.25</v>
      </c>
      <c r="F208" s="110"/>
      <c r="G208" s="99">
        <v>8.0715608E7</v>
      </c>
      <c r="H208" s="99">
        <f t="shared" si="1"/>
        <v>182521.3972</v>
      </c>
      <c r="I208" s="100">
        <f t="shared" si="77"/>
        <v>0</v>
      </c>
      <c r="J208" s="101">
        <f t="shared" si="3"/>
        <v>0</v>
      </c>
      <c r="K208" s="111"/>
      <c r="L208" s="103">
        <v>1.02296881E8</v>
      </c>
      <c r="M208" s="99">
        <f t="shared" si="4"/>
        <v>277273.3138</v>
      </c>
      <c r="N208" s="100">
        <f t="shared" si="78"/>
        <v>0</v>
      </c>
      <c r="O208" s="101">
        <f t="shared" si="6"/>
        <v>0</v>
      </c>
      <c r="P208" s="110"/>
      <c r="Q208" s="99">
        <v>1.312701719E9</v>
      </c>
      <c r="R208" s="99">
        <f t="shared" si="7"/>
        <v>2557.414224</v>
      </c>
      <c r="S208" s="100">
        <f t="shared" si="79"/>
        <v>0</v>
      </c>
      <c r="T208" s="101">
        <f t="shared" si="9"/>
        <v>0</v>
      </c>
      <c r="U208" s="100">
        <f t="shared" si="10"/>
        <v>0</v>
      </c>
      <c r="V208" s="99">
        <f t="shared" si="11"/>
        <v>0</v>
      </c>
      <c r="W208" s="108"/>
      <c r="X208" s="97">
        <v>8220.0</v>
      </c>
      <c r="Y208" s="110"/>
      <c r="Z208" s="103">
        <v>1.21716258E8</v>
      </c>
      <c r="AA208" s="99">
        <v>275236.30478495</v>
      </c>
      <c r="AB208" s="100">
        <f t="shared" si="80"/>
        <v>0</v>
      </c>
      <c r="AC208" s="101">
        <f t="shared" si="13"/>
        <v>0</v>
      </c>
      <c r="AD208" s="110"/>
      <c r="AE208" s="99">
        <v>1.4807467E8</v>
      </c>
      <c r="AF208" s="99">
        <v>298068.80334898003</v>
      </c>
      <c r="AG208" s="100">
        <f t="shared" si="81"/>
        <v>0</v>
      </c>
      <c r="AH208" s="101">
        <f t="shared" si="15"/>
        <v>0</v>
      </c>
      <c r="AI208" s="111"/>
      <c r="AJ208" s="99">
        <v>1.717060725E9</v>
      </c>
      <c r="AK208" s="99">
        <v>3345.1891293834997</v>
      </c>
      <c r="AL208" s="100">
        <f t="shared" si="82"/>
        <v>0</v>
      </c>
      <c r="AM208" s="100">
        <f t="shared" si="17"/>
        <v>0</v>
      </c>
      <c r="AN208" s="104">
        <f t="shared" si="18"/>
        <v>0</v>
      </c>
      <c r="AO208" s="97">
        <f t="shared" si="19"/>
        <v>0</v>
      </c>
    </row>
    <row r="209" ht="15.75" customHeight="1">
      <c r="A209" s="95">
        <v>50301.0</v>
      </c>
      <c r="B209" s="60" t="s">
        <v>183</v>
      </c>
      <c r="C209" s="60" t="s">
        <v>187</v>
      </c>
      <c r="D209" s="96">
        <v>130.0</v>
      </c>
      <c r="E209" s="97">
        <v>33417.5</v>
      </c>
      <c r="F209" s="98">
        <v>87.03636640482117</v>
      </c>
      <c r="G209" s="99">
        <v>8.0715608E7</v>
      </c>
      <c r="H209" s="99">
        <f t="shared" si="1"/>
        <v>182521.3972</v>
      </c>
      <c r="I209" s="100">
        <f t="shared" si="77"/>
        <v>0.001932501417</v>
      </c>
      <c r="J209" s="101">
        <f t="shared" si="3"/>
        <v>0.0105550343</v>
      </c>
      <c r="K209" s="102">
        <v>40.13285153325264</v>
      </c>
      <c r="L209" s="103">
        <v>1.02296881E8</v>
      </c>
      <c r="M209" s="99">
        <f t="shared" si="4"/>
        <v>277273.3138</v>
      </c>
      <c r="N209" s="100">
        <f t="shared" si="78"/>
        <v>0.003772098974</v>
      </c>
      <c r="O209" s="101">
        <f t="shared" si="6"/>
        <v>0.03129804391</v>
      </c>
      <c r="P209" s="98">
        <v>2.824650380632534</v>
      </c>
      <c r="Q209" s="99">
        <v>1.312701719E9</v>
      </c>
      <c r="R209" s="99">
        <f t="shared" si="7"/>
        <v>2557.414224</v>
      </c>
      <c r="S209" s="100">
        <f t="shared" si="79"/>
        <v>0.001924053494</v>
      </c>
      <c r="T209" s="101">
        <f t="shared" si="9"/>
        <v>0.0001472462564</v>
      </c>
      <c r="U209" s="100">
        <f t="shared" si="10"/>
        <v>0.04200032447</v>
      </c>
      <c r="V209" s="99">
        <f t="shared" si="11"/>
        <v>1403.545843</v>
      </c>
      <c r="W209" s="96">
        <v>305.0</v>
      </c>
      <c r="X209" s="97">
        <v>31904.0</v>
      </c>
      <c r="Y209" s="98">
        <v>234.8392978444867</v>
      </c>
      <c r="Z209" s="103">
        <v>1.21716258E8</v>
      </c>
      <c r="AA209" s="99">
        <v>275236.30478495</v>
      </c>
      <c r="AB209" s="100">
        <f t="shared" si="80"/>
        <v>0.00322321585</v>
      </c>
      <c r="AC209" s="101">
        <f t="shared" si="13"/>
        <v>0.02780673333</v>
      </c>
      <c r="AD209" s="98">
        <v>63.81059463122266</v>
      </c>
      <c r="AE209" s="99">
        <v>1.4807467E8</v>
      </c>
      <c r="AF209" s="99">
        <v>298068.80334898003</v>
      </c>
      <c r="AG209" s="100">
        <f t="shared" si="81"/>
        <v>0.004609605888</v>
      </c>
      <c r="AH209" s="101">
        <f t="shared" si="15"/>
        <v>0.04306606416</v>
      </c>
      <c r="AI209" s="102">
        <v>6.332942654027709</v>
      </c>
      <c r="AJ209" s="99">
        <v>1.717060725E9</v>
      </c>
      <c r="AK209" s="99">
        <v>3345.1891293834997</v>
      </c>
      <c r="AL209" s="100">
        <f t="shared" si="82"/>
        <v>0.002926415515</v>
      </c>
      <c r="AM209" s="100">
        <f t="shared" si="17"/>
        <v>0.0003068396868</v>
      </c>
      <c r="AN209" s="104">
        <f t="shared" si="18"/>
        <v>0.07117963717</v>
      </c>
      <c r="AO209" s="97">
        <f t="shared" si="19"/>
        <v>2270.915144</v>
      </c>
    </row>
    <row r="210" ht="15.75" customHeight="1">
      <c r="A210" s="95">
        <v>50302.0</v>
      </c>
      <c r="B210" s="60" t="s">
        <v>183</v>
      </c>
      <c r="C210" s="60" t="s">
        <v>805</v>
      </c>
      <c r="D210" s="108">
        <v>13.0</v>
      </c>
      <c r="E210" s="109">
        <v>9753.75</v>
      </c>
      <c r="F210" s="110">
        <v>11.0</v>
      </c>
      <c r="G210" s="99">
        <v>8.0715608E7</v>
      </c>
      <c r="H210" s="99">
        <f t="shared" si="1"/>
        <v>182521.3972</v>
      </c>
      <c r="I210" s="100">
        <f t="shared" si="77"/>
        <v>0.0002442371673</v>
      </c>
      <c r="J210" s="101">
        <f t="shared" si="3"/>
        <v>0.004570396928</v>
      </c>
      <c r="K210" s="111">
        <v>2.0</v>
      </c>
      <c r="L210" s="103">
        <v>1.02296881E8</v>
      </c>
      <c r="M210" s="99">
        <f t="shared" si="4"/>
        <v>277273.3138</v>
      </c>
      <c r="N210" s="100">
        <f t="shared" si="78"/>
        <v>0.0001879806109</v>
      </c>
      <c r="O210" s="101">
        <f t="shared" si="6"/>
        <v>0.005343791558</v>
      </c>
      <c r="P210" s="110">
        <v>0.0</v>
      </c>
      <c r="Q210" s="99">
        <v>1.312701719E9</v>
      </c>
      <c r="R210" s="99">
        <f t="shared" si="7"/>
        <v>2557.414224</v>
      </c>
      <c r="S210" s="100">
        <f t="shared" si="79"/>
        <v>0</v>
      </c>
      <c r="T210" s="101">
        <f t="shared" si="9"/>
        <v>0</v>
      </c>
      <c r="U210" s="100">
        <f t="shared" si="10"/>
        <v>0.009914188486</v>
      </c>
      <c r="V210" s="99">
        <f t="shared" si="11"/>
        <v>96.70051594</v>
      </c>
      <c r="W210" s="108">
        <v>37.0</v>
      </c>
      <c r="X210" s="97">
        <v>9285.0</v>
      </c>
      <c r="Y210" s="110">
        <v>32.0</v>
      </c>
      <c r="Z210" s="103">
        <v>1.21716258E8</v>
      </c>
      <c r="AA210" s="99">
        <v>275236.30478495</v>
      </c>
      <c r="AB210" s="100">
        <f t="shared" si="80"/>
        <v>0.0004392063345</v>
      </c>
      <c r="AC210" s="101">
        <f t="shared" si="13"/>
        <v>0.01301944303</v>
      </c>
      <c r="AD210" s="110">
        <v>4.0</v>
      </c>
      <c r="AE210" s="99">
        <v>1.4807467E8</v>
      </c>
      <c r="AF210" s="99">
        <v>298068.80334898003</v>
      </c>
      <c r="AG210" s="100">
        <f t="shared" si="81"/>
        <v>0.00028895552</v>
      </c>
      <c r="AH210" s="101">
        <f t="shared" si="15"/>
        <v>0.009276104046</v>
      </c>
      <c r="AI210" s="111">
        <v>1.0</v>
      </c>
      <c r="AJ210" s="99">
        <v>1.717060725E9</v>
      </c>
      <c r="AK210" s="99">
        <v>3345.1891293834997</v>
      </c>
      <c r="AL210" s="100">
        <f t="shared" si="82"/>
        <v>0.0004620941124</v>
      </c>
      <c r="AM210" s="100">
        <f t="shared" si="17"/>
        <v>0.0001664827358</v>
      </c>
      <c r="AN210" s="104">
        <f t="shared" si="18"/>
        <v>0.02246202981</v>
      </c>
      <c r="AO210" s="97">
        <f t="shared" si="19"/>
        <v>208.5599468</v>
      </c>
    </row>
    <row r="211" ht="15.75" customHeight="1">
      <c r="A211" s="95">
        <v>50303.0</v>
      </c>
      <c r="B211" s="60" t="s">
        <v>183</v>
      </c>
      <c r="C211" s="60" t="s">
        <v>806</v>
      </c>
      <c r="D211" s="108"/>
      <c r="E211" s="109">
        <v>12467.75</v>
      </c>
      <c r="F211" s="110"/>
      <c r="G211" s="99">
        <v>8.0715608E7</v>
      </c>
      <c r="H211" s="99">
        <f t="shared" si="1"/>
        <v>182521.3972</v>
      </c>
      <c r="I211" s="100">
        <f t="shared" si="77"/>
        <v>0</v>
      </c>
      <c r="J211" s="101">
        <f t="shared" si="3"/>
        <v>0</v>
      </c>
      <c r="K211" s="111"/>
      <c r="L211" s="103">
        <v>1.02296881E8</v>
      </c>
      <c r="M211" s="99">
        <f t="shared" si="4"/>
        <v>277273.3138</v>
      </c>
      <c r="N211" s="100">
        <f t="shared" si="78"/>
        <v>0</v>
      </c>
      <c r="O211" s="101">
        <f t="shared" si="6"/>
        <v>0</v>
      </c>
      <c r="P211" s="110"/>
      <c r="Q211" s="99">
        <v>1.312701719E9</v>
      </c>
      <c r="R211" s="99">
        <f t="shared" si="7"/>
        <v>2557.414224</v>
      </c>
      <c r="S211" s="100">
        <f t="shared" si="79"/>
        <v>0</v>
      </c>
      <c r="T211" s="101">
        <f t="shared" si="9"/>
        <v>0</v>
      </c>
      <c r="U211" s="100">
        <f t="shared" si="10"/>
        <v>0</v>
      </c>
      <c r="V211" s="99">
        <f t="shared" si="11"/>
        <v>0</v>
      </c>
      <c r="W211" s="108"/>
      <c r="X211" s="97">
        <v>14366.0</v>
      </c>
      <c r="Y211" s="110"/>
      <c r="Z211" s="103">
        <v>1.21716258E8</v>
      </c>
      <c r="AA211" s="99">
        <v>275236.30478495</v>
      </c>
      <c r="AB211" s="100">
        <f t="shared" si="80"/>
        <v>0</v>
      </c>
      <c r="AC211" s="101">
        <f t="shared" si="13"/>
        <v>0</v>
      </c>
      <c r="AD211" s="110"/>
      <c r="AE211" s="99">
        <v>1.4807467E8</v>
      </c>
      <c r="AF211" s="99">
        <v>298068.80334898003</v>
      </c>
      <c r="AG211" s="100">
        <f t="shared" si="81"/>
        <v>0</v>
      </c>
      <c r="AH211" s="101">
        <f t="shared" si="15"/>
        <v>0</v>
      </c>
      <c r="AI211" s="111"/>
      <c r="AJ211" s="99">
        <v>1.717060725E9</v>
      </c>
      <c r="AK211" s="99">
        <v>3345.1891293834997</v>
      </c>
      <c r="AL211" s="100">
        <f t="shared" si="82"/>
        <v>0</v>
      </c>
      <c r="AM211" s="100">
        <f t="shared" si="17"/>
        <v>0</v>
      </c>
      <c r="AN211" s="104">
        <f t="shared" si="18"/>
        <v>0</v>
      </c>
      <c r="AO211" s="97">
        <f t="shared" si="19"/>
        <v>0</v>
      </c>
    </row>
    <row r="212" ht="15.75" customHeight="1">
      <c r="A212" s="95">
        <v>50401.0</v>
      </c>
      <c r="B212" s="60" t="s">
        <v>183</v>
      </c>
      <c r="C212" s="60" t="s">
        <v>193</v>
      </c>
      <c r="D212" s="96">
        <v>2.0</v>
      </c>
      <c r="E212" s="97">
        <v>15535.75</v>
      </c>
      <c r="F212" s="98">
        <v>0.351451513279802</v>
      </c>
      <c r="G212" s="99">
        <v>8.0715608E7</v>
      </c>
      <c r="H212" s="99">
        <f t="shared" si="1"/>
        <v>182521.3972</v>
      </c>
      <c r="I212" s="100">
        <f t="shared" si="77"/>
        <v>0.000007803411097</v>
      </c>
      <c r="J212" s="101">
        <f t="shared" si="3"/>
        <v>0.00009167819361</v>
      </c>
      <c r="K212" s="102">
        <v>1.647313156269302</v>
      </c>
      <c r="L212" s="103">
        <v>1.02296881E8</v>
      </c>
      <c r="M212" s="99">
        <f t="shared" si="4"/>
        <v>277273.3138</v>
      </c>
      <c r="N212" s="100">
        <f t="shared" si="78"/>
        <v>0.0001548314667</v>
      </c>
      <c r="O212" s="101">
        <f t="shared" si="6"/>
        <v>0.002763344792</v>
      </c>
      <c r="P212" s="98">
        <v>0.001235330450895614</v>
      </c>
      <c r="Q212" s="99">
        <v>1.312701719E9</v>
      </c>
      <c r="R212" s="99">
        <f t="shared" si="7"/>
        <v>2557.414224</v>
      </c>
      <c r="S212" s="100">
        <f t="shared" si="79"/>
        <v>0.0000008414640931</v>
      </c>
      <c r="T212" s="101">
        <f t="shared" si="9"/>
        <v>0.000000138517435</v>
      </c>
      <c r="U212" s="100">
        <f t="shared" si="10"/>
        <v>0.002855161503</v>
      </c>
      <c r="V212" s="99">
        <f t="shared" si="11"/>
        <v>44.35707532</v>
      </c>
      <c r="W212" s="96">
        <v>2.0</v>
      </c>
      <c r="X212" s="97">
        <v>16363.0</v>
      </c>
      <c r="Y212" s="98">
        <v>0.351451513279802</v>
      </c>
      <c r="Z212" s="103">
        <v>1.21716258E8</v>
      </c>
      <c r="AA212" s="99">
        <v>275236.30478495</v>
      </c>
      <c r="AB212" s="100">
        <f t="shared" si="80"/>
        <v>0.000004823741591</v>
      </c>
      <c r="AC212" s="101">
        <f t="shared" si="13"/>
        <v>0.00008113847159</v>
      </c>
      <c r="AD212" s="98">
        <v>1.647313156269302</v>
      </c>
      <c r="AE212" s="99">
        <v>1.4807467E8</v>
      </c>
      <c r="AF212" s="99">
        <v>298068.80334898003</v>
      </c>
      <c r="AG212" s="100">
        <f t="shared" si="81"/>
        <v>0.0001190000574</v>
      </c>
      <c r="AH212" s="101">
        <f t="shared" si="15"/>
        <v>0.002167707921</v>
      </c>
      <c r="AI212" s="102">
        <v>0.001235330450895614</v>
      </c>
      <c r="AJ212" s="99">
        <v>1.717060725E9</v>
      </c>
      <c r="AK212" s="99">
        <v>3345.1891293834997</v>
      </c>
      <c r="AL212" s="100">
        <f t="shared" si="82"/>
        <v>0.0000005708389282</v>
      </c>
      <c r="AM212" s="100">
        <f t="shared" si="17"/>
        <v>0.000000116700127</v>
      </c>
      <c r="AN212" s="104">
        <f t="shared" si="18"/>
        <v>0.002248963093</v>
      </c>
      <c r="AO212" s="97">
        <f t="shared" si="19"/>
        <v>36.79978309</v>
      </c>
    </row>
    <row r="213" ht="15.75" customHeight="1">
      <c r="A213" s="95">
        <v>50402.0</v>
      </c>
      <c r="B213" s="60" t="s">
        <v>183</v>
      </c>
      <c r="C213" s="60" t="s">
        <v>201</v>
      </c>
      <c r="D213" s="96">
        <v>2.0</v>
      </c>
      <c r="E213" s="97">
        <v>20137.0</v>
      </c>
      <c r="F213" s="98">
        <v>1.117189171274047</v>
      </c>
      <c r="G213" s="99">
        <v>8.0715608E7</v>
      </c>
      <c r="H213" s="99">
        <f t="shared" si="1"/>
        <v>182521.3972</v>
      </c>
      <c r="I213" s="100">
        <f t="shared" si="77"/>
        <v>0.00002480537442</v>
      </c>
      <c r="J213" s="101">
        <f t="shared" si="3"/>
        <v>0.000224835457</v>
      </c>
      <c r="K213" s="102">
        <v>0.8769398801984409</v>
      </c>
      <c r="L213" s="103">
        <v>1.02296881E8</v>
      </c>
      <c r="M213" s="99">
        <f t="shared" si="4"/>
        <v>277273.3138</v>
      </c>
      <c r="N213" s="100">
        <f t="shared" si="78"/>
        <v>0.0000824238472</v>
      </c>
      <c r="O213" s="101">
        <f t="shared" si="6"/>
        <v>0.001134922444</v>
      </c>
      <c r="P213" s="98">
        <v>0.005495714005935617</v>
      </c>
      <c r="Q213" s="99">
        <v>1.312701719E9</v>
      </c>
      <c r="R213" s="99">
        <f t="shared" si="7"/>
        <v>2557.414224</v>
      </c>
      <c r="S213" s="100">
        <f t="shared" si="79"/>
        <v>0.000003743489038</v>
      </c>
      <c r="T213" s="101">
        <f t="shared" si="9"/>
        <v>0.000000475425938</v>
      </c>
      <c r="U213" s="100">
        <f t="shared" si="10"/>
        <v>0.001360233327</v>
      </c>
      <c r="V213" s="99">
        <f t="shared" si="11"/>
        <v>27.3910185</v>
      </c>
      <c r="W213" s="96">
        <v>2.0</v>
      </c>
      <c r="X213" s="97">
        <v>16909.0</v>
      </c>
      <c r="Y213" s="98">
        <v>1.117189171274047</v>
      </c>
      <c r="Z213" s="103">
        <v>1.21716258E8</v>
      </c>
      <c r="AA213" s="99">
        <v>275236.30478495</v>
      </c>
      <c r="AB213" s="100">
        <f t="shared" si="80"/>
        <v>0.00001533364253</v>
      </c>
      <c r="AC213" s="101">
        <f t="shared" si="13"/>
        <v>0.0002495934182</v>
      </c>
      <c r="AD213" s="98">
        <v>0.8769398801984409</v>
      </c>
      <c r="AE213" s="99">
        <v>1.4807467E8</v>
      </c>
      <c r="AF213" s="99">
        <v>298068.80334898003</v>
      </c>
      <c r="AG213" s="100">
        <f t="shared" si="81"/>
        <v>0.00006334915477</v>
      </c>
      <c r="AH213" s="101">
        <f t="shared" si="15"/>
        <v>0.001116707479</v>
      </c>
      <c r="AI213" s="102">
        <v>0.005495714005935617</v>
      </c>
      <c r="AJ213" s="99">
        <v>1.717060725E9</v>
      </c>
      <c r="AK213" s="99">
        <v>3345.1891293834997</v>
      </c>
      <c r="AL213" s="100">
        <f t="shared" si="82"/>
        <v>0.000002539537086</v>
      </c>
      <c r="AM213" s="100">
        <f t="shared" si="17"/>
        <v>0.000000502408886</v>
      </c>
      <c r="AN213" s="104">
        <f t="shared" si="18"/>
        <v>0.001366803306</v>
      </c>
      <c r="AO213" s="97">
        <f t="shared" si="19"/>
        <v>23.11127709</v>
      </c>
    </row>
    <row r="214" ht="15.75" customHeight="1">
      <c r="A214" s="95">
        <v>50403.0</v>
      </c>
      <c r="B214" s="60" t="s">
        <v>183</v>
      </c>
      <c r="C214" s="60" t="s">
        <v>198</v>
      </c>
      <c r="D214" s="96">
        <v>9.0</v>
      </c>
      <c r="E214" s="97">
        <v>27907.75</v>
      </c>
      <c r="F214" s="98">
        <v>5.221054645843167</v>
      </c>
      <c r="G214" s="99">
        <v>8.0715608E7</v>
      </c>
      <c r="H214" s="99">
        <f t="shared" si="1"/>
        <v>182521.3972</v>
      </c>
      <c r="I214" s="100">
        <f t="shared" si="77"/>
        <v>0.0001159250543</v>
      </c>
      <c r="J214" s="101">
        <f t="shared" si="3"/>
        <v>0.000758169429</v>
      </c>
      <c r="K214" s="102">
        <v>3.672637210558748</v>
      </c>
      <c r="L214" s="103">
        <v>1.02296881E8</v>
      </c>
      <c r="M214" s="99">
        <f t="shared" si="4"/>
        <v>277273.3138</v>
      </c>
      <c r="N214" s="100">
        <f t="shared" si="78"/>
        <v>0.0003451922932</v>
      </c>
      <c r="O214" s="101">
        <f t="shared" si="6"/>
        <v>0.003429606867</v>
      </c>
      <c r="P214" s="98">
        <v>0.1046608315713622</v>
      </c>
      <c r="Q214" s="99">
        <v>1.312701719E9</v>
      </c>
      <c r="R214" s="99">
        <f t="shared" si="7"/>
        <v>2557.414224</v>
      </c>
      <c r="S214" s="100">
        <f t="shared" si="79"/>
        <v>0.00007129131453</v>
      </c>
      <c r="T214" s="101">
        <f t="shared" si="9"/>
        <v>0.000006533003262</v>
      </c>
      <c r="U214" s="100">
        <f t="shared" si="10"/>
        <v>0.004194309299</v>
      </c>
      <c r="V214" s="99">
        <f t="shared" si="11"/>
        <v>117.0537353</v>
      </c>
      <c r="W214" s="96">
        <v>6.0</v>
      </c>
      <c r="X214" s="97">
        <v>32641.0</v>
      </c>
      <c r="Y214" s="98">
        <v>3.928139717929219</v>
      </c>
      <c r="Z214" s="103">
        <v>1.21716258E8</v>
      </c>
      <c r="AA214" s="99">
        <v>275236.30478495</v>
      </c>
      <c r="AB214" s="100">
        <f t="shared" si="80"/>
        <v>0.00005391449521</v>
      </c>
      <c r="AC214" s="101">
        <f t="shared" si="13"/>
        <v>0.0004546192346</v>
      </c>
      <c r="AD214" s="98">
        <v>1.972040752225656</v>
      </c>
      <c r="AE214" s="99">
        <v>1.4807467E8</v>
      </c>
      <c r="AF214" s="99">
        <v>298068.80334898003</v>
      </c>
      <c r="AG214" s="100">
        <f t="shared" si="81"/>
        <v>0.0001424580152</v>
      </c>
      <c r="AH214" s="101">
        <f t="shared" si="15"/>
        <v>0.001300888151</v>
      </c>
      <c r="AI214" s="102">
        <v>0.09854745233997875</v>
      </c>
      <c r="AJ214" s="99">
        <v>1.717060725E9</v>
      </c>
      <c r="AK214" s="99">
        <v>3345.1891293834997</v>
      </c>
      <c r="AL214" s="100">
        <f t="shared" si="82"/>
        <v>0.00004553819752</v>
      </c>
      <c r="AM214" s="100">
        <f t="shared" si="17"/>
        <v>0.000004666949031</v>
      </c>
      <c r="AN214" s="104">
        <f t="shared" si="18"/>
        <v>0.001760174335</v>
      </c>
      <c r="AO214" s="97">
        <f t="shared" si="19"/>
        <v>57.45385045</v>
      </c>
    </row>
    <row r="215" ht="15.75" customHeight="1">
      <c r="A215" s="95">
        <v>50404.0</v>
      </c>
      <c r="B215" s="60" t="s">
        <v>183</v>
      </c>
      <c r="C215" s="60" t="s">
        <v>807</v>
      </c>
      <c r="D215" s="108">
        <v>1.0</v>
      </c>
      <c r="E215" s="109">
        <v>15721.5</v>
      </c>
      <c r="F215" s="110">
        <v>1.0</v>
      </c>
      <c r="G215" s="99">
        <v>8.0715608E7</v>
      </c>
      <c r="H215" s="99">
        <f t="shared" si="1"/>
        <v>182521.3972</v>
      </c>
      <c r="I215" s="100">
        <f t="shared" si="77"/>
        <v>0.00002220337885</v>
      </c>
      <c r="J215" s="101">
        <f t="shared" si="3"/>
        <v>0.0002577738594</v>
      </c>
      <c r="K215" s="111">
        <v>0.0</v>
      </c>
      <c r="L215" s="103">
        <v>1.02296881E8</v>
      </c>
      <c r="M215" s="99">
        <f t="shared" si="4"/>
        <v>277273.3138</v>
      </c>
      <c r="N215" s="100">
        <f t="shared" si="78"/>
        <v>0</v>
      </c>
      <c r="O215" s="101">
        <f t="shared" si="6"/>
        <v>0</v>
      </c>
      <c r="P215" s="110">
        <v>0.0</v>
      </c>
      <c r="Q215" s="99">
        <v>1.312701719E9</v>
      </c>
      <c r="R215" s="99">
        <f t="shared" si="7"/>
        <v>2557.414224</v>
      </c>
      <c r="S215" s="100">
        <f t="shared" si="79"/>
        <v>0</v>
      </c>
      <c r="T215" s="101">
        <f t="shared" si="9"/>
        <v>0</v>
      </c>
      <c r="U215" s="100">
        <f t="shared" si="10"/>
        <v>0.0002577738594</v>
      </c>
      <c r="V215" s="99">
        <f t="shared" si="11"/>
        <v>4.05259173</v>
      </c>
      <c r="W215" s="108">
        <v>3.0</v>
      </c>
      <c r="X215" s="97">
        <v>14532.0</v>
      </c>
      <c r="Y215" s="110">
        <v>3.0</v>
      </c>
      <c r="Z215" s="103">
        <v>1.21716258E8</v>
      </c>
      <c r="AA215" s="99">
        <v>275236.30478495</v>
      </c>
      <c r="AB215" s="100">
        <f t="shared" si="80"/>
        <v>0.00004117559386</v>
      </c>
      <c r="AC215" s="101">
        <f t="shared" si="13"/>
        <v>0.0007798663846</v>
      </c>
      <c r="AD215" s="110">
        <v>0.0</v>
      </c>
      <c r="AE215" s="99">
        <v>1.4807467E8</v>
      </c>
      <c r="AF215" s="99">
        <v>298068.80334898003</v>
      </c>
      <c r="AG215" s="100">
        <f t="shared" si="81"/>
        <v>0</v>
      </c>
      <c r="AH215" s="101">
        <f t="shared" si="15"/>
        <v>0</v>
      </c>
      <c r="AI215" s="111">
        <v>0.0</v>
      </c>
      <c r="AJ215" s="99">
        <v>1.717060725E9</v>
      </c>
      <c r="AK215" s="99">
        <v>3345.1891293834997</v>
      </c>
      <c r="AL215" s="100">
        <f t="shared" si="82"/>
        <v>0</v>
      </c>
      <c r="AM215" s="100">
        <f t="shared" si="17"/>
        <v>0</v>
      </c>
      <c r="AN215" s="104">
        <f t="shared" si="18"/>
        <v>0.0007798663846</v>
      </c>
      <c r="AO215" s="97">
        <f t="shared" si="19"/>
        <v>11.3330183</v>
      </c>
    </row>
    <row r="216" ht="15.75" customHeight="1">
      <c r="A216" s="95">
        <v>50405.0</v>
      </c>
      <c r="B216" s="60" t="s">
        <v>183</v>
      </c>
      <c r="C216" s="60" t="s">
        <v>563</v>
      </c>
      <c r="D216" s="108"/>
      <c r="E216" s="109">
        <v>20207.0</v>
      </c>
      <c r="F216" s="110"/>
      <c r="G216" s="99">
        <v>8.0715608E7</v>
      </c>
      <c r="H216" s="99">
        <f t="shared" si="1"/>
        <v>182521.3972</v>
      </c>
      <c r="I216" s="100">
        <f t="shared" si="77"/>
        <v>0</v>
      </c>
      <c r="J216" s="101">
        <f t="shared" si="3"/>
        <v>0</v>
      </c>
      <c r="K216" s="111"/>
      <c r="L216" s="103">
        <v>1.02296881E8</v>
      </c>
      <c r="M216" s="99">
        <f t="shared" si="4"/>
        <v>277273.3138</v>
      </c>
      <c r="N216" s="100">
        <f t="shared" si="78"/>
        <v>0</v>
      </c>
      <c r="O216" s="101">
        <f t="shared" si="6"/>
        <v>0</v>
      </c>
      <c r="P216" s="110"/>
      <c r="Q216" s="99">
        <v>1.312701719E9</v>
      </c>
      <c r="R216" s="99">
        <f t="shared" si="7"/>
        <v>2557.414224</v>
      </c>
      <c r="S216" s="100">
        <f t="shared" si="79"/>
        <v>0</v>
      </c>
      <c r="T216" s="101">
        <f t="shared" si="9"/>
        <v>0</v>
      </c>
      <c r="U216" s="100">
        <f t="shared" si="10"/>
        <v>0</v>
      </c>
      <c r="V216" s="99">
        <f t="shared" si="11"/>
        <v>0</v>
      </c>
      <c r="W216" s="96">
        <v>9.0</v>
      </c>
      <c r="X216" s="97">
        <v>21011.0</v>
      </c>
      <c r="Y216" s="98">
        <v>6.00552546066465</v>
      </c>
      <c r="Z216" s="103">
        <v>1.21716258E8</v>
      </c>
      <c r="AA216" s="99">
        <v>275236.30478495</v>
      </c>
      <c r="AB216" s="100">
        <f t="shared" si="80"/>
        <v>0.00008242702576</v>
      </c>
      <c r="AC216" s="101">
        <f t="shared" si="13"/>
        <v>0.001079763456</v>
      </c>
      <c r="AD216" s="98">
        <v>2.875478018082469</v>
      </c>
      <c r="AE216" s="99">
        <v>1.4807467E8</v>
      </c>
      <c r="AF216" s="99">
        <v>298068.80334898003</v>
      </c>
      <c r="AG216" s="100">
        <f t="shared" si="81"/>
        <v>0.0002077213115</v>
      </c>
      <c r="AH216" s="101">
        <f t="shared" si="15"/>
        <v>0.00294680133</v>
      </c>
      <c r="AI216" s="102">
        <v>0.118520229974302</v>
      </c>
      <c r="AJ216" s="99">
        <v>1.717060725E9</v>
      </c>
      <c r="AK216" s="99">
        <v>3345.1891293834997</v>
      </c>
      <c r="AL216" s="100">
        <f t="shared" si="82"/>
        <v>0.00005476750047</v>
      </c>
      <c r="AM216" s="100">
        <f t="shared" si="17"/>
        <v>0.000008719606265</v>
      </c>
      <c r="AN216" s="104">
        <f t="shared" si="18"/>
        <v>0.004035284393</v>
      </c>
      <c r="AO216" s="97">
        <f t="shared" si="19"/>
        <v>84.78536037</v>
      </c>
    </row>
    <row r="217" ht="15.75" customHeight="1">
      <c r="A217" s="95">
        <v>50501.0</v>
      </c>
      <c r="B217" s="60" t="s">
        <v>183</v>
      </c>
      <c r="C217" s="60" t="s">
        <v>265</v>
      </c>
      <c r="D217" s="108">
        <v>1.0</v>
      </c>
      <c r="E217" s="109">
        <v>29613.0</v>
      </c>
      <c r="F217" s="110">
        <v>0.0</v>
      </c>
      <c r="G217" s="99">
        <v>8.0715608E7</v>
      </c>
      <c r="H217" s="99">
        <f t="shared" si="1"/>
        <v>182521.3972</v>
      </c>
      <c r="I217" s="100">
        <f t="shared" si="77"/>
        <v>0</v>
      </c>
      <c r="J217" s="101">
        <f t="shared" si="3"/>
        <v>0</v>
      </c>
      <c r="K217" s="111">
        <v>1.0</v>
      </c>
      <c r="L217" s="103">
        <v>1.02296881E8</v>
      </c>
      <c r="M217" s="99">
        <f t="shared" si="4"/>
        <v>277273.3138</v>
      </c>
      <c r="N217" s="100">
        <f t="shared" si="78"/>
        <v>0.00009399030545</v>
      </c>
      <c r="O217" s="101">
        <f t="shared" si="6"/>
        <v>0.0008800527962</v>
      </c>
      <c r="P217" s="110">
        <v>0.0</v>
      </c>
      <c r="Q217" s="99">
        <v>1.312701719E9</v>
      </c>
      <c r="R217" s="99">
        <f t="shared" si="7"/>
        <v>2557.414224</v>
      </c>
      <c r="S217" s="100">
        <f t="shared" si="79"/>
        <v>0</v>
      </c>
      <c r="T217" s="101">
        <f t="shared" si="9"/>
        <v>0</v>
      </c>
      <c r="U217" s="100">
        <f t="shared" si="10"/>
        <v>0.0008800527962</v>
      </c>
      <c r="V217" s="99">
        <f t="shared" si="11"/>
        <v>26.06100345</v>
      </c>
      <c r="W217" s="108">
        <v>202.0</v>
      </c>
      <c r="X217" s="97">
        <v>28416.0</v>
      </c>
      <c r="Y217" s="110">
        <v>166.46731300350316</v>
      </c>
      <c r="Z217" s="103">
        <v>1.21716258E8</v>
      </c>
      <c r="AA217" s="99">
        <v>275236.30478495</v>
      </c>
      <c r="AB217" s="100">
        <f t="shared" si="80"/>
        <v>0.002284796824</v>
      </c>
      <c r="AC217" s="101">
        <f t="shared" si="13"/>
        <v>0.0221304559</v>
      </c>
      <c r="AD217" s="110">
        <v>33.57901046638118</v>
      </c>
      <c r="AE217" s="99">
        <v>1.4807467E8</v>
      </c>
      <c r="AF217" s="99">
        <v>298068.80334898003</v>
      </c>
      <c r="AG217" s="100">
        <f t="shared" si="81"/>
        <v>0.002425710107</v>
      </c>
      <c r="AH217" s="101">
        <f t="shared" si="15"/>
        <v>0.02544441544</v>
      </c>
      <c r="AI217" s="111">
        <v>1.946448014102441</v>
      </c>
      <c r="AJ217" s="99">
        <v>1.717060725E9</v>
      </c>
      <c r="AK217" s="99">
        <v>3345.1891293834997</v>
      </c>
      <c r="AL217" s="100">
        <f t="shared" si="82"/>
        <v>0.0008994421674</v>
      </c>
      <c r="AM217" s="100">
        <f t="shared" si="17"/>
        <v>0.0001058841554</v>
      </c>
      <c r="AN217" s="104">
        <f t="shared" si="18"/>
        <v>0.04768075549</v>
      </c>
      <c r="AO217" s="97">
        <f t="shared" si="19"/>
        <v>1354.896348</v>
      </c>
    </row>
    <row r="218" ht="15.75" customHeight="1">
      <c r="A218" s="95">
        <v>50502.0</v>
      </c>
      <c r="B218" s="60" t="s">
        <v>183</v>
      </c>
      <c r="C218" s="60" t="s">
        <v>564</v>
      </c>
      <c r="D218" s="108"/>
      <c r="E218" s="109">
        <v>10831.0</v>
      </c>
      <c r="F218" s="110"/>
      <c r="G218" s="99">
        <v>8.0715608E7</v>
      </c>
      <c r="H218" s="99">
        <f t="shared" si="1"/>
        <v>182521.3972</v>
      </c>
      <c r="I218" s="100">
        <f t="shared" si="77"/>
        <v>0</v>
      </c>
      <c r="J218" s="101">
        <f t="shared" si="3"/>
        <v>0</v>
      </c>
      <c r="K218" s="111"/>
      <c r="L218" s="103">
        <v>1.02296881E8</v>
      </c>
      <c r="M218" s="99">
        <f t="shared" si="4"/>
        <v>277273.3138</v>
      </c>
      <c r="N218" s="100">
        <f t="shared" si="78"/>
        <v>0</v>
      </c>
      <c r="O218" s="101">
        <f t="shared" si="6"/>
        <v>0</v>
      </c>
      <c r="P218" s="110"/>
      <c r="Q218" s="99">
        <v>1.312701719E9</v>
      </c>
      <c r="R218" s="99">
        <f t="shared" si="7"/>
        <v>2557.414224</v>
      </c>
      <c r="S218" s="100">
        <f t="shared" si="79"/>
        <v>0</v>
      </c>
      <c r="T218" s="101">
        <f t="shared" si="9"/>
        <v>0</v>
      </c>
      <c r="U218" s="100">
        <f t="shared" si="10"/>
        <v>0</v>
      </c>
      <c r="V218" s="99">
        <f t="shared" si="11"/>
        <v>0</v>
      </c>
      <c r="W218" s="96">
        <v>54.0</v>
      </c>
      <c r="X218" s="97">
        <v>10714.0</v>
      </c>
      <c r="Y218" s="98">
        <v>47.31847012212459</v>
      </c>
      <c r="Z218" s="103">
        <v>1.21716258E8</v>
      </c>
      <c r="AA218" s="99">
        <v>275236.30478495</v>
      </c>
      <c r="AB218" s="100">
        <f t="shared" si="80"/>
        <v>0.0006494553692</v>
      </c>
      <c r="AC218" s="101">
        <f t="shared" si="13"/>
        <v>0.0166841232</v>
      </c>
      <c r="AD218" s="98">
        <v>5.791993084445997</v>
      </c>
      <c r="AE218" s="99">
        <v>1.4807467E8</v>
      </c>
      <c r="AF218" s="99">
        <v>298068.80334898003</v>
      </c>
      <c r="AG218" s="100">
        <f t="shared" si="81"/>
        <v>0.0004184070934</v>
      </c>
      <c r="AH218" s="101">
        <f t="shared" si="15"/>
        <v>0.01164029323</v>
      </c>
      <c r="AI218" s="102">
        <v>0.8841712610233847</v>
      </c>
      <c r="AJ218" s="99">
        <v>1.717060725E9</v>
      </c>
      <c r="AK218" s="99">
        <v>3345.1891293834997</v>
      </c>
      <c r="AL218" s="100">
        <f t="shared" si="82"/>
        <v>0.0004085703341</v>
      </c>
      <c r="AM218" s="100">
        <f t="shared" si="17"/>
        <v>0.0001275662722</v>
      </c>
      <c r="AN218" s="104">
        <f t="shared" si="18"/>
        <v>0.0284519827</v>
      </c>
      <c r="AO218" s="97">
        <f t="shared" si="19"/>
        <v>304.8345426</v>
      </c>
    </row>
    <row r="219" ht="15.75" customHeight="1">
      <c r="A219" s="95">
        <v>50601.0</v>
      </c>
      <c r="B219" s="60" t="s">
        <v>183</v>
      </c>
      <c r="C219" s="60" t="s">
        <v>194</v>
      </c>
      <c r="D219" s="96">
        <v>93.0</v>
      </c>
      <c r="E219" s="97">
        <v>31156.0</v>
      </c>
      <c r="F219" s="98">
        <v>64.85434482041617</v>
      </c>
      <c r="G219" s="99">
        <v>8.0715608E7</v>
      </c>
      <c r="H219" s="99">
        <f t="shared" si="1"/>
        <v>182521.3972</v>
      </c>
      <c r="I219" s="100">
        <f t="shared" si="77"/>
        <v>0.001439985588</v>
      </c>
      <c r="J219" s="101">
        <f t="shared" si="3"/>
        <v>0.008435876926</v>
      </c>
      <c r="K219" s="102">
        <v>25.4659571384525</v>
      </c>
      <c r="L219" s="103">
        <v>1.02296881E8</v>
      </c>
      <c r="M219" s="99">
        <f t="shared" si="4"/>
        <v>277273.3138</v>
      </c>
      <c r="N219" s="100">
        <f t="shared" si="78"/>
        <v>0.00239355309</v>
      </c>
      <c r="O219" s="101">
        <f t="shared" si="6"/>
        <v>0.0213014635</v>
      </c>
      <c r="P219" s="98">
        <v>2.67462962197012</v>
      </c>
      <c r="Q219" s="99">
        <v>1.312701719E9</v>
      </c>
      <c r="R219" s="99">
        <f t="shared" si="7"/>
        <v>2557.414224</v>
      </c>
      <c r="S219" s="100">
        <f t="shared" si="79"/>
        <v>0.001821864577</v>
      </c>
      <c r="T219" s="101">
        <f t="shared" si="9"/>
        <v>0.0001495462313</v>
      </c>
      <c r="U219" s="100">
        <f t="shared" si="10"/>
        <v>0.02988688666</v>
      </c>
      <c r="V219" s="99">
        <f t="shared" si="11"/>
        <v>931.1558408</v>
      </c>
      <c r="W219" s="96">
        <v>472.0</v>
      </c>
      <c r="X219" s="97">
        <v>29221.0</v>
      </c>
      <c r="Y219" s="98">
        <v>405.0622403808693</v>
      </c>
      <c r="Z219" s="103">
        <v>1.21716258E8</v>
      </c>
      <c r="AA219" s="99">
        <v>275236.30478495</v>
      </c>
      <c r="AB219" s="100">
        <f t="shared" si="80"/>
        <v>0.005559559432</v>
      </c>
      <c r="AC219" s="101">
        <f t="shared" si="13"/>
        <v>0.05236619535</v>
      </c>
      <c r="AD219" s="98">
        <v>57.86935485386801</v>
      </c>
      <c r="AE219" s="99">
        <v>1.4807467E8</v>
      </c>
      <c r="AF219" s="99">
        <v>298068.80334898003</v>
      </c>
      <c r="AG219" s="100">
        <f t="shared" si="81"/>
        <v>0.004180417381</v>
      </c>
      <c r="AH219" s="101">
        <f t="shared" si="15"/>
        <v>0.04264234647</v>
      </c>
      <c r="AI219" s="102">
        <v>9.04525698558159</v>
      </c>
      <c r="AJ219" s="99">
        <v>1.717060725E9</v>
      </c>
      <c r="AK219" s="99">
        <v>3345.1891293834997</v>
      </c>
      <c r="AL219" s="100">
        <f t="shared" si="82"/>
        <v>0.004179759998</v>
      </c>
      <c r="AM219" s="100">
        <f t="shared" si="17"/>
        <v>0.0004784944974</v>
      </c>
      <c r="AN219" s="104">
        <f t="shared" si="18"/>
        <v>0.09548703632</v>
      </c>
      <c r="AO219" s="97">
        <f t="shared" si="19"/>
        <v>2790.226688</v>
      </c>
    </row>
    <row r="220" ht="15.75" customHeight="1">
      <c r="A220" s="95">
        <v>50602.0</v>
      </c>
      <c r="B220" s="60" t="s">
        <v>183</v>
      </c>
      <c r="C220" s="60" t="s">
        <v>211</v>
      </c>
      <c r="D220" s="96">
        <v>11.0</v>
      </c>
      <c r="E220" s="97">
        <v>10530.5</v>
      </c>
      <c r="F220" s="98">
        <v>5.441831663174336</v>
      </c>
      <c r="G220" s="99">
        <v>8.0715608E7</v>
      </c>
      <c r="H220" s="99">
        <f t="shared" si="1"/>
        <v>182521.3972</v>
      </c>
      <c r="I220" s="100">
        <f t="shared" si="77"/>
        <v>0.0001208270501</v>
      </c>
      <c r="J220" s="101">
        <f t="shared" si="3"/>
        <v>0.002094252124</v>
      </c>
      <c r="K220" s="102">
        <v>5.333960473421738</v>
      </c>
      <c r="L220" s="103">
        <v>1.02296881E8</v>
      </c>
      <c r="M220" s="99">
        <f t="shared" si="4"/>
        <v>277273.3138</v>
      </c>
      <c r="N220" s="100">
        <f t="shared" si="78"/>
        <v>0.0005013405741</v>
      </c>
      <c r="O220" s="101">
        <f t="shared" si="6"/>
        <v>0.0132005472</v>
      </c>
      <c r="P220" s="98">
        <v>0.2240490996443979</v>
      </c>
      <c r="Q220" s="99">
        <v>1.312701719E9</v>
      </c>
      <c r="R220" s="99">
        <f t="shared" si="7"/>
        <v>2557.414224</v>
      </c>
      <c r="S220" s="100">
        <f t="shared" si="79"/>
        <v>0.000152614446</v>
      </c>
      <c r="T220" s="101">
        <f t="shared" si="9"/>
        <v>0.00003706361094</v>
      </c>
      <c r="U220" s="100">
        <f t="shared" si="10"/>
        <v>0.01533186294</v>
      </c>
      <c r="V220" s="99">
        <f t="shared" si="11"/>
        <v>161.4521827</v>
      </c>
      <c r="W220" s="96">
        <v>9.0</v>
      </c>
      <c r="X220" s="97">
        <v>10184.0</v>
      </c>
      <c r="Y220" s="98">
        <v>5.205321592808946</v>
      </c>
      <c r="Z220" s="103">
        <v>1.21716258E8</v>
      </c>
      <c r="AA220" s="99">
        <v>275236.30478495</v>
      </c>
      <c r="AB220" s="100">
        <f t="shared" si="80"/>
        <v>0.00007144406927</v>
      </c>
      <c r="AC220" s="101">
        <f t="shared" si="13"/>
        <v>0.001930872116</v>
      </c>
      <c r="AD220" s="98">
        <v>3.571088209012576</v>
      </c>
      <c r="AE220" s="99">
        <v>1.4807467E8</v>
      </c>
      <c r="AF220" s="99">
        <v>298068.80334898003</v>
      </c>
      <c r="AG220" s="100">
        <f t="shared" si="81"/>
        <v>0.0002579714126</v>
      </c>
      <c r="AH220" s="101">
        <f t="shared" si="15"/>
        <v>0.007550395743</v>
      </c>
      <c r="AI220" s="102">
        <v>0.2234314344189501</v>
      </c>
      <c r="AJ220" s="99">
        <v>1.717060725E9</v>
      </c>
      <c r="AK220" s="99">
        <v>3345.1891293834997</v>
      </c>
      <c r="AL220" s="100">
        <f t="shared" si="82"/>
        <v>0.0001032463504</v>
      </c>
      <c r="AM220" s="100">
        <f t="shared" si="17"/>
        <v>0.0000339138422</v>
      </c>
      <c r="AN220" s="104">
        <f t="shared" si="18"/>
        <v>0.009515181701</v>
      </c>
      <c r="AO220" s="97">
        <f t="shared" si="19"/>
        <v>96.90261044</v>
      </c>
    </row>
    <row r="221" ht="15.75" customHeight="1">
      <c r="A221" s="95">
        <v>50701.0</v>
      </c>
      <c r="B221" s="60" t="s">
        <v>183</v>
      </c>
      <c r="C221" s="60" t="s">
        <v>808</v>
      </c>
      <c r="D221" s="108"/>
      <c r="E221" s="109">
        <v>19009.5</v>
      </c>
      <c r="F221" s="110"/>
      <c r="G221" s="99">
        <v>8.0715608E7</v>
      </c>
      <c r="H221" s="99">
        <f t="shared" si="1"/>
        <v>182521.3972</v>
      </c>
      <c r="I221" s="100">
        <f t="shared" si="77"/>
        <v>0</v>
      </c>
      <c r="J221" s="101">
        <f t="shared" si="3"/>
        <v>0</v>
      </c>
      <c r="K221" s="111"/>
      <c r="L221" s="103">
        <v>1.02296881E8</v>
      </c>
      <c r="M221" s="99">
        <f t="shared" si="4"/>
        <v>277273.3138</v>
      </c>
      <c r="N221" s="100">
        <f t="shared" si="78"/>
        <v>0</v>
      </c>
      <c r="O221" s="101">
        <f t="shared" si="6"/>
        <v>0</v>
      </c>
      <c r="P221" s="110"/>
      <c r="Q221" s="99">
        <v>1.312701719E9</v>
      </c>
      <c r="R221" s="99">
        <f t="shared" si="7"/>
        <v>2557.414224</v>
      </c>
      <c r="S221" s="100">
        <f t="shared" si="79"/>
        <v>0</v>
      </c>
      <c r="T221" s="101">
        <f t="shared" si="9"/>
        <v>0</v>
      </c>
      <c r="U221" s="100">
        <f t="shared" si="10"/>
        <v>0</v>
      </c>
      <c r="V221" s="99">
        <f t="shared" si="11"/>
        <v>0</v>
      </c>
      <c r="W221" s="108"/>
      <c r="X221" s="97">
        <v>17205.0</v>
      </c>
      <c r="Y221" s="110"/>
      <c r="Z221" s="103">
        <v>1.21716258E8</v>
      </c>
      <c r="AA221" s="99">
        <v>275236.30478495</v>
      </c>
      <c r="AB221" s="100">
        <f t="shared" si="80"/>
        <v>0</v>
      </c>
      <c r="AC221" s="101">
        <f t="shared" si="13"/>
        <v>0</v>
      </c>
      <c r="AD221" s="110"/>
      <c r="AE221" s="99">
        <v>1.4807467E8</v>
      </c>
      <c r="AF221" s="99">
        <v>298068.80334898003</v>
      </c>
      <c r="AG221" s="100">
        <f t="shared" si="81"/>
        <v>0</v>
      </c>
      <c r="AH221" s="101">
        <f t="shared" si="15"/>
        <v>0</v>
      </c>
      <c r="AI221" s="111"/>
      <c r="AJ221" s="99">
        <v>1.717060725E9</v>
      </c>
      <c r="AK221" s="99">
        <v>3345.1891293834997</v>
      </c>
      <c r="AL221" s="100">
        <f t="shared" si="82"/>
        <v>0</v>
      </c>
      <c r="AM221" s="100">
        <f t="shared" si="17"/>
        <v>0</v>
      </c>
      <c r="AN221" s="104">
        <f t="shared" si="18"/>
        <v>0</v>
      </c>
      <c r="AO221" s="97">
        <f t="shared" si="19"/>
        <v>0</v>
      </c>
    </row>
    <row r="222" ht="15.75" customHeight="1">
      <c r="A222" s="95">
        <v>50702.0</v>
      </c>
      <c r="B222" s="60" t="s">
        <v>183</v>
      </c>
      <c r="C222" s="60" t="s">
        <v>189</v>
      </c>
      <c r="D222" s="96">
        <v>2.0</v>
      </c>
      <c r="E222" s="97">
        <v>8642.5</v>
      </c>
      <c r="F222" s="98">
        <v>1.869007835402053</v>
      </c>
      <c r="G222" s="99">
        <v>8.0715608E7</v>
      </c>
      <c r="H222" s="99">
        <f t="shared" si="1"/>
        <v>182521.3972</v>
      </c>
      <c r="I222" s="100">
        <f t="shared" si="77"/>
        <v>0.00004149828904</v>
      </c>
      <c r="J222" s="101">
        <f t="shared" si="3"/>
        <v>0.0008764044776</v>
      </c>
      <c r="K222" s="102">
        <v>0.06985105353972929</v>
      </c>
      <c r="L222" s="103">
        <v>1.02296881E8</v>
      </c>
      <c r="M222" s="99">
        <f t="shared" si="4"/>
        <v>277273.3138</v>
      </c>
      <c r="N222" s="100">
        <f t="shared" si="78"/>
        <v>0.000006565321858</v>
      </c>
      <c r="O222" s="101">
        <f t="shared" si="6"/>
        <v>0.0002106321721</v>
      </c>
      <c r="P222" s="98">
        <v>0.06114111105821739</v>
      </c>
      <c r="Q222" s="99">
        <v>1.312701719E9</v>
      </c>
      <c r="R222" s="99">
        <f t="shared" si="7"/>
        <v>2557.414224</v>
      </c>
      <c r="S222" s="100">
        <f t="shared" si="79"/>
        <v>0.00004164719612</v>
      </c>
      <c r="T222" s="101">
        <f t="shared" si="9"/>
        <v>0.00001232387987</v>
      </c>
      <c r="U222" s="100">
        <f t="shared" si="10"/>
        <v>0.00109936053</v>
      </c>
      <c r="V222" s="99">
        <f t="shared" si="11"/>
        <v>9.501223377</v>
      </c>
      <c r="W222" s="96">
        <v>2.0</v>
      </c>
      <c r="X222" s="97">
        <v>8458.0</v>
      </c>
      <c r="Y222" s="98">
        <v>1.869007835402053</v>
      </c>
      <c r="Z222" s="103">
        <v>1.21716258E8</v>
      </c>
      <c r="AA222" s="99">
        <v>275236.30478495</v>
      </c>
      <c r="AB222" s="100">
        <f t="shared" si="80"/>
        <v>0.00002565250252</v>
      </c>
      <c r="AC222" s="101">
        <f t="shared" si="13"/>
        <v>0.0008347718138</v>
      </c>
      <c r="AD222" s="98">
        <v>0.06985105353972929</v>
      </c>
      <c r="AE222" s="99">
        <v>1.4807467E8</v>
      </c>
      <c r="AF222" s="99">
        <v>298068.80334898003</v>
      </c>
      <c r="AG222" s="100">
        <f t="shared" si="81"/>
        <v>0.000005045961874</v>
      </c>
      <c r="AH222" s="101">
        <f t="shared" si="15"/>
        <v>0.0001778249962</v>
      </c>
      <c r="AI222" s="102">
        <v>0.06114111105821739</v>
      </c>
      <c r="AJ222" s="99">
        <v>1.717060725E9</v>
      </c>
      <c r="AK222" s="99">
        <v>3345.1891293834997</v>
      </c>
      <c r="AL222" s="100">
        <f t="shared" si="82"/>
        <v>0.00002825294745</v>
      </c>
      <c r="AM222" s="100">
        <f t="shared" si="17"/>
        <v>0.00001117420817</v>
      </c>
      <c r="AN222" s="104">
        <f t="shared" si="18"/>
        <v>0.001023771018</v>
      </c>
      <c r="AO222" s="97">
        <f t="shared" si="19"/>
        <v>8.659055271</v>
      </c>
    </row>
    <row r="223" ht="15.75" customHeight="1">
      <c r="A223" s="95">
        <v>50801.0</v>
      </c>
      <c r="B223" s="60" t="s">
        <v>183</v>
      </c>
      <c r="C223" s="60" t="s">
        <v>207</v>
      </c>
      <c r="D223" s="96">
        <v>3541.0</v>
      </c>
      <c r="E223" s="97">
        <v>45008.0</v>
      </c>
      <c r="F223" s="98">
        <v>2965.771586283684</v>
      </c>
      <c r="G223" s="99">
        <v>8.0715608E7</v>
      </c>
      <c r="H223" s="99">
        <f t="shared" si="1"/>
        <v>182521.3972</v>
      </c>
      <c r="I223" s="100">
        <f t="shared" si="77"/>
        <v>0.06585015011</v>
      </c>
      <c r="J223" s="101">
        <f t="shared" si="3"/>
        <v>0.2670427792</v>
      </c>
      <c r="K223" s="102">
        <v>492.1721897075404</v>
      </c>
      <c r="L223" s="103">
        <v>1.02296881E8</v>
      </c>
      <c r="M223" s="99">
        <f t="shared" si="4"/>
        <v>277273.3138</v>
      </c>
      <c r="N223" s="100">
        <f t="shared" si="78"/>
        <v>0.04625941444</v>
      </c>
      <c r="O223" s="101">
        <f t="shared" si="6"/>
        <v>0.284982695</v>
      </c>
      <c r="P223" s="98">
        <v>82.78748936642836</v>
      </c>
      <c r="Q223" s="99">
        <v>1.312701719E9</v>
      </c>
      <c r="R223" s="99">
        <f t="shared" si="7"/>
        <v>2557.414224</v>
      </c>
      <c r="S223" s="100">
        <f t="shared" si="79"/>
        <v>0.05639195537</v>
      </c>
      <c r="T223" s="101">
        <f t="shared" si="9"/>
        <v>0.003204265659</v>
      </c>
      <c r="U223" s="100">
        <f t="shared" si="10"/>
        <v>0.5552297398</v>
      </c>
      <c r="V223" s="99">
        <f t="shared" si="11"/>
        <v>24989.78013</v>
      </c>
      <c r="W223" s="96">
        <v>6405.0</v>
      </c>
      <c r="X223" s="97">
        <v>45590.0</v>
      </c>
      <c r="Y223" s="98">
        <v>5718.014838482817</v>
      </c>
      <c r="Z223" s="103">
        <v>1.21716258E8</v>
      </c>
      <c r="AA223" s="99">
        <v>275236.30478495</v>
      </c>
      <c r="AB223" s="100">
        <f t="shared" si="80"/>
        <v>0.07848088555</v>
      </c>
      <c r="AC223" s="101">
        <f t="shared" si="13"/>
        <v>0.4738054165</v>
      </c>
      <c r="AD223" s="98">
        <v>572.4631543266933</v>
      </c>
      <c r="AE223" s="99">
        <v>1.4807467E8</v>
      </c>
      <c r="AF223" s="99">
        <v>298068.80334898003</v>
      </c>
      <c r="AG223" s="100">
        <f t="shared" si="81"/>
        <v>0.04135409711</v>
      </c>
      <c r="AH223" s="101">
        <f t="shared" si="15"/>
        <v>0.2703743417</v>
      </c>
      <c r="AI223" s="102">
        <v>114.1697948590207</v>
      </c>
      <c r="AJ223" s="99">
        <v>1.717060725E9</v>
      </c>
      <c r="AK223" s="99">
        <v>3345.1891293834997</v>
      </c>
      <c r="AL223" s="100">
        <f t="shared" si="82"/>
        <v>0.05275719002</v>
      </c>
      <c r="AM223" s="100">
        <f t="shared" si="17"/>
        <v>0.003871085294</v>
      </c>
      <c r="AN223" s="104">
        <f t="shared" si="18"/>
        <v>0.7480508435</v>
      </c>
      <c r="AO223" s="97">
        <f t="shared" si="19"/>
        <v>34103.63795</v>
      </c>
    </row>
    <row r="224" ht="15.75" customHeight="1">
      <c r="A224" s="95">
        <v>50802.0</v>
      </c>
      <c r="B224" s="60" t="s">
        <v>183</v>
      </c>
      <c r="C224" s="60" t="s">
        <v>185</v>
      </c>
      <c r="D224" s="96">
        <v>57.0</v>
      </c>
      <c r="E224" s="97">
        <v>10828.0</v>
      </c>
      <c r="F224" s="98">
        <v>38.24156757252542</v>
      </c>
      <c r="G224" s="99">
        <v>8.0715608E7</v>
      </c>
      <c r="H224" s="99">
        <f t="shared" si="1"/>
        <v>182521.3972</v>
      </c>
      <c r="I224" s="100">
        <f t="shared" si="77"/>
        <v>0.0008490920126</v>
      </c>
      <c r="J224" s="101">
        <f t="shared" si="3"/>
        <v>0.01431265797</v>
      </c>
      <c r="K224" s="102">
        <v>17.17696841414799</v>
      </c>
      <c r="L224" s="103">
        <v>1.02296881E8</v>
      </c>
      <c r="M224" s="99">
        <f t="shared" si="4"/>
        <v>277273.3138</v>
      </c>
      <c r="N224" s="100">
        <f t="shared" si="78"/>
        <v>0.001614468508</v>
      </c>
      <c r="O224" s="101">
        <f t="shared" si="6"/>
        <v>0.0413418021</v>
      </c>
      <c r="P224" s="98">
        <v>1.576197693519603</v>
      </c>
      <c r="Q224" s="99">
        <v>1.312701719E9</v>
      </c>
      <c r="R224" s="99">
        <f t="shared" si="7"/>
        <v>2557.414224</v>
      </c>
      <c r="S224" s="100">
        <f t="shared" si="79"/>
        <v>0.001073650991</v>
      </c>
      <c r="T224" s="101">
        <f t="shared" si="9"/>
        <v>0.0002535805611</v>
      </c>
      <c r="U224" s="100">
        <f t="shared" si="10"/>
        <v>0.05590804063</v>
      </c>
      <c r="V224" s="99">
        <f t="shared" si="11"/>
        <v>605.372264</v>
      </c>
      <c r="W224" s="96">
        <v>200.0</v>
      </c>
      <c r="X224" s="97">
        <v>9610.0</v>
      </c>
      <c r="Y224" s="98">
        <v>159.6977716930081</v>
      </c>
      <c r="Z224" s="103">
        <v>1.21716258E8</v>
      </c>
      <c r="AA224" s="99">
        <v>275236.30478495</v>
      </c>
      <c r="AB224" s="100">
        <f t="shared" si="80"/>
        <v>0.002191883529</v>
      </c>
      <c r="AC224" s="101">
        <f t="shared" si="13"/>
        <v>0.06277689106</v>
      </c>
      <c r="AD224" s="98">
        <v>36.0359292288833</v>
      </c>
      <c r="AE224" s="99">
        <v>1.4807467E8</v>
      </c>
      <c r="AF224" s="99">
        <v>298068.80334898003</v>
      </c>
      <c r="AG224" s="100">
        <f t="shared" si="81"/>
        <v>0.002603195167</v>
      </c>
      <c r="AH224" s="101">
        <f t="shared" si="15"/>
        <v>0.08074206747</v>
      </c>
      <c r="AI224" s="102">
        <v>4.250707211645588</v>
      </c>
      <c r="AJ224" s="99">
        <v>1.717060725E9</v>
      </c>
      <c r="AK224" s="99">
        <v>3345.1891293834997</v>
      </c>
      <c r="AL224" s="100">
        <f t="shared" si="82"/>
        <v>0.001964226776</v>
      </c>
      <c r="AM224" s="100">
        <f t="shared" si="17"/>
        <v>0.0006837367387</v>
      </c>
      <c r="AN224" s="104">
        <f t="shared" si="18"/>
        <v>0.1442026953</v>
      </c>
      <c r="AO224" s="97">
        <f t="shared" si="19"/>
        <v>1385.787901</v>
      </c>
    </row>
    <row r="225" ht="15.75" customHeight="1">
      <c r="A225" s="95">
        <v>50901.0</v>
      </c>
      <c r="B225" s="60" t="s">
        <v>183</v>
      </c>
      <c r="C225" s="60" t="s">
        <v>809</v>
      </c>
      <c r="D225" s="108">
        <v>284.0</v>
      </c>
      <c r="E225" s="109">
        <v>12932.75</v>
      </c>
      <c r="F225" s="110">
        <v>165.0</v>
      </c>
      <c r="G225" s="99">
        <v>8.0715608E7</v>
      </c>
      <c r="H225" s="99">
        <f t="shared" si="1"/>
        <v>182521.3972</v>
      </c>
      <c r="I225" s="100">
        <f t="shared" si="77"/>
        <v>0.00366355751</v>
      </c>
      <c r="J225" s="101">
        <f t="shared" si="3"/>
        <v>0.05170421106</v>
      </c>
      <c r="K225" s="111">
        <v>57.0</v>
      </c>
      <c r="L225" s="103">
        <v>1.02296881E8</v>
      </c>
      <c r="M225" s="99">
        <f t="shared" si="4"/>
        <v>277273.3138</v>
      </c>
      <c r="N225" s="100">
        <f t="shared" si="78"/>
        <v>0.005357447411</v>
      </c>
      <c r="O225" s="101">
        <f t="shared" si="6"/>
        <v>0.1148616649</v>
      </c>
      <c r="P225" s="110">
        <v>10.0</v>
      </c>
      <c r="Q225" s="99">
        <v>1.312701719E9</v>
      </c>
      <c r="R225" s="99">
        <f t="shared" si="7"/>
        <v>2557.414224</v>
      </c>
      <c r="S225" s="100">
        <f t="shared" si="79"/>
        <v>0.006811651833</v>
      </c>
      <c r="T225" s="101">
        <f t="shared" si="9"/>
        <v>0.001346984615</v>
      </c>
      <c r="U225" s="100">
        <f t="shared" si="10"/>
        <v>0.1679128606</v>
      </c>
      <c r="V225" s="99">
        <f t="shared" si="11"/>
        <v>2171.575048</v>
      </c>
      <c r="W225" s="116">
        <v>1146.0</v>
      </c>
      <c r="X225" s="97">
        <v>12740.0</v>
      </c>
      <c r="Y225" s="110">
        <v>686.0972296761797</v>
      </c>
      <c r="Z225" s="103">
        <v>1.21716258E8</v>
      </c>
      <c r="AA225" s="99">
        <v>275236.30478495</v>
      </c>
      <c r="AB225" s="100">
        <f t="shared" si="80"/>
        <v>0.009416820292</v>
      </c>
      <c r="AC225" s="101">
        <f t="shared" si="13"/>
        <v>0.2034419796</v>
      </c>
      <c r="AD225" s="110">
        <v>429.22616906309736</v>
      </c>
      <c r="AE225" s="99">
        <v>1.4807467E8</v>
      </c>
      <c r="AF225" s="99">
        <v>298068.80334898003</v>
      </c>
      <c r="AG225" s="100">
        <f t="shared" si="81"/>
        <v>0.03100681772</v>
      </c>
      <c r="AH225" s="101">
        <f t="shared" si="15"/>
        <v>0.7254446666</v>
      </c>
      <c r="AI225" s="111">
        <v>30.630719367178042</v>
      </c>
      <c r="AJ225" s="99">
        <v>1.717060725E9</v>
      </c>
      <c r="AK225" s="99">
        <v>3345.1891293834997</v>
      </c>
      <c r="AL225" s="100">
        <f t="shared" si="82"/>
        <v>0.01415427508</v>
      </c>
      <c r="AM225" s="100">
        <f t="shared" si="17"/>
        <v>0.003716540591</v>
      </c>
      <c r="AN225" s="104">
        <f t="shared" si="18"/>
        <v>0.9326031868</v>
      </c>
      <c r="AO225" s="97">
        <f t="shared" si="19"/>
        <v>11881.3646</v>
      </c>
    </row>
    <row r="226" ht="15.75" customHeight="1">
      <c r="A226" s="95">
        <v>50902.0</v>
      </c>
      <c r="B226" s="60" t="s">
        <v>183</v>
      </c>
      <c r="C226" s="60" t="s">
        <v>810</v>
      </c>
      <c r="D226" s="108"/>
      <c r="E226" s="109">
        <v>1200.25</v>
      </c>
      <c r="F226" s="110"/>
      <c r="G226" s="99">
        <v>8.0715608E7</v>
      </c>
      <c r="H226" s="99">
        <f t="shared" si="1"/>
        <v>182521.3972</v>
      </c>
      <c r="I226" s="100">
        <f t="shared" si="77"/>
        <v>0</v>
      </c>
      <c r="J226" s="101">
        <f t="shared" si="3"/>
        <v>0</v>
      </c>
      <c r="K226" s="111"/>
      <c r="L226" s="103">
        <v>1.02296881E8</v>
      </c>
      <c r="M226" s="99">
        <f t="shared" si="4"/>
        <v>277273.3138</v>
      </c>
      <c r="N226" s="100">
        <f t="shared" si="78"/>
        <v>0</v>
      </c>
      <c r="O226" s="101">
        <f t="shared" si="6"/>
        <v>0</v>
      </c>
      <c r="P226" s="110"/>
      <c r="Q226" s="99">
        <v>1.312701719E9</v>
      </c>
      <c r="R226" s="99">
        <f t="shared" si="7"/>
        <v>2557.414224</v>
      </c>
      <c r="S226" s="100">
        <f t="shared" si="79"/>
        <v>0</v>
      </c>
      <c r="T226" s="101">
        <f t="shared" si="9"/>
        <v>0</v>
      </c>
      <c r="U226" s="100">
        <f t="shared" si="10"/>
        <v>0</v>
      </c>
      <c r="V226" s="99">
        <f t="shared" si="11"/>
        <v>0</v>
      </c>
      <c r="W226" s="108"/>
      <c r="X226" s="97">
        <v>1621.0</v>
      </c>
      <c r="Y226" s="110"/>
      <c r="Z226" s="103">
        <v>1.21716258E8</v>
      </c>
      <c r="AA226" s="99">
        <v>275236.30478495</v>
      </c>
      <c r="AB226" s="100">
        <f t="shared" si="80"/>
        <v>0</v>
      </c>
      <c r="AC226" s="101">
        <f t="shared" si="13"/>
        <v>0</v>
      </c>
      <c r="AD226" s="110"/>
      <c r="AE226" s="99">
        <v>1.4807467E8</v>
      </c>
      <c r="AF226" s="99">
        <v>298068.80334898003</v>
      </c>
      <c r="AG226" s="100">
        <f t="shared" si="81"/>
        <v>0</v>
      </c>
      <c r="AH226" s="101">
        <f t="shared" si="15"/>
        <v>0</v>
      </c>
      <c r="AI226" s="111"/>
      <c r="AJ226" s="99">
        <v>1.717060725E9</v>
      </c>
      <c r="AK226" s="99">
        <v>3345.1891293834997</v>
      </c>
      <c r="AL226" s="100">
        <f t="shared" si="82"/>
        <v>0</v>
      </c>
      <c r="AM226" s="100">
        <f t="shared" si="17"/>
        <v>0</v>
      </c>
      <c r="AN226" s="104">
        <f t="shared" si="18"/>
        <v>0</v>
      </c>
      <c r="AO226" s="97">
        <f t="shared" si="19"/>
        <v>0</v>
      </c>
    </row>
    <row r="227" ht="15.75" customHeight="1">
      <c r="A227" s="95">
        <v>51001.0</v>
      </c>
      <c r="B227" s="60" t="s">
        <v>183</v>
      </c>
      <c r="C227" s="60" t="s">
        <v>811</v>
      </c>
      <c r="D227" s="108"/>
      <c r="E227" s="109">
        <v>3315.75</v>
      </c>
      <c r="F227" s="110"/>
      <c r="G227" s="99">
        <v>8.0715608E7</v>
      </c>
      <c r="H227" s="99">
        <f t="shared" si="1"/>
        <v>182521.3972</v>
      </c>
      <c r="I227" s="100">
        <f t="shared" si="77"/>
        <v>0</v>
      </c>
      <c r="J227" s="101">
        <f t="shared" si="3"/>
        <v>0</v>
      </c>
      <c r="K227" s="111"/>
      <c r="L227" s="103">
        <v>1.02296881E8</v>
      </c>
      <c r="M227" s="99">
        <f t="shared" si="4"/>
        <v>277273.3138</v>
      </c>
      <c r="N227" s="100">
        <f t="shared" si="78"/>
        <v>0</v>
      </c>
      <c r="O227" s="101">
        <f t="shared" si="6"/>
        <v>0</v>
      </c>
      <c r="P227" s="110"/>
      <c r="Q227" s="99">
        <v>1.312701719E9</v>
      </c>
      <c r="R227" s="99">
        <f t="shared" si="7"/>
        <v>2557.414224</v>
      </c>
      <c r="S227" s="100">
        <f t="shared" si="79"/>
        <v>0</v>
      </c>
      <c r="T227" s="101">
        <f t="shared" si="9"/>
        <v>0</v>
      </c>
      <c r="U227" s="100">
        <f t="shared" si="10"/>
        <v>0</v>
      </c>
      <c r="V227" s="99">
        <f t="shared" si="11"/>
        <v>0</v>
      </c>
      <c r="W227" s="108"/>
      <c r="X227" s="97">
        <v>3150.0</v>
      </c>
      <c r="Y227" s="110"/>
      <c r="Z227" s="103">
        <v>1.21716258E8</v>
      </c>
      <c r="AA227" s="99">
        <v>275236.30478495</v>
      </c>
      <c r="AB227" s="100">
        <f t="shared" si="80"/>
        <v>0</v>
      </c>
      <c r="AC227" s="101">
        <f t="shared" si="13"/>
        <v>0</v>
      </c>
      <c r="AD227" s="110"/>
      <c r="AE227" s="99">
        <v>1.4807467E8</v>
      </c>
      <c r="AF227" s="99">
        <v>298068.80334898003</v>
      </c>
      <c r="AG227" s="100">
        <f t="shared" si="81"/>
        <v>0</v>
      </c>
      <c r="AH227" s="101">
        <f t="shared" si="15"/>
        <v>0</v>
      </c>
      <c r="AI227" s="111"/>
      <c r="AJ227" s="99">
        <v>1.717060725E9</v>
      </c>
      <c r="AK227" s="99">
        <v>3345.1891293834997</v>
      </c>
      <c r="AL227" s="100">
        <f t="shared" si="82"/>
        <v>0</v>
      </c>
      <c r="AM227" s="100">
        <f t="shared" si="17"/>
        <v>0</v>
      </c>
      <c r="AN227" s="104">
        <f t="shared" si="18"/>
        <v>0</v>
      </c>
      <c r="AO227" s="97">
        <f t="shared" si="19"/>
        <v>0</v>
      </c>
    </row>
    <row r="228" ht="15.75" customHeight="1">
      <c r="A228" s="95">
        <v>51002.0</v>
      </c>
      <c r="B228" s="60" t="s">
        <v>183</v>
      </c>
      <c r="C228" s="60" t="s">
        <v>812</v>
      </c>
      <c r="D228" s="108"/>
      <c r="E228" s="109">
        <v>1141.25</v>
      </c>
      <c r="F228" s="110"/>
      <c r="G228" s="99">
        <v>8.0715608E7</v>
      </c>
      <c r="H228" s="99">
        <f t="shared" si="1"/>
        <v>182521.3972</v>
      </c>
      <c r="I228" s="100">
        <f t="shared" si="77"/>
        <v>0</v>
      </c>
      <c r="J228" s="101">
        <f t="shared" si="3"/>
        <v>0</v>
      </c>
      <c r="K228" s="111"/>
      <c r="L228" s="103">
        <v>1.02296881E8</v>
      </c>
      <c r="M228" s="99">
        <f t="shared" si="4"/>
        <v>277273.3138</v>
      </c>
      <c r="N228" s="100">
        <f t="shared" si="78"/>
        <v>0</v>
      </c>
      <c r="O228" s="101">
        <f t="shared" si="6"/>
        <v>0</v>
      </c>
      <c r="P228" s="110"/>
      <c r="Q228" s="99">
        <v>1.312701719E9</v>
      </c>
      <c r="R228" s="99">
        <f t="shared" si="7"/>
        <v>2557.414224</v>
      </c>
      <c r="S228" s="100">
        <f t="shared" si="79"/>
        <v>0</v>
      </c>
      <c r="T228" s="101">
        <f t="shared" si="9"/>
        <v>0</v>
      </c>
      <c r="U228" s="100">
        <f t="shared" si="10"/>
        <v>0</v>
      </c>
      <c r="V228" s="99">
        <f t="shared" si="11"/>
        <v>0</v>
      </c>
      <c r="W228" s="108"/>
      <c r="X228" s="97">
        <v>1025.0</v>
      </c>
      <c r="Y228" s="110"/>
      <c r="Z228" s="103">
        <v>1.21716258E8</v>
      </c>
      <c r="AA228" s="99">
        <v>275236.30478495</v>
      </c>
      <c r="AB228" s="100">
        <f t="shared" si="80"/>
        <v>0</v>
      </c>
      <c r="AC228" s="101">
        <f t="shared" si="13"/>
        <v>0</v>
      </c>
      <c r="AD228" s="110"/>
      <c r="AE228" s="99">
        <v>1.4807467E8</v>
      </c>
      <c r="AF228" s="99">
        <v>298068.80334898003</v>
      </c>
      <c r="AG228" s="100">
        <f t="shared" si="81"/>
        <v>0</v>
      </c>
      <c r="AH228" s="101">
        <f t="shared" si="15"/>
        <v>0</v>
      </c>
      <c r="AI228" s="111"/>
      <c r="AJ228" s="99">
        <v>1.717060725E9</v>
      </c>
      <c r="AK228" s="99">
        <v>3345.1891293834997</v>
      </c>
      <c r="AL228" s="100">
        <f t="shared" si="82"/>
        <v>0</v>
      </c>
      <c r="AM228" s="100">
        <f t="shared" si="17"/>
        <v>0</v>
      </c>
      <c r="AN228" s="104">
        <f t="shared" si="18"/>
        <v>0</v>
      </c>
      <c r="AO228" s="97">
        <f t="shared" si="19"/>
        <v>0</v>
      </c>
    </row>
    <row r="229" ht="15.75" customHeight="1">
      <c r="A229" s="95">
        <v>51003.0</v>
      </c>
      <c r="B229" s="60" t="s">
        <v>183</v>
      </c>
      <c r="C229" s="60" t="s">
        <v>202</v>
      </c>
      <c r="D229" s="96">
        <v>2.0</v>
      </c>
      <c r="E229" s="97">
        <v>2197.0</v>
      </c>
      <c r="F229" s="98">
        <v>1.045405296491996</v>
      </c>
      <c r="G229" s="99">
        <v>8.0715608E7</v>
      </c>
      <c r="H229" s="99">
        <f t="shared" si="1"/>
        <v>182521.3972</v>
      </c>
      <c r="I229" s="100">
        <f t="shared" si="77"/>
        <v>0.00002321152985</v>
      </c>
      <c r="J229" s="101">
        <f t="shared" si="3"/>
        <v>0.001928357241</v>
      </c>
      <c r="K229" s="102">
        <v>0.8931717794493593</v>
      </c>
      <c r="L229" s="103">
        <v>1.02296881E8</v>
      </c>
      <c r="M229" s="99">
        <f t="shared" si="4"/>
        <v>277273.3138</v>
      </c>
      <c r="N229" s="100">
        <f t="shared" si="78"/>
        <v>0.00008394948837</v>
      </c>
      <c r="O229" s="101">
        <f t="shared" si="6"/>
        <v>0.01059488067</v>
      </c>
      <c r="P229" s="98">
        <v>0.06142292405864421</v>
      </c>
      <c r="Q229" s="99">
        <v>1.312701719E9</v>
      </c>
      <c r="R229" s="99">
        <f t="shared" si="7"/>
        <v>2557.414224</v>
      </c>
      <c r="S229" s="100">
        <f t="shared" si="79"/>
        <v>0.00004183915733</v>
      </c>
      <c r="T229" s="101">
        <f t="shared" si="9"/>
        <v>0.00004870280203</v>
      </c>
      <c r="U229" s="100">
        <f t="shared" si="10"/>
        <v>0.01257194071</v>
      </c>
      <c r="V229" s="99">
        <f t="shared" si="11"/>
        <v>27.62055374</v>
      </c>
      <c r="W229" s="96">
        <v>2.0</v>
      </c>
      <c r="X229" s="97">
        <v>1936.0</v>
      </c>
      <c r="Y229" s="98">
        <v>1.045405296491996</v>
      </c>
      <c r="Z229" s="103">
        <v>1.21716258E8</v>
      </c>
      <c r="AA229" s="99">
        <v>275236.30478495</v>
      </c>
      <c r="AB229" s="100">
        <f t="shared" si="80"/>
        <v>0.00001434839464</v>
      </c>
      <c r="AC229" s="101">
        <f t="shared" si="13"/>
        <v>0.002039875578</v>
      </c>
      <c r="AD229" s="98">
        <v>0.8931717794493593</v>
      </c>
      <c r="AE229" s="99">
        <v>1.4807467E8</v>
      </c>
      <c r="AF229" s="99">
        <v>298068.80334898003</v>
      </c>
      <c r="AG229" s="100">
        <f t="shared" si="81"/>
        <v>0.00006452172899</v>
      </c>
      <c r="AH229" s="101">
        <f t="shared" si="15"/>
        <v>0.00993384016</v>
      </c>
      <c r="AI229" s="102">
        <v>0.06142292405864421</v>
      </c>
      <c r="AJ229" s="99">
        <v>1.717060725E9</v>
      </c>
      <c r="AK229" s="99">
        <v>3345.1891293834997</v>
      </c>
      <c r="AL229" s="100">
        <f t="shared" si="82"/>
        <v>0.00002838317157</v>
      </c>
      <c r="AM229" s="100">
        <f t="shared" si="17"/>
        <v>0.00004904291168</v>
      </c>
      <c r="AN229" s="104">
        <f t="shared" si="18"/>
        <v>0.01202275865</v>
      </c>
      <c r="AO229" s="97">
        <f t="shared" si="19"/>
        <v>23.27606075</v>
      </c>
    </row>
    <row r="230" ht="15.75" customHeight="1">
      <c r="A230" s="95">
        <v>51101.0</v>
      </c>
      <c r="B230" s="60" t="s">
        <v>183</v>
      </c>
      <c r="C230" s="60" t="s">
        <v>200</v>
      </c>
      <c r="D230" s="96">
        <v>115.0</v>
      </c>
      <c r="E230" s="97">
        <v>20535.0</v>
      </c>
      <c r="F230" s="98">
        <v>92.24140877410568</v>
      </c>
      <c r="G230" s="99">
        <v>8.0715608E7</v>
      </c>
      <c r="H230" s="99">
        <f t="shared" si="1"/>
        <v>182521.3972</v>
      </c>
      <c r="I230" s="100">
        <f t="shared" si="77"/>
        <v>0.002048070945</v>
      </c>
      <c r="J230" s="101">
        <f t="shared" si="3"/>
        <v>0.01820388461</v>
      </c>
      <c r="K230" s="102">
        <v>20.07131234105081</v>
      </c>
      <c r="L230" s="103">
        <v>1.02296881E8</v>
      </c>
      <c r="M230" s="99">
        <f t="shared" si="4"/>
        <v>277273.3138</v>
      </c>
      <c r="N230" s="100">
        <f t="shared" si="78"/>
        <v>0.001886508778</v>
      </c>
      <c r="O230" s="101">
        <f t="shared" si="6"/>
        <v>0.02547253666</v>
      </c>
      <c r="P230" s="98">
        <v>2.680147274549716</v>
      </c>
      <c r="Q230" s="99">
        <v>1.312701719E9</v>
      </c>
      <c r="R230" s="99">
        <f t="shared" si="7"/>
        <v>2557.414224</v>
      </c>
      <c r="S230" s="100">
        <f t="shared" si="79"/>
        <v>0.00182562301</v>
      </c>
      <c r="T230" s="101">
        <f t="shared" si="9"/>
        <v>0.0002273617849</v>
      </c>
      <c r="U230" s="100">
        <f t="shared" si="10"/>
        <v>0.04390378305</v>
      </c>
      <c r="V230" s="99">
        <f t="shared" si="11"/>
        <v>901.5641849</v>
      </c>
      <c r="W230" s="96">
        <v>126.0</v>
      </c>
      <c r="X230" s="97">
        <v>16389.0</v>
      </c>
      <c r="Y230" s="98">
        <v>98.51377306991786</v>
      </c>
      <c r="Z230" s="103">
        <v>1.21716258E8</v>
      </c>
      <c r="AA230" s="99">
        <v>275236.30478495</v>
      </c>
      <c r="AB230" s="100">
        <f t="shared" si="80"/>
        <v>0.001352121036</v>
      </c>
      <c r="AC230" s="101">
        <f t="shared" si="13"/>
        <v>0.02270747439</v>
      </c>
      <c r="AD230" s="98">
        <v>24.64319321538944</v>
      </c>
      <c r="AE230" s="99">
        <v>1.4807467E8</v>
      </c>
      <c r="AF230" s="99">
        <v>298068.80334898003</v>
      </c>
      <c r="AG230" s="100">
        <f t="shared" si="81"/>
        <v>0.001780196677</v>
      </c>
      <c r="AH230" s="101">
        <f t="shared" si="15"/>
        <v>0.03237666077</v>
      </c>
      <c r="AI230" s="102">
        <v>2.835040893949826</v>
      </c>
      <c r="AJ230" s="99">
        <v>1.717060725E9</v>
      </c>
      <c r="AK230" s="99">
        <v>3345.1891293834997</v>
      </c>
      <c r="AL230" s="100">
        <f t="shared" si="82"/>
        <v>0.001310055706</v>
      </c>
      <c r="AM230" s="100">
        <f t="shared" si="17"/>
        <v>0.0002673978952</v>
      </c>
      <c r="AN230" s="104">
        <f t="shared" si="18"/>
        <v>0.05535153305</v>
      </c>
      <c r="AO230" s="97">
        <f t="shared" si="19"/>
        <v>907.1562752</v>
      </c>
    </row>
    <row r="231" ht="15.75" customHeight="1">
      <c r="A231" s="95">
        <v>51102.0</v>
      </c>
      <c r="B231" s="60" t="s">
        <v>183</v>
      </c>
      <c r="C231" s="60" t="s">
        <v>813</v>
      </c>
      <c r="D231" s="108">
        <v>6.0</v>
      </c>
      <c r="E231" s="109">
        <v>12300.0</v>
      </c>
      <c r="F231" s="110">
        <v>3.0</v>
      </c>
      <c r="G231" s="99">
        <v>8.0715608E7</v>
      </c>
      <c r="H231" s="99">
        <f t="shared" si="1"/>
        <v>182521.3972</v>
      </c>
      <c r="I231" s="100">
        <f t="shared" si="77"/>
        <v>0.00006661013655</v>
      </c>
      <c r="J231" s="101">
        <f t="shared" si="3"/>
        <v>0.0009884370074</v>
      </c>
      <c r="K231" s="111">
        <v>3.0</v>
      </c>
      <c r="L231" s="103">
        <v>1.02296881E8</v>
      </c>
      <c r="M231" s="99">
        <f t="shared" si="4"/>
        <v>277273.3138</v>
      </c>
      <c r="N231" s="100">
        <f t="shared" si="78"/>
        <v>0.0002819709163</v>
      </c>
      <c r="O231" s="101">
        <f t="shared" si="6"/>
        <v>0.006356342306</v>
      </c>
      <c r="P231" s="110">
        <v>0.0</v>
      </c>
      <c r="Q231" s="99">
        <v>1.312701719E9</v>
      </c>
      <c r="R231" s="99">
        <f t="shared" si="7"/>
        <v>2557.414224</v>
      </c>
      <c r="S231" s="100">
        <f t="shared" si="79"/>
        <v>0</v>
      </c>
      <c r="T231" s="101">
        <f t="shared" si="9"/>
        <v>0</v>
      </c>
      <c r="U231" s="100">
        <f t="shared" si="10"/>
        <v>0.007344779313</v>
      </c>
      <c r="V231" s="99">
        <f t="shared" si="11"/>
        <v>90.34078555</v>
      </c>
      <c r="W231" s="108">
        <v>15.0</v>
      </c>
      <c r="X231" s="97">
        <v>12999.0</v>
      </c>
      <c r="Y231" s="110">
        <v>12.0</v>
      </c>
      <c r="Z231" s="103">
        <v>1.21716258E8</v>
      </c>
      <c r="AA231" s="99">
        <v>275236.30478495</v>
      </c>
      <c r="AB231" s="100">
        <f t="shared" si="80"/>
        <v>0.0001647023754</v>
      </c>
      <c r="AC231" s="101">
        <f t="shared" si="13"/>
        <v>0.003487350812</v>
      </c>
      <c r="AD231" s="110">
        <v>3.0</v>
      </c>
      <c r="AE231" s="99">
        <v>1.4807467E8</v>
      </c>
      <c r="AF231" s="99">
        <v>298068.80334898003</v>
      </c>
      <c r="AG231" s="100">
        <f t="shared" si="81"/>
        <v>0.00021671664</v>
      </c>
      <c r="AH231" s="101">
        <f t="shared" si="15"/>
        <v>0.004969341453</v>
      </c>
      <c r="AI231" s="111">
        <v>1.0</v>
      </c>
      <c r="AJ231" s="99">
        <v>1.717060725E9</v>
      </c>
      <c r="AK231" s="99">
        <v>3345.1891293834997</v>
      </c>
      <c r="AL231" s="100">
        <f t="shared" si="82"/>
        <v>0.0004620941124</v>
      </c>
      <c r="AM231" s="100">
        <f t="shared" si="17"/>
        <v>0.0001189162398</v>
      </c>
      <c r="AN231" s="104">
        <f t="shared" si="18"/>
        <v>0.008575608505</v>
      </c>
      <c r="AO231" s="97">
        <f t="shared" si="19"/>
        <v>111.474335</v>
      </c>
    </row>
    <row r="232" ht="15.75" customHeight="1">
      <c r="A232" s="95">
        <v>51103.0</v>
      </c>
      <c r="B232" s="60" t="s">
        <v>183</v>
      </c>
      <c r="C232" s="60" t="s">
        <v>544</v>
      </c>
      <c r="D232" s="108"/>
      <c r="E232" s="109">
        <v>15443.5</v>
      </c>
      <c r="F232" s="110"/>
      <c r="G232" s="99">
        <v>8.0715608E7</v>
      </c>
      <c r="H232" s="99">
        <f t="shared" si="1"/>
        <v>182521.3972</v>
      </c>
      <c r="I232" s="100">
        <f t="shared" si="77"/>
        <v>0</v>
      </c>
      <c r="J232" s="101">
        <f t="shared" si="3"/>
        <v>0</v>
      </c>
      <c r="K232" s="111"/>
      <c r="L232" s="103">
        <v>1.02296881E8</v>
      </c>
      <c r="M232" s="99">
        <f t="shared" si="4"/>
        <v>277273.3138</v>
      </c>
      <c r="N232" s="100">
        <f t="shared" si="78"/>
        <v>0</v>
      </c>
      <c r="O232" s="101">
        <f t="shared" si="6"/>
        <v>0</v>
      </c>
      <c r="P232" s="110"/>
      <c r="Q232" s="99">
        <v>1.312701719E9</v>
      </c>
      <c r="R232" s="99">
        <f t="shared" si="7"/>
        <v>2557.414224</v>
      </c>
      <c r="S232" s="100">
        <f t="shared" si="79"/>
        <v>0</v>
      </c>
      <c r="T232" s="101">
        <f t="shared" si="9"/>
        <v>0</v>
      </c>
      <c r="U232" s="100">
        <f t="shared" si="10"/>
        <v>0</v>
      </c>
      <c r="V232" s="99">
        <f t="shared" si="11"/>
        <v>0</v>
      </c>
      <c r="W232" s="96">
        <v>2.0</v>
      </c>
      <c r="X232" s="97">
        <v>14338.0</v>
      </c>
      <c r="Y232" s="98">
        <v>0.2365100703653912</v>
      </c>
      <c r="Z232" s="103">
        <v>1.21716258E8</v>
      </c>
      <c r="AA232" s="99">
        <v>275236.30478495</v>
      </c>
      <c r="AB232" s="100">
        <f t="shared" si="80"/>
        <v>0.000003246147534</v>
      </c>
      <c r="AC232" s="101">
        <f t="shared" si="13"/>
        <v>0.00006231396652</v>
      </c>
      <c r="AD232" s="98">
        <v>1.762872264409161</v>
      </c>
      <c r="AE232" s="99">
        <v>1.4807467E8</v>
      </c>
      <c r="AF232" s="99">
        <v>298068.80334898003</v>
      </c>
      <c r="AG232" s="100">
        <f t="shared" si="81"/>
        <v>0.000127347918</v>
      </c>
      <c r="AH232" s="101">
        <f t="shared" si="15"/>
        <v>0.002647401417</v>
      </c>
      <c r="AI232" s="102">
        <v>6.17665225447807E-4</v>
      </c>
      <c r="AJ232" s="99">
        <v>1.717060725E9</v>
      </c>
      <c r="AK232" s="99">
        <v>3345.1891293834997</v>
      </c>
      <c r="AL232" s="100">
        <f t="shared" si="82"/>
        <v>0.0000002854194641</v>
      </c>
      <c r="AM232" s="100">
        <f t="shared" si="17"/>
        <v>0.00000006659102306</v>
      </c>
      <c r="AN232" s="104">
        <f t="shared" si="18"/>
        <v>0.002709781974</v>
      </c>
      <c r="AO232" s="97">
        <f t="shared" si="19"/>
        <v>38.85285395</v>
      </c>
    </row>
    <row r="233" ht="15.75" customHeight="1">
      <c r="A233" s="95">
        <v>51201.0</v>
      </c>
      <c r="B233" s="60" t="s">
        <v>183</v>
      </c>
      <c r="C233" s="60" t="s">
        <v>209</v>
      </c>
      <c r="D233" s="96">
        <v>2996.0</v>
      </c>
      <c r="E233" s="97">
        <v>31083.5</v>
      </c>
      <c r="F233" s="98">
        <v>2403.337383055742</v>
      </c>
      <c r="G233" s="99">
        <v>8.0715608E7</v>
      </c>
      <c r="H233" s="99">
        <f t="shared" si="1"/>
        <v>182521.3972</v>
      </c>
      <c r="I233" s="100">
        <f t="shared" si="77"/>
        <v>0.05336221042</v>
      </c>
      <c r="J233" s="101">
        <f t="shared" si="3"/>
        <v>0.3133413291</v>
      </c>
      <c r="K233" s="102">
        <v>507.3905479296877</v>
      </c>
      <c r="L233" s="103">
        <v>1.02296881E8</v>
      </c>
      <c r="M233" s="99">
        <f t="shared" si="4"/>
        <v>277273.3138</v>
      </c>
      <c r="N233" s="100">
        <f t="shared" si="78"/>
        <v>0.04768979258</v>
      </c>
      <c r="O233" s="101">
        <f t="shared" si="6"/>
        <v>0.4254059814</v>
      </c>
      <c r="P233" s="98">
        <v>84.9542382111974</v>
      </c>
      <c r="Q233" s="99">
        <v>1.312701719E9</v>
      </c>
      <c r="R233" s="99">
        <f t="shared" si="7"/>
        <v>2557.414224</v>
      </c>
      <c r="S233" s="100">
        <f t="shared" si="79"/>
        <v>0.05786786925</v>
      </c>
      <c r="T233" s="101">
        <f t="shared" si="9"/>
        <v>0.004761114801</v>
      </c>
      <c r="U233" s="100">
        <f t="shared" si="10"/>
        <v>0.7435084253</v>
      </c>
      <c r="V233" s="99">
        <f t="shared" si="11"/>
        <v>23110.84414</v>
      </c>
      <c r="W233" s="96">
        <v>4555.0</v>
      </c>
      <c r="X233" s="97">
        <v>35318.0</v>
      </c>
      <c r="Y233" s="98">
        <v>3708.885372294358</v>
      </c>
      <c r="Z233" s="103">
        <v>1.21716258E8</v>
      </c>
      <c r="AA233" s="99">
        <v>275236.30478495</v>
      </c>
      <c r="AB233" s="100">
        <f t="shared" si="80"/>
        <v>0.05090518592</v>
      </c>
      <c r="AC233" s="101">
        <f t="shared" si="13"/>
        <v>0.3967086264</v>
      </c>
      <c r="AD233" s="98">
        <v>715.1046813407434</v>
      </c>
      <c r="AE233" s="99">
        <v>1.4807467E8</v>
      </c>
      <c r="AF233" s="99">
        <v>298068.80334898003</v>
      </c>
      <c r="AG233" s="100">
        <f t="shared" si="81"/>
        <v>0.05165836126</v>
      </c>
      <c r="AH233" s="101">
        <f t="shared" si="15"/>
        <v>0.4359744585</v>
      </c>
      <c r="AI233" s="102">
        <v>130.5433725018539</v>
      </c>
      <c r="AJ233" s="99">
        <v>1.717060725E9</v>
      </c>
      <c r="AK233" s="99">
        <v>3345.1891293834997</v>
      </c>
      <c r="AL233" s="100">
        <f t="shared" si="82"/>
        <v>0.06032332385</v>
      </c>
      <c r="AM233" s="100">
        <f t="shared" si="17"/>
        <v>0.005713600067</v>
      </c>
      <c r="AN233" s="104">
        <f t="shared" si="18"/>
        <v>0.8383966849</v>
      </c>
      <c r="AO233" s="97">
        <f t="shared" si="19"/>
        <v>29610.49412</v>
      </c>
    </row>
    <row r="234" ht="15.75" customHeight="1">
      <c r="A234" s="95">
        <v>51202.0</v>
      </c>
      <c r="B234" s="60" t="s">
        <v>183</v>
      </c>
      <c r="C234" s="60" t="s">
        <v>206</v>
      </c>
      <c r="D234" s="96">
        <v>1.0</v>
      </c>
      <c r="E234" s="97">
        <v>8601.75</v>
      </c>
      <c r="F234" s="98">
        <v>0.175725756639901</v>
      </c>
      <c r="G234" s="99">
        <v>8.0715608E7</v>
      </c>
      <c r="H234" s="99">
        <f t="shared" si="1"/>
        <v>182521.3972</v>
      </c>
      <c r="I234" s="100">
        <f t="shared" si="77"/>
        <v>0.000003901705548</v>
      </c>
      <c r="J234" s="101">
        <f t="shared" si="3"/>
        <v>0.00008279068192</v>
      </c>
      <c r="K234" s="102">
        <v>0.823656578134651</v>
      </c>
      <c r="L234" s="103">
        <v>1.02296881E8</v>
      </c>
      <c r="M234" s="99">
        <f t="shared" si="4"/>
        <v>277273.3138</v>
      </c>
      <c r="N234" s="100">
        <f t="shared" si="78"/>
        <v>0.00007741573336</v>
      </c>
      <c r="O234" s="101">
        <f t="shared" si="6"/>
        <v>0.002495459288</v>
      </c>
      <c r="P234" s="98">
        <v>6.17665225447807E-4</v>
      </c>
      <c r="Q234" s="99">
        <v>1.312701719E9</v>
      </c>
      <c r="R234" s="99">
        <f t="shared" si="7"/>
        <v>2557.414224</v>
      </c>
      <c r="S234" s="100">
        <f t="shared" si="79"/>
        <v>0.0000004207320465</v>
      </c>
      <c r="T234" s="101">
        <f t="shared" si="9"/>
        <v>0.0000001250892109</v>
      </c>
      <c r="U234" s="100">
        <f t="shared" si="10"/>
        <v>0.002578375059</v>
      </c>
      <c r="V234" s="99">
        <f t="shared" si="11"/>
        <v>22.17853766</v>
      </c>
      <c r="W234" s="96">
        <v>1.0</v>
      </c>
      <c r="X234" s="97">
        <v>7845.0</v>
      </c>
      <c r="Y234" s="98">
        <v>0.175725756639901</v>
      </c>
      <c r="Z234" s="103">
        <v>1.21716258E8</v>
      </c>
      <c r="AA234" s="99">
        <v>275236.30478495</v>
      </c>
      <c r="AB234" s="100">
        <f t="shared" si="80"/>
        <v>0.000002411870795</v>
      </c>
      <c r="AC234" s="101">
        <f t="shared" si="13"/>
        <v>0.00008461878971</v>
      </c>
      <c r="AD234" s="98">
        <v>0.823656578134651</v>
      </c>
      <c r="AE234" s="99">
        <v>1.4807467E8</v>
      </c>
      <c r="AF234" s="99">
        <v>298068.80334898003</v>
      </c>
      <c r="AG234" s="100">
        <f t="shared" si="81"/>
        <v>0.00005950002871</v>
      </c>
      <c r="AH234" s="101">
        <f t="shared" si="15"/>
        <v>0.002260688637</v>
      </c>
      <c r="AI234" s="102">
        <v>6.17665225447807E-4</v>
      </c>
      <c r="AJ234" s="99">
        <v>1.717060725E9</v>
      </c>
      <c r="AK234" s="99">
        <v>3345.1891293834997</v>
      </c>
      <c r="AL234" s="100">
        <f t="shared" si="82"/>
        <v>0.0000002854194641</v>
      </c>
      <c r="AM234" s="100">
        <f t="shared" si="17"/>
        <v>0.0000001217058112</v>
      </c>
      <c r="AN234" s="104">
        <f t="shared" si="18"/>
        <v>0.002345429132</v>
      </c>
      <c r="AO234" s="97">
        <f t="shared" si="19"/>
        <v>18.39989154</v>
      </c>
    </row>
    <row r="235" ht="15.75" customHeight="1">
      <c r="A235" s="95">
        <v>51203.0</v>
      </c>
      <c r="B235" s="60" t="s">
        <v>183</v>
      </c>
      <c r="C235" s="60" t="s">
        <v>199</v>
      </c>
      <c r="D235" s="96">
        <v>226.0</v>
      </c>
      <c r="E235" s="97">
        <v>11813.0</v>
      </c>
      <c r="F235" s="98">
        <v>138.4288718346717</v>
      </c>
      <c r="G235" s="99">
        <v>8.0715608E7</v>
      </c>
      <c r="H235" s="99">
        <f t="shared" si="1"/>
        <v>182521.3972</v>
      </c>
      <c r="I235" s="100">
        <f t="shared" si="77"/>
        <v>0.003073588685</v>
      </c>
      <c r="J235" s="101">
        <f t="shared" si="3"/>
        <v>0.04748968943</v>
      </c>
      <c r="K235" s="102">
        <v>81.83529679833765</v>
      </c>
      <c r="L235" s="103">
        <v>1.02296881E8</v>
      </c>
      <c r="M235" s="99">
        <f t="shared" si="4"/>
        <v>277273.3138</v>
      </c>
      <c r="N235" s="100">
        <f t="shared" si="78"/>
        <v>0.007691724543</v>
      </c>
      <c r="O235" s="101">
        <f t="shared" si="6"/>
        <v>0.1805392324</v>
      </c>
      <c r="P235" s="98">
        <v>5.706108533928933</v>
      </c>
      <c r="Q235" s="99">
        <v>1.312701719E9</v>
      </c>
      <c r="R235" s="99">
        <f t="shared" si="7"/>
        <v>2557.414224</v>
      </c>
      <c r="S235" s="100">
        <f t="shared" si="79"/>
        <v>0.003886802466</v>
      </c>
      <c r="T235" s="101">
        <f t="shared" si="9"/>
        <v>0.0008414597401</v>
      </c>
      <c r="U235" s="100">
        <f t="shared" si="10"/>
        <v>0.2288703816</v>
      </c>
      <c r="V235" s="99">
        <f t="shared" si="11"/>
        <v>2703.645818</v>
      </c>
      <c r="W235" s="96">
        <v>629.0</v>
      </c>
      <c r="X235" s="97">
        <v>14654.0</v>
      </c>
      <c r="Y235" s="98">
        <v>356.5417767643336</v>
      </c>
      <c r="Z235" s="103">
        <v>1.21716258E8</v>
      </c>
      <c r="AA235" s="99">
        <v>275236.30478495</v>
      </c>
      <c r="AB235" s="100">
        <f t="shared" si="80"/>
        <v>0.004893606465</v>
      </c>
      <c r="AC235" s="101">
        <f t="shared" si="13"/>
        <v>0.09191334519</v>
      </c>
      <c r="AD235" s="98">
        <v>258.7844634719418</v>
      </c>
      <c r="AE235" s="99">
        <v>1.4807467E8</v>
      </c>
      <c r="AF235" s="99">
        <v>298068.80334898003</v>
      </c>
      <c r="AG235" s="100">
        <f t="shared" si="81"/>
        <v>0.0186942998</v>
      </c>
      <c r="AH235" s="101">
        <f t="shared" si="15"/>
        <v>0.3802502778</v>
      </c>
      <c r="AI235" s="102">
        <v>13.61250923290274</v>
      </c>
      <c r="AJ235" s="99">
        <v>1.717060725E9</v>
      </c>
      <c r="AK235" s="99">
        <v>3345.1891293834997</v>
      </c>
      <c r="AL235" s="100">
        <f t="shared" si="82"/>
        <v>0.006290260372</v>
      </c>
      <c r="AM235" s="100">
        <f t="shared" si="17"/>
        <v>0.001435929481</v>
      </c>
      <c r="AN235" s="104">
        <f t="shared" si="18"/>
        <v>0.4735995525</v>
      </c>
      <c r="AO235" s="97">
        <f t="shared" si="19"/>
        <v>6940.127842</v>
      </c>
    </row>
    <row r="236" ht="15.75" customHeight="1">
      <c r="A236" s="95">
        <v>51204.0</v>
      </c>
      <c r="B236" s="60" t="s">
        <v>183</v>
      </c>
      <c r="C236" s="60" t="s">
        <v>814</v>
      </c>
      <c r="D236" s="108"/>
      <c r="E236" s="109">
        <v>5906.0</v>
      </c>
      <c r="F236" s="110"/>
      <c r="G236" s="99">
        <v>8.0715608E7</v>
      </c>
      <c r="H236" s="99">
        <f t="shared" si="1"/>
        <v>182521.3972</v>
      </c>
      <c r="I236" s="100">
        <f t="shared" si="77"/>
        <v>0</v>
      </c>
      <c r="J236" s="101">
        <f t="shared" si="3"/>
        <v>0</v>
      </c>
      <c r="K236" s="111"/>
      <c r="L236" s="103">
        <v>1.02296881E8</v>
      </c>
      <c r="M236" s="99">
        <f t="shared" si="4"/>
        <v>277273.3138</v>
      </c>
      <c r="N236" s="100">
        <f t="shared" si="78"/>
        <v>0</v>
      </c>
      <c r="O236" s="101">
        <f t="shared" si="6"/>
        <v>0</v>
      </c>
      <c r="P236" s="110"/>
      <c r="Q236" s="99">
        <v>1.312701719E9</v>
      </c>
      <c r="R236" s="99">
        <f t="shared" si="7"/>
        <v>2557.414224</v>
      </c>
      <c r="S236" s="100">
        <f t="shared" si="79"/>
        <v>0</v>
      </c>
      <c r="T236" s="101">
        <f t="shared" si="9"/>
        <v>0</v>
      </c>
      <c r="U236" s="100">
        <f t="shared" si="10"/>
        <v>0</v>
      </c>
      <c r="V236" s="99">
        <f t="shared" si="11"/>
        <v>0</v>
      </c>
      <c r="W236" s="108"/>
      <c r="X236" s="97">
        <v>5819.0</v>
      </c>
      <c r="Y236" s="110"/>
      <c r="Z236" s="103">
        <v>1.21716258E8</v>
      </c>
      <c r="AA236" s="99">
        <v>275236.30478495</v>
      </c>
      <c r="AB236" s="100">
        <f t="shared" si="80"/>
        <v>0</v>
      </c>
      <c r="AC236" s="101">
        <f t="shared" si="13"/>
        <v>0</v>
      </c>
      <c r="AD236" s="110"/>
      <c r="AE236" s="99">
        <v>1.4807467E8</v>
      </c>
      <c r="AF236" s="99">
        <v>298068.80334898003</v>
      </c>
      <c r="AG236" s="100">
        <f t="shared" si="81"/>
        <v>0</v>
      </c>
      <c r="AH236" s="101">
        <f t="shared" si="15"/>
        <v>0</v>
      </c>
      <c r="AI236" s="111"/>
      <c r="AJ236" s="99">
        <v>1.717060725E9</v>
      </c>
      <c r="AK236" s="99">
        <v>3345.1891293834997</v>
      </c>
      <c r="AL236" s="100">
        <f t="shared" si="82"/>
        <v>0</v>
      </c>
      <c r="AM236" s="100">
        <f t="shared" si="17"/>
        <v>0</v>
      </c>
      <c r="AN236" s="104">
        <f t="shared" si="18"/>
        <v>0</v>
      </c>
      <c r="AO236" s="97">
        <f t="shared" si="19"/>
        <v>0</v>
      </c>
    </row>
    <row r="237" ht="15.75" customHeight="1">
      <c r="A237" s="95">
        <v>51301.0</v>
      </c>
      <c r="B237" s="60" t="s">
        <v>183</v>
      </c>
      <c r="C237" s="60" t="s">
        <v>815</v>
      </c>
      <c r="D237" s="108"/>
      <c r="E237" s="109">
        <v>4044.0</v>
      </c>
      <c r="F237" s="110"/>
      <c r="G237" s="99">
        <v>8.0715608E7</v>
      </c>
      <c r="H237" s="99">
        <f t="shared" si="1"/>
        <v>182521.3972</v>
      </c>
      <c r="I237" s="100">
        <f t="shared" si="77"/>
        <v>0</v>
      </c>
      <c r="J237" s="101">
        <f t="shared" si="3"/>
        <v>0</v>
      </c>
      <c r="K237" s="111"/>
      <c r="L237" s="103">
        <v>1.02296881E8</v>
      </c>
      <c r="M237" s="99">
        <f t="shared" si="4"/>
        <v>277273.3138</v>
      </c>
      <c r="N237" s="100">
        <f t="shared" si="78"/>
        <v>0</v>
      </c>
      <c r="O237" s="101">
        <f t="shared" si="6"/>
        <v>0</v>
      </c>
      <c r="P237" s="110"/>
      <c r="Q237" s="99">
        <v>1.312701719E9</v>
      </c>
      <c r="R237" s="99">
        <f t="shared" si="7"/>
        <v>2557.414224</v>
      </c>
      <c r="S237" s="100">
        <f t="shared" si="79"/>
        <v>0</v>
      </c>
      <c r="T237" s="101">
        <f t="shared" si="9"/>
        <v>0</v>
      </c>
      <c r="U237" s="100">
        <f t="shared" si="10"/>
        <v>0</v>
      </c>
      <c r="V237" s="99">
        <f t="shared" si="11"/>
        <v>0</v>
      </c>
      <c r="W237" s="108"/>
      <c r="X237" s="97">
        <v>3666.0</v>
      </c>
      <c r="Y237" s="110"/>
      <c r="Z237" s="103">
        <v>1.21716258E8</v>
      </c>
      <c r="AA237" s="99">
        <v>275236.30478495</v>
      </c>
      <c r="AB237" s="100">
        <f t="shared" si="80"/>
        <v>0</v>
      </c>
      <c r="AC237" s="101">
        <f t="shared" si="13"/>
        <v>0</v>
      </c>
      <c r="AD237" s="110"/>
      <c r="AE237" s="99">
        <v>1.4807467E8</v>
      </c>
      <c r="AF237" s="99">
        <v>298068.80334898003</v>
      </c>
      <c r="AG237" s="100">
        <f t="shared" si="81"/>
        <v>0</v>
      </c>
      <c r="AH237" s="101">
        <f t="shared" si="15"/>
        <v>0</v>
      </c>
      <c r="AI237" s="111"/>
      <c r="AJ237" s="99">
        <v>1.717060725E9</v>
      </c>
      <c r="AK237" s="99">
        <v>3345.1891293834997</v>
      </c>
      <c r="AL237" s="100">
        <f t="shared" si="82"/>
        <v>0</v>
      </c>
      <c r="AM237" s="100">
        <f t="shared" si="17"/>
        <v>0</v>
      </c>
      <c r="AN237" s="104">
        <f t="shared" si="18"/>
        <v>0</v>
      </c>
      <c r="AO237" s="97">
        <f t="shared" si="19"/>
        <v>0</v>
      </c>
    </row>
    <row r="238" ht="15.75" customHeight="1">
      <c r="A238" s="95">
        <v>51302.0</v>
      </c>
      <c r="B238" s="60" t="s">
        <v>183</v>
      </c>
      <c r="C238" s="60" t="s">
        <v>184</v>
      </c>
      <c r="D238" s="96">
        <v>0.0</v>
      </c>
      <c r="E238" s="97">
        <v>5738.5</v>
      </c>
      <c r="F238" s="98">
        <v>0.0</v>
      </c>
      <c r="G238" s="99">
        <v>8.0715608E7</v>
      </c>
      <c r="H238" s="99">
        <f t="shared" si="1"/>
        <v>182521.3972</v>
      </c>
      <c r="I238" s="100">
        <f t="shared" si="77"/>
        <v>0</v>
      </c>
      <c r="J238" s="101">
        <f t="shared" si="3"/>
        <v>0</v>
      </c>
      <c r="K238" s="102">
        <v>0.0</v>
      </c>
      <c r="L238" s="103">
        <v>1.02296881E8</v>
      </c>
      <c r="M238" s="99">
        <f t="shared" si="4"/>
        <v>277273.3138</v>
      </c>
      <c r="N238" s="100">
        <f t="shared" si="78"/>
        <v>0</v>
      </c>
      <c r="O238" s="101">
        <f t="shared" si="6"/>
        <v>0</v>
      </c>
      <c r="P238" s="98">
        <v>0.0</v>
      </c>
      <c r="Q238" s="99">
        <v>1.312701719E9</v>
      </c>
      <c r="R238" s="99">
        <f t="shared" si="7"/>
        <v>2557.414224</v>
      </c>
      <c r="S238" s="100">
        <f t="shared" si="79"/>
        <v>0</v>
      </c>
      <c r="T238" s="101">
        <f t="shared" si="9"/>
        <v>0</v>
      </c>
      <c r="U238" s="100">
        <f t="shared" si="10"/>
        <v>0</v>
      </c>
      <c r="V238" s="99">
        <f t="shared" si="11"/>
        <v>0</v>
      </c>
      <c r="W238" s="96">
        <v>0.0</v>
      </c>
      <c r="X238" s="97">
        <v>4471.0</v>
      </c>
      <c r="Y238" s="98">
        <v>0.0</v>
      </c>
      <c r="Z238" s="103">
        <v>1.21716258E8</v>
      </c>
      <c r="AA238" s="99">
        <v>275236.30478495</v>
      </c>
      <c r="AB238" s="100">
        <f t="shared" si="80"/>
        <v>0</v>
      </c>
      <c r="AC238" s="101">
        <f t="shared" si="13"/>
        <v>0</v>
      </c>
      <c r="AD238" s="98">
        <v>0.0</v>
      </c>
      <c r="AE238" s="99">
        <v>1.4807467E8</v>
      </c>
      <c r="AF238" s="99">
        <v>298068.80334898003</v>
      </c>
      <c r="AG238" s="100">
        <f t="shared" si="81"/>
        <v>0</v>
      </c>
      <c r="AH238" s="101">
        <f t="shared" si="15"/>
        <v>0</v>
      </c>
      <c r="AI238" s="102">
        <v>0.0</v>
      </c>
      <c r="AJ238" s="99">
        <v>1.717060725E9</v>
      </c>
      <c r="AK238" s="99">
        <v>3345.1891293834997</v>
      </c>
      <c r="AL238" s="100">
        <f t="shared" si="82"/>
        <v>0</v>
      </c>
      <c r="AM238" s="100">
        <f t="shared" si="17"/>
        <v>0</v>
      </c>
      <c r="AN238" s="104">
        <f t="shared" si="18"/>
        <v>0</v>
      </c>
      <c r="AO238" s="97">
        <f t="shared" si="19"/>
        <v>0</v>
      </c>
    </row>
    <row r="239" ht="15.75" customHeight="1">
      <c r="A239" s="95">
        <v>51401.0</v>
      </c>
      <c r="B239" s="60" t="s">
        <v>183</v>
      </c>
      <c r="C239" s="60" t="s">
        <v>196</v>
      </c>
      <c r="D239" s="96">
        <v>21.0</v>
      </c>
      <c r="E239" s="97">
        <v>4159.25</v>
      </c>
      <c r="F239" s="98">
        <v>14.33402960307833</v>
      </c>
      <c r="G239" s="99">
        <v>8.0715608E7</v>
      </c>
      <c r="H239" s="99">
        <f t="shared" si="1"/>
        <v>182521.3972</v>
      </c>
      <c r="I239" s="100">
        <f t="shared" si="77"/>
        <v>0.0003182638897</v>
      </c>
      <c r="J239" s="101">
        <f t="shared" si="3"/>
        <v>0.01396645305</v>
      </c>
      <c r="K239" s="102">
        <v>5.973416854132317</v>
      </c>
      <c r="L239" s="103">
        <v>1.02296881E8</v>
      </c>
      <c r="M239" s="99">
        <f t="shared" si="4"/>
        <v>277273.3138</v>
      </c>
      <c r="N239" s="100">
        <f t="shared" si="78"/>
        <v>0.0005614432747</v>
      </c>
      <c r="O239" s="101">
        <f t="shared" si="6"/>
        <v>0.03742819914</v>
      </c>
      <c r="P239" s="98">
        <v>0.6879530493689423</v>
      </c>
      <c r="Q239" s="99">
        <v>1.312701719E9</v>
      </c>
      <c r="R239" s="99">
        <f t="shared" si="7"/>
        <v>2557.414224</v>
      </c>
      <c r="S239" s="100">
        <f t="shared" si="79"/>
        <v>0.000468609665</v>
      </c>
      <c r="T239" s="101">
        <f t="shared" si="9"/>
        <v>0.0002881358472</v>
      </c>
      <c r="U239" s="100">
        <f t="shared" si="10"/>
        <v>0.05168278803</v>
      </c>
      <c r="V239" s="99">
        <f t="shared" si="11"/>
        <v>214.9616361</v>
      </c>
      <c r="W239" s="96">
        <v>20.0</v>
      </c>
      <c r="X239" s="97">
        <v>4187.0</v>
      </c>
      <c r="Y239" s="98">
        <v>14.15830384643843</v>
      </c>
      <c r="Z239" s="103">
        <v>1.21716258E8</v>
      </c>
      <c r="AA239" s="99">
        <v>275236.30478495</v>
      </c>
      <c r="AB239" s="100">
        <f t="shared" si="80"/>
        <v>0.000194325523</v>
      </c>
      <c r="AC239" s="101">
        <f t="shared" si="13"/>
        <v>0.01277416739</v>
      </c>
      <c r="AD239" s="98">
        <v>5.153260275997666</v>
      </c>
      <c r="AE239" s="99">
        <v>1.4807467E8</v>
      </c>
      <c r="AF239" s="99">
        <v>298068.80334898003</v>
      </c>
      <c r="AG239" s="100">
        <f t="shared" si="81"/>
        <v>0.0003722657507</v>
      </c>
      <c r="AH239" s="101">
        <f t="shared" si="15"/>
        <v>0.02650126745</v>
      </c>
      <c r="AI239" s="102">
        <v>0.6873353841434945</v>
      </c>
      <c r="AJ239" s="99">
        <v>1.717060725E9</v>
      </c>
      <c r="AK239" s="99">
        <v>3345.1891293834997</v>
      </c>
      <c r="AL239" s="100">
        <f t="shared" si="82"/>
        <v>0.0003176136343</v>
      </c>
      <c r="AM239" s="100">
        <f t="shared" si="17"/>
        <v>0.0002537563116</v>
      </c>
      <c r="AN239" s="104">
        <f t="shared" si="18"/>
        <v>0.03952919116</v>
      </c>
      <c r="AO239" s="97">
        <f t="shared" si="19"/>
        <v>165.5087234</v>
      </c>
    </row>
    <row r="240" ht="15.75" customHeight="1">
      <c r="A240" s="95">
        <v>51402.0</v>
      </c>
      <c r="B240" s="60" t="s">
        <v>183</v>
      </c>
      <c r="C240" s="60" t="s">
        <v>204</v>
      </c>
      <c r="D240" s="96">
        <v>0.0</v>
      </c>
      <c r="E240" s="97">
        <v>1661.5</v>
      </c>
      <c r="F240" s="98">
        <v>0.0</v>
      </c>
      <c r="G240" s="99">
        <v>8.0715608E7</v>
      </c>
      <c r="H240" s="99">
        <f t="shared" si="1"/>
        <v>182521.3972</v>
      </c>
      <c r="I240" s="100">
        <f t="shared" si="77"/>
        <v>0</v>
      </c>
      <c r="J240" s="101">
        <f t="shared" si="3"/>
        <v>0</v>
      </c>
      <c r="K240" s="102">
        <v>0.0</v>
      </c>
      <c r="L240" s="103">
        <v>1.02296881E8</v>
      </c>
      <c r="M240" s="99">
        <f t="shared" si="4"/>
        <v>277273.3138</v>
      </c>
      <c r="N240" s="100">
        <f t="shared" si="78"/>
        <v>0</v>
      </c>
      <c r="O240" s="101">
        <f t="shared" si="6"/>
        <v>0</v>
      </c>
      <c r="P240" s="98">
        <v>0.0</v>
      </c>
      <c r="Q240" s="99">
        <v>1.312701719E9</v>
      </c>
      <c r="R240" s="99">
        <f t="shared" si="7"/>
        <v>2557.414224</v>
      </c>
      <c r="S240" s="100">
        <f t="shared" si="79"/>
        <v>0</v>
      </c>
      <c r="T240" s="101">
        <f t="shared" si="9"/>
        <v>0</v>
      </c>
      <c r="U240" s="100">
        <f t="shared" si="10"/>
        <v>0</v>
      </c>
      <c r="V240" s="99">
        <f t="shared" si="11"/>
        <v>0</v>
      </c>
      <c r="W240" s="96">
        <v>0.0</v>
      </c>
      <c r="X240" s="97">
        <v>1546.0</v>
      </c>
      <c r="Y240" s="98">
        <v>0.0</v>
      </c>
      <c r="Z240" s="103">
        <v>1.21716258E8</v>
      </c>
      <c r="AA240" s="99">
        <v>275236.30478495</v>
      </c>
      <c r="AB240" s="100">
        <f t="shared" si="80"/>
        <v>0</v>
      </c>
      <c r="AC240" s="101">
        <f t="shared" si="13"/>
        <v>0</v>
      </c>
      <c r="AD240" s="98">
        <v>0.0</v>
      </c>
      <c r="AE240" s="99">
        <v>1.4807467E8</v>
      </c>
      <c r="AF240" s="99">
        <v>298068.80334898003</v>
      </c>
      <c r="AG240" s="100">
        <f t="shared" si="81"/>
        <v>0</v>
      </c>
      <c r="AH240" s="101">
        <f t="shared" si="15"/>
        <v>0</v>
      </c>
      <c r="AI240" s="102">
        <v>0.0</v>
      </c>
      <c r="AJ240" s="99">
        <v>1.717060725E9</v>
      </c>
      <c r="AK240" s="99">
        <v>3345.1891293834997</v>
      </c>
      <c r="AL240" s="100">
        <f t="shared" si="82"/>
        <v>0</v>
      </c>
      <c r="AM240" s="100">
        <f t="shared" si="17"/>
        <v>0</v>
      </c>
      <c r="AN240" s="104">
        <f t="shared" si="18"/>
        <v>0</v>
      </c>
      <c r="AO240" s="97">
        <f t="shared" si="19"/>
        <v>0</v>
      </c>
    </row>
    <row r="241" ht="15.75" customHeight="1">
      <c r="A241" s="95">
        <v>51501.0</v>
      </c>
      <c r="B241" s="60" t="s">
        <v>183</v>
      </c>
      <c r="C241" s="60" t="s">
        <v>210</v>
      </c>
      <c r="D241" s="96">
        <v>2688.0</v>
      </c>
      <c r="E241" s="97">
        <v>46014.5</v>
      </c>
      <c r="F241" s="98">
        <v>2182.092923767074</v>
      </c>
      <c r="G241" s="99">
        <v>8.0715608E7</v>
      </c>
      <c r="H241" s="99">
        <f t="shared" si="1"/>
        <v>182521.3972</v>
      </c>
      <c r="I241" s="100">
        <f t="shared" si="77"/>
        <v>0.04844983587</v>
      </c>
      <c r="J241" s="101">
        <f t="shared" si="3"/>
        <v>0.1921814154</v>
      </c>
      <c r="K241" s="102">
        <v>426.4444381588456</v>
      </c>
      <c r="L241" s="103">
        <v>1.02296881E8</v>
      </c>
      <c r="M241" s="99">
        <f t="shared" si="4"/>
        <v>277273.3138</v>
      </c>
      <c r="N241" s="100">
        <f t="shared" si="78"/>
        <v>0.040081643</v>
      </c>
      <c r="O241" s="101">
        <f t="shared" si="6"/>
        <v>0.241523215</v>
      </c>
      <c r="P241" s="98">
        <v>79.18933628915927</v>
      </c>
      <c r="Q241" s="99">
        <v>1.312701719E9</v>
      </c>
      <c r="R241" s="99">
        <f t="shared" si="7"/>
        <v>2557.414224</v>
      </c>
      <c r="S241" s="100">
        <f t="shared" si="79"/>
        <v>0.05394101877</v>
      </c>
      <c r="T241" s="101">
        <f t="shared" si="9"/>
        <v>0.002997957788</v>
      </c>
      <c r="U241" s="100">
        <f t="shared" si="10"/>
        <v>0.4367025882</v>
      </c>
      <c r="V241" s="99">
        <f t="shared" si="11"/>
        <v>20094.65124</v>
      </c>
      <c r="W241" s="96">
        <v>4637.0</v>
      </c>
      <c r="X241" s="97">
        <v>49340.0</v>
      </c>
      <c r="Y241" s="98">
        <v>3883.975914627316</v>
      </c>
      <c r="Z241" s="103">
        <v>1.21716258E8</v>
      </c>
      <c r="AA241" s="99">
        <v>275236.30478495</v>
      </c>
      <c r="AB241" s="100">
        <f t="shared" si="80"/>
        <v>0.05330833827</v>
      </c>
      <c r="AC241" s="101">
        <f t="shared" si="13"/>
        <v>0.2973731261</v>
      </c>
      <c r="AD241" s="98">
        <v>627.8902082242482</v>
      </c>
      <c r="AE241" s="99">
        <v>1.4807467E8</v>
      </c>
      <c r="AF241" s="99">
        <v>298068.80334898003</v>
      </c>
      <c r="AG241" s="100">
        <f t="shared" si="81"/>
        <v>0.0453580854</v>
      </c>
      <c r="AH241" s="101">
        <f t="shared" si="15"/>
        <v>0.2740135841</v>
      </c>
      <c r="AI241" s="102">
        <v>124.7235942934204</v>
      </c>
      <c r="AJ241" s="99">
        <v>1.717060725E9</v>
      </c>
      <c r="AK241" s="99">
        <v>3345.1891293834997</v>
      </c>
      <c r="AL241" s="100">
        <f t="shared" si="82"/>
        <v>0.0576340386</v>
      </c>
      <c r="AM241" s="100">
        <f t="shared" si="17"/>
        <v>0.003907514378</v>
      </c>
      <c r="AN241" s="104">
        <f t="shared" si="18"/>
        <v>0.5752942245</v>
      </c>
      <c r="AO241" s="97">
        <f t="shared" si="19"/>
        <v>28385.01704</v>
      </c>
    </row>
    <row r="242" ht="15.75" customHeight="1">
      <c r="A242" s="95">
        <v>51601.0</v>
      </c>
      <c r="B242" s="60" t="s">
        <v>183</v>
      </c>
      <c r="C242" s="60" t="s">
        <v>816</v>
      </c>
      <c r="D242" s="108"/>
      <c r="E242" s="109">
        <v>1794.5</v>
      </c>
      <c r="F242" s="110"/>
      <c r="G242" s="99">
        <v>8.0715608E7</v>
      </c>
      <c r="H242" s="99">
        <f t="shared" si="1"/>
        <v>182521.3972</v>
      </c>
      <c r="I242" s="100">
        <f t="shared" si="77"/>
        <v>0</v>
      </c>
      <c r="J242" s="101">
        <f t="shared" si="3"/>
        <v>0</v>
      </c>
      <c r="K242" s="111"/>
      <c r="L242" s="103">
        <v>1.02296881E8</v>
      </c>
      <c r="M242" s="99">
        <f t="shared" si="4"/>
        <v>277273.3138</v>
      </c>
      <c r="N242" s="100">
        <f t="shared" si="78"/>
        <v>0</v>
      </c>
      <c r="O242" s="101">
        <f t="shared" si="6"/>
        <v>0</v>
      </c>
      <c r="P242" s="110"/>
      <c r="Q242" s="99">
        <v>1.312701719E9</v>
      </c>
      <c r="R242" s="99">
        <f t="shared" si="7"/>
        <v>2557.414224</v>
      </c>
      <c r="S242" s="100">
        <f t="shared" si="79"/>
        <v>0</v>
      </c>
      <c r="T242" s="101">
        <f t="shared" si="9"/>
        <v>0</v>
      </c>
      <c r="U242" s="100">
        <f t="shared" si="10"/>
        <v>0</v>
      </c>
      <c r="V242" s="99">
        <f t="shared" si="11"/>
        <v>0</v>
      </c>
      <c r="W242" s="108"/>
      <c r="X242" s="97">
        <v>2126.0</v>
      </c>
      <c r="Y242" s="110"/>
      <c r="Z242" s="103">
        <v>1.21716258E8</v>
      </c>
      <c r="AA242" s="99">
        <v>275236.30478495</v>
      </c>
      <c r="AB242" s="100">
        <f t="shared" si="80"/>
        <v>0</v>
      </c>
      <c r="AC242" s="101">
        <f t="shared" si="13"/>
        <v>0</v>
      </c>
      <c r="AD242" s="110"/>
      <c r="AE242" s="99">
        <v>1.4807467E8</v>
      </c>
      <c r="AF242" s="99">
        <v>298068.80334898003</v>
      </c>
      <c r="AG242" s="100">
        <f t="shared" si="81"/>
        <v>0</v>
      </c>
      <c r="AH242" s="101">
        <f t="shared" si="15"/>
        <v>0</v>
      </c>
      <c r="AI242" s="111"/>
      <c r="AJ242" s="99">
        <v>1.717060725E9</v>
      </c>
      <c r="AK242" s="99">
        <v>3345.1891293834997</v>
      </c>
      <c r="AL242" s="100">
        <f t="shared" si="82"/>
        <v>0</v>
      </c>
      <c r="AM242" s="100">
        <f t="shared" si="17"/>
        <v>0</v>
      </c>
      <c r="AN242" s="104">
        <f t="shared" si="18"/>
        <v>0</v>
      </c>
      <c r="AO242" s="97">
        <f t="shared" si="19"/>
        <v>0</v>
      </c>
    </row>
    <row r="243" ht="15.75" customHeight="1">
      <c r="A243" s="95">
        <v>60101.0</v>
      </c>
      <c r="B243" s="60" t="s">
        <v>213</v>
      </c>
      <c r="C243" s="60" t="s">
        <v>213</v>
      </c>
      <c r="D243" s="96">
        <v>61230.0</v>
      </c>
      <c r="E243" s="97">
        <v>213718.5</v>
      </c>
      <c r="F243" s="98">
        <v>48971.69162506246</v>
      </c>
      <c r="G243" s="99">
        <v>7.3166581E7</v>
      </c>
      <c r="H243" s="99">
        <f t="shared" si="1"/>
        <v>165450.8579</v>
      </c>
      <c r="I243" s="100">
        <f t="shared" ref="I243:I253" si="83">F243/SUM($F$243:$F$253)</f>
        <v>0.6997255437</v>
      </c>
      <c r="J243" s="101">
        <f t="shared" si="3"/>
        <v>0.5416947598</v>
      </c>
      <c r="K243" s="102">
        <v>10938.58048525915</v>
      </c>
      <c r="L243" s="103">
        <v>1.09525629E8</v>
      </c>
      <c r="M243" s="99">
        <f t="shared" si="4"/>
        <v>296866.6669</v>
      </c>
      <c r="N243" s="100">
        <f t="shared" ref="N243:N253" si="84">K243/SUM($K$243:$K$253)</f>
        <v>0.7119154237</v>
      </c>
      <c r="O243" s="101">
        <f t="shared" si="6"/>
        <v>0.9888893986</v>
      </c>
      <c r="P243" s="98">
        <v>1314.652358358962</v>
      </c>
      <c r="Q243" s="99">
        <v>4.3388942926E10</v>
      </c>
      <c r="R243" s="99">
        <f t="shared" si="7"/>
        <v>84530.62732</v>
      </c>
      <c r="S243" s="100">
        <f t="shared" ref="S243:S253" si="85">P243/SUM($P$243:$P$253)</f>
        <v>0.67695796</v>
      </c>
      <c r="T243" s="101">
        <f t="shared" si="9"/>
        <v>0.2677525859</v>
      </c>
      <c r="U243" s="100">
        <f t="shared" si="10"/>
        <v>1.798336744</v>
      </c>
      <c r="V243" s="99">
        <f t="shared" si="11"/>
        <v>384337.8315</v>
      </c>
      <c r="W243" s="96">
        <v>86244.0</v>
      </c>
      <c r="X243" s="97">
        <v>238749.0</v>
      </c>
      <c r="Y243" s="98">
        <v>73159.95730698032</v>
      </c>
      <c r="Z243" s="103">
        <v>9.7868E7</v>
      </c>
      <c r="AA243" s="99">
        <v>223054.08948726588</v>
      </c>
      <c r="AB243" s="100">
        <f t="shared" ref="AB243:AB253" si="86">Y243/SUM($Y$243:$Y$253)</f>
        <v>0.5801266683</v>
      </c>
      <c r="AC243" s="101">
        <f t="shared" si="13"/>
        <v>0.5419902315</v>
      </c>
      <c r="AD243" s="98">
        <v>11426.97785779922</v>
      </c>
      <c r="AE243" s="99">
        <v>1.19919247E8</v>
      </c>
      <c r="AF243" s="99">
        <v>289671.03710113</v>
      </c>
      <c r="AG243" s="100">
        <f t="shared" ref="AG243:AG253" si="87">AD243/SUM($AD$243:$AD$253)</f>
        <v>0.5909784732</v>
      </c>
      <c r="AH243" s="101">
        <f t="shared" si="15"/>
        <v>0.7170264472</v>
      </c>
      <c r="AI243" s="102">
        <v>1651.693296323567</v>
      </c>
      <c r="AJ243" s="99">
        <v>1.3268452106E10</v>
      </c>
      <c r="AK243" s="99">
        <v>126477.65809489001</v>
      </c>
      <c r="AL243" s="100">
        <f t="shared" ref="AL243:AL253" si="88">AI243/SUM($AI$243:$AI$253)</f>
        <v>0.5995135246</v>
      </c>
      <c r="AM243" s="100">
        <f t="shared" si="17"/>
        <v>0.3175932322</v>
      </c>
      <c r="AN243" s="104">
        <f t="shared" si="18"/>
        <v>1.576609911</v>
      </c>
      <c r="AO243" s="97">
        <f t="shared" si="19"/>
        <v>376414.0396</v>
      </c>
    </row>
    <row r="244" ht="15.75" customHeight="1">
      <c r="A244" s="95">
        <v>60201.0</v>
      </c>
      <c r="B244" s="60" t="s">
        <v>213</v>
      </c>
      <c r="C244" s="60" t="s">
        <v>218</v>
      </c>
      <c r="D244" s="96">
        <v>164.0</v>
      </c>
      <c r="E244" s="97">
        <v>18465.0</v>
      </c>
      <c r="F244" s="98">
        <v>108.9992825008288</v>
      </c>
      <c r="G244" s="99">
        <v>7.3166581E7</v>
      </c>
      <c r="H244" s="99">
        <f t="shared" si="1"/>
        <v>165450.8579</v>
      </c>
      <c r="I244" s="100">
        <f t="shared" si="83"/>
        <v>0.001557421843</v>
      </c>
      <c r="J244" s="101">
        <f t="shared" si="3"/>
        <v>0.01395487571</v>
      </c>
      <c r="K244" s="102">
        <v>50.63034161125638</v>
      </c>
      <c r="L244" s="103">
        <v>1.09525629E8</v>
      </c>
      <c r="M244" s="99">
        <f t="shared" si="4"/>
        <v>296866.6669</v>
      </c>
      <c r="N244" s="100">
        <f t="shared" si="84"/>
        <v>0.003295173551</v>
      </c>
      <c r="O244" s="101">
        <f t="shared" si="6"/>
        <v>0.05297737281</v>
      </c>
      <c r="P244" s="98">
        <v>4.347385425599513</v>
      </c>
      <c r="Q244" s="99">
        <v>4.3388942926E10</v>
      </c>
      <c r="R244" s="99">
        <f t="shared" si="7"/>
        <v>84530.62732</v>
      </c>
      <c r="S244" s="100">
        <f t="shared" si="85"/>
        <v>0.002238612475</v>
      </c>
      <c r="T244" s="101">
        <f t="shared" si="9"/>
        <v>0.01024810814</v>
      </c>
      <c r="U244" s="100">
        <f t="shared" si="10"/>
        <v>0.07718035666</v>
      </c>
      <c r="V244" s="99">
        <f t="shared" si="11"/>
        <v>1425.135286</v>
      </c>
      <c r="W244" s="96">
        <v>569.0</v>
      </c>
      <c r="X244" s="97">
        <v>17817.0</v>
      </c>
      <c r="Y244" s="98">
        <v>444.6756495571552</v>
      </c>
      <c r="Z244" s="103">
        <v>9.7868E7</v>
      </c>
      <c r="AA244" s="99">
        <v>223054.08948726588</v>
      </c>
      <c r="AB244" s="100">
        <f t="shared" si="86"/>
        <v>0.003526084658</v>
      </c>
      <c r="AC244" s="101">
        <f t="shared" si="13"/>
        <v>0.04414366071</v>
      </c>
      <c r="AD244" s="98">
        <v>112.0200778138472</v>
      </c>
      <c r="AE244" s="99">
        <v>1.19919247E8</v>
      </c>
      <c r="AF244" s="99">
        <v>289671.03710113</v>
      </c>
      <c r="AG244" s="100">
        <f t="shared" si="87"/>
        <v>0.005793435095</v>
      </c>
      <c r="AH244" s="101">
        <f t="shared" si="15"/>
        <v>0.09419039975</v>
      </c>
      <c r="AI244" s="102">
        <v>12.25604260604943</v>
      </c>
      <c r="AJ244" s="99">
        <v>1.3268452106E10</v>
      </c>
      <c r="AK244" s="99">
        <v>126477.65809489001</v>
      </c>
      <c r="AL244" s="100">
        <f t="shared" si="88"/>
        <v>0.004448563978</v>
      </c>
      <c r="AM244" s="100">
        <f t="shared" si="17"/>
        <v>0.03157905112</v>
      </c>
      <c r="AN244" s="104">
        <f t="shared" si="18"/>
        <v>0.1699131116</v>
      </c>
      <c r="AO244" s="97">
        <f t="shared" si="19"/>
        <v>3027.341909</v>
      </c>
    </row>
    <row r="245" ht="15.75" customHeight="1">
      <c r="A245" s="95">
        <v>60202.0</v>
      </c>
      <c r="B245" s="60" t="s">
        <v>213</v>
      </c>
      <c r="C245" s="60" t="s">
        <v>214</v>
      </c>
      <c r="D245" s="96">
        <v>5247.0</v>
      </c>
      <c r="E245" s="97">
        <v>35121.25</v>
      </c>
      <c r="F245" s="98">
        <v>4361.052725059656</v>
      </c>
      <c r="G245" s="99">
        <v>7.3166581E7</v>
      </c>
      <c r="H245" s="99">
        <f t="shared" si="1"/>
        <v>165450.8579</v>
      </c>
      <c r="I245" s="100">
        <f t="shared" si="83"/>
        <v>0.0623123255</v>
      </c>
      <c r="J245" s="101">
        <f t="shared" si="3"/>
        <v>0.293543872</v>
      </c>
      <c r="K245" s="102">
        <v>768.1861078354768</v>
      </c>
      <c r="L245" s="103">
        <v>1.09525629E8</v>
      </c>
      <c r="M245" s="99">
        <f t="shared" si="4"/>
        <v>296866.6669</v>
      </c>
      <c r="N245" s="100">
        <f t="shared" si="84"/>
        <v>0.04999584171</v>
      </c>
      <c r="O245" s="101">
        <f t="shared" si="6"/>
        <v>0.422595975</v>
      </c>
      <c r="P245" s="98">
        <v>117.3635541197563</v>
      </c>
      <c r="Q245" s="99">
        <v>4.3388942926E10</v>
      </c>
      <c r="R245" s="99">
        <f t="shared" si="7"/>
        <v>84530.62732</v>
      </c>
      <c r="S245" s="100">
        <f t="shared" si="85"/>
        <v>0.0604343739</v>
      </c>
      <c r="T245" s="101">
        <f t="shared" si="9"/>
        <v>0.1454548325</v>
      </c>
      <c r="U245" s="100">
        <f t="shared" si="10"/>
        <v>0.8615946795</v>
      </c>
      <c r="V245" s="99">
        <f t="shared" si="11"/>
        <v>30260.28214</v>
      </c>
      <c r="W245" s="96">
        <v>8486.0</v>
      </c>
      <c r="X245" s="97">
        <v>36970.0</v>
      </c>
      <c r="Y245" s="98">
        <v>7424.610526250232</v>
      </c>
      <c r="Z245" s="103">
        <v>9.7868E7</v>
      </c>
      <c r="AA245" s="99">
        <v>223054.08948726588</v>
      </c>
      <c r="AB245" s="100">
        <f t="shared" si="86"/>
        <v>0.05887393496</v>
      </c>
      <c r="AC245" s="101">
        <f t="shared" si="13"/>
        <v>0.3552088709</v>
      </c>
      <c r="AD245" s="98">
        <v>906.1485807083174</v>
      </c>
      <c r="AE245" s="99">
        <v>1.19919247E8</v>
      </c>
      <c r="AF245" s="99">
        <v>289671.03710113</v>
      </c>
      <c r="AG245" s="100">
        <f t="shared" si="87"/>
        <v>0.04686403626</v>
      </c>
      <c r="AH245" s="101">
        <f t="shared" si="15"/>
        <v>0.3671937784</v>
      </c>
      <c r="AI245" s="102">
        <v>154.7448513338287</v>
      </c>
      <c r="AJ245" s="99">
        <v>1.3268452106E10</v>
      </c>
      <c r="AK245" s="99">
        <v>126477.65809489001</v>
      </c>
      <c r="AL245" s="100">
        <f t="shared" si="88"/>
        <v>0.05616758961</v>
      </c>
      <c r="AM245" s="100">
        <f t="shared" si="17"/>
        <v>0.1921543196</v>
      </c>
      <c r="AN245" s="104">
        <f t="shared" si="18"/>
        <v>0.9145569689</v>
      </c>
      <c r="AO245" s="97">
        <f t="shared" si="19"/>
        <v>33811.17114</v>
      </c>
    </row>
    <row r="246" ht="15.75" customHeight="1">
      <c r="A246" s="95">
        <v>60301.0</v>
      </c>
      <c r="B246" s="60" t="s">
        <v>213</v>
      </c>
      <c r="C246" s="60" t="s">
        <v>222</v>
      </c>
      <c r="D246" s="96">
        <v>14438.0</v>
      </c>
      <c r="E246" s="97">
        <v>93592.25</v>
      </c>
      <c r="F246" s="98">
        <v>11688.14211928881</v>
      </c>
      <c r="G246" s="99">
        <v>7.3166581E7</v>
      </c>
      <c r="H246" s="99">
        <f t="shared" si="1"/>
        <v>165450.8579</v>
      </c>
      <c r="I246" s="100">
        <f t="shared" si="83"/>
        <v>0.167004474</v>
      </c>
      <c r="J246" s="101">
        <f t="shared" si="3"/>
        <v>0.295227794</v>
      </c>
      <c r="K246" s="102">
        <v>2393.014484082304</v>
      </c>
      <c r="L246" s="103">
        <v>1.09525629E8</v>
      </c>
      <c r="M246" s="99">
        <f t="shared" si="4"/>
        <v>296866.6669</v>
      </c>
      <c r="N246" s="100">
        <f t="shared" si="84"/>
        <v>0.1557445157</v>
      </c>
      <c r="O246" s="101">
        <f t="shared" si="6"/>
        <v>0.4940083743</v>
      </c>
      <c r="P246" s="98">
        <v>355.919262094018</v>
      </c>
      <c r="Q246" s="99">
        <v>4.3388942926E10</v>
      </c>
      <c r="R246" s="99">
        <f t="shared" si="7"/>
        <v>84530.62732</v>
      </c>
      <c r="S246" s="100">
        <f t="shared" si="85"/>
        <v>0.1832745943</v>
      </c>
      <c r="T246" s="101">
        <f t="shared" si="9"/>
        <v>0.1655299069</v>
      </c>
      <c r="U246" s="100">
        <f t="shared" si="10"/>
        <v>0.9547660751</v>
      </c>
      <c r="V246" s="99">
        <f t="shared" si="11"/>
        <v>89358.70519</v>
      </c>
      <c r="W246" s="96">
        <v>18762.0</v>
      </c>
      <c r="X246" s="97">
        <v>97634.0</v>
      </c>
      <c r="Y246" s="98">
        <v>15715.27724179518</v>
      </c>
      <c r="Z246" s="103">
        <v>9.7868E7</v>
      </c>
      <c r="AA246" s="99">
        <v>223054.08948726588</v>
      </c>
      <c r="AB246" s="100">
        <f t="shared" si="86"/>
        <v>0.1246153191</v>
      </c>
      <c r="AC246" s="101">
        <f t="shared" si="13"/>
        <v>0.2846954601</v>
      </c>
      <c r="AD246" s="98">
        <v>2626.245365960879</v>
      </c>
      <c r="AE246" s="99">
        <v>1.19919247E8</v>
      </c>
      <c r="AF246" s="99">
        <v>289671.03710113</v>
      </c>
      <c r="AG246" s="100">
        <f t="shared" si="87"/>
        <v>0.1358237056</v>
      </c>
      <c r="AH246" s="101">
        <f t="shared" si="15"/>
        <v>0.4029763573</v>
      </c>
      <c r="AI246" s="102">
        <v>419.3825424650724</v>
      </c>
      <c r="AJ246" s="99">
        <v>1.3268452106E10</v>
      </c>
      <c r="AK246" s="99">
        <v>126477.65809489001</v>
      </c>
      <c r="AL246" s="100">
        <f t="shared" si="88"/>
        <v>0.1522228774</v>
      </c>
      <c r="AM246" s="100">
        <f t="shared" si="17"/>
        <v>0.1971935293</v>
      </c>
      <c r="AN246" s="104">
        <f t="shared" si="18"/>
        <v>0.8848653467</v>
      </c>
      <c r="AO246" s="97">
        <f t="shared" si="19"/>
        <v>86392.94326</v>
      </c>
    </row>
    <row r="247" ht="15.75" customHeight="1">
      <c r="A247" s="95">
        <v>60302.0</v>
      </c>
      <c r="B247" s="60" t="s">
        <v>213</v>
      </c>
      <c r="C247" s="60" t="s">
        <v>215</v>
      </c>
      <c r="D247" s="96">
        <v>650.0</v>
      </c>
      <c r="E247" s="97">
        <v>15414.25</v>
      </c>
      <c r="F247" s="98">
        <v>480.5107297050926</v>
      </c>
      <c r="G247" s="99">
        <v>7.3166581E7</v>
      </c>
      <c r="H247" s="99">
        <f t="shared" si="1"/>
        <v>165450.8579</v>
      </c>
      <c r="I247" s="100">
        <f t="shared" si="83"/>
        <v>0.006865714057</v>
      </c>
      <c r="J247" s="101">
        <f t="shared" si="3"/>
        <v>0.07369403514</v>
      </c>
      <c r="K247" s="102">
        <v>149.721556042703</v>
      </c>
      <c r="L247" s="103">
        <v>1.09525629E8</v>
      </c>
      <c r="M247" s="99">
        <f t="shared" si="4"/>
        <v>296866.6669</v>
      </c>
      <c r="N247" s="100">
        <f t="shared" si="84"/>
        <v>0.009744325157</v>
      </c>
      <c r="O247" s="101">
        <f t="shared" si="6"/>
        <v>0.1876682505</v>
      </c>
      <c r="P247" s="98">
        <v>19.7115124893171</v>
      </c>
      <c r="Q247" s="99">
        <v>4.3388942926E10</v>
      </c>
      <c r="R247" s="99">
        <f t="shared" si="7"/>
        <v>84530.62732</v>
      </c>
      <c r="S247" s="100">
        <f t="shared" si="85"/>
        <v>0.01015010942</v>
      </c>
      <c r="T247" s="101">
        <f t="shared" si="9"/>
        <v>0.05566246275</v>
      </c>
      <c r="U247" s="100">
        <f t="shared" si="10"/>
        <v>0.3170247484</v>
      </c>
      <c r="V247" s="99">
        <f t="shared" si="11"/>
        <v>4886.698728</v>
      </c>
      <c r="W247" s="96">
        <v>1099.0</v>
      </c>
      <c r="X247" s="97">
        <v>15559.0</v>
      </c>
      <c r="Y247" s="98">
        <v>860.7932793284945</v>
      </c>
      <c r="Z247" s="103">
        <v>9.7868E7</v>
      </c>
      <c r="AA247" s="99">
        <v>223054.08948726588</v>
      </c>
      <c r="AB247" s="100">
        <f t="shared" si="86"/>
        <v>0.00682571663</v>
      </c>
      <c r="AC247" s="101">
        <f t="shared" si="13"/>
        <v>0.09785359008</v>
      </c>
      <c r="AD247" s="98">
        <v>208.5235144669999</v>
      </c>
      <c r="AE247" s="99">
        <v>1.19919247E8</v>
      </c>
      <c r="AF247" s="99">
        <v>289671.03710113</v>
      </c>
      <c r="AG247" s="100">
        <f t="shared" si="87"/>
        <v>0.01078438321</v>
      </c>
      <c r="AH247" s="101">
        <f t="shared" si="15"/>
        <v>0.2007791934</v>
      </c>
      <c r="AI247" s="102">
        <v>29.60513067903183</v>
      </c>
      <c r="AJ247" s="99">
        <v>1.3268452106E10</v>
      </c>
      <c r="AK247" s="99">
        <v>126477.65809489001</v>
      </c>
      <c r="AL247" s="100">
        <f t="shared" si="88"/>
        <v>0.01074574576</v>
      </c>
      <c r="AM247" s="100">
        <f t="shared" si="17"/>
        <v>0.08735116386</v>
      </c>
      <c r="AN247" s="104">
        <f t="shared" si="18"/>
        <v>0.3859839473</v>
      </c>
      <c r="AO247" s="97">
        <f t="shared" si="19"/>
        <v>6005.524237</v>
      </c>
    </row>
    <row r="248" ht="15.75" customHeight="1">
      <c r="A248" s="95">
        <v>60303.0</v>
      </c>
      <c r="B248" s="60" t="s">
        <v>213</v>
      </c>
      <c r="C248" s="60" t="s">
        <v>817</v>
      </c>
      <c r="D248" s="116">
        <v>4718.0</v>
      </c>
      <c r="E248" s="109">
        <v>41418.0</v>
      </c>
      <c r="F248" s="110">
        <v>3770.0315541875325</v>
      </c>
      <c r="G248" s="99">
        <v>7.3166581E7</v>
      </c>
      <c r="H248" s="99">
        <f t="shared" si="1"/>
        <v>165450.8579</v>
      </c>
      <c r="I248" s="100">
        <f t="shared" si="83"/>
        <v>0.05386759761</v>
      </c>
      <c r="J248" s="101">
        <f t="shared" si="3"/>
        <v>0.2151827766</v>
      </c>
      <c r="K248" s="111">
        <v>837.7983483832211</v>
      </c>
      <c r="L248" s="103">
        <v>1.09525629E8</v>
      </c>
      <c r="M248" s="99">
        <f t="shared" si="4"/>
        <v>296866.6669</v>
      </c>
      <c r="N248" s="100">
        <f t="shared" si="84"/>
        <v>0.05452641382</v>
      </c>
      <c r="O248" s="101">
        <f t="shared" si="6"/>
        <v>0.3908222205</v>
      </c>
      <c r="P248" s="110">
        <v>109.79026887400173</v>
      </c>
      <c r="Q248" s="99">
        <v>4.3388942926E10</v>
      </c>
      <c r="R248" s="99">
        <f t="shared" si="7"/>
        <v>84530.62732</v>
      </c>
      <c r="S248" s="100">
        <f t="shared" si="85"/>
        <v>0.05653463897</v>
      </c>
      <c r="T248" s="101">
        <f t="shared" si="9"/>
        <v>0.1153824061</v>
      </c>
      <c r="U248" s="100">
        <f t="shared" si="10"/>
        <v>0.7213874032</v>
      </c>
      <c r="V248" s="99">
        <f t="shared" si="11"/>
        <v>29878.42347</v>
      </c>
      <c r="W248" s="116">
        <v>8252.0</v>
      </c>
      <c r="X248" s="97">
        <v>46071.0</v>
      </c>
      <c r="Y248" s="110">
        <v>7107.219388677699</v>
      </c>
      <c r="Z248" s="103">
        <v>9.7868E7</v>
      </c>
      <c r="AA248" s="99">
        <v>223054.08948726588</v>
      </c>
      <c r="AB248" s="100">
        <f t="shared" si="86"/>
        <v>0.05635716117</v>
      </c>
      <c r="AC248" s="101">
        <f t="shared" si="13"/>
        <v>0.2728548386</v>
      </c>
      <c r="AD248" s="110">
        <v>994.1952263878644</v>
      </c>
      <c r="AE248" s="99">
        <v>1.19919247E8</v>
      </c>
      <c r="AF248" s="99">
        <v>289671.03710113</v>
      </c>
      <c r="AG248" s="100">
        <f t="shared" si="87"/>
        <v>0.05141761752</v>
      </c>
      <c r="AH248" s="101">
        <f t="shared" si="15"/>
        <v>0.3232878512</v>
      </c>
      <c r="AI248" s="111">
        <v>150.127892568968</v>
      </c>
      <c r="AJ248" s="99">
        <v>1.3268452106E10</v>
      </c>
      <c r="AK248" s="99">
        <v>126477.65809489001</v>
      </c>
      <c r="AL248" s="100">
        <f t="shared" si="88"/>
        <v>0.05449177654</v>
      </c>
      <c r="AM248" s="100">
        <f t="shared" si="17"/>
        <v>0.1495950225</v>
      </c>
      <c r="AN248" s="104">
        <f t="shared" si="18"/>
        <v>0.7457377123</v>
      </c>
      <c r="AO248" s="97">
        <f t="shared" si="19"/>
        <v>34356.88215</v>
      </c>
    </row>
    <row r="249" ht="15.75" customHeight="1">
      <c r="A249" s="95">
        <v>60401.0</v>
      </c>
      <c r="B249" s="60" t="s">
        <v>213</v>
      </c>
      <c r="C249" s="60" t="s">
        <v>818</v>
      </c>
      <c r="D249" s="116">
        <v>218.0</v>
      </c>
      <c r="E249" s="109">
        <v>15066.5</v>
      </c>
      <c r="F249" s="110">
        <v>151.34759632839967</v>
      </c>
      <c r="G249" s="99">
        <v>7.3166581E7</v>
      </c>
      <c r="H249" s="99">
        <f t="shared" si="1"/>
        <v>165450.8579</v>
      </c>
      <c r="I249" s="100">
        <f t="shared" si="83"/>
        <v>0.002162510128</v>
      </c>
      <c r="J249" s="101">
        <f t="shared" si="3"/>
        <v>0.02374733057</v>
      </c>
      <c r="K249" s="111">
        <v>60.59537378600567</v>
      </c>
      <c r="L249" s="103">
        <v>1.09525629E8</v>
      </c>
      <c r="M249" s="99">
        <f t="shared" si="4"/>
        <v>296866.6669</v>
      </c>
      <c r="N249" s="100">
        <f t="shared" si="84"/>
        <v>0.003943727549</v>
      </c>
      <c r="O249" s="101">
        <f t="shared" si="6"/>
        <v>0.07770625245</v>
      </c>
      <c r="P249" s="110">
        <v>6.019732819224848</v>
      </c>
      <c r="Q249" s="99">
        <v>4.3388942926E10</v>
      </c>
      <c r="R249" s="99">
        <f t="shared" si="7"/>
        <v>84530.62732</v>
      </c>
      <c r="S249" s="100">
        <f t="shared" si="85"/>
        <v>0.003099759433</v>
      </c>
      <c r="T249" s="101">
        <f t="shared" si="9"/>
        <v>0.01739120628</v>
      </c>
      <c r="U249" s="100">
        <f t="shared" si="10"/>
        <v>0.1188447893</v>
      </c>
      <c r="V249" s="99">
        <f t="shared" si="11"/>
        <v>1790.575018</v>
      </c>
      <c r="W249" s="116">
        <v>12924.0</v>
      </c>
      <c r="X249" s="97">
        <v>15923.0</v>
      </c>
      <c r="Y249" s="110">
        <v>11024.095187511693</v>
      </c>
      <c r="Z249" s="103">
        <v>9.7868E7</v>
      </c>
      <c r="AA249" s="99">
        <v>223054.08948726588</v>
      </c>
      <c r="AB249" s="100">
        <f t="shared" si="86"/>
        <v>0.0874162841</v>
      </c>
      <c r="AC249" s="101">
        <f t="shared" si="13"/>
        <v>1.22455314</v>
      </c>
      <c r="AD249" s="110">
        <v>1716.206574678667</v>
      </c>
      <c r="AE249" s="99">
        <v>1.19919247E8</v>
      </c>
      <c r="AF249" s="99">
        <v>289671.03710113</v>
      </c>
      <c r="AG249" s="100">
        <f t="shared" si="87"/>
        <v>0.08875847611</v>
      </c>
      <c r="AH249" s="101">
        <f t="shared" si="15"/>
        <v>1.6146932</v>
      </c>
      <c r="AI249" s="111">
        <v>182.93457627898795</v>
      </c>
      <c r="AJ249" s="99">
        <v>1.3268452106E10</v>
      </c>
      <c r="AK249" s="99">
        <v>126477.65809489001</v>
      </c>
      <c r="AL249" s="100">
        <f t="shared" si="88"/>
        <v>0.06639958692</v>
      </c>
      <c r="AM249" s="100">
        <f t="shared" si="17"/>
        <v>0.5274172111</v>
      </c>
      <c r="AN249" s="104">
        <f t="shared" si="18"/>
        <v>3.366663552</v>
      </c>
      <c r="AO249" s="97">
        <f t="shared" si="19"/>
        <v>53607.38373</v>
      </c>
    </row>
    <row r="250" ht="15.75" customHeight="1">
      <c r="A250" s="95">
        <v>60402.0</v>
      </c>
      <c r="B250" s="60" t="s">
        <v>213</v>
      </c>
      <c r="C250" s="60" t="s">
        <v>223</v>
      </c>
      <c r="D250" s="96">
        <v>11.0</v>
      </c>
      <c r="E250" s="97">
        <v>5306.0</v>
      </c>
      <c r="F250" s="98">
        <v>6.788602291697361</v>
      </c>
      <c r="G250" s="99">
        <v>7.3166581E7</v>
      </c>
      <c r="H250" s="99">
        <f t="shared" si="1"/>
        <v>165450.8579</v>
      </c>
      <c r="I250" s="100">
        <f t="shared" si="83"/>
        <v>0.00009699804666</v>
      </c>
      <c r="J250" s="101">
        <f t="shared" si="3"/>
        <v>0.003024577844</v>
      </c>
      <c r="K250" s="102">
        <v>3.916775670877902</v>
      </c>
      <c r="L250" s="103">
        <v>1.09525629E8</v>
      </c>
      <c r="M250" s="99">
        <f t="shared" si="4"/>
        <v>296866.6669</v>
      </c>
      <c r="N250" s="100">
        <f t="shared" si="84"/>
        <v>0.0002549154358</v>
      </c>
      <c r="O250" s="101">
        <f t="shared" si="6"/>
        <v>0.01426232487</v>
      </c>
      <c r="P250" s="98">
        <v>0.2912755051596855</v>
      </c>
      <c r="Q250" s="99">
        <v>4.3388942926E10</v>
      </c>
      <c r="R250" s="99">
        <f t="shared" si="7"/>
        <v>84530.62732</v>
      </c>
      <c r="S250" s="100">
        <f t="shared" si="85"/>
        <v>0.0001499873868</v>
      </c>
      <c r="T250" s="101">
        <f t="shared" si="9"/>
        <v>0.002389470014</v>
      </c>
      <c r="U250" s="100">
        <f t="shared" si="10"/>
        <v>0.01967637273</v>
      </c>
      <c r="V250" s="99">
        <f t="shared" si="11"/>
        <v>104.4028337</v>
      </c>
      <c r="W250" s="96">
        <v>247.0</v>
      </c>
      <c r="X250" s="97">
        <v>4754.0</v>
      </c>
      <c r="Y250" s="98">
        <v>218.1516513612539</v>
      </c>
      <c r="Z250" s="103">
        <v>9.7868E7</v>
      </c>
      <c r="AA250" s="99">
        <v>223054.08948726588</v>
      </c>
      <c r="AB250" s="100">
        <f t="shared" si="86"/>
        <v>0.001729847793</v>
      </c>
      <c r="AC250" s="101">
        <f t="shared" si="13"/>
        <v>0.08116315197</v>
      </c>
      <c r="AD250" s="98">
        <v>27.49491886304346</v>
      </c>
      <c r="AE250" s="99">
        <v>1.19919247E8</v>
      </c>
      <c r="AF250" s="99">
        <v>289671.03710113</v>
      </c>
      <c r="AG250" s="100">
        <f t="shared" si="87"/>
        <v>0.001421977479</v>
      </c>
      <c r="AH250" s="101">
        <f t="shared" si="15"/>
        <v>0.08664402422</v>
      </c>
      <c r="AI250" s="102">
        <v>1.343952453486827</v>
      </c>
      <c r="AJ250" s="99">
        <v>1.3268452106E10</v>
      </c>
      <c r="AK250" s="99">
        <v>126477.65809489001</v>
      </c>
      <c r="AL250" s="100">
        <f t="shared" si="88"/>
        <v>0.0004878131273</v>
      </c>
      <c r="AM250" s="100">
        <f t="shared" si="17"/>
        <v>0.0129780105</v>
      </c>
      <c r="AN250" s="104">
        <f t="shared" si="18"/>
        <v>0.1807851867</v>
      </c>
      <c r="AO250" s="97">
        <f t="shared" si="19"/>
        <v>859.4527775</v>
      </c>
    </row>
    <row r="251" ht="15.75" customHeight="1">
      <c r="A251" s="95">
        <v>60501.0</v>
      </c>
      <c r="B251" s="60" t="s">
        <v>213</v>
      </c>
      <c r="C251" s="60" t="s">
        <v>219</v>
      </c>
      <c r="D251" s="96">
        <v>354.0</v>
      </c>
      <c r="E251" s="97">
        <v>25483.75</v>
      </c>
      <c r="F251" s="98">
        <v>276.1181091885994</v>
      </c>
      <c r="G251" s="99">
        <v>7.3166581E7</v>
      </c>
      <c r="H251" s="99">
        <f t="shared" si="1"/>
        <v>165450.8579</v>
      </c>
      <c r="I251" s="100">
        <f t="shared" si="83"/>
        <v>0.003945277111</v>
      </c>
      <c r="J251" s="101">
        <f t="shared" si="3"/>
        <v>0.0256143418</v>
      </c>
      <c r="K251" s="102">
        <v>69.1028130690804</v>
      </c>
      <c r="L251" s="103">
        <v>1.09525629E8</v>
      </c>
      <c r="M251" s="99">
        <f t="shared" si="4"/>
        <v>296866.6669</v>
      </c>
      <c r="N251" s="100">
        <f t="shared" si="84"/>
        <v>0.004497417056</v>
      </c>
      <c r="O251" s="101">
        <f t="shared" si="6"/>
        <v>0.05239155191</v>
      </c>
      <c r="P251" s="98">
        <v>8.737706326504131</v>
      </c>
      <c r="Q251" s="99">
        <v>4.3388942926E10</v>
      </c>
      <c r="R251" s="99">
        <f t="shared" si="7"/>
        <v>84530.62732</v>
      </c>
      <c r="S251" s="100">
        <f t="shared" si="85"/>
        <v>0.004499333845</v>
      </c>
      <c r="T251" s="101">
        <f t="shared" si="9"/>
        <v>0.01492447196</v>
      </c>
      <c r="U251" s="100">
        <f t="shared" si="10"/>
        <v>0.09293036568</v>
      </c>
      <c r="V251" s="99">
        <f t="shared" si="11"/>
        <v>2368.214206</v>
      </c>
      <c r="W251" s="96">
        <v>10726.0</v>
      </c>
      <c r="X251" s="97">
        <v>30346.0</v>
      </c>
      <c r="Y251" s="98">
        <v>9480.444441278536</v>
      </c>
      <c r="Z251" s="103">
        <v>9.7868E7</v>
      </c>
      <c r="AA251" s="99">
        <v>223054.08948726588</v>
      </c>
      <c r="AB251" s="100">
        <f t="shared" si="86"/>
        <v>0.0751758045</v>
      </c>
      <c r="AC251" s="101">
        <f t="shared" si="13"/>
        <v>0.5525693872</v>
      </c>
      <c r="AD251" s="98">
        <v>1108.812540848174</v>
      </c>
      <c r="AE251" s="99">
        <v>1.19919247E8</v>
      </c>
      <c r="AF251" s="99">
        <v>289671.03710113</v>
      </c>
      <c r="AG251" s="100">
        <f t="shared" si="87"/>
        <v>0.05734537606</v>
      </c>
      <c r="AH251" s="101">
        <f t="shared" si="15"/>
        <v>0.5473965121</v>
      </c>
      <c r="AI251" s="102">
        <v>136.2342186735464</v>
      </c>
      <c r="AJ251" s="99">
        <v>1.3268452106E10</v>
      </c>
      <c r="AK251" s="99">
        <v>126477.65809489001</v>
      </c>
      <c r="AL251" s="100">
        <f t="shared" si="88"/>
        <v>0.04944880311</v>
      </c>
      <c r="AM251" s="100">
        <f t="shared" si="17"/>
        <v>0.2060953276</v>
      </c>
      <c r="AN251" s="104">
        <f t="shared" si="18"/>
        <v>1.306061227</v>
      </c>
      <c r="AO251" s="97">
        <f t="shared" si="19"/>
        <v>39633.73399</v>
      </c>
    </row>
    <row r="252" ht="15.75" customHeight="1">
      <c r="A252" s="95">
        <v>60502.0</v>
      </c>
      <c r="B252" s="60" t="s">
        <v>213</v>
      </c>
      <c r="C252" s="60" t="s">
        <v>819</v>
      </c>
      <c r="D252" s="116">
        <v>136.0</v>
      </c>
      <c r="E252" s="109">
        <v>10896.25</v>
      </c>
      <c r="F252" s="110">
        <v>83.23774938594292</v>
      </c>
      <c r="G252" s="99">
        <v>7.3166581E7</v>
      </c>
      <c r="H252" s="99">
        <f t="shared" si="1"/>
        <v>165450.8579</v>
      </c>
      <c r="I252" s="100">
        <f t="shared" si="83"/>
        <v>0.001189331581</v>
      </c>
      <c r="J252" s="101">
        <f t="shared" si="3"/>
        <v>0.01805905064</v>
      </c>
      <c r="K252" s="111">
        <v>50.210980758504256</v>
      </c>
      <c r="L252" s="103">
        <v>1.09525629E8</v>
      </c>
      <c r="M252" s="99">
        <f t="shared" si="4"/>
        <v>296866.6669</v>
      </c>
      <c r="N252" s="100">
        <f t="shared" si="84"/>
        <v>0.003267880297</v>
      </c>
      <c r="O252" s="101">
        <f t="shared" si="6"/>
        <v>0.08903289953</v>
      </c>
      <c r="P252" s="110">
        <v>2.5185016679507326</v>
      </c>
      <c r="Q252" s="99">
        <v>4.3388942926E10</v>
      </c>
      <c r="R252" s="99">
        <f t="shared" si="7"/>
        <v>84530.62732</v>
      </c>
      <c r="S252" s="100">
        <f t="shared" si="85"/>
        <v>0.001296859767</v>
      </c>
      <c r="T252" s="101">
        <f t="shared" si="9"/>
        <v>0.01006074289</v>
      </c>
      <c r="U252" s="100">
        <f t="shared" si="10"/>
        <v>0.1171526931</v>
      </c>
      <c r="V252" s="99">
        <f t="shared" si="11"/>
        <v>1276.525032</v>
      </c>
      <c r="W252" s="116">
        <v>669.0</v>
      </c>
      <c r="X252" s="97">
        <v>9523.0</v>
      </c>
      <c r="Y252" s="110">
        <v>510.76479800716385</v>
      </c>
      <c r="Z252" s="103">
        <v>9.7868E7</v>
      </c>
      <c r="AA252" s="99">
        <v>223054.08948726588</v>
      </c>
      <c r="AB252" s="100">
        <f t="shared" si="86"/>
        <v>0.004050142885</v>
      </c>
      <c r="AC252" s="101">
        <f t="shared" si="13"/>
        <v>0.09486516156</v>
      </c>
      <c r="AD252" s="110">
        <v>145.9306018892346</v>
      </c>
      <c r="AE252" s="99">
        <v>1.19919247E8</v>
      </c>
      <c r="AF252" s="99">
        <v>289671.03710113</v>
      </c>
      <c r="AG252" s="100">
        <f t="shared" si="87"/>
        <v>0.00754721374</v>
      </c>
      <c r="AH252" s="101">
        <f t="shared" si="15"/>
        <v>0.2295714829</v>
      </c>
      <c r="AI252" s="111">
        <v>12.224911250593223</v>
      </c>
      <c r="AJ252" s="99">
        <v>1.3268452106E10</v>
      </c>
      <c r="AK252" s="99">
        <v>126477.65809489001</v>
      </c>
      <c r="AL252" s="100">
        <f t="shared" si="88"/>
        <v>0.00443726426</v>
      </c>
      <c r="AM252" s="100">
        <f t="shared" si="17"/>
        <v>0.05893256242</v>
      </c>
      <c r="AN252" s="104">
        <f t="shared" si="18"/>
        <v>0.3833692068</v>
      </c>
      <c r="AO252" s="97">
        <f t="shared" si="19"/>
        <v>3650.824957</v>
      </c>
    </row>
    <row r="253" ht="15.75" customHeight="1">
      <c r="A253" s="95">
        <v>60601.0</v>
      </c>
      <c r="B253" s="60" t="s">
        <v>213</v>
      </c>
      <c r="C253" s="60" t="s">
        <v>120</v>
      </c>
      <c r="D253" s="116">
        <v>135.0</v>
      </c>
      <c r="E253" s="109">
        <v>21709.25</v>
      </c>
      <c r="F253" s="110">
        <v>89.07990700097213</v>
      </c>
      <c r="G253" s="99">
        <v>7.3166581E7</v>
      </c>
      <c r="H253" s="99">
        <f t="shared" si="1"/>
        <v>165450.8579</v>
      </c>
      <c r="I253" s="100">
        <f t="shared" si="83"/>
        <v>0.001272806478</v>
      </c>
      <c r="J253" s="101">
        <f t="shared" si="3"/>
        <v>0.009700331603</v>
      </c>
      <c r="K253" s="111">
        <v>43.24273350142095</v>
      </c>
      <c r="L253" s="103">
        <v>1.09525629E8</v>
      </c>
      <c r="M253" s="99">
        <f t="shared" si="4"/>
        <v>296866.6669</v>
      </c>
      <c r="N253" s="100">
        <f t="shared" si="84"/>
        <v>0.002814365994</v>
      </c>
      <c r="O253" s="101">
        <f t="shared" si="6"/>
        <v>0.03848550512</v>
      </c>
      <c r="P253" s="110">
        <v>2.648442319505312</v>
      </c>
      <c r="Q253" s="99">
        <v>4.3388942926E10</v>
      </c>
      <c r="R253" s="99">
        <f t="shared" si="7"/>
        <v>84530.62732</v>
      </c>
      <c r="S253" s="100">
        <f t="shared" si="85"/>
        <v>0.001363770504</v>
      </c>
      <c r="T253" s="101">
        <f t="shared" si="9"/>
        <v>0.005310196172</v>
      </c>
      <c r="U253" s="100">
        <f t="shared" si="10"/>
        <v>0.0534960329</v>
      </c>
      <c r="V253" s="99">
        <f t="shared" si="11"/>
        <v>1161.358752</v>
      </c>
      <c r="W253" s="116">
        <v>232.0</v>
      </c>
      <c r="X253" s="97">
        <v>20864.0</v>
      </c>
      <c r="Y253" s="110">
        <v>164.32626288247485</v>
      </c>
      <c r="Z253" s="103">
        <v>9.7868E7</v>
      </c>
      <c r="AA253" s="99">
        <v>223054.08948726588</v>
      </c>
      <c r="AB253" s="100">
        <f t="shared" si="86"/>
        <v>0.001303035853</v>
      </c>
      <c r="AC253" s="101">
        <f t="shared" si="13"/>
        <v>0.01393057304</v>
      </c>
      <c r="AD253" s="110">
        <v>63.13694643853123</v>
      </c>
      <c r="AE253" s="99">
        <v>1.19919247E8</v>
      </c>
      <c r="AF253" s="99">
        <v>289671.03710113</v>
      </c>
      <c r="AG253" s="100">
        <f t="shared" si="87"/>
        <v>0.003265305724</v>
      </c>
      <c r="AH253" s="101">
        <f t="shared" si="15"/>
        <v>0.04533476301</v>
      </c>
      <c r="AI253" s="111">
        <v>4.508524254948369</v>
      </c>
      <c r="AJ253" s="99">
        <v>1.3268452106E10</v>
      </c>
      <c r="AK253" s="99">
        <v>126477.65809489001</v>
      </c>
      <c r="AL253" s="100">
        <f t="shared" si="88"/>
        <v>0.001636454705</v>
      </c>
      <c r="AM253" s="100">
        <f t="shared" si="17"/>
        <v>0.009920195491</v>
      </c>
      <c r="AN253" s="104">
        <f t="shared" si="18"/>
        <v>0.06918553154</v>
      </c>
      <c r="AO253" s="97">
        <f t="shared" si="19"/>
        <v>1443.48693</v>
      </c>
    </row>
    <row r="254" ht="15.75" customHeight="1">
      <c r="A254" s="95">
        <v>70101.0</v>
      </c>
      <c r="B254" s="60" t="s">
        <v>224</v>
      </c>
      <c r="C254" s="60" t="s">
        <v>267</v>
      </c>
      <c r="D254" s="96">
        <v>315393.0</v>
      </c>
      <c r="E254" s="97">
        <v>1486064.25</v>
      </c>
      <c r="F254" s="98">
        <v>246737.653339287</v>
      </c>
      <c r="G254" s="99">
        <v>5.02722601E8</v>
      </c>
      <c r="H254" s="99">
        <f t="shared" si="1"/>
        <v>1136801.59</v>
      </c>
      <c r="I254" s="100">
        <f t="shared" ref="I254:I309" si="89">F254/SUM($F$254:$F$309)</f>
        <v>0.5866799198</v>
      </c>
      <c r="J254" s="101">
        <f t="shared" si="3"/>
        <v>0.4487953101</v>
      </c>
      <c r="K254" s="102">
        <v>53954.82411857414</v>
      </c>
      <c r="L254" s="103">
        <v>6.96325692E8</v>
      </c>
      <c r="M254" s="99">
        <f t="shared" si="4"/>
        <v>1887374.573</v>
      </c>
      <c r="N254" s="100">
        <f t="shared" ref="N254:N309" si="90">K254/SUM($K$254:$K$309)</f>
        <v>0.6828611931</v>
      </c>
      <c r="O254" s="101">
        <f t="shared" si="6"/>
        <v>0.8672672481</v>
      </c>
      <c r="P254" s="98">
        <v>14690.48867456555</v>
      </c>
      <c r="Q254" s="99">
        <v>2.75172858841E11</v>
      </c>
      <c r="R254" s="99">
        <f t="shared" si="7"/>
        <v>536093.5946</v>
      </c>
      <c r="S254" s="100">
        <f t="shared" ref="S254:S309" si="91">P254/SUM($P$254:$P$309)</f>
        <v>0.7268716736</v>
      </c>
      <c r="T254" s="101">
        <f t="shared" si="9"/>
        <v>0.2622169588</v>
      </c>
      <c r="U254" s="100">
        <f t="shared" si="10"/>
        <v>1.578279517</v>
      </c>
      <c r="V254" s="99">
        <f t="shared" si="11"/>
        <v>2345424.767</v>
      </c>
      <c r="W254" s="96">
        <v>389006.0</v>
      </c>
      <c r="X254" s="97">
        <v>1610982.0</v>
      </c>
      <c r="Y254" s="98">
        <v>313630.9975323428</v>
      </c>
      <c r="Z254" s="103">
        <v>7.8233493E8</v>
      </c>
      <c r="AA254" s="99">
        <v>1771534.1337791323</v>
      </c>
      <c r="AB254" s="100">
        <f t="shared" ref="AB254:AB309" si="92">Y254/SUM($Y$254:$Y$309)</f>
        <v>0.391289212</v>
      </c>
      <c r="AC254" s="101">
        <f t="shared" si="13"/>
        <v>0.4302855</v>
      </c>
      <c r="AD254" s="98">
        <v>57325.87587611905</v>
      </c>
      <c r="AE254" s="99">
        <v>8.54728458E8</v>
      </c>
      <c r="AF254" s="99">
        <v>1973061.047939696</v>
      </c>
      <c r="AG254" s="100">
        <f t="shared" ref="AG254:AG309" si="93">AD254/SUM($AD$254:$AD$309)</f>
        <v>0.5329679247</v>
      </c>
      <c r="AH254" s="101">
        <f t="shared" si="15"/>
        <v>0.6527560532</v>
      </c>
      <c r="AI254" s="102">
        <v>18036.1400025298</v>
      </c>
      <c r="AJ254" s="99">
        <v>3.52046352185E11</v>
      </c>
      <c r="AK254" s="99">
        <v>685859.0459431</v>
      </c>
      <c r="AL254" s="100">
        <f t="shared" ref="AL254:AL309" si="94">AI254/SUM($AI$254:$AI$309)</f>
        <v>0.6293870134</v>
      </c>
      <c r="AM254" s="100">
        <f t="shared" si="17"/>
        <v>0.2679550588</v>
      </c>
      <c r="AN254" s="104">
        <f t="shared" si="18"/>
        <v>1.350996612</v>
      </c>
      <c r="AO254" s="97">
        <f t="shared" si="19"/>
        <v>2176431.224</v>
      </c>
    </row>
    <row r="255" ht="15.75" customHeight="1">
      <c r="A255" s="95">
        <v>70102.0</v>
      </c>
      <c r="B255" s="60" t="s">
        <v>224</v>
      </c>
      <c r="C255" s="60" t="s">
        <v>234</v>
      </c>
      <c r="D255" s="96">
        <v>9029.0</v>
      </c>
      <c r="E255" s="97">
        <v>68375.5</v>
      </c>
      <c r="F255" s="98">
        <v>7960.656560830426</v>
      </c>
      <c r="G255" s="99">
        <v>5.02722601E8</v>
      </c>
      <c r="H255" s="99">
        <f t="shared" si="1"/>
        <v>1136801.59</v>
      </c>
      <c r="I255" s="100">
        <f t="shared" si="89"/>
        <v>0.01892843386</v>
      </c>
      <c r="J255" s="101">
        <f t="shared" si="3"/>
        <v>0.3147015191</v>
      </c>
      <c r="K255" s="102">
        <v>850.9386126247</v>
      </c>
      <c r="L255" s="103">
        <v>6.96325692E8</v>
      </c>
      <c r="M255" s="99">
        <f t="shared" si="4"/>
        <v>1887374.573</v>
      </c>
      <c r="N255" s="100">
        <f t="shared" si="90"/>
        <v>0.01076962006</v>
      </c>
      <c r="O255" s="101">
        <f t="shared" si="6"/>
        <v>0.2972747119</v>
      </c>
      <c r="P255" s="98">
        <v>216.8496782494682</v>
      </c>
      <c r="Q255" s="99">
        <v>2.75172858841E11</v>
      </c>
      <c r="R255" s="99">
        <f t="shared" si="7"/>
        <v>536093.5946</v>
      </c>
      <c r="S255" s="100">
        <f t="shared" si="91"/>
        <v>0.01072951976</v>
      </c>
      <c r="T255" s="101">
        <f t="shared" si="9"/>
        <v>0.08412409148</v>
      </c>
      <c r="U255" s="100">
        <f t="shared" si="10"/>
        <v>0.6961003225</v>
      </c>
      <c r="V255" s="99">
        <f t="shared" si="11"/>
        <v>47596.2076</v>
      </c>
      <c r="W255" s="96">
        <v>29865.0</v>
      </c>
      <c r="X255" s="97">
        <v>106603.0</v>
      </c>
      <c r="Y255" s="98">
        <v>28086.71913304836</v>
      </c>
      <c r="Z255" s="103">
        <v>7.8233493E8</v>
      </c>
      <c r="AA255" s="99">
        <v>1771534.1337791323</v>
      </c>
      <c r="AB255" s="100">
        <f t="shared" si="92"/>
        <v>0.03504127553</v>
      </c>
      <c r="AC255" s="101">
        <f t="shared" si="13"/>
        <v>0.582317718</v>
      </c>
      <c r="AD255" s="98">
        <v>1421.863528759313</v>
      </c>
      <c r="AE255" s="99">
        <v>8.54728458E8</v>
      </c>
      <c r="AF255" s="99">
        <v>1973061.047939696</v>
      </c>
      <c r="AG255" s="100">
        <f t="shared" si="93"/>
        <v>0.01321929482</v>
      </c>
      <c r="AH255" s="101">
        <f t="shared" si="15"/>
        <v>0.2446692466</v>
      </c>
      <c r="AI255" s="102">
        <v>354.1198151240817</v>
      </c>
      <c r="AJ255" s="99">
        <v>3.52046352185E11</v>
      </c>
      <c r="AK255" s="99">
        <v>685859.0459431</v>
      </c>
      <c r="AL255" s="100">
        <f t="shared" si="94"/>
        <v>0.01235732329</v>
      </c>
      <c r="AM255" s="100">
        <f t="shared" si="17"/>
        <v>0.07950415991</v>
      </c>
      <c r="AN255" s="104">
        <f t="shared" si="18"/>
        <v>0.9064911245</v>
      </c>
      <c r="AO255" s="97">
        <f t="shared" si="19"/>
        <v>96634.67334</v>
      </c>
    </row>
    <row r="256" ht="15.75" customHeight="1">
      <c r="A256" s="95">
        <v>70103.0</v>
      </c>
      <c r="B256" s="60" t="s">
        <v>224</v>
      </c>
      <c r="C256" s="60" t="s">
        <v>820</v>
      </c>
      <c r="D256" s="108">
        <v>215.0</v>
      </c>
      <c r="E256" s="109">
        <v>17269.25</v>
      </c>
      <c r="F256" s="110">
        <v>168.28307543782552</v>
      </c>
      <c r="G256" s="99">
        <v>5.02722601E8</v>
      </c>
      <c r="H256" s="99">
        <f t="shared" si="1"/>
        <v>1136801.59</v>
      </c>
      <c r="I256" s="100">
        <f t="shared" si="89"/>
        <v>0.0004001347175</v>
      </c>
      <c r="J256" s="101">
        <f t="shared" si="3"/>
        <v>0.02634010065</v>
      </c>
      <c r="K256" s="111">
        <v>38.203411408006964</v>
      </c>
      <c r="L256" s="103">
        <v>6.96325692E8</v>
      </c>
      <c r="M256" s="99">
        <f t="shared" si="4"/>
        <v>1887374.573</v>
      </c>
      <c r="N256" s="100">
        <f t="shared" si="90"/>
        <v>0.0004835087042</v>
      </c>
      <c r="O256" s="101">
        <f t="shared" si="6"/>
        <v>0.05284317698</v>
      </c>
      <c r="P256" s="110">
        <v>8.504740751839492</v>
      </c>
      <c r="Q256" s="99">
        <v>2.75172858841E11</v>
      </c>
      <c r="R256" s="99">
        <f t="shared" si="7"/>
        <v>536093.5946</v>
      </c>
      <c r="S256" s="100">
        <f t="shared" si="91"/>
        <v>0.0004208066376</v>
      </c>
      <c r="T256" s="101">
        <f t="shared" si="9"/>
        <v>0.01306320442</v>
      </c>
      <c r="U256" s="100">
        <f t="shared" si="10"/>
        <v>0.09224648205</v>
      </c>
      <c r="V256" s="99">
        <f t="shared" si="11"/>
        <v>1593.02756</v>
      </c>
      <c r="W256" s="116">
        <v>63008.0</v>
      </c>
      <c r="X256" s="97">
        <v>23126.0</v>
      </c>
      <c r="Y256" s="110">
        <v>56028.24032576557</v>
      </c>
      <c r="Z256" s="103">
        <v>7.8233493E8</v>
      </c>
      <c r="AA256" s="99">
        <v>1771534.1337791323</v>
      </c>
      <c r="AB256" s="100">
        <f t="shared" si="92"/>
        <v>0.06990140063</v>
      </c>
      <c r="AC256" s="101">
        <f t="shared" si="13"/>
        <v>5.354696758</v>
      </c>
      <c r="AD256" s="110">
        <v>5578.4450142111045</v>
      </c>
      <c r="AE256" s="99">
        <v>8.54728458E8</v>
      </c>
      <c r="AF256" s="99">
        <v>1973061.047939696</v>
      </c>
      <c r="AG256" s="100">
        <f t="shared" si="93"/>
        <v>0.05186370408</v>
      </c>
      <c r="AH256" s="101">
        <f t="shared" si="15"/>
        <v>4.424900731</v>
      </c>
      <c r="AI256" s="111">
        <v>1397.246522500995</v>
      </c>
      <c r="AJ256" s="99">
        <v>3.52046352185E11</v>
      </c>
      <c r="AK256" s="99">
        <v>685859.0459431</v>
      </c>
      <c r="AL256" s="100">
        <f t="shared" si="94"/>
        <v>0.04875814979</v>
      </c>
      <c r="AM256" s="100">
        <f t="shared" si="17"/>
        <v>1.446044197</v>
      </c>
      <c r="AN256" s="104">
        <f t="shared" si="18"/>
        <v>11.22564169</v>
      </c>
      <c r="AO256" s="97">
        <f t="shared" si="19"/>
        <v>259604.1896</v>
      </c>
    </row>
    <row r="257" ht="15.75" customHeight="1">
      <c r="A257" s="95">
        <v>70104.0</v>
      </c>
      <c r="B257" s="60" t="s">
        <v>224</v>
      </c>
      <c r="C257" s="60" t="s">
        <v>241</v>
      </c>
      <c r="D257" s="96">
        <v>11450.0</v>
      </c>
      <c r="E257" s="97">
        <v>103894.5</v>
      </c>
      <c r="F257" s="98">
        <v>9623.54846574868</v>
      </c>
      <c r="G257" s="99">
        <v>5.02722601E8</v>
      </c>
      <c r="H257" s="99">
        <f t="shared" si="1"/>
        <v>1136801.59</v>
      </c>
      <c r="I257" s="100">
        <f t="shared" si="89"/>
        <v>0.02288237148</v>
      </c>
      <c r="J257" s="101">
        <f t="shared" si="3"/>
        <v>0.2503762595</v>
      </c>
      <c r="K257" s="102">
        <v>1486.222245653809</v>
      </c>
      <c r="L257" s="103">
        <v>6.96325692E8</v>
      </c>
      <c r="M257" s="99">
        <f t="shared" si="4"/>
        <v>1887374.573</v>
      </c>
      <c r="N257" s="100">
        <f t="shared" si="90"/>
        <v>0.01880987497</v>
      </c>
      <c r="O257" s="101">
        <f t="shared" si="6"/>
        <v>0.3417050926</v>
      </c>
      <c r="P257" s="98">
        <v>339.5357753180779</v>
      </c>
      <c r="Q257" s="99">
        <v>2.75172858841E11</v>
      </c>
      <c r="R257" s="99">
        <f t="shared" si="7"/>
        <v>536093.5946</v>
      </c>
      <c r="S257" s="100">
        <f t="shared" si="91"/>
        <v>0.01679991338</v>
      </c>
      <c r="T257" s="101">
        <f t="shared" si="9"/>
        <v>0.08668722553</v>
      </c>
      <c r="U257" s="100">
        <f t="shared" si="10"/>
        <v>0.6787685776</v>
      </c>
      <c r="V257" s="99">
        <f t="shared" si="11"/>
        <v>70520.32199</v>
      </c>
      <c r="W257" s="96">
        <v>42988.0</v>
      </c>
      <c r="X257" s="97">
        <v>147726.0</v>
      </c>
      <c r="Y257" s="98">
        <v>35561.28110160786</v>
      </c>
      <c r="Z257" s="103">
        <v>7.8233493E8</v>
      </c>
      <c r="AA257" s="99">
        <v>1771534.1337791323</v>
      </c>
      <c r="AB257" s="100">
        <f t="shared" si="92"/>
        <v>0.04436661482</v>
      </c>
      <c r="AC257" s="101">
        <f t="shared" si="13"/>
        <v>0.5320456287</v>
      </c>
      <c r="AD257" s="98">
        <v>6025.685176497123</v>
      </c>
      <c r="AE257" s="99">
        <v>8.54728458E8</v>
      </c>
      <c r="AF257" s="99">
        <v>1973061.047939696</v>
      </c>
      <c r="AG257" s="100">
        <f t="shared" si="93"/>
        <v>0.05602176808</v>
      </c>
      <c r="AH257" s="101">
        <f t="shared" si="15"/>
        <v>0.7482390943</v>
      </c>
      <c r="AI257" s="102">
        <v>1398.599360313992</v>
      </c>
      <c r="AJ257" s="99">
        <v>3.52046352185E11</v>
      </c>
      <c r="AK257" s="99">
        <v>685859.0459431</v>
      </c>
      <c r="AL257" s="100">
        <f t="shared" si="94"/>
        <v>0.04880535825</v>
      </c>
      <c r="AM257" s="100">
        <f t="shared" si="17"/>
        <v>0.2265924512</v>
      </c>
      <c r="AN257" s="104">
        <f t="shared" si="18"/>
        <v>1.506877174</v>
      </c>
      <c r="AO257" s="97">
        <f t="shared" si="19"/>
        <v>222604.9374</v>
      </c>
    </row>
    <row r="258" ht="15.75" customHeight="1">
      <c r="A258" s="95">
        <v>70105.0</v>
      </c>
      <c r="B258" s="60" t="s">
        <v>224</v>
      </c>
      <c r="C258" s="60" t="s">
        <v>237</v>
      </c>
      <c r="D258" s="96">
        <v>6068.0</v>
      </c>
      <c r="E258" s="97">
        <v>51163.25</v>
      </c>
      <c r="F258" s="98">
        <v>5228.910618439832</v>
      </c>
      <c r="G258" s="99">
        <v>5.02722601E8</v>
      </c>
      <c r="H258" s="99">
        <f t="shared" si="1"/>
        <v>1136801.59</v>
      </c>
      <c r="I258" s="100">
        <f t="shared" si="89"/>
        <v>0.01243303088</v>
      </c>
      <c r="J258" s="101">
        <f t="shared" si="3"/>
        <v>0.2762508104</v>
      </c>
      <c r="K258" s="102">
        <v>720.4707976226682</v>
      </c>
      <c r="L258" s="103">
        <v>6.96325692E8</v>
      </c>
      <c r="M258" s="99">
        <f t="shared" si="4"/>
        <v>1887374.573</v>
      </c>
      <c r="N258" s="100">
        <f t="shared" si="90"/>
        <v>0.009118397779</v>
      </c>
      <c r="O258" s="101">
        <f t="shared" si="6"/>
        <v>0.3363709716</v>
      </c>
      <c r="P258" s="98">
        <v>118.2072079409641</v>
      </c>
      <c r="Q258" s="99">
        <v>2.75172858841E11</v>
      </c>
      <c r="R258" s="99">
        <f t="shared" si="7"/>
        <v>536093.5946</v>
      </c>
      <c r="S258" s="100">
        <f t="shared" si="91"/>
        <v>0.005848782363</v>
      </c>
      <c r="T258" s="101">
        <f t="shared" si="9"/>
        <v>0.06128412016</v>
      </c>
      <c r="U258" s="100">
        <f t="shared" si="10"/>
        <v>0.6739059022</v>
      </c>
      <c r="V258" s="99">
        <f t="shared" si="11"/>
        <v>34479.21615</v>
      </c>
      <c r="W258" s="96">
        <v>62703.0</v>
      </c>
      <c r="X258" s="97">
        <v>55697.0</v>
      </c>
      <c r="Y258" s="98">
        <v>58937.90679374673</v>
      </c>
      <c r="Z258" s="103">
        <v>7.8233493E8</v>
      </c>
      <c r="AA258" s="99">
        <v>1771534.1337791323</v>
      </c>
      <c r="AB258" s="100">
        <f t="shared" si="92"/>
        <v>0.07353153002</v>
      </c>
      <c r="AC258" s="101">
        <f t="shared" si="13"/>
        <v>2.338790515</v>
      </c>
      <c r="AD258" s="98">
        <v>3119.549376717887</v>
      </c>
      <c r="AE258" s="99">
        <v>8.54728458E8</v>
      </c>
      <c r="AF258" s="99">
        <v>1973061.047939696</v>
      </c>
      <c r="AG258" s="100">
        <f t="shared" si="93"/>
        <v>0.02900295428</v>
      </c>
      <c r="AH258" s="101">
        <f t="shared" si="15"/>
        <v>1.02742696</v>
      </c>
      <c r="AI258" s="102">
        <v>640.7177904830792</v>
      </c>
      <c r="AJ258" s="99">
        <v>3.52046352185E11</v>
      </c>
      <c r="AK258" s="99">
        <v>685859.0459431</v>
      </c>
      <c r="AL258" s="100">
        <f t="shared" si="94"/>
        <v>0.02235841242</v>
      </c>
      <c r="AM258" s="100">
        <f t="shared" si="17"/>
        <v>0.2753239745</v>
      </c>
      <c r="AN258" s="104">
        <f t="shared" si="18"/>
        <v>3.64154145</v>
      </c>
      <c r="AO258" s="97">
        <f t="shared" si="19"/>
        <v>202822.9341</v>
      </c>
    </row>
    <row r="259" ht="15.75" customHeight="1">
      <c r="A259" s="95">
        <v>70201.0</v>
      </c>
      <c r="B259" s="60" t="s">
        <v>224</v>
      </c>
      <c r="C259" s="60" t="s">
        <v>272</v>
      </c>
      <c r="D259" s="96">
        <v>60416.0</v>
      </c>
      <c r="E259" s="97">
        <v>110116.5</v>
      </c>
      <c r="F259" s="98">
        <v>47149.80380174154</v>
      </c>
      <c r="G259" s="99">
        <v>5.02722601E8</v>
      </c>
      <c r="H259" s="99">
        <f t="shared" si="1"/>
        <v>1136801.59</v>
      </c>
      <c r="I259" s="100">
        <f t="shared" si="89"/>
        <v>0.1121103437</v>
      </c>
      <c r="J259" s="101">
        <f t="shared" si="3"/>
        <v>1.157385287</v>
      </c>
      <c r="K259" s="102">
        <v>10791.47216245413</v>
      </c>
      <c r="L259" s="103">
        <v>6.96325692E8</v>
      </c>
      <c r="M259" s="99">
        <f t="shared" si="4"/>
        <v>1887374.573</v>
      </c>
      <c r="N259" s="100">
        <f t="shared" si="90"/>
        <v>0.1365786596</v>
      </c>
      <c r="O259" s="101">
        <f t="shared" si="6"/>
        <v>2.340930644</v>
      </c>
      <c r="P259" s="98">
        <v>2472.264147010337</v>
      </c>
      <c r="Q259" s="99">
        <v>2.75172858841E11</v>
      </c>
      <c r="R259" s="99">
        <f t="shared" si="7"/>
        <v>536093.5946</v>
      </c>
      <c r="S259" s="100">
        <f t="shared" si="91"/>
        <v>0.1223253234</v>
      </c>
      <c r="T259" s="101">
        <f t="shared" si="9"/>
        <v>0.5955312994</v>
      </c>
      <c r="U259" s="100">
        <f t="shared" si="10"/>
        <v>4.093847231</v>
      </c>
      <c r="V259" s="99">
        <f t="shared" si="11"/>
        <v>450800.1286</v>
      </c>
      <c r="W259" s="96">
        <v>84531.0</v>
      </c>
      <c r="X259" s="97">
        <v>151248.0</v>
      </c>
      <c r="Y259" s="98">
        <v>71411.39793252765</v>
      </c>
      <c r="Z259" s="103">
        <v>7.8233493E8</v>
      </c>
      <c r="AA259" s="99">
        <v>1771534.1337791323</v>
      </c>
      <c r="AB259" s="100">
        <f t="shared" si="92"/>
        <v>0.08909358401</v>
      </c>
      <c r="AC259" s="101">
        <f t="shared" si="13"/>
        <v>1.043533304</v>
      </c>
      <c r="AD259" s="98">
        <v>10781.20907591385</v>
      </c>
      <c r="AE259" s="99">
        <v>8.54728458E8</v>
      </c>
      <c r="AF259" s="99">
        <v>1973061.047939696</v>
      </c>
      <c r="AG259" s="100">
        <f t="shared" si="93"/>
        <v>0.1002346417</v>
      </c>
      <c r="AH259" s="101">
        <f t="shared" si="15"/>
        <v>1.307581371</v>
      </c>
      <c r="AI259" s="102">
        <v>2333.502880926781</v>
      </c>
      <c r="AJ259" s="99">
        <v>3.52046352185E11</v>
      </c>
      <c r="AK259" s="99">
        <v>685859.0459431</v>
      </c>
      <c r="AL259" s="100">
        <f t="shared" si="94"/>
        <v>0.0814296412</v>
      </c>
      <c r="AM259" s="100">
        <f t="shared" si="17"/>
        <v>0.3692561622</v>
      </c>
      <c r="AN259" s="104">
        <f t="shared" si="18"/>
        <v>2.720370837</v>
      </c>
      <c r="AO259" s="97">
        <f t="shared" si="19"/>
        <v>411450.6483</v>
      </c>
    </row>
    <row r="260" ht="15.75" customHeight="1">
      <c r="A260" s="95">
        <v>70202.0</v>
      </c>
      <c r="B260" s="60" t="s">
        <v>224</v>
      </c>
      <c r="C260" s="60" t="s">
        <v>821</v>
      </c>
      <c r="D260" s="116">
        <v>1106.0</v>
      </c>
      <c r="E260" s="109">
        <v>12027.75</v>
      </c>
      <c r="F260" s="110">
        <v>915.2305651414258</v>
      </c>
      <c r="G260" s="99">
        <v>5.02722601E8</v>
      </c>
      <c r="H260" s="99">
        <f t="shared" si="1"/>
        <v>1136801.59</v>
      </c>
      <c r="I260" s="100">
        <f t="shared" si="89"/>
        <v>0.00217618749</v>
      </c>
      <c r="J260" s="101">
        <f t="shared" si="3"/>
        <v>0.2056821434</v>
      </c>
      <c r="K260" s="111">
        <v>164.7477154292978</v>
      </c>
      <c r="L260" s="103">
        <v>6.96325692E8</v>
      </c>
      <c r="M260" s="99">
        <f t="shared" si="4"/>
        <v>1887374.573</v>
      </c>
      <c r="N260" s="100">
        <f t="shared" si="90"/>
        <v>0.002085074381</v>
      </c>
      <c r="O260" s="101">
        <f t="shared" si="6"/>
        <v>0.3271864122</v>
      </c>
      <c r="P260" s="110">
        <v>25.950332745191155</v>
      </c>
      <c r="Q260" s="99">
        <v>2.75172858841E11</v>
      </c>
      <c r="R260" s="99">
        <f t="shared" si="7"/>
        <v>536093.5946</v>
      </c>
      <c r="S260" s="100">
        <f t="shared" si="91"/>
        <v>0.001283998253</v>
      </c>
      <c r="T260" s="101">
        <f t="shared" si="9"/>
        <v>0.05722959313</v>
      </c>
      <c r="U260" s="100">
        <f t="shared" si="10"/>
        <v>0.5900981487</v>
      </c>
      <c r="V260" s="99">
        <f t="shared" si="11"/>
        <v>7097.553008</v>
      </c>
      <c r="W260" s="116">
        <v>5811.0</v>
      </c>
      <c r="X260" s="97">
        <v>10665.0</v>
      </c>
      <c r="Y260" s="110">
        <v>4839.990982591536</v>
      </c>
      <c r="Z260" s="103">
        <v>7.8233493E8</v>
      </c>
      <c r="AA260" s="99">
        <v>1771534.1337791323</v>
      </c>
      <c r="AB260" s="100">
        <f t="shared" si="92"/>
        <v>0.006038421817</v>
      </c>
      <c r="AC260" s="101">
        <f t="shared" si="13"/>
        <v>1.003025819</v>
      </c>
      <c r="AD260" s="110">
        <v>844.1548974964203</v>
      </c>
      <c r="AE260" s="99">
        <v>8.54728458E8</v>
      </c>
      <c r="AF260" s="99">
        <v>1973061.047939696</v>
      </c>
      <c r="AG260" s="100">
        <f t="shared" si="93"/>
        <v>0.007848244392</v>
      </c>
      <c r="AH260" s="101">
        <f t="shared" si="15"/>
        <v>1.45195174</v>
      </c>
      <c r="AI260" s="111">
        <v>126.49102723723985</v>
      </c>
      <c r="AJ260" s="99">
        <v>3.52046352185E11</v>
      </c>
      <c r="AK260" s="99">
        <v>685859.0459431</v>
      </c>
      <c r="AL260" s="100">
        <f t="shared" si="94"/>
        <v>0.004414015962</v>
      </c>
      <c r="AM260" s="100">
        <f t="shared" si="17"/>
        <v>0.2838624263</v>
      </c>
      <c r="AN260" s="104">
        <f t="shared" si="18"/>
        <v>2.738839985</v>
      </c>
      <c r="AO260" s="97">
        <f t="shared" si="19"/>
        <v>29209.72844</v>
      </c>
    </row>
    <row r="261" ht="15.75" customHeight="1">
      <c r="A261" s="95">
        <v>70301.0</v>
      </c>
      <c r="B261" s="60" t="s">
        <v>224</v>
      </c>
      <c r="C261" s="60" t="s">
        <v>822</v>
      </c>
      <c r="D261" s="116">
        <v>1266.0</v>
      </c>
      <c r="E261" s="109">
        <v>56047.25</v>
      </c>
      <c r="F261" s="110">
        <v>1230.8515365378737</v>
      </c>
      <c r="G261" s="99">
        <v>5.02722601E8</v>
      </c>
      <c r="H261" s="99">
        <f t="shared" si="1"/>
        <v>1136801.59</v>
      </c>
      <c r="I261" s="100">
        <f t="shared" si="89"/>
        <v>0.00292665457</v>
      </c>
      <c r="J261" s="101">
        <f t="shared" si="3"/>
        <v>0.05936108497</v>
      </c>
      <c r="K261" s="111">
        <v>27.13842136685365</v>
      </c>
      <c r="L261" s="103">
        <v>6.96325692E8</v>
      </c>
      <c r="M261" s="99">
        <f t="shared" si="4"/>
        <v>1887374.573</v>
      </c>
      <c r="N261" s="100">
        <f t="shared" si="90"/>
        <v>0.000343468357</v>
      </c>
      <c r="O261" s="101">
        <f t="shared" si="6"/>
        <v>0.01156619537</v>
      </c>
      <c r="P261" s="110">
        <v>7.906719368129969</v>
      </c>
      <c r="Q261" s="99">
        <v>2.75172858841E11</v>
      </c>
      <c r="R261" s="99">
        <f t="shared" si="7"/>
        <v>536093.5946</v>
      </c>
      <c r="S261" s="100">
        <f t="shared" si="91"/>
        <v>0.0003912170975</v>
      </c>
      <c r="T261" s="101">
        <f t="shared" si="9"/>
        <v>0.003742003043</v>
      </c>
      <c r="U261" s="100">
        <f t="shared" si="10"/>
        <v>0.07466928339</v>
      </c>
      <c r="V261" s="99">
        <f t="shared" si="11"/>
        <v>4185.007994</v>
      </c>
      <c r="W261" s="116">
        <v>2196.0</v>
      </c>
      <c r="X261" s="97">
        <v>67103.0</v>
      </c>
      <c r="Y261" s="110">
        <v>2089.170126553204</v>
      </c>
      <c r="Z261" s="103">
        <v>7.8233493E8</v>
      </c>
      <c r="AA261" s="99">
        <v>1771534.1337791323</v>
      </c>
      <c r="AB261" s="100">
        <f t="shared" si="92"/>
        <v>0.002606469829</v>
      </c>
      <c r="AC261" s="101">
        <f t="shared" si="13"/>
        <v>0.06881138357</v>
      </c>
      <c r="AD261" s="110">
        <v>87.79137602131149</v>
      </c>
      <c r="AE261" s="99">
        <v>8.54728458E8</v>
      </c>
      <c r="AF261" s="99">
        <v>1973061.047939696</v>
      </c>
      <c r="AG261" s="100">
        <f t="shared" si="93"/>
        <v>0.000816210599</v>
      </c>
      <c r="AH261" s="101">
        <f t="shared" si="15"/>
        <v>0.02399942387</v>
      </c>
      <c r="AI261" s="111">
        <v>18.857615963332695</v>
      </c>
      <c r="AJ261" s="99">
        <v>3.52046352185E11</v>
      </c>
      <c r="AK261" s="99">
        <v>685859.0459431</v>
      </c>
      <c r="AL261" s="100">
        <f t="shared" si="94"/>
        <v>0.0006580531416</v>
      </c>
      <c r="AM261" s="100">
        <f t="shared" si="17"/>
        <v>0.006725954128</v>
      </c>
      <c r="AN261" s="104">
        <f t="shared" si="18"/>
        <v>0.09953676156</v>
      </c>
      <c r="AO261" s="97">
        <f t="shared" si="19"/>
        <v>6679.215311</v>
      </c>
    </row>
    <row r="262" ht="15.75" customHeight="1">
      <c r="A262" s="95">
        <v>70302.0</v>
      </c>
      <c r="B262" s="60" t="s">
        <v>224</v>
      </c>
      <c r="C262" s="60" t="s">
        <v>264</v>
      </c>
      <c r="D262" s="96">
        <v>1.0</v>
      </c>
      <c r="E262" s="97">
        <v>12305.0</v>
      </c>
      <c r="F262" s="98">
        <v>0.752045572242362</v>
      </c>
      <c r="G262" s="99">
        <v>5.02722601E8</v>
      </c>
      <c r="H262" s="99">
        <f t="shared" si="1"/>
        <v>1136801.59</v>
      </c>
      <c r="I262" s="100">
        <f t="shared" si="89"/>
        <v>0.000001788174727</v>
      </c>
      <c r="J262" s="101">
        <f t="shared" si="3"/>
        <v>0.0001652011275</v>
      </c>
      <c r="K262" s="102">
        <v>0.185827723114103</v>
      </c>
      <c r="L262" s="103">
        <v>6.96325692E8</v>
      </c>
      <c r="M262" s="99">
        <f t="shared" si="4"/>
        <v>1887374.573</v>
      </c>
      <c r="N262" s="100">
        <f t="shared" si="90"/>
        <v>0.000002351866451</v>
      </c>
      <c r="O262" s="101">
        <f t="shared" si="6"/>
        <v>0.0003607357122</v>
      </c>
      <c r="P262" s="98">
        <v>0.0620921802175039</v>
      </c>
      <c r="Q262" s="99">
        <v>2.75172858841E11</v>
      </c>
      <c r="R262" s="99">
        <f t="shared" si="7"/>
        <v>536093.5946</v>
      </c>
      <c r="S262" s="100">
        <f t="shared" si="91"/>
        <v>0.000003072263146</v>
      </c>
      <c r="T262" s="101">
        <f t="shared" si="9"/>
        <v>0.0001338497028</v>
      </c>
      <c r="U262" s="100">
        <f t="shared" si="10"/>
        <v>0.0006597865425</v>
      </c>
      <c r="V262" s="99">
        <f t="shared" si="11"/>
        <v>8.118673406</v>
      </c>
      <c r="W262" s="96">
        <v>37.0</v>
      </c>
      <c r="X262" s="97">
        <v>15239.0</v>
      </c>
      <c r="Y262" s="98">
        <v>31.14686665678132</v>
      </c>
      <c r="Z262" s="103">
        <v>7.8233493E8</v>
      </c>
      <c r="AA262" s="99">
        <v>1771534.1337791323</v>
      </c>
      <c r="AB262" s="100">
        <f t="shared" si="92"/>
        <v>0.0000388591466</v>
      </c>
      <c r="AC262" s="101">
        <f t="shared" si="13"/>
        <v>0.004517376771</v>
      </c>
      <c r="AD262" s="98">
        <v>5.055783322073208</v>
      </c>
      <c r="AE262" s="99">
        <v>8.54728458E8</v>
      </c>
      <c r="AF262" s="99">
        <v>1973061.047939696</v>
      </c>
      <c r="AG262" s="100">
        <f t="shared" si="93"/>
        <v>0.00004700443393</v>
      </c>
      <c r="AH262" s="101">
        <f t="shared" si="15"/>
        <v>0.006085872935</v>
      </c>
      <c r="AI262" s="102">
        <v>0.795030211404001</v>
      </c>
      <c r="AJ262" s="99">
        <v>3.52046352185E11</v>
      </c>
      <c r="AK262" s="99">
        <v>685859.0459431</v>
      </c>
      <c r="AL262" s="100">
        <f t="shared" si="94"/>
        <v>0.00002774328045</v>
      </c>
      <c r="AM262" s="100">
        <f t="shared" si="17"/>
        <v>0.001248637041</v>
      </c>
      <c r="AN262" s="104">
        <f t="shared" si="18"/>
        <v>0.01185188675</v>
      </c>
      <c r="AO262" s="97">
        <f t="shared" si="19"/>
        <v>180.6109021</v>
      </c>
    </row>
    <row r="263" ht="15.75" customHeight="1">
      <c r="A263" s="95">
        <v>70303.0</v>
      </c>
      <c r="B263" s="60" t="s">
        <v>224</v>
      </c>
      <c r="C263" s="60" t="s">
        <v>823</v>
      </c>
      <c r="D263" s="108"/>
      <c r="E263" s="109">
        <v>6814.75</v>
      </c>
      <c r="F263" s="110"/>
      <c r="G263" s="99">
        <v>5.02722601E8</v>
      </c>
      <c r="H263" s="99">
        <f t="shared" si="1"/>
        <v>1136801.59</v>
      </c>
      <c r="I263" s="100">
        <f t="shared" si="89"/>
        <v>0</v>
      </c>
      <c r="J263" s="101">
        <f t="shared" si="3"/>
        <v>0</v>
      </c>
      <c r="K263" s="111"/>
      <c r="L263" s="103">
        <v>6.96325692E8</v>
      </c>
      <c r="M263" s="99">
        <f t="shared" si="4"/>
        <v>1887374.573</v>
      </c>
      <c r="N263" s="100">
        <f t="shared" si="90"/>
        <v>0</v>
      </c>
      <c r="O263" s="101">
        <f t="shared" si="6"/>
        <v>0</v>
      </c>
      <c r="P263" s="110"/>
      <c r="Q263" s="99">
        <v>2.75172858841E11</v>
      </c>
      <c r="R263" s="99">
        <f t="shared" si="7"/>
        <v>536093.5946</v>
      </c>
      <c r="S263" s="100">
        <f t="shared" si="91"/>
        <v>0</v>
      </c>
      <c r="T263" s="101">
        <f t="shared" si="9"/>
        <v>0</v>
      </c>
      <c r="U263" s="100">
        <f t="shared" si="10"/>
        <v>0</v>
      </c>
      <c r="V263" s="99">
        <f t="shared" si="11"/>
        <v>0</v>
      </c>
      <c r="W263" s="108"/>
      <c r="X263" s="97">
        <v>8842.0</v>
      </c>
      <c r="Y263" s="110"/>
      <c r="Z263" s="103">
        <v>7.8233493E8</v>
      </c>
      <c r="AA263" s="99">
        <v>1771534.1337791323</v>
      </c>
      <c r="AB263" s="100">
        <f t="shared" si="92"/>
        <v>0</v>
      </c>
      <c r="AC263" s="101">
        <f t="shared" si="13"/>
        <v>0</v>
      </c>
      <c r="AD263" s="110"/>
      <c r="AE263" s="99">
        <v>8.54728458E8</v>
      </c>
      <c r="AF263" s="99">
        <v>1973061.047939696</v>
      </c>
      <c r="AG263" s="100">
        <f t="shared" si="93"/>
        <v>0</v>
      </c>
      <c r="AH263" s="101">
        <f t="shared" si="15"/>
        <v>0</v>
      </c>
      <c r="AI263" s="111"/>
      <c r="AJ263" s="99">
        <v>3.52046352185E11</v>
      </c>
      <c r="AK263" s="99">
        <v>685859.0459431</v>
      </c>
      <c r="AL263" s="100">
        <f t="shared" si="94"/>
        <v>0</v>
      </c>
      <c r="AM263" s="100">
        <f t="shared" si="17"/>
        <v>0</v>
      </c>
      <c r="AN263" s="104">
        <f t="shared" si="18"/>
        <v>0</v>
      </c>
      <c r="AO263" s="97">
        <f t="shared" si="19"/>
        <v>0</v>
      </c>
    </row>
    <row r="264" ht="15.75" customHeight="1">
      <c r="A264" s="95">
        <v>70401.0</v>
      </c>
      <c r="B264" s="60" t="s">
        <v>224</v>
      </c>
      <c r="C264" s="60" t="s">
        <v>227</v>
      </c>
      <c r="D264" s="96">
        <v>143.0</v>
      </c>
      <c r="E264" s="97">
        <v>13072.0</v>
      </c>
      <c r="F264" s="98">
        <v>109.6222657388199</v>
      </c>
      <c r="G264" s="99">
        <v>5.02722601E8</v>
      </c>
      <c r="H264" s="99">
        <f t="shared" si="1"/>
        <v>1136801.59</v>
      </c>
      <c r="I264" s="100">
        <f t="shared" si="89"/>
        <v>0.0002606541045</v>
      </c>
      <c r="J264" s="101">
        <f t="shared" si="3"/>
        <v>0.0226676867</v>
      </c>
      <c r="K264" s="102">
        <v>30.15059589246026</v>
      </c>
      <c r="L264" s="103">
        <v>6.96325692E8</v>
      </c>
      <c r="M264" s="99">
        <f t="shared" si="4"/>
        <v>1887374.573</v>
      </c>
      <c r="N264" s="100">
        <f t="shared" si="90"/>
        <v>0.0003815909368</v>
      </c>
      <c r="O264" s="101">
        <f t="shared" si="6"/>
        <v>0.05509524414</v>
      </c>
      <c r="P264" s="98">
        <v>3.217831921912981</v>
      </c>
      <c r="Q264" s="99">
        <v>2.75172858841E11</v>
      </c>
      <c r="R264" s="99">
        <f t="shared" si="7"/>
        <v>536093.5946</v>
      </c>
      <c r="S264" s="100">
        <f t="shared" si="91"/>
        <v>0.0001592153213</v>
      </c>
      <c r="T264" s="101">
        <f t="shared" si="9"/>
        <v>0.006529552778</v>
      </c>
      <c r="U264" s="100">
        <f t="shared" si="10"/>
        <v>0.08429248362</v>
      </c>
      <c r="V264" s="99">
        <f t="shared" si="11"/>
        <v>1101.871346</v>
      </c>
      <c r="W264" s="96">
        <v>495.0</v>
      </c>
      <c r="X264" s="97">
        <v>13651.0</v>
      </c>
      <c r="Y264" s="98">
        <v>438.15963988715</v>
      </c>
      <c r="Z264" s="103">
        <v>7.8233493E8</v>
      </c>
      <c r="AA264" s="99">
        <v>1771534.1337791323</v>
      </c>
      <c r="AB264" s="100">
        <f t="shared" si="92"/>
        <v>0.0005466524087</v>
      </c>
      <c r="AC264" s="101">
        <f t="shared" si="13"/>
        <v>0.07094083959</v>
      </c>
      <c r="AD264" s="98">
        <v>45.76841562822045</v>
      </c>
      <c r="AE264" s="99">
        <v>8.54728458E8</v>
      </c>
      <c r="AF264" s="99">
        <v>1973061.047939696</v>
      </c>
      <c r="AG264" s="100">
        <f t="shared" si="93"/>
        <v>0.0004255163505</v>
      </c>
      <c r="AH264" s="101">
        <f t="shared" si="15"/>
        <v>0.06150243473</v>
      </c>
      <c r="AI264" s="102">
        <v>11.03979560945341</v>
      </c>
      <c r="AJ264" s="99">
        <v>3.52046352185E11</v>
      </c>
      <c r="AK264" s="99">
        <v>685859.0459431</v>
      </c>
      <c r="AL264" s="100">
        <f t="shared" si="94"/>
        <v>0.000385243405</v>
      </c>
      <c r="AM264" s="100">
        <f t="shared" si="17"/>
        <v>0.01935555448</v>
      </c>
      <c r="AN264" s="104">
        <f t="shared" si="18"/>
        <v>0.1517988288</v>
      </c>
      <c r="AO264" s="97">
        <f t="shared" si="19"/>
        <v>2072.205812</v>
      </c>
    </row>
    <row r="265" ht="15.75" customHeight="1">
      <c r="A265" s="95">
        <v>70402.0</v>
      </c>
      <c r="B265" s="60" t="s">
        <v>224</v>
      </c>
      <c r="C265" s="60" t="s">
        <v>257</v>
      </c>
      <c r="D265" s="96">
        <v>294.0</v>
      </c>
      <c r="E265" s="97">
        <v>19805.25</v>
      </c>
      <c r="F265" s="98">
        <v>238.3006327210929</v>
      </c>
      <c r="G265" s="99">
        <v>5.02722601E8</v>
      </c>
      <c r="H265" s="99">
        <f t="shared" si="1"/>
        <v>1136801.59</v>
      </c>
      <c r="I265" s="100">
        <f t="shared" si="89"/>
        <v>0.0005666188123</v>
      </c>
      <c r="J265" s="101">
        <f t="shared" si="3"/>
        <v>0.03252335452</v>
      </c>
      <c r="K265" s="102">
        <v>47.63817982224046</v>
      </c>
      <c r="L265" s="103">
        <v>6.96325692E8</v>
      </c>
      <c r="M265" s="99">
        <f t="shared" si="4"/>
        <v>1887374.573</v>
      </c>
      <c r="N265" s="100">
        <f t="shared" si="90"/>
        <v>0.0006029166963</v>
      </c>
      <c r="O265" s="101">
        <f t="shared" si="6"/>
        <v>0.05745595952</v>
      </c>
      <c r="P265" s="98">
        <v>8.043630106167626</v>
      </c>
      <c r="Q265" s="99">
        <v>2.75172858841E11</v>
      </c>
      <c r="R265" s="99">
        <f t="shared" si="7"/>
        <v>536093.5946</v>
      </c>
      <c r="S265" s="100">
        <f t="shared" si="91"/>
        <v>0.000397991313</v>
      </c>
      <c r="T265" s="101">
        <f t="shared" si="9"/>
        <v>0.0107729311</v>
      </c>
      <c r="U265" s="100">
        <f t="shared" si="10"/>
        <v>0.1007522451</v>
      </c>
      <c r="V265" s="99">
        <f t="shared" si="11"/>
        <v>1995.423403</v>
      </c>
      <c r="W265" s="96">
        <v>2340.0</v>
      </c>
      <c r="X265" s="97">
        <v>18942.0</v>
      </c>
      <c r="Y265" s="98">
        <v>1893.191555788424</v>
      </c>
      <c r="Z265" s="103">
        <v>7.8233493E8</v>
      </c>
      <c r="AA265" s="99">
        <v>1771534.1337791323</v>
      </c>
      <c r="AB265" s="100">
        <f t="shared" si="92"/>
        <v>0.002361964978</v>
      </c>
      <c r="AC265" s="101">
        <f t="shared" si="13"/>
        <v>0.2209007275</v>
      </c>
      <c r="AD265" s="98">
        <v>371.2164280647108</v>
      </c>
      <c r="AE265" s="99">
        <v>8.54728458E8</v>
      </c>
      <c r="AF265" s="99">
        <v>1973061.047939696</v>
      </c>
      <c r="AG265" s="100">
        <f t="shared" si="93"/>
        <v>0.003451259074</v>
      </c>
      <c r="AH265" s="101">
        <f t="shared" si="15"/>
        <v>0.3594945014</v>
      </c>
      <c r="AI265" s="102">
        <v>75.47414714204876</v>
      </c>
      <c r="AJ265" s="99">
        <v>3.52046352185E11</v>
      </c>
      <c r="AK265" s="99">
        <v>685859.0459431</v>
      </c>
      <c r="AL265" s="100">
        <f t="shared" si="94"/>
        <v>0.002633736933</v>
      </c>
      <c r="AM265" s="100">
        <f t="shared" si="17"/>
        <v>0.09536333546</v>
      </c>
      <c r="AN265" s="104">
        <f t="shared" si="18"/>
        <v>0.6757585644</v>
      </c>
      <c r="AO265" s="97">
        <f t="shared" si="19"/>
        <v>12800.21873</v>
      </c>
    </row>
    <row r="266" ht="15.75" customHeight="1">
      <c r="A266" s="95">
        <v>70403.0</v>
      </c>
      <c r="B266" s="60" t="s">
        <v>224</v>
      </c>
      <c r="C266" s="60" t="s">
        <v>273</v>
      </c>
      <c r="D266" s="96">
        <v>4123.0</v>
      </c>
      <c r="E266" s="97">
        <v>52367.0</v>
      </c>
      <c r="F266" s="98">
        <v>3640.868171839887</v>
      </c>
      <c r="G266" s="99">
        <v>5.02722601E8</v>
      </c>
      <c r="H266" s="99">
        <f t="shared" si="1"/>
        <v>1136801.59</v>
      </c>
      <c r="I266" s="100">
        <f t="shared" si="89"/>
        <v>0.008657066395</v>
      </c>
      <c r="J266" s="101">
        <f t="shared" si="3"/>
        <v>0.1879306977</v>
      </c>
      <c r="K266" s="102">
        <v>379.408161937125</v>
      </c>
      <c r="L266" s="103">
        <v>6.96325692E8</v>
      </c>
      <c r="M266" s="99">
        <f t="shared" si="4"/>
        <v>1887374.573</v>
      </c>
      <c r="N266" s="100">
        <f t="shared" si="90"/>
        <v>0.004801852556</v>
      </c>
      <c r="O266" s="101">
        <f t="shared" si="6"/>
        <v>0.1730649916</v>
      </c>
      <c r="P266" s="98">
        <v>102.4576547089446</v>
      </c>
      <c r="Q266" s="99">
        <v>2.75172858841E11</v>
      </c>
      <c r="R266" s="99">
        <f t="shared" si="7"/>
        <v>536093.5946</v>
      </c>
      <c r="S266" s="100">
        <f t="shared" si="91"/>
        <v>0.005069509163</v>
      </c>
      <c r="T266" s="101">
        <f t="shared" si="9"/>
        <v>0.05189778659</v>
      </c>
      <c r="U266" s="100">
        <f t="shared" si="10"/>
        <v>0.4128934759</v>
      </c>
      <c r="V266" s="99">
        <f t="shared" si="11"/>
        <v>21621.99265</v>
      </c>
      <c r="W266" s="96">
        <v>9223.0</v>
      </c>
      <c r="X266" s="97">
        <v>57794.0</v>
      </c>
      <c r="Y266" s="98">
        <v>8263.76863713159</v>
      </c>
      <c r="Z266" s="103">
        <v>7.8233493E8</v>
      </c>
      <c r="AA266" s="99">
        <v>1771534.1337791323</v>
      </c>
      <c r="AB266" s="100">
        <f t="shared" si="92"/>
        <v>0.01030996153</v>
      </c>
      <c r="AC266" s="101">
        <f t="shared" si="13"/>
        <v>0.3160267288</v>
      </c>
      <c r="AD266" s="98">
        <v>789.832056905007</v>
      </c>
      <c r="AE266" s="99">
        <v>8.54728458E8</v>
      </c>
      <c r="AF266" s="99">
        <v>1973061.047939696</v>
      </c>
      <c r="AG266" s="100">
        <f t="shared" si="93"/>
        <v>0.007343196171</v>
      </c>
      <c r="AH266" s="101">
        <f t="shared" si="15"/>
        <v>0.2506933995</v>
      </c>
      <c r="AI266" s="102">
        <v>168.7475008382791</v>
      </c>
      <c r="AJ266" s="99">
        <v>3.52046352185E11</v>
      </c>
      <c r="AK266" s="99">
        <v>685859.0459431</v>
      </c>
      <c r="AL266" s="100">
        <f t="shared" si="94"/>
        <v>0.005888592878</v>
      </c>
      <c r="AM266" s="100">
        <f t="shared" si="17"/>
        <v>0.06988172983</v>
      </c>
      <c r="AN266" s="104">
        <f t="shared" si="18"/>
        <v>0.6366018582</v>
      </c>
      <c r="AO266" s="97">
        <f t="shared" si="19"/>
        <v>36791.76779</v>
      </c>
    </row>
    <row r="267" ht="15.75" customHeight="1">
      <c r="A267" s="95">
        <v>70404.0</v>
      </c>
      <c r="B267" s="60" t="s">
        <v>224</v>
      </c>
      <c r="C267" s="60" t="s">
        <v>261</v>
      </c>
      <c r="D267" s="96">
        <v>906.0</v>
      </c>
      <c r="E267" s="97">
        <v>9443.25</v>
      </c>
      <c r="F267" s="98">
        <v>726.7244829071732</v>
      </c>
      <c r="G267" s="99">
        <v>5.02722601E8</v>
      </c>
      <c r="H267" s="99">
        <f t="shared" si="1"/>
        <v>1136801.59</v>
      </c>
      <c r="I267" s="100">
        <f t="shared" si="89"/>
        <v>0.001727967562</v>
      </c>
      <c r="J267" s="101">
        <f t="shared" si="3"/>
        <v>0.2080169722</v>
      </c>
      <c r="K267" s="102">
        <v>148.6542994398941</v>
      </c>
      <c r="L267" s="103">
        <v>6.96325692E8</v>
      </c>
      <c r="M267" s="99">
        <f t="shared" si="4"/>
        <v>1887374.573</v>
      </c>
      <c r="N267" s="100">
        <f t="shared" si="90"/>
        <v>0.001881393442</v>
      </c>
      <c r="O267" s="101">
        <f t="shared" si="6"/>
        <v>0.3760245831</v>
      </c>
      <c r="P267" s="98">
        <v>30.5738428075948</v>
      </c>
      <c r="Q267" s="99">
        <v>2.75172858841E11</v>
      </c>
      <c r="R267" s="99">
        <f t="shared" si="7"/>
        <v>536093.5946</v>
      </c>
      <c r="S267" s="100">
        <f t="shared" si="91"/>
        <v>0.001512765217</v>
      </c>
      <c r="T267" s="101">
        <f t="shared" si="9"/>
        <v>0.08587972816</v>
      </c>
      <c r="U267" s="100">
        <f t="shared" si="10"/>
        <v>0.6699212835</v>
      </c>
      <c r="V267" s="99">
        <f t="shared" si="11"/>
        <v>6326.23416</v>
      </c>
      <c r="W267" s="96">
        <v>1190.0</v>
      </c>
      <c r="X267" s="97">
        <v>10200.0</v>
      </c>
      <c r="Y267" s="98">
        <v>985.3090498499362</v>
      </c>
      <c r="Z267" s="103">
        <v>7.8233493E8</v>
      </c>
      <c r="AA267" s="99">
        <v>1771534.1337791323</v>
      </c>
      <c r="AB267" s="100">
        <f t="shared" si="92"/>
        <v>0.001229281559</v>
      </c>
      <c r="AC267" s="101">
        <f t="shared" si="13"/>
        <v>0.2135013963</v>
      </c>
      <c r="AD267" s="98">
        <v>169.7502987157102</v>
      </c>
      <c r="AE267" s="99">
        <v>8.54728458E8</v>
      </c>
      <c r="AF267" s="99">
        <v>1973061.047939696</v>
      </c>
      <c r="AG267" s="100">
        <f t="shared" si="93"/>
        <v>0.001578195938</v>
      </c>
      <c r="AH267" s="101">
        <f t="shared" si="15"/>
        <v>0.305282052</v>
      </c>
      <c r="AI267" s="102">
        <v>34.87249109241921</v>
      </c>
      <c r="AJ267" s="99">
        <v>3.52046352185E11</v>
      </c>
      <c r="AK267" s="99">
        <v>685859.0459431</v>
      </c>
      <c r="AL267" s="100">
        <f t="shared" si="94"/>
        <v>0.001216906334</v>
      </c>
      <c r="AM267" s="100">
        <f t="shared" si="17"/>
        <v>0.08182609976</v>
      </c>
      <c r="AN267" s="104">
        <f t="shared" si="18"/>
        <v>0.6006095481</v>
      </c>
      <c r="AO267" s="97">
        <f t="shared" si="19"/>
        <v>6126.217391</v>
      </c>
    </row>
    <row r="268" ht="15.75" customHeight="1">
      <c r="A268" s="95">
        <v>70501.0</v>
      </c>
      <c r="B268" s="60" t="s">
        <v>224</v>
      </c>
      <c r="C268" s="60" t="s">
        <v>260</v>
      </c>
      <c r="D268" s="96">
        <v>604.0</v>
      </c>
      <c r="E268" s="97">
        <v>31935.0</v>
      </c>
      <c r="F268" s="98">
        <v>571.5898443117848</v>
      </c>
      <c r="G268" s="99">
        <v>5.02722601E8</v>
      </c>
      <c r="H268" s="99">
        <f t="shared" si="1"/>
        <v>1136801.59</v>
      </c>
      <c r="I268" s="100">
        <f t="shared" si="89"/>
        <v>0.001359096512</v>
      </c>
      <c r="J268" s="101">
        <f t="shared" si="3"/>
        <v>0.04838024351</v>
      </c>
      <c r="K268" s="102">
        <v>22.74282844095875</v>
      </c>
      <c r="L268" s="103">
        <v>6.96325692E8</v>
      </c>
      <c r="M268" s="99">
        <f t="shared" si="4"/>
        <v>1887374.573</v>
      </c>
      <c r="N268" s="100">
        <f t="shared" si="90"/>
        <v>0.0002878370047</v>
      </c>
      <c r="O268" s="101">
        <f t="shared" si="6"/>
        <v>0.01701131185</v>
      </c>
      <c r="P268" s="98">
        <v>9.620413524379057</v>
      </c>
      <c r="Q268" s="99">
        <v>2.75172858841E11</v>
      </c>
      <c r="R268" s="99">
        <f t="shared" si="7"/>
        <v>536093.5946</v>
      </c>
      <c r="S268" s="100">
        <f t="shared" si="91"/>
        <v>0.0004760090854</v>
      </c>
      <c r="T268" s="101">
        <f t="shared" si="9"/>
        <v>0.007990775691</v>
      </c>
      <c r="U268" s="100">
        <f t="shared" si="10"/>
        <v>0.07338233104</v>
      </c>
      <c r="V268" s="99">
        <f t="shared" si="11"/>
        <v>2343.464742</v>
      </c>
      <c r="W268" s="96">
        <v>1654.0</v>
      </c>
      <c r="X268" s="97">
        <v>40974.0</v>
      </c>
      <c r="Y268" s="98">
        <v>1553.555545444457</v>
      </c>
      <c r="Z268" s="103">
        <v>7.8233493E8</v>
      </c>
      <c r="AA268" s="99">
        <v>1771534.1337791323</v>
      </c>
      <c r="AB268" s="100">
        <f t="shared" si="92"/>
        <v>0.001938231648</v>
      </c>
      <c r="AC268" s="101">
        <f t="shared" si="13"/>
        <v>0.08380054483</v>
      </c>
      <c r="AD268" s="98">
        <v>76.95223444004746</v>
      </c>
      <c r="AE268" s="99">
        <v>8.54728458E8</v>
      </c>
      <c r="AF268" s="99">
        <v>1973061.047939696</v>
      </c>
      <c r="AG268" s="100">
        <f t="shared" si="93"/>
        <v>0.0007154373494</v>
      </c>
      <c r="AH268" s="101">
        <f t="shared" si="15"/>
        <v>0.03445115357</v>
      </c>
      <c r="AI268" s="102">
        <v>23.35277759094175</v>
      </c>
      <c r="AJ268" s="99">
        <v>3.52046352185E11</v>
      </c>
      <c r="AK268" s="99">
        <v>685859.0459431</v>
      </c>
      <c r="AL268" s="100">
        <f t="shared" si="94"/>
        <v>0.0008149157714</v>
      </c>
      <c r="AM268" s="100">
        <f t="shared" si="17"/>
        <v>0.01364078082</v>
      </c>
      <c r="AN268" s="104">
        <f t="shared" si="18"/>
        <v>0.1318924792</v>
      </c>
      <c r="AO268" s="97">
        <f t="shared" si="19"/>
        <v>5404.162444</v>
      </c>
    </row>
    <row r="269" ht="15.75" customHeight="1">
      <c r="A269" s="95">
        <v>70502.0</v>
      </c>
      <c r="B269" s="60" t="s">
        <v>224</v>
      </c>
      <c r="C269" s="60" t="s">
        <v>248</v>
      </c>
      <c r="D269" s="96">
        <v>1008.0</v>
      </c>
      <c r="E269" s="97">
        <v>42023.25</v>
      </c>
      <c r="F269" s="98">
        <v>869.6960100580518</v>
      </c>
      <c r="G269" s="99">
        <v>5.02722601E8</v>
      </c>
      <c r="H269" s="99">
        <f t="shared" si="1"/>
        <v>1136801.59</v>
      </c>
      <c r="I269" s="100">
        <f t="shared" si="89"/>
        <v>0.002067917801</v>
      </c>
      <c r="J269" s="101">
        <f t="shared" si="3"/>
        <v>0.05594075291</v>
      </c>
      <c r="K269" s="102">
        <v>112.4330778904895</v>
      </c>
      <c r="L269" s="103">
        <v>6.96325692E8</v>
      </c>
      <c r="M269" s="99">
        <f t="shared" si="4"/>
        <v>1887374.573</v>
      </c>
      <c r="N269" s="100">
        <f t="shared" si="90"/>
        <v>0.001422971661</v>
      </c>
      <c r="O269" s="101">
        <f t="shared" si="6"/>
        <v>0.06390939614</v>
      </c>
      <c r="P269" s="98">
        <v>25.80742674262088</v>
      </c>
      <c r="Q269" s="99">
        <v>2.75172858841E11</v>
      </c>
      <c r="R269" s="99">
        <f t="shared" si="7"/>
        <v>536093.5946</v>
      </c>
      <c r="S269" s="100">
        <f t="shared" si="91"/>
        <v>0.001276927397</v>
      </c>
      <c r="T269" s="101">
        <f t="shared" si="9"/>
        <v>0.01628985379</v>
      </c>
      <c r="U269" s="100">
        <f t="shared" si="10"/>
        <v>0.1361400028</v>
      </c>
      <c r="V269" s="99">
        <f t="shared" si="11"/>
        <v>5721.045374</v>
      </c>
      <c r="W269" s="96">
        <v>4046.0</v>
      </c>
      <c r="X269" s="97">
        <v>54495.0</v>
      </c>
      <c r="Y269" s="98">
        <v>3720.685493994152</v>
      </c>
      <c r="Z269" s="103">
        <v>7.8233493E8</v>
      </c>
      <c r="AA269" s="99">
        <v>1771534.1337791323</v>
      </c>
      <c r="AB269" s="100">
        <f t="shared" si="92"/>
        <v>0.004641964942</v>
      </c>
      <c r="AC269" s="101">
        <f t="shared" si="13"/>
        <v>0.1509019055</v>
      </c>
      <c r="AD269" s="98">
        <v>254.8175591552044</v>
      </c>
      <c r="AE269" s="99">
        <v>8.54728458E8</v>
      </c>
      <c r="AF269" s="99">
        <v>1973061.047939696</v>
      </c>
      <c r="AG269" s="100">
        <f t="shared" si="93"/>
        <v>0.002369079994</v>
      </c>
      <c r="AH269" s="101">
        <f t="shared" si="15"/>
        <v>0.08577556575</v>
      </c>
      <c r="AI269" s="102">
        <v>70.20026725953463</v>
      </c>
      <c r="AJ269" s="99">
        <v>3.52046352185E11</v>
      </c>
      <c r="AK269" s="99">
        <v>685859.0459431</v>
      </c>
      <c r="AL269" s="100">
        <f t="shared" si="94"/>
        <v>0.002449700243</v>
      </c>
      <c r="AM269" s="100">
        <f t="shared" si="17"/>
        <v>0.03083125189</v>
      </c>
      <c r="AN269" s="104">
        <f t="shared" si="18"/>
        <v>0.2675087232</v>
      </c>
      <c r="AO269" s="97">
        <f t="shared" si="19"/>
        <v>14577.88787</v>
      </c>
    </row>
    <row r="270" ht="15.75" customHeight="1">
      <c r="A270" s="95">
        <v>70503.0</v>
      </c>
      <c r="B270" s="60" t="s">
        <v>224</v>
      </c>
      <c r="C270" s="60" t="s">
        <v>254</v>
      </c>
      <c r="D270" s="96">
        <v>2.0</v>
      </c>
      <c r="E270" s="97">
        <v>16421.5</v>
      </c>
      <c r="F270" s="98">
        <v>0.977182019506913</v>
      </c>
      <c r="G270" s="99">
        <v>5.02722601E8</v>
      </c>
      <c r="H270" s="99">
        <f t="shared" si="1"/>
        <v>1136801.59</v>
      </c>
      <c r="I270" s="100">
        <f t="shared" si="89"/>
        <v>0.000002323492426</v>
      </c>
      <c r="J270" s="101">
        <f t="shared" si="3"/>
        <v>0.0001608470533</v>
      </c>
      <c r="K270" s="102">
        <v>1.00818814791153</v>
      </c>
      <c r="L270" s="103">
        <v>6.96325692E8</v>
      </c>
      <c r="M270" s="99">
        <f t="shared" si="4"/>
        <v>1887374.573</v>
      </c>
      <c r="N270" s="100">
        <f t="shared" si="90"/>
        <v>0.00001275979623</v>
      </c>
      <c r="O270" s="101">
        <f t="shared" si="6"/>
        <v>0.001466523458</v>
      </c>
      <c r="P270" s="98">
        <v>0.01453752204892572</v>
      </c>
      <c r="Q270" s="99">
        <v>2.75172858841E11</v>
      </c>
      <c r="R270" s="99">
        <f t="shared" si="7"/>
        <v>536093.5946</v>
      </c>
      <c r="S270" s="100">
        <f t="shared" si="91"/>
        <v>0.0000007193030276</v>
      </c>
      <c r="T270" s="101">
        <f t="shared" si="9"/>
        <v>0.00002348224862</v>
      </c>
      <c r="U270" s="100">
        <f t="shared" si="10"/>
        <v>0.00165085276</v>
      </c>
      <c r="V270" s="99">
        <f t="shared" si="11"/>
        <v>27.1094786</v>
      </c>
      <c r="W270" s="96">
        <v>1.0</v>
      </c>
      <c r="X270" s="97">
        <v>18763.0</v>
      </c>
      <c r="Y270" s="98">
        <v>0.083479491676667</v>
      </c>
      <c r="Z270" s="103">
        <v>7.8233493E8</v>
      </c>
      <c r="AA270" s="99">
        <v>1771534.1337791323</v>
      </c>
      <c r="AB270" s="100">
        <f t="shared" si="92"/>
        <v>0.0000001041498601</v>
      </c>
      <c r="AC270" s="101">
        <f t="shared" si="13"/>
        <v>0.000009833450526</v>
      </c>
      <c r="AD270" s="98">
        <v>0.913505030924029</v>
      </c>
      <c r="AE270" s="99">
        <v>8.54728458E8</v>
      </c>
      <c r="AF270" s="99">
        <v>1973061.047939696</v>
      </c>
      <c r="AG270" s="100">
        <f t="shared" si="93"/>
        <v>0.000008493003781</v>
      </c>
      <c r="AH270" s="101">
        <f t="shared" si="15"/>
        <v>0.0008930989149</v>
      </c>
      <c r="AI270" s="102">
        <v>0.00292316686667282</v>
      </c>
      <c r="AJ270" s="99">
        <v>3.52046352185E11</v>
      </c>
      <c r="AK270" s="99">
        <v>685859.0459431</v>
      </c>
      <c r="AL270" s="100">
        <f t="shared" si="94"/>
        <v>0.0000001020064861</v>
      </c>
      <c r="AM270" s="100">
        <f t="shared" si="17"/>
        <v>0.000003728725215</v>
      </c>
      <c r="AN270" s="104">
        <f t="shared" si="18"/>
        <v>0.0009066610906</v>
      </c>
      <c r="AO270" s="97">
        <f t="shared" si="19"/>
        <v>17.01168204</v>
      </c>
    </row>
    <row r="271" ht="15.75" customHeight="1">
      <c r="A271" s="95">
        <v>70601.0</v>
      </c>
      <c r="B271" s="60" t="s">
        <v>224</v>
      </c>
      <c r="C271" s="60" t="s">
        <v>251</v>
      </c>
      <c r="D271" s="96">
        <v>5478.0</v>
      </c>
      <c r="E271" s="97">
        <v>18599.5</v>
      </c>
      <c r="F271" s="98">
        <v>4597.620761443921</v>
      </c>
      <c r="G271" s="99">
        <v>5.02722601E8</v>
      </c>
      <c r="H271" s="99">
        <f t="shared" si="1"/>
        <v>1136801.59</v>
      </c>
      <c r="I271" s="100">
        <f t="shared" si="89"/>
        <v>0.01093198279</v>
      </c>
      <c r="J271" s="101">
        <f t="shared" si="3"/>
        <v>0.6681628765</v>
      </c>
      <c r="K271" s="102">
        <v>710.0578201408982</v>
      </c>
      <c r="L271" s="103">
        <v>6.96325692E8</v>
      </c>
      <c r="M271" s="99">
        <f t="shared" si="4"/>
        <v>1887374.573</v>
      </c>
      <c r="N271" s="100">
        <f t="shared" si="90"/>
        <v>0.008986609411</v>
      </c>
      <c r="O271" s="101">
        <f t="shared" si="6"/>
        <v>0.9119115083</v>
      </c>
      <c r="P271" s="98">
        <v>170.0330716142601</v>
      </c>
      <c r="Q271" s="99">
        <v>2.75172858841E11</v>
      </c>
      <c r="R271" s="99">
        <f t="shared" si="7"/>
        <v>536093.5946</v>
      </c>
      <c r="S271" s="100">
        <f t="shared" si="91"/>
        <v>0.008413077745</v>
      </c>
      <c r="T271" s="101">
        <f t="shared" si="9"/>
        <v>0.2424902331</v>
      </c>
      <c r="U271" s="100">
        <f t="shared" si="10"/>
        <v>1.822564618</v>
      </c>
      <c r="V271" s="99">
        <f t="shared" si="11"/>
        <v>33898.79061</v>
      </c>
      <c r="W271" s="96">
        <v>12825.0</v>
      </c>
      <c r="X271" s="97">
        <v>20743.0</v>
      </c>
      <c r="Y271" s="98">
        <v>11067.85318527039</v>
      </c>
      <c r="Z271" s="103">
        <v>7.8233493E8</v>
      </c>
      <c r="AA271" s="99">
        <v>1771534.1337791323</v>
      </c>
      <c r="AB271" s="100">
        <f t="shared" si="92"/>
        <v>0.01380836584</v>
      </c>
      <c r="AC271" s="101">
        <f t="shared" si="13"/>
        <v>1.179288985</v>
      </c>
      <c r="AD271" s="98">
        <v>1423.495356567391</v>
      </c>
      <c r="AE271" s="99">
        <v>8.54728458E8</v>
      </c>
      <c r="AF271" s="99">
        <v>1973061.047939696</v>
      </c>
      <c r="AG271" s="100">
        <f t="shared" si="93"/>
        <v>0.01323446619</v>
      </c>
      <c r="AH271" s="101">
        <f t="shared" si="15"/>
        <v>1.258854058</v>
      </c>
      <c r="AI271" s="102">
        <v>332.8866622765203</v>
      </c>
      <c r="AJ271" s="99">
        <v>3.52046352185E11</v>
      </c>
      <c r="AK271" s="99">
        <v>685859.0459431</v>
      </c>
      <c r="AL271" s="100">
        <f t="shared" si="94"/>
        <v>0.01161637369</v>
      </c>
      <c r="AM271" s="100">
        <f t="shared" si="17"/>
        <v>0.3840907764</v>
      </c>
      <c r="AN271" s="104">
        <f t="shared" si="18"/>
        <v>2.822233819</v>
      </c>
      <c r="AO271" s="97">
        <f t="shared" si="19"/>
        <v>58541.59612</v>
      </c>
    </row>
    <row r="272" ht="15.75" customHeight="1">
      <c r="A272" s="95">
        <v>70602.0</v>
      </c>
      <c r="B272" s="60" t="s">
        <v>224</v>
      </c>
      <c r="C272" s="60" t="s">
        <v>824</v>
      </c>
      <c r="D272" s="108">
        <v>14.0</v>
      </c>
      <c r="E272" s="109">
        <v>18912.5</v>
      </c>
      <c r="F272" s="110">
        <v>9.0</v>
      </c>
      <c r="G272" s="99">
        <v>5.02722601E8</v>
      </c>
      <c r="H272" s="99">
        <f t="shared" si="1"/>
        <v>1136801.59</v>
      </c>
      <c r="I272" s="100">
        <f t="shared" si="89"/>
        <v>0.00002139973047</v>
      </c>
      <c r="J272" s="101">
        <f t="shared" si="3"/>
        <v>0.001286305228</v>
      </c>
      <c r="K272" s="111">
        <v>4.0</v>
      </c>
      <c r="L272" s="103">
        <v>6.96325692E8</v>
      </c>
      <c r="M272" s="99">
        <f t="shared" si="4"/>
        <v>1887374.573</v>
      </c>
      <c r="N272" s="100">
        <f t="shared" si="90"/>
        <v>0.0000506246627</v>
      </c>
      <c r="O272" s="101">
        <f t="shared" si="6"/>
        <v>0.005052092592</v>
      </c>
      <c r="P272" s="110">
        <v>1.0</v>
      </c>
      <c r="Q272" s="99">
        <v>2.75172858841E11</v>
      </c>
      <c r="R272" s="99">
        <f t="shared" si="7"/>
        <v>536093.5946</v>
      </c>
      <c r="S272" s="100">
        <f t="shared" si="91"/>
        <v>0.00004947906701</v>
      </c>
      <c r="T272" s="101">
        <f t="shared" si="9"/>
        <v>0.001402533292</v>
      </c>
      <c r="U272" s="100">
        <f t="shared" si="10"/>
        <v>0.007740931113</v>
      </c>
      <c r="V272" s="99">
        <f t="shared" si="11"/>
        <v>146.4003597</v>
      </c>
      <c r="W272" s="108">
        <v>169.0</v>
      </c>
      <c r="X272" s="97">
        <v>17999.0</v>
      </c>
      <c r="Y272" s="110">
        <v>137.4644810326161</v>
      </c>
      <c r="Z272" s="103">
        <v>7.8233493E8</v>
      </c>
      <c r="AA272" s="99">
        <v>1771534.1337791323</v>
      </c>
      <c r="AB272" s="100">
        <f t="shared" si="92"/>
        <v>0.0001715020801</v>
      </c>
      <c r="AC272" s="101">
        <f t="shared" si="13"/>
        <v>0.01687992605</v>
      </c>
      <c r="AD272" s="110">
        <v>26.53763212792926</v>
      </c>
      <c r="AE272" s="99">
        <v>8.54728458E8</v>
      </c>
      <c r="AF272" s="99">
        <v>1973061.047939696</v>
      </c>
      <c r="AG272" s="100">
        <f t="shared" si="93"/>
        <v>0.0002467246511</v>
      </c>
      <c r="AH272" s="101">
        <f t="shared" si="15"/>
        <v>0.02704610248</v>
      </c>
      <c r="AI272" s="111">
        <v>4.987756903796358</v>
      </c>
      <c r="AJ272" s="99">
        <v>3.52046352185E11</v>
      </c>
      <c r="AK272" s="99">
        <v>685859.0459431</v>
      </c>
      <c r="AL272" s="100">
        <f t="shared" si="94"/>
        <v>0.0001740521764</v>
      </c>
      <c r="AM272" s="100">
        <f t="shared" si="17"/>
        <v>0.006632327332</v>
      </c>
      <c r="AN272" s="104">
        <f t="shared" si="18"/>
        <v>0.05055835586</v>
      </c>
      <c r="AO272" s="97">
        <f t="shared" si="19"/>
        <v>909.9998472</v>
      </c>
    </row>
    <row r="273" ht="15.75" customHeight="1">
      <c r="A273" s="95">
        <v>70603.0</v>
      </c>
      <c r="B273" s="60" t="s">
        <v>224</v>
      </c>
      <c r="C273" s="60" t="s">
        <v>231</v>
      </c>
      <c r="D273" s="96">
        <v>166.0</v>
      </c>
      <c r="E273" s="97">
        <v>6053.5</v>
      </c>
      <c r="F273" s="98">
        <v>135.8405304661928</v>
      </c>
      <c r="G273" s="99">
        <v>5.02722601E8</v>
      </c>
      <c r="H273" s="99">
        <f t="shared" si="1"/>
        <v>1136801.59</v>
      </c>
      <c r="I273" s="100">
        <f t="shared" si="89"/>
        <v>0.0003229945265</v>
      </c>
      <c r="J273" s="101">
        <f t="shared" si="3"/>
        <v>0.06065593317</v>
      </c>
      <c r="K273" s="102">
        <v>24.87873284094199</v>
      </c>
      <c r="L273" s="103">
        <v>6.96325692E8</v>
      </c>
      <c r="M273" s="99">
        <f t="shared" si="4"/>
        <v>1887374.573</v>
      </c>
      <c r="N273" s="100">
        <f t="shared" si="90"/>
        <v>0.0003148693646</v>
      </c>
      <c r="O273" s="101">
        <f t="shared" si="6"/>
        <v>0.09817071655</v>
      </c>
      <c r="P273" s="98">
        <v>5.272240838722322</v>
      </c>
      <c r="Q273" s="99">
        <v>2.75172858841E11</v>
      </c>
      <c r="R273" s="99">
        <f t="shared" si="7"/>
        <v>536093.5946</v>
      </c>
      <c r="S273" s="100">
        <f t="shared" si="91"/>
        <v>0.0002608655578</v>
      </c>
      <c r="T273" s="101">
        <f t="shared" si="9"/>
        <v>0.02310206568</v>
      </c>
      <c r="U273" s="100">
        <f t="shared" si="10"/>
        <v>0.1819287154</v>
      </c>
      <c r="V273" s="99">
        <f t="shared" si="11"/>
        <v>1101.305479</v>
      </c>
      <c r="W273" s="96">
        <v>32397.0</v>
      </c>
      <c r="X273" s="97">
        <v>6007.0</v>
      </c>
      <c r="Y273" s="98">
        <v>24283.65464289937</v>
      </c>
      <c r="Z273" s="103">
        <v>7.8233493E8</v>
      </c>
      <c r="AA273" s="99">
        <v>1771534.1337791323</v>
      </c>
      <c r="AB273" s="100">
        <f t="shared" si="92"/>
        <v>0.03029653371</v>
      </c>
      <c r="AC273" s="101">
        <f t="shared" si="13"/>
        <v>8.934800002</v>
      </c>
      <c r="AD273" s="98">
        <v>7083.451595823323</v>
      </c>
      <c r="AE273" s="99">
        <v>8.54728458E8</v>
      </c>
      <c r="AF273" s="99">
        <v>1973061.047939696</v>
      </c>
      <c r="AG273" s="100">
        <f t="shared" si="93"/>
        <v>0.06585599329</v>
      </c>
      <c r="AH273" s="101">
        <f t="shared" si="15"/>
        <v>21.63107959</v>
      </c>
      <c r="AI273" s="102">
        <v>1028.323935106818</v>
      </c>
      <c r="AJ273" s="99">
        <v>3.52046352185E11</v>
      </c>
      <c r="AK273" s="99">
        <v>685859.0459431</v>
      </c>
      <c r="AL273" s="100">
        <f t="shared" si="94"/>
        <v>0.03588427071</v>
      </c>
      <c r="AM273" s="100">
        <f t="shared" si="17"/>
        <v>4.097145276</v>
      </c>
      <c r="AN273" s="104">
        <f t="shared" si="18"/>
        <v>34.66302487</v>
      </c>
      <c r="AO273" s="97">
        <f t="shared" si="19"/>
        <v>208220.7904</v>
      </c>
    </row>
    <row r="274" ht="15.75" customHeight="1">
      <c r="A274" s="95">
        <v>70701.0</v>
      </c>
      <c r="B274" s="60" t="s">
        <v>224</v>
      </c>
      <c r="C274" s="60" t="s">
        <v>242</v>
      </c>
      <c r="D274" s="96">
        <v>1.0</v>
      </c>
      <c r="E274" s="97">
        <v>5511.0</v>
      </c>
      <c r="F274" s="98">
        <v>0.752045572242362</v>
      </c>
      <c r="G274" s="99">
        <v>5.02722601E8</v>
      </c>
      <c r="H274" s="99">
        <f t="shared" si="1"/>
        <v>1136801.59</v>
      </c>
      <c r="I274" s="100">
        <f t="shared" si="89"/>
        <v>0.000001788174727</v>
      </c>
      <c r="J274" s="101">
        <f t="shared" si="3"/>
        <v>0.0003688622526</v>
      </c>
      <c r="K274" s="102">
        <v>0.185827723114103</v>
      </c>
      <c r="L274" s="103">
        <v>6.96325692E8</v>
      </c>
      <c r="M274" s="99">
        <f t="shared" si="4"/>
        <v>1887374.573</v>
      </c>
      <c r="N274" s="100">
        <f t="shared" si="90"/>
        <v>0.000002351866451</v>
      </c>
      <c r="O274" s="101">
        <f t="shared" si="6"/>
        <v>0.0008054532641</v>
      </c>
      <c r="P274" s="98">
        <v>0.0620921802175039</v>
      </c>
      <c r="Q274" s="99">
        <v>2.75172858841E11</v>
      </c>
      <c r="R274" s="99">
        <f t="shared" si="7"/>
        <v>536093.5946</v>
      </c>
      <c r="S274" s="100">
        <f t="shared" si="91"/>
        <v>0.000003072263146</v>
      </c>
      <c r="T274" s="101">
        <f t="shared" si="9"/>
        <v>0.0002988605686</v>
      </c>
      <c r="U274" s="100">
        <f t="shared" si="10"/>
        <v>0.001473176085</v>
      </c>
      <c r="V274" s="99">
        <f t="shared" si="11"/>
        <v>8.118673406</v>
      </c>
      <c r="W274" s="96">
        <v>295.0</v>
      </c>
      <c r="X274" s="97">
        <v>5946.0</v>
      </c>
      <c r="Y274" s="98">
        <v>167.4565725921661</v>
      </c>
      <c r="Z274" s="103">
        <v>7.8233493E8</v>
      </c>
      <c r="AA274" s="99">
        <v>1771534.1337791323</v>
      </c>
      <c r="AB274" s="100">
        <f t="shared" si="92"/>
        <v>0.0002089205176</v>
      </c>
      <c r="AC274" s="101">
        <f t="shared" si="13"/>
        <v>0.06224517797</v>
      </c>
      <c r="AD274" s="98">
        <v>119.6416110425555</v>
      </c>
      <c r="AE274" s="99">
        <v>8.54728458E8</v>
      </c>
      <c r="AF274" s="99">
        <v>1973061.047939696</v>
      </c>
      <c r="AG274" s="100">
        <f t="shared" si="93"/>
        <v>0.001112327377</v>
      </c>
      <c r="AH274" s="101">
        <f t="shared" si="15"/>
        <v>0.3691035688</v>
      </c>
      <c r="AI274" s="102">
        <v>7.882836755953467</v>
      </c>
      <c r="AJ274" s="99">
        <v>3.52046352185E11</v>
      </c>
      <c r="AK274" s="99">
        <v>685859.0459431</v>
      </c>
      <c r="AL274" s="100">
        <f t="shared" si="94"/>
        <v>0.0002750785413</v>
      </c>
      <c r="AM274" s="100">
        <f t="shared" si="17"/>
        <v>0.03172975209</v>
      </c>
      <c r="AN274" s="104">
        <f t="shared" si="18"/>
        <v>0.4630784988</v>
      </c>
      <c r="AO274" s="97">
        <f t="shared" si="19"/>
        <v>2753.464754</v>
      </c>
    </row>
    <row r="275" ht="15.75" customHeight="1">
      <c r="A275" s="95">
        <v>70702.0</v>
      </c>
      <c r="B275" s="60" t="s">
        <v>224</v>
      </c>
      <c r="C275" s="60" t="s">
        <v>825</v>
      </c>
      <c r="D275" s="108">
        <v>95.0</v>
      </c>
      <c r="E275" s="109">
        <v>33744.5</v>
      </c>
      <c r="F275" s="110">
        <v>78.0</v>
      </c>
      <c r="G275" s="99">
        <v>5.02722601E8</v>
      </c>
      <c r="H275" s="99">
        <f t="shared" si="1"/>
        <v>1136801.59</v>
      </c>
      <c r="I275" s="100">
        <f t="shared" si="89"/>
        <v>0.0001854643307</v>
      </c>
      <c r="J275" s="101">
        <f t="shared" si="3"/>
        <v>0.006248015118</v>
      </c>
      <c r="K275" s="111">
        <v>13.694113650634318</v>
      </c>
      <c r="L275" s="103">
        <v>6.96325692E8</v>
      </c>
      <c r="M275" s="99">
        <f t="shared" si="4"/>
        <v>1887374.573</v>
      </c>
      <c r="N275" s="100">
        <f t="shared" si="90"/>
        <v>0.0001733149711</v>
      </c>
      <c r="O275" s="101">
        <f t="shared" si="6"/>
        <v>0.009693735858</v>
      </c>
      <c r="P275" s="110">
        <v>3.778307349880139</v>
      </c>
      <c r="Q275" s="99">
        <v>2.75172858841E11</v>
      </c>
      <c r="R275" s="99">
        <f t="shared" si="7"/>
        <v>536093.5946</v>
      </c>
      <c r="S275" s="100">
        <f t="shared" si="91"/>
        <v>0.0001869471226</v>
      </c>
      <c r="T275" s="101">
        <f t="shared" si="9"/>
        <v>0.002969999702</v>
      </c>
      <c r="U275" s="100">
        <f t="shared" si="10"/>
        <v>0.01891175068</v>
      </c>
      <c r="V275" s="99">
        <f t="shared" si="11"/>
        <v>638.1675707</v>
      </c>
      <c r="W275" s="108">
        <v>472.0</v>
      </c>
      <c r="X275" s="97">
        <v>38420.0</v>
      </c>
      <c r="Y275" s="110">
        <v>359.5787913227996</v>
      </c>
      <c r="Z275" s="103">
        <v>7.8233493E8</v>
      </c>
      <c r="AA275" s="99">
        <v>1771534.1337791323</v>
      </c>
      <c r="AB275" s="100">
        <f t="shared" si="92"/>
        <v>0.0004486141454</v>
      </c>
      <c r="AC275" s="101">
        <f t="shared" si="13"/>
        <v>0.02068545735</v>
      </c>
      <c r="AD275" s="110">
        <v>93.66788924587073</v>
      </c>
      <c r="AE275" s="99">
        <v>8.54728458E8</v>
      </c>
      <c r="AF275" s="99">
        <v>1973061.047939696</v>
      </c>
      <c r="AG275" s="100">
        <f t="shared" si="93"/>
        <v>0.0008708454913</v>
      </c>
      <c r="AH275" s="101">
        <f t="shared" si="15"/>
        <v>0.04472231436</v>
      </c>
      <c r="AI275" s="111">
        <v>18.734809864532437</v>
      </c>
      <c r="AJ275" s="99">
        <v>3.52046352185E11</v>
      </c>
      <c r="AK275" s="99">
        <v>685859.0459431</v>
      </c>
      <c r="AL275" s="100">
        <f t="shared" si="94"/>
        <v>0.0006537677145</v>
      </c>
      <c r="AM275" s="100">
        <f t="shared" si="17"/>
        <v>0.0116708095</v>
      </c>
      <c r="AN275" s="104">
        <f t="shared" si="18"/>
        <v>0.07707858121</v>
      </c>
      <c r="AO275" s="97">
        <f t="shared" si="19"/>
        <v>2961.35909</v>
      </c>
    </row>
    <row r="276" ht="15.75" customHeight="1">
      <c r="A276" s="95">
        <v>70703.0</v>
      </c>
      <c r="B276" s="60" t="s">
        <v>224</v>
      </c>
      <c r="C276" s="60" t="s">
        <v>228</v>
      </c>
      <c r="D276" s="96">
        <v>615.0</v>
      </c>
      <c r="E276" s="97">
        <v>28065.75</v>
      </c>
      <c r="F276" s="98">
        <v>582.3131010862184</v>
      </c>
      <c r="G276" s="99">
        <v>5.02722601E8</v>
      </c>
      <c r="H276" s="99">
        <f t="shared" si="1"/>
        <v>1136801.59</v>
      </c>
      <c r="I276" s="100">
        <f t="shared" si="89"/>
        <v>0.001384593712</v>
      </c>
      <c r="J276" s="101">
        <f t="shared" si="3"/>
        <v>0.05608288873</v>
      </c>
      <c r="K276" s="102">
        <v>25.24152658201679</v>
      </c>
      <c r="L276" s="103">
        <v>6.96325692E8</v>
      </c>
      <c r="M276" s="99">
        <f t="shared" si="4"/>
        <v>1887374.573</v>
      </c>
      <c r="N276" s="100">
        <f t="shared" si="90"/>
        <v>0.0003194609423</v>
      </c>
      <c r="O276" s="101">
        <f t="shared" si="6"/>
        <v>0.02148321209</v>
      </c>
      <c r="P276" s="98">
        <v>7.397931250292385</v>
      </c>
      <c r="Q276" s="99">
        <v>2.75172858841E11</v>
      </c>
      <c r="R276" s="99">
        <f t="shared" si="7"/>
        <v>536093.5946</v>
      </c>
      <c r="S276" s="100">
        <f t="shared" si="91"/>
        <v>0.0003660427361</v>
      </c>
      <c r="T276" s="101">
        <f t="shared" si="9"/>
        <v>0.006991908863</v>
      </c>
      <c r="U276" s="100">
        <f t="shared" si="10"/>
        <v>0.08455800968</v>
      </c>
      <c r="V276" s="99">
        <f t="shared" si="11"/>
        <v>2373.18396</v>
      </c>
      <c r="W276" s="96">
        <v>2444.0</v>
      </c>
      <c r="X276" s="97">
        <v>32961.0</v>
      </c>
      <c r="Y276" s="98">
        <v>1996.404072354836</v>
      </c>
      <c r="Z276" s="103">
        <v>7.8233493E8</v>
      </c>
      <c r="AA276" s="99">
        <v>1771534.1337791323</v>
      </c>
      <c r="AB276" s="100">
        <f t="shared" si="92"/>
        <v>0.00249073396</v>
      </c>
      <c r="AC276" s="101">
        <f t="shared" si="13"/>
        <v>0.1338679114</v>
      </c>
      <c r="AD276" s="98">
        <v>361.9408526236708</v>
      </c>
      <c r="AE276" s="99">
        <v>8.54728458E8</v>
      </c>
      <c r="AF276" s="99">
        <v>1973061.047939696</v>
      </c>
      <c r="AG276" s="100">
        <f t="shared" si="93"/>
        <v>0.003365022551</v>
      </c>
      <c r="AH276" s="101">
        <f t="shared" si="15"/>
        <v>0.2014318413</v>
      </c>
      <c r="AI276" s="102">
        <v>85.53409414977746</v>
      </c>
      <c r="AJ276" s="99">
        <v>3.52046352185E11</v>
      </c>
      <c r="AK276" s="99">
        <v>685859.0459431</v>
      </c>
      <c r="AL276" s="100">
        <f t="shared" si="94"/>
        <v>0.002984787657</v>
      </c>
      <c r="AM276" s="100">
        <f t="shared" si="17"/>
        <v>0.06210805542</v>
      </c>
      <c r="AN276" s="104">
        <f t="shared" si="18"/>
        <v>0.3974078081</v>
      </c>
      <c r="AO276" s="97">
        <f t="shared" si="19"/>
        <v>13098.95876</v>
      </c>
    </row>
    <row r="277" ht="15.75" customHeight="1">
      <c r="A277" s="95">
        <v>70704.0</v>
      </c>
      <c r="B277" s="60" t="s">
        <v>224</v>
      </c>
      <c r="C277" s="60" t="s">
        <v>236</v>
      </c>
      <c r="D277" s="96">
        <v>1.0</v>
      </c>
      <c r="E277" s="97">
        <v>5122.75</v>
      </c>
      <c r="F277" s="98">
        <v>0.802335182557089</v>
      </c>
      <c r="G277" s="99">
        <v>5.02722601E8</v>
      </c>
      <c r="H277" s="99">
        <f t="shared" si="1"/>
        <v>1136801.59</v>
      </c>
      <c r="I277" s="100">
        <f t="shared" si="89"/>
        <v>0.000001907750739</v>
      </c>
      <c r="J277" s="101">
        <f t="shared" si="3"/>
        <v>0.0004233534868</v>
      </c>
      <c r="K277" s="102">
        <v>0.124687137143594</v>
      </c>
      <c r="L277" s="103">
        <v>6.96325692E8</v>
      </c>
      <c r="M277" s="99">
        <f t="shared" si="4"/>
        <v>1887374.573</v>
      </c>
      <c r="N277" s="100">
        <f t="shared" si="90"/>
        <v>0.000001578061065</v>
      </c>
      <c r="O277" s="101">
        <f t="shared" si="6"/>
        <v>0.0005814049737</v>
      </c>
      <c r="P277" s="98">
        <v>0.0729583279576829</v>
      </c>
      <c r="Q277" s="99">
        <v>2.75172858841E11</v>
      </c>
      <c r="R277" s="99">
        <f t="shared" si="7"/>
        <v>536093.5946</v>
      </c>
      <c r="S277" s="100">
        <f t="shared" si="91"/>
        <v>0.000003609909998</v>
      </c>
      <c r="T277" s="101">
        <f t="shared" si="9"/>
        <v>0.000377775536</v>
      </c>
      <c r="U277" s="100">
        <f t="shared" si="10"/>
        <v>0.001382533997</v>
      </c>
      <c r="V277" s="99">
        <f t="shared" si="11"/>
        <v>7.082376031</v>
      </c>
      <c r="W277" s="96">
        <v>218.0</v>
      </c>
      <c r="X277" s="97">
        <v>5335.0</v>
      </c>
      <c r="Y277" s="98">
        <v>160.5230610039799</v>
      </c>
      <c r="Z277" s="103">
        <v>7.8233493E8</v>
      </c>
      <c r="AA277" s="99">
        <v>1771534.1337791323</v>
      </c>
      <c r="AB277" s="100">
        <f t="shared" si="92"/>
        <v>0.0002002701983</v>
      </c>
      <c r="AC277" s="101">
        <f t="shared" si="13"/>
        <v>0.06650149807</v>
      </c>
      <c r="AD277" s="98">
        <v>49.538277924585</v>
      </c>
      <c r="AE277" s="99">
        <v>8.54728458E8</v>
      </c>
      <c r="AF277" s="99">
        <v>1973061.047939696</v>
      </c>
      <c r="AG277" s="100">
        <f t="shared" si="93"/>
        <v>0.000460565369</v>
      </c>
      <c r="AH277" s="101">
        <f t="shared" si="15"/>
        <v>0.1703324442</v>
      </c>
      <c r="AI277" s="102">
        <v>7.926673666872974</v>
      </c>
      <c r="AJ277" s="99">
        <v>3.52046352185E11</v>
      </c>
      <c r="AK277" s="99">
        <v>685859.0459431</v>
      </c>
      <c r="AL277" s="100">
        <f t="shared" si="94"/>
        <v>0.000276608269</v>
      </c>
      <c r="AM277" s="100">
        <f t="shared" si="17"/>
        <v>0.03556031555</v>
      </c>
      <c r="AN277" s="104">
        <f t="shared" si="18"/>
        <v>0.2723942578</v>
      </c>
      <c r="AO277" s="97">
        <f t="shared" si="19"/>
        <v>1453.223365</v>
      </c>
    </row>
    <row r="278" ht="15.75" customHeight="1">
      <c r="A278" s="95">
        <v>70705.0</v>
      </c>
      <c r="B278" s="60" t="s">
        <v>224</v>
      </c>
      <c r="C278" s="60" t="s">
        <v>826</v>
      </c>
      <c r="D278" s="108">
        <v>1.0</v>
      </c>
      <c r="E278" s="109">
        <v>12802.0</v>
      </c>
      <c r="F278" s="110">
        <v>1.0</v>
      </c>
      <c r="G278" s="99">
        <v>5.02722601E8</v>
      </c>
      <c r="H278" s="99">
        <f t="shared" si="1"/>
        <v>1136801.59</v>
      </c>
      <c r="I278" s="100">
        <f t="shared" si="89"/>
        <v>0.00000237774783</v>
      </c>
      <c r="J278" s="101">
        <f t="shared" si="3"/>
        <v>0.0002111410338</v>
      </c>
      <c r="K278" s="111">
        <v>0.0</v>
      </c>
      <c r="L278" s="103">
        <v>6.96325692E8</v>
      </c>
      <c r="M278" s="99">
        <f t="shared" si="4"/>
        <v>1887374.573</v>
      </c>
      <c r="N278" s="100">
        <f t="shared" si="90"/>
        <v>0</v>
      </c>
      <c r="O278" s="101">
        <f t="shared" si="6"/>
        <v>0</v>
      </c>
      <c r="P278" s="110">
        <v>0.0</v>
      </c>
      <c r="Q278" s="99">
        <v>2.75172858841E11</v>
      </c>
      <c r="R278" s="99">
        <f t="shared" si="7"/>
        <v>536093.5946</v>
      </c>
      <c r="S278" s="100">
        <f t="shared" si="91"/>
        <v>0</v>
      </c>
      <c r="T278" s="101">
        <f t="shared" si="9"/>
        <v>0</v>
      </c>
      <c r="U278" s="100">
        <f t="shared" si="10"/>
        <v>0.0002111410338</v>
      </c>
      <c r="V278" s="99">
        <f t="shared" si="11"/>
        <v>2.703027515</v>
      </c>
      <c r="W278" s="108">
        <v>1.0</v>
      </c>
      <c r="X278" s="97">
        <v>14389.0</v>
      </c>
      <c r="Y278" s="110">
        <v>1.0</v>
      </c>
      <c r="Z278" s="103">
        <v>7.8233493E8</v>
      </c>
      <c r="AA278" s="99">
        <v>1771534.1337791323</v>
      </c>
      <c r="AB278" s="100">
        <f t="shared" si="92"/>
        <v>0.000001247610138</v>
      </c>
      <c r="AC278" s="101">
        <f t="shared" si="13"/>
        <v>0.0001536023313</v>
      </c>
      <c r="AD278" s="110">
        <v>0.0</v>
      </c>
      <c r="AE278" s="99">
        <v>8.54728458E8</v>
      </c>
      <c r="AF278" s="99">
        <v>1973061.047939696</v>
      </c>
      <c r="AG278" s="100">
        <f t="shared" si="93"/>
        <v>0</v>
      </c>
      <c r="AH278" s="101">
        <f t="shared" si="15"/>
        <v>0</v>
      </c>
      <c r="AI278" s="111">
        <v>0.0</v>
      </c>
      <c r="AJ278" s="99">
        <v>3.52046352185E11</v>
      </c>
      <c r="AK278" s="99">
        <v>685859.0459431</v>
      </c>
      <c r="AL278" s="100">
        <f t="shared" si="94"/>
        <v>0</v>
      </c>
      <c r="AM278" s="100">
        <f t="shared" si="17"/>
        <v>0</v>
      </c>
      <c r="AN278" s="104">
        <f t="shared" si="18"/>
        <v>0.0001536023313</v>
      </c>
      <c r="AO278" s="97">
        <f t="shared" si="19"/>
        <v>2.210183945</v>
      </c>
    </row>
    <row r="279" ht="15.75" customHeight="1">
      <c r="A279" s="95">
        <v>70706.0</v>
      </c>
      <c r="B279" s="60" t="s">
        <v>224</v>
      </c>
      <c r="C279" s="60" t="s">
        <v>229</v>
      </c>
      <c r="D279" s="96">
        <v>4314.0</v>
      </c>
      <c r="E279" s="97">
        <v>33449.75</v>
      </c>
      <c r="F279" s="98">
        <v>3435.047453785955</v>
      </c>
      <c r="G279" s="99">
        <v>5.02722601E8</v>
      </c>
      <c r="H279" s="99">
        <f t="shared" si="1"/>
        <v>1136801.59</v>
      </c>
      <c r="I279" s="100">
        <f t="shared" si="89"/>
        <v>0.008167676629</v>
      </c>
      <c r="J279" s="101">
        <f t="shared" si="3"/>
        <v>0.2775813805</v>
      </c>
      <c r="K279" s="102">
        <v>670.193659782168</v>
      </c>
      <c r="L279" s="103">
        <v>6.96325692E8</v>
      </c>
      <c r="M279" s="99">
        <f t="shared" si="4"/>
        <v>1887374.573</v>
      </c>
      <c r="N279" s="100">
        <f t="shared" si="90"/>
        <v>0.008482081993</v>
      </c>
      <c r="O279" s="101">
        <f t="shared" si="6"/>
        <v>0.4785944851</v>
      </c>
      <c r="P279" s="98">
        <v>208.5993312790688</v>
      </c>
      <c r="Q279" s="99">
        <v>2.75172858841E11</v>
      </c>
      <c r="R279" s="99">
        <f t="shared" si="7"/>
        <v>536093.5946</v>
      </c>
      <c r="S279" s="100">
        <f t="shared" si="91"/>
        <v>0.01032130029</v>
      </c>
      <c r="T279" s="101">
        <f t="shared" si="9"/>
        <v>0.1654177677</v>
      </c>
      <c r="U279" s="100">
        <f t="shared" si="10"/>
        <v>0.9215936333</v>
      </c>
      <c r="V279" s="99">
        <f t="shared" si="11"/>
        <v>30827.07664</v>
      </c>
      <c r="W279" s="96">
        <v>4846.0</v>
      </c>
      <c r="X279" s="97">
        <v>32285.0</v>
      </c>
      <c r="Y279" s="98">
        <v>4010.226718908088</v>
      </c>
      <c r="Z279" s="103">
        <v>7.8233493E8</v>
      </c>
      <c r="AA279" s="99">
        <v>1771534.1337791323</v>
      </c>
      <c r="AB279" s="100">
        <f t="shared" si="92"/>
        <v>0.005003199509</v>
      </c>
      <c r="AC279" s="101">
        <f t="shared" si="13"/>
        <v>0.2745342639</v>
      </c>
      <c r="AD279" s="98">
        <v>633.2916768230903</v>
      </c>
      <c r="AE279" s="99">
        <v>8.54728458E8</v>
      </c>
      <c r="AF279" s="99">
        <v>1973061.047939696</v>
      </c>
      <c r="AG279" s="100">
        <f t="shared" si="93"/>
        <v>0.00588781498</v>
      </c>
      <c r="AH279" s="101">
        <f t="shared" si="15"/>
        <v>0.3598271146</v>
      </c>
      <c r="AI279" s="102">
        <v>202.2587505592072</v>
      </c>
      <c r="AJ279" s="99">
        <v>3.52046352185E11</v>
      </c>
      <c r="AK279" s="99">
        <v>685859.0459431</v>
      </c>
      <c r="AL279" s="100">
        <f t="shared" si="94"/>
        <v>0.007057997495</v>
      </c>
      <c r="AM279" s="100">
        <f t="shared" si="17"/>
        <v>0.1499393349</v>
      </c>
      <c r="AN279" s="104">
        <f t="shared" si="18"/>
        <v>0.7843007134</v>
      </c>
      <c r="AO279" s="97">
        <f t="shared" si="19"/>
        <v>25321.14853</v>
      </c>
    </row>
    <row r="280" ht="15.75" customHeight="1">
      <c r="A280" s="95">
        <v>70707.0</v>
      </c>
      <c r="B280" s="60" t="s">
        <v>224</v>
      </c>
      <c r="C280" s="60" t="s">
        <v>226</v>
      </c>
      <c r="D280" s="96">
        <v>0.0</v>
      </c>
      <c r="E280" s="97">
        <v>5218.25</v>
      </c>
      <c r="F280" s="98">
        <v>0.0</v>
      </c>
      <c r="G280" s="99">
        <v>5.02722601E8</v>
      </c>
      <c r="H280" s="99">
        <f t="shared" si="1"/>
        <v>1136801.59</v>
      </c>
      <c r="I280" s="100">
        <f t="shared" si="89"/>
        <v>0</v>
      </c>
      <c r="J280" s="101">
        <f t="shared" si="3"/>
        <v>0</v>
      </c>
      <c r="K280" s="102">
        <v>0.0</v>
      </c>
      <c r="L280" s="103">
        <v>6.96325692E8</v>
      </c>
      <c r="M280" s="99">
        <f t="shared" si="4"/>
        <v>1887374.573</v>
      </c>
      <c r="N280" s="100">
        <f t="shared" si="90"/>
        <v>0</v>
      </c>
      <c r="O280" s="101">
        <f t="shared" si="6"/>
        <v>0</v>
      </c>
      <c r="P280" s="98">
        <v>0.0</v>
      </c>
      <c r="Q280" s="99">
        <v>2.75172858841E11</v>
      </c>
      <c r="R280" s="99">
        <f t="shared" si="7"/>
        <v>536093.5946</v>
      </c>
      <c r="S280" s="100">
        <f t="shared" si="91"/>
        <v>0</v>
      </c>
      <c r="T280" s="101">
        <f t="shared" si="9"/>
        <v>0</v>
      </c>
      <c r="U280" s="100">
        <f t="shared" si="10"/>
        <v>0</v>
      </c>
      <c r="V280" s="99">
        <f t="shared" si="11"/>
        <v>0</v>
      </c>
      <c r="W280" s="96">
        <v>69.0</v>
      </c>
      <c r="X280" s="97">
        <v>5612.0</v>
      </c>
      <c r="Y280" s="98">
        <v>67.82076121458036</v>
      </c>
      <c r="Z280" s="103">
        <v>7.8233493E8</v>
      </c>
      <c r="AA280" s="99">
        <v>1771534.1337791323</v>
      </c>
      <c r="AB280" s="100">
        <f t="shared" si="92"/>
        <v>0.00008461386924</v>
      </c>
      <c r="AC280" s="101">
        <f t="shared" si="13"/>
        <v>0.02670997105</v>
      </c>
      <c r="AD280" s="98">
        <v>0.7430257636614545</v>
      </c>
      <c r="AE280" s="99">
        <v>8.54728458E8</v>
      </c>
      <c r="AF280" s="99">
        <v>1973061.047939696</v>
      </c>
      <c r="AG280" s="100">
        <f t="shared" si="93"/>
        <v>0.000006908030505</v>
      </c>
      <c r="AH280" s="101">
        <f t="shared" si="15"/>
        <v>0.002428718087</v>
      </c>
      <c r="AI280" s="102">
        <v>0.4306173395372178</v>
      </c>
      <c r="AJ280" s="99">
        <v>3.52046352185E11</v>
      </c>
      <c r="AK280" s="99">
        <v>685859.0459431</v>
      </c>
      <c r="AL280" s="100">
        <f t="shared" si="94"/>
        <v>0.00001502677187</v>
      </c>
      <c r="AM280" s="100">
        <f t="shared" si="17"/>
        <v>0.00183646604</v>
      </c>
      <c r="AN280" s="104">
        <f t="shared" si="18"/>
        <v>0.03097515518</v>
      </c>
      <c r="AO280" s="97">
        <f t="shared" si="19"/>
        <v>173.8325709</v>
      </c>
    </row>
    <row r="281" ht="15.75" customHeight="1">
      <c r="A281" s="95">
        <v>70801.0</v>
      </c>
      <c r="B281" s="60" t="s">
        <v>224</v>
      </c>
      <c r="C281" s="60" t="s">
        <v>271</v>
      </c>
      <c r="D281" s="96">
        <v>2751.0</v>
      </c>
      <c r="E281" s="97">
        <v>17218.25</v>
      </c>
      <c r="F281" s="98">
        <v>2175.708820782149</v>
      </c>
      <c r="G281" s="99">
        <v>5.02722601E8</v>
      </c>
      <c r="H281" s="99">
        <f t="shared" si="1"/>
        <v>1136801.59</v>
      </c>
      <c r="I281" s="100">
        <f t="shared" si="89"/>
        <v>0.005173286927</v>
      </c>
      <c r="J281" s="101">
        <f t="shared" si="3"/>
        <v>0.3415562445</v>
      </c>
      <c r="K281" s="102">
        <v>474.7081937812039</v>
      </c>
      <c r="L281" s="103">
        <v>6.96325692E8</v>
      </c>
      <c r="M281" s="99">
        <f t="shared" si="4"/>
        <v>1887374.573</v>
      </c>
      <c r="N281" s="100">
        <f t="shared" si="90"/>
        <v>0.006007985548</v>
      </c>
      <c r="O281" s="101">
        <f t="shared" si="6"/>
        <v>0.6585639747</v>
      </c>
      <c r="P281" s="98">
        <v>100.4405333579729</v>
      </c>
      <c r="Q281" s="99">
        <v>2.75172858841E11</v>
      </c>
      <c r="R281" s="99">
        <f t="shared" si="7"/>
        <v>536093.5946</v>
      </c>
      <c r="S281" s="100">
        <f t="shared" si="91"/>
        <v>0.004969703881</v>
      </c>
      <c r="T281" s="101">
        <f t="shared" si="9"/>
        <v>0.1547327061</v>
      </c>
      <c r="U281" s="100">
        <f t="shared" si="10"/>
        <v>1.154852925</v>
      </c>
      <c r="V281" s="99">
        <f t="shared" si="11"/>
        <v>19884.54638</v>
      </c>
      <c r="W281" s="96">
        <v>2769.0</v>
      </c>
      <c r="X281" s="97">
        <v>17249.0</v>
      </c>
      <c r="Y281" s="98">
        <v>2314.39082721656</v>
      </c>
      <c r="Z281" s="103">
        <v>7.8233493E8</v>
      </c>
      <c r="AA281" s="99">
        <v>1771534.1337791323</v>
      </c>
      <c r="AB281" s="100">
        <f t="shared" si="92"/>
        <v>0.002887457459</v>
      </c>
      <c r="AC281" s="101">
        <f t="shared" si="13"/>
        <v>0.2965522319</v>
      </c>
      <c r="AD281" s="98">
        <v>383.7487460691334</v>
      </c>
      <c r="AE281" s="99">
        <v>8.54728458E8</v>
      </c>
      <c r="AF281" s="99">
        <v>1973061.047939696</v>
      </c>
      <c r="AG281" s="100">
        <f t="shared" si="93"/>
        <v>0.003567774058</v>
      </c>
      <c r="AH281" s="101">
        <f t="shared" si="15"/>
        <v>0.408106906</v>
      </c>
      <c r="AI281" s="102">
        <v>70.68780676329364</v>
      </c>
      <c r="AJ281" s="99">
        <v>3.52046352185E11</v>
      </c>
      <c r="AK281" s="99">
        <v>685859.0459431</v>
      </c>
      <c r="AL281" s="100">
        <f t="shared" si="94"/>
        <v>0.002466713364</v>
      </c>
      <c r="AM281" s="100">
        <f t="shared" si="17"/>
        <v>0.09808207285</v>
      </c>
      <c r="AN281" s="104">
        <f t="shared" si="18"/>
        <v>0.8027412108</v>
      </c>
      <c r="AO281" s="97">
        <f t="shared" si="19"/>
        <v>13846.48314</v>
      </c>
    </row>
    <row r="282" ht="15.75" customHeight="1">
      <c r="A282" s="95">
        <v>70802.0</v>
      </c>
      <c r="B282" s="60" t="s">
        <v>224</v>
      </c>
      <c r="C282" s="60" t="s">
        <v>269</v>
      </c>
      <c r="D282" s="96">
        <v>1.0</v>
      </c>
      <c r="E282" s="97">
        <v>2191.0</v>
      </c>
      <c r="F282" s="98">
        <v>0.999727092353423</v>
      </c>
      <c r="G282" s="99">
        <v>5.02722601E8</v>
      </c>
      <c r="H282" s="99">
        <f t="shared" si="1"/>
        <v>1136801.59</v>
      </c>
      <c r="I282" s="100">
        <f t="shared" si="89"/>
        <v>0.000002377098924</v>
      </c>
      <c r="J282" s="101">
        <f t="shared" si="3"/>
        <v>0.001233359123</v>
      </c>
      <c r="K282" s="102">
        <v>5.16311763794744E-5</v>
      </c>
      <c r="L282" s="103">
        <v>6.96325692E8</v>
      </c>
      <c r="M282" s="99">
        <f t="shared" si="4"/>
        <v>1887374.573</v>
      </c>
      <c r="N282" s="100">
        <f t="shared" si="90"/>
        <v>0.0000000006534527223</v>
      </c>
      <c r="O282" s="101">
        <f t="shared" si="6"/>
        <v>0.000000562898244</v>
      </c>
      <c r="P282" s="98">
        <v>1.32765882118648E-4</v>
      </c>
      <c r="Q282" s="99">
        <v>2.75172858841E11</v>
      </c>
      <c r="R282" s="99">
        <f t="shared" si="7"/>
        <v>536093.5946</v>
      </c>
      <c r="S282" s="100">
        <f t="shared" si="91"/>
        <v>0.000000006569131978</v>
      </c>
      <c r="T282" s="101">
        <f t="shared" si="9"/>
        <v>0.000001607334357</v>
      </c>
      <c r="U282" s="100">
        <f t="shared" si="10"/>
        <v>0.001235529355</v>
      </c>
      <c r="V282" s="99">
        <f t="shared" si="11"/>
        <v>2.707044818</v>
      </c>
      <c r="W282" s="96">
        <v>17.0</v>
      </c>
      <c r="X282" s="97">
        <v>2359.0</v>
      </c>
      <c r="Y282" s="98">
        <v>12.59627289734943</v>
      </c>
      <c r="Z282" s="103">
        <v>7.8233493E8</v>
      </c>
      <c r="AA282" s="99">
        <v>1771534.1337791323</v>
      </c>
      <c r="AB282" s="100">
        <f t="shared" si="92"/>
        <v>0.00001571523777</v>
      </c>
      <c r="AC282" s="101">
        <f t="shared" si="13"/>
        <v>0.01180164482</v>
      </c>
      <c r="AD282" s="98">
        <v>3.578189951992123</v>
      </c>
      <c r="AE282" s="99">
        <v>8.54728458E8</v>
      </c>
      <c r="AF282" s="99">
        <v>1973061.047939696</v>
      </c>
      <c r="AG282" s="100">
        <f t="shared" si="93"/>
        <v>0.00003326700977</v>
      </c>
      <c r="AH282" s="101">
        <f t="shared" si="15"/>
        <v>0.02782443457</v>
      </c>
      <c r="AI282" s="102">
        <v>0.8244652609514108</v>
      </c>
      <c r="AJ282" s="99">
        <v>3.52046352185E11</v>
      </c>
      <c r="AK282" s="99">
        <v>685859.0459431</v>
      </c>
      <c r="AL282" s="100">
        <f t="shared" si="94"/>
        <v>0.00002877044247</v>
      </c>
      <c r="AM282" s="100">
        <f t="shared" si="17"/>
        <v>0.008364759738</v>
      </c>
      <c r="AN282" s="104">
        <f t="shared" si="18"/>
        <v>0.04799083913</v>
      </c>
      <c r="AO282" s="97">
        <f t="shared" si="19"/>
        <v>113.2103895</v>
      </c>
    </row>
    <row r="283" ht="15.75" customHeight="1">
      <c r="A283" s="95">
        <v>70803.0</v>
      </c>
      <c r="B283" s="60" t="s">
        <v>224</v>
      </c>
      <c r="C283" s="60" t="s">
        <v>246</v>
      </c>
      <c r="D283" s="96">
        <v>25.0</v>
      </c>
      <c r="E283" s="97">
        <v>2773.5</v>
      </c>
      <c r="F283" s="98">
        <v>17.02640956658958</v>
      </c>
      <c r="G283" s="99">
        <v>5.02722601E8</v>
      </c>
      <c r="H283" s="99">
        <f t="shared" si="1"/>
        <v>1136801.59</v>
      </c>
      <c r="I283" s="100">
        <f t="shared" si="89"/>
        <v>0.0000404845084</v>
      </c>
      <c r="J283" s="101">
        <f t="shared" si="3"/>
        <v>0.0165937817</v>
      </c>
      <c r="K283" s="102">
        <v>7.099918421442977</v>
      </c>
      <c r="L283" s="103">
        <v>6.96325692E8</v>
      </c>
      <c r="M283" s="99">
        <f t="shared" si="4"/>
        <v>1887374.573</v>
      </c>
      <c r="N283" s="100">
        <f t="shared" si="90"/>
        <v>0.00008985774383</v>
      </c>
      <c r="O283" s="101">
        <f t="shared" si="6"/>
        <v>0.06114844813</v>
      </c>
      <c r="P283" s="98">
        <v>0.8722360023867042</v>
      </c>
      <c r="Q283" s="99">
        <v>2.75172858841E11</v>
      </c>
      <c r="R283" s="99">
        <f t="shared" si="7"/>
        <v>536093.5946</v>
      </c>
      <c r="S283" s="100">
        <f t="shared" si="91"/>
        <v>0.00004315742361</v>
      </c>
      <c r="T283" s="101">
        <f t="shared" si="9"/>
        <v>0.008341957223</v>
      </c>
      <c r="U283" s="100">
        <f t="shared" si="10"/>
        <v>0.08608418705</v>
      </c>
      <c r="V283" s="99">
        <f t="shared" si="11"/>
        <v>238.7544928</v>
      </c>
      <c r="W283" s="96">
        <v>127.0</v>
      </c>
      <c r="X283" s="97">
        <v>2793.0</v>
      </c>
      <c r="Y283" s="98">
        <v>61.87272036334603</v>
      </c>
      <c r="Z283" s="103">
        <v>7.8233493E8</v>
      </c>
      <c r="AA283" s="99">
        <v>1771534.1337791323</v>
      </c>
      <c r="AB283" s="100">
        <f t="shared" si="92"/>
        <v>0.00007719303318</v>
      </c>
      <c r="AC283" s="101">
        <f t="shared" si="13"/>
        <v>0.0489617233</v>
      </c>
      <c r="AD283" s="98">
        <v>61.7492090671005</v>
      </c>
      <c r="AE283" s="99">
        <v>8.54728458E8</v>
      </c>
      <c r="AF283" s="99">
        <v>1973061.047939696</v>
      </c>
      <c r="AG283" s="100">
        <f t="shared" si="93"/>
        <v>0.0005740923676</v>
      </c>
      <c r="AH283" s="101">
        <f t="shared" si="15"/>
        <v>0.4055564943</v>
      </c>
      <c r="AI283" s="102">
        <v>3.370359723096926</v>
      </c>
      <c r="AJ283" s="99">
        <v>3.52046352185E11</v>
      </c>
      <c r="AK283" s="99">
        <v>685859.0459431</v>
      </c>
      <c r="AL283" s="100">
        <f t="shared" si="94"/>
        <v>0.0001176116752</v>
      </c>
      <c r="AM283" s="100">
        <f t="shared" si="17"/>
        <v>0.02888114263</v>
      </c>
      <c r="AN283" s="104">
        <f t="shared" si="18"/>
        <v>0.4833993602</v>
      </c>
      <c r="AO283" s="97">
        <f t="shared" si="19"/>
        <v>1350.134413</v>
      </c>
    </row>
    <row r="284" ht="15.75" customHeight="1">
      <c r="A284" s="95">
        <v>70804.0</v>
      </c>
      <c r="B284" s="60" t="s">
        <v>224</v>
      </c>
      <c r="C284" s="60" t="s">
        <v>827</v>
      </c>
      <c r="D284" s="108"/>
      <c r="E284" s="109">
        <v>2244.0</v>
      </c>
      <c r="F284" s="110"/>
      <c r="G284" s="99">
        <v>5.02722601E8</v>
      </c>
      <c r="H284" s="99">
        <f t="shared" si="1"/>
        <v>1136801.59</v>
      </c>
      <c r="I284" s="100">
        <f t="shared" si="89"/>
        <v>0</v>
      </c>
      <c r="J284" s="101">
        <f t="shared" si="3"/>
        <v>0</v>
      </c>
      <c r="K284" s="111"/>
      <c r="L284" s="103">
        <v>6.96325692E8</v>
      </c>
      <c r="M284" s="99">
        <f t="shared" si="4"/>
        <v>1887374.573</v>
      </c>
      <c r="N284" s="100">
        <f t="shared" si="90"/>
        <v>0</v>
      </c>
      <c r="O284" s="101">
        <f t="shared" si="6"/>
        <v>0</v>
      </c>
      <c r="P284" s="110"/>
      <c r="Q284" s="99">
        <v>2.75172858841E11</v>
      </c>
      <c r="R284" s="99">
        <f t="shared" si="7"/>
        <v>536093.5946</v>
      </c>
      <c r="S284" s="100">
        <f t="shared" si="91"/>
        <v>0</v>
      </c>
      <c r="T284" s="101">
        <f t="shared" si="9"/>
        <v>0</v>
      </c>
      <c r="U284" s="100">
        <f t="shared" si="10"/>
        <v>0</v>
      </c>
      <c r="V284" s="99">
        <f t="shared" si="11"/>
        <v>0</v>
      </c>
      <c r="W284" s="108"/>
      <c r="X284" s="97">
        <v>1806.0</v>
      </c>
      <c r="Y284" s="110"/>
      <c r="Z284" s="103">
        <v>7.8233493E8</v>
      </c>
      <c r="AA284" s="99">
        <v>1771534.1337791323</v>
      </c>
      <c r="AB284" s="100">
        <f t="shared" si="92"/>
        <v>0</v>
      </c>
      <c r="AC284" s="101">
        <f t="shared" si="13"/>
        <v>0</v>
      </c>
      <c r="AD284" s="110"/>
      <c r="AE284" s="99">
        <v>8.54728458E8</v>
      </c>
      <c r="AF284" s="99">
        <v>1973061.047939696</v>
      </c>
      <c r="AG284" s="100">
        <f t="shared" si="93"/>
        <v>0</v>
      </c>
      <c r="AH284" s="101">
        <f t="shared" si="15"/>
        <v>0</v>
      </c>
      <c r="AI284" s="111"/>
      <c r="AJ284" s="99">
        <v>3.52046352185E11</v>
      </c>
      <c r="AK284" s="99">
        <v>685859.0459431</v>
      </c>
      <c r="AL284" s="100">
        <f t="shared" si="94"/>
        <v>0</v>
      </c>
      <c r="AM284" s="100">
        <f t="shared" si="17"/>
        <v>0</v>
      </c>
      <c r="AN284" s="104">
        <f t="shared" si="18"/>
        <v>0</v>
      </c>
      <c r="AO284" s="97">
        <f t="shared" si="19"/>
        <v>0</v>
      </c>
    </row>
    <row r="285" ht="15.75" customHeight="1">
      <c r="A285" s="95">
        <v>70805.0</v>
      </c>
      <c r="B285" s="60" t="s">
        <v>224</v>
      </c>
      <c r="C285" s="60" t="s">
        <v>828</v>
      </c>
      <c r="D285" s="108"/>
      <c r="E285" s="109">
        <v>2060.75</v>
      </c>
      <c r="F285" s="110"/>
      <c r="G285" s="99">
        <v>5.02722601E8</v>
      </c>
      <c r="H285" s="99">
        <f t="shared" si="1"/>
        <v>1136801.59</v>
      </c>
      <c r="I285" s="100">
        <f t="shared" si="89"/>
        <v>0</v>
      </c>
      <c r="J285" s="101">
        <f t="shared" si="3"/>
        <v>0</v>
      </c>
      <c r="K285" s="111"/>
      <c r="L285" s="103">
        <v>6.96325692E8</v>
      </c>
      <c r="M285" s="99">
        <f t="shared" si="4"/>
        <v>1887374.573</v>
      </c>
      <c r="N285" s="100">
        <f t="shared" si="90"/>
        <v>0</v>
      </c>
      <c r="O285" s="101">
        <f t="shared" si="6"/>
        <v>0</v>
      </c>
      <c r="P285" s="110"/>
      <c r="Q285" s="99">
        <v>2.75172858841E11</v>
      </c>
      <c r="R285" s="99">
        <f t="shared" si="7"/>
        <v>536093.5946</v>
      </c>
      <c r="S285" s="100">
        <f t="shared" si="91"/>
        <v>0</v>
      </c>
      <c r="T285" s="101">
        <f t="shared" si="9"/>
        <v>0</v>
      </c>
      <c r="U285" s="100">
        <f t="shared" si="10"/>
        <v>0</v>
      </c>
      <c r="V285" s="99">
        <f t="shared" si="11"/>
        <v>0</v>
      </c>
      <c r="W285" s="108"/>
      <c r="X285" s="97">
        <v>2015.0</v>
      </c>
      <c r="Y285" s="110"/>
      <c r="Z285" s="103">
        <v>7.8233493E8</v>
      </c>
      <c r="AA285" s="99">
        <v>1771534.1337791323</v>
      </c>
      <c r="AB285" s="100">
        <f t="shared" si="92"/>
        <v>0</v>
      </c>
      <c r="AC285" s="101">
        <f t="shared" si="13"/>
        <v>0</v>
      </c>
      <c r="AD285" s="110"/>
      <c r="AE285" s="99">
        <v>8.54728458E8</v>
      </c>
      <c r="AF285" s="99">
        <v>1973061.047939696</v>
      </c>
      <c r="AG285" s="100">
        <f t="shared" si="93"/>
        <v>0</v>
      </c>
      <c r="AH285" s="101">
        <f t="shared" si="15"/>
        <v>0</v>
      </c>
      <c r="AI285" s="111"/>
      <c r="AJ285" s="99">
        <v>3.52046352185E11</v>
      </c>
      <c r="AK285" s="99">
        <v>685859.0459431</v>
      </c>
      <c r="AL285" s="100">
        <f t="shared" si="94"/>
        <v>0</v>
      </c>
      <c r="AM285" s="100">
        <f t="shared" si="17"/>
        <v>0</v>
      </c>
      <c r="AN285" s="104">
        <f t="shared" si="18"/>
        <v>0</v>
      </c>
      <c r="AO285" s="97">
        <f t="shared" si="19"/>
        <v>0</v>
      </c>
    </row>
    <row r="286" ht="15.75" customHeight="1">
      <c r="A286" s="95">
        <v>70901.0</v>
      </c>
      <c r="B286" s="60" t="s">
        <v>224</v>
      </c>
      <c r="C286" s="60" t="s">
        <v>256</v>
      </c>
      <c r="D286" s="96">
        <v>49.0</v>
      </c>
      <c r="E286" s="97">
        <v>10814.75</v>
      </c>
      <c r="F286" s="98">
        <v>28.67179714580048</v>
      </c>
      <c r="G286" s="99">
        <v>5.02722601E8</v>
      </c>
      <c r="H286" s="99">
        <f t="shared" si="1"/>
        <v>1136801.59</v>
      </c>
      <c r="I286" s="100">
        <f t="shared" si="89"/>
        <v>0.00006817430345</v>
      </c>
      <c r="J286" s="101">
        <f t="shared" si="3"/>
        <v>0.00716619955</v>
      </c>
      <c r="K286" s="102">
        <v>18.23482844739842</v>
      </c>
      <c r="L286" s="103">
        <v>6.96325692E8</v>
      </c>
      <c r="M286" s="99">
        <f t="shared" si="4"/>
        <v>1887374.573</v>
      </c>
      <c r="N286" s="100">
        <f t="shared" si="90"/>
        <v>0.0002307830099</v>
      </c>
      <c r="O286" s="101">
        <f t="shared" si="6"/>
        <v>0.04027591805</v>
      </c>
      <c r="P286" s="98">
        <v>2.091224942282739</v>
      </c>
      <c r="Q286" s="99">
        <v>2.75172858841E11</v>
      </c>
      <c r="R286" s="99">
        <f t="shared" si="7"/>
        <v>536093.5946</v>
      </c>
      <c r="S286" s="100">
        <f t="shared" si="91"/>
        <v>0.0001034718591</v>
      </c>
      <c r="T286" s="101">
        <f t="shared" si="9"/>
        <v>0.005129161641</v>
      </c>
      <c r="U286" s="100">
        <f t="shared" si="10"/>
        <v>0.05257127924</v>
      </c>
      <c r="V286" s="99">
        <f t="shared" si="11"/>
        <v>568.5452422</v>
      </c>
      <c r="W286" s="96">
        <v>54.0</v>
      </c>
      <c r="X286" s="97">
        <v>11843.0</v>
      </c>
      <c r="Y286" s="98">
        <v>37.86017469536264</v>
      </c>
      <c r="Z286" s="103">
        <v>7.8233493E8</v>
      </c>
      <c r="AA286" s="99">
        <v>1771534.1337791323</v>
      </c>
      <c r="AB286" s="100">
        <f t="shared" si="92"/>
        <v>0.00004723473777</v>
      </c>
      <c r="AC286" s="101">
        <f t="shared" si="13"/>
        <v>0.007065604176</v>
      </c>
      <c r="AD286" s="98">
        <v>14.22902068323215</v>
      </c>
      <c r="AE286" s="99">
        <v>8.54728458E8</v>
      </c>
      <c r="AF286" s="99">
        <v>1973061.047939696</v>
      </c>
      <c r="AG286" s="100">
        <f t="shared" si="93"/>
        <v>0.0001322895029</v>
      </c>
      <c r="AH286" s="101">
        <f t="shared" si="15"/>
        <v>0.02203962385</v>
      </c>
      <c r="AI286" s="102">
        <v>1.908097575521499</v>
      </c>
      <c r="AJ286" s="99">
        <v>3.52046352185E11</v>
      </c>
      <c r="AK286" s="99">
        <v>685859.0459431</v>
      </c>
      <c r="AL286" s="100">
        <f t="shared" si="94"/>
        <v>0.00006658474785</v>
      </c>
      <c r="AM286" s="100">
        <f t="shared" si="17"/>
        <v>0.003856096567</v>
      </c>
      <c r="AN286" s="104">
        <f t="shared" si="18"/>
        <v>0.03296132459</v>
      </c>
      <c r="AO286" s="97">
        <f t="shared" si="19"/>
        <v>390.3609672</v>
      </c>
    </row>
    <row r="287" ht="15.75" customHeight="1">
      <c r="A287" s="95">
        <v>70902.0</v>
      </c>
      <c r="B287" s="60" t="s">
        <v>224</v>
      </c>
      <c r="C287" s="60" t="s">
        <v>829</v>
      </c>
      <c r="D287" s="108">
        <v>6.0</v>
      </c>
      <c r="E287" s="109">
        <v>9321.5</v>
      </c>
      <c r="F287" s="110">
        <v>3.4676670588548473</v>
      </c>
      <c r="G287" s="99">
        <v>5.02722601E8</v>
      </c>
      <c r="H287" s="99">
        <f t="shared" si="1"/>
        <v>1136801.59</v>
      </c>
      <c r="I287" s="100">
        <f t="shared" si="89"/>
        <v>0.000008245237824</v>
      </c>
      <c r="J287" s="101">
        <f t="shared" si="3"/>
        <v>0.001005546261</v>
      </c>
      <c r="K287" s="111">
        <v>2.2957545902663417</v>
      </c>
      <c r="L287" s="103">
        <v>6.96325692E8</v>
      </c>
      <c r="M287" s="99">
        <f t="shared" si="4"/>
        <v>1887374.573</v>
      </c>
      <c r="N287" s="100">
        <f t="shared" si="90"/>
        <v>0.00002905545045</v>
      </c>
      <c r="O287" s="101">
        <f t="shared" si="6"/>
        <v>0.005883014362</v>
      </c>
      <c r="P287" s="110">
        <v>0.23633567278864723</v>
      </c>
      <c r="Q287" s="99">
        <v>2.75172858841E11</v>
      </c>
      <c r="R287" s="99">
        <f t="shared" si="7"/>
        <v>536093.5946</v>
      </c>
      <c r="S287" s="100">
        <f t="shared" si="91"/>
        <v>0.00001169366859</v>
      </c>
      <c r="T287" s="101">
        <f t="shared" si="9"/>
        <v>0.000672520606</v>
      </c>
      <c r="U287" s="100">
        <f t="shared" si="10"/>
        <v>0.007561081229</v>
      </c>
      <c r="V287" s="99">
        <f t="shared" si="11"/>
        <v>70.48061868</v>
      </c>
      <c r="W287" s="108">
        <v>141.0</v>
      </c>
      <c r="X287" s="97">
        <v>9692.0</v>
      </c>
      <c r="Y287" s="110">
        <v>106.3845381373437</v>
      </c>
      <c r="Z287" s="103">
        <v>7.8233493E8</v>
      </c>
      <c r="AA287" s="99">
        <v>1771534.1337791323</v>
      </c>
      <c r="AB287" s="100">
        <f t="shared" si="92"/>
        <v>0.0001327264283</v>
      </c>
      <c r="AC287" s="101">
        <f t="shared" si="13"/>
        <v>0.02426015251</v>
      </c>
      <c r="AD287" s="110">
        <v>31.76084243690276</v>
      </c>
      <c r="AE287" s="99">
        <v>8.54728458E8</v>
      </c>
      <c r="AF287" s="99">
        <v>1973061.047939696</v>
      </c>
      <c r="AG287" s="100">
        <f t="shared" si="93"/>
        <v>0.0002952856807</v>
      </c>
      <c r="AH287" s="101">
        <f t="shared" si="15"/>
        <v>0.06011315256</v>
      </c>
      <c r="AI287" s="111">
        <v>2.8454131274616863</v>
      </c>
      <c r="AJ287" s="99">
        <v>3.52046352185E11</v>
      </c>
      <c r="AK287" s="99">
        <v>685859.0459431</v>
      </c>
      <c r="AL287" s="100">
        <f t="shared" si="94"/>
        <v>0.00009929320076</v>
      </c>
      <c r="AM287" s="100">
        <f t="shared" si="17"/>
        <v>0.007026531154</v>
      </c>
      <c r="AN287" s="104">
        <f t="shared" si="18"/>
        <v>0.09139983623</v>
      </c>
      <c r="AO287" s="97">
        <f t="shared" si="19"/>
        <v>885.8472127</v>
      </c>
    </row>
    <row r="288" ht="15.75" customHeight="1">
      <c r="A288" s="95">
        <v>70903.0</v>
      </c>
      <c r="B288" s="60" t="s">
        <v>224</v>
      </c>
      <c r="C288" s="60" t="s">
        <v>243</v>
      </c>
      <c r="D288" s="96">
        <v>85.0</v>
      </c>
      <c r="E288" s="97">
        <v>10816.5</v>
      </c>
      <c r="F288" s="98">
        <v>57.37847321168129</v>
      </c>
      <c r="G288" s="99">
        <v>5.02722601E8</v>
      </c>
      <c r="H288" s="99">
        <f t="shared" si="1"/>
        <v>1136801.59</v>
      </c>
      <c r="I288" s="100">
        <f t="shared" si="89"/>
        <v>0.0001364315402</v>
      </c>
      <c r="J288" s="101">
        <f t="shared" si="3"/>
        <v>0.01433879645</v>
      </c>
      <c r="K288" s="102">
        <v>24.49087583111437</v>
      </c>
      <c r="L288" s="103">
        <v>6.96325692E8</v>
      </c>
      <c r="M288" s="99">
        <f t="shared" si="4"/>
        <v>1887374.573</v>
      </c>
      <c r="N288" s="100">
        <f t="shared" si="90"/>
        <v>0.0003099605821</v>
      </c>
      <c r="O288" s="101">
        <f t="shared" si="6"/>
        <v>0.05408512192</v>
      </c>
      <c r="P288" s="98">
        <v>3.125875963872703</v>
      </c>
      <c r="Q288" s="99">
        <v>2.75172858841E11</v>
      </c>
      <c r="R288" s="99">
        <f t="shared" si="7"/>
        <v>536093.5946</v>
      </c>
      <c r="S288" s="100">
        <f t="shared" si="91"/>
        <v>0.0001546654263</v>
      </c>
      <c r="T288" s="101">
        <f t="shared" si="9"/>
        <v>0.00766561682</v>
      </c>
      <c r="U288" s="100">
        <f t="shared" si="10"/>
        <v>0.07608953519</v>
      </c>
      <c r="V288" s="99">
        <f t="shared" si="11"/>
        <v>823.0224574</v>
      </c>
      <c r="W288" s="96">
        <v>692.0</v>
      </c>
      <c r="X288" s="97">
        <v>12735.0</v>
      </c>
      <c r="Y288" s="98">
        <v>596.8118707363541</v>
      </c>
      <c r="Z288" s="103">
        <v>7.8233493E8</v>
      </c>
      <c r="AA288" s="99">
        <v>1771534.1337791323</v>
      </c>
      <c r="AB288" s="100">
        <f t="shared" si="92"/>
        <v>0.0007445885403</v>
      </c>
      <c r="AC288" s="101">
        <f t="shared" si="13"/>
        <v>0.1035778575</v>
      </c>
      <c r="AD288" s="98">
        <v>85.47423879638336</v>
      </c>
      <c r="AE288" s="99">
        <v>8.54728458E8</v>
      </c>
      <c r="AF288" s="99">
        <v>1973061.047939696</v>
      </c>
      <c r="AG288" s="100">
        <f t="shared" si="93"/>
        <v>0.0007946678</v>
      </c>
      <c r="AH288" s="101">
        <f t="shared" si="15"/>
        <v>0.1231195981</v>
      </c>
      <c r="AI288" s="102">
        <v>9.661138999979519</v>
      </c>
      <c r="AJ288" s="99">
        <v>3.52046352185E11</v>
      </c>
      <c r="AK288" s="99">
        <v>685859.0459431</v>
      </c>
      <c r="AL288" s="100">
        <f t="shared" si="94"/>
        <v>0.0003371339666</v>
      </c>
      <c r="AM288" s="100">
        <f t="shared" si="17"/>
        <v>0.01815676331</v>
      </c>
      <c r="AN288" s="104">
        <f t="shared" si="18"/>
        <v>0.2448542189</v>
      </c>
      <c r="AO288" s="97">
        <f t="shared" si="19"/>
        <v>3118.218478</v>
      </c>
    </row>
    <row r="289" ht="15.75" customHeight="1">
      <c r="A289" s="95">
        <v>70904.0</v>
      </c>
      <c r="B289" s="60" t="s">
        <v>224</v>
      </c>
      <c r="C289" s="60" t="s">
        <v>830</v>
      </c>
      <c r="D289" s="108"/>
      <c r="E289" s="109">
        <v>3017.75</v>
      </c>
      <c r="F289" s="110"/>
      <c r="G289" s="99">
        <v>5.02722601E8</v>
      </c>
      <c r="H289" s="99">
        <f t="shared" si="1"/>
        <v>1136801.59</v>
      </c>
      <c r="I289" s="100">
        <f t="shared" si="89"/>
        <v>0</v>
      </c>
      <c r="J289" s="101">
        <f t="shared" si="3"/>
        <v>0</v>
      </c>
      <c r="K289" s="111"/>
      <c r="L289" s="103">
        <v>6.96325692E8</v>
      </c>
      <c r="M289" s="99">
        <f t="shared" si="4"/>
        <v>1887374.573</v>
      </c>
      <c r="N289" s="100">
        <f t="shared" si="90"/>
        <v>0</v>
      </c>
      <c r="O289" s="101">
        <f t="shared" si="6"/>
        <v>0</v>
      </c>
      <c r="P289" s="110"/>
      <c r="Q289" s="99">
        <v>2.75172858841E11</v>
      </c>
      <c r="R289" s="99">
        <f t="shared" si="7"/>
        <v>536093.5946</v>
      </c>
      <c r="S289" s="100">
        <f t="shared" si="91"/>
        <v>0</v>
      </c>
      <c r="T289" s="101">
        <f t="shared" si="9"/>
        <v>0</v>
      </c>
      <c r="U289" s="100">
        <f t="shared" si="10"/>
        <v>0</v>
      </c>
      <c r="V289" s="99">
        <f t="shared" si="11"/>
        <v>0</v>
      </c>
      <c r="W289" s="108"/>
      <c r="X289" s="97">
        <v>3086.0</v>
      </c>
      <c r="Y289" s="110"/>
      <c r="Z289" s="103">
        <v>7.8233493E8</v>
      </c>
      <c r="AA289" s="99">
        <v>1771534.1337791323</v>
      </c>
      <c r="AB289" s="100">
        <f t="shared" si="92"/>
        <v>0</v>
      </c>
      <c r="AC289" s="101">
        <f t="shared" si="13"/>
        <v>0</v>
      </c>
      <c r="AD289" s="110"/>
      <c r="AE289" s="99">
        <v>8.54728458E8</v>
      </c>
      <c r="AF289" s="99">
        <v>1973061.047939696</v>
      </c>
      <c r="AG289" s="100">
        <f t="shared" si="93"/>
        <v>0</v>
      </c>
      <c r="AH289" s="101">
        <f t="shared" si="15"/>
        <v>0</v>
      </c>
      <c r="AI289" s="111"/>
      <c r="AJ289" s="99">
        <v>3.52046352185E11</v>
      </c>
      <c r="AK289" s="99">
        <v>685859.0459431</v>
      </c>
      <c r="AL289" s="100">
        <f t="shared" si="94"/>
        <v>0</v>
      </c>
      <c r="AM289" s="100">
        <f t="shared" si="17"/>
        <v>0</v>
      </c>
      <c r="AN289" s="104">
        <f t="shared" si="18"/>
        <v>0</v>
      </c>
      <c r="AO289" s="97">
        <f t="shared" si="19"/>
        <v>0</v>
      </c>
    </row>
    <row r="290" ht="15.75" customHeight="1">
      <c r="A290" s="95">
        <v>71001.0</v>
      </c>
      <c r="B290" s="60" t="s">
        <v>224</v>
      </c>
      <c r="C290" s="60" t="s">
        <v>245</v>
      </c>
      <c r="D290" s="96">
        <v>80442.0</v>
      </c>
      <c r="E290" s="97">
        <v>113860.0</v>
      </c>
      <c r="F290" s="98">
        <v>72642.32351853621</v>
      </c>
      <c r="G290" s="99">
        <v>5.02722601E8</v>
      </c>
      <c r="H290" s="99">
        <f t="shared" si="1"/>
        <v>1136801.59</v>
      </c>
      <c r="I290" s="100">
        <f t="shared" si="89"/>
        <v>0.1727251271</v>
      </c>
      <c r="J290" s="101">
        <f t="shared" si="3"/>
        <v>1.724523092</v>
      </c>
      <c r="K290" s="102">
        <v>6483.560009838904</v>
      </c>
      <c r="L290" s="103">
        <v>6.96325692E8</v>
      </c>
      <c r="M290" s="99">
        <f t="shared" si="4"/>
        <v>1887374.573</v>
      </c>
      <c r="N290" s="100">
        <f t="shared" si="90"/>
        <v>0.08205700966</v>
      </c>
      <c r="O290" s="101">
        <f t="shared" si="6"/>
        <v>1.360199487</v>
      </c>
      <c r="P290" s="98">
        <v>1310.442313205413</v>
      </c>
      <c r="Q290" s="99">
        <v>2.75172858841E11</v>
      </c>
      <c r="R290" s="99">
        <f t="shared" si="7"/>
        <v>536093.5946</v>
      </c>
      <c r="S290" s="100">
        <f t="shared" si="91"/>
        <v>0.06483946303</v>
      </c>
      <c r="T290" s="101">
        <f t="shared" si="9"/>
        <v>0.3052873775</v>
      </c>
      <c r="U290" s="100">
        <f t="shared" si="10"/>
        <v>3.390009956</v>
      </c>
      <c r="V290" s="99">
        <f t="shared" si="11"/>
        <v>385986.5336</v>
      </c>
      <c r="W290" s="96">
        <v>131837.0</v>
      </c>
      <c r="X290" s="97">
        <v>126886.0</v>
      </c>
      <c r="Y290" s="98">
        <v>124150.7652365281</v>
      </c>
      <c r="Z290" s="103">
        <v>7.8233493E8</v>
      </c>
      <c r="AA290" s="99">
        <v>1771534.1337791323</v>
      </c>
      <c r="AB290" s="100">
        <f t="shared" si="92"/>
        <v>0.1548917533</v>
      </c>
      <c r="AC290" s="101">
        <f t="shared" si="13"/>
        <v>2.162539824</v>
      </c>
      <c r="AD290" s="98">
        <v>6209.390311198671</v>
      </c>
      <c r="AE290" s="99">
        <v>8.54728458E8</v>
      </c>
      <c r="AF290" s="99">
        <v>1973061.047939696</v>
      </c>
      <c r="AG290" s="100">
        <f t="shared" si="93"/>
        <v>0.05772970438</v>
      </c>
      <c r="AH290" s="101">
        <f t="shared" si="15"/>
        <v>0.8976895089</v>
      </c>
      <c r="AI290" s="102">
        <v>1466.645743664274</v>
      </c>
      <c r="AJ290" s="99">
        <v>3.52046352185E11</v>
      </c>
      <c r="AK290" s="99">
        <v>685859.0459431</v>
      </c>
      <c r="AL290" s="100">
        <f t="shared" si="94"/>
        <v>0.05117989682</v>
      </c>
      <c r="AM290" s="100">
        <f t="shared" si="17"/>
        <v>0.2766435635</v>
      </c>
      <c r="AN290" s="104">
        <f t="shared" si="18"/>
        <v>3.336872896</v>
      </c>
      <c r="AO290" s="97">
        <f t="shared" si="19"/>
        <v>423402.4543</v>
      </c>
    </row>
    <row r="291" ht="15.75" customHeight="1">
      <c r="A291" s="95">
        <v>71002.0</v>
      </c>
      <c r="B291" s="60" t="s">
        <v>224</v>
      </c>
      <c r="C291" s="60" t="s">
        <v>831</v>
      </c>
      <c r="D291" s="116">
        <v>1402.0</v>
      </c>
      <c r="E291" s="109">
        <v>14806.25</v>
      </c>
      <c r="F291" s="110">
        <v>1048.3669157336515</v>
      </c>
      <c r="G291" s="99">
        <v>5.02722601E8</v>
      </c>
      <c r="H291" s="99">
        <f t="shared" si="1"/>
        <v>1136801.59</v>
      </c>
      <c r="I291" s="100">
        <f t="shared" si="89"/>
        <v>0.002492752159</v>
      </c>
      <c r="J291" s="101">
        <f t="shared" si="3"/>
        <v>0.191389759</v>
      </c>
      <c r="K291" s="111">
        <v>328.50284759257266</v>
      </c>
      <c r="L291" s="103">
        <v>6.96325692E8</v>
      </c>
      <c r="M291" s="99">
        <f t="shared" si="4"/>
        <v>1887374.573</v>
      </c>
      <c r="N291" s="100">
        <f t="shared" si="90"/>
        <v>0.004157586464</v>
      </c>
      <c r="O291" s="101">
        <f t="shared" si="6"/>
        <v>0.529973692</v>
      </c>
      <c r="P291" s="110">
        <v>25.03293377778725</v>
      </c>
      <c r="Q291" s="99">
        <v>2.75172858841E11</v>
      </c>
      <c r="R291" s="99">
        <f t="shared" si="7"/>
        <v>536093.5946</v>
      </c>
      <c r="S291" s="100">
        <f t="shared" si="91"/>
        <v>0.001238606208</v>
      </c>
      <c r="T291" s="101">
        <f t="shared" si="9"/>
        <v>0.04484652456</v>
      </c>
      <c r="U291" s="100">
        <f t="shared" si="10"/>
        <v>0.7662099755</v>
      </c>
      <c r="V291" s="99">
        <f t="shared" si="11"/>
        <v>11344.69645</v>
      </c>
      <c r="W291" s="116">
        <v>19621.0</v>
      </c>
      <c r="X291" s="97">
        <v>16598.0</v>
      </c>
      <c r="Y291" s="110">
        <v>18865.984021210505</v>
      </c>
      <c r="Z291" s="103">
        <v>7.8233493E8</v>
      </c>
      <c r="AA291" s="99">
        <v>1771534.1337791323</v>
      </c>
      <c r="AB291" s="100">
        <f t="shared" si="92"/>
        <v>0.02353739292</v>
      </c>
      <c r="AC291" s="101">
        <f t="shared" si="13"/>
        <v>2.512187913</v>
      </c>
      <c r="AD291" s="110">
        <v>672.3526885335219</v>
      </c>
      <c r="AE291" s="99">
        <v>8.54728458E8</v>
      </c>
      <c r="AF291" s="99">
        <v>1973061.047939696</v>
      </c>
      <c r="AG291" s="100">
        <f t="shared" si="93"/>
        <v>0.006250971513</v>
      </c>
      <c r="AH291" s="101">
        <f t="shared" si="15"/>
        <v>0.7430743707</v>
      </c>
      <c r="AI291" s="111">
        <v>81.02086423896131</v>
      </c>
      <c r="AJ291" s="99">
        <v>3.52046352185E11</v>
      </c>
      <c r="AK291" s="99">
        <v>685859.0459431</v>
      </c>
      <c r="AL291" s="100">
        <f t="shared" si="94"/>
        <v>0.002827294519</v>
      </c>
      <c r="AM291" s="100">
        <f t="shared" si="17"/>
        <v>0.1168288662</v>
      </c>
      <c r="AN291" s="104">
        <f t="shared" si="18"/>
        <v>3.37209115</v>
      </c>
      <c r="AO291" s="97">
        <f t="shared" si="19"/>
        <v>55969.96891</v>
      </c>
    </row>
    <row r="292" ht="15.75" customHeight="1">
      <c r="A292" s="95">
        <v>71003.0</v>
      </c>
      <c r="B292" s="60" t="s">
        <v>224</v>
      </c>
      <c r="C292" s="60" t="s">
        <v>244</v>
      </c>
      <c r="D292" s="96">
        <v>2581.0</v>
      </c>
      <c r="E292" s="97">
        <v>23215.75</v>
      </c>
      <c r="F292" s="98">
        <v>2146.301295316511</v>
      </c>
      <c r="G292" s="99">
        <v>5.02722601E8</v>
      </c>
      <c r="H292" s="99">
        <f t="shared" si="1"/>
        <v>1136801.59</v>
      </c>
      <c r="I292" s="100">
        <f t="shared" si="89"/>
        <v>0.005103363248</v>
      </c>
      <c r="J292" s="101">
        <f t="shared" si="3"/>
        <v>0.2498955001</v>
      </c>
      <c r="K292" s="102">
        <v>387.6322466024106</v>
      </c>
      <c r="L292" s="103">
        <v>6.96325692E8</v>
      </c>
      <c r="M292" s="99">
        <f t="shared" si="4"/>
        <v>1887374.573</v>
      </c>
      <c r="N292" s="100">
        <f t="shared" si="90"/>
        <v>0.004905937934</v>
      </c>
      <c r="O292" s="101">
        <f t="shared" si="6"/>
        <v>0.3988388277</v>
      </c>
      <c r="P292" s="98">
        <v>46.88969782855659</v>
      </c>
      <c r="Q292" s="99">
        <v>2.75172858841E11</v>
      </c>
      <c r="R292" s="99">
        <f t="shared" si="7"/>
        <v>536093.5946</v>
      </c>
      <c r="S292" s="100">
        <f t="shared" si="91"/>
        <v>0.002320058501</v>
      </c>
      <c r="T292" s="101">
        <f t="shared" si="9"/>
        <v>0.05357434076</v>
      </c>
      <c r="U292" s="100">
        <f t="shared" si="10"/>
        <v>0.7023086685</v>
      </c>
      <c r="V292" s="99">
        <f t="shared" si="11"/>
        <v>16304.62247</v>
      </c>
      <c r="W292" s="96">
        <v>6020.0</v>
      </c>
      <c r="X292" s="97">
        <v>23110.0</v>
      </c>
      <c r="Y292" s="98">
        <v>5382.182568019264</v>
      </c>
      <c r="Z292" s="103">
        <v>7.8233493E8</v>
      </c>
      <c r="AA292" s="99">
        <v>1771534.1337791323</v>
      </c>
      <c r="AB292" s="100">
        <f t="shared" si="92"/>
        <v>0.006714865535</v>
      </c>
      <c r="AC292" s="101">
        <f t="shared" si="13"/>
        <v>0.5147387927</v>
      </c>
      <c r="AD292" s="98">
        <v>562.5897073143232</v>
      </c>
      <c r="AE292" s="99">
        <v>8.54728458E8</v>
      </c>
      <c r="AF292" s="99">
        <v>1973061.047939696</v>
      </c>
      <c r="AG292" s="100">
        <f t="shared" si="93"/>
        <v>0.005230487353</v>
      </c>
      <c r="AH292" s="101">
        <f t="shared" si="15"/>
        <v>0.4465629969</v>
      </c>
      <c r="AI292" s="102">
        <v>74.78075343997354</v>
      </c>
      <c r="AJ292" s="99">
        <v>3.52046352185E11</v>
      </c>
      <c r="AK292" s="99">
        <v>685859.0459431</v>
      </c>
      <c r="AL292" s="100">
        <f t="shared" si="94"/>
        <v>0.002609540349</v>
      </c>
      <c r="AM292" s="100">
        <f t="shared" si="17"/>
        <v>0.07744599108</v>
      </c>
      <c r="AN292" s="104">
        <f t="shared" si="18"/>
        <v>1.038747781</v>
      </c>
      <c r="AO292" s="97">
        <f t="shared" si="19"/>
        <v>24005.46121</v>
      </c>
    </row>
    <row r="293" ht="15.75" customHeight="1">
      <c r="A293" s="95">
        <v>71004.0</v>
      </c>
      <c r="B293" s="60" t="s">
        <v>224</v>
      </c>
      <c r="C293" s="60" t="s">
        <v>238</v>
      </c>
      <c r="D293" s="96">
        <v>940.0</v>
      </c>
      <c r="E293" s="97">
        <v>14990.25</v>
      </c>
      <c r="F293" s="98">
        <v>784.0871477708365</v>
      </c>
      <c r="G293" s="99">
        <v>5.02722601E8</v>
      </c>
      <c r="H293" s="99">
        <f t="shared" si="1"/>
        <v>1136801.59</v>
      </c>
      <c r="I293" s="100">
        <f t="shared" si="89"/>
        <v>0.001864361514</v>
      </c>
      <c r="J293" s="101">
        <f t="shared" si="3"/>
        <v>0.1413858431</v>
      </c>
      <c r="K293" s="102">
        <v>138.5746110345867</v>
      </c>
      <c r="L293" s="103">
        <v>6.96325692E8</v>
      </c>
      <c r="M293" s="99">
        <f t="shared" si="4"/>
        <v>1887374.573</v>
      </c>
      <c r="N293" s="100">
        <f t="shared" si="90"/>
        <v>0.001753823236</v>
      </c>
      <c r="O293" s="101">
        <f t="shared" si="6"/>
        <v>0.2208182906</v>
      </c>
      <c r="P293" s="98">
        <v>17.27293009455532</v>
      </c>
      <c r="Q293" s="99">
        <v>2.75172858841E11</v>
      </c>
      <c r="R293" s="99">
        <f t="shared" si="7"/>
        <v>536093.5946</v>
      </c>
      <c r="S293" s="100">
        <f t="shared" si="91"/>
        <v>0.0008546484656</v>
      </c>
      <c r="T293" s="101">
        <f t="shared" si="9"/>
        <v>0.03056463822</v>
      </c>
      <c r="U293" s="100">
        <f t="shared" si="10"/>
        <v>0.3927687719</v>
      </c>
      <c r="V293" s="99">
        <f t="shared" si="11"/>
        <v>5887.702083</v>
      </c>
      <c r="W293" s="96">
        <v>5095.0</v>
      </c>
      <c r="X293" s="97">
        <v>14610.0</v>
      </c>
      <c r="Y293" s="98">
        <v>3820.526128247197</v>
      </c>
      <c r="Z293" s="103">
        <v>7.8233493E8</v>
      </c>
      <c r="AA293" s="99">
        <v>1771534.1337791323</v>
      </c>
      <c r="AB293" s="100">
        <f t="shared" si="92"/>
        <v>0.004766527129</v>
      </c>
      <c r="AC293" s="101">
        <f t="shared" si="13"/>
        <v>0.577964785</v>
      </c>
      <c r="AD293" s="98">
        <v>1087.963615918427</v>
      </c>
      <c r="AE293" s="99">
        <v>8.54728458E8</v>
      </c>
      <c r="AF293" s="99">
        <v>1973061.047939696</v>
      </c>
      <c r="AG293" s="100">
        <f t="shared" si="93"/>
        <v>0.01011497342</v>
      </c>
      <c r="AH293" s="101">
        <f t="shared" si="15"/>
        <v>1.366013693</v>
      </c>
      <c r="AI293" s="102">
        <v>186.2844760371001</v>
      </c>
      <c r="AJ293" s="99">
        <v>3.52046352185E11</v>
      </c>
      <c r="AK293" s="99">
        <v>685859.0459431</v>
      </c>
      <c r="AL293" s="100">
        <f t="shared" si="94"/>
        <v>0.006500561096</v>
      </c>
      <c r="AM293" s="100">
        <f t="shared" si="17"/>
        <v>0.3051655463</v>
      </c>
      <c r="AN293" s="104">
        <f t="shared" si="18"/>
        <v>2.249144024</v>
      </c>
      <c r="AO293" s="97">
        <f t="shared" si="19"/>
        <v>32859.99419</v>
      </c>
    </row>
    <row r="294" ht="15.75" customHeight="1">
      <c r="A294" s="95">
        <v>71005.0</v>
      </c>
      <c r="B294" s="60" t="s">
        <v>224</v>
      </c>
      <c r="C294" s="60" t="s">
        <v>265</v>
      </c>
      <c r="D294" s="96">
        <v>666.0</v>
      </c>
      <c r="E294" s="97">
        <v>18138.75</v>
      </c>
      <c r="F294" s="98">
        <v>594.8187866441915</v>
      </c>
      <c r="G294" s="99">
        <v>5.02722601E8</v>
      </c>
      <c r="H294" s="99">
        <f t="shared" si="1"/>
        <v>1136801.59</v>
      </c>
      <c r="I294" s="100">
        <f t="shared" si="89"/>
        <v>0.001414329079</v>
      </c>
      <c r="J294" s="101">
        <f t="shared" si="3"/>
        <v>0.08863960012</v>
      </c>
      <c r="K294" s="102">
        <v>60.07602003762101</v>
      </c>
      <c r="L294" s="103">
        <v>6.96325692E8</v>
      </c>
      <c r="M294" s="99">
        <f t="shared" si="4"/>
        <v>1887374.573</v>
      </c>
      <c r="N294" s="100">
        <f t="shared" si="90"/>
        <v>0.0007603320628</v>
      </c>
      <c r="O294" s="101">
        <f t="shared" si="6"/>
        <v>0.07911412871</v>
      </c>
      <c r="P294" s="98">
        <v>11.05673177359579</v>
      </c>
      <c r="Q294" s="99">
        <v>2.75172858841E11</v>
      </c>
      <c r="R294" s="99">
        <f t="shared" si="7"/>
        <v>536093.5946</v>
      </c>
      <c r="S294" s="100">
        <f t="shared" si="91"/>
        <v>0.0005470767724</v>
      </c>
      <c r="T294" s="101">
        <f t="shared" si="9"/>
        <v>0.01616893961</v>
      </c>
      <c r="U294" s="100">
        <f t="shared" si="10"/>
        <v>0.1839226684</v>
      </c>
      <c r="V294" s="99">
        <f t="shared" si="11"/>
        <v>3336.127302</v>
      </c>
      <c r="W294" s="96">
        <v>1372.0</v>
      </c>
      <c r="X294" s="97">
        <v>15246.0</v>
      </c>
      <c r="Y294" s="98">
        <v>1205.218205555561</v>
      </c>
      <c r="Z294" s="103">
        <v>7.8233493E8</v>
      </c>
      <c r="AA294" s="99">
        <v>1771534.1337791323</v>
      </c>
      <c r="AB294" s="100">
        <f t="shared" si="92"/>
        <v>0.001503642451</v>
      </c>
      <c r="AC294" s="101">
        <f t="shared" si="13"/>
        <v>0.1747182164</v>
      </c>
      <c r="AD294" s="98">
        <v>140.7126509244338</v>
      </c>
      <c r="AE294" s="99">
        <v>8.54728458E8</v>
      </c>
      <c r="AF294" s="99">
        <v>1973061.047939696</v>
      </c>
      <c r="AG294" s="100">
        <f t="shared" si="93"/>
        <v>0.001308228237</v>
      </c>
      <c r="AH294" s="101">
        <f t="shared" si="15"/>
        <v>0.1693043537</v>
      </c>
      <c r="AI294" s="102">
        <v>25.97278209168104</v>
      </c>
      <c r="AJ294" s="99">
        <v>3.52046352185E11</v>
      </c>
      <c r="AK294" s="99">
        <v>685859.0459431</v>
      </c>
      <c r="AL294" s="100">
        <f t="shared" si="94"/>
        <v>0.0009063431393</v>
      </c>
      <c r="AM294" s="100">
        <f t="shared" si="17"/>
        <v>0.04077290049</v>
      </c>
      <c r="AN294" s="104">
        <f t="shared" si="18"/>
        <v>0.3847954706</v>
      </c>
      <c r="AO294" s="97">
        <f t="shared" si="19"/>
        <v>5866.591745</v>
      </c>
    </row>
    <row r="295" ht="15.75" customHeight="1">
      <c r="A295" s="95">
        <v>71101.0</v>
      </c>
      <c r="B295" s="60" t="s">
        <v>224</v>
      </c>
      <c r="C295" s="60" t="s">
        <v>233</v>
      </c>
      <c r="D295" s="96">
        <v>182.0</v>
      </c>
      <c r="E295" s="97">
        <v>21629.5</v>
      </c>
      <c r="F295" s="98">
        <v>165.7969905395302</v>
      </c>
      <c r="G295" s="99">
        <v>5.02722601E8</v>
      </c>
      <c r="H295" s="99">
        <f t="shared" si="1"/>
        <v>1136801.59</v>
      </c>
      <c r="I295" s="100">
        <f t="shared" si="89"/>
        <v>0.0003942234345</v>
      </c>
      <c r="J295" s="101">
        <f t="shared" si="3"/>
        <v>0.02071956482</v>
      </c>
      <c r="K295" s="102">
        <v>14.25757418572947</v>
      </c>
      <c r="L295" s="103">
        <v>6.96325692E8</v>
      </c>
      <c r="M295" s="99">
        <f t="shared" si="4"/>
        <v>1887374.573</v>
      </c>
      <c r="N295" s="100">
        <f t="shared" si="90"/>
        <v>0.000180446221</v>
      </c>
      <c r="O295" s="101">
        <f t="shared" si="6"/>
        <v>0.01574560713</v>
      </c>
      <c r="P295" s="98">
        <v>1.931471373034412</v>
      </c>
      <c r="Q295" s="99">
        <v>2.75172858841E11</v>
      </c>
      <c r="R295" s="99">
        <f t="shared" si="7"/>
        <v>536093.5946</v>
      </c>
      <c r="S295" s="100">
        <f t="shared" si="91"/>
        <v>0.0000955674015</v>
      </c>
      <c r="T295" s="101">
        <f t="shared" si="9"/>
        <v>0.002368666488</v>
      </c>
      <c r="U295" s="100">
        <f t="shared" si="10"/>
        <v>0.03883383844</v>
      </c>
      <c r="V295" s="99">
        <f t="shared" si="11"/>
        <v>839.9565084</v>
      </c>
      <c r="W295" s="96">
        <v>745.0</v>
      </c>
      <c r="X295" s="97">
        <v>30118.0</v>
      </c>
      <c r="Y295" s="98">
        <v>633.7644461120183</v>
      </c>
      <c r="Z295" s="103">
        <v>7.8233493E8</v>
      </c>
      <c r="AA295" s="99">
        <v>1771534.1337791323</v>
      </c>
      <c r="AB295" s="100">
        <f t="shared" si="92"/>
        <v>0.0007906909479</v>
      </c>
      <c r="AC295" s="101">
        <f t="shared" si="13"/>
        <v>0.0465082676</v>
      </c>
      <c r="AD295" s="98">
        <v>90.87550041593688</v>
      </c>
      <c r="AE295" s="99">
        <v>8.54728458E8</v>
      </c>
      <c r="AF295" s="99">
        <v>1973061.047939696</v>
      </c>
      <c r="AG295" s="100">
        <f t="shared" si="93"/>
        <v>0.0008448842015</v>
      </c>
      <c r="AH295" s="101">
        <f t="shared" si="15"/>
        <v>0.05534922996</v>
      </c>
      <c r="AI295" s="102">
        <v>20.30107631064843</v>
      </c>
      <c r="AJ295" s="99">
        <v>3.52046352185E11</v>
      </c>
      <c r="AK295" s="99">
        <v>685859.0459431</v>
      </c>
      <c r="AL295" s="100">
        <f t="shared" si="94"/>
        <v>0.0007084239636</v>
      </c>
      <c r="AM295" s="100">
        <f t="shared" si="17"/>
        <v>0.01613251158</v>
      </c>
      <c r="AN295" s="104">
        <f t="shared" si="18"/>
        <v>0.1179900091</v>
      </c>
      <c r="AO295" s="97">
        <f t="shared" si="19"/>
        <v>3553.623095</v>
      </c>
    </row>
    <row r="296" ht="15.75" customHeight="1">
      <c r="A296" s="95">
        <v>71102.0</v>
      </c>
      <c r="B296" s="60" t="s">
        <v>224</v>
      </c>
      <c r="C296" s="60" t="s">
        <v>832</v>
      </c>
      <c r="D296" s="116">
        <v>101.0</v>
      </c>
      <c r="E296" s="109">
        <v>13937.0</v>
      </c>
      <c r="F296" s="110">
        <v>74.0</v>
      </c>
      <c r="G296" s="99">
        <v>5.02722601E8</v>
      </c>
      <c r="H296" s="99">
        <f t="shared" si="1"/>
        <v>1136801.59</v>
      </c>
      <c r="I296" s="100">
        <f t="shared" si="89"/>
        <v>0.0001759533394</v>
      </c>
      <c r="J296" s="101">
        <f t="shared" si="3"/>
        <v>0.01435201522</v>
      </c>
      <c r="K296" s="111">
        <v>18.0</v>
      </c>
      <c r="L296" s="103">
        <v>6.96325692E8</v>
      </c>
      <c r="M296" s="99">
        <f t="shared" si="4"/>
        <v>1887374.573</v>
      </c>
      <c r="N296" s="100">
        <f t="shared" si="90"/>
        <v>0.0002278109822</v>
      </c>
      <c r="O296" s="101">
        <f t="shared" si="6"/>
        <v>0.03085058873</v>
      </c>
      <c r="P296" s="110">
        <v>9.0</v>
      </c>
      <c r="Q296" s="99">
        <v>2.75172858841E11</v>
      </c>
      <c r="R296" s="99">
        <f t="shared" si="7"/>
        <v>536093.5946</v>
      </c>
      <c r="S296" s="100">
        <f t="shared" si="91"/>
        <v>0.0004453116031</v>
      </c>
      <c r="T296" s="101">
        <f t="shared" si="9"/>
        <v>0.01712913095</v>
      </c>
      <c r="U296" s="100">
        <f t="shared" si="10"/>
        <v>0.0623317349</v>
      </c>
      <c r="V296" s="99">
        <f t="shared" si="11"/>
        <v>868.7173893</v>
      </c>
      <c r="W296" s="108">
        <v>511.0</v>
      </c>
      <c r="X296" s="97">
        <v>14888.0</v>
      </c>
      <c r="Y296" s="110">
        <v>432.765481587389</v>
      </c>
      <c r="Z296" s="103">
        <v>7.8233493E8</v>
      </c>
      <c r="AA296" s="99">
        <v>1771534.1337791323</v>
      </c>
      <c r="AB296" s="100">
        <f t="shared" si="92"/>
        <v>0.0005399226021</v>
      </c>
      <c r="AC296" s="101">
        <f t="shared" si="13"/>
        <v>0.06424578985</v>
      </c>
      <c r="AD296" s="110">
        <v>59.9437134862158</v>
      </c>
      <c r="AE296" s="99">
        <v>8.54728458E8</v>
      </c>
      <c r="AF296" s="99">
        <v>1973061.047939696</v>
      </c>
      <c r="AG296" s="100">
        <f t="shared" si="93"/>
        <v>0.0005573063837</v>
      </c>
      <c r="AH296" s="101">
        <f t="shared" si="15"/>
        <v>0.07385810837</v>
      </c>
      <c r="AI296" s="111">
        <v>18.26487272104007</v>
      </c>
      <c r="AJ296" s="99">
        <v>3.52046352185E11</v>
      </c>
      <c r="AK296" s="99">
        <v>685859.0459431</v>
      </c>
      <c r="AL296" s="100">
        <f t="shared" si="94"/>
        <v>0.0006373688434</v>
      </c>
      <c r="AM296" s="100">
        <f t="shared" si="17"/>
        <v>0.02936225059</v>
      </c>
      <c r="AN296" s="104">
        <f t="shared" si="18"/>
        <v>0.1674661488</v>
      </c>
      <c r="AO296" s="97">
        <f t="shared" si="19"/>
        <v>2493.236023</v>
      </c>
    </row>
    <row r="297" ht="15.75" customHeight="1">
      <c r="A297" s="95">
        <v>71103.0</v>
      </c>
      <c r="B297" s="60" t="s">
        <v>224</v>
      </c>
      <c r="C297" s="60" t="s">
        <v>266</v>
      </c>
      <c r="D297" s="96">
        <v>63.0</v>
      </c>
      <c r="E297" s="97">
        <v>7752.75</v>
      </c>
      <c r="F297" s="98">
        <v>57.92365587762768</v>
      </c>
      <c r="G297" s="99">
        <v>5.02722601E8</v>
      </c>
      <c r="H297" s="99">
        <f t="shared" si="1"/>
        <v>1136801.59</v>
      </c>
      <c r="I297" s="100">
        <f t="shared" si="89"/>
        <v>0.0001377278471</v>
      </c>
      <c r="J297" s="101">
        <f t="shared" si="3"/>
        <v>0.02019531593</v>
      </c>
      <c r="K297" s="102">
        <v>4.610996797056374</v>
      </c>
      <c r="L297" s="103">
        <v>6.96325692E8</v>
      </c>
      <c r="M297" s="99">
        <f t="shared" si="4"/>
        <v>1887374.573</v>
      </c>
      <c r="N297" s="100">
        <f t="shared" si="90"/>
        <v>0.0000583575394</v>
      </c>
      <c r="O297" s="101">
        <f t="shared" si="6"/>
        <v>0.01420689897</v>
      </c>
      <c r="P297" s="98">
        <v>0.4603365570037427</v>
      </c>
      <c r="Q297" s="99">
        <v>2.75172858841E11</v>
      </c>
      <c r="R297" s="99">
        <f t="shared" si="7"/>
        <v>536093.5946</v>
      </c>
      <c r="S297" s="100">
        <f t="shared" si="91"/>
        <v>0.00002277702335</v>
      </c>
      <c r="T297" s="101">
        <f t="shared" si="9"/>
        <v>0.001575004524</v>
      </c>
      <c r="U297" s="100">
        <f t="shared" si="10"/>
        <v>0.03597721943</v>
      </c>
      <c r="V297" s="99">
        <f t="shared" si="11"/>
        <v>278.9223879</v>
      </c>
      <c r="W297" s="96">
        <v>274.0</v>
      </c>
      <c r="X297" s="97">
        <v>8541.0</v>
      </c>
      <c r="Y297" s="98">
        <v>257.9985949764108</v>
      </c>
      <c r="Z297" s="103">
        <v>7.8233493E8</v>
      </c>
      <c r="AA297" s="99">
        <v>1771534.1337791323</v>
      </c>
      <c r="AB297" s="100">
        <f t="shared" si="92"/>
        <v>0.0003218816626</v>
      </c>
      <c r="AC297" s="101">
        <f t="shared" si="13"/>
        <v>0.06676318375</v>
      </c>
      <c r="AD297" s="98">
        <v>12.42416322665613</v>
      </c>
      <c r="AE297" s="99">
        <v>8.54728458E8</v>
      </c>
      <c r="AF297" s="99">
        <v>1973061.047939696</v>
      </c>
      <c r="AG297" s="100">
        <f t="shared" si="93"/>
        <v>0.0001155094517</v>
      </c>
      <c r="AH297" s="101">
        <f t="shared" si="15"/>
        <v>0.02668390116</v>
      </c>
      <c r="AI297" s="102">
        <v>3.556113652223685</v>
      </c>
      <c r="AJ297" s="99">
        <v>3.52046352185E11</v>
      </c>
      <c r="AK297" s="99">
        <v>685859.0459431</v>
      </c>
      <c r="AL297" s="100">
        <f t="shared" si="94"/>
        <v>0.0001240937224</v>
      </c>
      <c r="AM297" s="100">
        <f t="shared" si="17"/>
        <v>0.009964969215</v>
      </c>
      <c r="AN297" s="104">
        <f t="shared" si="18"/>
        <v>0.1034120541</v>
      </c>
      <c r="AO297" s="97">
        <f t="shared" si="19"/>
        <v>883.2423543</v>
      </c>
    </row>
    <row r="298" ht="15.75" customHeight="1">
      <c r="A298" s="95">
        <v>71104.0</v>
      </c>
      <c r="B298" s="60" t="s">
        <v>224</v>
      </c>
      <c r="C298" s="60" t="s">
        <v>262</v>
      </c>
      <c r="D298" s="96">
        <v>3785.0</v>
      </c>
      <c r="E298" s="97">
        <v>46789.25</v>
      </c>
      <c r="F298" s="98">
        <v>3311.765761226658</v>
      </c>
      <c r="G298" s="99">
        <v>5.02722601E8</v>
      </c>
      <c r="H298" s="99">
        <f t="shared" si="1"/>
        <v>1136801.59</v>
      </c>
      <c r="I298" s="100">
        <f t="shared" si="89"/>
        <v>0.007874543852</v>
      </c>
      <c r="J298" s="101">
        <f t="shared" si="3"/>
        <v>0.1913215958</v>
      </c>
      <c r="K298" s="102">
        <v>383.9339160031683</v>
      </c>
      <c r="L298" s="103">
        <v>6.96325692E8</v>
      </c>
      <c r="M298" s="99">
        <f t="shared" si="4"/>
        <v>1887374.573</v>
      </c>
      <c r="N298" s="100">
        <f t="shared" si="90"/>
        <v>0.00485913125</v>
      </c>
      <c r="O298" s="101">
        <f t="shared" si="6"/>
        <v>0.1960065777</v>
      </c>
      <c r="P298" s="98">
        <v>89.04937818085384</v>
      </c>
      <c r="Q298" s="99">
        <v>2.75172858841E11</v>
      </c>
      <c r="R298" s="99">
        <f t="shared" si="7"/>
        <v>536093.5946</v>
      </c>
      <c r="S298" s="100">
        <f t="shared" si="91"/>
        <v>0.00440608015</v>
      </c>
      <c r="T298" s="101">
        <f t="shared" si="9"/>
        <v>0.05048320599</v>
      </c>
      <c r="U298" s="100">
        <f t="shared" si="10"/>
        <v>0.4378113795</v>
      </c>
      <c r="V298" s="99">
        <f t="shared" si="11"/>
        <v>20484.86609</v>
      </c>
      <c r="W298" s="96">
        <v>7192.0</v>
      </c>
      <c r="X298" s="97">
        <v>44909.0</v>
      </c>
      <c r="Y298" s="98">
        <v>6452.826303890179</v>
      </c>
      <c r="Z298" s="103">
        <v>7.8233493E8</v>
      </c>
      <c r="AA298" s="99">
        <v>1771534.1337791323</v>
      </c>
      <c r="AB298" s="100">
        <f t="shared" si="92"/>
        <v>0.008050611514</v>
      </c>
      <c r="AC298" s="101">
        <f t="shared" si="13"/>
        <v>0.3175740519</v>
      </c>
      <c r="AD298" s="98">
        <v>616.4648037820223</v>
      </c>
      <c r="AE298" s="99">
        <v>8.54728458E8</v>
      </c>
      <c r="AF298" s="99">
        <v>1973061.047939696</v>
      </c>
      <c r="AG298" s="100">
        <f t="shared" si="93"/>
        <v>0.005731372824</v>
      </c>
      <c r="AH298" s="101">
        <f t="shared" si="15"/>
        <v>0.2518058401</v>
      </c>
      <c r="AI298" s="102">
        <v>122.1720746422403</v>
      </c>
      <c r="AJ298" s="99">
        <v>3.52046352185E11</v>
      </c>
      <c r="AK298" s="99">
        <v>685859.0459431</v>
      </c>
      <c r="AL298" s="100">
        <f t="shared" si="94"/>
        <v>0.004263302301</v>
      </c>
      <c r="AM298" s="100">
        <f t="shared" si="17"/>
        <v>0.06510998795</v>
      </c>
      <c r="AN298" s="104">
        <f t="shared" si="18"/>
        <v>0.6344898799</v>
      </c>
      <c r="AO298" s="97">
        <f t="shared" si="19"/>
        <v>28494.30601</v>
      </c>
    </row>
    <row r="299" ht="15.75" customHeight="1">
      <c r="A299" s="95">
        <v>71105.0</v>
      </c>
      <c r="B299" s="60" t="s">
        <v>224</v>
      </c>
      <c r="C299" s="60" t="s">
        <v>833</v>
      </c>
      <c r="D299" s="108"/>
      <c r="E299" s="109">
        <v>6451.75</v>
      </c>
      <c r="F299" s="110"/>
      <c r="G299" s="99">
        <v>5.02722601E8</v>
      </c>
      <c r="H299" s="99">
        <f t="shared" si="1"/>
        <v>1136801.59</v>
      </c>
      <c r="I299" s="100">
        <f t="shared" si="89"/>
        <v>0</v>
      </c>
      <c r="J299" s="101">
        <f t="shared" si="3"/>
        <v>0</v>
      </c>
      <c r="K299" s="111"/>
      <c r="L299" s="103">
        <v>6.96325692E8</v>
      </c>
      <c r="M299" s="99">
        <f t="shared" si="4"/>
        <v>1887374.573</v>
      </c>
      <c r="N299" s="100">
        <f t="shared" si="90"/>
        <v>0</v>
      </c>
      <c r="O299" s="101">
        <f t="shared" si="6"/>
        <v>0</v>
      </c>
      <c r="P299" s="110"/>
      <c r="Q299" s="99">
        <v>2.75172858841E11</v>
      </c>
      <c r="R299" s="99">
        <f t="shared" si="7"/>
        <v>536093.5946</v>
      </c>
      <c r="S299" s="100">
        <f t="shared" si="91"/>
        <v>0</v>
      </c>
      <c r="T299" s="101">
        <f t="shared" si="9"/>
        <v>0</v>
      </c>
      <c r="U299" s="100">
        <f t="shared" si="10"/>
        <v>0</v>
      </c>
      <c r="V299" s="99">
        <f t="shared" si="11"/>
        <v>0</v>
      </c>
      <c r="W299" s="108"/>
      <c r="X299" s="97">
        <v>6364.0</v>
      </c>
      <c r="Y299" s="110"/>
      <c r="Z299" s="103">
        <v>7.8233493E8</v>
      </c>
      <c r="AA299" s="99">
        <v>1771534.1337791323</v>
      </c>
      <c r="AB299" s="100">
        <f t="shared" si="92"/>
        <v>0</v>
      </c>
      <c r="AC299" s="101">
        <f t="shared" si="13"/>
        <v>0</v>
      </c>
      <c r="AD299" s="110"/>
      <c r="AE299" s="99">
        <v>8.54728458E8</v>
      </c>
      <c r="AF299" s="99">
        <v>1973061.047939696</v>
      </c>
      <c r="AG299" s="100">
        <f t="shared" si="93"/>
        <v>0</v>
      </c>
      <c r="AH299" s="101">
        <f t="shared" si="15"/>
        <v>0</v>
      </c>
      <c r="AI299" s="111"/>
      <c r="AJ299" s="99">
        <v>3.52046352185E11</v>
      </c>
      <c r="AK299" s="99">
        <v>685859.0459431</v>
      </c>
      <c r="AL299" s="100">
        <f t="shared" si="94"/>
        <v>0</v>
      </c>
      <c r="AM299" s="100">
        <f t="shared" si="17"/>
        <v>0</v>
      </c>
      <c r="AN299" s="104">
        <f t="shared" si="18"/>
        <v>0</v>
      </c>
      <c r="AO299" s="97">
        <f t="shared" si="19"/>
        <v>0</v>
      </c>
    </row>
    <row r="300" ht="15.75" customHeight="1">
      <c r="A300" s="95">
        <v>71106.0</v>
      </c>
      <c r="B300" s="60" t="s">
        <v>224</v>
      </c>
      <c r="C300" s="60" t="s">
        <v>235</v>
      </c>
      <c r="D300" s="96">
        <v>962.0</v>
      </c>
      <c r="E300" s="97">
        <v>23448.25</v>
      </c>
      <c r="F300" s="98">
        <v>798.1233196952579</v>
      </c>
      <c r="G300" s="99">
        <v>5.02722601E8</v>
      </c>
      <c r="H300" s="99">
        <f t="shared" si="1"/>
        <v>1136801.59</v>
      </c>
      <c r="I300" s="100">
        <f t="shared" si="89"/>
        <v>0.001897735991</v>
      </c>
      <c r="J300" s="101">
        <f t="shared" si="3"/>
        <v>0.09200470369</v>
      </c>
      <c r="K300" s="102">
        <v>126.330500331182</v>
      </c>
      <c r="L300" s="103">
        <v>6.96325692E8</v>
      </c>
      <c r="M300" s="99">
        <f t="shared" si="4"/>
        <v>1887374.573</v>
      </c>
      <c r="N300" s="100">
        <f t="shared" si="90"/>
        <v>0.001598859742</v>
      </c>
      <c r="O300" s="101">
        <f t="shared" si="6"/>
        <v>0.1286939206</v>
      </c>
      <c r="P300" s="98">
        <v>37.49510491136662</v>
      </c>
      <c r="Q300" s="99">
        <v>2.75172858841E11</v>
      </c>
      <c r="R300" s="99">
        <f t="shared" si="7"/>
        <v>536093.5946</v>
      </c>
      <c r="S300" s="100">
        <f t="shared" si="91"/>
        <v>0.001855222808</v>
      </c>
      <c r="T300" s="101">
        <f t="shared" si="9"/>
        <v>0.04241566275</v>
      </c>
      <c r="U300" s="100">
        <f t="shared" si="10"/>
        <v>0.263114287</v>
      </c>
      <c r="V300" s="99">
        <f t="shared" si="11"/>
        <v>6169.56958</v>
      </c>
      <c r="W300" s="96">
        <v>3659.0</v>
      </c>
      <c r="X300" s="97">
        <v>25258.0</v>
      </c>
      <c r="Y300" s="98">
        <v>3162.7308790846</v>
      </c>
      <c r="Z300" s="103">
        <v>7.8233493E8</v>
      </c>
      <c r="AA300" s="99">
        <v>1771534.1337791323</v>
      </c>
      <c r="AB300" s="100">
        <f t="shared" si="92"/>
        <v>0.003945855108</v>
      </c>
      <c r="AC300" s="101">
        <f t="shared" si="13"/>
        <v>0.2767525937</v>
      </c>
      <c r="AD300" s="98">
        <v>408.4433253749813</v>
      </c>
      <c r="AE300" s="99">
        <v>8.54728458E8</v>
      </c>
      <c r="AF300" s="99">
        <v>1973061.047939696</v>
      </c>
      <c r="AG300" s="100">
        <f t="shared" si="93"/>
        <v>0.003797363549</v>
      </c>
      <c r="AH300" s="101">
        <f t="shared" si="15"/>
        <v>0.2966359215</v>
      </c>
      <c r="AI300" s="102">
        <v>87.58554659223013</v>
      </c>
      <c r="AJ300" s="99">
        <v>3.52046352185E11</v>
      </c>
      <c r="AK300" s="99">
        <v>685859.0459431</v>
      </c>
      <c r="AL300" s="100">
        <f t="shared" si="94"/>
        <v>0.003056374899</v>
      </c>
      <c r="AM300" s="100">
        <f t="shared" si="17"/>
        <v>0.08299320503</v>
      </c>
      <c r="AN300" s="104">
        <f t="shared" si="18"/>
        <v>0.6563817201</v>
      </c>
      <c r="AO300" s="97">
        <f t="shared" si="19"/>
        <v>16578.88949</v>
      </c>
    </row>
    <row r="301" ht="15.75" customHeight="1">
      <c r="A301" s="95">
        <v>71201.0</v>
      </c>
      <c r="B301" s="60" t="s">
        <v>224</v>
      </c>
      <c r="C301" s="60" t="s">
        <v>263</v>
      </c>
      <c r="D301" s="96">
        <v>1.0</v>
      </c>
      <c r="E301" s="97">
        <v>14697.0</v>
      </c>
      <c r="F301" s="98">
        <v>0.752045572242362</v>
      </c>
      <c r="G301" s="99">
        <v>5.02722601E8</v>
      </c>
      <c r="H301" s="99">
        <f t="shared" si="1"/>
        <v>1136801.59</v>
      </c>
      <c r="I301" s="100">
        <f t="shared" si="89"/>
        <v>0.000001788174727</v>
      </c>
      <c r="J301" s="101">
        <f t="shared" si="3"/>
        <v>0.0001383139331</v>
      </c>
      <c r="K301" s="102">
        <v>0.185827723114103</v>
      </c>
      <c r="L301" s="103">
        <v>6.96325692E8</v>
      </c>
      <c r="M301" s="99">
        <f t="shared" si="4"/>
        <v>1887374.573</v>
      </c>
      <c r="N301" s="100">
        <f t="shared" si="90"/>
        <v>0.000002351866451</v>
      </c>
      <c r="O301" s="101">
        <f t="shared" si="6"/>
        <v>0.0003020244226</v>
      </c>
      <c r="P301" s="98">
        <v>0.0620921802175039</v>
      </c>
      <c r="Q301" s="99">
        <v>2.75172858841E11</v>
      </c>
      <c r="R301" s="99">
        <f t="shared" si="7"/>
        <v>536093.5946</v>
      </c>
      <c r="S301" s="100">
        <f t="shared" si="91"/>
        <v>0.000003072263146</v>
      </c>
      <c r="T301" s="101">
        <f t="shared" si="9"/>
        <v>0.0001120650877</v>
      </c>
      <c r="U301" s="100">
        <f t="shared" si="10"/>
        <v>0.0005524034433</v>
      </c>
      <c r="V301" s="99">
        <f t="shared" si="11"/>
        <v>8.118673406</v>
      </c>
      <c r="W301" s="96">
        <v>1.0</v>
      </c>
      <c r="X301" s="97">
        <v>15378.0</v>
      </c>
      <c r="Y301" s="98">
        <v>0.752045572242362</v>
      </c>
      <c r="Z301" s="103">
        <v>7.8233493E8</v>
      </c>
      <c r="AA301" s="99">
        <v>1771534.1337791323</v>
      </c>
      <c r="AB301" s="100">
        <f t="shared" si="92"/>
        <v>0.00000093825968</v>
      </c>
      <c r="AC301" s="101">
        <f t="shared" si="13"/>
        <v>0.0001080868155</v>
      </c>
      <c r="AD301" s="98">
        <v>0.185827723114103</v>
      </c>
      <c r="AE301" s="99">
        <v>8.54728458E8</v>
      </c>
      <c r="AF301" s="99">
        <v>1973061.047939696</v>
      </c>
      <c r="AG301" s="100">
        <f t="shared" si="93"/>
        <v>0.000001727670348</v>
      </c>
      <c r="AH301" s="101">
        <f t="shared" si="15"/>
        <v>0.0002216672563</v>
      </c>
      <c r="AI301" s="102">
        <v>0.0620921802175039</v>
      </c>
      <c r="AJ301" s="99">
        <v>3.52046352185E11</v>
      </c>
      <c r="AK301" s="99">
        <v>685859.0459431</v>
      </c>
      <c r="AL301" s="100">
        <f t="shared" si="94"/>
        <v>0.000002166761394</v>
      </c>
      <c r="AM301" s="100">
        <f t="shared" si="17"/>
        <v>0.00009663759285</v>
      </c>
      <c r="AN301" s="104">
        <f t="shared" si="18"/>
        <v>0.0004263916647</v>
      </c>
      <c r="AO301" s="97">
        <f t="shared" si="19"/>
        <v>6.55705102</v>
      </c>
    </row>
    <row r="302" ht="15.75" customHeight="1">
      <c r="A302" s="95">
        <v>71301.0</v>
      </c>
      <c r="B302" s="60" t="s">
        <v>224</v>
      </c>
      <c r="C302" s="60" t="s">
        <v>232</v>
      </c>
      <c r="D302" s="96">
        <v>607.0</v>
      </c>
      <c r="E302" s="97">
        <v>16238.0</v>
      </c>
      <c r="F302" s="98">
        <v>487.562368622719</v>
      </c>
      <c r="G302" s="99">
        <v>5.02722601E8</v>
      </c>
      <c r="H302" s="99">
        <f t="shared" si="1"/>
        <v>1136801.59</v>
      </c>
      <c r="I302" s="100">
        <f t="shared" si="89"/>
        <v>0.001159300364</v>
      </c>
      <c r="J302" s="101">
        <f t="shared" si="3"/>
        <v>0.08116113423</v>
      </c>
      <c r="K302" s="102">
        <v>96.50304523255687</v>
      </c>
      <c r="L302" s="103">
        <v>6.96325692E8</v>
      </c>
      <c r="M302" s="99">
        <f t="shared" si="4"/>
        <v>1887374.573</v>
      </c>
      <c r="N302" s="100">
        <f t="shared" si="90"/>
        <v>0.001221358529</v>
      </c>
      <c r="O302" s="101">
        <f t="shared" si="6"/>
        <v>0.1419608961</v>
      </c>
      <c r="P302" s="98">
        <v>22.90304925570497</v>
      </c>
      <c r="Q302" s="99">
        <v>2.75172858841E11</v>
      </c>
      <c r="R302" s="99">
        <f t="shared" si="7"/>
        <v>536093.5946</v>
      </c>
      <c r="S302" s="100">
        <f t="shared" si="91"/>
        <v>0.001133221509</v>
      </c>
      <c r="T302" s="101">
        <f t="shared" si="9"/>
        <v>0.03741303068</v>
      </c>
      <c r="U302" s="100">
        <f t="shared" si="10"/>
        <v>0.260535061</v>
      </c>
      <c r="V302" s="99">
        <f t="shared" si="11"/>
        <v>4230.568321</v>
      </c>
      <c r="W302" s="96">
        <v>1249.0</v>
      </c>
      <c r="X302" s="97">
        <v>17195.0</v>
      </c>
      <c r="Y302" s="98">
        <v>1117.005084243943</v>
      </c>
      <c r="Z302" s="103">
        <v>7.8233493E8</v>
      </c>
      <c r="AA302" s="99">
        <v>1771534.1337791323</v>
      </c>
      <c r="AB302" s="100">
        <f t="shared" si="92"/>
        <v>0.001393586867</v>
      </c>
      <c r="AC302" s="101">
        <f t="shared" si="13"/>
        <v>0.1435758478</v>
      </c>
      <c r="AD302" s="98">
        <v>110.673052755229</v>
      </c>
      <c r="AE302" s="99">
        <v>8.54728458E8</v>
      </c>
      <c r="AF302" s="99">
        <v>1973061.047939696</v>
      </c>
      <c r="AG302" s="100">
        <f t="shared" si="93"/>
        <v>0.001028945242</v>
      </c>
      <c r="AH302" s="101">
        <f t="shared" si="15"/>
        <v>0.1180675649</v>
      </c>
      <c r="AI302" s="102">
        <v>21.22998491206832</v>
      </c>
      <c r="AJ302" s="99">
        <v>3.52046352185E11</v>
      </c>
      <c r="AK302" s="99">
        <v>685859.0459431</v>
      </c>
      <c r="AL302" s="100">
        <f t="shared" si="94"/>
        <v>0.0007408390485</v>
      </c>
      <c r="AM302" s="100">
        <f t="shared" si="17"/>
        <v>0.02954993678</v>
      </c>
      <c r="AN302" s="104">
        <f t="shared" si="18"/>
        <v>0.2911933495</v>
      </c>
      <c r="AO302" s="97">
        <f t="shared" si="19"/>
        <v>5007.069645</v>
      </c>
    </row>
    <row r="303" ht="15.75" customHeight="1">
      <c r="A303" s="95">
        <v>71302.0</v>
      </c>
      <c r="B303" s="60" t="s">
        <v>224</v>
      </c>
      <c r="C303" s="60" t="s">
        <v>255</v>
      </c>
      <c r="D303" s="96">
        <v>126.0</v>
      </c>
      <c r="E303" s="97">
        <v>7054.5</v>
      </c>
      <c r="F303" s="98">
        <v>88.37820581230952</v>
      </c>
      <c r="G303" s="99">
        <v>5.02722601E8</v>
      </c>
      <c r="H303" s="99">
        <f t="shared" si="1"/>
        <v>1136801.59</v>
      </c>
      <c r="I303" s="100">
        <f t="shared" si="89"/>
        <v>0.0002101410871</v>
      </c>
      <c r="J303" s="101">
        <f t="shared" si="3"/>
        <v>0.03386331023</v>
      </c>
      <c r="K303" s="102">
        <v>31.56592521496486</v>
      </c>
      <c r="L303" s="103">
        <v>6.96325692E8</v>
      </c>
      <c r="M303" s="99">
        <f t="shared" si="4"/>
        <v>1887374.573</v>
      </c>
      <c r="N303" s="100">
        <f t="shared" si="90"/>
        <v>0.0003995035792</v>
      </c>
      <c r="O303" s="101">
        <f t="shared" si="6"/>
        <v>0.1068839602</v>
      </c>
      <c r="P303" s="98">
        <v>6.050600788396168</v>
      </c>
      <c r="Q303" s="99">
        <v>2.75172858841E11</v>
      </c>
      <c r="R303" s="99">
        <f t="shared" si="7"/>
        <v>536093.5946</v>
      </c>
      <c r="S303" s="100">
        <f t="shared" si="91"/>
        <v>0.0002993780819</v>
      </c>
      <c r="T303" s="101">
        <f t="shared" si="9"/>
        <v>0.02275068</v>
      </c>
      <c r="U303" s="100">
        <f t="shared" si="10"/>
        <v>0.1634979504</v>
      </c>
      <c r="V303" s="99">
        <f t="shared" si="11"/>
        <v>1153.396291</v>
      </c>
      <c r="W303" s="96">
        <v>68.0</v>
      </c>
      <c r="X303" s="97">
        <v>6048.0</v>
      </c>
      <c r="Y303" s="98">
        <v>49.5932572835649</v>
      </c>
      <c r="Z303" s="103">
        <v>7.8233493E8</v>
      </c>
      <c r="AA303" s="99">
        <v>1771534.1337791323</v>
      </c>
      <c r="AB303" s="100">
        <f t="shared" si="92"/>
        <v>0.00006187305055</v>
      </c>
      <c r="AC303" s="101">
        <f t="shared" si="13"/>
        <v>0.0181233831</v>
      </c>
      <c r="AD303" s="98">
        <v>15.8571957994846</v>
      </c>
      <c r="AE303" s="99">
        <v>8.54728458E8</v>
      </c>
      <c r="AF303" s="99">
        <v>1973061.047939696</v>
      </c>
      <c r="AG303" s="100">
        <f t="shared" si="93"/>
        <v>0.0001474269099</v>
      </c>
      <c r="AH303" s="101">
        <f t="shared" si="15"/>
        <v>0.04809561728</v>
      </c>
      <c r="AI303" s="102">
        <v>2.546019087471532</v>
      </c>
      <c r="AJ303" s="99">
        <v>3.52046352185E11</v>
      </c>
      <c r="AK303" s="99">
        <v>685859.0459431</v>
      </c>
      <c r="AL303" s="100">
        <f t="shared" si="94"/>
        <v>0.00008884558167</v>
      </c>
      <c r="AM303" s="100">
        <f t="shared" si="17"/>
        <v>0.01007532174</v>
      </c>
      <c r="AN303" s="104">
        <f t="shared" si="18"/>
        <v>0.07629432212</v>
      </c>
      <c r="AO303" s="97">
        <f t="shared" si="19"/>
        <v>461.4280602</v>
      </c>
    </row>
    <row r="304" ht="15.75" customHeight="1">
      <c r="A304" s="95">
        <v>71401.0</v>
      </c>
      <c r="B304" s="60" t="s">
        <v>224</v>
      </c>
      <c r="C304" s="60" t="s">
        <v>253</v>
      </c>
      <c r="D304" s="96">
        <v>334.0</v>
      </c>
      <c r="E304" s="97">
        <v>19226.0</v>
      </c>
      <c r="F304" s="98">
        <v>285.5175487654531</v>
      </c>
      <c r="G304" s="99">
        <v>5.02722601E8</v>
      </c>
      <c r="H304" s="99">
        <f t="shared" si="1"/>
        <v>1136801.59</v>
      </c>
      <c r="I304" s="100">
        <f t="shared" si="89"/>
        <v>0.000678888732</v>
      </c>
      <c r="J304" s="101">
        <f t="shared" si="3"/>
        <v>0.0401415682</v>
      </c>
      <c r="K304" s="102">
        <v>33.31363967170918</v>
      </c>
      <c r="L304" s="103">
        <v>6.96325692E8</v>
      </c>
      <c r="M304" s="99">
        <f t="shared" si="4"/>
        <v>1887374.573</v>
      </c>
      <c r="N304" s="100">
        <f t="shared" si="90"/>
        <v>0.000421622943</v>
      </c>
      <c r="O304" s="101">
        <f t="shared" si="6"/>
        <v>0.04138980661</v>
      </c>
      <c r="P304" s="98">
        <v>15.15840189159772</v>
      </c>
      <c r="Q304" s="99">
        <v>2.75172858841E11</v>
      </c>
      <c r="R304" s="99">
        <f t="shared" si="7"/>
        <v>536093.5946</v>
      </c>
      <c r="S304" s="100">
        <f t="shared" si="91"/>
        <v>0.000750023583</v>
      </c>
      <c r="T304" s="101">
        <f t="shared" si="9"/>
        <v>0.02091349416</v>
      </c>
      <c r="U304" s="100">
        <f t="shared" si="10"/>
        <v>0.102444869</v>
      </c>
      <c r="V304" s="99">
        <f t="shared" si="11"/>
        <v>1969.605051</v>
      </c>
      <c r="W304" s="96">
        <v>393.0</v>
      </c>
      <c r="X304" s="97">
        <v>17417.0</v>
      </c>
      <c r="Y304" s="98">
        <v>336.3686020368323</v>
      </c>
      <c r="Z304" s="103">
        <v>7.8233493E8</v>
      </c>
      <c r="AA304" s="99">
        <v>1771534.1337791323</v>
      </c>
      <c r="AB304" s="100">
        <f t="shared" si="92"/>
        <v>0.0004196568779</v>
      </c>
      <c r="AC304" s="101">
        <f t="shared" si="13"/>
        <v>0.04268453142</v>
      </c>
      <c r="AD304" s="98">
        <v>43.75295112703022</v>
      </c>
      <c r="AE304" s="99">
        <v>8.54728458E8</v>
      </c>
      <c r="AF304" s="99">
        <v>1973061.047939696</v>
      </c>
      <c r="AG304" s="100">
        <f t="shared" si="93"/>
        <v>0.0004067782516</v>
      </c>
      <c r="AH304" s="101">
        <f t="shared" si="15"/>
        <v>0.04608131845</v>
      </c>
      <c r="AI304" s="102">
        <v>12.86011654236911</v>
      </c>
      <c r="AJ304" s="99">
        <v>3.52046352185E11</v>
      </c>
      <c r="AK304" s="99">
        <v>685859.0459431</v>
      </c>
      <c r="AL304" s="100">
        <f t="shared" si="94"/>
        <v>0.0004487651095</v>
      </c>
      <c r="AM304" s="100">
        <f t="shared" si="17"/>
        <v>0.01767179249</v>
      </c>
      <c r="AN304" s="104">
        <f t="shared" si="18"/>
        <v>0.1064376424</v>
      </c>
      <c r="AO304" s="97">
        <f t="shared" si="19"/>
        <v>1853.824417</v>
      </c>
    </row>
    <row r="305" ht="15.75" customHeight="1">
      <c r="A305" s="95">
        <v>71402.0</v>
      </c>
      <c r="B305" s="60" t="s">
        <v>224</v>
      </c>
      <c r="C305" s="60" t="s">
        <v>252</v>
      </c>
      <c r="D305" s="96">
        <v>1295.0</v>
      </c>
      <c r="E305" s="97">
        <v>16987.75</v>
      </c>
      <c r="F305" s="98">
        <v>1118.364239293935</v>
      </c>
      <c r="G305" s="99">
        <v>5.02722601E8</v>
      </c>
      <c r="H305" s="99">
        <f t="shared" si="1"/>
        <v>1136801.59</v>
      </c>
      <c r="I305" s="100">
        <f t="shared" si="89"/>
        <v>0.002659188143</v>
      </c>
      <c r="J305" s="101">
        <f t="shared" si="3"/>
        <v>0.1779499528</v>
      </c>
      <c r="K305" s="102">
        <v>124.9914866844231</v>
      </c>
      <c r="L305" s="103">
        <v>6.96325692E8</v>
      </c>
      <c r="M305" s="99">
        <f t="shared" si="4"/>
        <v>1887374.573</v>
      </c>
      <c r="N305" s="100">
        <f t="shared" si="90"/>
        <v>0.001581912964</v>
      </c>
      <c r="O305" s="101">
        <f t="shared" si="6"/>
        <v>0.1757538405</v>
      </c>
      <c r="P305" s="98">
        <v>51.58702389171461</v>
      </c>
      <c r="Q305" s="99">
        <v>2.75172858841E11</v>
      </c>
      <c r="R305" s="99">
        <f t="shared" si="7"/>
        <v>536093.5946</v>
      </c>
      <c r="S305" s="100">
        <f t="shared" si="91"/>
        <v>0.002552477812</v>
      </c>
      <c r="T305" s="101">
        <f t="shared" si="9"/>
        <v>0.08055022033</v>
      </c>
      <c r="U305" s="100">
        <f t="shared" si="10"/>
        <v>0.4342540136</v>
      </c>
      <c r="V305" s="99">
        <f t="shared" si="11"/>
        <v>7376.99862</v>
      </c>
      <c r="W305" s="96">
        <v>1567.0</v>
      </c>
      <c r="X305" s="97">
        <v>17974.0</v>
      </c>
      <c r="Y305" s="98">
        <v>1366.517970990662</v>
      </c>
      <c r="Z305" s="103">
        <v>7.8233493E8</v>
      </c>
      <c r="AA305" s="99">
        <v>1771534.1337791323</v>
      </c>
      <c r="AB305" s="100">
        <f t="shared" si="92"/>
        <v>0.001704881674</v>
      </c>
      <c r="AC305" s="101">
        <f t="shared" si="13"/>
        <v>0.1680347212</v>
      </c>
      <c r="AD305" s="98">
        <v>154.839487504969</v>
      </c>
      <c r="AE305" s="99">
        <v>8.54728458E8</v>
      </c>
      <c r="AF305" s="99">
        <v>1973061.047939696</v>
      </c>
      <c r="AG305" s="100">
        <f t="shared" si="93"/>
        <v>0.001439567718</v>
      </c>
      <c r="AH305" s="101">
        <f t="shared" si="15"/>
        <v>0.1580257589</v>
      </c>
      <c r="AI305" s="102">
        <v>45.55378916439338</v>
      </c>
      <c r="AJ305" s="99">
        <v>3.52046352185E11</v>
      </c>
      <c r="AK305" s="99">
        <v>685859.0459431</v>
      </c>
      <c r="AL305" s="100">
        <f t="shared" si="94"/>
        <v>0.001589639652</v>
      </c>
      <c r="AM305" s="100">
        <f t="shared" si="17"/>
        <v>0.06065810253</v>
      </c>
      <c r="AN305" s="104">
        <f t="shared" si="18"/>
        <v>0.3867185827</v>
      </c>
      <c r="AO305" s="97">
        <f t="shared" si="19"/>
        <v>6950.879805</v>
      </c>
    </row>
    <row r="306" ht="15.75" customHeight="1">
      <c r="A306" s="95">
        <v>71403.0</v>
      </c>
      <c r="B306" s="60" t="s">
        <v>224</v>
      </c>
      <c r="C306" s="60" t="s">
        <v>834</v>
      </c>
      <c r="D306" s="108"/>
      <c r="E306" s="109">
        <v>6960.5</v>
      </c>
      <c r="F306" s="110"/>
      <c r="G306" s="99">
        <v>5.02722601E8</v>
      </c>
      <c r="H306" s="99">
        <f t="shared" si="1"/>
        <v>1136801.59</v>
      </c>
      <c r="I306" s="100">
        <f t="shared" si="89"/>
        <v>0</v>
      </c>
      <c r="J306" s="101">
        <f t="shared" si="3"/>
        <v>0</v>
      </c>
      <c r="K306" s="111"/>
      <c r="L306" s="103">
        <v>6.96325692E8</v>
      </c>
      <c r="M306" s="99">
        <f t="shared" si="4"/>
        <v>1887374.573</v>
      </c>
      <c r="N306" s="100">
        <f t="shared" si="90"/>
        <v>0</v>
      </c>
      <c r="O306" s="101">
        <f t="shared" si="6"/>
        <v>0</v>
      </c>
      <c r="P306" s="110"/>
      <c r="Q306" s="99">
        <v>2.75172858841E11</v>
      </c>
      <c r="R306" s="99">
        <f t="shared" si="7"/>
        <v>536093.5946</v>
      </c>
      <c r="S306" s="100">
        <f t="shared" si="91"/>
        <v>0</v>
      </c>
      <c r="T306" s="101">
        <f t="shared" si="9"/>
        <v>0</v>
      </c>
      <c r="U306" s="100">
        <f t="shared" si="10"/>
        <v>0</v>
      </c>
      <c r="V306" s="99">
        <f t="shared" si="11"/>
        <v>0</v>
      </c>
      <c r="W306" s="108"/>
      <c r="X306" s="97">
        <v>8816.0</v>
      </c>
      <c r="Y306" s="110"/>
      <c r="Z306" s="103">
        <v>7.8233493E8</v>
      </c>
      <c r="AA306" s="99">
        <v>1771534.1337791323</v>
      </c>
      <c r="AB306" s="100">
        <f t="shared" si="92"/>
        <v>0</v>
      </c>
      <c r="AC306" s="101">
        <f t="shared" si="13"/>
        <v>0</v>
      </c>
      <c r="AD306" s="110"/>
      <c r="AE306" s="99">
        <v>8.54728458E8</v>
      </c>
      <c r="AF306" s="99">
        <v>1973061.047939696</v>
      </c>
      <c r="AG306" s="100">
        <f t="shared" si="93"/>
        <v>0</v>
      </c>
      <c r="AH306" s="101">
        <f t="shared" si="15"/>
        <v>0</v>
      </c>
      <c r="AI306" s="111"/>
      <c r="AJ306" s="99">
        <v>3.52046352185E11</v>
      </c>
      <c r="AK306" s="99">
        <v>685859.0459431</v>
      </c>
      <c r="AL306" s="100">
        <f t="shared" si="94"/>
        <v>0</v>
      </c>
      <c r="AM306" s="100">
        <f t="shared" si="17"/>
        <v>0</v>
      </c>
      <c r="AN306" s="104">
        <f t="shared" si="18"/>
        <v>0</v>
      </c>
      <c r="AO306" s="97">
        <f t="shared" si="19"/>
        <v>0</v>
      </c>
    </row>
    <row r="307" ht="15.75" customHeight="1">
      <c r="A307" s="95">
        <v>71501.0</v>
      </c>
      <c r="B307" s="60" t="s">
        <v>224</v>
      </c>
      <c r="C307" s="60" t="s">
        <v>835</v>
      </c>
      <c r="D307" s="116">
        <v>697.0</v>
      </c>
      <c r="E307" s="109">
        <v>28822.25</v>
      </c>
      <c r="F307" s="110">
        <v>663.8653833538864</v>
      </c>
      <c r="G307" s="99">
        <v>5.02722601E8</v>
      </c>
      <c r="H307" s="99">
        <f t="shared" si="1"/>
        <v>1136801.59</v>
      </c>
      <c r="I307" s="100">
        <f t="shared" si="89"/>
        <v>0.001578504475</v>
      </c>
      <c r="J307" s="101">
        <f t="shared" si="3"/>
        <v>0.06225906712</v>
      </c>
      <c r="K307" s="111">
        <v>29.388779021473997</v>
      </c>
      <c r="L307" s="103">
        <v>6.96325692E8</v>
      </c>
      <c r="M307" s="99">
        <f t="shared" si="4"/>
        <v>1887374.573</v>
      </c>
      <c r="N307" s="100">
        <f t="shared" si="90"/>
        <v>0.0003719492563</v>
      </c>
      <c r="O307" s="101">
        <f t="shared" si="6"/>
        <v>0.02435644576</v>
      </c>
      <c r="P307" s="110">
        <v>3.6878462108853345</v>
      </c>
      <c r="Q307" s="99">
        <v>2.75172858841E11</v>
      </c>
      <c r="R307" s="99">
        <f t="shared" si="7"/>
        <v>536093.5946</v>
      </c>
      <c r="S307" s="100">
        <f t="shared" si="91"/>
        <v>0.0001824711898</v>
      </c>
      <c r="T307" s="101">
        <f t="shared" si="9"/>
        <v>0.003393962513</v>
      </c>
      <c r="U307" s="100">
        <f t="shared" si="10"/>
        <v>0.09000947539</v>
      </c>
      <c r="V307" s="99">
        <f t="shared" si="11"/>
        <v>2594.275602</v>
      </c>
      <c r="W307" s="116">
        <v>1564.0</v>
      </c>
      <c r="X307" s="97">
        <v>34079.0</v>
      </c>
      <c r="Y307" s="110">
        <v>1442.940236845741</v>
      </c>
      <c r="Z307" s="103">
        <v>7.8233493E8</v>
      </c>
      <c r="AA307" s="99">
        <v>1771534.1337791323</v>
      </c>
      <c r="AB307" s="100">
        <f t="shared" si="92"/>
        <v>0.001800226868</v>
      </c>
      <c r="AC307" s="101">
        <f t="shared" si="13"/>
        <v>0.09358148258</v>
      </c>
      <c r="AD307" s="110">
        <v>101.51303998160789</v>
      </c>
      <c r="AE307" s="99">
        <v>8.54728458E8</v>
      </c>
      <c r="AF307" s="99">
        <v>1973061.047939696</v>
      </c>
      <c r="AG307" s="100">
        <f t="shared" si="93"/>
        <v>0.0009437831245</v>
      </c>
      <c r="AH307" s="101">
        <f t="shared" si="15"/>
        <v>0.05464191205</v>
      </c>
      <c r="AI307" s="111">
        <v>19.416641968626646</v>
      </c>
      <c r="AJ307" s="99">
        <v>3.52046352185E11</v>
      </c>
      <c r="AK307" s="99">
        <v>685859.0459431</v>
      </c>
      <c r="AL307" s="100">
        <f t="shared" si="94"/>
        <v>0.0006775608471</v>
      </c>
      <c r="AM307" s="100">
        <f t="shared" si="17"/>
        <v>0.01363629321</v>
      </c>
      <c r="AN307" s="104">
        <f t="shared" si="18"/>
        <v>0.1618596878</v>
      </c>
      <c r="AO307" s="97">
        <f t="shared" si="19"/>
        <v>5516.016302</v>
      </c>
    </row>
    <row r="308" ht="15.75" customHeight="1">
      <c r="A308" s="95">
        <v>71502.0</v>
      </c>
      <c r="B308" s="60" t="s">
        <v>224</v>
      </c>
      <c r="C308" s="60" t="s">
        <v>270</v>
      </c>
      <c r="D308" s="96">
        <v>1.0</v>
      </c>
      <c r="E308" s="97">
        <v>6908.25</v>
      </c>
      <c r="F308" s="98">
        <v>0.999727092353423</v>
      </c>
      <c r="G308" s="99">
        <v>5.02722601E8</v>
      </c>
      <c r="H308" s="99">
        <f t="shared" si="1"/>
        <v>1136801.59</v>
      </c>
      <c r="I308" s="100">
        <f t="shared" si="89"/>
        <v>0.000002377098924</v>
      </c>
      <c r="J308" s="101">
        <f t="shared" si="3"/>
        <v>0.0003911685069</v>
      </c>
      <c r="K308" s="102">
        <v>5.16311763794744E-5</v>
      </c>
      <c r="L308" s="103">
        <v>6.96325692E8</v>
      </c>
      <c r="M308" s="99">
        <f t="shared" si="4"/>
        <v>1887374.573</v>
      </c>
      <c r="N308" s="100">
        <f t="shared" si="90"/>
        <v>0.0000000006534527223</v>
      </c>
      <c r="O308" s="101">
        <f t="shared" si="6"/>
        <v>0.000000178527131</v>
      </c>
      <c r="P308" s="98">
        <v>1.32765882118648E-4</v>
      </c>
      <c r="Q308" s="99">
        <v>2.75172858841E11</v>
      </c>
      <c r="R308" s="99">
        <f t="shared" si="7"/>
        <v>536093.5946</v>
      </c>
      <c r="S308" s="100">
        <f t="shared" si="91"/>
        <v>0.000000006569131978</v>
      </c>
      <c r="T308" s="101">
        <f t="shared" si="9"/>
        <v>0.0000005097773786</v>
      </c>
      <c r="U308" s="100">
        <f t="shared" si="10"/>
        <v>0.0003918568114</v>
      </c>
      <c r="V308" s="99">
        <f t="shared" si="11"/>
        <v>2.707044818</v>
      </c>
      <c r="W308" s="96">
        <v>1.0</v>
      </c>
      <c r="X308" s="97">
        <v>6555.0</v>
      </c>
      <c r="Y308" s="98">
        <v>0.999727092353423</v>
      </c>
      <c r="Z308" s="103">
        <v>7.8233493E8</v>
      </c>
      <c r="AA308" s="99">
        <v>1771534.1337791323</v>
      </c>
      <c r="AB308" s="100">
        <f t="shared" si="92"/>
        <v>0.000001247269655</v>
      </c>
      <c r="AC308" s="101">
        <f t="shared" si="13"/>
        <v>0.0003370832599</v>
      </c>
      <c r="AD308" s="98">
        <v>5.16311763794744E-5</v>
      </c>
      <c r="AE308" s="99">
        <v>8.54728458E8</v>
      </c>
      <c r="AF308" s="99">
        <v>1973061.047939696</v>
      </c>
      <c r="AG308" s="100">
        <f t="shared" si="93"/>
        <v>0.0000000004800233839</v>
      </c>
      <c r="AH308" s="101">
        <f t="shared" si="15"/>
        <v>0.0000001444874815</v>
      </c>
      <c r="AI308" s="102">
        <v>1.32765882118648E-4</v>
      </c>
      <c r="AJ308" s="99">
        <v>3.52046352185E11</v>
      </c>
      <c r="AK308" s="99">
        <v>685859.0459431</v>
      </c>
      <c r="AL308" s="100">
        <f t="shared" si="94"/>
        <v>0.000000004632982557</v>
      </c>
      <c r="AM308" s="100">
        <f t="shared" si="17"/>
        <v>0.0000004847556059</v>
      </c>
      <c r="AN308" s="104">
        <f t="shared" si="18"/>
        <v>0.000337712503</v>
      </c>
      <c r="AO308" s="97">
        <f t="shared" si="19"/>
        <v>2.213705457</v>
      </c>
    </row>
    <row r="309" ht="15.75" customHeight="1">
      <c r="A309" s="95">
        <v>71503.0</v>
      </c>
      <c r="B309" s="60" t="s">
        <v>224</v>
      </c>
      <c r="C309" s="60" t="s">
        <v>819</v>
      </c>
      <c r="D309" s="108"/>
      <c r="E309" s="109">
        <v>14976.25</v>
      </c>
      <c r="F309" s="110"/>
      <c r="G309" s="99">
        <v>5.02722601E8</v>
      </c>
      <c r="H309" s="99">
        <f t="shared" si="1"/>
        <v>1136801.59</v>
      </c>
      <c r="I309" s="100">
        <f t="shared" si="89"/>
        <v>0</v>
      </c>
      <c r="J309" s="101">
        <f t="shared" si="3"/>
        <v>0</v>
      </c>
      <c r="K309" s="111"/>
      <c r="L309" s="103">
        <v>6.96325692E8</v>
      </c>
      <c r="M309" s="99">
        <f t="shared" si="4"/>
        <v>1887374.573</v>
      </c>
      <c r="N309" s="100">
        <f t="shared" si="90"/>
        <v>0</v>
      </c>
      <c r="O309" s="101">
        <f t="shared" si="6"/>
        <v>0</v>
      </c>
      <c r="P309" s="110"/>
      <c r="Q309" s="99">
        <v>2.75172858841E11</v>
      </c>
      <c r="R309" s="99">
        <f t="shared" si="7"/>
        <v>536093.5946</v>
      </c>
      <c r="S309" s="100">
        <f t="shared" si="91"/>
        <v>0</v>
      </c>
      <c r="T309" s="101">
        <f t="shared" si="9"/>
        <v>0</v>
      </c>
      <c r="U309" s="100">
        <f t="shared" si="10"/>
        <v>0</v>
      </c>
      <c r="V309" s="99">
        <f t="shared" si="11"/>
        <v>0</v>
      </c>
      <c r="W309" s="108"/>
      <c r="X309" s="97">
        <v>17290.0</v>
      </c>
      <c r="Y309" s="110"/>
      <c r="Z309" s="103">
        <v>7.8233493E8</v>
      </c>
      <c r="AA309" s="99">
        <v>1771534.1337791323</v>
      </c>
      <c r="AB309" s="100">
        <f t="shared" si="92"/>
        <v>0</v>
      </c>
      <c r="AC309" s="101">
        <f t="shared" si="13"/>
        <v>0</v>
      </c>
      <c r="AD309" s="110"/>
      <c r="AE309" s="99">
        <v>8.54728458E8</v>
      </c>
      <c r="AF309" s="99">
        <v>1973061.047939696</v>
      </c>
      <c r="AG309" s="100">
        <f t="shared" si="93"/>
        <v>0</v>
      </c>
      <c r="AH309" s="101">
        <f t="shared" si="15"/>
        <v>0</v>
      </c>
      <c r="AI309" s="111"/>
      <c r="AJ309" s="99">
        <v>3.52046352185E11</v>
      </c>
      <c r="AK309" s="99">
        <v>685859.0459431</v>
      </c>
      <c r="AL309" s="100">
        <f t="shared" si="94"/>
        <v>0</v>
      </c>
      <c r="AM309" s="100">
        <f t="shared" si="17"/>
        <v>0</v>
      </c>
      <c r="AN309" s="104">
        <f t="shared" si="18"/>
        <v>0</v>
      </c>
      <c r="AO309" s="97">
        <f t="shared" si="19"/>
        <v>0</v>
      </c>
    </row>
    <row r="310" ht="15.75" customHeight="1">
      <c r="A310" s="95">
        <v>80101.0</v>
      </c>
      <c r="B310" s="60" t="s">
        <v>274</v>
      </c>
      <c r="C310" s="60" t="s">
        <v>283</v>
      </c>
      <c r="D310" s="96">
        <v>32418.0</v>
      </c>
      <c r="E310" s="97">
        <v>112094.25</v>
      </c>
      <c r="F310" s="98">
        <v>30766.97534562701</v>
      </c>
      <c r="G310" s="99">
        <v>6.2494613E7</v>
      </c>
      <c r="H310" s="99">
        <f t="shared" si="1"/>
        <v>141318.4434</v>
      </c>
      <c r="I310" s="100">
        <f t="shared" ref="I310:I329" si="95">F310/SUM($F$310:$F$329)</f>
        <v>0.8789299334</v>
      </c>
      <c r="J310" s="101">
        <f t="shared" si="3"/>
        <v>1.108076552</v>
      </c>
      <c r="K310" s="102">
        <v>1522.289106748185</v>
      </c>
      <c r="L310" s="103">
        <v>6.9208298E7</v>
      </c>
      <c r="M310" s="99">
        <f t="shared" si="4"/>
        <v>187587.4801</v>
      </c>
      <c r="N310" s="100">
        <f t="shared" ref="N310:N329" si="96">K310/SUM($K$310:$K$329)</f>
        <v>0.9412179926</v>
      </c>
      <c r="O310" s="101">
        <f t="shared" si="6"/>
        <v>1.575109441</v>
      </c>
      <c r="P310" s="98">
        <v>115.7266719820495</v>
      </c>
      <c r="Q310" s="102"/>
      <c r="R310" s="99">
        <f t="shared" si="7"/>
        <v>0</v>
      </c>
      <c r="S310" s="100">
        <f t="shared" ref="S310:S329" si="97">P310/SUM($P$310:$P$329)</f>
        <v>0.9515909617</v>
      </c>
      <c r="T310" s="101">
        <f t="shared" si="9"/>
        <v>0</v>
      </c>
      <c r="U310" s="100">
        <f t="shared" si="10"/>
        <v>2.683185993</v>
      </c>
      <c r="V310" s="99">
        <f t="shared" si="11"/>
        <v>300769.7215</v>
      </c>
      <c r="W310" s="96">
        <v>46738.0</v>
      </c>
      <c r="X310" s="97">
        <v>128589.0</v>
      </c>
      <c r="Y310" s="98">
        <v>44820.99648642513</v>
      </c>
      <c r="Z310" s="103">
        <v>8.814083E7</v>
      </c>
      <c r="AA310" s="99">
        <v>199312.37411093</v>
      </c>
      <c r="AB310" s="100">
        <f t="shared" ref="AB310:AB329" si="98">Y310/SUM($Y$310:$Y$329)</f>
        <v>0.8245678743</v>
      </c>
      <c r="AC310" s="101">
        <f t="shared" si="13"/>
        <v>1.278076512</v>
      </c>
      <c r="AD310" s="98">
        <v>1760.001249984033</v>
      </c>
      <c r="AE310" s="99">
        <v>7.3585374E7</v>
      </c>
      <c r="AF310" s="99">
        <v>118292.19145099001</v>
      </c>
      <c r="AG310" s="100">
        <f t="shared" ref="AG310:AG329" si="99">AD310/SUM($AD$310:$AD$329)</f>
        <v>0.8717205889</v>
      </c>
      <c r="AH310" s="101">
        <f t="shared" si="15"/>
        <v>0.8019172619</v>
      </c>
      <c r="AI310" s="102">
        <v>137.4742119745453</v>
      </c>
      <c r="AJ310" s="102"/>
      <c r="AK310" s="102"/>
      <c r="AL310" s="100">
        <f t="shared" ref="AL310:AL329" si="100">AI310/SUM($AI$310:$AI$329)</f>
        <v>0.9041833652</v>
      </c>
      <c r="AM310" s="100">
        <f t="shared" si="17"/>
        <v>0</v>
      </c>
      <c r="AN310" s="104">
        <f t="shared" si="18"/>
        <v>2.079993774</v>
      </c>
      <c r="AO310" s="97">
        <f t="shared" si="19"/>
        <v>267464.3194</v>
      </c>
    </row>
    <row r="311" ht="15.75" customHeight="1">
      <c r="A311" s="95">
        <v>80102.0</v>
      </c>
      <c r="B311" s="60" t="s">
        <v>274</v>
      </c>
      <c r="C311" s="60" t="s">
        <v>832</v>
      </c>
      <c r="D311" s="108">
        <v>1.0</v>
      </c>
      <c r="E311" s="109">
        <v>5936.0</v>
      </c>
      <c r="F311" s="110">
        <v>1.0</v>
      </c>
      <c r="G311" s="99">
        <v>6.2494613E7</v>
      </c>
      <c r="H311" s="99">
        <f t="shared" si="1"/>
        <v>141318.4434</v>
      </c>
      <c r="I311" s="100">
        <f t="shared" si="95"/>
        <v>0.00002856731686</v>
      </c>
      <c r="J311" s="101">
        <f t="shared" si="3"/>
        <v>0.0006801025524</v>
      </c>
      <c r="K311" s="111">
        <v>0.0</v>
      </c>
      <c r="L311" s="103">
        <v>6.9208298E7</v>
      </c>
      <c r="M311" s="99">
        <f t="shared" si="4"/>
        <v>187587.4801</v>
      </c>
      <c r="N311" s="100">
        <f t="shared" si="96"/>
        <v>0</v>
      </c>
      <c r="O311" s="101">
        <f t="shared" si="6"/>
        <v>0</v>
      </c>
      <c r="P311" s="110">
        <v>0.0</v>
      </c>
      <c r="Q311" s="111"/>
      <c r="R311" s="99">
        <f t="shared" si="7"/>
        <v>0</v>
      </c>
      <c r="S311" s="100">
        <f t="shared" si="97"/>
        <v>0</v>
      </c>
      <c r="T311" s="101">
        <f t="shared" si="9"/>
        <v>0</v>
      </c>
      <c r="U311" s="100">
        <f t="shared" si="10"/>
        <v>0.0006801025524</v>
      </c>
      <c r="V311" s="99">
        <f t="shared" si="11"/>
        <v>4.037088751</v>
      </c>
      <c r="W311" s="108">
        <v>316.0</v>
      </c>
      <c r="X311" s="97">
        <v>7913.0</v>
      </c>
      <c r="Y311" s="110">
        <v>311.4459406646366</v>
      </c>
      <c r="Z311" s="103">
        <v>8.814083E7</v>
      </c>
      <c r="AA311" s="99">
        <v>199312.37411093</v>
      </c>
      <c r="AB311" s="100">
        <f t="shared" si="98"/>
        <v>0.005729643189</v>
      </c>
      <c r="AC311" s="101">
        <f t="shared" si="13"/>
        <v>0.1443180572</v>
      </c>
      <c r="AD311" s="110">
        <v>4.238557716833667</v>
      </c>
      <c r="AE311" s="99">
        <v>7.3585374E7</v>
      </c>
      <c r="AF311" s="99">
        <v>118292.19145099001</v>
      </c>
      <c r="AG311" s="100">
        <f t="shared" si="99"/>
        <v>0.002099338298</v>
      </c>
      <c r="AH311" s="101">
        <f t="shared" si="15"/>
        <v>0.03138320838</v>
      </c>
      <c r="AI311" s="111">
        <v>0.1671375534197066</v>
      </c>
      <c r="AJ311" s="111"/>
      <c r="AK311" s="111"/>
      <c r="AL311" s="100">
        <f t="shared" si="100"/>
        <v>0.001099282501</v>
      </c>
      <c r="AM311" s="100">
        <f t="shared" si="17"/>
        <v>0</v>
      </c>
      <c r="AN311" s="104">
        <f t="shared" si="18"/>
        <v>0.1757012656</v>
      </c>
      <c r="AO311" s="97">
        <f t="shared" si="19"/>
        <v>1390.324115</v>
      </c>
    </row>
    <row r="312" ht="15.75" customHeight="1">
      <c r="A312" s="95">
        <v>80201.0</v>
      </c>
      <c r="B312" s="60" t="s">
        <v>274</v>
      </c>
      <c r="C312" s="60" t="s">
        <v>277</v>
      </c>
      <c r="D312" s="96">
        <v>3627.0</v>
      </c>
      <c r="E312" s="97">
        <v>94342.0</v>
      </c>
      <c r="F312" s="98">
        <v>3551.12339507288</v>
      </c>
      <c r="G312" s="99">
        <v>6.2494613E7</v>
      </c>
      <c r="H312" s="99">
        <f t="shared" si="1"/>
        <v>141318.4434</v>
      </c>
      <c r="I312" s="100">
        <f t="shared" si="95"/>
        <v>0.1014460672</v>
      </c>
      <c r="J312" s="101">
        <f t="shared" si="3"/>
        <v>0.1519598939</v>
      </c>
      <c r="K312" s="102">
        <v>69.34659157952231</v>
      </c>
      <c r="L312" s="103">
        <v>6.9208298E7</v>
      </c>
      <c r="M312" s="99">
        <f t="shared" si="4"/>
        <v>187587.4801</v>
      </c>
      <c r="N312" s="100">
        <f t="shared" si="96"/>
        <v>0.04287638887</v>
      </c>
      <c r="O312" s="101">
        <f t="shared" si="6"/>
        <v>0.08525443327</v>
      </c>
      <c r="P312" s="98">
        <v>4.851337816203917</v>
      </c>
      <c r="Q312" s="102"/>
      <c r="R312" s="99">
        <f t="shared" si="7"/>
        <v>0</v>
      </c>
      <c r="S312" s="100">
        <f t="shared" si="97"/>
        <v>0.03989131579</v>
      </c>
      <c r="T312" s="101">
        <f t="shared" si="9"/>
        <v>0</v>
      </c>
      <c r="U312" s="100">
        <f t="shared" si="10"/>
        <v>0.2372143272</v>
      </c>
      <c r="V312" s="99">
        <f t="shared" si="11"/>
        <v>22379.27406</v>
      </c>
      <c r="W312" s="96">
        <v>6592.0</v>
      </c>
      <c r="X312" s="97">
        <v>110302.0</v>
      </c>
      <c r="Y312" s="98">
        <v>6408.373220618582</v>
      </c>
      <c r="Z312" s="103">
        <v>8.814083E7</v>
      </c>
      <c r="AA312" s="99">
        <v>199312.37411093</v>
      </c>
      <c r="AB312" s="100">
        <f t="shared" si="98"/>
        <v>0.1178942705</v>
      </c>
      <c r="AC312" s="101">
        <f t="shared" si="13"/>
        <v>0.213031377</v>
      </c>
      <c r="AD312" s="98">
        <v>170.1716474006689</v>
      </c>
      <c r="AE312" s="99">
        <v>7.3585374E7</v>
      </c>
      <c r="AF312" s="99">
        <v>118292.19145099001</v>
      </c>
      <c r="AG312" s="100">
        <f t="shared" si="99"/>
        <v>0.08428524053</v>
      </c>
      <c r="AH312" s="101">
        <f t="shared" si="15"/>
        <v>0.09039079807</v>
      </c>
      <c r="AI312" s="102">
        <v>10.44363622205977</v>
      </c>
      <c r="AJ312" s="102"/>
      <c r="AK312" s="102"/>
      <c r="AL312" s="100">
        <f t="shared" si="100"/>
        <v>0.06868897089</v>
      </c>
      <c r="AM312" s="100">
        <f t="shared" si="17"/>
        <v>0</v>
      </c>
      <c r="AN312" s="104">
        <f t="shared" si="18"/>
        <v>0.3034221751</v>
      </c>
      <c r="AO312" s="97">
        <f t="shared" si="19"/>
        <v>33468.07276</v>
      </c>
    </row>
    <row r="313" ht="15.75" customHeight="1">
      <c r="A313" s="95">
        <v>80202.0</v>
      </c>
      <c r="B313" s="60" t="s">
        <v>274</v>
      </c>
      <c r="C313" s="60" t="s">
        <v>836</v>
      </c>
      <c r="D313" s="108">
        <v>7.0</v>
      </c>
      <c r="E313" s="109">
        <v>41868.25</v>
      </c>
      <c r="F313" s="110">
        <v>3.0</v>
      </c>
      <c r="G313" s="99">
        <v>6.2494613E7</v>
      </c>
      <c r="H313" s="99">
        <f t="shared" si="1"/>
        <v>141318.4434</v>
      </c>
      <c r="I313" s="100">
        <f t="shared" si="95"/>
        <v>0.00008570195057</v>
      </c>
      <c r="J313" s="101">
        <f t="shared" si="3"/>
        <v>0.0002892708975</v>
      </c>
      <c r="K313" s="111">
        <v>4.0</v>
      </c>
      <c r="L313" s="103">
        <v>6.9208298E7</v>
      </c>
      <c r="M313" s="99">
        <f t="shared" si="4"/>
        <v>187587.4801</v>
      </c>
      <c r="N313" s="100">
        <f t="shared" si="96"/>
        <v>0.002473164889</v>
      </c>
      <c r="O313" s="101">
        <f t="shared" si="6"/>
        <v>0.01108082543</v>
      </c>
      <c r="P313" s="110">
        <v>0.0</v>
      </c>
      <c r="Q313" s="111"/>
      <c r="R313" s="99">
        <f t="shared" si="7"/>
        <v>0</v>
      </c>
      <c r="S313" s="100">
        <f t="shared" si="97"/>
        <v>0</v>
      </c>
      <c r="T313" s="101">
        <f t="shared" si="9"/>
        <v>0</v>
      </c>
      <c r="U313" s="100">
        <f t="shared" si="10"/>
        <v>0.01137009633</v>
      </c>
      <c r="V313" s="99">
        <f t="shared" si="11"/>
        <v>476.0460357</v>
      </c>
      <c r="W313" s="108">
        <v>6.0</v>
      </c>
      <c r="X313" s="97">
        <v>42031.0</v>
      </c>
      <c r="Y313" s="110">
        <v>2.0</v>
      </c>
      <c r="Z313" s="103">
        <v>8.814083E7</v>
      </c>
      <c r="AA313" s="99">
        <v>199312.37411093</v>
      </c>
      <c r="AB313" s="100">
        <f t="shared" si="98"/>
        <v>0.0000367938216</v>
      </c>
      <c r="AC313" s="101">
        <f t="shared" si="13"/>
        <v>0.0001744775032</v>
      </c>
      <c r="AD313" s="110">
        <v>4.0</v>
      </c>
      <c r="AE313" s="99">
        <v>7.3585374E7</v>
      </c>
      <c r="AF313" s="99">
        <v>118292.19145099001</v>
      </c>
      <c r="AG313" s="100">
        <f t="shared" si="99"/>
        <v>0.001981181749</v>
      </c>
      <c r="AH313" s="101">
        <f t="shared" si="15"/>
        <v>0.005575844753</v>
      </c>
      <c r="AI313" s="111">
        <v>0.0</v>
      </c>
      <c r="AJ313" s="111"/>
      <c r="AK313" s="111"/>
      <c r="AL313" s="100">
        <f t="shared" si="100"/>
        <v>0</v>
      </c>
      <c r="AM313" s="100">
        <f t="shared" si="17"/>
        <v>0</v>
      </c>
      <c r="AN313" s="104">
        <f t="shared" si="18"/>
        <v>0.005750322256</v>
      </c>
      <c r="AO313" s="97">
        <f t="shared" si="19"/>
        <v>241.6917947</v>
      </c>
    </row>
    <row r="314" ht="15.75" customHeight="1">
      <c r="A314" s="95">
        <v>80301.0</v>
      </c>
      <c r="B314" s="60" t="s">
        <v>274</v>
      </c>
      <c r="C314" s="60" t="s">
        <v>837</v>
      </c>
      <c r="D314" s="108"/>
      <c r="E314" s="109">
        <v>12804.0</v>
      </c>
      <c r="F314" s="110"/>
      <c r="G314" s="99">
        <v>6.2494613E7</v>
      </c>
      <c r="H314" s="99">
        <f t="shared" si="1"/>
        <v>141318.4434</v>
      </c>
      <c r="I314" s="100">
        <f t="shared" si="95"/>
        <v>0</v>
      </c>
      <c r="J314" s="101">
        <f t="shared" si="3"/>
        <v>0</v>
      </c>
      <c r="K314" s="111"/>
      <c r="L314" s="103">
        <v>6.9208298E7</v>
      </c>
      <c r="M314" s="99">
        <f t="shared" si="4"/>
        <v>187587.4801</v>
      </c>
      <c r="N314" s="100">
        <f t="shared" si="96"/>
        <v>0</v>
      </c>
      <c r="O314" s="101">
        <f t="shared" si="6"/>
        <v>0</v>
      </c>
      <c r="P314" s="110"/>
      <c r="Q314" s="111"/>
      <c r="R314" s="99">
        <f t="shared" si="7"/>
        <v>0</v>
      </c>
      <c r="S314" s="100">
        <f t="shared" si="97"/>
        <v>0</v>
      </c>
      <c r="T314" s="101">
        <f t="shared" si="9"/>
        <v>0</v>
      </c>
      <c r="U314" s="100">
        <f t="shared" si="10"/>
        <v>0</v>
      </c>
      <c r="V314" s="99">
        <f t="shared" si="11"/>
        <v>0</v>
      </c>
      <c r="W314" s="108"/>
      <c r="X314" s="97">
        <v>11478.0</v>
      </c>
      <c r="Y314" s="110"/>
      <c r="Z314" s="103">
        <v>8.814083E7</v>
      </c>
      <c r="AA314" s="99">
        <v>199312.37411093</v>
      </c>
      <c r="AB314" s="100">
        <f t="shared" si="98"/>
        <v>0</v>
      </c>
      <c r="AC314" s="101">
        <f t="shared" si="13"/>
        <v>0</v>
      </c>
      <c r="AD314" s="110"/>
      <c r="AE314" s="99">
        <v>7.3585374E7</v>
      </c>
      <c r="AF314" s="99">
        <v>118292.19145099001</v>
      </c>
      <c r="AG314" s="100">
        <f t="shared" si="99"/>
        <v>0</v>
      </c>
      <c r="AH314" s="101">
        <f t="shared" si="15"/>
        <v>0</v>
      </c>
      <c r="AI314" s="111"/>
      <c r="AJ314" s="111"/>
      <c r="AK314" s="111"/>
      <c r="AL314" s="100">
        <f t="shared" si="100"/>
        <v>0</v>
      </c>
      <c r="AM314" s="100">
        <f t="shared" si="17"/>
        <v>0</v>
      </c>
      <c r="AN314" s="104">
        <f t="shared" si="18"/>
        <v>0</v>
      </c>
      <c r="AO314" s="97">
        <f t="shared" si="19"/>
        <v>0</v>
      </c>
    </row>
    <row r="315" ht="15.75" customHeight="1">
      <c r="A315" s="95">
        <v>80302.0</v>
      </c>
      <c r="B315" s="60" t="s">
        <v>274</v>
      </c>
      <c r="C315" s="60" t="s">
        <v>278</v>
      </c>
      <c r="D315" s="96">
        <v>230.0</v>
      </c>
      <c r="E315" s="97">
        <v>42097.5</v>
      </c>
      <c r="F315" s="98">
        <v>217.4326278972127</v>
      </c>
      <c r="G315" s="99">
        <v>6.2494613E7</v>
      </c>
      <c r="H315" s="99">
        <f t="shared" si="1"/>
        <v>141318.4434</v>
      </c>
      <c r="I315" s="100">
        <f t="shared" si="95"/>
        <v>0.006211466776</v>
      </c>
      <c r="J315" s="101">
        <f t="shared" si="3"/>
        <v>0.02085147138</v>
      </c>
      <c r="K315" s="102">
        <v>12.00810264832893</v>
      </c>
      <c r="L315" s="103">
        <v>6.9208298E7</v>
      </c>
      <c r="M315" s="99">
        <f t="shared" si="4"/>
        <v>187587.4801</v>
      </c>
      <c r="N315" s="100">
        <f t="shared" si="96"/>
        <v>0.007424504465</v>
      </c>
      <c r="O315" s="101">
        <f t="shared" si="6"/>
        <v>0.0330837718</v>
      </c>
      <c r="P315" s="98">
        <v>0.4600325632258682</v>
      </c>
      <c r="Q315" s="102"/>
      <c r="R315" s="99">
        <f t="shared" si="7"/>
        <v>0</v>
      </c>
      <c r="S315" s="100">
        <f t="shared" si="97"/>
        <v>0.003782730651</v>
      </c>
      <c r="T315" s="101">
        <f t="shared" si="9"/>
        <v>0</v>
      </c>
      <c r="U315" s="100">
        <f t="shared" si="10"/>
        <v>0.05393524318</v>
      </c>
      <c r="V315" s="99">
        <f t="shared" si="11"/>
        <v>2270.5389</v>
      </c>
      <c r="W315" s="96">
        <v>468.0</v>
      </c>
      <c r="X315" s="97">
        <v>45798.0</v>
      </c>
      <c r="Y315" s="98">
        <v>441.3618413396036</v>
      </c>
      <c r="Z315" s="103">
        <v>8.814083E7</v>
      </c>
      <c r="AA315" s="99">
        <v>199312.37411093</v>
      </c>
      <c r="AB315" s="100">
        <f t="shared" si="98"/>
        <v>0.008119694425</v>
      </c>
      <c r="AC315" s="101">
        <f t="shared" si="13"/>
        <v>0.03533681761</v>
      </c>
      <c r="AD315" s="98">
        <v>25.41660018622934</v>
      </c>
      <c r="AE315" s="99">
        <v>7.3585374E7</v>
      </c>
      <c r="AF315" s="99">
        <v>118292.19145099001</v>
      </c>
      <c r="AG315" s="100">
        <f t="shared" si="99"/>
        <v>0.01258872611</v>
      </c>
      <c r="AH315" s="101">
        <f t="shared" si="15"/>
        <v>0.03251556834</v>
      </c>
      <c r="AI315" s="102">
        <v>1.020137061269401</v>
      </c>
      <c r="AJ315" s="102"/>
      <c r="AK315" s="102"/>
      <c r="AL315" s="100">
        <f t="shared" si="100"/>
        <v>0.006709556271</v>
      </c>
      <c r="AM315" s="100">
        <f t="shared" si="17"/>
        <v>0</v>
      </c>
      <c r="AN315" s="104">
        <f t="shared" si="18"/>
        <v>0.06785238595</v>
      </c>
      <c r="AO315" s="97">
        <f t="shared" si="19"/>
        <v>3107.503572</v>
      </c>
    </row>
    <row r="316" ht="15.75" customHeight="1">
      <c r="A316" s="95">
        <v>80303.0</v>
      </c>
      <c r="B316" s="60" t="s">
        <v>274</v>
      </c>
      <c r="C316" s="60" t="s">
        <v>824</v>
      </c>
      <c r="D316" s="108"/>
      <c r="E316" s="109">
        <v>9889.0</v>
      </c>
      <c r="F316" s="110"/>
      <c r="G316" s="99">
        <v>6.2494613E7</v>
      </c>
      <c r="H316" s="99">
        <f t="shared" si="1"/>
        <v>141318.4434</v>
      </c>
      <c r="I316" s="100">
        <f t="shared" si="95"/>
        <v>0</v>
      </c>
      <c r="J316" s="101">
        <f t="shared" si="3"/>
        <v>0</v>
      </c>
      <c r="K316" s="111"/>
      <c r="L316" s="103">
        <v>6.9208298E7</v>
      </c>
      <c r="M316" s="99">
        <f t="shared" si="4"/>
        <v>187587.4801</v>
      </c>
      <c r="N316" s="100">
        <f t="shared" si="96"/>
        <v>0</v>
      </c>
      <c r="O316" s="101">
        <f t="shared" si="6"/>
        <v>0</v>
      </c>
      <c r="P316" s="110"/>
      <c r="Q316" s="111"/>
      <c r="R316" s="99">
        <f t="shared" si="7"/>
        <v>0</v>
      </c>
      <c r="S316" s="100">
        <f t="shared" si="97"/>
        <v>0</v>
      </c>
      <c r="T316" s="101">
        <f t="shared" si="9"/>
        <v>0</v>
      </c>
      <c r="U316" s="100">
        <f t="shared" si="10"/>
        <v>0</v>
      </c>
      <c r="V316" s="99">
        <f t="shared" si="11"/>
        <v>0</v>
      </c>
      <c r="W316" s="108"/>
      <c r="X316" s="97">
        <v>11122.0</v>
      </c>
      <c r="Y316" s="110"/>
      <c r="Z316" s="103">
        <v>8.814083E7</v>
      </c>
      <c r="AA316" s="99">
        <v>199312.37411093</v>
      </c>
      <c r="AB316" s="100">
        <f t="shared" si="98"/>
        <v>0</v>
      </c>
      <c r="AC316" s="101">
        <f t="shared" si="13"/>
        <v>0</v>
      </c>
      <c r="AD316" s="110"/>
      <c r="AE316" s="99">
        <v>7.3585374E7</v>
      </c>
      <c r="AF316" s="99">
        <v>118292.19145099001</v>
      </c>
      <c r="AG316" s="100">
        <f t="shared" si="99"/>
        <v>0</v>
      </c>
      <c r="AH316" s="101">
        <f t="shared" si="15"/>
        <v>0</v>
      </c>
      <c r="AI316" s="111"/>
      <c r="AJ316" s="111"/>
      <c r="AK316" s="111"/>
      <c r="AL316" s="100">
        <f t="shared" si="100"/>
        <v>0</v>
      </c>
      <c r="AM316" s="100">
        <f t="shared" si="17"/>
        <v>0</v>
      </c>
      <c r="AN316" s="104">
        <f t="shared" si="18"/>
        <v>0</v>
      </c>
      <c r="AO316" s="97">
        <f t="shared" si="19"/>
        <v>0</v>
      </c>
    </row>
    <row r="317" ht="15.75" customHeight="1">
      <c r="A317" s="95">
        <v>80304.0</v>
      </c>
      <c r="B317" s="60" t="s">
        <v>274</v>
      </c>
      <c r="C317" s="60" t="s">
        <v>838</v>
      </c>
      <c r="D317" s="116">
        <v>435.0</v>
      </c>
      <c r="E317" s="109">
        <v>19706.25</v>
      </c>
      <c r="F317" s="110">
        <v>427.6809025252205</v>
      </c>
      <c r="G317" s="99">
        <v>6.2494613E7</v>
      </c>
      <c r="H317" s="99">
        <f t="shared" si="1"/>
        <v>141318.4434</v>
      </c>
      <c r="I317" s="100">
        <f t="shared" si="95"/>
        <v>0.01221769586</v>
      </c>
      <c r="J317" s="101">
        <f t="shared" si="3"/>
        <v>0.08761615024</v>
      </c>
      <c r="K317" s="111">
        <v>6.574025041838048</v>
      </c>
      <c r="L317" s="103">
        <v>6.9208298E7</v>
      </c>
      <c r="M317" s="99">
        <f t="shared" si="4"/>
        <v>187587.4801</v>
      </c>
      <c r="N317" s="100">
        <f t="shared" si="96"/>
        <v>0.004064661979</v>
      </c>
      <c r="O317" s="101">
        <f t="shared" si="6"/>
        <v>0.03869227773</v>
      </c>
      <c r="P317" s="110">
        <v>0.5441422917825294</v>
      </c>
      <c r="Q317" s="111"/>
      <c r="R317" s="99">
        <f t="shared" si="7"/>
        <v>0</v>
      </c>
      <c r="S317" s="100">
        <f t="shared" si="97"/>
        <v>0.004474343536</v>
      </c>
      <c r="T317" s="101">
        <f t="shared" si="9"/>
        <v>0</v>
      </c>
      <c r="U317" s="100">
        <f t="shared" si="10"/>
        <v>0.126308428</v>
      </c>
      <c r="V317" s="99">
        <f t="shared" si="11"/>
        <v>2489.065459</v>
      </c>
      <c r="W317" s="116">
        <v>1040.0</v>
      </c>
      <c r="X317" s="97">
        <v>21240.0</v>
      </c>
      <c r="Y317" s="110">
        <v>1017.3060842069665</v>
      </c>
      <c r="Z317" s="103">
        <v>8.814083E7</v>
      </c>
      <c r="AA317" s="99">
        <v>199312.37411093</v>
      </c>
      <c r="AB317" s="100">
        <f t="shared" si="98"/>
        <v>0.01871528929</v>
      </c>
      <c r="AC317" s="101">
        <f t="shared" si="13"/>
        <v>0.1756209388</v>
      </c>
      <c r="AD317" s="110">
        <v>21.256757203866478</v>
      </c>
      <c r="AE317" s="99">
        <v>7.3585374E7</v>
      </c>
      <c r="AF317" s="99">
        <v>118292.19145099001</v>
      </c>
      <c r="AG317" s="100">
        <f t="shared" si="99"/>
        <v>0.01052837486</v>
      </c>
      <c r="AH317" s="101">
        <f t="shared" si="15"/>
        <v>0.05863580669</v>
      </c>
      <c r="AI317" s="111">
        <v>0.9527646547351158</v>
      </c>
      <c r="AJ317" s="111"/>
      <c r="AK317" s="111"/>
      <c r="AL317" s="100">
        <f t="shared" si="100"/>
        <v>0.00626644037</v>
      </c>
      <c r="AM317" s="100">
        <f t="shared" si="17"/>
        <v>0</v>
      </c>
      <c r="AN317" s="104">
        <f t="shared" si="18"/>
        <v>0.2342567455</v>
      </c>
      <c r="AO317" s="97">
        <f t="shared" si="19"/>
        <v>4975.613274</v>
      </c>
    </row>
    <row r="318" ht="15.75" customHeight="1">
      <c r="A318" s="95">
        <v>80401.0</v>
      </c>
      <c r="B318" s="60" t="s">
        <v>274</v>
      </c>
      <c r="C318" s="60" t="s">
        <v>839</v>
      </c>
      <c r="D318" s="108">
        <v>38.0</v>
      </c>
      <c r="E318" s="109">
        <v>17323.75</v>
      </c>
      <c r="F318" s="110">
        <v>36.0</v>
      </c>
      <c r="G318" s="99">
        <v>6.2494613E7</v>
      </c>
      <c r="H318" s="99">
        <f t="shared" si="1"/>
        <v>141318.4434</v>
      </c>
      <c r="I318" s="100">
        <f t="shared" si="95"/>
        <v>0.001028423407</v>
      </c>
      <c r="J318" s="101">
        <f t="shared" si="3"/>
        <v>0.008389361139</v>
      </c>
      <c r="K318" s="111">
        <v>2.0</v>
      </c>
      <c r="L318" s="103">
        <v>6.9208298E7</v>
      </c>
      <c r="M318" s="99">
        <f t="shared" si="4"/>
        <v>187587.4801</v>
      </c>
      <c r="N318" s="100">
        <f t="shared" si="96"/>
        <v>0.001236582445</v>
      </c>
      <c r="O318" s="101">
        <f t="shared" si="6"/>
        <v>0.01339013693</v>
      </c>
      <c r="P318" s="110">
        <v>0.0</v>
      </c>
      <c r="Q318" s="111"/>
      <c r="R318" s="99">
        <f t="shared" si="7"/>
        <v>0</v>
      </c>
      <c r="S318" s="100">
        <f t="shared" si="97"/>
        <v>0</v>
      </c>
      <c r="T318" s="101">
        <f t="shared" si="9"/>
        <v>0</v>
      </c>
      <c r="U318" s="100">
        <f t="shared" si="10"/>
        <v>0.02177949807</v>
      </c>
      <c r="V318" s="99">
        <f t="shared" si="11"/>
        <v>377.3025798</v>
      </c>
      <c r="W318" s="108">
        <v>554.0</v>
      </c>
      <c r="X318" s="97">
        <v>18088.0</v>
      </c>
      <c r="Y318" s="110">
        <v>522.2806447811007</v>
      </c>
      <c r="Z318" s="103">
        <v>8.814083E7</v>
      </c>
      <c r="AA318" s="99">
        <v>199312.37411093</v>
      </c>
      <c r="AB318" s="100">
        <f t="shared" si="98"/>
        <v>0.009608350434</v>
      </c>
      <c r="AC318" s="101">
        <f t="shared" si="13"/>
        <v>0.1058747864</v>
      </c>
      <c r="AD318" s="110">
        <v>30.068920814569374</v>
      </c>
      <c r="AE318" s="99">
        <v>7.3585374E7</v>
      </c>
      <c r="AF318" s="99">
        <v>118292.19145099001</v>
      </c>
      <c r="AG318" s="100">
        <f t="shared" si="99"/>
        <v>0.01489299929</v>
      </c>
      <c r="AH318" s="101">
        <f t="shared" si="15"/>
        <v>0.09739747473</v>
      </c>
      <c r="AI318" s="111">
        <v>1.4180628718894461</v>
      </c>
      <c r="AJ318" s="111"/>
      <c r="AK318" s="111"/>
      <c r="AL318" s="100">
        <f t="shared" si="100"/>
        <v>0.009326759115</v>
      </c>
      <c r="AM318" s="100">
        <f t="shared" si="17"/>
        <v>0</v>
      </c>
      <c r="AN318" s="104">
        <f t="shared" si="18"/>
        <v>0.2032722611</v>
      </c>
      <c r="AO318" s="97">
        <f t="shared" si="19"/>
        <v>3676.788659</v>
      </c>
    </row>
    <row r="319" ht="15.75" customHeight="1">
      <c r="A319" s="95">
        <v>80402.0</v>
      </c>
      <c r="B319" s="60" t="s">
        <v>274</v>
      </c>
      <c r="C319" s="60" t="s">
        <v>840</v>
      </c>
      <c r="D319" s="108"/>
      <c r="E319" s="109">
        <v>6774.5</v>
      </c>
      <c r="F319" s="110"/>
      <c r="G319" s="99">
        <v>6.2494613E7</v>
      </c>
      <c r="H319" s="99">
        <f t="shared" si="1"/>
        <v>141318.4434</v>
      </c>
      <c r="I319" s="100">
        <f t="shared" si="95"/>
        <v>0</v>
      </c>
      <c r="J319" s="101">
        <f t="shared" si="3"/>
        <v>0</v>
      </c>
      <c r="K319" s="111"/>
      <c r="L319" s="103">
        <v>6.9208298E7</v>
      </c>
      <c r="M319" s="99">
        <f t="shared" si="4"/>
        <v>187587.4801</v>
      </c>
      <c r="N319" s="100">
        <f t="shared" si="96"/>
        <v>0</v>
      </c>
      <c r="O319" s="101">
        <f t="shared" si="6"/>
        <v>0</v>
      </c>
      <c r="P319" s="110"/>
      <c r="Q319" s="111"/>
      <c r="R319" s="99">
        <f t="shared" si="7"/>
        <v>0</v>
      </c>
      <c r="S319" s="100">
        <f t="shared" si="97"/>
        <v>0</v>
      </c>
      <c r="T319" s="101">
        <f t="shared" si="9"/>
        <v>0</v>
      </c>
      <c r="U319" s="100">
        <f t="shared" si="10"/>
        <v>0</v>
      </c>
      <c r="V319" s="99">
        <f t="shared" si="11"/>
        <v>0</v>
      </c>
      <c r="W319" s="108"/>
      <c r="X319" s="97">
        <v>8012.0</v>
      </c>
      <c r="Y319" s="110"/>
      <c r="Z319" s="103">
        <v>8.814083E7</v>
      </c>
      <c r="AA319" s="99">
        <v>199312.37411093</v>
      </c>
      <c r="AB319" s="100">
        <f t="shared" si="98"/>
        <v>0</v>
      </c>
      <c r="AC319" s="101">
        <f t="shared" si="13"/>
        <v>0</v>
      </c>
      <c r="AD319" s="110"/>
      <c r="AE319" s="99">
        <v>7.3585374E7</v>
      </c>
      <c r="AF319" s="99">
        <v>118292.19145099001</v>
      </c>
      <c r="AG319" s="100">
        <f t="shared" si="99"/>
        <v>0</v>
      </c>
      <c r="AH319" s="101">
        <f t="shared" si="15"/>
        <v>0</v>
      </c>
      <c r="AI319" s="111"/>
      <c r="AJ319" s="111"/>
      <c r="AK319" s="111"/>
      <c r="AL319" s="100">
        <f t="shared" si="100"/>
        <v>0</v>
      </c>
      <c r="AM319" s="100">
        <f t="shared" si="17"/>
        <v>0</v>
      </c>
      <c r="AN319" s="104">
        <f t="shared" si="18"/>
        <v>0</v>
      </c>
      <c r="AO319" s="97">
        <f t="shared" si="19"/>
        <v>0</v>
      </c>
    </row>
    <row r="320" ht="15.75" customHeight="1">
      <c r="A320" s="95">
        <v>80501.0</v>
      </c>
      <c r="B320" s="60" t="s">
        <v>274</v>
      </c>
      <c r="C320" s="60" t="s">
        <v>822</v>
      </c>
      <c r="D320" s="108">
        <v>1.0</v>
      </c>
      <c r="E320" s="109">
        <v>19835.0</v>
      </c>
      <c r="F320" s="110">
        <v>1.0</v>
      </c>
      <c r="G320" s="99">
        <v>6.2494613E7</v>
      </c>
      <c r="H320" s="99">
        <f t="shared" si="1"/>
        <v>141318.4434</v>
      </c>
      <c r="I320" s="100">
        <f t="shared" si="95"/>
        <v>0.00002856731686</v>
      </c>
      <c r="J320" s="101">
        <f t="shared" si="3"/>
        <v>0.0002035335897</v>
      </c>
      <c r="K320" s="111">
        <v>0.0</v>
      </c>
      <c r="L320" s="103">
        <v>6.9208298E7</v>
      </c>
      <c r="M320" s="99">
        <f t="shared" si="4"/>
        <v>187587.4801</v>
      </c>
      <c r="N320" s="100">
        <f t="shared" si="96"/>
        <v>0</v>
      </c>
      <c r="O320" s="101">
        <f t="shared" si="6"/>
        <v>0</v>
      </c>
      <c r="P320" s="110">
        <v>0.0</v>
      </c>
      <c r="Q320" s="111"/>
      <c r="R320" s="99">
        <f t="shared" si="7"/>
        <v>0</v>
      </c>
      <c r="S320" s="100">
        <f t="shared" si="97"/>
        <v>0</v>
      </c>
      <c r="T320" s="101">
        <f t="shared" si="9"/>
        <v>0</v>
      </c>
      <c r="U320" s="100">
        <f t="shared" si="10"/>
        <v>0.0002035335897</v>
      </c>
      <c r="V320" s="99">
        <f t="shared" si="11"/>
        <v>4.037088751</v>
      </c>
      <c r="W320" s="108">
        <v>1.0</v>
      </c>
      <c r="X320" s="97">
        <v>21584.0</v>
      </c>
      <c r="Y320" s="110">
        <v>1.0</v>
      </c>
      <c r="Z320" s="103">
        <v>8.814083E7</v>
      </c>
      <c r="AA320" s="99">
        <v>199312.37411093</v>
      </c>
      <c r="AB320" s="100">
        <f t="shared" si="98"/>
        <v>0.0000183969108</v>
      </c>
      <c r="AC320" s="101">
        <f t="shared" si="13"/>
        <v>0.0001698819481</v>
      </c>
      <c r="AD320" s="110">
        <v>0.0</v>
      </c>
      <c r="AE320" s="99">
        <v>7.3585374E7</v>
      </c>
      <c r="AF320" s="99">
        <v>118292.19145099001</v>
      </c>
      <c r="AG320" s="100">
        <f t="shared" si="99"/>
        <v>0</v>
      </c>
      <c r="AH320" s="101">
        <f t="shared" si="15"/>
        <v>0</v>
      </c>
      <c r="AI320" s="111">
        <v>0.0</v>
      </c>
      <c r="AJ320" s="111"/>
      <c r="AK320" s="111"/>
      <c r="AL320" s="100">
        <f t="shared" si="100"/>
        <v>0</v>
      </c>
      <c r="AM320" s="100">
        <f t="shared" si="17"/>
        <v>0</v>
      </c>
      <c r="AN320" s="104">
        <f t="shared" si="18"/>
        <v>0.0001698819481</v>
      </c>
      <c r="AO320" s="97">
        <f t="shared" si="19"/>
        <v>3.666731968</v>
      </c>
    </row>
    <row r="321" ht="15.75" customHeight="1">
      <c r="A321" s="95">
        <v>80601.0</v>
      </c>
      <c r="B321" s="60" t="s">
        <v>274</v>
      </c>
      <c r="C321" s="60" t="s">
        <v>841</v>
      </c>
      <c r="D321" s="108"/>
      <c r="E321" s="109">
        <v>3938.25</v>
      </c>
      <c r="F321" s="110"/>
      <c r="G321" s="99">
        <v>6.2494613E7</v>
      </c>
      <c r="H321" s="99">
        <f t="shared" si="1"/>
        <v>141318.4434</v>
      </c>
      <c r="I321" s="100">
        <f t="shared" si="95"/>
        <v>0</v>
      </c>
      <c r="J321" s="101">
        <f t="shared" si="3"/>
        <v>0</v>
      </c>
      <c r="K321" s="111"/>
      <c r="L321" s="103">
        <v>6.9208298E7</v>
      </c>
      <c r="M321" s="99">
        <f t="shared" si="4"/>
        <v>187587.4801</v>
      </c>
      <c r="N321" s="100">
        <f t="shared" si="96"/>
        <v>0</v>
      </c>
      <c r="O321" s="101">
        <f t="shared" si="6"/>
        <v>0</v>
      </c>
      <c r="P321" s="110"/>
      <c r="Q321" s="111"/>
      <c r="R321" s="99">
        <f t="shared" si="7"/>
        <v>0</v>
      </c>
      <c r="S321" s="100">
        <f t="shared" si="97"/>
        <v>0</v>
      </c>
      <c r="T321" s="101">
        <f t="shared" si="9"/>
        <v>0</v>
      </c>
      <c r="U321" s="100">
        <f t="shared" si="10"/>
        <v>0</v>
      </c>
      <c r="V321" s="99">
        <f t="shared" si="11"/>
        <v>0</v>
      </c>
      <c r="W321" s="108"/>
      <c r="X321" s="97">
        <v>4269.0</v>
      </c>
      <c r="Y321" s="110"/>
      <c r="Z321" s="103">
        <v>8.814083E7</v>
      </c>
      <c r="AA321" s="99">
        <v>199312.37411093</v>
      </c>
      <c r="AB321" s="100">
        <f t="shared" si="98"/>
        <v>0</v>
      </c>
      <c r="AC321" s="101">
        <f t="shared" si="13"/>
        <v>0</v>
      </c>
      <c r="AD321" s="110"/>
      <c r="AE321" s="99">
        <v>7.3585374E7</v>
      </c>
      <c r="AF321" s="99">
        <v>118292.19145099001</v>
      </c>
      <c r="AG321" s="100">
        <f t="shared" si="99"/>
        <v>0</v>
      </c>
      <c r="AH321" s="101">
        <f t="shared" si="15"/>
        <v>0</v>
      </c>
      <c r="AI321" s="111"/>
      <c r="AJ321" s="111"/>
      <c r="AK321" s="111"/>
      <c r="AL321" s="100">
        <f t="shared" si="100"/>
        <v>0</v>
      </c>
      <c r="AM321" s="100">
        <f t="shared" si="17"/>
        <v>0</v>
      </c>
      <c r="AN321" s="104">
        <f t="shared" si="18"/>
        <v>0</v>
      </c>
      <c r="AO321" s="97">
        <f t="shared" si="19"/>
        <v>0</v>
      </c>
    </row>
    <row r="322" ht="15.75" customHeight="1">
      <c r="A322" s="95">
        <v>80602.0</v>
      </c>
      <c r="B322" s="60" t="s">
        <v>274</v>
      </c>
      <c r="C322" s="60" t="s">
        <v>693</v>
      </c>
      <c r="D322" s="108"/>
      <c r="E322" s="109">
        <v>13269.75</v>
      </c>
      <c r="F322" s="110"/>
      <c r="G322" s="99">
        <v>6.2494613E7</v>
      </c>
      <c r="H322" s="99">
        <f t="shared" si="1"/>
        <v>141318.4434</v>
      </c>
      <c r="I322" s="100">
        <f t="shared" si="95"/>
        <v>0</v>
      </c>
      <c r="J322" s="101">
        <f t="shared" si="3"/>
        <v>0</v>
      </c>
      <c r="K322" s="111"/>
      <c r="L322" s="103">
        <v>6.9208298E7</v>
      </c>
      <c r="M322" s="99">
        <f t="shared" si="4"/>
        <v>187587.4801</v>
      </c>
      <c r="N322" s="100">
        <f t="shared" si="96"/>
        <v>0</v>
      </c>
      <c r="O322" s="101">
        <f t="shared" si="6"/>
        <v>0</v>
      </c>
      <c r="P322" s="110"/>
      <c r="Q322" s="111"/>
      <c r="R322" s="99">
        <f t="shared" si="7"/>
        <v>0</v>
      </c>
      <c r="S322" s="100">
        <f t="shared" si="97"/>
        <v>0</v>
      </c>
      <c r="T322" s="101">
        <f t="shared" si="9"/>
        <v>0</v>
      </c>
      <c r="U322" s="100">
        <f t="shared" si="10"/>
        <v>0</v>
      </c>
      <c r="V322" s="99">
        <f t="shared" si="11"/>
        <v>0</v>
      </c>
      <c r="W322" s="96">
        <v>835.0</v>
      </c>
      <c r="X322" s="97">
        <v>15570.0</v>
      </c>
      <c r="Y322" s="98">
        <v>831.3626280921598</v>
      </c>
      <c r="Z322" s="103">
        <v>8.814083E7</v>
      </c>
      <c r="AA322" s="99">
        <v>199312.37411093</v>
      </c>
      <c r="AB322" s="100">
        <f t="shared" si="98"/>
        <v>0.01529450411</v>
      </c>
      <c r="AC322" s="101">
        <f t="shared" si="13"/>
        <v>0.195785737</v>
      </c>
      <c r="AD322" s="98">
        <v>2.700265731001592</v>
      </c>
      <c r="AE322" s="99">
        <v>7.3585374E7</v>
      </c>
      <c r="AF322" s="99">
        <v>118292.19145099001</v>
      </c>
      <c r="AG322" s="100">
        <f t="shared" si="99"/>
        <v>0.001337429296</v>
      </c>
      <c r="AH322" s="101">
        <f t="shared" si="15"/>
        <v>0.01016104318</v>
      </c>
      <c r="AI322" s="102">
        <v>0.5347546227821198</v>
      </c>
      <c r="AJ322" s="102"/>
      <c r="AK322" s="102"/>
      <c r="AL322" s="100">
        <f t="shared" si="100"/>
        <v>0.003517141342</v>
      </c>
      <c r="AM322" s="100">
        <f t="shared" si="17"/>
        <v>0</v>
      </c>
      <c r="AN322" s="104">
        <f t="shared" si="18"/>
        <v>0.2059467802</v>
      </c>
      <c r="AO322" s="97">
        <f t="shared" si="19"/>
        <v>3206.591367</v>
      </c>
    </row>
    <row r="323" ht="15.75" customHeight="1">
      <c r="A323" s="95">
        <v>80701.0</v>
      </c>
      <c r="B323" s="60" t="s">
        <v>274</v>
      </c>
      <c r="C323" s="60" t="s">
        <v>281</v>
      </c>
      <c r="D323" s="96">
        <v>1.0</v>
      </c>
      <c r="E323" s="97">
        <v>6889.75</v>
      </c>
      <c r="F323" s="98">
        <v>0.0786924939467312</v>
      </c>
      <c r="G323" s="99">
        <v>6.2494613E7</v>
      </c>
      <c r="H323" s="99">
        <f t="shared" si="1"/>
        <v>141318.4434</v>
      </c>
      <c r="I323" s="100">
        <f t="shared" si="95"/>
        <v>0.000002248033409</v>
      </c>
      <c r="J323" s="101">
        <f t="shared" si="3"/>
        <v>0.00004611032071</v>
      </c>
      <c r="K323" s="102">
        <v>0.920096852300242</v>
      </c>
      <c r="L323" s="103">
        <v>6.9208298E7</v>
      </c>
      <c r="M323" s="99">
        <f t="shared" si="4"/>
        <v>187587.4801</v>
      </c>
      <c r="N323" s="100">
        <f t="shared" si="96"/>
        <v>0.0005688878075</v>
      </c>
      <c r="O323" s="101">
        <f t="shared" si="6"/>
        <v>0.01548912954</v>
      </c>
      <c r="P323" s="98">
        <v>0.00121065375302663</v>
      </c>
      <c r="Q323" s="102"/>
      <c r="R323" s="99">
        <f t="shared" si="7"/>
        <v>0</v>
      </c>
      <c r="S323" s="100">
        <f t="shared" si="97"/>
        <v>0.000009954897599</v>
      </c>
      <c r="T323" s="101">
        <f t="shared" si="9"/>
        <v>0</v>
      </c>
      <c r="U323" s="100">
        <f t="shared" si="10"/>
        <v>0.01553523986</v>
      </c>
      <c r="V323" s="99">
        <f t="shared" si="11"/>
        <v>107.0339188</v>
      </c>
      <c r="W323" s="96">
        <v>1.0</v>
      </c>
      <c r="X323" s="97">
        <v>6808.0</v>
      </c>
      <c r="Y323" s="98">
        <v>0.0786924939467312</v>
      </c>
      <c r="Z323" s="103">
        <v>8.814083E7</v>
      </c>
      <c r="AA323" s="99">
        <v>199312.37411093</v>
      </c>
      <c r="AB323" s="100">
        <f t="shared" si="98"/>
        <v>0.000001447698792</v>
      </c>
      <c r="AC323" s="101">
        <f t="shared" si="13"/>
        <v>0.00004238312032</v>
      </c>
      <c r="AD323" s="98">
        <v>0.920096852300242</v>
      </c>
      <c r="AE323" s="99">
        <v>7.3585374E7</v>
      </c>
      <c r="AF323" s="99">
        <v>118292.19145099001</v>
      </c>
      <c r="AG323" s="100">
        <f t="shared" si="99"/>
        <v>0.0004557197729</v>
      </c>
      <c r="AH323" s="101">
        <f t="shared" si="15"/>
        <v>0.007918344686</v>
      </c>
      <c r="AI323" s="102">
        <v>0.00121065375302663</v>
      </c>
      <c r="AJ323" s="102"/>
      <c r="AK323" s="102"/>
      <c r="AL323" s="100">
        <f t="shared" si="100"/>
        <v>0.000007962605995</v>
      </c>
      <c r="AM323" s="100">
        <f t="shared" si="17"/>
        <v>0</v>
      </c>
      <c r="AN323" s="104">
        <f t="shared" si="18"/>
        <v>0.007960727806</v>
      </c>
      <c r="AO323" s="97">
        <f t="shared" si="19"/>
        <v>54.19663491</v>
      </c>
    </row>
    <row r="324" ht="15.75" customHeight="1">
      <c r="A324" s="95">
        <v>80702.0</v>
      </c>
      <c r="B324" s="60" t="s">
        <v>274</v>
      </c>
      <c r="C324" s="60" t="s">
        <v>266</v>
      </c>
      <c r="D324" s="96">
        <v>1.0</v>
      </c>
      <c r="E324" s="97">
        <v>5088.5</v>
      </c>
      <c r="F324" s="98">
        <v>0.746612466124661</v>
      </c>
      <c r="G324" s="99">
        <v>6.2494613E7</v>
      </c>
      <c r="H324" s="99">
        <f t="shared" si="1"/>
        <v>141318.4434</v>
      </c>
      <c r="I324" s="100">
        <f t="shared" si="95"/>
        <v>0.00002132871489</v>
      </c>
      <c r="J324" s="101">
        <f t="shared" si="3"/>
        <v>0.0005923436746</v>
      </c>
      <c r="K324" s="102">
        <v>0.22289972899729</v>
      </c>
      <c r="L324" s="103">
        <v>6.9208298E7</v>
      </c>
      <c r="M324" s="99">
        <f t="shared" si="4"/>
        <v>187587.4801</v>
      </c>
      <c r="N324" s="100">
        <f t="shared" si="96"/>
        <v>0.0001378169459</v>
      </c>
      <c r="O324" s="101">
        <f t="shared" si="6"/>
        <v>0.005080619749</v>
      </c>
      <c r="P324" s="98">
        <v>0.0304878048780488</v>
      </c>
      <c r="Q324" s="102"/>
      <c r="R324" s="99">
        <f t="shared" si="7"/>
        <v>0</v>
      </c>
      <c r="S324" s="100">
        <f t="shared" si="97"/>
        <v>0.0002506934578</v>
      </c>
      <c r="T324" s="101">
        <f t="shared" si="9"/>
        <v>0</v>
      </c>
      <c r="U324" s="100">
        <f t="shared" si="10"/>
        <v>0.005672963424</v>
      </c>
      <c r="V324" s="99">
        <f t="shared" si="11"/>
        <v>28.86687438</v>
      </c>
      <c r="W324" s="96">
        <v>1.0</v>
      </c>
      <c r="X324" s="97">
        <v>5489.0</v>
      </c>
      <c r="Y324" s="98">
        <v>0.746612466124661</v>
      </c>
      <c r="Z324" s="103">
        <v>8.814083E7</v>
      </c>
      <c r="AA324" s="99">
        <v>199312.37411093</v>
      </c>
      <c r="AB324" s="100">
        <f t="shared" si="98"/>
        <v>0.00001373536294</v>
      </c>
      <c r="AC324" s="101">
        <f t="shared" si="13"/>
        <v>0.0004987480045</v>
      </c>
      <c r="AD324" s="98">
        <v>0.22289972899729</v>
      </c>
      <c r="AE324" s="99">
        <v>7.3585374E7</v>
      </c>
      <c r="AF324" s="99">
        <v>118292.19145099001</v>
      </c>
      <c r="AG324" s="100">
        <f t="shared" si="99"/>
        <v>0.0001104012188</v>
      </c>
      <c r="AH324" s="101">
        <f t="shared" si="15"/>
        <v>0.002379231573</v>
      </c>
      <c r="AI324" s="102">
        <v>0.0304878048780488</v>
      </c>
      <c r="AJ324" s="102"/>
      <c r="AK324" s="102"/>
      <c r="AL324" s="100">
        <f t="shared" si="100"/>
        <v>0.0002005217242</v>
      </c>
      <c r="AM324" s="100">
        <f t="shared" si="17"/>
        <v>0</v>
      </c>
      <c r="AN324" s="104">
        <f t="shared" si="18"/>
        <v>0.002877979578</v>
      </c>
      <c r="AO324" s="97">
        <f t="shared" si="19"/>
        <v>15.7972299</v>
      </c>
    </row>
    <row r="325" ht="15.75" customHeight="1">
      <c r="A325" s="95">
        <v>80703.0</v>
      </c>
      <c r="B325" s="60" t="s">
        <v>274</v>
      </c>
      <c r="C325" s="60" t="s">
        <v>842</v>
      </c>
      <c r="D325" s="108"/>
      <c r="E325" s="109">
        <v>981.5</v>
      </c>
      <c r="F325" s="110"/>
      <c r="G325" s="99">
        <v>6.2494613E7</v>
      </c>
      <c r="H325" s="99">
        <f t="shared" si="1"/>
        <v>141318.4434</v>
      </c>
      <c r="I325" s="100">
        <f t="shared" si="95"/>
        <v>0</v>
      </c>
      <c r="J325" s="101">
        <f t="shared" si="3"/>
        <v>0</v>
      </c>
      <c r="K325" s="111"/>
      <c r="L325" s="103">
        <v>6.9208298E7</v>
      </c>
      <c r="M325" s="99">
        <f t="shared" si="4"/>
        <v>187587.4801</v>
      </c>
      <c r="N325" s="100">
        <f t="shared" si="96"/>
        <v>0</v>
      </c>
      <c r="O325" s="101">
        <f t="shared" si="6"/>
        <v>0</v>
      </c>
      <c r="P325" s="110"/>
      <c r="Q325" s="111"/>
      <c r="R325" s="99">
        <f t="shared" si="7"/>
        <v>0</v>
      </c>
      <c r="S325" s="100">
        <f t="shared" si="97"/>
        <v>0</v>
      </c>
      <c r="T325" s="101">
        <f t="shared" si="9"/>
        <v>0</v>
      </c>
      <c r="U325" s="100">
        <f t="shared" si="10"/>
        <v>0</v>
      </c>
      <c r="V325" s="99">
        <f t="shared" si="11"/>
        <v>0</v>
      </c>
      <c r="W325" s="108"/>
      <c r="X325" s="97">
        <v>1091.0</v>
      </c>
      <c r="Y325" s="110"/>
      <c r="Z325" s="103">
        <v>8.814083E7</v>
      </c>
      <c r="AA325" s="99">
        <v>199312.37411093</v>
      </c>
      <c r="AB325" s="100">
        <f t="shared" si="98"/>
        <v>0</v>
      </c>
      <c r="AC325" s="101">
        <f t="shared" si="13"/>
        <v>0</v>
      </c>
      <c r="AD325" s="110"/>
      <c r="AE325" s="99">
        <v>7.3585374E7</v>
      </c>
      <c r="AF325" s="99">
        <v>118292.19145099001</v>
      </c>
      <c r="AG325" s="100">
        <f t="shared" si="99"/>
        <v>0</v>
      </c>
      <c r="AH325" s="101">
        <f t="shared" si="15"/>
        <v>0</v>
      </c>
      <c r="AI325" s="111"/>
      <c r="AJ325" s="111"/>
      <c r="AK325" s="111"/>
      <c r="AL325" s="100">
        <f t="shared" si="100"/>
        <v>0</v>
      </c>
      <c r="AM325" s="100">
        <f t="shared" si="17"/>
        <v>0</v>
      </c>
      <c r="AN325" s="104">
        <f t="shared" si="18"/>
        <v>0</v>
      </c>
      <c r="AO325" s="97">
        <f t="shared" si="19"/>
        <v>0</v>
      </c>
    </row>
    <row r="326" ht="15.75" customHeight="1">
      <c r="A326" s="95">
        <v>80801.0</v>
      </c>
      <c r="B326" s="60" t="s">
        <v>274</v>
      </c>
      <c r="C326" s="60" t="s">
        <v>843</v>
      </c>
      <c r="D326" s="108"/>
      <c r="E326" s="109">
        <v>11729.0</v>
      </c>
      <c r="F326" s="110"/>
      <c r="G326" s="99">
        <v>6.2494613E7</v>
      </c>
      <c r="H326" s="99">
        <f t="shared" si="1"/>
        <v>141318.4434</v>
      </c>
      <c r="I326" s="100">
        <f t="shared" si="95"/>
        <v>0</v>
      </c>
      <c r="J326" s="101">
        <f t="shared" si="3"/>
        <v>0</v>
      </c>
      <c r="K326" s="111"/>
      <c r="L326" s="103">
        <v>6.9208298E7</v>
      </c>
      <c r="M326" s="99">
        <f t="shared" si="4"/>
        <v>187587.4801</v>
      </c>
      <c r="N326" s="100">
        <f t="shared" si="96"/>
        <v>0</v>
      </c>
      <c r="O326" s="101">
        <f t="shared" si="6"/>
        <v>0</v>
      </c>
      <c r="P326" s="110"/>
      <c r="Q326" s="111"/>
      <c r="R326" s="99">
        <f t="shared" si="7"/>
        <v>0</v>
      </c>
      <c r="S326" s="100">
        <f t="shared" si="97"/>
        <v>0</v>
      </c>
      <c r="T326" s="101">
        <f t="shared" si="9"/>
        <v>0</v>
      </c>
      <c r="U326" s="100">
        <f t="shared" si="10"/>
        <v>0</v>
      </c>
      <c r="V326" s="99">
        <f t="shared" si="11"/>
        <v>0</v>
      </c>
      <c r="W326" s="108"/>
      <c r="X326" s="97">
        <v>12785.0</v>
      </c>
      <c r="Y326" s="110"/>
      <c r="Z326" s="103">
        <v>8.814083E7</v>
      </c>
      <c r="AA326" s="99">
        <v>199312.37411093</v>
      </c>
      <c r="AB326" s="100">
        <f t="shared" si="98"/>
        <v>0</v>
      </c>
      <c r="AC326" s="101">
        <f t="shared" si="13"/>
        <v>0</v>
      </c>
      <c r="AD326" s="110"/>
      <c r="AE326" s="99">
        <v>7.3585374E7</v>
      </c>
      <c r="AF326" s="99">
        <v>118292.19145099001</v>
      </c>
      <c r="AG326" s="100">
        <f t="shared" si="99"/>
        <v>0</v>
      </c>
      <c r="AH326" s="101">
        <f t="shared" si="15"/>
        <v>0</v>
      </c>
      <c r="AI326" s="111"/>
      <c r="AJ326" s="111"/>
      <c r="AK326" s="111"/>
      <c r="AL326" s="100">
        <f t="shared" si="100"/>
        <v>0</v>
      </c>
      <c r="AM326" s="100">
        <f t="shared" si="17"/>
        <v>0</v>
      </c>
      <c r="AN326" s="104">
        <f t="shared" si="18"/>
        <v>0</v>
      </c>
      <c r="AO326" s="97">
        <f t="shared" si="19"/>
        <v>0</v>
      </c>
    </row>
    <row r="327" ht="15.75" customHeight="1">
      <c r="A327" s="95">
        <v>80802.0</v>
      </c>
      <c r="B327" s="60" t="s">
        <v>274</v>
      </c>
      <c r="C327" s="60" t="s">
        <v>844</v>
      </c>
      <c r="D327" s="108"/>
      <c r="E327" s="109">
        <v>6345.75</v>
      </c>
      <c r="F327" s="110"/>
      <c r="G327" s="99">
        <v>6.2494613E7</v>
      </c>
      <c r="H327" s="99">
        <f t="shared" si="1"/>
        <v>141318.4434</v>
      </c>
      <c r="I327" s="100">
        <f t="shared" si="95"/>
        <v>0</v>
      </c>
      <c r="J327" s="101">
        <f t="shared" si="3"/>
        <v>0</v>
      </c>
      <c r="K327" s="111"/>
      <c r="L327" s="103">
        <v>6.9208298E7</v>
      </c>
      <c r="M327" s="99">
        <f t="shared" si="4"/>
        <v>187587.4801</v>
      </c>
      <c r="N327" s="100">
        <f t="shared" si="96"/>
        <v>0</v>
      </c>
      <c r="O327" s="101">
        <f t="shared" si="6"/>
        <v>0</v>
      </c>
      <c r="P327" s="110"/>
      <c r="Q327" s="111"/>
      <c r="R327" s="99">
        <f t="shared" si="7"/>
        <v>0</v>
      </c>
      <c r="S327" s="100">
        <f t="shared" si="97"/>
        <v>0</v>
      </c>
      <c r="T327" s="101">
        <f t="shared" si="9"/>
        <v>0</v>
      </c>
      <c r="U327" s="100">
        <f t="shared" si="10"/>
        <v>0</v>
      </c>
      <c r="V327" s="99">
        <f t="shared" si="11"/>
        <v>0</v>
      </c>
      <c r="W327" s="108"/>
      <c r="X327" s="97">
        <v>7488.0</v>
      </c>
      <c r="Y327" s="110"/>
      <c r="Z327" s="103">
        <v>8.814083E7</v>
      </c>
      <c r="AA327" s="99">
        <v>199312.37411093</v>
      </c>
      <c r="AB327" s="100">
        <f t="shared" si="98"/>
        <v>0</v>
      </c>
      <c r="AC327" s="101">
        <f t="shared" si="13"/>
        <v>0</v>
      </c>
      <c r="AD327" s="110"/>
      <c r="AE327" s="99">
        <v>7.3585374E7</v>
      </c>
      <c r="AF327" s="99">
        <v>118292.19145099001</v>
      </c>
      <c r="AG327" s="100">
        <f t="shared" si="99"/>
        <v>0</v>
      </c>
      <c r="AH327" s="101">
        <f t="shared" si="15"/>
        <v>0</v>
      </c>
      <c r="AI327" s="111"/>
      <c r="AJ327" s="111"/>
      <c r="AK327" s="111"/>
      <c r="AL327" s="100">
        <f t="shared" si="100"/>
        <v>0</v>
      </c>
      <c r="AM327" s="100">
        <f t="shared" si="17"/>
        <v>0</v>
      </c>
      <c r="AN327" s="104">
        <f t="shared" si="18"/>
        <v>0</v>
      </c>
      <c r="AO327" s="97">
        <f t="shared" si="19"/>
        <v>0</v>
      </c>
    </row>
    <row r="328" ht="15.75" customHeight="1">
      <c r="A328" s="95">
        <v>80803.0</v>
      </c>
      <c r="B328" s="60" t="s">
        <v>274</v>
      </c>
      <c r="C328" s="60" t="s">
        <v>845</v>
      </c>
      <c r="D328" s="108"/>
      <c r="E328" s="109">
        <v>4240.75</v>
      </c>
      <c r="F328" s="110"/>
      <c r="G328" s="99">
        <v>6.2494613E7</v>
      </c>
      <c r="H328" s="99">
        <f t="shared" si="1"/>
        <v>141318.4434</v>
      </c>
      <c r="I328" s="100">
        <f t="shared" si="95"/>
        <v>0</v>
      </c>
      <c r="J328" s="101">
        <f t="shared" si="3"/>
        <v>0</v>
      </c>
      <c r="K328" s="111"/>
      <c r="L328" s="103">
        <v>6.9208298E7</v>
      </c>
      <c r="M328" s="99">
        <f t="shared" si="4"/>
        <v>187587.4801</v>
      </c>
      <c r="N328" s="100">
        <f t="shared" si="96"/>
        <v>0</v>
      </c>
      <c r="O328" s="101">
        <f t="shared" si="6"/>
        <v>0</v>
      </c>
      <c r="P328" s="110"/>
      <c r="Q328" s="111"/>
      <c r="R328" s="99">
        <f t="shared" si="7"/>
        <v>0</v>
      </c>
      <c r="S328" s="100">
        <f t="shared" si="97"/>
        <v>0</v>
      </c>
      <c r="T328" s="101">
        <f t="shared" si="9"/>
        <v>0</v>
      </c>
      <c r="U328" s="100">
        <f t="shared" si="10"/>
        <v>0</v>
      </c>
      <c r="V328" s="99">
        <f t="shared" si="11"/>
        <v>0</v>
      </c>
      <c r="W328" s="108"/>
      <c r="X328" s="97">
        <v>4630.0</v>
      </c>
      <c r="Y328" s="110"/>
      <c r="Z328" s="103">
        <v>8.814083E7</v>
      </c>
      <c r="AA328" s="99">
        <v>199312.37411093</v>
      </c>
      <c r="AB328" s="100">
        <f t="shared" si="98"/>
        <v>0</v>
      </c>
      <c r="AC328" s="101">
        <f t="shared" si="13"/>
        <v>0</v>
      </c>
      <c r="AD328" s="110"/>
      <c r="AE328" s="99">
        <v>7.3585374E7</v>
      </c>
      <c r="AF328" s="99">
        <v>118292.19145099001</v>
      </c>
      <c r="AG328" s="100">
        <f t="shared" si="99"/>
        <v>0</v>
      </c>
      <c r="AH328" s="101">
        <f t="shared" si="15"/>
        <v>0</v>
      </c>
      <c r="AI328" s="111"/>
      <c r="AJ328" s="111"/>
      <c r="AK328" s="111"/>
      <c r="AL328" s="100">
        <f t="shared" si="100"/>
        <v>0</v>
      </c>
      <c r="AM328" s="100">
        <f t="shared" si="17"/>
        <v>0</v>
      </c>
      <c r="AN328" s="104">
        <f t="shared" si="18"/>
        <v>0</v>
      </c>
      <c r="AO328" s="97">
        <f t="shared" si="19"/>
        <v>0</v>
      </c>
    </row>
    <row r="329" ht="15.75" customHeight="1">
      <c r="A329" s="95">
        <v>80901.0</v>
      </c>
      <c r="B329" s="60" t="s">
        <v>274</v>
      </c>
      <c r="C329" s="60" t="s">
        <v>846</v>
      </c>
      <c r="D329" s="108"/>
      <c r="E329" s="109">
        <v>3417.25</v>
      </c>
      <c r="F329" s="110"/>
      <c r="G329" s="99">
        <v>6.2494613E7</v>
      </c>
      <c r="H329" s="99">
        <f t="shared" si="1"/>
        <v>141318.4434</v>
      </c>
      <c r="I329" s="100">
        <f t="shared" si="95"/>
        <v>0</v>
      </c>
      <c r="J329" s="101">
        <f t="shared" si="3"/>
        <v>0</v>
      </c>
      <c r="K329" s="111"/>
      <c r="L329" s="103">
        <v>6.9208298E7</v>
      </c>
      <c r="M329" s="99">
        <f t="shared" si="4"/>
        <v>187587.4801</v>
      </c>
      <c r="N329" s="100">
        <f t="shared" si="96"/>
        <v>0</v>
      </c>
      <c r="O329" s="101">
        <f t="shared" si="6"/>
        <v>0</v>
      </c>
      <c r="P329" s="110"/>
      <c r="Q329" s="111"/>
      <c r="R329" s="99">
        <f t="shared" si="7"/>
        <v>0</v>
      </c>
      <c r="S329" s="100">
        <f t="shared" si="97"/>
        <v>0</v>
      </c>
      <c r="T329" s="101">
        <f t="shared" si="9"/>
        <v>0</v>
      </c>
      <c r="U329" s="100">
        <f t="shared" si="10"/>
        <v>0</v>
      </c>
      <c r="V329" s="99">
        <f t="shared" si="11"/>
        <v>0</v>
      </c>
      <c r="W329" s="108"/>
      <c r="X329" s="97">
        <v>3973.0</v>
      </c>
      <c r="Y329" s="110"/>
      <c r="Z329" s="103">
        <v>8.814083E7</v>
      </c>
      <c r="AA329" s="99">
        <v>199312.37411093</v>
      </c>
      <c r="AB329" s="100">
        <f t="shared" si="98"/>
        <v>0</v>
      </c>
      <c r="AC329" s="101">
        <f t="shared" si="13"/>
        <v>0</v>
      </c>
      <c r="AD329" s="110"/>
      <c r="AE329" s="99">
        <v>7.3585374E7</v>
      </c>
      <c r="AF329" s="99">
        <v>118292.19145099001</v>
      </c>
      <c r="AG329" s="100">
        <f t="shared" si="99"/>
        <v>0</v>
      </c>
      <c r="AH329" s="101">
        <f t="shared" si="15"/>
        <v>0</v>
      </c>
      <c r="AI329" s="111"/>
      <c r="AJ329" s="111"/>
      <c r="AK329" s="111"/>
      <c r="AL329" s="100">
        <f t="shared" si="100"/>
        <v>0</v>
      </c>
      <c r="AM329" s="100">
        <f t="shared" si="17"/>
        <v>0</v>
      </c>
      <c r="AN329" s="104">
        <f t="shared" si="18"/>
        <v>0</v>
      </c>
      <c r="AO329" s="97">
        <f t="shared" si="19"/>
        <v>0</v>
      </c>
    </row>
    <row r="330" ht="15.75" customHeight="1">
      <c r="A330" s="95">
        <v>90101.0</v>
      </c>
      <c r="B330" s="60" t="s">
        <v>284</v>
      </c>
      <c r="C330" s="60" t="s">
        <v>285</v>
      </c>
      <c r="D330" s="96">
        <v>3243.0</v>
      </c>
      <c r="E330" s="97">
        <v>48478.75</v>
      </c>
      <c r="F330" s="98">
        <v>2813.0</v>
      </c>
      <c r="G330" s="99">
        <v>1.677422E7</v>
      </c>
      <c r="H330" s="99">
        <f t="shared" si="1"/>
        <v>37931.37594</v>
      </c>
      <c r="I330" s="100">
        <f t="shared" ref="I330:I344" si="101">F330/SUM($F$330:$F$344)</f>
        <v>1</v>
      </c>
      <c r="J330" s="101">
        <f t="shared" si="3"/>
        <v>0.7824330442</v>
      </c>
      <c r="K330" s="102">
        <v>376.9999999999998</v>
      </c>
      <c r="L330" s="103">
        <v>1.135584E7</v>
      </c>
      <c r="M330" s="99">
        <f t="shared" si="4"/>
        <v>30779.73988</v>
      </c>
      <c r="N330" s="100">
        <f t="shared" ref="N330:N344" si="102">K330/SUM($K$330:$K$344)</f>
        <v>1</v>
      </c>
      <c r="O330" s="101">
        <f t="shared" si="6"/>
        <v>0.634911995</v>
      </c>
      <c r="P330" s="98">
        <v>53.00000000000011</v>
      </c>
      <c r="Q330" s="102"/>
      <c r="R330" s="99">
        <f t="shared" si="7"/>
        <v>0</v>
      </c>
      <c r="S330" s="100">
        <f t="shared" ref="S330:S344" si="103">P330/SUM($P$330:$P$344)</f>
        <v>1</v>
      </c>
      <c r="T330" s="101">
        <f t="shared" si="9"/>
        <v>0</v>
      </c>
      <c r="U330" s="100">
        <f t="shared" si="10"/>
        <v>1.417345039</v>
      </c>
      <c r="V330" s="99">
        <f t="shared" si="11"/>
        <v>68711.11582</v>
      </c>
      <c r="W330" s="96">
        <v>10071.0</v>
      </c>
      <c r="X330" s="97">
        <v>55114.0</v>
      </c>
      <c r="Y330" s="98">
        <v>9501.39944567851</v>
      </c>
      <c r="Z330" s="103">
        <v>2.191982E7</v>
      </c>
      <c r="AA330" s="99">
        <v>49567.168408605</v>
      </c>
      <c r="AB330" s="100">
        <f t="shared" ref="AB330:AB344" si="104">Y330/SUM($Y$330:$Y$344)</f>
        <v>0.9804735687</v>
      </c>
      <c r="AC330" s="101">
        <f t="shared" si="13"/>
        <v>0.8817958867</v>
      </c>
      <c r="AD330" s="98">
        <v>484.1670338804962</v>
      </c>
      <c r="AE330" s="99">
        <v>1.6485919E7</v>
      </c>
      <c r="AF330" s="99">
        <v>27250.5039584</v>
      </c>
      <c r="AG330" s="100">
        <f t="shared" ref="AG330:AG344" si="105">AD330/SUM($AD$330:$AD$344)</f>
        <v>0.9814105203</v>
      </c>
      <c r="AH330" s="101">
        <f t="shared" si="15"/>
        <v>0.48524751</v>
      </c>
      <c r="AI330" s="102">
        <v>85.43352044099365</v>
      </c>
      <c r="AJ330" s="102"/>
      <c r="AK330" s="102"/>
      <c r="AL330" s="100">
        <f t="shared" ref="AL330:AL344" si="106">AI330/SUM($AI$330:$AI$344)</f>
        <v>0.9815505751</v>
      </c>
      <c r="AM330" s="100">
        <f t="shared" si="17"/>
        <v>0</v>
      </c>
      <c r="AN330" s="104">
        <f t="shared" si="18"/>
        <v>1.367043397</v>
      </c>
      <c r="AO330" s="97">
        <f t="shared" si="19"/>
        <v>75343.22977</v>
      </c>
    </row>
    <row r="331" ht="15.75" customHeight="1">
      <c r="A331" s="95">
        <v>90102.0</v>
      </c>
      <c r="B331" s="60" t="s">
        <v>284</v>
      </c>
      <c r="C331" s="60" t="s">
        <v>702</v>
      </c>
      <c r="D331" s="108"/>
      <c r="E331" s="109">
        <v>8299.25</v>
      </c>
      <c r="F331" s="110"/>
      <c r="G331" s="99">
        <v>1.677422E7</v>
      </c>
      <c r="H331" s="99">
        <f t="shared" si="1"/>
        <v>37931.37594</v>
      </c>
      <c r="I331" s="100">
        <f t="shared" si="101"/>
        <v>0</v>
      </c>
      <c r="J331" s="101">
        <f t="shared" si="3"/>
        <v>0</v>
      </c>
      <c r="K331" s="111"/>
      <c r="L331" s="103">
        <v>1.135584E7</v>
      </c>
      <c r="M331" s="99">
        <f t="shared" si="4"/>
        <v>30779.73988</v>
      </c>
      <c r="N331" s="100">
        <f t="shared" si="102"/>
        <v>0</v>
      </c>
      <c r="O331" s="101">
        <f t="shared" si="6"/>
        <v>0</v>
      </c>
      <c r="P331" s="110"/>
      <c r="Q331" s="111"/>
      <c r="R331" s="99">
        <f t="shared" si="7"/>
        <v>0</v>
      </c>
      <c r="S331" s="100">
        <f t="shared" si="103"/>
        <v>0</v>
      </c>
      <c r="T331" s="101">
        <f t="shared" si="9"/>
        <v>0</v>
      </c>
      <c r="U331" s="100">
        <f t="shared" si="10"/>
        <v>0</v>
      </c>
      <c r="V331" s="99">
        <f t="shared" si="11"/>
        <v>0</v>
      </c>
      <c r="W331" s="96">
        <v>200.0</v>
      </c>
      <c r="X331" s="97">
        <v>9353.0</v>
      </c>
      <c r="Y331" s="98">
        <v>189.223278675057</v>
      </c>
      <c r="Z331" s="103">
        <v>2.191982E7</v>
      </c>
      <c r="AA331" s="99">
        <v>49567.168408605</v>
      </c>
      <c r="AB331" s="100">
        <f t="shared" si="104"/>
        <v>0.01952643128</v>
      </c>
      <c r="AC331" s="101">
        <f t="shared" si="13"/>
        <v>0.1034822953</v>
      </c>
      <c r="AD331" s="98">
        <v>9.170895442831448</v>
      </c>
      <c r="AE331" s="99">
        <v>1.6485919E7</v>
      </c>
      <c r="AF331" s="99">
        <v>27250.5039584</v>
      </c>
      <c r="AG331" s="100">
        <f t="shared" si="105"/>
        <v>0.01858947974</v>
      </c>
      <c r="AH331" s="101">
        <f t="shared" si="15"/>
        <v>0.05416151944</v>
      </c>
      <c r="AI331" s="102">
        <v>1.605825882111509</v>
      </c>
      <c r="AJ331" s="102"/>
      <c r="AK331" s="102"/>
      <c r="AL331" s="100">
        <f t="shared" si="106"/>
        <v>0.01844942489</v>
      </c>
      <c r="AM331" s="100">
        <f t="shared" si="17"/>
        <v>0</v>
      </c>
      <c r="AN331" s="104">
        <f t="shared" si="18"/>
        <v>0.1576438147</v>
      </c>
      <c r="AO331" s="97">
        <f t="shared" si="19"/>
        <v>1474.442599</v>
      </c>
    </row>
    <row r="332" ht="15.75" customHeight="1">
      <c r="A332" s="95">
        <v>90103.0</v>
      </c>
      <c r="B332" s="60" t="s">
        <v>284</v>
      </c>
      <c r="C332" s="60" t="s">
        <v>847</v>
      </c>
      <c r="D332" s="108"/>
      <c r="E332" s="109">
        <v>2239.0</v>
      </c>
      <c r="F332" s="110"/>
      <c r="G332" s="99">
        <v>1.677422E7</v>
      </c>
      <c r="H332" s="99">
        <f t="shared" si="1"/>
        <v>37931.37594</v>
      </c>
      <c r="I332" s="100">
        <f t="shared" si="101"/>
        <v>0</v>
      </c>
      <c r="J332" s="101">
        <f t="shared" si="3"/>
        <v>0</v>
      </c>
      <c r="K332" s="111"/>
      <c r="L332" s="103">
        <v>1.135584E7</v>
      </c>
      <c r="M332" s="99">
        <f t="shared" si="4"/>
        <v>30779.73988</v>
      </c>
      <c r="N332" s="100">
        <f t="shared" si="102"/>
        <v>0</v>
      </c>
      <c r="O332" s="101">
        <f t="shared" si="6"/>
        <v>0</v>
      </c>
      <c r="P332" s="110"/>
      <c r="Q332" s="111"/>
      <c r="R332" s="99">
        <f t="shared" si="7"/>
        <v>0</v>
      </c>
      <c r="S332" s="100">
        <f t="shared" si="103"/>
        <v>0</v>
      </c>
      <c r="T332" s="101">
        <f t="shared" si="9"/>
        <v>0</v>
      </c>
      <c r="U332" s="100">
        <f t="shared" si="10"/>
        <v>0</v>
      </c>
      <c r="V332" s="99">
        <f t="shared" si="11"/>
        <v>0</v>
      </c>
      <c r="W332" s="108"/>
      <c r="X332" s="97">
        <v>2437.0</v>
      </c>
      <c r="Y332" s="110"/>
      <c r="Z332" s="103">
        <v>2.191982E7</v>
      </c>
      <c r="AA332" s="99">
        <v>49567.168408605</v>
      </c>
      <c r="AB332" s="100">
        <f t="shared" si="104"/>
        <v>0</v>
      </c>
      <c r="AC332" s="101">
        <f t="shared" si="13"/>
        <v>0</v>
      </c>
      <c r="AD332" s="110"/>
      <c r="AE332" s="99">
        <v>1.6485919E7</v>
      </c>
      <c r="AF332" s="99">
        <v>27250.5039584</v>
      </c>
      <c r="AG332" s="100">
        <f t="shared" si="105"/>
        <v>0</v>
      </c>
      <c r="AH332" s="101">
        <f t="shared" si="15"/>
        <v>0</v>
      </c>
      <c r="AI332" s="111"/>
      <c r="AJ332" s="111"/>
      <c r="AK332" s="111"/>
      <c r="AL332" s="100">
        <f t="shared" si="106"/>
        <v>0</v>
      </c>
      <c r="AM332" s="100">
        <f t="shared" si="17"/>
        <v>0</v>
      </c>
      <c r="AN332" s="104">
        <f t="shared" si="18"/>
        <v>0</v>
      </c>
      <c r="AO332" s="97">
        <f t="shared" si="19"/>
        <v>0</v>
      </c>
    </row>
    <row r="333" ht="15.75" customHeight="1">
      <c r="A333" s="95">
        <v>90104.0</v>
      </c>
      <c r="B333" s="60" t="s">
        <v>284</v>
      </c>
      <c r="C333" s="60" t="s">
        <v>848</v>
      </c>
      <c r="D333" s="108"/>
      <c r="E333" s="109">
        <v>3839.25</v>
      </c>
      <c r="F333" s="110"/>
      <c r="G333" s="99">
        <v>1.677422E7</v>
      </c>
      <c r="H333" s="99">
        <f t="shared" si="1"/>
        <v>37931.37594</v>
      </c>
      <c r="I333" s="100">
        <f t="shared" si="101"/>
        <v>0</v>
      </c>
      <c r="J333" s="101">
        <f t="shared" si="3"/>
        <v>0</v>
      </c>
      <c r="K333" s="111"/>
      <c r="L333" s="103">
        <v>1.135584E7</v>
      </c>
      <c r="M333" s="99">
        <f t="shared" si="4"/>
        <v>30779.73988</v>
      </c>
      <c r="N333" s="100">
        <f t="shared" si="102"/>
        <v>0</v>
      </c>
      <c r="O333" s="101">
        <f t="shared" si="6"/>
        <v>0</v>
      </c>
      <c r="P333" s="110"/>
      <c r="Q333" s="111"/>
      <c r="R333" s="99">
        <f t="shared" si="7"/>
        <v>0</v>
      </c>
      <c r="S333" s="100">
        <f t="shared" si="103"/>
        <v>0</v>
      </c>
      <c r="T333" s="101">
        <f t="shared" si="9"/>
        <v>0</v>
      </c>
      <c r="U333" s="100">
        <f t="shared" si="10"/>
        <v>0</v>
      </c>
      <c r="V333" s="99">
        <f t="shared" si="11"/>
        <v>0</v>
      </c>
      <c r="W333" s="108"/>
      <c r="X333" s="97">
        <v>3630.0</v>
      </c>
      <c r="Y333" s="110"/>
      <c r="Z333" s="103">
        <v>2.191982E7</v>
      </c>
      <c r="AA333" s="99">
        <v>49567.168408605</v>
      </c>
      <c r="AB333" s="100">
        <f t="shared" si="104"/>
        <v>0</v>
      </c>
      <c r="AC333" s="101">
        <f t="shared" si="13"/>
        <v>0</v>
      </c>
      <c r="AD333" s="110"/>
      <c r="AE333" s="99">
        <v>1.6485919E7</v>
      </c>
      <c r="AF333" s="99">
        <v>27250.5039584</v>
      </c>
      <c r="AG333" s="100">
        <f t="shared" si="105"/>
        <v>0</v>
      </c>
      <c r="AH333" s="101">
        <f t="shared" si="15"/>
        <v>0</v>
      </c>
      <c r="AI333" s="111"/>
      <c r="AJ333" s="111"/>
      <c r="AK333" s="111"/>
      <c r="AL333" s="100">
        <f t="shared" si="106"/>
        <v>0</v>
      </c>
      <c r="AM333" s="100">
        <f t="shared" si="17"/>
        <v>0</v>
      </c>
      <c r="AN333" s="104">
        <f t="shared" si="18"/>
        <v>0</v>
      </c>
      <c r="AO333" s="97">
        <f t="shared" si="19"/>
        <v>0</v>
      </c>
    </row>
    <row r="334" ht="15.75" customHeight="1">
      <c r="A334" s="95">
        <v>90201.0</v>
      </c>
      <c r="B334" s="60" t="s">
        <v>284</v>
      </c>
      <c r="C334" s="60" t="s">
        <v>849</v>
      </c>
      <c r="D334" s="108"/>
      <c r="E334" s="109">
        <v>6521.0</v>
      </c>
      <c r="F334" s="110"/>
      <c r="G334" s="99">
        <v>1.677422E7</v>
      </c>
      <c r="H334" s="99">
        <f t="shared" si="1"/>
        <v>37931.37594</v>
      </c>
      <c r="I334" s="100">
        <f t="shared" si="101"/>
        <v>0</v>
      </c>
      <c r="J334" s="101">
        <f t="shared" si="3"/>
        <v>0</v>
      </c>
      <c r="K334" s="111"/>
      <c r="L334" s="103">
        <v>1.135584E7</v>
      </c>
      <c r="M334" s="99">
        <f t="shared" si="4"/>
        <v>30779.73988</v>
      </c>
      <c r="N334" s="100">
        <f t="shared" si="102"/>
        <v>0</v>
      </c>
      <c r="O334" s="101">
        <f t="shared" si="6"/>
        <v>0</v>
      </c>
      <c r="P334" s="110"/>
      <c r="Q334" s="111"/>
      <c r="R334" s="99">
        <f t="shared" si="7"/>
        <v>0</v>
      </c>
      <c r="S334" s="100">
        <f t="shared" si="103"/>
        <v>0</v>
      </c>
      <c r="T334" s="101">
        <f t="shared" si="9"/>
        <v>0</v>
      </c>
      <c r="U334" s="100">
        <f t="shared" si="10"/>
        <v>0</v>
      </c>
      <c r="V334" s="99">
        <f t="shared" si="11"/>
        <v>0</v>
      </c>
      <c r="W334" s="108"/>
      <c r="X334" s="97">
        <v>7367.0</v>
      </c>
      <c r="Y334" s="110"/>
      <c r="Z334" s="103">
        <v>2.191982E7</v>
      </c>
      <c r="AA334" s="99">
        <v>49567.168408605</v>
      </c>
      <c r="AB334" s="100">
        <f t="shared" si="104"/>
        <v>0</v>
      </c>
      <c r="AC334" s="101">
        <f t="shared" si="13"/>
        <v>0</v>
      </c>
      <c r="AD334" s="110"/>
      <c r="AE334" s="99">
        <v>1.6485919E7</v>
      </c>
      <c r="AF334" s="99">
        <v>27250.5039584</v>
      </c>
      <c r="AG334" s="100">
        <f t="shared" si="105"/>
        <v>0</v>
      </c>
      <c r="AH334" s="101">
        <f t="shared" si="15"/>
        <v>0</v>
      </c>
      <c r="AI334" s="111"/>
      <c r="AJ334" s="111"/>
      <c r="AK334" s="111"/>
      <c r="AL334" s="100">
        <f t="shared" si="106"/>
        <v>0</v>
      </c>
      <c r="AM334" s="100">
        <f t="shared" si="17"/>
        <v>0</v>
      </c>
      <c r="AN334" s="104">
        <f t="shared" si="18"/>
        <v>0</v>
      </c>
      <c r="AO334" s="97">
        <f t="shared" si="19"/>
        <v>0</v>
      </c>
    </row>
    <row r="335" ht="15.75" customHeight="1">
      <c r="A335" s="95">
        <v>90202.0</v>
      </c>
      <c r="B335" s="60" t="s">
        <v>284</v>
      </c>
      <c r="C335" s="60" t="s">
        <v>265</v>
      </c>
      <c r="D335" s="108"/>
      <c r="E335" s="109">
        <v>3122.75</v>
      </c>
      <c r="F335" s="110"/>
      <c r="G335" s="99">
        <v>1.677422E7</v>
      </c>
      <c r="H335" s="99">
        <f t="shared" si="1"/>
        <v>37931.37594</v>
      </c>
      <c r="I335" s="100">
        <f t="shared" si="101"/>
        <v>0</v>
      </c>
      <c r="J335" s="101">
        <f t="shared" si="3"/>
        <v>0</v>
      </c>
      <c r="K335" s="111"/>
      <c r="L335" s="103">
        <v>1.135584E7</v>
      </c>
      <c r="M335" s="99">
        <f t="shared" si="4"/>
        <v>30779.73988</v>
      </c>
      <c r="N335" s="100">
        <f t="shared" si="102"/>
        <v>0</v>
      </c>
      <c r="O335" s="101">
        <f t="shared" si="6"/>
        <v>0</v>
      </c>
      <c r="P335" s="110"/>
      <c r="Q335" s="111"/>
      <c r="R335" s="99">
        <f t="shared" si="7"/>
        <v>0</v>
      </c>
      <c r="S335" s="100">
        <f t="shared" si="103"/>
        <v>0</v>
      </c>
      <c r="T335" s="101">
        <f t="shared" si="9"/>
        <v>0</v>
      </c>
      <c r="U335" s="100">
        <f t="shared" si="10"/>
        <v>0</v>
      </c>
      <c r="V335" s="99">
        <f t="shared" si="11"/>
        <v>0</v>
      </c>
      <c r="W335" s="108"/>
      <c r="X335" s="97">
        <v>3518.0</v>
      </c>
      <c r="Y335" s="110"/>
      <c r="Z335" s="103">
        <v>2.191982E7</v>
      </c>
      <c r="AA335" s="99">
        <v>49567.168408605</v>
      </c>
      <c r="AB335" s="100">
        <f t="shared" si="104"/>
        <v>0</v>
      </c>
      <c r="AC335" s="101">
        <f t="shared" si="13"/>
        <v>0</v>
      </c>
      <c r="AD335" s="110"/>
      <c r="AE335" s="99">
        <v>1.6485919E7</v>
      </c>
      <c r="AF335" s="99">
        <v>27250.5039584</v>
      </c>
      <c r="AG335" s="100">
        <f t="shared" si="105"/>
        <v>0</v>
      </c>
      <c r="AH335" s="101">
        <f t="shared" si="15"/>
        <v>0</v>
      </c>
      <c r="AI335" s="111"/>
      <c r="AJ335" s="111"/>
      <c r="AK335" s="111"/>
      <c r="AL335" s="100">
        <f t="shared" si="106"/>
        <v>0</v>
      </c>
      <c r="AM335" s="100">
        <f t="shared" si="17"/>
        <v>0</v>
      </c>
      <c r="AN335" s="104">
        <f t="shared" si="18"/>
        <v>0</v>
      </c>
      <c r="AO335" s="97">
        <f t="shared" si="19"/>
        <v>0</v>
      </c>
    </row>
    <row r="336" ht="15.75" customHeight="1">
      <c r="A336" s="95">
        <v>90203.0</v>
      </c>
      <c r="B336" s="60" t="s">
        <v>284</v>
      </c>
      <c r="C336" s="60" t="s">
        <v>850</v>
      </c>
      <c r="D336" s="108"/>
      <c r="E336" s="109">
        <v>6328.25</v>
      </c>
      <c r="F336" s="110"/>
      <c r="G336" s="99">
        <v>1.677422E7</v>
      </c>
      <c r="H336" s="99">
        <f t="shared" si="1"/>
        <v>37931.37594</v>
      </c>
      <c r="I336" s="100">
        <f t="shared" si="101"/>
        <v>0</v>
      </c>
      <c r="J336" s="101">
        <f t="shared" si="3"/>
        <v>0</v>
      </c>
      <c r="K336" s="111"/>
      <c r="L336" s="103">
        <v>1.135584E7</v>
      </c>
      <c r="M336" s="99">
        <f t="shared" si="4"/>
        <v>30779.73988</v>
      </c>
      <c r="N336" s="100">
        <f t="shared" si="102"/>
        <v>0</v>
      </c>
      <c r="O336" s="101">
        <f t="shared" si="6"/>
        <v>0</v>
      </c>
      <c r="P336" s="110"/>
      <c r="Q336" s="111"/>
      <c r="R336" s="99">
        <f t="shared" si="7"/>
        <v>0</v>
      </c>
      <c r="S336" s="100">
        <f t="shared" si="103"/>
        <v>0</v>
      </c>
      <c r="T336" s="101">
        <f t="shared" si="9"/>
        <v>0</v>
      </c>
      <c r="U336" s="100">
        <f t="shared" si="10"/>
        <v>0</v>
      </c>
      <c r="V336" s="99">
        <f t="shared" si="11"/>
        <v>0</v>
      </c>
      <c r="W336" s="108"/>
      <c r="X336" s="97">
        <v>8045.0</v>
      </c>
      <c r="Y336" s="110"/>
      <c r="Z336" s="103">
        <v>2.191982E7</v>
      </c>
      <c r="AA336" s="99">
        <v>49567.168408605</v>
      </c>
      <c r="AB336" s="100">
        <f t="shared" si="104"/>
        <v>0</v>
      </c>
      <c r="AC336" s="101">
        <f t="shared" si="13"/>
        <v>0</v>
      </c>
      <c r="AD336" s="110"/>
      <c r="AE336" s="99">
        <v>1.6485919E7</v>
      </c>
      <c r="AF336" s="99">
        <v>27250.5039584</v>
      </c>
      <c r="AG336" s="100">
        <f t="shared" si="105"/>
        <v>0</v>
      </c>
      <c r="AH336" s="101">
        <f t="shared" si="15"/>
        <v>0</v>
      </c>
      <c r="AI336" s="111"/>
      <c r="AJ336" s="111"/>
      <c r="AK336" s="111"/>
      <c r="AL336" s="100">
        <f t="shared" si="106"/>
        <v>0</v>
      </c>
      <c r="AM336" s="100">
        <f t="shared" si="17"/>
        <v>0</v>
      </c>
      <c r="AN336" s="104">
        <f t="shared" si="18"/>
        <v>0</v>
      </c>
      <c r="AO336" s="97">
        <f t="shared" si="19"/>
        <v>0</v>
      </c>
    </row>
    <row r="337" ht="15.75" customHeight="1">
      <c r="A337" s="95">
        <v>90301.0</v>
      </c>
      <c r="B337" s="60" t="s">
        <v>284</v>
      </c>
      <c r="C337" s="60" t="s">
        <v>851</v>
      </c>
      <c r="D337" s="108"/>
      <c r="E337" s="109">
        <v>9227.75</v>
      </c>
      <c r="F337" s="110"/>
      <c r="G337" s="99">
        <v>1.677422E7</v>
      </c>
      <c r="H337" s="99">
        <f t="shared" si="1"/>
        <v>37931.37594</v>
      </c>
      <c r="I337" s="100">
        <f t="shared" si="101"/>
        <v>0</v>
      </c>
      <c r="J337" s="101">
        <f t="shared" si="3"/>
        <v>0</v>
      </c>
      <c r="K337" s="111"/>
      <c r="L337" s="103">
        <v>1.135584E7</v>
      </c>
      <c r="M337" s="99">
        <f t="shared" si="4"/>
        <v>30779.73988</v>
      </c>
      <c r="N337" s="100">
        <f t="shared" si="102"/>
        <v>0</v>
      </c>
      <c r="O337" s="101">
        <f t="shared" si="6"/>
        <v>0</v>
      </c>
      <c r="P337" s="110"/>
      <c r="Q337" s="111"/>
      <c r="R337" s="99">
        <f t="shared" si="7"/>
        <v>0</v>
      </c>
      <c r="S337" s="100">
        <f t="shared" si="103"/>
        <v>0</v>
      </c>
      <c r="T337" s="101">
        <f t="shared" si="9"/>
        <v>0</v>
      </c>
      <c r="U337" s="100">
        <f t="shared" si="10"/>
        <v>0</v>
      </c>
      <c r="V337" s="99">
        <f t="shared" si="11"/>
        <v>0</v>
      </c>
      <c r="W337" s="108"/>
      <c r="X337" s="97">
        <v>12431.0</v>
      </c>
      <c r="Y337" s="110"/>
      <c r="Z337" s="103">
        <v>2.191982E7</v>
      </c>
      <c r="AA337" s="99">
        <v>49567.168408605</v>
      </c>
      <c r="AB337" s="100">
        <f t="shared" si="104"/>
        <v>0</v>
      </c>
      <c r="AC337" s="101">
        <f t="shared" si="13"/>
        <v>0</v>
      </c>
      <c r="AD337" s="110"/>
      <c r="AE337" s="99">
        <v>1.6485919E7</v>
      </c>
      <c r="AF337" s="99">
        <v>27250.5039584</v>
      </c>
      <c r="AG337" s="100">
        <f t="shared" si="105"/>
        <v>0</v>
      </c>
      <c r="AH337" s="101">
        <f t="shared" si="15"/>
        <v>0</v>
      </c>
      <c r="AI337" s="111"/>
      <c r="AJ337" s="111"/>
      <c r="AK337" s="111"/>
      <c r="AL337" s="100">
        <f t="shared" si="106"/>
        <v>0</v>
      </c>
      <c r="AM337" s="100">
        <f t="shared" si="17"/>
        <v>0</v>
      </c>
      <c r="AN337" s="104">
        <f t="shared" si="18"/>
        <v>0</v>
      </c>
      <c r="AO337" s="97">
        <f t="shared" si="19"/>
        <v>0</v>
      </c>
    </row>
    <row r="338" ht="15.75" customHeight="1">
      <c r="A338" s="95">
        <v>90302.0</v>
      </c>
      <c r="B338" s="60" t="s">
        <v>284</v>
      </c>
      <c r="C338" s="60" t="s">
        <v>219</v>
      </c>
      <c r="D338" s="108"/>
      <c r="E338" s="109">
        <v>8197.0</v>
      </c>
      <c r="F338" s="110"/>
      <c r="G338" s="99">
        <v>1.677422E7</v>
      </c>
      <c r="H338" s="99">
        <f t="shared" si="1"/>
        <v>37931.37594</v>
      </c>
      <c r="I338" s="100">
        <f t="shared" si="101"/>
        <v>0</v>
      </c>
      <c r="J338" s="101">
        <f t="shared" si="3"/>
        <v>0</v>
      </c>
      <c r="K338" s="111"/>
      <c r="L338" s="103">
        <v>1.135584E7</v>
      </c>
      <c r="M338" s="99">
        <f t="shared" si="4"/>
        <v>30779.73988</v>
      </c>
      <c r="N338" s="100">
        <f t="shared" si="102"/>
        <v>0</v>
      </c>
      <c r="O338" s="101">
        <f t="shared" si="6"/>
        <v>0</v>
      </c>
      <c r="P338" s="110"/>
      <c r="Q338" s="111"/>
      <c r="R338" s="99">
        <f t="shared" si="7"/>
        <v>0</v>
      </c>
      <c r="S338" s="100">
        <f t="shared" si="103"/>
        <v>0</v>
      </c>
      <c r="T338" s="101">
        <f t="shared" si="9"/>
        <v>0</v>
      </c>
      <c r="U338" s="100">
        <f t="shared" si="10"/>
        <v>0</v>
      </c>
      <c r="V338" s="99">
        <f t="shared" si="11"/>
        <v>0</v>
      </c>
      <c r="W338" s="108"/>
      <c r="X338" s="97">
        <v>9832.0</v>
      </c>
      <c r="Y338" s="110"/>
      <c r="Z338" s="103">
        <v>2.191982E7</v>
      </c>
      <c r="AA338" s="99">
        <v>49567.168408605</v>
      </c>
      <c r="AB338" s="100">
        <f t="shared" si="104"/>
        <v>0</v>
      </c>
      <c r="AC338" s="101">
        <f t="shared" si="13"/>
        <v>0</v>
      </c>
      <c r="AD338" s="110"/>
      <c r="AE338" s="99">
        <v>1.6485919E7</v>
      </c>
      <c r="AF338" s="99">
        <v>27250.5039584</v>
      </c>
      <c r="AG338" s="100">
        <f t="shared" si="105"/>
        <v>0</v>
      </c>
      <c r="AH338" s="101">
        <f t="shared" si="15"/>
        <v>0</v>
      </c>
      <c r="AI338" s="111"/>
      <c r="AJ338" s="111"/>
      <c r="AK338" s="111"/>
      <c r="AL338" s="100">
        <f t="shared" si="106"/>
        <v>0</v>
      </c>
      <c r="AM338" s="100">
        <f t="shared" si="17"/>
        <v>0</v>
      </c>
      <c r="AN338" s="104">
        <f t="shared" si="18"/>
        <v>0</v>
      </c>
      <c r="AO338" s="97">
        <f t="shared" si="19"/>
        <v>0</v>
      </c>
    </row>
    <row r="339" ht="15.75" customHeight="1">
      <c r="A339" s="95">
        <v>90303.0</v>
      </c>
      <c r="B339" s="60" t="s">
        <v>284</v>
      </c>
      <c r="C339" s="60" t="s">
        <v>852</v>
      </c>
      <c r="D339" s="108"/>
      <c r="E339" s="109">
        <v>8824.0</v>
      </c>
      <c r="F339" s="110"/>
      <c r="G339" s="99">
        <v>1.677422E7</v>
      </c>
      <c r="H339" s="99">
        <f t="shared" si="1"/>
        <v>37931.37594</v>
      </c>
      <c r="I339" s="100">
        <f t="shared" si="101"/>
        <v>0</v>
      </c>
      <c r="J339" s="101">
        <f t="shared" si="3"/>
        <v>0</v>
      </c>
      <c r="K339" s="111"/>
      <c r="L339" s="103">
        <v>1.135584E7</v>
      </c>
      <c r="M339" s="99">
        <f t="shared" si="4"/>
        <v>30779.73988</v>
      </c>
      <c r="N339" s="100">
        <f t="shared" si="102"/>
        <v>0</v>
      </c>
      <c r="O339" s="101">
        <f t="shared" si="6"/>
        <v>0</v>
      </c>
      <c r="P339" s="110"/>
      <c r="Q339" s="111"/>
      <c r="R339" s="99">
        <f t="shared" si="7"/>
        <v>0</v>
      </c>
      <c r="S339" s="100">
        <f t="shared" si="103"/>
        <v>0</v>
      </c>
      <c r="T339" s="101">
        <f t="shared" si="9"/>
        <v>0</v>
      </c>
      <c r="U339" s="100">
        <f t="shared" si="10"/>
        <v>0</v>
      </c>
      <c r="V339" s="99">
        <f t="shared" si="11"/>
        <v>0</v>
      </c>
      <c r="W339" s="108"/>
      <c r="X339" s="97">
        <v>10522.0</v>
      </c>
      <c r="Y339" s="110"/>
      <c r="Z339" s="103">
        <v>2.191982E7</v>
      </c>
      <c r="AA339" s="99">
        <v>49567.168408605</v>
      </c>
      <c r="AB339" s="100">
        <f t="shared" si="104"/>
        <v>0</v>
      </c>
      <c r="AC339" s="101">
        <f t="shared" si="13"/>
        <v>0</v>
      </c>
      <c r="AD339" s="110"/>
      <c r="AE339" s="99">
        <v>1.6485919E7</v>
      </c>
      <c r="AF339" s="99">
        <v>27250.5039584</v>
      </c>
      <c r="AG339" s="100">
        <f t="shared" si="105"/>
        <v>0</v>
      </c>
      <c r="AH339" s="101">
        <f t="shared" si="15"/>
        <v>0</v>
      </c>
      <c r="AI339" s="111"/>
      <c r="AJ339" s="111"/>
      <c r="AK339" s="111"/>
      <c r="AL339" s="100">
        <f t="shared" si="106"/>
        <v>0</v>
      </c>
      <c r="AM339" s="100">
        <f t="shared" si="17"/>
        <v>0</v>
      </c>
      <c r="AN339" s="104">
        <f t="shared" si="18"/>
        <v>0</v>
      </c>
      <c r="AO339" s="97">
        <f t="shared" si="19"/>
        <v>0</v>
      </c>
    </row>
    <row r="340" ht="15.75" customHeight="1">
      <c r="A340" s="95">
        <v>90401.0</v>
      </c>
      <c r="B340" s="60" t="s">
        <v>284</v>
      </c>
      <c r="C340" s="60" t="s">
        <v>824</v>
      </c>
      <c r="D340" s="108"/>
      <c r="E340" s="109">
        <v>2518.5</v>
      </c>
      <c r="F340" s="110"/>
      <c r="G340" s="99">
        <v>1.677422E7</v>
      </c>
      <c r="H340" s="99">
        <f t="shared" si="1"/>
        <v>37931.37594</v>
      </c>
      <c r="I340" s="100">
        <f t="shared" si="101"/>
        <v>0</v>
      </c>
      <c r="J340" s="101">
        <f t="shared" si="3"/>
        <v>0</v>
      </c>
      <c r="K340" s="111"/>
      <c r="L340" s="103">
        <v>1.135584E7</v>
      </c>
      <c r="M340" s="99">
        <f t="shared" si="4"/>
        <v>30779.73988</v>
      </c>
      <c r="N340" s="100">
        <f t="shared" si="102"/>
        <v>0</v>
      </c>
      <c r="O340" s="101">
        <f t="shared" si="6"/>
        <v>0</v>
      </c>
      <c r="P340" s="110"/>
      <c r="Q340" s="111"/>
      <c r="R340" s="99">
        <f t="shared" si="7"/>
        <v>0</v>
      </c>
      <c r="S340" s="100">
        <f t="shared" si="103"/>
        <v>0</v>
      </c>
      <c r="T340" s="101">
        <f t="shared" si="9"/>
        <v>0</v>
      </c>
      <c r="U340" s="100">
        <f t="shared" si="10"/>
        <v>0</v>
      </c>
      <c r="V340" s="99">
        <f t="shared" si="11"/>
        <v>0</v>
      </c>
      <c r="W340" s="108"/>
      <c r="X340" s="97">
        <v>2889.0</v>
      </c>
      <c r="Y340" s="110"/>
      <c r="Z340" s="103">
        <v>2.191982E7</v>
      </c>
      <c r="AA340" s="99">
        <v>49567.168408605</v>
      </c>
      <c r="AB340" s="100">
        <f t="shared" si="104"/>
        <v>0</v>
      </c>
      <c r="AC340" s="101">
        <f t="shared" si="13"/>
        <v>0</v>
      </c>
      <c r="AD340" s="110"/>
      <c r="AE340" s="99">
        <v>1.6485919E7</v>
      </c>
      <c r="AF340" s="99">
        <v>27250.5039584</v>
      </c>
      <c r="AG340" s="100">
        <f t="shared" si="105"/>
        <v>0</v>
      </c>
      <c r="AH340" s="101">
        <f t="shared" si="15"/>
        <v>0</v>
      </c>
      <c r="AI340" s="111"/>
      <c r="AJ340" s="111"/>
      <c r="AK340" s="111"/>
      <c r="AL340" s="100">
        <f t="shared" si="106"/>
        <v>0</v>
      </c>
      <c r="AM340" s="100">
        <f t="shared" si="17"/>
        <v>0</v>
      </c>
      <c r="AN340" s="104">
        <f t="shared" si="18"/>
        <v>0</v>
      </c>
      <c r="AO340" s="97">
        <f t="shared" si="19"/>
        <v>0</v>
      </c>
    </row>
    <row r="341" ht="15.75" customHeight="1">
      <c r="A341" s="95">
        <v>90402.0</v>
      </c>
      <c r="B341" s="60" t="s">
        <v>284</v>
      </c>
      <c r="C341" s="60" t="s">
        <v>853</v>
      </c>
      <c r="D341" s="108"/>
      <c r="E341" s="109">
        <v>1890.5</v>
      </c>
      <c r="F341" s="110"/>
      <c r="G341" s="99">
        <v>1.677422E7</v>
      </c>
      <c r="H341" s="99">
        <f t="shared" si="1"/>
        <v>37931.37594</v>
      </c>
      <c r="I341" s="100">
        <f t="shared" si="101"/>
        <v>0</v>
      </c>
      <c r="J341" s="101">
        <f t="shared" si="3"/>
        <v>0</v>
      </c>
      <c r="K341" s="111"/>
      <c r="L341" s="103">
        <v>1.135584E7</v>
      </c>
      <c r="M341" s="99">
        <f t="shared" si="4"/>
        <v>30779.73988</v>
      </c>
      <c r="N341" s="100">
        <f t="shared" si="102"/>
        <v>0</v>
      </c>
      <c r="O341" s="101">
        <f t="shared" si="6"/>
        <v>0</v>
      </c>
      <c r="P341" s="110"/>
      <c r="Q341" s="111"/>
      <c r="R341" s="99">
        <f t="shared" si="7"/>
        <v>0</v>
      </c>
      <c r="S341" s="100">
        <f t="shared" si="103"/>
        <v>0</v>
      </c>
      <c r="T341" s="101">
        <f t="shared" si="9"/>
        <v>0</v>
      </c>
      <c r="U341" s="100">
        <f t="shared" si="10"/>
        <v>0</v>
      </c>
      <c r="V341" s="99">
        <f t="shared" si="11"/>
        <v>0</v>
      </c>
      <c r="W341" s="108"/>
      <c r="X341" s="97">
        <v>2600.0</v>
      </c>
      <c r="Y341" s="110"/>
      <c r="Z341" s="103">
        <v>2.191982E7</v>
      </c>
      <c r="AA341" s="99">
        <v>49567.168408605</v>
      </c>
      <c r="AB341" s="100">
        <f t="shared" si="104"/>
        <v>0</v>
      </c>
      <c r="AC341" s="101">
        <f t="shared" si="13"/>
        <v>0</v>
      </c>
      <c r="AD341" s="110"/>
      <c r="AE341" s="99">
        <v>1.6485919E7</v>
      </c>
      <c r="AF341" s="99">
        <v>27250.5039584</v>
      </c>
      <c r="AG341" s="100">
        <f t="shared" si="105"/>
        <v>0</v>
      </c>
      <c r="AH341" s="101">
        <f t="shared" si="15"/>
        <v>0</v>
      </c>
      <c r="AI341" s="111"/>
      <c r="AJ341" s="111"/>
      <c r="AK341" s="111"/>
      <c r="AL341" s="100">
        <f t="shared" si="106"/>
        <v>0</v>
      </c>
      <c r="AM341" s="100">
        <f t="shared" si="17"/>
        <v>0</v>
      </c>
      <c r="AN341" s="104">
        <f t="shared" si="18"/>
        <v>0</v>
      </c>
      <c r="AO341" s="97">
        <f t="shared" si="19"/>
        <v>0</v>
      </c>
    </row>
    <row r="342" ht="15.75" customHeight="1">
      <c r="A342" s="95">
        <v>90501.0</v>
      </c>
      <c r="B342" s="60" t="s">
        <v>284</v>
      </c>
      <c r="C342" s="60" t="s">
        <v>854</v>
      </c>
      <c r="D342" s="108"/>
      <c r="E342" s="109">
        <v>1950.5</v>
      </c>
      <c r="F342" s="110"/>
      <c r="G342" s="99">
        <v>1.677422E7</v>
      </c>
      <c r="H342" s="99">
        <f t="shared" si="1"/>
        <v>37931.37594</v>
      </c>
      <c r="I342" s="100">
        <f t="shared" si="101"/>
        <v>0</v>
      </c>
      <c r="J342" s="101">
        <f t="shared" si="3"/>
        <v>0</v>
      </c>
      <c r="K342" s="111"/>
      <c r="L342" s="103">
        <v>1.135584E7</v>
      </c>
      <c r="M342" s="99">
        <f t="shared" si="4"/>
        <v>30779.73988</v>
      </c>
      <c r="N342" s="100">
        <f t="shared" si="102"/>
        <v>0</v>
      </c>
      <c r="O342" s="101">
        <f t="shared" si="6"/>
        <v>0</v>
      </c>
      <c r="P342" s="110"/>
      <c r="Q342" s="111"/>
      <c r="R342" s="99">
        <f t="shared" si="7"/>
        <v>0</v>
      </c>
      <c r="S342" s="100">
        <f t="shared" si="103"/>
        <v>0</v>
      </c>
      <c r="T342" s="101">
        <f t="shared" si="9"/>
        <v>0</v>
      </c>
      <c r="U342" s="100">
        <f t="shared" si="10"/>
        <v>0</v>
      </c>
      <c r="V342" s="99">
        <f t="shared" si="11"/>
        <v>0</v>
      </c>
      <c r="W342" s="108"/>
      <c r="X342" s="97">
        <v>1598.0</v>
      </c>
      <c r="Y342" s="110"/>
      <c r="Z342" s="103">
        <v>2.191982E7</v>
      </c>
      <c r="AA342" s="99">
        <v>49567.168408605</v>
      </c>
      <c r="AB342" s="100">
        <f t="shared" si="104"/>
        <v>0</v>
      </c>
      <c r="AC342" s="101">
        <f t="shared" si="13"/>
        <v>0</v>
      </c>
      <c r="AD342" s="110"/>
      <c r="AE342" s="99">
        <v>1.6485919E7</v>
      </c>
      <c r="AF342" s="99">
        <v>27250.5039584</v>
      </c>
      <c r="AG342" s="100">
        <f t="shared" si="105"/>
        <v>0</v>
      </c>
      <c r="AH342" s="101">
        <f t="shared" si="15"/>
        <v>0</v>
      </c>
      <c r="AI342" s="111"/>
      <c r="AJ342" s="111"/>
      <c r="AK342" s="111"/>
      <c r="AL342" s="100">
        <f t="shared" si="106"/>
        <v>0</v>
      </c>
      <c r="AM342" s="100">
        <f t="shared" si="17"/>
        <v>0</v>
      </c>
      <c r="AN342" s="104">
        <f t="shared" si="18"/>
        <v>0</v>
      </c>
      <c r="AO342" s="97">
        <f t="shared" si="19"/>
        <v>0</v>
      </c>
    </row>
    <row r="343" ht="15.75" customHeight="1">
      <c r="A343" s="95">
        <v>90502.0</v>
      </c>
      <c r="B343" s="60" t="s">
        <v>284</v>
      </c>
      <c r="C343" s="60" t="s">
        <v>855</v>
      </c>
      <c r="D343" s="108"/>
      <c r="E343" s="109">
        <v>2728.5</v>
      </c>
      <c r="F343" s="110"/>
      <c r="G343" s="99">
        <v>1.677422E7</v>
      </c>
      <c r="H343" s="99">
        <f t="shared" si="1"/>
        <v>37931.37594</v>
      </c>
      <c r="I343" s="100">
        <f t="shared" si="101"/>
        <v>0</v>
      </c>
      <c r="J343" s="101">
        <f t="shared" si="3"/>
        <v>0</v>
      </c>
      <c r="K343" s="111"/>
      <c r="L343" s="103">
        <v>1.135584E7</v>
      </c>
      <c r="M343" s="99">
        <f t="shared" si="4"/>
        <v>30779.73988</v>
      </c>
      <c r="N343" s="100">
        <f t="shared" si="102"/>
        <v>0</v>
      </c>
      <c r="O343" s="101">
        <f t="shared" si="6"/>
        <v>0</v>
      </c>
      <c r="P343" s="110"/>
      <c r="Q343" s="111"/>
      <c r="R343" s="99">
        <f t="shared" si="7"/>
        <v>0</v>
      </c>
      <c r="S343" s="100">
        <f t="shared" si="103"/>
        <v>0</v>
      </c>
      <c r="T343" s="101">
        <f t="shared" si="9"/>
        <v>0</v>
      </c>
      <c r="U343" s="100">
        <f t="shared" si="10"/>
        <v>0</v>
      </c>
      <c r="V343" s="99">
        <f t="shared" si="11"/>
        <v>0</v>
      </c>
      <c r="W343" s="108"/>
      <c r="X343" s="97">
        <v>2511.0</v>
      </c>
      <c r="Y343" s="110"/>
      <c r="Z343" s="103">
        <v>2.191982E7</v>
      </c>
      <c r="AA343" s="99">
        <v>49567.168408605</v>
      </c>
      <c r="AB343" s="100">
        <f t="shared" si="104"/>
        <v>0</v>
      </c>
      <c r="AC343" s="101">
        <f t="shared" si="13"/>
        <v>0</v>
      </c>
      <c r="AD343" s="110"/>
      <c r="AE343" s="99">
        <v>1.6485919E7</v>
      </c>
      <c r="AF343" s="99">
        <v>27250.5039584</v>
      </c>
      <c r="AG343" s="100">
        <f t="shared" si="105"/>
        <v>0</v>
      </c>
      <c r="AH343" s="101">
        <f t="shared" si="15"/>
        <v>0</v>
      </c>
      <c r="AI343" s="111"/>
      <c r="AJ343" s="111"/>
      <c r="AK343" s="111"/>
      <c r="AL343" s="100">
        <f t="shared" si="106"/>
        <v>0</v>
      </c>
      <c r="AM343" s="100">
        <f t="shared" si="17"/>
        <v>0</v>
      </c>
      <c r="AN343" s="104">
        <f t="shared" si="18"/>
        <v>0</v>
      </c>
      <c r="AO343" s="97">
        <f t="shared" si="19"/>
        <v>0</v>
      </c>
    </row>
    <row r="344" ht="15.75" customHeight="1">
      <c r="A344" s="95">
        <v>90503.0</v>
      </c>
      <c r="B344" s="60" t="s">
        <v>284</v>
      </c>
      <c r="C344" s="60" t="s">
        <v>856</v>
      </c>
      <c r="D344" s="120"/>
      <c r="E344" s="121">
        <v>2210.5</v>
      </c>
      <c r="F344" s="122"/>
      <c r="G344" s="123">
        <v>1.677422E7</v>
      </c>
      <c r="H344" s="123">
        <f t="shared" si="1"/>
        <v>37931.37594</v>
      </c>
      <c r="I344" s="124">
        <f t="shared" si="101"/>
        <v>0</v>
      </c>
      <c r="J344" s="125">
        <f t="shared" si="3"/>
        <v>0</v>
      </c>
      <c r="K344" s="111"/>
      <c r="L344" s="103">
        <v>1.135584E7</v>
      </c>
      <c r="M344" s="99">
        <f t="shared" si="4"/>
        <v>30779.73988</v>
      </c>
      <c r="N344" s="124">
        <f t="shared" si="102"/>
        <v>0</v>
      </c>
      <c r="O344" s="101">
        <f t="shared" si="6"/>
        <v>0</v>
      </c>
      <c r="P344" s="122"/>
      <c r="Q344" s="126"/>
      <c r="R344" s="123">
        <f t="shared" si="7"/>
        <v>0</v>
      </c>
      <c r="S344" s="124">
        <f t="shared" si="103"/>
        <v>0</v>
      </c>
      <c r="T344" s="125">
        <f t="shared" si="9"/>
        <v>0</v>
      </c>
      <c r="U344" s="100">
        <f t="shared" si="10"/>
        <v>0</v>
      </c>
      <c r="V344" s="99">
        <f t="shared" si="11"/>
        <v>0</v>
      </c>
      <c r="W344" s="120"/>
      <c r="X344" s="127">
        <v>2347.0</v>
      </c>
      <c r="Y344" s="122"/>
      <c r="Z344" s="128">
        <v>2.191982E7</v>
      </c>
      <c r="AA344" s="99">
        <v>49567.168408605</v>
      </c>
      <c r="AB344" s="124">
        <f t="shared" si="104"/>
        <v>0</v>
      </c>
      <c r="AC344" s="125">
        <f t="shared" si="13"/>
        <v>0</v>
      </c>
      <c r="AD344" s="122"/>
      <c r="AE344" s="99">
        <v>1.6485919E7</v>
      </c>
      <c r="AF344" s="99">
        <v>27250.5039584</v>
      </c>
      <c r="AG344" s="124">
        <f t="shared" si="105"/>
        <v>0</v>
      </c>
      <c r="AH344" s="125">
        <f t="shared" si="15"/>
        <v>0</v>
      </c>
      <c r="AI344" s="111"/>
      <c r="AJ344" s="111"/>
      <c r="AK344" s="111"/>
      <c r="AL344" s="124">
        <f t="shared" si="106"/>
        <v>0</v>
      </c>
      <c r="AM344" s="100">
        <f t="shared" si="17"/>
        <v>0</v>
      </c>
      <c r="AN344" s="129">
        <f t="shared" si="18"/>
        <v>0</v>
      </c>
      <c r="AO344" s="127">
        <f t="shared" si="19"/>
        <v>0</v>
      </c>
    </row>
    <row r="345" ht="15.75" customHeight="1">
      <c r="A345" s="60"/>
      <c r="B345" s="60"/>
      <c r="C345" s="60"/>
      <c r="D345" s="60"/>
      <c r="E345" s="60"/>
      <c r="F345" s="111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</row>
    <row r="346" ht="15.75" customHeight="1">
      <c r="A346" s="60"/>
      <c r="B346" s="60"/>
      <c r="C346" s="60"/>
      <c r="D346" s="60"/>
      <c r="E346" s="60"/>
      <c r="F346" s="111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</row>
    <row r="347" ht="15.75" customHeight="1">
      <c r="A347" s="60"/>
      <c r="B347" s="60"/>
      <c r="C347" s="60"/>
      <c r="D347" s="60"/>
      <c r="E347" s="60"/>
      <c r="F347" s="111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 t="s">
        <v>857</v>
      </c>
      <c r="U347" s="130">
        <f>AVERAGE(U2:U344)</f>
        <v>0.1762852667</v>
      </c>
      <c r="V347" s="130">
        <f>U347+U348</f>
        <v>0.6562402766</v>
      </c>
      <c r="W347" s="60"/>
      <c r="X347" s="60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</row>
    <row r="348" ht="15.75" customHeight="1">
      <c r="A348" s="60"/>
      <c r="B348" s="60"/>
      <c r="C348" s="60"/>
      <c r="D348" s="60"/>
      <c r="E348" s="60"/>
      <c r="F348" s="111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 t="s">
        <v>858</v>
      </c>
      <c r="U348" s="60">
        <f>STDEVA(U2:U344)</f>
        <v>0.4799550099</v>
      </c>
      <c r="V348" s="130">
        <f>U347-U348</f>
        <v>-0.3036697431</v>
      </c>
      <c r="W348" s="60"/>
      <c r="X348" s="60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</row>
    <row r="349" ht="15.75" customHeight="1">
      <c r="A349" s="60"/>
      <c r="B349" s="60"/>
      <c r="C349" s="60"/>
      <c r="D349" s="60"/>
      <c r="E349" s="60"/>
      <c r="F349" s="111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 t="s">
        <v>859</v>
      </c>
      <c r="U349" s="130">
        <f>MAX(U2:U344)</f>
        <v>4.093847231</v>
      </c>
      <c r="V349" s="60"/>
      <c r="W349" s="60"/>
      <c r="X349" s="60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</row>
    <row r="350" ht="15.75" customHeight="1">
      <c r="A350" s="60"/>
      <c r="B350" s="60"/>
      <c r="C350" s="60"/>
      <c r="D350" s="60"/>
      <c r="E350" s="60"/>
      <c r="F350" s="111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 t="s">
        <v>860</v>
      </c>
      <c r="U350" s="130">
        <f>MIN(U2:U344)</f>
        <v>0</v>
      </c>
      <c r="V350" s="60"/>
      <c r="W350" s="60"/>
      <c r="X350" s="60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</row>
    <row r="351" ht="15.75" customHeight="1">
      <c r="A351" s="60"/>
      <c r="B351" s="60"/>
      <c r="C351" s="60"/>
      <c r="D351" s="60"/>
      <c r="E351" s="60"/>
      <c r="F351" s="111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</row>
    <row r="352" ht="15.75" customHeight="1">
      <c r="A352" s="60"/>
      <c r="B352" s="60"/>
      <c r="C352" s="60"/>
      <c r="D352" s="60"/>
      <c r="E352" s="60"/>
      <c r="F352" s="111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</row>
    <row r="353" ht="15.75" customHeight="1">
      <c r="A353" s="77" t="s">
        <v>714</v>
      </c>
      <c r="B353" s="77" t="s">
        <v>0</v>
      </c>
      <c r="C353" s="78" t="s">
        <v>1</v>
      </c>
      <c r="D353" s="79" t="s">
        <v>715</v>
      </c>
      <c r="E353" s="80" t="s">
        <v>716</v>
      </c>
      <c r="F353" s="79" t="s">
        <v>717</v>
      </c>
      <c r="G353" s="81" t="s">
        <v>718</v>
      </c>
      <c r="H353" s="81" t="s">
        <v>719</v>
      </c>
      <c r="I353" s="81" t="s">
        <v>720</v>
      </c>
      <c r="J353" s="80" t="s">
        <v>721</v>
      </c>
      <c r="K353" s="82" t="s">
        <v>722</v>
      </c>
      <c r="L353" s="83" t="s">
        <v>723</v>
      </c>
      <c r="M353" s="83" t="s">
        <v>719</v>
      </c>
      <c r="N353" s="83" t="s">
        <v>720</v>
      </c>
      <c r="O353" s="84" t="s">
        <v>721</v>
      </c>
      <c r="P353" s="79" t="s">
        <v>724</v>
      </c>
      <c r="Q353" s="81" t="s">
        <v>725</v>
      </c>
      <c r="R353" s="81" t="s">
        <v>719</v>
      </c>
      <c r="S353" s="81" t="s">
        <v>720</v>
      </c>
      <c r="T353" s="80" t="s">
        <v>721</v>
      </c>
      <c r="U353" s="85" t="s">
        <v>726</v>
      </c>
      <c r="V353" s="85" t="s">
        <v>727</v>
      </c>
      <c r="W353" s="86" t="s">
        <v>728</v>
      </c>
      <c r="X353" s="87" t="s">
        <v>729</v>
      </c>
      <c r="Y353" s="86" t="s">
        <v>730</v>
      </c>
      <c r="Z353" s="88" t="s">
        <v>731</v>
      </c>
      <c r="AA353" s="88" t="s">
        <v>719</v>
      </c>
      <c r="AB353" s="88" t="s">
        <v>720</v>
      </c>
      <c r="AC353" s="87" t="s">
        <v>721</v>
      </c>
      <c r="AD353" s="86" t="s">
        <v>732</v>
      </c>
      <c r="AE353" s="88" t="s">
        <v>733</v>
      </c>
      <c r="AF353" s="88" t="s">
        <v>719</v>
      </c>
      <c r="AG353" s="88" t="s">
        <v>720</v>
      </c>
      <c r="AH353" s="87" t="s">
        <v>721</v>
      </c>
      <c r="AI353" s="89" t="s">
        <v>734</v>
      </c>
      <c r="AJ353" s="90" t="s">
        <v>735</v>
      </c>
      <c r="AK353" s="90" t="s">
        <v>719</v>
      </c>
      <c r="AL353" s="90" t="s">
        <v>720</v>
      </c>
      <c r="AM353" s="90" t="s">
        <v>721</v>
      </c>
      <c r="AN353" s="91" t="s">
        <v>726</v>
      </c>
      <c r="AO353" s="85" t="s">
        <v>727</v>
      </c>
      <c r="AP353" s="92"/>
      <c r="AQ353" s="93"/>
      <c r="AR353" s="94"/>
      <c r="AS353" s="92"/>
      <c r="AT353" s="92"/>
      <c r="AU353" s="92"/>
      <c r="AV353" s="92"/>
      <c r="AW353" s="92"/>
      <c r="AX353" s="92"/>
      <c r="AY353" s="92"/>
      <c r="AZ353" s="92"/>
      <c r="BA353" s="92"/>
      <c r="BB353" s="92"/>
      <c r="BC353" s="92"/>
      <c r="BD353" s="92"/>
      <c r="BE353" s="92"/>
      <c r="BF353" s="92"/>
      <c r="BG353" s="92"/>
      <c r="BH353" s="92"/>
      <c r="BI353" s="92"/>
      <c r="BJ353" s="92"/>
      <c r="BK353" s="92"/>
      <c r="BL353" s="92"/>
      <c r="BM353" s="92"/>
      <c r="BN353" s="92"/>
      <c r="BO353" s="92"/>
      <c r="BP353" s="92"/>
      <c r="BQ353" s="92"/>
      <c r="BR353" s="92"/>
      <c r="BS353" s="92"/>
      <c r="BT353" s="92"/>
      <c r="BU353" s="92"/>
      <c r="BV353" s="92"/>
      <c r="BW353" s="92"/>
      <c r="BX353" s="92"/>
    </row>
    <row r="354" ht="15.75" customHeight="1">
      <c r="A354" s="60">
        <v>60301.0</v>
      </c>
      <c r="B354" s="60" t="s">
        <v>213</v>
      </c>
      <c r="C354" s="60" t="s">
        <v>222</v>
      </c>
      <c r="D354" s="60">
        <v>14438.0</v>
      </c>
      <c r="E354" s="118">
        <v>93592.25</v>
      </c>
      <c r="F354" s="111">
        <v>11688.14211928881</v>
      </c>
      <c r="G354" s="118">
        <v>7.3166581E7</v>
      </c>
      <c r="H354" s="118">
        <v>165450.85794949</v>
      </c>
      <c r="I354" s="131">
        <v>0.16700447396357632</v>
      </c>
      <c r="J354" s="131">
        <v>0.2952277939538473</v>
      </c>
      <c r="K354" s="111">
        <v>2393.014484082304</v>
      </c>
      <c r="L354" s="119">
        <v>1.09525629E8</v>
      </c>
      <c r="M354" s="118">
        <v>296866.666888832</v>
      </c>
      <c r="N354" s="131">
        <v>0.1557445157228964</v>
      </c>
      <c r="O354" s="131">
        <v>0.4940083742924392</v>
      </c>
      <c r="P354" s="111">
        <v>355.919262094018</v>
      </c>
      <c r="Q354" s="118">
        <v>4.3388942926E10</v>
      </c>
      <c r="R354" s="118">
        <v>84530.62731845943</v>
      </c>
      <c r="S354" s="131">
        <v>0.18327459428116277</v>
      </c>
      <c r="T354" s="131">
        <v>0.16552990686860106</v>
      </c>
      <c r="U354" s="131">
        <v>0.9547660751148875</v>
      </c>
      <c r="V354" s="118">
        <v>89358.70519367133</v>
      </c>
      <c r="W354" s="60">
        <v>18762.0</v>
      </c>
      <c r="X354" s="118">
        <v>97634.0</v>
      </c>
      <c r="Y354" s="111">
        <v>15715.27724179518</v>
      </c>
      <c r="Z354" s="119">
        <v>9.7868E7</v>
      </c>
      <c r="AA354" s="118">
        <v>223054.08948726588</v>
      </c>
      <c r="AB354" s="131">
        <v>0.1246153191384354</v>
      </c>
      <c r="AC354" s="131">
        <v>0.2846954600506869</v>
      </c>
      <c r="AD354" s="111">
        <v>2626.245365960879</v>
      </c>
      <c r="AE354" s="118">
        <v>1.19919247E8</v>
      </c>
      <c r="AF354" s="118">
        <v>289671.03710113</v>
      </c>
      <c r="AG354" s="131">
        <v>0.13582370561141127</v>
      </c>
      <c r="AH354" s="131">
        <v>0.4029763572871753</v>
      </c>
      <c r="AI354" s="111">
        <v>419.3825424650724</v>
      </c>
      <c r="AJ354" s="118">
        <v>1.3268452106E10</v>
      </c>
      <c r="AK354" s="118">
        <v>126477.65809489001</v>
      </c>
      <c r="AL354" s="131">
        <v>0.15222287741799245</v>
      </c>
      <c r="AM354" s="131">
        <v>0.19719352934728887</v>
      </c>
      <c r="AN354" s="114">
        <v>0.884865346685151</v>
      </c>
      <c r="AO354" s="24">
        <v>86392.94325825803</v>
      </c>
    </row>
    <row r="355" ht="15.75" customHeight="1">
      <c r="A355" s="60">
        <v>60302.0</v>
      </c>
      <c r="B355" s="60" t="s">
        <v>213</v>
      </c>
      <c r="C355" s="60" t="s">
        <v>215</v>
      </c>
      <c r="D355" s="60">
        <v>650.0</v>
      </c>
      <c r="E355" s="118">
        <v>15414.25</v>
      </c>
      <c r="F355" s="111">
        <v>480.5107297050926</v>
      </c>
      <c r="G355" s="118">
        <v>7.3166581E7</v>
      </c>
      <c r="H355" s="118">
        <v>165450.85794949</v>
      </c>
      <c r="I355" s="131">
        <v>0.006865714056969049</v>
      </c>
      <c r="J355" s="131">
        <v>0.07369403514030218</v>
      </c>
      <c r="K355" s="111">
        <v>149.721556042703</v>
      </c>
      <c r="L355" s="119">
        <v>1.09525629E8</v>
      </c>
      <c r="M355" s="118">
        <v>296866.666888832</v>
      </c>
      <c r="N355" s="131">
        <v>0.009744325157351316</v>
      </c>
      <c r="O355" s="131">
        <v>0.1876682505177922</v>
      </c>
      <c r="P355" s="111">
        <v>19.7115124893171</v>
      </c>
      <c r="Q355" s="118">
        <v>4.3388942926E10</v>
      </c>
      <c r="R355" s="118">
        <v>84530.62731845943</v>
      </c>
      <c r="S355" s="131">
        <v>0.010150109417774</v>
      </c>
      <c r="T355" s="131">
        <v>0.055662462749432456</v>
      </c>
      <c r="U355" s="131">
        <v>0.3170247484075268</v>
      </c>
      <c r="V355" s="118">
        <v>4886.69872814072</v>
      </c>
      <c r="W355" s="60">
        <v>1099.0</v>
      </c>
      <c r="X355" s="118">
        <v>15559.0</v>
      </c>
      <c r="Y355" s="111">
        <v>860.7932793284945</v>
      </c>
      <c r="Z355" s="119">
        <v>9.7868E7</v>
      </c>
      <c r="AA355" s="118">
        <v>223054.08948726588</v>
      </c>
      <c r="AB355" s="131">
        <v>0.006825716630086465</v>
      </c>
      <c r="AC355" s="131">
        <v>0.09785359007789865</v>
      </c>
      <c r="AD355" s="111">
        <v>208.5235144669999</v>
      </c>
      <c r="AE355" s="118">
        <v>1.19919247E8</v>
      </c>
      <c r="AF355" s="118">
        <v>289671.03710113</v>
      </c>
      <c r="AG355" s="131">
        <v>0.010784383214574533</v>
      </c>
      <c r="AH355" s="131">
        <v>0.20077919340971934</v>
      </c>
      <c r="AI355" s="111">
        <v>29.60513067903183</v>
      </c>
      <c r="AJ355" s="118">
        <v>1.3268452106E10</v>
      </c>
      <c r="AK355" s="118">
        <v>126477.65809489001</v>
      </c>
      <c r="AL355" s="131">
        <v>0.010745745761873798</v>
      </c>
      <c r="AM355" s="131">
        <v>0.08735116385660309</v>
      </c>
      <c r="AN355" s="114">
        <v>0.3859839473442211</v>
      </c>
      <c r="AO355" s="24">
        <v>6005.524236728736</v>
      </c>
    </row>
    <row r="356" ht="15.75" customHeight="1">
      <c r="A356" s="60">
        <v>60303.0</v>
      </c>
      <c r="B356" s="60" t="s">
        <v>213</v>
      </c>
      <c r="C356" s="60" t="s">
        <v>817</v>
      </c>
      <c r="D356" s="118">
        <v>4718.0</v>
      </c>
      <c r="E356" s="118">
        <v>41418.0</v>
      </c>
      <c r="F356" s="111">
        <v>3770.0315541875325</v>
      </c>
      <c r="G356" s="118">
        <v>7.3166581E7</v>
      </c>
      <c r="H356" s="118">
        <v>165450.85794949</v>
      </c>
      <c r="I356" s="131">
        <v>0.053867597613664456</v>
      </c>
      <c r="J356" s="131">
        <v>0.2151827765913053</v>
      </c>
      <c r="K356" s="111">
        <v>837.7983483832211</v>
      </c>
      <c r="L356" s="119">
        <v>1.09525629E8</v>
      </c>
      <c r="M356" s="118">
        <v>296866.666888832</v>
      </c>
      <c r="N356" s="131">
        <v>0.054526413822533086</v>
      </c>
      <c r="O356" s="131">
        <v>0.3908222205054936</v>
      </c>
      <c r="P356" s="111">
        <v>109.79026887400173</v>
      </c>
      <c r="Q356" s="118">
        <v>4.3388942926E10</v>
      </c>
      <c r="R356" s="118">
        <v>84530.62731845943</v>
      </c>
      <c r="S356" s="131">
        <v>0.05653463896704519</v>
      </c>
      <c r="T356" s="131">
        <v>0.11538240613035278</v>
      </c>
      <c r="U356" s="131">
        <v>0.7213874032271517</v>
      </c>
      <c r="V356" s="118">
        <v>29878.423466862172</v>
      </c>
      <c r="W356" s="118">
        <v>8252.0</v>
      </c>
      <c r="X356" s="118">
        <v>46071.0</v>
      </c>
      <c r="Y356" s="111">
        <v>7107.219388677699</v>
      </c>
      <c r="Z356" s="119">
        <v>9.7868E7</v>
      </c>
      <c r="AA356" s="118">
        <v>223054.08948726588</v>
      </c>
      <c r="AB356" s="131">
        <v>0.056357161167446</v>
      </c>
      <c r="AC356" s="131">
        <v>0.2728548386249868</v>
      </c>
      <c r="AD356" s="111">
        <v>994.1952263878644</v>
      </c>
      <c r="AE356" s="118">
        <v>1.19919247E8</v>
      </c>
      <c r="AF356" s="118">
        <v>289671.03710113</v>
      </c>
      <c r="AG356" s="131">
        <v>0.05141761752324676</v>
      </c>
      <c r="AH356" s="131">
        <v>0.3232878512128698</v>
      </c>
      <c r="AI356" s="111">
        <v>150.127892568968</v>
      </c>
      <c r="AJ356" s="118">
        <v>1.3268452106E10</v>
      </c>
      <c r="AK356" s="118">
        <v>126477.65809489001</v>
      </c>
      <c r="AL356" s="131">
        <v>0.05449177653705226</v>
      </c>
      <c r="AM356" s="131">
        <v>0.14959502250518647</v>
      </c>
      <c r="AN356" s="114">
        <v>0.7457377123430431</v>
      </c>
      <c r="AO356" s="24">
        <v>34356.882145356336</v>
      </c>
    </row>
    <row r="357" ht="15.75" customHeight="1">
      <c r="A357" s="60"/>
      <c r="B357" s="60"/>
      <c r="C357" s="60"/>
      <c r="D357" s="60"/>
      <c r="E357" s="60"/>
      <c r="F357" s="111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132" t="s">
        <v>861</v>
      </c>
      <c r="J358" s="111">
        <f t="shared" ref="J358:J360" si="107">H354*I354</f>
        <v>27631.0335</v>
      </c>
      <c r="K358" s="60"/>
      <c r="L358" s="60"/>
      <c r="M358" s="60"/>
      <c r="N358" s="132" t="s">
        <v>861</v>
      </c>
      <c r="O358" s="111">
        <f t="shared" ref="O358:O360" si="108">M354*N354</f>
        <v>46235.35527</v>
      </c>
      <c r="P358" s="60"/>
      <c r="Q358" s="60"/>
      <c r="R358" s="60"/>
      <c r="S358" s="132" t="s">
        <v>861</v>
      </c>
      <c r="T358" s="111">
        <f t="shared" ref="T358:T360" si="109">R354*S354</f>
        <v>15492.31643</v>
      </c>
      <c r="U358" s="60"/>
      <c r="V358" s="60"/>
      <c r="W358" s="60"/>
      <c r="X358" s="60"/>
      <c r="Y358" s="111"/>
      <c r="Z358" s="111"/>
      <c r="AA358" s="111"/>
      <c r="AB358" s="132" t="s">
        <v>861</v>
      </c>
      <c r="AC358" s="111">
        <f t="shared" ref="AC358:AC360" si="110">AA354*AB354</f>
        <v>27795.95655</v>
      </c>
      <c r="AD358" s="111"/>
      <c r="AE358" s="111"/>
      <c r="AF358" s="111"/>
      <c r="AG358" s="132" t="s">
        <v>861</v>
      </c>
      <c r="AH358" s="111">
        <f t="shared" ref="AH358:AH360" si="111">AF354*AG354</f>
        <v>39344.19367</v>
      </c>
      <c r="AI358" s="111"/>
      <c r="AJ358" s="111"/>
      <c r="AK358" s="111"/>
      <c r="AL358" s="132" t="s">
        <v>861</v>
      </c>
      <c r="AM358" s="111">
        <f t="shared" ref="AM358:AM360" si="112">AK354*AL354</f>
        <v>19252.79304</v>
      </c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J359" s="111">
        <f t="shared" si="107"/>
        <v>1135.938281</v>
      </c>
      <c r="K359" s="60"/>
      <c r="L359" s="60"/>
      <c r="M359" s="60"/>
      <c r="O359" s="111">
        <f t="shared" si="108"/>
        <v>2892.765331</v>
      </c>
      <c r="P359" s="60"/>
      <c r="Q359" s="60"/>
      <c r="R359" s="60"/>
      <c r="T359" s="111">
        <f t="shared" si="109"/>
        <v>857.9951164</v>
      </c>
      <c r="U359" s="60"/>
      <c r="V359" s="60"/>
      <c r="W359" s="60"/>
      <c r="X359" s="60"/>
      <c r="Y359" s="111"/>
      <c r="Z359" s="111"/>
      <c r="AA359" s="111"/>
      <c r="AC359" s="111">
        <f t="shared" si="110"/>
        <v>1522.504008</v>
      </c>
      <c r="AD359" s="111"/>
      <c r="AE359" s="111"/>
      <c r="AF359" s="111"/>
      <c r="AH359" s="111">
        <f t="shared" si="111"/>
        <v>3123.92347</v>
      </c>
      <c r="AI359" s="111"/>
      <c r="AJ359" s="111"/>
      <c r="AK359" s="111"/>
      <c r="AM359" s="111">
        <f t="shared" si="112"/>
        <v>1359.096758</v>
      </c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J360" s="111">
        <f t="shared" si="107"/>
        <v>8912.440241</v>
      </c>
      <c r="K360" s="60"/>
      <c r="L360" s="60"/>
      <c r="M360" s="60"/>
      <c r="O360" s="111">
        <f t="shared" si="108"/>
        <v>16187.07473</v>
      </c>
      <c r="P360" s="60"/>
      <c r="Q360" s="60"/>
      <c r="R360" s="60"/>
      <c r="T360" s="111">
        <f t="shared" si="109"/>
        <v>4778.908497</v>
      </c>
      <c r="U360" s="60"/>
      <c r="V360" s="60"/>
      <c r="W360" s="60"/>
      <c r="X360" s="60"/>
      <c r="Y360" s="111"/>
      <c r="Z360" s="111"/>
      <c r="AA360" s="111"/>
      <c r="AC360" s="111">
        <f t="shared" si="110"/>
        <v>12570.69527</v>
      </c>
      <c r="AD360" s="111"/>
      <c r="AE360" s="111"/>
      <c r="AF360" s="111"/>
      <c r="AH360" s="111">
        <f t="shared" si="111"/>
        <v>14894.19459</v>
      </c>
      <c r="AI360" s="111"/>
      <c r="AJ360" s="111"/>
      <c r="AK360" s="111"/>
      <c r="AM360" s="111">
        <f t="shared" si="112"/>
        <v>6891.992282</v>
      </c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111">
        <f>SUM(J358:J360)</f>
        <v>37679.41202</v>
      </c>
      <c r="K361" s="60"/>
      <c r="L361" s="60"/>
      <c r="M361" s="60"/>
      <c r="N361" s="60"/>
      <c r="O361" s="111">
        <f>SUM(O358:O360)</f>
        <v>65315.19533</v>
      </c>
      <c r="P361" s="60"/>
      <c r="Q361" s="60"/>
      <c r="R361" s="60"/>
      <c r="S361" s="60"/>
      <c r="T361" s="111">
        <f>SUM(T358:T360)</f>
        <v>21129.22004</v>
      </c>
      <c r="U361" s="60"/>
      <c r="V361" s="60"/>
      <c r="W361" s="60"/>
      <c r="X361" s="60"/>
      <c r="Y361" s="111"/>
      <c r="Z361" s="111"/>
      <c r="AA361" s="111"/>
      <c r="AB361" s="111"/>
      <c r="AC361" s="111">
        <f>SUM(AC358:AC360)</f>
        <v>41889.15582</v>
      </c>
      <c r="AD361" s="111"/>
      <c r="AE361" s="111"/>
      <c r="AF361" s="111"/>
      <c r="AG361" s="111"/>
      <c r="AH361" s="111">
        <f>SUM(AH358:AH360)</f>
        <v>57362.31173</v>
      </c>
      <c r="AI361" s="111"/>
      <c r="AJ361" s="111"/>
      <c r="AK361" s="111"/>
      <c r="AL361" s="111"/>
      <c r="AM361" s="111">
        <f>SUM(AM358:AM360)</f>
        <v>27503.88208</v>
      </c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</sheetData>
  <autoFilter ref="$A$1:$AI$345"/>
  <mergeCells count="6">
    <mergeCell ref="I358:I360"/>
    <mergeCell ref="N358:N360"/>
    <mergeCell ref="S358:S360"/>
    <mergeCell ref="AB358:AB360"/>
    <mergeCell ref="AG358:AG360"/>
    <mergeCell ref="AL358:AL36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5"/>
  </cols>
  <sheetData>
    <row r="1">
      <c r="A1" s="77" t="s">
        <v>714</v>
      </c>
      <c r="B1" s="77" t="s">
        <v>1</v>
      </c>
      <c r="C1" s="105" t="s">
        <v>862</v>
      </c>
      <c r="D1" s="105" t="s">
        <v>863</v>
      </c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ht="15.0" customHeight="1">
      <c r="A2" s="133">
        <v>10101.0</v>
      </c>
      <c r="B2" s="134" t="s">
        <v>34</v>
      </c>
      <c r="C2" s="135">
        <v>1.1563353177451203</v>
      </c>
      <c r="D2" s="135">
        <v>1.2542869464402275</v>
      </c>
    </row>
    <row r="3" ht="15.0" customHeight="1">
      <c r="A3" s="133">
        <v>10102.0</v>
      </c>
      <c r="B3" s="134" t="s">
        <v>50</v>
      </c>
      <c r="C3" s="135">
        <v>0.012328500929179432</v>
      </c>
      <c r="D3" s="135">
        <v>0.07376005260347095</v>
      </c>
    </row>
    <row r="4" ht="15.0" customHeight="1">
      <c r="A4" s="133">
        <v>10103.0</v>
      </c>
      <c r="B4" s="134" t="s">
        <v>29</v>
      </c>
      <c r="C4" s="135">
        <v>0.001259736454228146</v>
      </c>
      <c r="D4" s="135">
        <v>0.0011158464515869293</v>
      </c>
    </row>
    <row r="5" ht="15.0" customHeight="1">
      <c r="A5" s="133">
        <v>10201.0</v>
      </c>
      <c r="B5" s="134" t="s">
        <v>739</v>
      </c>
      <c r="C5" s="135">
        <v>0.00547812432834525</v>
      </c>
      <c r="D5" s="135">
        <v>0.0051275614179709696</v>
      </c>
    </row>
    <row r="6" ht="15.0" customHeight="1">
      <c r="A6" s="133">
        <v>10202.0</v>
      </c>
      <c r="B6" s="134" t="s">
        <v>743</v>
      </c>
      <c r="C6" s="135">
        <v>2.7382924516876014E-4</v>
      </c>
      <c r="D6" s="135">
        <v>2.747032018058943E-4</v>
      </c>
    </row>
    <row r="7" ht="15.0" customHeight="1">
      <c r="A7" s="133">
        <v>10301.0</v>
      </c>
      <c r="B7" s="134" t="s">
        <v>744</v>
      </c>
      <c r="C7" s="135">
        <v>0.001580242671525251</v>
      </c>
      <c r="D7" s="135">
        <v>0.2355671199359603</v>
      </c>
    </row>
    <row r="8" ht="15.0" customHeight="1">
      <c r="A8" s="133">
        <v>10302.0</v>
      </c>
      <c r="B8" s="134" t="s">
        <v>745</v>
      </c>
      <c r="C8" s="135">
        <v>0.0</v>
      </c>
      <c r="D8" s="135">
        <v>0.0</v>
      </c>
    </row>
    <row r="9" ht="15.0" customHeight="1">
      <c r="A9" s="133">
        <v>10303.0</v>
      </c>
      <c r="B9" s="134" t="s">
        <v>746</v>
      </c>
      <c r="C9" s="135">
        <v>0.005031024491319199</v>
      </c>
      <c r="D9" s="135">
        <v>0.02853980835856432</v>
      </c>
    </row>
    <row r="10" ht="15.0" customHeight="1">
      <c r="A10" s="133">
        <v>10304.0</v>
      </c>
      <c r="B10" s="134" t="s">
        <v>747</v>
      </c>
      <c r="C10" s="135">
        <v>0.0025760822052034553</v>
      </c>
      <c r="D10" s="135">
        <v>5.044576983900267E-4</v>
      </c>
    </row>
    <row r="11" ht="15.0" customHeight="1">
      <c r="A11" s="133">
        <v>10401.0</v>
      </c>
      <c r="B11" s="134" t="s">
        <v>27</v>
      </c>
      <c r="C11" s="135">
        <v>0.0050976600047686555</v>
      </c>
      <c r="D11" s="135">
        <v>0.13258227318384386</v>
      </c>
    </row>
    <row r="12" ht="15.0" customHeight="1">
      <c r="A12" s="133">
        <v>10402.0</v>
      </c>
      <c r="B12" s="134" t="s">
        <v>748</v>
      </c>
      <c r="C12" s="135">
        <v>0.006903927847646307</v>
      </c>
      <c r="D12" s="135">
        <v>0.14446913073069548</v>
      </c>
    </row>
    <row r="13" ht="15.0" customHeight="1">
      <c r="A13" s="133">
        <v>10403.0</v>
      </c>
      <c r="B13" s="134" t="s">
        <v>33</v>
      </c>
      <c r="C13" s="135">
        <v>0.0021656603801368216</v>
      </c>
      <c r="D13" s="135">
        <v>0.06175760127282556</v>
      </c>
    </row>
    <row r="14" ht="15.0" customHeight="1">
      <c r="A14" s="133">
        <v>10404.0</v>
      </c>
      <c r="B14" s="134" t="s">
        <v>10</v>
      </c>
      <c r="C14" s="135">
        <v>0.0</v>
      </c>
      <c r="D14" s="135">
        <v>0.0</v>
      </c>
    </row>
    <row r="15" ht="15.0" customHeight="1">
      <c r="A15" s="133">
        <v>10405.0</v>
      </c>
      <c r="B15" s="134" t="s">
        <v>23</v>
      </c>
      <c r="C15" s="135">
        <v>9.510413866215316E-4</v>
      </c>
      <c r="D15" s="135">
        <v>7.477723712542707E-4</v>
      </c>
    </row>
    <row r="16" ht="15.0" customHeight="1">
      <c r="A16" s="133">
        <v>10501.0</v>
      </c>
      <c r="B16" s="134" t="s">
        <v>750</v>
      </c>
      <c r="C16" s="135">
        <v>0.2842966510495526</v>
      </c>
      <c r="D16" s="135">
        <v>0.4125941767077208</v>
      </c>
    </row>
    <row r="17" ht="15.0" customHeight="1">
      <c r="A17" s="133">
        <v>10502.0</v>
      </c>
      <c r="B17" s="134" t="s">
        <v>751</v>
      </c>
      <c r="C17" s="135">
        <v>0.0010121160955023575</v>
      </c>
      <c r="D17" s="135">
        <v>0.0012828639524335263</v>
      </c>
    </row>
    <row r="18" ht="15.0" customHeight="1">
      <c r="A18" s="133">
        <v>10601.0</v>
      </c>
      <c r="B18" s="134" t="s">
        <v>38</v>
      </c>
      <c r="C18" s="135">
        <v>0.010334909252931672</v>
      </c>
      <c r="D18" s="135">
        <v>0.008058835575285393</v>
      </c>
    </row>
    <row r="19" ht="15.0" customHeight="1">
      <c r="A19" s="133">
        <v>10602.0</v>
      </c>
      <c r="B19" s="134" t="s">
        <v>49</v>
      </c>
      <c r="C19" s="135">
        <v>0.03951134241856978</v>
      </c>
      <c r="D19" s="135">
        <v>0.14167454309713368</v>
      </c>
    </row>
    <row r="20" ht="15.0" customHeight="1">
      <c r="A20" s="133">
        <v>10701.0</v>
      </c>
      <c r="B20" s="134" t="s">
        <v>13</v>
      </c>
      <c r="C20" s="135">
        <v>0.04377532011887999</v>
      </c>
      <c r="D20" s="135">
        <v>0.08318392735662804</v>
      </c>
    </row>
    <row r="21" ht="15.0" customHeight="1">
      <c r="A21" s="133">
        <v>10702.0</v>
      </c>
      <c r="B21" s="134" t="s">
        <v>30</v>
      </c>
      <c r="C21" s="135">
        <v>0.007902690662682177</v>
      </c>
      <c r="D21" s="135">
        <v>0.02340447628880941</v>
      </c>
    </row>
    <row r="22" ht="15.0" customHeight="1">
      <c r="A22" s="133">
        <v>10703.0</v>
      </c>
      <c r="B22" s="134" t="s">
        <v>24</v>
      </c>
      <c r="C22" s="135">
        <v>0.014654314653322897</v>
      </c>
      <c r="D22" s="135">
        <v>0.009021156865317072</v>
      </c>
    </row>
    <row r="23" ht="15.0" customHeight="1">
      <c r="A23" s="133">
        <v>10704.0</v>
      </c>
      <c r="B23" s="134" t="s">
        <v>752</v>
      </c>
      <c r="C23" s="135">
        <v>0.0</v>
      </c>
      <c r="D23" s="135">
        <v>0.0</v>
      </c>
    </row>
    <row r="24" ht="15.0" customHeight="1">
      <c r="A24" s="133">
        <v>10801.0</v>
      </c>
      <c r="B24" s="134" t="s">
        <v>45</v>
      </c>
      <c r="C24" s="135">
        <v>0.022674617400818393</v>
      </c>
      <c r="D24" s="135">
        <v>0.10469546628283506</v>
      </c>
    </row>
    <row r="25" ht="15.0" customHeight="1">
      <c r="A25" s="133">
        <v>10901.0</v>
      </c>
      <c r="B25" s="134" t="s">
        <v>753</v>
      </c>
      <c r="C25" s="135">
        <v>0.004743607139880411</v>
      </c>
      <c r="D25" s="135">
        <v>0.0026562649922855764</v>
      </c>
    </row>
    <row r="26" ht="15.0" customHeight="1">
      <c r="A26" s="133">
        <v>10902.0</v>
      </c>
      <c r="B26" s="134" t="s">
        <v>22</v>
      </c>
      <c r="C26" s="135">
        <v>0.033485601136072574</v>
      </c>
      <c r="D26" s="135">
        <v>0.03437259291069463</v>
      </c>
    </row>
    <row r="27" ht="15.0" customHeight="1">
      <c r="A27" s="133">
        <v>10903.0</v>
      </c>
      <c r="B27" s="134" t="s">
        <v>25</v>
      </c>
      <c r="C27" s="135">
        <v>0.020451181914532268</v>
      </c>
      <c r="D27" s="135">
        <v>0.01298469719768537</v>
      </c>
    </row>
    <row r="28">
      <c r="A28" s="133">
        <v>11001.0</v>
      </c>
      <c r="B28" s="134" t="s">
        <v>754</v>
      </c>
      <c r="C28" s="135">
        <v>0.004326980288926476</v>
      </c>
      <c r="D28" s="135">
        <v>0.0028453146457304117</v>
      </c>
    </row>
    <row r="29">
      <c r="A29" s="133">
        <v>11002.0</v>
      </c>
      <c r="B29" s="134" t="s">
        <v>755</v>
      </c>
      <c r="C29" s="135">
        <v>0.0</v>
      </c>
      <c r="D29" s="135">
        <v>0.0</v>
      </c>
    </row>
    <row r="30">
      <c r="A30" s="133">
        <v>11003.0</v>
      </c>
      <c r="B30" s="134" t="s">
        <v>26</v>
      </c>
      <c r="C30" s="135">
        <v>0.008077440014080601</v>
      </c>
      <c r="D30" s="135">
        <v>0.005629816643462092</v>
      </c>
    </row>
    <row r="31">
      <c r="A31" s="133">
        <v>20101.0</v>
      </c>
      <c r="B31" s="134" t="s">
        <v>756</v>
      </c>
      <c r="C31" s="135">
        <v>1.6583171138277601</v>
      </c>
      <c r="D31" s="135">
        <v>1.766039122750846</v>
      </c>
    </row>
    <row r="32">
      <c r="A32" s="133">
        <v>20102.0</v>
      </c>
      <c r="B32" s="134" t="s">
        <v>89</v>
      </c>
      <c r="C32" s="135">
        <v>0.013447563942177446</v>
      </c>
      <c r="D32" s="135">
        <v>0.6183744378083704</v>
      </c>
    </row>
    <row r="33">
      <c r="A33" s="133">
        <v>20103.0</v>
      </c>
      <c r="B33" s="134" t="s">
        <v>87</v>
      </c>
      <c r="C33" s="135">
        <v>0.03411673721282444</v>
      </c>
      <c r="D33" s="135">
        <v>0.26468328939779073</v>
      </c>
    </row>
    <row r="34">
      <c r="A34" s="133">
        <v>20104.0</v>
      </c>
      <c r="B34" s="134" t="s">
        <v>54</v>
      </c>
      <c r="C34" s="135">
        <v>0.48269013659228255</v>
      </c>
      <c r="D34" s="135">
        <v>5.300819275963798</v>
      </c>
    </row>
    <row r="35">
      <c r="A35" s="133">
        <v>20105.0</v>
      </c>
      <c r="B35" s="134" t="s">
        <v>74</v>
      </c>
      <c r="C35" s="135">
        <v>0.7943852764856847</v>
      </c>
      <c r="D35" s="135">
        <v>0.867090180012881</v>
      </c>
    </row>
    <row r="36">
      <c r="A36" s="133">
        <v>20201.0</v>
      </c>
      <c r="B36" s="134" t="s">
        <v>52</v>
      </c>
      <c r="C36" s="135">
        <v>0.02075718216912377</v>
      </c>
      <c r="D36" s="135">
        <v>0.2954296086395181</v>
      </c>
    </row>
    <row r="37">
      <c r="A37" s="133">
        <v>20202.0</v>
      </c>
      <c r="B37" s="134" t="s">
        <v>757</v>
      </c>
      <c r="C37" s="135">
        <v>0.0</v>
      </c>
      <c r="D37" s="135">
        <v>0.5154640113329572</v>
      </c>
    </row>
    <row r="38">
      <c r="A38" s="133">
        <v>20203.0</v>
      </c>
      <c r="B38" s="134" t="s">
        <v>319</v>
      </c>
      <c r="C38" s="135">
        <v>0.0</v>
      </c>
      <c r="D38" s="135">
        <v>0.5449673252256055</v>
      </c>
    </row>
    <row r="39">
      <c r="A39" s="133">
        <v>20204.0</v>
      </c>
      <c r="B39" s="134" t="s">
        <v>79</v>
      </c>
      <c r="C39" s="135">
        <v>0.0</v>
      </c>
      <c r="D39" s="135">
        <v>2.2962358750578673</v>
      </c>
    </row>
    <row r="40">
      <c r="A40" s="133">
        <v>20205.0</v>
      </c>
      <c r="B40" s="134" t="s">
        <v>96</v>
      </c>
      <c r="C40" s="135">
        <v>0.0</v>
      </c>
      <c r="D40" s="135">
        <v>2.3773608166529527</v>
      </c>
    </row>
    <row r="41">
      <c r="A41" s="133">
        <v>20206.0</v>
      </c>
      <c r="B41" s="134" t="s">
        <v>80</v>
      </c>
      <c r="C41" s="135">
        <v>0.0</v>
      </c>
      <c r="D41" s="135">
        <v>3.21262547157754</v>
      </c>
    </row>
    <row r="42">
      <c r="A42" s="133">
        <v>20301.0</v>
      </c>
      <c r="B42" s="134" t="s">
        <v>758</v>
      </c>
      <c r="C42" s="135">
        <v>0.0018168105836186372</v>
      </c>
      <c r="D42" s="135">
        <v>0.11707239910155331</v>
      </c>
    </row>
    <row r="43">
      <c r="A43" s="133">
        <v>20302.0</v>
      </c>
      <c r="B43" s="134" t="s">
        <v>62</v>
      </c>
      <c r="C43" s="135">
        <v>0.002345525553300049</v>
      </c>
      <c r="D43" s="135">
        <v>0.0023140997548949972</v>
      </c>
    </row>
    <row r="44">
      <c r="A44" s="133">
        <v>20303.0</v>
      </c>
      <c r="B44" s="134" t="s">
        <v>60</v>
      </c>
      <c r="C44" s="135">
        <v>0.005293973136468317</v>
      </c>
      <c r="D44" s="135">
        <v>0.07731636885600687</v>
      </c>
    </row>
    <row r="45">
      <c r="A45" s="133">
        <v>20304.0</v>
      </c>
      <c r="B45" s="134" t="s">
        <v>759</v>
      </c>
      <c r="C45" s="135">
        <v>0.0</v>
      </c>
      <c r="D45" s="135">
        <v>0.0</v>
      </c>
    </row>
    <row r="46">
      <c r="A46" s="133">
        <v>20305.0</v>
      </c>
      <c r="B46" s="134" t="s">
        <v>64</v>
      </c>
      <c r="C46" s="135">
        <v>0.005188466419309899</v>
      </c>
      <c r="D46" s="135">
        <v>0.35507676482302486</v>
      </c>
    </row>
    <row r="47">
      <c r="A47" s="133">
        <v>20306.0</v>
      </c>
      <c r="B47" s="134" t="s">
        <v>760</v>
      </c>
      <c r="C47" s="135">
        <v>0.0</v>
      </c>
      <c r="D47" s="135">
        <v>0.16198148836493392</v>
      </c>
    </row>
    <row r="48">
      <c r="A48" s="133">
        <v>20307.0</v>
      </c>
      <c r="B48" s="134" t="s">
        <v>761</v>
      </c>
      <c r="C48" s="135">
        <v>0.0</v>
      </c>
      <c r="D48" s="135">
        <v>0.0</v>
      </c>
    </row>
    <row r="49">
      <c r="A49" s="133">
        <v>20308.0</v>
      </c>
      <c r="B49" s="134" t="s">
        <v>388</v>
      </c>
      <c r="C49" s="135">
        <v>0.0</v>
      </c>
      <c r="D49" s="135">
        <v>0.015679347946647156</v>
      </c>
    </row>
    <row r="50">
      <c r="A50" s="133">
        <v>20401.0</v>
      </c>
      <c r="B50" s="134" t="s">
        <v>93</v>
      </c>
      <c r="C50" s="135">
        <v>0.006554746930702343</v>
      </c>
      <c r="D50" s="135">
        <v>1.082777114496221</v>
      </c>
    </row>
    <row r="51">
      <c r="A51" s="133">
        <v>20402.0</v>
      </c>
      <c r="B51" s="134" t="s">
        <v>762</v>
      </c>
      <c r="C51" s="135">
        <v>0.0014569873440181422</v>
      </c>
      <c r="D51" s="135">
        <v>0.025017488638519512</v>
      </c>
    </row>
    <row r="52">
      <c r="A52" s="133">
        <v>20403.0</v>
      </c>
      <c r="B52" s="134" t="s">
        <v>763</v>
      </c>
      <c r="C52" s="135">
        <v>0.0</v>
      </c>
      <c r="D52" s="135">
        <v>0.3698088782812252</v>
      </c>
    </row>
    <row r="53">
      <c r="A53" s="133">
        <v>20404.0</v>
      </c>
      <c r="B53" s="134" t="s">
        <v>346</v>
      </c>
      <c r="C53" s="135">
        <v>0.0</v>
      </c>
      <c r="D53" s="135">
        <v>0.39190100775979564</v>
      </c>
    </row>
    <row r="54">
      <c r="A54" s="133">
        <v>20405.0</v>
      </c>
      <c r="B54" s="134" t="s">
        <v>339</v>
      </c>
      <c r="C54" s="135">
        <v>0.0</v>
      </c>
      <c r="D54" s="135">
        <v>0.12399257005700311</v>
      </c>
    </row>
    <row r="55">
      <c r="A55" s="133">
        <v>20501.0</v>
      </c>
      <c r="B55" s="134" t="s">
        <v>66</v>
      </c>
      <c r="C55" s="135">
        <v>6.24532050310633E-4</v>
      </c>
      <c r="D55" s="135">
        <v>4.3771700999832314E-4</v>
      </c>
    </row>
    <row r="56">
      <c r="A56" s="133">
        <v>20502.0</v>
      </c>
      <c r="B56" s="134" t="s">
        <v>57</v>
      </c>
      <c r="C56" s="135">
        <v>0.0</v>
      </c>
      <c r="D56" s="135">
        <v>0.0</v>
      </c>
    </row>
    <row r="57">
      <c r="A57" s="133">
        <v>20503.0</v>
      </c>
      <c r="B57" s="134" t="s">
        <v>764</v>
      </c>
      <c r="C57" s="135">
        <v>0.0</v>
      </c>
      <c r="D57" s="135">
        <v>0.0</v>
      </c>
    </row>
    <row r="58">
      <c r="A58" s="133">
        <v>20601.0</v>
      </c>
      <c r="B58" s="134" t="s">
        <v>99</v>
      </c>
      <c r="C58" s="135">
        <v>0.003626542968711209</v>
      </c>
      <c r="D58" s="135">
        <v>0.09770812402047868</v>
      </c>
    </row>
    <row r="59">
      <c r="A59" s="133">
        <v>20602.0</v>
      </c>
      <c r="B59" s="134" t="s">
        <v>77</v>
      </c>
      <c r="C59" s="135">
        <v>0.004472545492949735</v>
      </c>
      <c r="D59" s="135">
        <v>0.20845819545186028</v>
      </c>
    </row>
    <row r="60">
      <c r="A60" s="133">
        <v>20603.0</v>
      </c>
      <c r="B60" s="134" t="s">
        <v>100</v>
      </c>
      <c r="C60" s="135">
        <v>0.0</v>
      </c>
      <c r="D60" s="135">
        <v>0.0</v>
      </c>
    </row>
    <row r="61">
      <c r="A61" s="133">
        <v>20604.0</v>
      </c>
      <c r="B61" s="134" t="s">
        <v>765</v>
      </c>
      <c r="C61" s="135">
        <v>0.0</v>
      </c>
      <c r="D61" s="135">
        <v>0.0</v>
      </c>
    </row>
    <row r="62">
      <c r="A62" s="133">
        <v>20605.0</v>
      </c>
      <c r="B62" s="134" t="s">
        <v>328</v>
      </c>
      <c r="C62" s="135">
        <v>0.0</v>
      </c>
      <c r="D62" s="135">
        <v>0.29910855744829457</v>
      </c>
    </row>
    <row r="63">
      <c r="A63" s="133">
        <v>20606.0</v>
      </c>
      <c r="B63" s="134" t="s">
        <v>766</v>
      </c>
      <c r="C63" s="135">
        <v>0.0</v>
      </c>
      <c r="D63" s="135">
        <v>0.0</v>
      </c>
    </row>
    <row r="64">
      <c r="A64" s="133">
        <v>20607.0</v>
      </c>
      <c r="B64" s="134" t="s">
        <v>767</v>
      </c>
      <c r="C64" s="135">
        <v>0.0</v>
      </c>
      <c r="D64" s="135">
        <v>0.0</v>
      </c>
    </row>
    <row r="65">
      <c r="A65" s="133">
        <v>20608.0</v>
      </c>
      <c r="B65" s="134" t="s">
        <v>768</v>
      </c>
      <c r="C65" s="135">
        <v>0.0</v>
      </c>
      <c r="D65" s="135">
        <v>0.0</v>
      </c>
    </row>
    <row r="66">
      <c r="A66" s="133">
        <v>20701.0</v>
      </c>
      <c r="B66" s="134" t="s">
        <v>299</v>
      </c>
      <c r="C66" s="135">
        <v>0.0</v>
      </c>
      <c r="D66" s="135">
        <v>0.007575328106906683</v>
      </c>
    </row>
    <row r="67">
      <c r="A67" s="133">
        <v>20702.0</v>
      </c>
      <c r="B67" s="134" t="s">
        <v>373</v>
      </c>
      <c r="C67" s="135">
        <v>0.0</v>
      </c>
      <c r="D67" s="135">
        <v>0.1215050478874267</v>
      </c>
    </row>
    <row r="68">
      <c r="A68" s="133">
        <v>20801.0</v>
      </c>
      <c r="B68" s="134" t="s">
        <v>104</v>
      </c>
      <c r="C68" s="135">
        <v>0.5624315207969991</v>
      </c>
      <c r="D68" s="135">
        <v>0.8152754412311287</v>
      </c>
    </row>
    <row r="69">
      <c r="A69" s="133">
        <v>20802.0</v>
      </c>
      <c r="B69" s="134" t="s">
        <v>769</v>
      </c>
      <c r="C69" s="135">
        <v>0.005819755107027502</v>
      </c>
      <c r="D69" s="135">
        <v>0.8727784052065037</v>
      </c>
    </row>
    <row r="70">
      <c r="A70" s="133">
        <v>20803.0</v>
      </c>
      <c r="B70" s="134" t="s">
        <v>770</v>
      </c>
      <c r="C70" s="135">
        <v>2.3441550824376535E-4</v>
      </c>
      <c r="D70" s="135">
        <v>0.16994505077808955</v>
      </c>
    </row>
    <row r="71">
      <c r="A71" s="133">
        <v>20804.0</v>
      </c>
      <c r="B71" s="134" t="s">
        <v>73</v>
      </c>
      <c r="C71" s="135">
        <v>0.00644586173231504</v>
      </c>
      <c r="D71" s="135">
        <v>3.6338002557011095</v>
      </c>
    </row>
    <row r="72">
      <c r="A72" s="133">
        <v>20805.0</v>
      </c>
      <c r="B72" s="134" t="s">
        <v>771</v>
      </c>
      <c r="C72" s="135">
        <v>0.0</v>
      </c>
      <c r="D72" s="135">
        <v>0.08722378195998912</v>
      </c>
    </row>
    <row r="73">
      <c r="A73" s="133">
        <v>20806.0</v>
      </c>
      <c r="B73" s="134" t="s">
        <v>772</v>
      </c>
      <c r="C73" s="135">
        <v>0.017351654883794997</v>
      </c>
      <c r="D73" s="135">
        <v>0.017660800930324728</v>
      </c>
    </row>
    <row r="74">
      <c r="A74" s="133">
        <v>20807.0</v>
      </c>
      <c r="B74" s="134" t="s">
        <v>101</v>
      </c>
      <c r="C74" s="135">
        <v>0.0</v>
      </c>
      <c r="D74" s="135">
        <v>1.9082907564183604</v>
      </c>
    </row>
    <row r="75">
      <c r="A75" s="133">
        <v>20901.0</v>
      </c>
      <c r="B75" s="134" t="s">
        <v>86</v>
      </c>
      <c r="C75" s="135">
        <v>0.03184784129012244</v>
      </c>
      <c r="D75" s="135">
        <v>0.024425081439695597</v>
      </c>
    </row>
    <row r="76">
      <c r="A76" s="133">
        <v>20902.0</v>
      </c>
      <c r="B76" s="134" t="s">
        <v>97</v>
      </c>
      <c r="C76" s="135">
        <v>0.0015796023461429243</v>
      </c>
      <c r="D76" s="135">
        <v>0.4705695249848705</v>
      </c>
    </row>
    <row r="77">
      <c r="A77" s="133">
        <v>20903.0</v>
      </c>
      <c r="B77" s="134" t="s">
        <v>407</v>
      </c>
      <c r="C77" s="135">
        <v>0.0</v>
      </c>
      <c r="D77" s="135">
        <v>0.009989677473401879</v>
      </c>
    </row>
    <row r="78">
      <c r="A78" s="133">
        <v>20904.0</v>
      </c>
      <c r="B78" s="134" t="s">
        <v>773</v>
      </c>
      <c r="C78" s="135">
        <v>0.0</v>
      </c>
      <c r="D78" s="135">
        <v>0.0</v>
      </c>
    </row>
    <row r="79">
      <c r="A79" s="133">
        <v>20905.0</v>
      </c>
      <c r="B79" s="134" t="s">
        <v>304</v>
      </c>
      <c r="C79" s="135">
        <v>0.0</v>
      </c>
      <c r="D79" s="135">
        <v>0.013165572622272515</v>
      </c>
    </row>
    <row r="80">
      <c r="A80" s="133">
        <v>21001.0</v>
      </c>
      <c r="B80" s="134" t="s">
        <v>81</v>
      </c>
      <c r="C80" s="135">
        <v>0.0</v>
      </c>
      <c r="D80" s="135">
        <v>1.1916377206626985</v>
      </c>
    </row>
    <row r="81">
      <c r="A81" s="133">
        <v>21002.0</v>
      </c>
      <c r="B81" s="134" t="s">
        <v>95</v>
      </c>
      <c r="C81" s="135">
        <v>0.002847751419892906</v>
      </c>
      <c r="D81" s="135">
        <v>0.5498369910434338</v>
      </c>
    </row>
    <row r="82">
      <c r="A82" s="133">
        <v>21003.0</v>
      </c>
      <c r="B82" s="134" t="s">
        <v>307</v>
      </c>
      <c r="C82" s="135">
        <v>0.0</v>
      </c>
      <c r="D82" s="135">
        <v>0.00998035794159422</v>
      </c>
    </row>
    <row r="83">
      <c r="A83" s="133">
        <v>21004.0</v>
      </c>
      <c r="B83" s="134" t="s">
        <v>69</v>
      </c>
      <c r="C83" s="135">
        <v>0.0018552965094324496</v>
      </c>
      <c r="D83" s="135">
        <v>0.06790174191917998</v>
      </c>
    </row>
    <row r="84">
      <c r="A84" s="133">
        <v>21005.0</v>
      </c>
      <c r="B84" s="134" t="s">
        <v>774</v>
      </c>
      <c r="C84" s="135">
        <v>0.0</v>
      </c>
      <c r="D84" s="135">
        <v>0.0</v>
      </c>
    </row>
    <row r="85">
      <c r="A85" s="133">
        <v>21006.0</v>
      </c>
      <c r="B85" s="134" t="s">
        <v>775</v>
      </c>
      <c r="C85" s="135">
        <v>0.0</v>
      </c>
      <c r="D85" s="135">
        <v>0.0</v>
      </c>
    </row>
    <row r="86">
      <c r="A86" s="133">
        <v>21101.0</v>
      </c>
      <c r="B86" s="134" t="s">
        <v>65</v>
      </c>
      <c r="C86" s="135">
        <v>0.009953668106724938</v>
      </c>
      <c r="D86" s="135">
        <v>0.13628794094205457</v>
      </c>
    </row>
    <row r="87">
      <c r="A87" s="133">
        <v>21102.0</v>
      </c>
      <c r="B87" s="134" t="s">
        <v>82</v>
      </c>
      <c r="C87" s="135">
        <v>0.1048628843954268</v>
      </c>
      <c r="D87" s="135">
        <v>0.07161954414092303</v>
      </c>
    </row>
    <row r="88">
      <c r="A88" s="133">
        <v>21103.0</v>
      </c>
      <c r="B88" s="134" t="s">
        <v>776</v>
      </c>
      <c r="C88" s="135">
        <v>0.0</v>
      </c>
      <c r="D88" s="135">
        <v>0.0</v>
      </c>
    </row>
    <row r="89">
      <c r="A89" s="133">
        <v>21104.0</v>
      </c>
      <c r="B89" s="134" t="s">
        <v>90</v>
      </c>
      <c r="C89" s="135">
        <v>0.052765604930266566</v>
      </c>
      <c r="D89" s="135">
        <v>0.039200802659188634</v>
      </c>
    </row>
    <row r="90">
      <c r="A90" s="133">
        <v>21105.0</v>
      </c>
      <c r="B90" s="134" t="s">
        <v>354</v>
      </c>
      <c r="C90" s="135">
        <v>0.0</v>
      </c>
      <c r="D90" s="135">
        <v>0.006782292397534897</v>
      </c>
    </row>
    <row r="91">
      <c r="A91" s="133">
        <v>21201.0</v>
      </c>
      <c r="B91" s="134" t="s">
        <v>92</v>
      </c>
      <c r="C91" s="135">
        <v>0.011677974936057697</v>
      </c>
      <c r="D91" s="135">
        <v>0.2536249803181874</v>
      </c>
    </row>
    <row r="92">
      <c r="A92" s="133">
        <v>21202.0</v>
      </c>
      <c r="B92" s="134" t="s">
        <v>85</v>
      </c>
      <c r="C92" s="135">
        <v>0.004196374408085659</v>
      </c>
      <c r="D92" s="135">
        <v>1.1363426864307664</v>
      </c>
    </row>
    <row r="93">
      <c r="A93" s="133">
        <v>21203.0</v>
      </c>
      <c r="B93" s="134" t="s">
        <v>59</v>
      </c>
      <c r="C93" s="135">
        <v>0.0024897864846294302</v>
      </c>
      <c r="D93" s="135">
        <v>0.23886049110199772</v>
      </c>
    </row>
    <row r="94">
      <c r="A94" s="133">
        <v>21204.0</v>
      </c>
      <c r="B94" s="134" t="s">
        <v>777</v>
      </c>
      <c r="C94" s="135">
        <v>0.0</v>
      </c>
      <c r="D94" s="135">
        <v>0.2835572360102742</v>
      </c>
    </row>
    <row r="95">
      <c r="A95" s="133">
        <v>21301.0</v>
      </c>
      <c r="B95" s="134" t="s">
        <v>778</v>
      </c>
      <c r="C95" s="135">
        <v>0.006370064764505216</v>
      </c>
      <c r="D95" s="135">
        <v>0.8271142324167722</v>
      </c>
    </row>
    <row r="96">
      <c r="A96" s="133">
        <v>21302.0</v>
      </c>
      <c r="B96" s="134" t="s">
        <v>103</v>
      </c>
      <c r="C96" s="135">
        <v>0.004895566460279412</v>
      </c>
      <c r="D96" s="135">
        <v>0.14849333831218664</v>
      </c>
    </row>
    <row r="97">
      <c r="A97" s="133">
        <v>21303.0</v>
      </c>
      <c r="B97" s="134" t="s">
        <v>58</v>
      </c>
      <c r="C97" s="135">
        <v>0.0020181524048948863</v>
      </c>
      <c r="D97" s="135">
        <v>1.6345706233241435</v>
      </c>
    </row>
    <row r="98">
      <c r="A98" s="133">
        <v>21304.0</v>
      </c>
      <c r="B98" s="134" t="s">
        <v>61</v>
      </c>
      <c r="C98" s="135">
        <v>0.9579744113806934</v>
      </c>
      <c r="D98" s="135">
        <v>5.919069930002099</v>
      </c>
    </row>
    <row r="99">
      <c r="A99" s="133">
        <v>21305.0</v>
      </c>
      <c r="B99" s="134" t="s">
        <v>91</v>
      </c>
      <c r="C99" s="135">
        <v>0.12760305399004807</v>
      </c>
      <c r="D99" s="135">
        <v>1.2337905906643922</v>
      </c>
    </row>
    <row r="100">
      <c r="A100" s="133">
        <v>21306.0</v>
      </c>
      <c r="B100" s="134" t="s">
        <v>68</v>
      </c>
      <c r="C100" s="135">
        <v>0.005039329575236359</v>
      </c>
      <c r="D100" s="135">
        <v>0.2985665095319499</v>
      </c>
    </row>
    <row r="101">
      <c r="A101" s="133">
        <v>21307.0</v>
      </c>
      <c r="B101" s="134" t="s">
        <v>67</v>
      </c>
      <c r="C101" s="135">
        <v>0.28318645176524404</v>
      </c>
      <c r="D101" s="135">
        <v>0.8673535910079442</v>
      </c>
    </row>
    <row r="102">
      <c r="A102" s="133">
        <v>21401.0</v>
      </c>
      <c r="B102" s="134" t="s">
        <v>72</v>
      </c>
      <c r="C102" s="135">
        <v>0.014600308513347917</v>
      </c>
      <c r="D102" s="135">
        <v>0.008786926751459045</v>
      </c>
    </row>
    <row r="103">
      <c r="A103" s="133">
        <v>21402.0</v>
      </c>
      <c r="B103" s="134" t="s">
        <v>334</v>
      </c>
      <c r="C103" s="135">
        <v>0.0</v>
      </c>
      <c r="D103" s="135">
        <v>0.008603594091771263</v>
      </c>
    </row>
    <row r="104">
      <c r="A104" s="133">
        <v>21501.0</v>
      </c>
      <c r="B104" s="134" t="s">
        <v>353</v>
      </c>
      <c r="C104" s="135">
        <v>0.0</v>
      </c>
      <c r="D104" s="135">
        <v>0.027021608598761352</v>
      </c>
    </row>
    <row r="105">
      <c r="A105" s="133">
        <v>21502.0</v>
      </c>
      <c r="B105" s="134" t="s">
        <v>384</v>
      </c>
      <c r="C105" s="135">
        <v>0.0</v>
      </c>
      <c r="D105" s="135">
        <v>0.09437776556828521</v>
      </c>
    </row>
    <row r="106">
      <c r="A106" s="133">
        <v>21601.0</v>
      </c>
      <c r="B106" s="134" t="s">
        <v>779</v>
      </c>
      <c r="C106" s="135">
        <v>0.0</v>
      </c>
      <c r="D106" s="135">
        <v>0.019921271731825757</v>
      </c>
    </row>
    <row r="107">
      <c r="A107" s="133">
        <v>21602.0</v>
      </c>
      <c r="B107" s="134" t="s">
        <v>780</v>
      </c>
      <c r="C107" s="135">
        <v>0.0</v>
      </c>
      <c r="D107" s="135">
        <v>0.0</v>
      </c>
    </row>
    <row r="108">
      <c r="A108" s="133">
        <v>21701.0</v>
      </c>
      <c r="B108" s="134" t="s">
        <v>70</v>
      </c>
      <c r="C108" s="135">
        <v>5.241450638762572E-4</v>
      </c>
      <c r="D108" s="135">
        <v>0.08156261778900953</v>
      </c>
    </row>
    <row r="109">
      <c r="A109" s="133">
        <v>21702.0</v>
      </c>
      <c r="B109" s="134" t="s">
        <v>386</v>
      </c>
      <c r="C109" s="135">
        <v>0.0</v>
      </c>
      <c r="D109" s="135">
        <v>0.44548535439868114</v>
      </c>
    </row>
    <row r="110">
      <c r="A110" s="133">
        <v>21703.0</v>
      </c>
      <c r="B110" s="134" t="s">
        <v>400</v>
      </c>
      <c r="C110" s="135">
        <v>0.0</v>
      </c>
      <c r="D110" s="135">
        <v>0.05168981267268538</v>
      </c>
    </row>
    <row r="111">
      <c r="A111" s="133">
        <v>21801.0</v>
      </c>
      <c r="B111" s="134" t="s">
        <v>781</v>
      </c>
      <c r="C111" s="135">
        <v>0.0</v>
      </c>
      <c r="D111" s="135">
        <v>0.0</v>
      </c>
    </row>
    <row r="112">
      <c r="A112" s="133">
        <v>21802.0</v>
      </c>
      <c r="B112" s="134" t="s">
        <v>369</v>
      </c>
      <c r="C112" s="135">
        <v>0.0</v>
      </c>
      <c r="D112" s="135">
        <v>5.4685199339708515</v>
      </c>
    </row>
    <row r="113">
      <c r="A113" s="133">
        <v>21803.0</v>
      </c>
      <c r="B113" s="134" t="s">
        <v>782</v>
      </c>
      <c r="C113" s="135">
        <v>0.0</v>
      </c>
      <c r="D113" s="135">
        <v>0.0</v>
      </c>
    </row>
    <row r="114">
      <c r="A114" s="133">
        <v>21901.0</v>
      </c>
      <c r="B114" s="134" t="s">
        <v>783</v>
      </c>
      <c r="C114" s="135">
        <v>0.0</v>
      </c>
      <c r="D114" s="135">
        <v>0.0</v>
      </c>
    </row>
    <row r="115">
      <c r="A115" s="133">
        <v>21902.0</v>
      </c>
      <c r="B115" s="134" t="s">
        <v>784</v>
      </c>
      <c r="C115" s="135">
        <v>0.0</v>
      </c>
      <c r="D115" s="135">
        <v>0.0</v>
      </c>
    </row>
    <row r="116">
      <c r="A116" s="133">
        <v>22001.0</v>
      </c>
      <c r="B116" s="134" t="s">
        <v>63</v>
      </c>
      <c r="C116" s="135">
        <v>0.22481024469884886</v>
      </c>
      <c r="D116" s="135">
        <v>0.2626521211306898</v>
      </c>
    </row>
    <row r="117">
      <c r="A117" s="133">
        <v>22002.0</v>
      </c>
      <c r="B117" s="134" t="s">
        <v>56</v>
      </c>
      <c r="C117" s="135">
        <v>0.11635715505005237</v>
      </c>
      <c r="D117" s="135">
        <v>0.18393739255394895</v>
      </c>
    </row>
    <row r="118">
      <c r="A118" s="133">
        <v>30101.0</v>
      </c>
      <c r="B118" s="134" t="s">
        <v>105</v>
      </c>
      <c r="C118" s="135">
        <v>1.3758250399595362</v>
      </c>
      <c r="D118" s="135">
        <v>1.5808076459101135</v>
      </c>
    </row>
    <row r="119">
      <c r="A119" s="133">
        <v>30201.0</v>
      </c>
      <c r="B119" s="134" t="s">
        <v>106</v>
      </c>
      <c r="C119" s="135">
        <v>0.012156947612286927</v>
      </c>
      <c r="D119" s="135">
        <v>0.012712595195544556</v>
      </c>
    </row>
    <row r="120">
      <c r="A120" s="133">
        <v>30202.0</v>
      </c>
      <c r="B120" s="134" t="s">
        <v>125</v>
      </c>
      <c r="C120" s="135">
        <v>7.356389598349013E-4</v>
      </c>
      <c r="D120" s="135">
        <v>7.140373403527968E-4</v>
      </c>
    </row>
    <row r="121">
      <c r="A121" s="133">
        <v>30203.0</v>
      </c>
      <c r="B121" s="134" t="s">
        <v>124</v>
      </c>
      <c r="C121" s="135">
        <v>0.008953903638526925</v>
      </c>
      <c r="D121" s="135">
        <v>0.0842365132093347</v>
      </c>
    </row>
    <row r="122">
      <c r="A122" s="133">
        <v>30301.0</v>
      </c>
      <c r="B122" s="134" t="s">
        <v>785</v>
      </c>
      <c r="C122" s="135">
        <v>0.0</v>
      </c>
      <c r="D122" s="135">
        <v>0.0</v>
      </c>
    </row>
    <row r="123">
      <c r="A123" s="133">
        <v>30302.0</v>
      </c>
      <c r="B123" s="134" t="s">
        <v>123</v>
      </c>
      <c r="C123" s="135">
        <v>0.008227600791233714</v>
      </c>
      <c r="D123" s="135">
        <v>0.031263622936904656</v>
      </c>
    </row>
    <row r="124">
      <c r="A124" s="133">
        <v>30303.0</v>
      </c>
      <c r="B124" s="134" t="s">
        <v>117</v>
      </c>
      <c r="C124" s="135">
        <v>0.08303076759608229</v>
      </c>
      <c r="D124" s="135">
        <v>0.18424558924916518</v>
      </c>
    </row>
    <row r="125">
      <c r="A125" s="133">
        <v>30401.0</v>
      </c>
      <c r="B125" s="134" t="s">
        <v>139</v>
      </c>
      <c r="C125" s="135">
        <v>0.24571810016242157</v>
      </c>
      <c r="D125" s="135">
        <v>0.2799915567924799</v>
      </c>
    </row>
    <row r="126">
      <c r="A126" s="133">
        <v>30402.0</v>
      </c>
      <c r="B126" s="134" t="s">
        <v>108</v>
      </c>
      <c r="C126" s="135">
        <v>2.495913508652924E-4</v>
      </c>
      <c r="D126" s="135">
        <v>0.10590457930226413</v>
      </c>
    </row>
    <row r="127">
      <c r="A127" s="133">
        <v>30403.0</v>
      </c>
      <c r="B127" s="134" t="s">
        <v>110</v>
      </c>
      <c r="C127" s="135">
        <v>0.05275406712406832</v>
      </c>
      <c r="D127" s="135">
        <v>0.4368367697259158</v>
      </c>
    </row>
    <row r="128">
      <c r="A128" s="133">
        <v>30404.0</v>
      </c>
      <c r="B128" s="134" t="s">
        <v>132</v>
      </c>
      <c r="C128" s="135">
        <v>0.00811315725906631</v>
      </c>
      <c r="D128" s="135">
        <v>0.006865028411753662</v>
      </c>
    </row>
    <row r="129">
      <c r="A129" s="133">
        <v>30501.0</v>
      </c>
      <c r="B129" s="134" t="s">
        <v>109</v>
      </c>
      <c r="C129" s="135">
        <v>0.03957265365348735</v>
      </c>
      <c r="D129" s="135">
        <v>0.19400824415902035</v>
      </c>
    </row>
    <row r="130">
      <c r="A130" s="133">
        <v>30502.0</v>
      </c>
      <c r="B130" s="134" t="s">
        <v>145</v>
      </c>
      <c r="C130" s="135">
        <v>0.024193350096973466</v>
      </c>
      <c r="D130" s="135">
        <v>0.09479670690645262</v>
      </c>
    </row>
    <row r="131">
      <c r="A131" s="133">
        <v>30601.0</v>
      </c>
      <c r="B131" s="134" t="s">
        <v>111</v>
      </c>
      <c r="C131" s="135">
        <v>0.00223140008991475</v>
      </c>
      <c r="D131" s="135">
        <v>0.07981818431864096</v>
      </c>
    </row>
    <row r="132">
      <c r="A132" s="133">
        <v>30602.0</v>
      </c>
      <c r="B132" s="134" t="s">
        <v>137</v>
      </c>
      <c r="C132" s="135">
        <v>0.003144894781658862</v>
      </c>
      <c r="D132" s="135">
        <v>0.12649798304542267</v>
      </c>
    </row>
    <row r="133">
      <c r="A133" s="133">
        <v>30701.0</v>
      </c>
      <c r="B133" s="134" t="s">
        <v>113</v>
      </c>
      <c r="C133" s="135">
        <v>0.3334829054963735</v>
      </c>
      <c r="D133" s="135">
        <v>0.7313989173258905</v>
      </c>
    </row>
    <row r="134">
      <c r="A134" s="133">
        <v>30702.0</v>
      </c>
      <c r="B134" s="134" t="s">
        <v>134</v>
      </c>
      <c r="C134" s="135">
        <v>0.045551558850649085</v>
      </c>
      <c r="D134" s="135">
        <v>0.22302435731589712</v>
      </c>
    </row>
    <row r="135">
      <c r="A135" s="133">
        <v>30703.0</v>
      </c>
      <c r="B135" s="134" t="s">
        <v>786</v>
      </c>
      <c r="C135" s="135">
        <v>0.0</v>
      </c>
      <c r="D135" s="135">
        <v>0.0</v>
      </c>
    </row>
    <row r="136">
      <c r="A136" s="133">
        <v>30801.0</v>
      </c>
      <c r="B136" s="134" t="s">
        <v>116</v>
      </c>
      <c r="C136" s="135">
        <v>0.5545106735184597</v>
      </c>
      <c r="D136" s="135">
        <v>1.027198360000153</v>
      </c>
    </row>
    <row r="137">
      <c r="A137" s="133">
        <v>30802.0</v>
      </c>
      <c r="B137" s="134" t="s">
        <v>142</v>
      </c>
      <c r="C137" s="135">
        <v>0.01471320969518247</v>
      </c>
      <c r="D137" s="135">
        <v>0.06901431755385604</v>
      </c>
    </row>
    <row r="138">
      <c r="A138" s="133">
        <v>30803.0</v>
      </c>
      <c r="B138" s="134" t="s">
        <v>143</v>
      </c>
      <c r="C138" s="135">
        <v>0.0332302347282992</v>
      </c>
      <c r="D138" s="135">
        <v>0.1733624688180196</v>
      </c>
    </row>
    <row r="139">
      <c r="A139" s="133">
        <v>30901.0</v>
      </c>
      <c r="B139" s="134" t="s">
        <v>130</v>
      </c>
      <c r="C139" s="135">
        <v>2.8868875620637393</v>
      </c>
      <c r="D139" s="135">
        <v>2.229776349865931</v>
      </c>
    </row>
    <row r="140">
      <c r="A140" s="133">
        <v>30902.0</v>
      </c>
      <c r="B140" s="134" t="s">
        <v>787</v>
      </c>
      <c r="C140" s="135">
        <v>0.0</v>
      </c>
      <c r="D140" s="135">
        <v>0.0</v>
      </c>
    </row>
    <row r="141">
      <c r="A141" s="133">
        <v>30903.0</v>
      </c>
      <c r="B141" s="134" t="s">
        <v>140</v>
      </c>
      <c r="C141" s="135">
        <v>0.34169506498243496</v>
      </c>
      <c r="D141" s="135">
        <v>1.1949667718389727</v>
      </c>
    </row>
    <row r="142">
      <c r="A142" s="133">
        <v>30904.0</v>
      </c>
      <c r="B142" s="134" t="s">
        <v>150</v>
      </c>
      <c r="C142" s="135">
        <v>0.49253973451133426</v>
      </c>
      <c r="D142" s="135">
        <v>1.8505914519139237</v>
      </c>
    </row>
    <row r="143">
      <c r="A143" s="133">
        <v>30905.0</v>
      </c>
      <c r="B143" s="134" t="s">
        <v>118</v>
      </c>
      <c r="C143" s="135">
        <v>0.8832035305429025</v>
      </c>
      <c r="D143" s="135">
        <v>1.0387890059479714</v>
      </c>
    </row>
    <row r="144">
      <c r="A144" s="133">
        <v>31001.0</v>
      </c>
      <c r="B144" s="134" t="s">
        <v>131</v>
      </c>
      <c r="C144" s="135">
        <v>1.2202263805477584</v>
      </c>
      <c r="D144" s="135">
        <v>1.2313019360313846</v>
      </c>
    </row>
    <row r="145">
      <c r="A145" s="133">
        <v>31002.0</v>
      </c>
      <c r="B145" s="134" t="s">
        <v>119</v>
      </c>
      <c r="C145" s="135">
        <v>0.22188727021064014</v>
      </c>
      <c r="D145" s="135">
        <v>0.27877294152097976</v>
      </c>
    </row>
    <row r="146">
      <c r="A146" s="133">
        <v>31003.0</v>
      </c>
      <c r="B146" s="134" t="s">
        <v>149</v>
      </c>
      <c r="C146" s="135">
        <v>0.26767542727644</v>
      </c>
      <c r="D146" s="135">
        <v>0.23297961005087692</v>
      </c>
    </row>
    <row r="147">
      <c r="A147" s="133">
        <v>31101.0</v>
      </c>
      <c r="B147" s="134" t="s">
        <v>138</v>
      </c>
      <c r="C147" s="135">
        <v>0.0024119353909005732</v>
      </c>
      <c r="D147" s="135">
        <v>0.058152979655087554</v>
      </c>
    </row>
    <row r="148">
      <c r="A148" s="133">
        <v>31201.0</v>
      </c>
      <c r="B148" s="134" t="s">
        <v>144</v>
      </c>
      <c r="C148" s="135">
        <v>0.04167524428745343</v>
      </c>
      <c r="D148" s="135">
        <v>0.08565527646930333</v>
      </c>
    </row>
    <row r="149">
      <c r="A149" s="133">
        <v>31202.0</v>
      </c>
      <c r="B149" s="134" t="s">
        <v>127</v>
      </c>
      <c r="C149" s="135">
        <v>0.023171400332469637</v>
      </c>
      <c r="D149" s="135">
        <v>0.029051740664561704</v>
      </c>
    </row>
    <row r="150">
      <c r="A150" s="133">
        <v>31203.0</v>
      </c>
      <c r="B150" s="134" t="s">
        <v>126</v>
      </c>
      <c r="C150" s="135">
        <v>0.08059583681496804</v>
      </c>
      <c r="D150" s="135">
        <v>0.050616172533309876</v>
      </c>
    </row>
    <row r="151">
      <c r="A151" s="133">
        <v>31204.0</v>
      </c>
      <c r="B151" s="134" t="s">
        <v>114</v>
      </c>
      <c r="C151" s="135">
        <v>0.2119336872054983</v>
      </c>
      <c r="D151" s="135">
        <v>0.34173183843139826</v>
      </c>
    </row>
    <row r="152">
      <c r="A152" s="133">
        <v>31205.0</v>
      </c>
      <c r="B152" s="134" t="s">
        <v>128</v>
      </c>
      <c r="C152" s="135">
        <v>0.25097695263999636</v>
      </c>
      <c r="D152" s="135">
        <v>0.6222665964854086</v>
      </c>
    </row>
    <row r="153">
      <c r="A153" s="133">
        <v>31206.0</v>
      </c>
      <c r="B153" s="134" t="s">
        <v>120</v>
      </c>
      <c r="C153" s="135">
        <v>0.2331196455626255</v>
      </c>
      <c r="D153" s="135">
        <v>0.3028958322109757</v>
      </c>
    </row>
    <row r="154">
      <c r="A154" s="133">
        <v>31301.0</v>
      </c>
      <c r="B154" s="134" t="s">
        <v>122</v>
      </c>
      <c r="C154" s="135">
        <v>0.043709830109138995</v>
      </c>
      <c r="D154" s="135">
        <v>0.06971811383213794</v>
      </c>
    </row>
    <row r="155">
      <c r="A155" s="133">
        <v>31302.0</v>
      </c>
      <c r="B155" s="134" t="s">
        <v>146</v>
      </c>
      <c r="C155" s="135">
        <v>3.3374661416523137E-4</v>
      </c>
      <c r="D155" s="135">
        <v>3.6340845232008326E-4</v>
      </c>
    </row>
    <row r="156">
      <c r="A156" s="133">
        <v>31303.0</v>
      </c>
      <c r="B156" s="134" t="s">
        <v>107</v>
      </c>
      <c r="C156" s="135">
        <v>0.0010417866952813785</v>
      </c>
      <c r="D156" s="135">
        <v>0.0010852584988419798</v>
      </c>
    </row>
    <row r="157">
      <c r="A157" s="133">
        <v>31304.0</v>
      </c>
      <c r="B157" s="134" t="s">
        <v>788</v>
      </c>
      <c r="C157" s="135">
        <v>0.0</v>
      </c>
      <c r="D157" s="135">
        <v>0.0</v>
      </c>
    </row>
    <row r="158">
      <c r="A158" s="133">
        <v>31401.0</v>
      </c>
      <c r="B158" s="134" t="s">
        <v>129</v>
      </c>
      <c r="C158" s="135">
        <v>0.9047060332098377</v>
      </c>
      <c r="D158" s="135">
        <v>0.9978020123861202</v>
      </c>
    </row>
    <row r="159">
      <c r="A159" s="133">
        <v>31402.0</v>
      </c>
      <c r="B159" s="134" t="s">
        <v>147</v>
      </c>
      <c r="C159" s="135">
        <v>0.11192407936898696</v>
      </c>
      <c r="D159" s="135">
        <v>0.20488033323149393</v>
      </c>
    </row>
    <row r="160">
      <c r="A160" s="133">
        <v>31403.0</v>
      </c>
      <c r="B160" s="134" t="s">
        <v>133</v>
      </c>
      <c r="C160" s="135">
        <v>0.04710010584501187</v>
      </c>
      <c r="D160" s="135">
        <v>0.5822025989667067</v>
      </c>
    </row>
    <row r="161">
      <c r="A161" s="133">
        <v>31404.0</v>
      </c>
      <c r="B161" s="134" t="s">
        <v>789</v>
      </c>
      <c r="C161" s="135">
        <v>0.0</v>
      </c>
      <c r="D161" s="135">
        <v>0.0</v>
      </c>
    </row>
    <row r="162">
      <c r="A162" s="133">
        <v>31405.0</v>
      </c>
      <c r="B162" s="134" t="s">
        <v>790</v>
      </c>
      <c r="C162" s="135">
        <v>0.0</v>
      </c>
      <c r="D162" s="135">
        <v>0.0</v>
      </c>
    </row>
    <row r="163">
      <c r="A163" s="133">
        <v>31501.0</v>
      </c>
      <c r="B163" s="134" t="s">
        <v>112</v>
      </c>
      <c r="C163" s="135">
        <v>0.005110538771537138</v>
      </c>
      <c r="D163" s="135">
        <v>0.0023227223430558686</v>
      </c>
    </row>
    <row r="164">
      <c r="A164" s="133">
        <v>31601.0</v>
      </c>
      <c r="B164" s="134" t="s">
        <v>141</v>
      </c>
      <c r="C164" s="135">
        <v>0.1432123470390677</v>
      </c>
      <c r="D164" s="135">
        <v>0.9488876229701437</v>
      </c>
    </row>
    <row r="165">
      <c r="A165" s="133">
        <v>31602.0</v>
      </c>
      <c r="B165" s="134" t="s">
        <v>135</v>
      </c>
      <c r="C165" s="135">
        <v>0.11414349073067978</v>
      </c>
      <c r="D165" s="135">
        <v>0.3296784780106647</v>
      </c>
    </row>
    <row r="166">
      <c r="A166" s="133">
        <v>40101.0</v>
      </c>
      <c r="B166" s="134" t="s">
        <v>151</v>
      </c>
      <c r="C166" s="135">
        <v>1.9294159334675134</v>
      </c>
      <c r="D166" s="135">
        <v>1.9019405081228304</v>
      </c>
    </row>
    <row r="167">
      <c r="A167" s="133">
        <v>40102.0</v>
      </c>
      <c r="B167" s="134" t="s">
        <v>154</v>
      </c>
      <c r="C167" s="135">
        <v>0.012214773877526794</v>
      </c>
      <c r="D167" s="135">
        <v>0.30977370438976076</v>
      </c>
    </row>
    <row r="168">
      <c r="A168" s="133">
        <v>40103.0</v>
      </c>
      <c r="B168" s="134" t="s">
        <v>499</v>
      </c>
      <c r="C168" s="135">
        <v>0.0</v>
      </c>
      <c r="D168" s="135">
        <v>0.754418095622527</v>
      </c>
    </row>
    <row r="169">
      <c r="A169" s="133">
        <v>40104.0</v>
      </c>
      <c r="B169" s="134" t="s">
        <v>791</v>
      </c>
      <c r="C169" s="135">
        <v>0.004909787200467979</v>
      </c>
      <c r="D169" s="135">
        <v>0.9234353939528426</v>
      </c>
    </row>
    <row r="170">
      <c r="A170" s="133">
        <v>40201.0</v>
      </c>
      <c r="B170" s="134" t="s">
        <v>156</v>
      </c>
      <c r="C170" s="135">
        <v>0.5647700693596409</v>
      </c>
      <c r="D170" s="135">
        <v>0.5149311790652007</v>
      </c>
    </row>
    <row r="171">
      <c r="A171" s="133">
        <v>40202.0</v>
      </c>
      <c r="B171" s="134" t="s">
        <v>792</v>
      </c>
      <c r="C171" s="135">
        <v>0.0</v>
      </c>
      <c r="D171" s="135">
        <v>0.17722642266289657</v>
      </c>
    </row>
    <row r="172">
      <c r="A172" s="133">
        <v>40301.0</v>
      </c>
      <c r="B172" s="134" t="s">
        <v>159</v>
      </c>
      <c r="C172" s="135">
        <v>4.0703765249017394E-4</v>
      </c>
      <c r="D172" s="135">
        <v>0.1612047086582553</v>
      </c>
    </row>
    <row r="173">
      <c r="A173" s="133">
        <v>40302.0</v>
      </c>
      <c r="B173" s="134" t="s">
        <v>793</v>
      </c>
      <c r="C173" s="135">
        <v>0.0</v>
      </c>
      <c r="D173" s="135">
        <v>0.5271164164870465</v>
      </c>
    </row>
    <row r="174">
      <c r="A174" s="133">
        <v>40401.0</v>
      </c>
      <c r="B174" s="134" t="s">
        <v>161</v>
      </c>
      <c r="C174" s="135">
        <v>0.004065998410151619</v>
      </c>
      <c r="D174" s="135">
        <v>0.03284214133695343</v>
      </c>
    </row>
    <row r="175">
      <c r="A175" s="133">
        <v>40402.0</v>
      </c>
      <c r="B175" s="134" t="s">
        <v>181</v>
      </c>
      <c r="C175" s="135">
        <v>0.0</v>
      </c>
      <c r="D175" s="135">
        <v>0.5035550138652395</v>
      </c>
    </row>
    <row r="176">
      <c r="A176" s="133">
        <v>40501.0</v>
      </c>
      <c r="B176" s="134" t="s">
        <v>166</v>
      </c>
      <c r="C176" s="135">
        <v>0.17076470943934777</v>
      </c>
      <c r="D176" s="135">
        <v>0.802916142042626</v>
      </c>
    </row>
    <row r="177">
      <c r="A177" s="133">
        <v>40502.0</v>
      </c>
      <c r="B177" s="134" t="s">
        <v>162</v>
      </c>
      <c r="C177" s="135">
        <v>0.002844201407931563</v>
      </c>
      <c r="D177" s="135">
        <v>4.566530312132245</v>
      </c>
    </row>
    <row r="178">
      <c r="A178" s="133">
        <v>40503.0</v>
      </c>
      <c r="B178" s="134" t="s">
        <v>794</v>
      </c>
      <c r="C178" s="135">
        <v>0.0</v>
      </c>
      <c r="D178" s="135">
        <v>5.901745966086592</v>
      </c>
    </row>
    <row r="179">
      <c r="A179" s="133">
        <v>40504.0</v>
      </c>
      <c r="B179" s="134" t="s">
        <v>795</v>
      </c>
      <c r="C179" s="135">
        <v>0.0</v>
      </c>
      <c r="D179" s="135">
        <v>2.4352439310061724</v>
      </c>
    </row>
    <row r="180">
      <c r="A180" s="133">
        <v>40505.0</v>
      </c>
      <c r="B180" s="134" t="s">
        <v>163</v>
      </c>
      <c r="C180" s="135">
        <v>1.9048088438218882</v>
      </c>
      <c r="D180" s="135">
        <v>2.6673758163562997</v>
      </c>
    </row>
    <row r="181">
      <c r="A181" s="133">
        <v>40601.0</v>
      </c>
      <c r="B181" s="134" t="s">
        <v>796</v>
      </c>
      <c r="C181" s="135">
        <v>0.005655108040648687</v>
      </c>
      <c r="D181" s="135">
        <v>0.5256216105598152</v>
      </c>
    </row>
    <row r="182">
      <c r="A182" s="133">
        <v>40602.0</v>
      </c>
      <c r="B182" s="134" t="s">
        <v>170</v>
      </c>
      <c r="C182" s="135">
        <v>0.0032469282374328564</v>
      </c>
      <c r="D182" s="135">
        <v>0.09967540525244299</v>
      </c>
    </row>
    <row r="183">
      <c r="A183" s="133">
        <v>40603.0</v>
      </c>
      <c r="B183" s="134" t="s">
        <v>480</v>
      </c>
      <c r="C183" s="135">
        <v>0.0</v>
      </c>
      <c r="D183" s="135">
        <v>1.0467528648334365</v>
      </c>
    </row>
    <row r="184">
      <c r="A184" s="133">
        <v>40701.0</v>
      </c>
      <c r="B184" s="134" t="s">
        <v>797</v>
      </c>
      <c r="C184" s="135">
        <v>0.02132899190267692</v>
      </c>
      <c r="D184" s="135">
        <v>0.34857908224825596</v>
      </c>
    </row>
    <row r="185">
      <c r="A185" s="133">
        <v>40702.0</v>
      </c>
      <c r="B185" s="134" t="s">
        <v>168</v>
      </c>
      <c r="C185" s="135">
        <v>0.020450088152638362</v>
      </c>
      <c r="D185" s="135">
        <v>0.11664566913658242</v>
      </c>
    </row>
    <row r="186">
      <c r="A186" s="133">
        <v>40801.0</v>
      </c>
      <c r="B186" s="134" t="s">
        <v>798</v>
      </c>
      <c r="C186" s="135">
        <v>0.007007473700695221</v>
      </c>
      <c r="D186" s="135">
        <v>0.26957603910781186</v>
      </c>
    </row>
    <row r="187">
      <c r="A187" s="133">
        <v>40802.0</v>
      </c>
      <c r="B187" s="134" t="s">
        <v>169</v>
      </c>
      <c r="C187" s="135">
        <v>0.006455057726912051</v>
      </c>
      <c r="D187" s="135">
        <v>0.18722975996800828</v>
      </c>
    </row>
    <row r="188">
      <c r="A188" s="133">
        <v>40901.0</v>
      </c>
      <c r="B188" s="134" t="s">
        <v>173</v>
      </c>
      <c r="C188" s="135">
        <v>0.12635068603527425</v>
      </c>
      <c r="D188" s="135">
        <v>0.4283365425693174</v>
      </c>
    </row>
    <row r="189">
      <c r="A189" s="133">
        <v>40902.0</v>
      </c>
      <c r="B189" s="134" t="s">
        <v>158</v>
      </c>
      <c r="C189" s="135">
        <v>0.0</v>
      </c>
      <c r="D189" s="135">
        <v>11.672236149559268</v>
      </c>
    </row>
    <row r="190">
      <c r="A190" s="133">
        <v>40903.0</v>
      </c>
      <c r="B190" s="134" t="s">
        <v>799</v>
      </c>
      <c r="C190" s="135">
        <v>0.010057934975371743</v>
      </c>
      <c r="D190" s="135">
        <v>0.00784505523265316</v>
      </c>
    </row>
    <row r="191">
      <c r="A191" s="133">
        <v>41001.0</v>
      </c>
      <c r="B191" s="134" t="s">
        <v>180</v>
      </c>
      <c r="C191" s="135">
        <v>0.010991678206365983</v>
      </c>
      <c r="D191" s="135">
        <v>0.04210497785531697</v>
      </c>
    </row>
    <row r="192">
      <c r="A192" s="133">
        <v>41101.0</v>
      </c>
      <c r="B192" s="134" t="s">
        <v>164</v>
      </c>
      <c r="C192" s="135">
        <v>0.016096546977328194</v>
      </c>
      <c r="D192" s="135">
        <v>0.19530490908386952</v>
      </c>
    </row>
    <row r="193">
      <c r="A193" s="133">
        <v>41201.0</v>
      </c>
      <c r="B193" s="134" t="s">
        <v>152</v>
      </c>
      <c r="C193" s="135">
        <v>8.238506592264019E-4</v>
      </c>
      <c r="D193" s="135">
        <v>0.9546238774142777</v>
      </c>
    </row>
    <row r="194">
      <c r="A194" s="133">
        <v>41202.0</v>
      </c>
      <c r="B194" s="134" t="s">
        <v>153</v>
      </c>
      <c r="C194" s="135">
        <v>0.0</v>
      </c>
      <c r="D194" s="135">
        <v>0.08715005480088969</v>
      </c>
    </row>
    <row r="195">
      <c r="A195" s="133">
        <v>41301.0</v>
      </c>
      <c r="B195" s="134" t="s">
        <v>144</v>
      </c>
      <c r="C195" s="135">
        <v>0.004156527497404921</v>
      </c>
      <c r="D195" s="135">
        <v>0.0033220321363179863</v>
      </c>
    </row>
    <row r="196">
      <c r="A196" s="133">
        <v>41401.0</v>
      </c>
      <c r="B196" s="134" t="s">
        <v>178</v>
      </c>
      <c r="C196" s="135">
        <v>0.010887286613534653</v>
      </c>
      <c r="D196" s="135">
        <v>0.0655141438187889</v>
      </c>
    </row>
    <row r="197">
      <c r="A197" s="133">
        <v>41501.0</v>
      </c>
      <c r="B197" s="134" t="s">
        <v>800</v>
      </c>
      <c r="C197" s="135">
        <v>0.0</v>
      </c>
      <c r="D197" s="135">
        <v>10.793307006611746</v>
      </c>
    </row>
    <row r="198">
      <c r="A198" s="133">
        <v>41502.0</v>
      </c>
      <c r="B198" s="134" t="s">
        <v>530</v>
      </c>
      <c r="C198" s="135">
        <v>0.0</v>
      </c>
      <c r="D198" s="135">
        <v>2.183222476197221</v>
      </c>
    </row>
    <row r="199">
      <c r="A199" s="133">
        <v>41503.0</v>
      </c>
      <c r="B199" s="134" t="s">
        <v>155</v>
      </c>
      <c r="C199" s="135">
        <v>0.8029395951119541</v>
      </c>
      <c r="D199" s="135">
        <v>11.982107910993633</v>
      </c>
    </row>
    <row r="200">
      <c r="A200" s="133">
        <v>41601.0</v>
      </c>
      <c r="B200" s="134" t="s">
        <v>801</v>
      </c>
      <c r="C200" s="135">
        <v>5.524649200385331E-4</v>
      </c>
      <c r="D200" s="135">
        <v>5.959343255243964E-4</v>
      </c>
    </row>
    <row r="201">
      <c r="A201" s="133">
        <v>50101.0</v>
      </c>
      <c r="B201" s="134" t="s">
        <v>183</v>
      </c>
      <c r="C201" s="135">
        <v>1.8599480613158288</v>
      </c>
      <c r="D201" s="135">
        <v>1.978893842877519</v>
      </c>
    </row>
    <row r="202">
      <c r="A202" s="133">
        <v>50102.0</v>
      </c>
      <c r="B202" s="134" t="s">
        <v>802</v>
      </c>
      <c r="C202" s="135">
        <v>0.0</v>
      </c>
      <c r="D202" s="135">
        <v>0.0</v>
      </c>
    </row>
    <row r="203">
      <c r="A203" s="133">
        <v>50103.0</v>
      </c>
      <c r="B203" s="134" t="s">
        <v>212</v>
      </c>
      <c r="C203" s="135">
        <v>0.012802598255581013</v>
      </c>
      <c r="D203" s="135">
        <v>0.03489654273054181</v>
      </c>
    </row>
    <row r="204">
      <c r="A204" s="133">
        <v>50104.0</v>
      </c>
      <c r="B204" s="134" t="s">
        <v>803</v>
      </c>
      <c r="C204" s="135">
        <v>0.0</v>
      </c>
      <c r="D204" s="135">
        <v>0.0</v>
      </c>
    </row>
    <row r="205">
      <c r="A205" s="133">
        <v>50201.0</v>
      </c>
      <c r="B205" s="134" t="s">
        <v>208</v>
      </c>
      <c r="C205" s="135">
        <v>0.15336994308774923</v>
      </c>
      <c r="D205" s="135">
        <v>0.14179594796145037</v>
      </c>
    </row>
    <row r="206">
      <c r="A206" s="133">
        <v>50202.0</v>
      </c>
      <c r="B206" s="134" t="s">
        <v>191</v>
      </c>
      <c r="C206" s="135">
        <v>0.013849289818056141</v>
      </c>
      <c r="D206" s="135">
        <v>0.01182805751205489</v>
      </c>
    </row>
    <row r="207">
      <c r="A207" s="133">
        <v>50203.0</v>
      </c>
      <c r="B207" s="134" t="s">
        <v>195</v>
      </c>
      <c r="C207" s="135">
        <v>0.2979810797009682</v>
      </c>
      <c r="D207" s="135">
        <v>0.46051878401303337</v>
      </c>
    </row>
    <row r="208">
      <c r="A208" s="133">
        <v>50204.0</v>
      </c>
      <c r="B208" s="134" t="s">
        <v>804</v>
      </c>
      <c r="C208" s="135">
        <v>0.0</v>
      </c>
      <c r="D208" s="135">
        <v>0.0</v>
      </c>
    </row>
    <row r="209">
      <c r="A209" s="133">
        <v>50301.0</v>
      </c>
      <c r="B209" s="134" t="s">
        <v>187</v>
      </c>
      <c r="C209" s="135">
        <v>0.042000324469151584</v>
      </c>
      <c r="D209" s="135">
        <v>0.07117963717402917</v>
      </c>
    </row>
    <row r="210">
      <c r="A210" s="133">
        <v>50302.0</v>
      </c>
      <c r="B210" s="134" t="s">
        <v>805</v>
      </c>
      <c r="C210" s="135">
        <v>0.009914188485809</v>
      </c>
      <c r="D210" s="135">
        <v>0.02246202981223314</v>
      </c>
    </row>
    <row r="211">
      <c r="A211" s="133">
        <v>50303.0</v>
      </c>
      <c r="B211" s="134" t="s">
        <v>806</v>
      </c>
      <c r="C211" s="135">
        <v>0.0</v>
      </c>
      <c r="D211" s="135">
        <v>0.0</v>
      </c>
    </row>
    <row r="212">
      <c r="A212" s="133">
        <v>50401.0</v>
      </c>
      <c r="B212" s="134" t="s">
        <v>193</v>
      </c>
      <c r="C212" s="135">
        <v>0.0028551615032521988</v>
      </c>
      <c r="D212" s="135">
        <v>0.00224896309270055</v>
      </c>
    </row>
    <row r="213">
      <c r="A213" s="133">
        <v>50402.0</v>
      </c>
      <c r="B213" s="134" t="s">
        <v>201</v>
      </c>
      <c r="C213" s="135">
        <v>0.0013602333265080075</v>
      </c>
      <c r="D213" s="135">
        <v>0.001366803305632813</v>
      </c>
    </row>
    <row r="214">
      <c r="A214" s="133">
        <v>50403.0</v>
      </c>
      <c r="B214" s="134" t="s">
        <v>198</v>
      </c>
      <c r="C214" s="135">
        <v>0.004194309298813287</v>
      </c>
      <c r="D214" s="135">
        <v>0.0017601743345073539</v>
      </c>
    </row>
    <row r="215">
      <c r="A215" s="133">
        <v>50404.0</v>
      </c>
      <c r="B215" s="134" t="s">
        <v>807</v>
      </c>
      <c r="C215" s="135">
        <v>2.5777385939490744E-4</v>
      </c>
      <c r="D215" s="135">
        <v>7.798663845894206E-4</v>
      </c>
    </row>
    <row r="216">
      <c r="A216" s="133">
        <v>50405.0</v>
      </c>
      <c r="B216" s="134" t="s">
        <v>563</v>
      </c>
      <c r="C216" s="135">
        <v>0.0</v>
      </c>
      <c r="D216" s="135">
        <v>0.004035284392643823</v>
      </c>
    </row>
    <row r="217">
      <c r="A217" s="133">
        <v>50501.0</v>
      </c>
      <c r="B217" s="134" t="s">
        <v>265</v>
      </c>
      <c r="C217" s="135">
        <v>8.800527962079513E-4</v>
      </c>
      <c r="D217" s="135">
        <v>0.04768075549282988</v>
      </c>
    </row>
    <row r="218">
      <c r="A218" s="133">
        <v>50502.0</v>
      </c>
      <c r="B218" s="134" t="s">
        <v>564</v>
      </c>
      <c r="C218" s="135">
        <v>0.0</v>
      </c>
      <c r="D218" s="135">
        <v>0.02845198269797385</v>
      </c>
    </row>
    <row r="219">
      <c r="A219" s="133">
        <v>50601.0</v>
      </c>
      <c r="B219" s="134" t="s">
        <v>194</v>
      </c>
      <c r="C219" s="135">
        <v>0.02988688666178055</v>
      </c>
      <c r="D219" s="135">
        <v>0.09548703631940257</v>
      </c>
    </row>
    <row r="220">
      <c r="A220" s="133">
        <v>50602.0</v>
      </c>
      <c r="B220" s="134" t="s">
        <v>211</v>
      </c>
      <c r="C220" s="135">
        <v>0.015331862938490237</v>
      </c>
      <c r="D220" s="135">
        <v>0.009515181700795605</v>
      </c>
    </row>
    <row r="221">
      <c r="A221" s="133">
        <v>50701.0</v>
      </c>
      <c r="B221" s="134" t="s">
        <v>808</v>
      </c>
      <c r="C221" s="135">
        <v>0.0</v>
      </c>
      <c r="D221" s="135">
        <v>0.0</v>
      </c>
    </row>
    <row r="222">
      <c r="A222" s="133">
        <v>50702.0</v>
      </c>
      <c r="B222" s="134" t="s">
        <v>189</v>
      </c>
      <c r="C222" s="135">
        <v>0.0010993605296224652</v>
      </c>
      <c r="D222" s="135">
        <v>0.0010237710181233096</v>
      </c>
    </row>
    <row r="223">
      <c r="A223" s="133">
        <v>50801.0</v>
      </c>
      <c r="B223" s="134" t="s">
        <v>207</v>
      </c>
      <c r="C223" s="135">
        <v>0.5552297398198431</v>
      </c>
      <c r="D223" s="135">
        <v>0.7480508434592724</v>
      </c>
    </row>
    <row r="224">
      <c r="A224" s="133">
        <v>50802.0</v>
      </c>
      <c r="B224" s="134" t="s">
        <v>185</v>
      </c>
      <c r="C224" s="135">
        <v>0.055908040634692145</v>
      </c>
      <c r="D224" s="135">
        <v>0.1442026952621503</v>
      </c>
    </row>
    <row r="225">
      <c r="A225" s="133">
        <v>50901.0</v>
      </c>
      <c r="B225" s="134" t="s">
        <v>809</v>
      </c>
      <c r="C225" s="135">
        <v>0.1679128605824983</v>
      </c>
      <c r="D225" s="135">
        <v>0.9326031868155263</v>
      </c>
    </row>
    <row r="226">
      <c r="A226" s="133">
        <v>50902.0</v>
      </c>
      <c r="B226" s="134" t="s">
        <v>810</v>
      </c>
      <c r="C226" s="135">
        <v>0.0</v>
      </c>
      <c r="D226" s="135">
        <v>0.0</v>
      </c>
    </row>
    <row r="227">
      <c r="A227" s="133">
        <v>51001.0</v>
      </c>
      <c r="B227" s="134" t="s">
        <v>811</v>
      </c>
      <c r="C227" s="135">
        <v>0.0</v>
      </c>
      <c r="D227" s="135">
        <v>0.0</v>
      </c>
    </row>
    <row r="228">
      <c r="A228" s="133">
        <v>51002.0</v>
      </c>
      <c r="B228" s="134" t="s">
        <v>812</v>
      </c>
      <c r="C228" s="135">
        <v>0.0</v>
      </c>
      <c r="D228" s="135">
        <v>0.0</v>
      </c>
    </row>
    <row r="229">
      <c r="A229" s="133">
        <v>51003.0</v>
      </c>
      <c r="B229" s="134" t="s">
        <v>202</v>
      </c>
      <c r="C229" s="135">
        <v>0.012571940712315483</v>
      </c>
      <c r="D229" s="135">
        <v>0.01202275865002485</v>
      </c>
    </row>
    <row r="230">
      <c r="A230" s="133">
        <v>51101.0</v>
      </c>
      <c r="B230" s="134" t="s">
        <v>200</v>
      </c>
      <c r="C230" s="135">
        <v>0.04390378304874715</v>
      </c>
      <c r="D230" s="135">
        <v>0.05535153305020355</v>
      </c>
    </row>
    <row r="231">
      <c r="A231" s="133">
        <v>51102.0</v>
      </c>
      <c r="B231" s="134" t="s">
        <v>813</v>
      </c>
      <c r="C231" s="135">
        <v>0.007344779313312952</v>
      </c>
      <c r="D231" s="135">
        <v>0.0085756085046483</v>
      </c>
    </row>
    <row r="232">
      <c r="A232" s="133">
        <v>51103.0</v>
      </c>
      <c r="B232" s="134" t="s">
        <v>544</v>
      </c>
      <c r="C232" s="135">
        <v>0.0</v>
      </c>
      <c r="D232" s="135">
        <v>0.0027097819743585982</v>
      </c>
    </row>
    <row r="233">
      <c r="A233" s="133">
        <v>51201.0</v>
      </c>
      <c r="B233" s="134" t="s">
        <v>209</v>
      </c>
      <c r="C233" s="135">
        <v>0.7435084253124733</v>
      </c>
      <c r="D233" s="135">
        <v>0.83839668490678</v>
      </c>
    </row>
    <row r="234">
      <c r="A234" s="133">
        <v>51202.0</v>
      </c>
      <c r="B234" s="134" t="s">
        <v>206</v>
      </c>
      <c r="C234" s="135">
        <v>0.0025783750588049144</v>
      </c>
      <c r="D234" s="135">
        <v>0.0023454291323045952</v>
      </c>
    </row>
    <row r="235">
      <c r="A235" s="133">
        <v>51203.0</v>
      </c>
      <c r="B235" s="134" t="s">
        <v>199</v>
      </c>
      <c r="C235" s="135">
        <v>0.22887038158775105</v>
      </c>
      <c r="D235" s="135">
        <v>0.4735995524957486</v>
      </c>
    </row>
    <row r="236">
      <c r="A236" s="133">
        <v>51204.0</v>
      </c>
      <c r="B236" s="134" t="s">
        <v>814</v>
      </c>
      <c r="C236" s="135">
        <v>0.0</v>
      </c>
      <c r="D236" s="135">
        <v>0.0</v>
      </c>
    </row>
    <row r="237">
      <c r="A237" s="133">
        <v>51301.0</v>
      </c>
      <c r="B237" s="134" t="s">
        <v>815</v>
      </c>
      <c r="C237" s="135">
        <v>0.0</v>
      </c>
      <c r="D237" s="135">
        <v>0.0</v>
      </c>
    </row>
    <row r="238">
      <c r="A238" s="133">
        <v>51302.0</v>
      </c>
      <c r="B238" s="134" t="s">
        <v>184</v>
      </c>
      <c r="C238" s="135">
        <v>0.0</v>
      </c>
      <c r="D238" s="135">
        <v>0.0</v>
      </c>
    </row>
    <row r="239">
      <c r="A239" s="133">
        <v>51401.0</v>
      </c>
      <c r="B239" s="134" t="s">
        <v>196</v>
      </c>
      <c r="C239" s="135">
        <v>0.051682788032660125</v>
      </c>
      <c r="D239" s="135">
        <v>0.03952919115648496</v>
      </c>
    </row>
    <row r="240">
      <c r="A240" s="133">
        <v>51402.0</v>
      </c>
      <c r="B240" s="134" t="s">
        <v>204</v>
      </c>
      <c r="C240" s="135">
        <v>0.0</v>
      </c>
      <c r="D240" s="135">
        <v>0.0</v>
      </c>
    </row>
    <row r="241">
      <c r="A241" s="133">
        <v>51501.0</v>
      </c>
      <c r="B241" s="134" t="s">
        <v>210</v>
      </c>
      <c r="C241" s="135">
        <v>0.43670258815113894</v>
      </c>
      <c r="D241" s="135">
        <v>0.5752942245179705</v>
      </c>
    </row>
    <row r="242">
      <c r="A242" s="133">
        <v>51601.0</v>
      </c>
      <c r="B242" s="134" t="s">
        <v>816</v>
      </c>
      <c r="C242" s="135">
        <v>0.0</v>
      </c>
      <c r="D242" s="135">
        <v>0.0</v>
      </c>
    </row>
    <row r="243">
      <c r="A243" s="133">
        <v>60101.0</v>
      </c>
      <c r="B243" s="134" t="s">
        <v>213</v>
      </c>
      <c r="C243" s="135">
        <v>1.7983367443684486</v>
      </c>
      <c r="D243" s="135">
        <v>1.5766099108489275</v>
      </c>
    </row>
    <row r="244">
      <c r="A244" s="133">
        <v>60201.0</v>
      </c>
      <c r="B244" s="134" t="s">
        <v>218</v>
      </c>
      <c r="C244" s="135">
        <v>0.07718035666179372</v>
      </c>
      <c r="D244" s="135">
        <v>0.16991311158217506</v>
      </c>
    </row>
    <row r="245">
      <c r="A245" s="133">
        <v>60202.0</v>
      </c>
      <c r="B245" s="134" t="s">
        <v>214</v>
      </c>
      <c r="C245" s="135">
        <v>0.8615946795492166</v>
      </c>
      <c r="D245" s="135">
        <v>0.9145569688676027</v>
      </c>
    </row>
    <row r="246">
      <c r="A246" s="133">
        <v>60301.0</v>
      </c>
      <c r="B246" s="134" t="s">
        <v>222</v>
      </c>
      <c r="C246" s="135">
        <v>0.9547660751148875</v>
      </c>
      <c r="D246" s="135">
        <v>0.884865346685151</v>
      </c>
    </row>
    <row r="247">
      <c r="A247" s="133">
        <v>60302.0</v>
      </c>
      <c r="B247" s="134" t="s">
        <v>215</v>
      </c>
      <c r="C247" s="135">
        <v>0.3170247484075268</v>
      </c>
      <c r="D247" s="135">
        <v>0.3859839473442211</v>
      </c>
    </row>
    <row r="248">
      <c r="A248" s="133">
        <v>60303.0</v>
      </c>
      <c r="B248" s="134" t="s">
        <v>817</v>
      </c>
      <c r="C248" s="135">
        <v>0.7213874032271517</v>
      </c>
      <c r="D248" s="135">
        <v>0.7457377123430431</v>
      </c>
    </row>
    <row r="249">
      <c r="A249" s="133">
        <v>60401.0</v>
      </c>
      <c r="B249" s="134" t="s">
        <v>818</v>
      </c>
      <c r="C249" s="135">
        <v>0.11884478929608355</v>
      </c>
      <c r="D249" s="135">
        <v>3.3666635516388137</v>
      </c>
    </row>
    <row r="250">
      <c r="A250" s="133">
        <v>60402.0</v>
      </c>
      <c r="B250" s="134" t="s">
        <v>223</v>
      </c>
      <c r="C250" s="135">
        <v>0.019676372728265515</v>
      </c>
      <c r="D250" s="135">
        <v>0.1807851866921842</v>
      </c>
    </row>
    <row r="251">
      <c r="A251" s="133">
        <v>60501.0</v>
      </c>
      <c r="B251" s="134" t="s">
        <v>219</v>
      </c>
      <c r="C251" s="135">
        <v>0.09293036568083964</v>
      </c>
      <c r="D251" s="135">
        <v>1.306061226931493</v>
      </c>
    </row>
    <row r="252">
      <c r="A252" s="133">
        <v>60502.0</v>
      </c>
      <c r="B252" s="134" t="s">
        <v>819</v>
      </c>
      <c r="C252" s="135">
        <v>0.11715269305132413</v>
      </c>
      <c r="D252" s="135">
        <v>0.3833692068386169</v>
      </c>
    </row>
    <row r="253">
      <c r="A253" s="133">
        <v>60601.0</v>
      </c>
      <c r="B253" s="134" t="s">
        <v>120</v>
      </c>
      <c r="C253" s="135">
        <v>0.05349603289914465</v>
      </c>
      <c r="D253" s="135">
        <v>0.06918553154287288</v>
      </c>
    </row>
    <row r="254">
      <c r="A254" s="133">
        <v>70101.0</v>
      </c>
      <c r="B254" s="134" t="s">
        <v>267</v>
      </c>
      <c r="C254" s="135">
        <v>1.578279517049367</v>
      </c>
      <c r="D254" s="135">
        <v>1.3509966119416448</v>
      </c>
    </row>
    <row r="255">
      <c r="A255" s="133">
        <v>70102.0</v>
      </c>
      <c r="B255" s="134" t="s">
        <v>234</v>
      </c>
      <c r="C255" s="135">
        <v>0.6961003224912162</v>
      </c>
      <c r="D255" s="135">
        <v>0.9064911244673111</v>
      </c>
    </row>
    <row r="256">
      <c r="A256" s="133">
        <v>70103.0</v>
      </c>
      <c r="B256" s="134" t="s">
        <v>820</v>
      </c>
      <c r="C256" s="135">
        <v>0.0922464820511923</v>
      </c>
      <c r="D256" s="135">
        <v>11.22564168583774</v>
      </c>
    </row>
    <row r="257">
      <c r="A257" s="133">
        <v>70104.0</v>
      </c>
      <c r="B257" s="134" t="s">
        <v>241</v>
      </c>
      <c r="C257" s="135">
        <v>0.6787685776176151</v>
      </c>
      <c r="D257" s="135">
        <v>1.5068771741860452</v>
      </c>
    </row>
    <row r="258">
      <c r="A258" s="133">
        <v>70105.0</v>
      </c>
      <c r="B258" s="134" t="s">
        <v>237</v>
      </c>
      <c r="C258" s="135">
        <v>0.673905902171213</v>
      </c>
      <c r="D258" s="135">
        <v>3.641541449522592</v>
      </c>
    </row>
    <row r="259">
      <c r="A259" s="133">
        <v>70201.0</v>
      </c>
      <c r="B259" s="134" t="s">
        <v>272</v>
      </c>
      <c r="C259" s="135">
        <v>4.0938472309447524</v>
      </c>
      <c r="D259" s="135">
        <v>2.720370836926015</v>
      </c>
    </row>
    <row r="260">
      <c r="A260" s="133">
        <v>70202.0</v>
      </c>
      <c r="B260" s="134" t="s">
        <v>821</v>
      </c>
      <c r="C260" s="135">
        <v>0.5900981487359244</v>
      </c>
      <c r="D260" s="135">
        <v>2.7388399852488043</v>
      </c>
    </row>
    <row r="261">
      <c r="A261" s="133">
        <v>70301.0</v>
      </c>
      <c r="B261" s="134" t="s">
        <v>822</v>
      </c>
      <c r="C261" s="135">
        <v>0.07466928339042489</v>
      </c>
      <c r="D261" s="135">
        <v>0.09953676156282878</v>
      </c>
    </row>
    <row r="262">
      <c r="A262" s="133">
        <v>70302.0</v>
      </c>
      <c r="B262" s="134" t="s">
        <v>264</v>
      </c>
      <c r="C262" s="135">
        <v>6.597865425309974E-4</v>
      </c>
      <c r="D262" s="135">
        <v>0.011851886746909544</v>
      </c>
    </row>
    <row r="263">
      <c r="A263" s="133">
        <v>70303.0</v>
      </c>
      <c r="B263" s="134" t="s">
        <v>823</v>
      </c>
      <c r="C263" s="135">
        <v>0.0</v>
      </c>
      <c r="D263" s="135">
        <v>0.0</v>
      </c>
    </row>
    <row r="264">
      <c r="A264" s="133">
        <v>70401.0</v>
      </c>
      <c r="B264" s="134" t="s">
        <v>227</v>
      </c>
      <c r="C264" s="135">
        <v>0.08429248361980413</v>
      </c>
      <c r="D264" s="135">
        <v>0.15179882880527104</v>
      </c>
    </row>
    <row r="265">
      <c r="A265" s="133">
        <v>70402.0</v>
      </c>
      <c r="B265" s="134" t="s">
        <v>257</v>
      </c>
      <c r="C265" s="135">
        <v>0.10075224513127409</v>
      </c>
      <c r="D265" s="135">
        <v>0.6757585643632773</v>
      </c>
    </row>
    <row r="266">
      <c r="A266" s="133">
        <v>70403.0</v>
      </c>
      <c r="B266" s="134" t="s">
        <v>273</v>
      </c>
      <c r="C266" s="135">
        <v>0.41289347592525044</v>
      </c>
      <c r="D266" s="135">
        <v>0.6366018581645666</v>
      </c>
    </row>
    <row r="267">
      <c r="A267" s="133">
        <v>70404.0</v>
      </c>
      <c r="B267" s="134" t="s">
        <v>261</v>
      </c>
      <c r="C267" s="135">
        <v>0.6699212834869317</v>
      </c>
      <c r="D267" s="135">
        <v>0.6006095480945801</v>
      </c>
    </row>
    <row r="268">
      <c r="A268" s="133">
        <v>70501.0</v>
      </c>
      <c r="B268" s="134" t="s">
        <v>260</v>
      </c>
      <c r="C268" s="135">
        <v>0.07338233104131436</v>
      </c>
      <c r="D268" s="135">
        <v>0.13189247922315717</v>
      </c>
    </row>
    <row r="269">
      <c r="A269" s="133">
        <v>70502.0</v>
      </c>
      <c r="B269" s="134" t="s">
        <v>248</v>
      </c>
      <c r="C269" s="135">
        <v>0.13614000284231437</v>
      </c>
      <c r="D269" s="135">
        <v>0.2675087231797001</v>
      </c>
    </row>
    <row r="270">
      <c r="A270" s="133">
        <v>70503.0</v>
      </c>
      <c r="B270" s="134" t="s">
        <v>254</v>
      </c>
      <c r="C270" s="135">
        <v>0.001650852759853216</v>
      </c>
      <c r="D270" s="135">
        <v>9.066610905960697E-4</v>
      </c>
    </row>
    <row r="271">
      <c r="A271" s="133">
        <v>70601.0</v>
      </c>
      <c r="B271" s="134" t="s">
        <v>251</v>
      </c>
      <c r="C271" s="135">
        <v>1.8225646178448551</v>
      </c>
      <c r="D271" s="135">
        <v>2.822233819381102</v>
      </c>
    </row>
    <row r="272">
      <c r="A272" s="133">
        <v>70602.0</v>
      </c>
      <c r="B272" s="134" t="s">
        <v>824</v>
      </c>
      <c r="C272" s="135">
        <v>0.007740931112904994</v>
      </c>
      <c r="D272" s="135">
        <v>0.05055835586185513</v>
      </c>
    </row>
    <row r="273">
      <c r="A273" s="133">
        <v>70603.0</v>
      </c>
      <c r="B273" s="134" t="s">
        <v>231</v>
      </c>
      <c r="C273" s="135">
        <v>0.18192871539552372</v>
      </c>
      <c r="D273" s="135">
        <v>34.66302487205436</v>
      </c>
    </row>
    <row r="274">
      <c r="A274" s="133">
        <v>70701.0</v>
      </c>
      <c r="B274" s="134" t="s">
        <v>242</v>
      </c>
      <c r="C274" s="135">
        <v>0.0014731760852556566</v>
      </c>
      <c r="D274" s="135">
        <v>0.46307849884811514</v>
      </c>
    </row>
    <row r="275">
      <c r="A275" s="133">
        <v>70702.0</v>
      </c>
      <c r="B275" s="134" t="s">
        <v>825</v>
      </c>
      <c r="C275" s="135">
        <v>0.018911750677227276</v>
      </c>
      <c r="D275" s="135">
        <v>0.07707858120956379</v>
      </c>
    </row>
    <row r="276">
      <c r="A276" s="133">
        <v>70703.0</v>
      </c>
      <c r="B276" s="134" t="s">
        <v>228</v>
      </c>
      <c r="C276" s="135">
        <v>0.08455800968104417</v>
      </c>
      <c r="D276" s="135">
        <v>0.3974078081347529</v>
      </c>
    </row>
    <row r="277">
      <c r="A277" s="133">
        <v>70704.0</v>
      </c>
      <c r="B277" s="134" t="s">
        <v>236</v>
      </c>
      <c r="C277" s="135">
        <v>0.0013825339965356275</v>
      </c>
      <c r="D277" s="135">
        <v>0.27239425780021304</v>
      </c>
    </row>
    <row r="278">
      <c r="A278" s="133">
        <v>70705.0</v>
      </c>
      <c r="B278" s="134" t="s">
        <v>826</v>
      </c>
      <c r="C278" s="135">
        <v>2.1114103380503058E-4</v>
      </c>
      <c r="D278" s="135">
        <v>1.5360233127648023E-4</v>
      </c>
    </row>
    <row r="279">
      <c r="A279" s="133">
        <v>70706.0</v>
      </c>
      <c r="B279" s="134" t="s">
        <v>229</v>
      </c>
      <c r="C279" s="135">
        <v>0.9215936332883398</v>
      </c>
      <c r="D279" s="135">
        <v>0.7843007133794913</v>
      </c>
    </row>
    <row r="280">
      <c r="A280" s="133">
        <v>70707.0</v>
      </c>
      <c r="B280" s="134" t="s">
        <v>226</v>
      </c>
      <c r="C280" s="135">
        <v>0.0</v>
      </c>
      <c r="D280" s="135">
        <v>0.030975155182148443</v>
      </c>
    </row>
    <row r="281">
      <c r="A281" s="133">
        <v>70801.0</v>
      </c>
      <c r="B281" s="134" t="s">
        <v>271</v>
      </c>
      <c r="C281" s="135">
        <v>1.1548529253678923</v>
      </c>
      <c r="D281" s="135">
        <v>0.8027412107581242</v>
      </c>
    </row>
    <row r="282">
      <c r="A282" s="133">
        <v>70802.0</v>
      </c>
      <c r="B282" s="134" t="s">
        <v>269</v>
      </c>
      <c r="C282" s="135">
        <v>0.0012355293553274781</v>
      </c>
      <c r="D282" s="135">
        <v>0.047990839128111605</v>
      </c>
    </row>
    <row r="283">
      <c r="A283" s="133">
        <v>70803.0</v>
      </c>
      <c r="B283" s="134" t="s">
        <v>246</v>
      </c>
      <c r="C283" s="135">
        <v>0.08608418704585508</v>
      </c>
      <c r="D283" s="135">
        <v>0.4833993601973395</v>
      </c>
    </row>
    <row r="284">
      <c r="A284" s="133">
        <v>70804.0</v>
      </c>
      <c r="B284" s="134" t="s">
        <v>827</v>
      </c>
      <c r="C284" s="135">
        <v>0.0</v>
      </c>
      <c r="D284" s="135">
        <v>0.0</v>
      </c>
    </row>
    <row r="285">
      <c r="A285" s="133">
        <v>70805.0</v>
      </c>
      <c r="B285" s="134" t="s">
        <v>828</v>
      </c>
      <c r="C285" s="135">
        <v>0.0</v>
      </c>
      <c r="D285" s="135">
        <v>0.0</v>
      </c>
    </row>
    <row r="286">
      <c r="A286" s="133">
        <v>70901.0</v>
      </c>
      <c r="B286" s="134" t="s">
        <v>256</v>
      </c>
      <c r="C286" s="135">
        <v>0.05257127924273731</v>
      </c>
      <c r="D286" s="135">
        <v>0.03296132459330295</v>
      </c>
    </row>
    <row r="287">
      <c r="A287" s="133">
        <v>70902.0</v>
      </c>
      <c r="B287" s="134" t="s">
        <v>829</v>
      </c>
      <c r="C287" s="135">
        <v>0.007561081229039216</v>
      </c>
      <c r="D287" s="135">
        <v>0.09139983622867365</v>
      </c>
    </row>
    <row r="288">
      <c r="A288" s="133">
        <v>70903.0</v>
      </c>
      <c r="B288" s="134" t="s">
        <v>243</v>
      </c>
      <c r="C288" s="135">
        <v>0.0760895351896268</v>
      </c>
      <c r="D288" s="135">
        <v>0.24485421890111508</v>
      </c>
    </row>
    <row r="289">
      <c r="A289" s="133">
        <v>70904.0</v>
      </c>
      <c r="B289" s="134" t="s">
        <v>830</v>
      </c>
      <c r="C289" s="135">
        <v>0.0</v>
      </c>
      <c r="D289" s="135">
        <v>0.0</v>
      </c>
    </row>
    <row r="290">
      <c r="A290" s="133">
        <v>71001.0</v>
      </c>
      <c r="B290" s="134" t="s">
        <v>245</v>
      </c>
      <c r="C290" s="135">
        <v>3.390009955774211</v>
      </c>
      <c r="D290" s="135">
        <v>3.336872896014899</v>
      </c>
    </row>
    <row r="291">
      <c r="A291" s="133">
        <v>71002.0</v>
      </c>
      <c r="B291" s="134" t="s">
        <v>831</v>
      </c>
      <c r="C291" s="135">
        <v>0.7662099755264936</v>
      </c>
      <c r="D291" s="135">
        <v>3.372091150212861</v>
      </c>
    </row>
    <row r="292">
      <c r="A292" s="133">
        <v>71003.0</v>
      </c>
      <c r="B292" s="134" t="s">
        <v>244</v>
      </c>
      <c r="C292" s="135">
        <v>0.7023086685197487</v>
      </c>
      <c r="D292" s="135">
        <v>1.0387477806637995</v>
      </c>
    </row>
    <row r="293">
      <c r="A293" s="133">
        <v>71004.0</v>
      </c>
      <c r="B293" s="134" t="s">
        <v>238</v>
      </c>
      <c r="C293" s="135">
        <v>0.3927687718976291</v>
      </c>
      <c r="D293" s="135">
        <v>2.2491440238313887</v>
      </c>
    </row>
    <row r="294">
      <c r="A294" s="133">
        <v>71005.0</v>
      </c>
      <c r="B294" s="134" t="s">
        <v>265</v>
      </c>
      <c r="C294" s="135">
        <v>0.18392266844187335</v>
      </c>
      <c r="D294" s="135">
        <v>0.3847954706319341</v>
      </c>
    </row>
    <row r="295">
      <c r="A295" s="133">
        <v>71101.0</v>
      </c>
      <c r="B295" s="134" t="s">
        <v>233</v>
      </c>
      <c r="C295" s="135">
        <v>0.03883383843546366</v>
      </c>
      <c r="D295" s="135">
        <v>0.11799000913945373</v>
      </c>
    </row>
    <row r="296">
      <c r="A296" s="133">
        <v>71102.0</v>
      </c>
      <c r="B296" s="134" t="s">
        <v>832</v>
      </c>
      <c r="C296" s="135">
        <v>0.06233173489867616</v>
      </c>
      <c r="D296" s="135">
        <v>0.16746614880931462</v>
      </c>
    </row>
    <row r="297">
      <c r="A297" s="133">
        <v>71103.0</v>
      </c>
      <c r="B297" s="134" t="s">
        <v>266</v>
      </c>
      <c r="C297" s="135">
        <v>0.03597721942624765</v>
      </c>
      <c r="D297" s="135">
        <v>0.1034120541245429</v>
      </c>
    </row>
    <row r="298">
      <c r="A298" s="133">
        <v>71104.0</v>
      </c>
      <c r="B298" s="134" t="s">
        <v>262</v>
      </c>
      <c r="C298" s="135">
        <v>0.43781137948793225</v>
      </c>
      <c r="D298" s="135">
        <v>0.6344898798653322</v>
      </c>
    </row>
    <row r="299">
      <c r="A299" s="133">
        <v>71105.0</v>
      </c>
      <c r="B299" s="134" t="s">
        <v>833</v>
      </c>
      <c r="C299" s="135">
        <v>0.0</v>
      </c>
      <c r="D299" s="135">
        <v>0.0</v>
      </c>
    </row>
    <row r="300">
      <c r="A300" s="133">
        <v>71106.0</v>
      </c>
      <c r="B300" s="134" t="s">
        <v>235</v>
      </c>
      <c r="C300" s="135">
        <v>0.26311428701081546</v>
      </c>
      <c r="D300" s="135">
        <v>0.656381720132629</v>
      </c>
    </row>
    <row r="301">
      <c r="A301" s="133">
        <v>71201.0</v>
      </c>
      <c r="B301" s="134" t="s">
        <v>263</v>
      </c>
      <c r="C301" s="135">
        <v>5.524034432771261E-4</v>
      </c>
      <c r="D301" s="135">
        <v>4.2639166472725244E-4</v>
      </c>
    </row>
    <row r="302">
      <c r="A302" s="133">
        <v>71301.0</v>
      </c>
      <c r="B302" s="134" t="s">
        <v>232</v>
      </c>
      <c r="C302" s="135">
        <v>0.26053506104063207</v>
      </c>
      <c r="D302" s="135">
        <v>0.29119334949674697</v>
      </c>
    </row>
    <row r="303">
      <c r="A303" s="133">
        <v>71302.0</v>
      </c>
      <c r="B303" s="134" t="s">
        <v>255</v>
      </c>
      <c r="C303" s="135">
        <v>0.16349795042850385</v>
      </c>
      <c r="D303" s="135">
        <v>0.07629432212409352</v>
      </c>
    </row>
    <row r="304">
      <c r="A304" s="133">
        <v>71401.0</v>
      </c>
      <c r="B304" s="134" t="s">
        <v>253</v>
      </c>
      <c r="C304" s="135">
        <v>0.1024448689677229</v>
      </c>
      <c r="D304" s="135">
        <v>0.10643764236118491</v>
      </c>
    </row>
    <row r="305">
      <c r="A305" s="133">
        <v>71402.0</v>
      </c>
      <c r="B305" s="134" t="s">
        <v>252</v>
      </c>
      <c r="C305" s="135">
        <v>0.4342540136093834</v>
      </c>
      <c r="D305" s="135">
        <v>0.3867185826672348</v>
      </c>
    </row>
    <row r="306">
      <c r="A306" s="133">
        <v>71403.0</v>
      </c>
      <c r="B306" s="134" t="s">
        <v>834</v>
      </c>
      <c r="C306" s="135">
        <v>0.0</v>
      </c>
      <c r="D306" s="135">
        <v>0.0</v>
      </c>
    </row>
    <row r="307">
      <c r="A307" s="133">
        <v>71501.0</v>
      </c>
      <c r="B307" s="134" t="s">
        <v>835</v>
      </c>
      <c r="C307" s="135">
        <v>0.09000947539226055</v>
      </c>
      <c r="D307" s="135">
        <v>0.16185968782947022</v>
      </c>
    </row>
    <row r="308">
      <c r="A308" s="133">
        <v>71502.0</v>
      </c>
      <c r="B308" s="134" t="s">
        <v>270</v>
      </c>
      <c r="C308" s="135">
        <v>3.918568114243846E-4</v>
      </c>
      <c r="D308" s="135">
        <v>3.377125029863963E-4</v>
      </c>
    </row>
    <row r="309">
      <c r="A309" s="133">
        <v>71503.0</v>
      </c>
      <c r="B309" s="134" t="s">
        <v>819</v>
      </c>
      <c r="C309" s="135">
        <v>0.0</v>
      </c>
      <c r="D309" s="135">
        <v>0.0</v>
      </c>
    </row>
    <row r="310">
      <c r="A310" s="133">
        <v>80101.0</v>
      </c>
      <c r="B310" s="134" t="s">
        <v>283</v>
      </c>
      <c r="C310" s="135">
        <v>2.683185993132267</v>
      </c>
      <c r="D310" s="135">
        <v>2.079993774169719</v>
      </c>
    </row>
    <row r="311">
      <c r="A311" s="133">
        <v>80102.0</v>
      </c>
      <c r="B311" s="134" t="s">
        <v>832</v>
      </c>
      <c r="C311" s="135">
        <v>6.801025524116042E-4</v>
      </c>
      <c r="D311" s="135">
        <v>0.17570126559944</v>
      </c>
    </row>
    <row r="312">
      <c r="A312" s="133">
        <v>80201.0</v>
      </c>
      <c r="B312" s="134" t="s">
        <v>277</v>
      </c>
      <c r="C312" s="135">
        <v>0.23721432719155036</v>
      </c>
      <c r="D312" s="135">
        <v>0.30342217509236596</v>
      </c>
    </row>
    <row r="313">
      <c r="A313" s="133">
        <v>80202.0</v>
      </c>
      <c r="B313" s="134" t="s">
        <v>836</v>
      </c>
      <c r="C313" s="135">
        <v>0.011370096330400464</v>
      </c>
      <c r="D313" s="135">
        <v>0.005750322256079989</v>
      </c>
    </row>
    <row r="314">
      <c r="A314" s="133">
        <v>80301.0</v>
      </c>
      <c r="B314" s="134" t="s">
        <v>837</v>
      </c>
      <c r="C314" s="135">
        <v>0.0</v>
      </c>
      <c r="D314" s="135">
        <v>0.0</v>
      </c>
    </row>
    <row r="315">
      <c r="A315" s="133">
        <v>80302.0</v>
      </c>
      <c r="B315" s="134" t="s">
        <v>278</v>
      </c>
      <c r="C315" s="135">
        <v>0.0539352431753945</v>
      </c>
      <c r="D315" s="135">
        <v>0.06785238594534634</v>
      </c>
    </row>
    <row r="316">
      <c r="A316" s="133">
        <v>80303.0</v>
      </c>
      <c r="B316" s="134" t="s">
        <v>824</v>
      </c>
      <c r="C316" s="135">
        <v>0.0</v>
      </c>
      <c r="D316" s="135">
        <v>0.0</v>
      </c>
    </row>
    <row r="317">
      <c r="A317" s="133">
        <v>80304.0</v>
      </c>
      <c r="B317" s="134" t="s">
        <v>838</v>
      </c>
      <c r="C317" s="135">
        <v>0.1263084279686718</v>
      </c>
      <c r="D317" s="135">
        <v>0.2342567454768268</v>
      </c>
    </row>
    <row r="318">
      <c r="A318" s="133">
        <v>80401.0</v>
      </c>
      <c r="B318" s="134" t="s">
        <v>839</v>
      </c>
      <c r="C318" s="135">
        <v>0.021779498073807455</v>
      </c>
      <c r="D318" s="135">
        <v>0.2032722611174611</v>
      </c>
    </row>
    <row r="319">
      <c r="A319" s="133">
        <v>80402.0</v>
      </c>
      <c r="B319" s="134" t="s">
        <v>840</v>
      </c>
      <c r="C319" s="135">
        <v>0.0</v>
      </c>
      <c r="D319" s="135">
        <v>0.0</v>
      </c>
    </row>
    <row r="320">
      <c r="A320" s="133">
        <v>80501.0</v>
      </c>
      <c r="B320" s="134" t="s">
        <v>822</v>
      </c>
      <c r="C320" s="135">
        <v>2.0353358967054613E-4</v>
      </c>
      <c r="D320" s="135">
        <v>1.6988194808881862E-4</v>
      </c>
    </row>
    <row r="321">
      <c r="A321" s="133">
        <v>80601.0</v>
      </c>
      <c r="B321" s="134" t="s">
        <v>841</v>
      </c>
      <c r="C321" s="135">
        <v>0.0</v>
      </c>
      <c r="D321" s="135">
        <v>0.0</v>
      </c>
    </row>
    <row r="322">
      <c r="A322" s="133">
        <v>80602.0</v>
      </c>
      <c r="B322" s="134" t="s">
        <v>693</v>
      </c>
      <c r="C322" s="135">
        <v>0.0</v>
      </c>
      <c r="D322" s="135">
        <v>0.2059467801808929</v>
      </c>
    </row>
    <row r="323">
      <c r="A323" s="133">
        <v>80701.0</v>
      </c>
      <c r="B323" s="134" t="s">
        <v>281</v>
      </c>
      <c r="C323" s="135">
        <v>0.01553523986194738</v>
      </c>
      <c r="D323" s="135">
        <v>0.007960727806310453</v>
      </c>
    </row>
    <row r="324">
      <c r="A324" s="133">
        <v>80702.0</v>
      </c>
      <c r="B324" s="134" t="s">
        <v>266</v>
      </c>
      <c r="C324" s="135">
        <v>0.005672963424021698</v>
      </c>
      <c r="D324" s="135">
        <v>0.002877979577950926</v>
      </c>
    </row>
    <row r="325">
      <c r="A325" s="133">
        <v>80703.0</v>
      </c>
      <c r="B325" s="134" t="s">
        <v>842</v>
      </c>
      <c r="C325" s="135">
        <v>0.0</v>
      </c>
      <c r="D325" s="135">
        <v>0.0</v>
      </c>
    </row>
    <row r="326">
      <c r="A326" s="133">
        <v>80801.0</v>
      </c>
      <c r="B326" s="134" t="s">
        <v>843</v>
      </c>
      <c r="C326" s="135">
        <v>0.0</v>
      </c>
      <c r="D326" s="135">
        <v>0.0</v>
      </c>
    </row>
    <row r="327">
      <c r="A327" s="133">
        <v>80802.0</v>
      </c>
      <c r="B327" s="134" t="s">
        <v>844</v>
      </c>
      <c r="C327" s="135">
        <v>0.0</v>
      </c>
      <c r="D327" s="135">
        <v>0.0</v>
      </c>
    </row>
    <row r="328">
      <c r="A328" s="133">
        <v>80803.0</v>
      </c>
      <c r="B328" s="134" t="s">
        <v>845</v>
      </c>
      <c r="C328" s="135">
        <v>0.0</v>
      </c>
      <c r="D328" s="135">
        <v>0.0</v>
      </c>
    </row>
    <row r="329">
      <c r="A329" s="133">
        <v>80901.0</v>
      </c>
      <c r="B329" s="134" t="s">
        <v>846</v>
      </c>
      <c r="C329" s="135">
        <v>0.0</v>
      </c>
      <c r="D329" s="135">
        <v>0.0</v>
      </c>
    </row>
    <row r="330">
      <c r="A330" s="133">
        <v>90101.0</v>
      </c>
      <c r="B330" s="134" t="s">
        <v>285</v>
      </c>
      <c r="C330" s="135">
        <v>1.4173450392418854</v>
      </c>
      <c r="D330" s="135">
        <v>1.367043396743397</v>
      </c>
    </row>
    <row r="331">
      <c r="A331" s="133">
        <v>90102.0</v>
      </c>
      <c r="B331" s="134" t="s">
        <v>702</v>
      </c>
      <c r="C331" s="135">
        <v>0.0</v>
      </c>
      <c r="D331" s="135">
        <v>0.15764381470003455</v>
      </c>
    </row>
    <row r="332">
      <c r="A332" s="133">
        <v>90103.0</v>
      </c>
      <c r="B332" s="134" t="s">
        <v>847</v>
      </c>
      <c r="C332" s="135">
        <v>0.0</v>
      </c>
      <c r="D332" s="135">
        <v>0.0</v>
      </c>
    </row>
    <row r="333">
      <c r="A333" s="133">
        <v>90104.0</v>
      </c>
      <c r="B333" s="134" t="s">
        <v>848</v>
      </c>
      <c r="C333" s="135">
        <v>0.0</v>
      </c>
      <c r="D333" s="135">
        <v>0.0</v>
      </c>
    </row>
    <row r="334">
      <c r="A334" s="133">
        <v>90201.0</v>
      </c>
      <c r="B334" s="134" t="s">
        <v>849</v>
      </c>
      <c r="C334" s="135">
        <v>0.0</v>
      </c>
      <c r="D334" s="135">
        <v>0.0</v>
      </c>
    </row>
    <row r="335">
      <c r="A335" s="133">
        <v>90202.0</v>
      </c>
      <c r="B335" s="134" t="s">
        <v>265</v>
      </c>
      <c r="C335" s="135">
        <v>0.0</v>
      </c>
      <c r="D335" s="135">
        <v>0.0</v>
      </c>
    </row>
    <row r="336">
      <c r="A336" s="133">
        <v>90203.0</v>
      </c>
      <c r="B336" s="134" t="s">
        <v>850</v>
      </c>
      <c r="C336" s="135">
        <v>0.0</v>
      </c>
      <c r="D336" s="135">
        <v>0.0</v>
      </c>
    </row>
    <row r="337">
      <c r="A337" s="133">
        <v>90301.0</v>
      </c>
      <c r="B337" s="134" t="s">
        <v>851</v>
      </c>
      <c r="C337" s="135">
        <v>0.0</v>
      </c>
      <c r="D337" s="135">
        <v>0.0</v>
      </c>
    </row>
    <row r="338">
      <c r="A338" s="133">
        <v>90302.0</v>
      </c>
      <c r="B338" s="134" t="s">
        <v>219</v>
      </c>
      <c r="C338" s="135">
        <v>0.0</v>
      </c>
      <c r="D338" s="135">
        <v>0.0</v>
      </c>
    </row>
    <row r="339">
      <c r="A339" s="133">
        <v>90303.0</v>
      </c>
      <c r="B339" s="134" t="s">
        <v>852</v>
      </c>
      <c r="C339" s="135">
        <v>0.0</v>
      </c>
      <c r="D339" s="135">
        <v>0.0</v>
      </c>
    </row>
    <row r="340">
      <c r="A340" s="133">
        <v>90401.0</v>
      </c>
      <c r="B340" s="134" t="s">
        <v>824</v>
      </c>
      <c r="C340" s="135">
        <v>0.0</v>
      </c>
      <c r="D340" s="135">
        <v>0.0</v>
      </c>
    </row>
    <row r="341">
      <c r="A341" s="133">
        <v>90402.0</v>
      </c>
      <c r="B341" s="134" t="s">
        <v>853</v>
      </c>
      <c r="C341" s="135">
        <v>0.0</v>
      </c>
      <c r="D341" s="135">
        <v>0.0</v>
      </c>
    </row>
    <row r="342">
      <c r="A342" s="133">
        <v>90501.0</v>
      </c>
      <c r="B342" s="134" t="s">
        <v>854</v>
      </c>
      <c r="C342" s="135">
        <v>0.0</v>
      </c>
      <c r="D342" s="135">
        <v>0.0</v>
      </c>
    </row>
    <row r="343">
      <c r="A343" s="133">
        <v>90502.0</v>
      </c>
      <c r="B343" s="134" t="s">
        <v>855</v>
      </c>
      <c r="C343" s="135">
        <v>0.0</v>
      </c>
      <c r="D343" s="135">
        <v>0.0</v>
      </c>
    </row>
    <row r="344">
      <c r="A344" s="133">
        <v>90503.0</v>
      </c>
      <c r="B344" s="134" t="s">
        <v>856</v>
      </c>
      <c r="C344" s="135">
        <v>0.0</v>
      </c>
      <c r="D344" s="135">
        <v>0.0</v>
      </c>
    </row>
    <row r="345">
      <c r="A345" s="60"/>
      <c r="B345" s="60"/>
    </row>
    <row r="346">
      <c r="A346" s="60"/>
      <c r="B346" s="60"/>
    </row>
    <row r="347">
      <c r="A347" s="60"/>
      <c r="B347" s="60"/>
    </row>
    <row r="348">
      <c r="A348" s="60"/>
      <c r="B348" s="60"/>
    </row>
    <row r="349">
      <c r="A349" s="60"/>
      <c r="B349" s="60"/>
    </row>
    <row r="350">
      <c r="A350" s="60"/>
      <c r="B350" s="60"/>
    </row>
    <row r="351">
      <c r="A351" s="60"/>
      <c r="B351" s="60"/>
    </row>
    <row r="352">
      <c r="A352" s="60"/>
      <c r="B352" s="60"/>
    </row>
    <row r="353">
      <c r="A353" s="60"/>
      <c r="B353" s="60"/>
    </row>
    <row r="354">
      <c r="A354" s="60"/>
      <c r="B354" s="60"/>
    </row>
    <row r="355">
      <c r="A355" s="60"/>
      <c r="B355" s="60"/>
    </row>
    <row r="356">
      <c r="A356" s="60"/>
      <c r="B356" s="60"/>
    </row>
    <row r="357">
      <c r="A357" s="60"/>
      <c r="B357" s="60"/>
    </row>
    <row r="358">
      <c r="A358" s="60"/>
      <c r="B358" s="60"/>
    </row>
    <row r="359">
      <c r="A359" s="60"/>
      <c r="B359" s="60"/>
    </row>
    <row r="360">
      <c r="A360" s="60"/>
      <c r="B360" s="60"/>
    </row>
    <row r="361">
      <c r="A361" s="60"/>
      <c r="B361" s="60"/>
    </row>
    <row r="362">
      <c r="A362" s="60"/>
      <c r="B362" s="60"/>
    </row>
    <row r="363">
      <c r="A363" s="60"/>
      <c r="B363" s="60"/>
    </row>
    <row r="364">
      <c r="A364" s="60"/>
      <c r="B364" s="60"/>
    </row>
    <row r="365">
      <c r="A365" s="60"/>
      <c r="B365" s="60"/>
    </row>
    <row r="366">
      <c r="A366" s="60"/>
      <c r="B366" s="60"/>
    </row>
    <row r="367">
      <c r="A367" s="60"/>
      <c r="B367" s="60"/>
    </row>
    <row r="368">
      <c r="A368" s="60"/>
      <c r="B368" s="60"/>
    </row>
    <row r="369">
      <c r="A369" s="60"/>
      <c r="B369" s="60"/>
    </row>
    <row r="370">
      <c r="A370" s="60"/>
      <c r="B370" s="60"/>
    </row>
    <row r="371">
      <c r="A371" s="60"/>
      <c r="B371" s="60"/>
    </row>
    <row r="372">
      <c r="A372" s="60"/>
      <c r="B372" s="60"/>
    </row>
    <row r="373">
      <c r="A373" s="60"/>
      <c r="B373" s="60"/>
    </row>
    <row r="374">
      <c r="A374" s="60"/>
      <c r="B374" s="60"/>
    </row>
    <row r="375">
      <c r="A375" s="60"/>
      <c r="B375" s="60"/>
    </row>
    <row r="376">
      <c r="A376" s="60"/>
      <c r="B376" s="60"/>
    </row>
    <row r="377">
      <c r="A377" s="60"/>
      <c r="B377" s="60"/>
    </row>
    <row r="378">
      <c r="A378" s="60"/>
      <c r="B378" s="60"/>
    </row>
    <row r="379">
      <c r="A379" s="60"/>
      <c r="B379" s="60"/>
    </row>
    <row r="380">
      <c r="A380" s="60"/>
      <c r="B380" s="60"/>
    </row>
    <row r="381">
      <c r="A381" s="60"/>
      <c r="B381" s="60"/>
    </row>
    <row r="382">
      <c r="A382" s="60"/>
      <c r="B382" s="60"/>
    </row>
    <row r="383">
      <c r="A383" s="60"/>
      <c r="B383" s="60"/>
    </row>
    <row r="384">
      <c r="A384" s="60"/>
      <c r="B384" s="60"/>
    </row>
    <row r="385">
      <c r="A385" s="60"/>
      <c r="B385" s="60"/>
    </row>
    <row r="386">
      <c r="A386" s="60"/>
      <c r="B386" s="60"/>
    </row>
    <row r="387">
      <c r="A387" s="60"/>
      <c r="B387" s="60"/>
    </row>
    <row r="388">
      <c r="A388" s="60"/>
      <c r="B388" s="60"/>
    </row>
    <row r="389">
      <c r="A389" s="60"/>
      <c r="B389" s="60"/>
    </row>
    <row r="390">
      <c r="A390" s="60"/>
      <c r="B390" s="60"/>
    </row>
    <row r="391">
      <c r="A391" s="60"/>
      <c r="B391" s="60"/>
    </row>
    <row r="392">
      <c r="A392" s="60"/>
      <c r="B392" s="60"/>
    </row>
    <row r="393">
      <c r="A393" s="60"/>
      <c r="B393" s="60"/>
    </row>
    <row r="394">
      <c r="A394" s="60"/>
      <c r="B394" s="60"/>
    </row>
    <row r="395">
      <c r="A395" s="60"/>
      <c r="B395" s="60"/>
    </row>
    <row r="396">
      <c r="A396" s="60"/>
      <c r="B396" s="60"/>
    </row>
    <row r="397">
      <c r="A397" s="60"/>
      <c r="B397" s="60"/>
    </row>
    <row r="398">
      <c r="A398" s="60"/>
      <c r="B398" s="60"/>
    </row>
    <row r="399">
      <c r="A399" s="60"/>
      <c r="B399" s="60"/>
    </row>
    <row r="400">
      <c r="A400" s="60"/>
      <c r="B400" s="60"/>
    </row>
    <row r="401">
      <c r="A401" s="60"/>
      <c r="B401" s="60"/>
    </row>
    <row r="402">
      <c r="A402" s="60"/>
      <c r="B402" s="60"/>
    </row>
    <row r="403">
      <c r="A403" s="60"/>
      <c r="B403" s="60"/>
    </row>
    <row r="404">
      <c r="A404" s="60"/>
      <c r="B404" s="60"/>
    </row>
    <row r="405">
      <c r="A405" s="60"/>
      <c r="B405" s="60"/>
    </row>
    <row r="406">
      <c r="A406" s="60"/>
      <c r="B406" s="60"/>
    </row>
    <row r="407">
      <c r="A407" s="60"/>
      <c r="B407" s="60"/>
    </row>
    <row r="408">
      <c r="A408" s="60"/>
      <c r="B408" s="60"/>
    </row>
    <row r="409">
      <c r="A409" s="60"/>
      <c r="B409" s="60"/>
    </row>
    <row r="410">
      <c r="A410" s="60"/>
      <c r="B410" s="60"/>
    </row>
    <row r="411">
      <c r="A411" s="60"/>
      <c r="B411" s="60"/>
    </row>
    <row r="412">
      <c r="A412" s="60"/>
      <c r="B412" s="60"/>
    </row>
    <row r="413">
      <c r="A413" s="60"/>
      <c r="B413" s="60"/>
    </row>
    <row r="414">
      <c r="A414" s="60"/>
      <c r="B414" s="60"/>
    </row>
    <row r="415">
      <c r="A415" s="60"/>
      <c r="B415" s="60"/>
    </row>
    <row r="416">
      <c r="A416" s="60"/>
      <c r="B416" s="60"/>
    </row>
    <row r="417">
      <c r="A417" s="60"/>
      <c r="B417" s="60"/>
    </row>
    <row r="418">
      <c r="A418" s="60"/>
      <c r="B418" s="60"/>
    </row>
    <row r="419">
      <c r="A419" s="60"/>
      <c r="B419" s="60"/>
    </row>
    <row r="420">
      <c r="A420" s="60"/>
      <c r="B420" s="60"/>
    </row>
    <row r="421">
      <c r="A421" s="60"/>
      <c r="B421" s="60"/>
    </row>
    <row r="422">
      <c r="A422" s="60"/>
      <c r="B422" s="60"/>
    </row>
    <row r="423">
      <c r="A423" s="60"/>
      <c r="B423" s="60"/>
    </row>
    <row r="424">
      <c r="A424" s="60"/>
      <c r="B424" s="60"/>
    </row>
    <row r="425">
      <c r="A425" s="60"/>
      <c r="B425" s="60"/>
    </row>
    <row r="426">
      <c r="A426" s="60"/>
      <c r="B426" s="60"/>
    </row>
    <row r="427">
      <c r="A427" s="60"/>
      <c r="B427" s="60"/>
    </row>
    <row r="428">
      <c r="A428" s="60"/>
      <c r="B428" s="60"/>
    </row>
    <row r="429">
      <c r="A429" s="60"/>
      <c r="B429" s="60"/>
    </row>
    <row r="430">
      <c r="A430" s="60"/>
      <c r="B430" s="60"/>
    </row>
    <row r="431">
      <c r="A431" s="60"/>
      <c r="B431" s="60"/>
    </row>
    <row r="432">
      <c r="A432" s="60"/>
      <c r="B432" s="60"/>
    </row>
    <row r="433">
      <c r="A433" s="60"/>
      <c r="B433" s="60"/>
    </row>
    <row r="434">
      <c r="A434" s="60"/>
      <c r="B434" s="60"/>
    </row>
    <row r="435">
      <c r="A435" s="60"/>
      <c r="B435" s="60"/>
    </row>
    <row r="436">
      <c r="A436" s="60"/>
      <c r="B436" s="60"/>
    </row>
    <row r="437">
      <c r="A437" s="60"/>
      <c r="B437" s="60"/>
    </row>
    <row r="438">
      <c r="A438" s="60"/>
      <c r="B438" s="60"/>
    </row>
    <row r="439">
      <c r="A439" s="60"/>
      <c r="B439" s="60"/>
    </row>
    <row r="440">
      <c r="A440" s="60"/>
      <c r="B440" s="60"/>
    </row>
    <row r="441">
      <c r="A441" s="60"/>
      <c r="B441" s="60"/>
    </row>
    <row r="442">
      <c r="A442" s="60"/>
      <c r="B442" s="60"/>
    </row>
    <row r="443">
      <c r="A443" s="60"/>
      <c r="B443" s="60"/>
    </row>
    <row r="444">
      <c r="A444" s="60"/>
      <c r="B444" s="60"/>
    </row>
    <row r="445">
      <c r="A445" s="60"/>
      <c r="B445" s="60"/>
    </row>
    <row r="446">
      <c r="A446" s="60"/>
      <c r="B446" s="60"/>
    </row>
    <row r="447">
      <c r="A447" s="60"/>
      <c r="B447" s="60"/>
    </row>
    <row r="448">
      <c r="A448" s="60"/>
      <c r="B448" s="60"/>
    </row>
    <row r="449">
      <c r="A449" s="60"/>
      <c r="B449" s="60"/>
    </row>
    <row r="450">
      <c r="A450" s="60"/>
      <c r="B450" s="60"/>
    </row>
    <row r="451">
      <c r="A451" s="60"/>
      <c r="B451" s="60"/>
    </row>
    <row r="452">
      <c r="A452" s="60"/>
      <c r="B452" s="60"/>
    </row>
    <row r="453">
      <c r="A453" s="60"/>
      <c r="B453" s="60"/>
    </row>
    <row r="454">
      <c r="A454" s="60"/>
      <c r="B454" s="60"/>
    </row>
    <row r="455">
      <c r="A455" s="60"/>
      <c r="B455" s="60"/>
    </row>
    <row r="456">
      <c r="A456" s="60"/>
      <c r="B456" s="60"/>
    </row>
    <row r="457">
      <c r="A457" s="60"/>
      <c r="B457" s="60"/>
    </row>
    <row r="458">
      <c r="A458" s="60"/>
      <c r="B458" s="60"/>
    </row>
    <row r="459">
      <c r="A459" s="60"/>
      <c r="B459" s="60"/>
    </row>
    <row r="460">
      <c r="A460" s="60"/>
      <c r="B460" s="60"/>
    </row>
    <row r="461">
      <c r="A461" s="60"/>
      <c r="B461" s="60"/>
    </row>
    <row r="462">
      <c r="A462" s="60"/>
      <c r="B462" s="60"/>
    </row>
    <row r="463">
      <c r="A463" s="60"/>
      <c r="B463" s="60"/>
    </row>
    <row r="464">
      <c r="A464" s="60"/>
      <c r="B464" s="60"/>
    </row>
    <row r="465">
      <c r="A465" s="60"/>
      <c r="B465" s="60"/>
    </row>
    <row r="466">
      <c r="A466" s="60"/>
      <c r="B466" s="60"/>
    </row>
    <row r="467">
      <c r="A467" s="60"/>
      <c r="B467" s="60"/>
    </row>
    <row r="468">
      <c r="A468" s="60"/>
      <c r="B468" s="60"/>
    </row>
    <row r="469">
      <c r="A469" s="60"/>
      <c r="B469" s="60"/>
    </row>
    <row r="470">
      <c r="A470" s="60"/>
      <c r="B470" s="60"/>
    </row>
    <row r="471">
      <c r="A471" s="60"/>
      <c r="B471" s="60"/>
    </row>
    <row r="472">
      <c r="A472" s="60"/>
      <c r="B472" s="60"/>
    </row>
    <row r="473">
      <c r="A473" s="60"/>
      <c r="B473" s="60"/>
    </row>
    <row r="474">
      <c r="A474" s="60"/>
      <c r="B474" s="60"/>
    </row>
    <row r="475">
      <c r="A475" s="60"/>
      <c r="B475" s="60"/>
    </row>
    <row r="476">
      <c r="A476" s="60"/>
      <c r="B476" s="60"/>
    </row>
    <row r="477">
      <c r="A477" s="60"/>
      <c r="B477" s="60"/>
    </row>
    <row r="478">
      <c r="A478" s="60"/>
      <c r="B478" s="60"/>
    </row>
    <row r="479">
      <c r="A479" s="60"/>
      <c r="B479" s="60"/>
    </row>
    <row r="480">
      <c r="A480" s="60"/>
      <c r="B480" s="60"/>
    </row>
    <row r="481">
      <c r="A481" s="60"/>
      <c r="B481" s="60"/>
    </row>
    <row r="482">
      <c r="A482" s="60"/>
      <c r="B482" s="60"/>
    </row>
    <row r="483">
      <c r="A483" s="60"/>
      <c r="B483" s="60"/>
    </row>
    <row r="484">
      <c r="A484" s="60"/>
      <c r="B484" s="60"/>
    </row>
    <row r="485">
      <c r="A485" s="60"/>
      <c r="B485" s="60"/>
    </row>
    <row r="486">
      <c r="A486" s="60"/>
      <c r="B486" s="60"/>
    </row>
    <row r="487">
      <c r="A487" s="60"/>
      <c r="B487" s="60"/>
    </row>
    <row r="488">
      <c r="A488" s="60"/>
      <c r="B488" s="60"/>
    </row>
    <row r="489">
      <c r="A489" s="60"/>
      <c r="B489" s="60"/>
    </row>
    <row r="490">
      <c r="A490" s="60"/>
      <c r="B490" s="60"/>
    </row>
    <row r="491">
      <c r="A491" s="60"/>
      <c r="B491" s="60"/>
    </row>
    <row r="492">
      <c r="A492" s="60"/>
      <c r="B492" s="60"/>
    </row>
    <row r="493">
      <c r="A493" s="60"/>
      <c r="B493" s="60"/>
    </row>
    <row r="494">
      <c r="A494" s="60"/>
      <c r="B494" s="60"/>
    </row>
    <row r="495">
      <c r="A495" s="60"/>
      <c r="B495" s="60"/>
    </row>
    <row r="496">
      <c r="A496" s="60"/>
      <c r="B496" s="60"/>
    </row>
    <row r="497">
      <c r="A497" s="60"/>
      <c r="B497" s="60"/>
    </row>
    <row r="498">
      <c r="A498" s="60"/>
      <c r="B498" s="60"/>
    </row>
    <row r="499">
      <c r="A499" s="60"/>
      <c r="B499" s="60"/>
    </row>
    <row r="500">
      <c r="A500" s="60"/>
      <c r="B500" s="60"/>
    </row>
    <row r="501">
      <c r="A501" s="60"/>
      <c r="B501" s="60"/>
    </row>
    <row r="502">
      <c r="A502" s="60"/>
      <c r="B502" s="60"/>
    </row>
    <row r="503">
      <c r="A503" s="60"/>
      <c r="B503" s="60"/>
    </row>
    <row r="504">
      <c r="A504" s="60"/>
      <c r="B504" s="60"/>
    </row>
    <row r="505">
      <c r="A505" s="60"/>
      <c r="B505" s="60"/>
    </row>
    <row r="506">
      <c r="A506" s="60"/>
      <c r="B506" s="60"/>
    </row>
    <row r="507">
      <c r="A507" s="60"/>
      <c r="B507" s="60"/>
    </row>
    <row r="508">
      <c r="A508" s="60"/>
      <c r="B508" s="60"/>
    </row>
    <row r="509">
      <c r="A509" s="60"/>
      <c r="B509" s="60"/>
    </row>
    <row r="510">
      <c r="A510" s="60"/>
      <c r="B510" s="60"/>
    </row>
    <row r="511">
      <c r="A511" s="60"/>
      <c r="B511" s="60"/>
    </row>
    <row r="512">
      <c r="A512" s="60"/>
      <c r="B512" s="60"/>
    </row>
    <row r="513">
      <c r="A513" s="60"/>
      <c r="B513" s="60"/>
    </row>
    <row r="514">
      <c r="A514" s="60"/>
      <c r="B514" s="60"/>
    </row>
    <row r="515">
      <c r="A515" s="60"/>
      <c r="B515" s="60"/>
    </row>
    <row r="516">
      <c r="A516" s="60"/>
      <c r="B516" s="60"/>
    </row>
    <row r="517">
      <c r="A517" s="60"/>
      <c r="B517" s="60"/>
    </row>
    <row r="518">
      <c r="A518" s="60"/>
      <c r="B518" s="60"/>
    </row>
    <row r="519">
      <c r="A519" s="60"/>
      <c r="B519" s="60"/>
    </row>
    <row r="520">
      <c r="A520" s="60"/>
      <c r="B520" s="60"/>
    </row>
    <row r="521">
      <c r="A521" s="60"/>
      <c r="B521" s="60"/>
    </row>
    <row r="522">
      <c r="A522" s="60"/>
      <c r="B522" s="60"/>
    </row>
    <row r="523">
      <c r="A523" s="60"/>
      <c r="B523" s="60"/>
    </row>
    <row r="524">
      <c r="A524" s="60"/>
      <c r="B524" s="60"/>
    </row>
    <row r="525">
      <c r="A525" s="60"/>
      <c r="B525" s="60"/>
    </row>
    <row r="526">
      <c r="A526" s="60"/>
      <c r="B526" s="60"/>
    </row>
    <row r="527">
      <c r="A527" s="60"/>
      <c r="B527" s="60"/>
    </row>
    <row r="528">
      <c r="A528" s="60"/>
      <c r="B528" s="60"/>
    </row>
    <row r="529">
      <c r="A529" s="60"/>
      <c r="B529" s="60"/>
    </row>
    <row r="530">
      <c r="A530" s="60"/>
      <c r="B530" s="60"/>
    </row>
    <row r="531">
      <c r="A531" s="60"/>
      <c r="B531" s="60"/>
    </row>
    <row r="532">
      <c r="A532" s="60"/>
      <c r="B532" s="60"/>
    </row>
    <row r="533">
      <c r="A533" s="60"/>
      <c r="B533" s="60"/>
    </row>
    <row r="534">
      <c r="A534" s="60"/>
      <c r="B534" s="60"/>
    </row>
    <row r="535">
      <c r="A535" s="60"/>
      <c r="B535" s="60"/>
    </row>
    <row r="536">
      <c r="A536" s="60"/>
      <c r="B536" s="60"/>
    </row>
    <row r="537">
      <c r="A537" s="60"/>
      <c r="B537" s="60"/>
    </row>
    <row r="538">
      <c r="A538" s="60"/>
      <c r="B538" s="60"/>
    </row>
    <row r="539">
      <c r="A539" s="60"/>
      <c r="B539" s="60"/>
    </row>
    <row r="540">
      <c r="A540" s="60"/>
      <c r="B540" s="60"/>
    </row>
    <row r="541">
      <c r="A541" s="60"/>
      <c r="B541" s="60"/>
    </row>
    <row r="542">
      <c r="A542" s="60"/>
      <c r="B542" s="60"/>
    </row>
    <row r="543">
      <c r="A543" s="60"/>
      <c r="B543" s="60"/>
    </row>
    <row r="544">
      <c r="A544" s="60"/>
      <c r="B544" s="60"/>
    </row>
    <row r="545">
      <c r="A545" s="60"/>
      <c r="B545" s="60"/>
    </row>
    <row r="546">
      <c r="A546" s="60"/>
      <c r="B546" s="60"/>
    </row>
    <row r="547">
      <c r="A547" s="60"/>
      <c r="B547" s="60"/>
    </row>
    <row r="548">
      <c r="A548" s="60"/>
      <c r="B548" s="60"/>
    </row>
    <row r="549">
      <c r="A549" s="60"/>
      <c r="B549" s="60"/>
    </row>
    <row r="550">
      <c r="A550" s="60"/>
      <c r="B550" s="60"/>
    </row>
    <row r="551">
      <c r="A551" s="60"/>
      <c r="B551" s="60"/>
    </row>
    <row r="552">
      <c r="A552" s="60"/>
      <c r="B552" s="60"/>
    </row>
    <row r="553">
      <c r="A553" s="60"/>
      <c r="B553" s="60"/>
    </row>
    <row r="554">
      <c r="A554" s="60"/>
      <c r="B554" s="60"/>
    </row>
    <row r="555">
      <c r="A555" s="60"/>
      <c r="B555" s="60"/>
    </row>
    <row r="556">
      <c r="A556" s="60"/>
      <c r="B556" s="60"/>
    </row>
    <row r="557">
      <c r="A557" s="60"/>
      <c r="B557" s="60"/>
    </row>
    <row r="558">
      <c r="A558" s="60"/>
      <c r="B558" s="60"/>
    </row>
    <row r="559">
      <c r="A559" s="60"/>
      <c r="B559" s="60"/>
    </row>
    <row r="560">
      <c r="A560" s="60"/>
      <c r="B560" s="60"/>
    </row>
    <row r="561">
      <c r="A561" s="60"/>
      <c r="B561" s="60"/>
    </row>
    <row r="562">
      <c r="A562" s="60"/>
      <c r="B562" s="60"/>
    </row>
    <row r="563">
      <c r="A563" s="60"/>
      <c r="B563" s="60"/>
    </row>
    <row r="564">
      <c r="A564" s="60"/>
      <c r="B564" s="60"/>
    </row>
    <row r="565">
      <c r="A565" s="60"/>
      <c r="B565" s="60"/>
    </row>
    <row r="566">
      <c r="A566" s="60"/>
      <c r="B566" s="60"/>
    </row>
    <row r="567">
      <c r="A567" s="60"/>
      <c r="B567" s="60"/>
    </row>
    <row r="568">
      <c r="A568" s="60"/>
      <c r="B568" s="60"/>
    </row>
    <row r="569">
      <c r="A569" s="60"/>
      <c r="B569" s="60"/>
    </row>
    <row r="570">
      <c r="A570" s="60"/>
      <c r="B570" s="60"/>
    </row>
    <row r="571">
      <c r="A571" s="60"/>
      <c r="B571" s="60"/>
    </row>
    <row r="572">
      <c r="A572" s="60"/>
      <c r="B572" s="60"/>
    </row>
    <row r="573">
      <c r="A573" s="60"/>
      <c r="B573" s="60"/>
    </row>
    <row r="574">
      <c r="A574" s="60"/>
      <c r="B574" s="60"/>
    </row>
    <row r="575">
      <c r="A575" s="60"/>
      <c r="B575" s="60"/>
    </row>
    <row r="576">
      <c r="A576" s="60"/>
      <c r="B576" s="60"/>
    </row>
    <row r="577">
      <c r="A577" s="60"/>
      <c r="B577" s="60"/>
    </row>
    <row r="578">
      <c r="A578" s="60"/>
      <c r="B578" s="60"/>
    </row>
    <row r="579">
      <c r="A579" s="60"/>
      <c r="B579" s="60"/>
    </row>
    <row r="580">
      <c r="A580" s="60"/>
      <c r="B580" s="60"/>
    </row>
    <row r="581">
      <c r="A581" s="60"/>
      <c r="B581" s="60"/>
    </row>
    <row r="582">
      <c r="A582" s="60"/>
      <c r="B582" s="60"/>
    </row>
    <row r="583">
      <c r="A583" s="60"/>
      <c r="B583" s="60"/>
    </row>
    <row r="584">
      <c r="A584" s="60"/>
      <c r="B584" s="60"/>
    </row>
    <row r="585">
      <c r="A585" s="60"/>
      <c r="B585" s="60"/>
    </row>
    <row r="586">
      <c r="A586" s="60"/>
      <c r="B586" s="60"/>
    </row>
    <row r="587">
      <c r="A587" s="60"/>
      <c r="B587" s="60"/>
    </row>
    <row r="588">
      <c r="A588" s="60"/>
      <c r="B588" s="60"/>
    </row>
    <row r="589">
      <c r="A589" s="60"/>
      <c r="B589" s="60"/>
    </row>
    <row r="590">
      <c r="A590" s="60"/>
      <c r="B590" s="60"/>
    </row>
    <row r="591">
      <c r="A591" s="60"/>
      <c r="B591" s="60"/>
    </row>
    <row r="592">
      <c r="A592" s="60"/>
      <c r="B592" s="60"/>
    </row>
    <row r="593">
      <c r="A593" s="60"/>
      <c r="B593" s="60"/>
    </row>
    <row r="594">
      <c r="A594" s="60"/>
      <c r="B594" s="60"/>
    </row>
    <row r="595">
      <c r="A595" s="60"/>
      <c r="B595" s="60"/>
    </row>
    <row r="596">
      <c r="A596" s="60"/>
      <c r="B596" s="60"/>
    </row>
    <row r="597">
      <c r="A597" s="60"/>
      <c r="B597" s="60"/>
    </row>
    <row r="598">
      <c r="A598" s="60"/>
      <c r="B598" s="60"/>
    </row>
    <row r="599">
      <c r="A599" s="60"/>
      <c r="B599" s="60"/>
    </row>
    <row r="600">
      <c r="A600" s="60"/>
      <c r="B600" s="60"/>
    </row>
    <row r="601">
      <c r="A601" s="60"/>
      <c r="B601" s="60"/>
    </row>
    <row r="602">
      <c r="A602" s="60"/>
      <c r="B602" s="60"/>
    </row>
    <row r="603">
      <c r="A603" s="60"/>
      <c r="B603" s="60"/>
    </row>
    <row r="604">
      <c r="A604" s="60"/>
      <c r="B604" s="60"/>
    </row>
    <row r="605">
      <c r="A605" s="60"/>
      <c r="B605" s="60"/>
    </row>
    <row r="606">
      <c r="A606" s="60"/>
      <c r="B606" s="60"/>
    </row>
    <row r="607">
      <c r="A607" s="60"/>
      <c r="B607" s="60"/>
    </row>
    <row r="608">
      <c r="A608" s="60"/>
      <c r="B608" s="60"/>
    </row>
    <row r="609">
      <c r="A609" s="60"/>
      <c r="B609" s="60"/>
    </row>
    <row r="610">
      <c r="A610" s="60"/>
      <c r="B610" s="60"/>
    </row>
    <row r="611">
      <c r="A611" s="60"/>
      <c r="B611" s="60"/>
    </row>
    <row r="612">
      <c r="A612" s="60"/>
      <c r="B612" s="60"/>
    </row>
    <row r="613">
      <c r="A613" s="60"/>
      <c r="B613" s="60"/>
    </row>
    <row r="614">
      <c r="A614" s="60"/>
      <c r="B614" s="60"/>
    </row>
    <row r="615">
      <c r="A615" s="60"/>
      <c r="B615" s="60"/>
    </row>
    <row r="616">
      <c r="A616" s="60"/>
      <c r="B616" s="60"/>
    </row>
    <row r="617">
      <c r="A617" s="60"/>
      <c r="B617" s="60"/>
    </row>
    <row r="618">
      <c r="A618" s="60"/>
      <c r="B618" s="60"/>
    </row>
    <row r="619">
      <c r="A619" s="60"/>
      <c r="B619" s="60"/>
    </row>
    <row r="620">
      <c r="A620" s="60"/>
      <c r="B620" s="60"/>
    </row>
    <row r="621">
      <c r="A621" s="60"/>
      <c r="B621" s="60"/>
    </row>
    <row r="622">
      <c r="A622" s="60"/>
      <c r="B622" s="60"/>
    </row>
    <row r="623">
      <c r="A623" s="60"/>
      <c r="B623" s="60"/>
    </row>
    <row r="624">
      <c r="A624" s="60"/>
      <c r="B624" s="60"/>
    </row>
    <row r="625">
      <c r="A625" s="60"/>
      <c r="B625" s="60"/>
    </row>
    <row r="626">
      <c r="A626" s="60"/>
      <c r="B626" s="60"/>
    </row>
    <row r="627">
      <c r="A627" s="60"/>
      <c r="B627" s="60"/>
    </row>
    <row r="628">
      <c r="A628" s="60"/>
      <c r="B628" s="60"/>
    </row>
    <row r="629">
      <c r="A629" s="60"/>
      <c r="B629" s="60"/>
    </row>
    <row r="630">
      <c r="A630" s="60"/>
      <c r="B630" s="60"/>
    </row>
    <row r="631">
      <c r="A631" s="60"/>
      <c r="B631" s="60"/>
    </row>
    <row r="632">
      <c r="A632" s="60"/>
      <c r="B632" s="60"/>
    </row>
    <row r="633">
      <c r="A633" s="60"/>
      <c r="B633" s="60"/>
    </row>
    <row r="634">
      <c r="A634" s="60"/>
      <c r="B634" s="60"/>
    </row>
    <row r="635">
      <c r="A635" s="60"/>
      <c r="B635" s="60"/>
    </row>
    <row r="636">
      <c r="A636" s="60"/>
      <c r="B636" s="60"/>
    </row>
    <row r="637">
      <c r="A637" s="60"/>
      <c r="B637" s="60"/>
    </row>
    <row r="638">
      <c r="A638" s="60"/>
      <c r="B638" s="60"/>
    </row>
    <row r="639">
      <c r="A639" s="60"/>
      <c r="B639" s="60"/>
    </row>
    <row r="640">
      <c r="A640" s="60"/>
      <c r="B640" s="60"/>
    </row>
    <row r="641">
      <c r="A641" s="60"/>
      <c r="B641" s="60"/>
    </row>
    <row r="642">
      <c r="A642" s="60"/>
      <c r="B642" s="60"/>
    </row>
    <row r="643">
      <c r="A643" s="60"/>
      <c r="B643" s="60"/>
    </row>
    <row r="644">
      <c r="A644" s="60"/>
      <c r="B644" s="60"/>
    </row>
    <row r="645">
      <c r="A645" s="60"/>
      <c r="B645" s="60"/>
    </row>
    <row r="646">
      <c r="A646" s="60"/>
      <c r="B646" s="60"/>
    </row>
    <row r="647">
      <c r="A647" s="60"/>
      <c r="B647" s="60"/>
    </row>
    <row r="648">
      <c r="A648" s="60"/>
      <c r="B648" s="60"/>
    </row>
    <row r="649">
      <c r="A649" s="60"/>
      <c r="B649" s="60"/>
    </row>
    <row r="650">
      <c r="A650" s="60"/>
      <c r="B650" s="60"/>
    </row>
    <row r="651">
      <c r="A651" s="60"/>
      <c r="B651" s="60"/>
    </row>
    <row r="652">
      <c r="A652" s="60"/>
      <c r="B652" s="60"/>
    </row>
    <row r="653">
      <c r="A653" s="60"/>
      <c r="B653" s="60"/>
    </row>
    <row r="654">
      <c r="A654" s="60"/>
      <c r="B654" s="60"/>
    </row>
    <row r="655">
      <c r="A655" s="60"/>
      <c r="B655" s="60"/>
    </row>
    <row r="656">
      <c r="A656" s="60"/>
      <c r="B656" s="60"/>
    </row>
    <row r="657">
      <c r="A657" s="60"/>
      <c r="B657" s="60"/>
    </row>
    <row r="658">
      <c r="A658" s="60"/>
      <c r="B658" s="60"/>
    </row>
    <row r="659">
      <c r="A659" s="60"/>
      <c r="B659" s="60"/>
    </row>
    <row r="660">
      <c r="A660" s="60"/>
      <c r="B660" s="60"/>
    </row>
    <row r="661">
      <c r="A661" s="60"/>
      <c r="B661" s="60"/>
    </row>
    <row r="662">
      <c r="A662" s="60"/>
      <c r="B662" s="60"/>
    </row>
    <row r="663">
      <c r="A663" s="60"/>
      <c r="B663" s="60"/>
    </row>
    <row r="664">
      <c r="A664" s="60"/>
      <c r="B664" s="60"/>
    </row>
    <row r="665">
      <c r="A665" s="60"/>
      <c r="B665" s="60"/>
    </row>
    <row r="666">
      <c r="A666" s="60"/>
      <c r="B666" s="60"/>
    </row>
    <row r="667">
      <c r="A667" s="60"/>
      <c r="B667" s="60"/>
    </row>
    <row r="668">
      <c r="A668" s="60"/>
      <c r="B668" s="60"/>
    </row>
    <row r="669">
      <c r="A669" s="60"/>
      <c r="B669" s="60"/>
    </row>
    <row r="670">
      <c r="A670" s="60"/>
      <c r="B670" s="60"/>
    </row>
    <row r="671">
      <c r="A671" s="60"/>
      <c r="B671" s="60"/>
    </row>
    <row r="672">
      <c r="A672" s="60"/>
      <c r="B672" s="60"/>
    </row>
    <row r="673">
      <c r="A673" s="60"/>
      <c r="B673" s="60"/>
    </row>
    <row r="674">
      <c r="A674" s="60"/>
      <c r="B674" s="60"/>
    </row>
    <row r="675">
      <c r="A675" s="60"/>
      <c r="B675" s="60"/>
    </row>
    <row r="676">
      <c r="A676" s="60"/>
      <c r="B676" s="60"/>
    </row>
    <row r="677">
      <c r="A677" s="60"/>
      <c r="B677" s="60"/>
    </row>
    <row r="678">
      <c r="A678" s="60"/>
      <c r="B678" s="60"/>
    </row>
    <row r="679">
      <c r="A679" s="60"/>
      <c r="B679" s="60"/>
    </row>
    <row r="680">
      <c r="A680" s="60"/>
      <c r="B680" s="60"/>
    </row>
    <row r="681">
      <c r="A681" s="60"/>
      <c r="B681" s="60"/>
    </row>
    <row r="682">
      <c r="A682" s="60"/>
      <c r="B682" s="60"/>
    </row>
    <row r="683">
      <c r="A683" s="60"/>
      <c r="B683" s="60"/>
    </row>
    <row r="684">
      <c r="A684" s="60"/>
      <c r="B684" s="60"/>
    </row>
    <row r="685">
      <c r="A685" s="60"/>
      <c r="B685" s="60"/>
    </row>
    <row r="686">
      <c r="A686" s="60"/>
      <c r="B686" s="60"/>
    </row>
    <row r="687">
      <c r="A687" s="60"/>
      <c r="B687" s="60"/>
    </row>
    <row r="688">
      <c r="A688" s="60"/>
      <c r="B688" s="60"/>
    </row>
    <row r="689">
      <c r="A689" s="60"/>
      <c r="B689" s="60"/>
    </row>
    <row r="690">
      <c r="A690" s="60"/>
      <c r="B690" s="60"/>
    </row>
    <row r="691">
      <c r="A691" s="60"/>
      <c r="B691" s="60"/>
    </row>
    <row r="692">
      <c r="A692" s="60"/>
      <c r="B692" s="60"/>
    </row>
    <row r="693">
      <c r="A693" s="60"/>
      <c r="B693" s="60"/>
    </row>
    <row r="694">
      <c r="A694" s="60"/>
      <c r="B694" s="60"/>
    </row>
    <row r="695">
      <c r="A695" s="60"/>
      <c r="B695" s="60"/>
    </row>
    <row r="696">
      <c r="A696" s="60"/>
      <c r="B696" s="60"/>
    </row>
    <row r="697">
      <c r="A697" s="60"/>
      <c r="B697" s="60"/>
    </row>
    <row r="698">
      <c r="A698" s="60"/>
      <c r="B698" s="60"/>
    </row>
    <row r="699">
      <c r="A699" s="60"/>
      <c r="B699" s="60"/>
    </row>
    <row r="700">
      <c r="A700" s="60"/>
      <c r="B700" s="60"/>
    </row>
    <row r="701">
      <c r="A701" s="60"/>
      <c r="B701" s="60"/>
    </row>
    <row r="702">
      <c r="A702" s="60"/>
      <c r="B702" s="60"/>
    </row>
    <row r="703">
      <c r="A703" s="60"/>
      <c r="B703" s="60"/>
    </row>
    <row r="704">
      <c r="A704" s="60"/>
      <c r="B704" s="60"/>
    </row>
    <row r="705">
      <c r="A705" s="60"/>
      <c r="B705" s="60"/>
    </row>
    <row r="706">
      <c r="A706" s="60"/>
      <c r="B706" s="60"/>
    </row>
    <row r="707">
      <c r="A707" s="60"/>
      <c r="B707" s="60"/>
    </row>
    <row r="708">
      <c r="A708" s="60"/>
      <c r="B708" s="60"/>
    </row>
    <row r="709">
      <c r="A709" s="60"/>
      <c r="B709" s="60"/>
    </row>
    <row r="710">
      <c r="A710" s="60"/>
      <c r="B710" s="60"/>
    </row>
    <row r="711">
      <c r="A711" s="60"/>
      <c r="B711" s="60"/>
    </row>
    <row r="712">
      <c r="A712" s="60"/>
      <c r="B712" s="60"/>
    </row>
    <row r="713">
      <c r="A713" s="60"/>
      <c r="B713" s="60"/>
    </row>
    <row r="714">
      <c r="A714" s="60"/>
      <c r="B714" s="60"/>
    </row>
    <row r="715">
      <c r="A715" s="60"/>
      <c r="B715" s="60"/>
    </row>
    <row r="716">
      <c r="A716" s="60"/>
      <c r="B716" s="60"/>
    </row>
    <row r="717">
      <c r="A717" s="60"/>
      <c r="B717" s="60"/>
    </row>
    <row r="718">
      <c r="A718" s="60"/>
      <c r="B718" s="60"/>
    </row>
    <row r="719">
      <c r="A719" s="60"/>
      <c r="B719" s="60"/>
    </row>
    <row r="720">
      <c r="A720" s="60"/>
      <c r="B720" s="60"/>
    </row>
    <row r="721">
      <c r="A721" s="60"/>
      <c r="B721" s="60"/>
    </row>
    <row r="722">
      <c r="A722" s="60"/>
      <c r="B722" s="60"/>
    </row>
    <row r="723">
      <c r="A723" s="60"/>
      <c r="B723" s="60"/>
    </row>
    <row r="724">
      <c r="A724" s="60"/>
      <c r="B724" s="60"/>
    </row>
    <row r="725">
      <c r="A725" s="60"/>
      <c r="B725" s="60"/>
    </row>
    <row r="726">
      <c r="A726" s="60"/>
      <c r="B726" s="60"/>
    </row>
    <row r="727">
      <c r="A727" s="60"/>
      <c r="B727" s="60"/>
    </row>
    <row r="728">
      <c r="A728" s="60"/>
      <c r="B728" s="60"/>
    </row>
    <row r="729">
      <c r="A729" s="60"/>
      <c r="B729" s="60"/>
    </row>
    <row r="730">
      <c r="A730" s="60"/>
      <c r="B730" s="60"/>
    </row>
    <row r="731">
      <c r="A731" s="60"/>
      <c r="B731" s="60"/>
    </row>
    <row r="732">
      <c r="A732" s="60"/>
      <c r="B732" s="60"/>
    </row>
    <row r="733">
      <c r="A733" s="60"/>
      <c r="B733" s="60"/>
    </row>
    <row r="734">
      <c r="A734" s="60"/>
      <c r="B734" s="60"/>
    </row>
    <row r="735">
      <c r="A735" s="60"/>
      <c r="B735" s="60"/>
    </row>
    <row r="736">
      <c r="A736" s="60"/>
      <c r="B736" s="60"/>
    </row>
    <row r="737">
      <c r="A737" s="60"/>
      <c r="B737" s="60"/>
    </row>
    <row r="738">
      <c r="A738" s="60"/>
      <c r="B738" s="60"/>
    </row>
    <row r="739">
      <c r="A739" s="60"/>
      <c r="B739" s="60"/>
    </row>
    <row r="740">
      <c r="A740" s="60"/>
      <c r="B740" s="60"/>
    </row>
    <row r="741">
      <c r="A741" s="60"/>
      <c r="B741" s="60"/>
    </row>
    <row r="742">
      <c r="A742" s="60"/>
      <c r="B742" s="60"/>
    </row>
    <row r="743">
      <c r="A743" s="60"/>
      <c r="B743" s="60"/>
    </row>
    <row r="744">
      <c r="A744" s="60"/>
      <c r="B744" s="60"/>
    </row>
    <row r="745">
      <c r="A745" s="60"/>
      <c r="B745" s="60"/>
    </row>
    <row r="746">
      <c r="A746" s="60"/>
      <c r="B746" s="60"/>
    </row>
    <row r="747">
      <c r="A747" s="60"/>
      <c r="B747" s="60"/>
    </row>
    <row r="748">
      <c r="A748" s="60"/>
      <c r="B748" s="60"/>
    </row>
    <row r="749">
      <c r="A749" s="60"/>
      <c r="B749" s="60"/>
    </row>
    <row r="750">
      <c r="A750" s="60"/>
      <c r="B750" s="60"/>
    </row>
    <row r="751">
      <c r="A751" s="60"/>
      <c r="B751" s="60"/>
    </row>
    <row r="752">
      <c r="A752" s="60"/>
      <c r="B752" s="60"/>
    </row>
    <row r="753">
      <c r="A753" s="60"/>
      <c r="B753" s="60"/>
    </row>
    <row r="754">
      <c r="A754" s="60"/>
      <c r="B754" s="60"/>
    </row>
    <row r="755">
      <c r="A755" s="60"/>
      <c r="B755" s="60"/>
    </row>
    <row r="756">
      <c r="A756" s="60"/>
      <c r="B756" s="60"/>
    </row>
    <row r="757">
      <c r="A757" s="60"/>
      <c r="B757" s="60"/>
    </row>
    <row r="758">
      <c r="A758" s="60"/>
      <c r="B758" s="60"/>
    </row>
    <row r="759">
      <c r="A759" s="60"/>
      <c r="B759" s="60"/>
    </row>
    <row r="760">
      <c r="A760" s="60"/>
      <c r="B760" s="60"/>
    </row>
    <row r="761">
      <c r="A761" s="60"/>
      <c r="B761" s="60"/>
    </row>
    <row r="762">
      <c r="A762" s="60"/>
      <c r="B762" s="60"/>
    </row>
    <row r="763">
      <c r="A763" s="60"/>
      <c r="B763" s="60"/>
    </row>
    <row r="764">
      <c r="A764" s="60"/>
      <c r="B764" s="60"/>
    </row>
    <row r="765">
      <c r="A765" s="60"/>
      <c r="B765" s="60"/>
    </row>
    <row r="766">
      <c r="A766" s="60"/>
      <c r="B766" s="60"/>
    </row>
    <row r="767">
      <c r="A767" s="60"/>
      <c r="B767" s="60"/>
    </row>
    <row r="768">
      <c r="A768" s="60"/>
      <c r="B768" s="60"/>
    </row>
    <row r="769">
      <c r="A769" s="60"/>
      <c r="B769" s="60"/>
    </row>
    <row r="770">
      <c r="A770" s="60"/>
      <c r="B770" s="60"/>
    </row>
    <row r="771">
      <c r="A771" s="60"/>
      <c r="B771" s="60"/>
    </row>
    <row r="772">
      <c r="A772" s="60"/>
      <c r="B772" s="60"/>
    </row>
    <row r="773">
      <c r="A773" s="60"/>
      <c r="B773" s="60"/>
    </row>
    <row r="774">
      <c r="A774" s="60"/>
      <c r="B774" s="60"/>
    </row>
    <row r="775">
      <c r="A775" s="60"/>
      <c r="B775" s="60"/>
    </row>
    <row r="776">
      <c r="A776" s="60"/>
      <c r="B776" s="60"/>
    </row>
    <row r="777">
      <c r="A777" s="60"/>
      <c r="B777" s="60"/>
    </row>
    <row r="778">
      <c r="A778" s="60"/>
      <c r="B778" s="60"/>
    </row>
    <row r="779">
      <c r="A779" s="60"/>
      <c r="B779" s="60"/>
    </row>
    <row r="780">
      <c r="A780" s="60"/>
      <c r="B780" s="60"/>
    </row>
    <row r="781">
      <c r="A781" s="60"/>
      <c r="B781" s="60"/>
    </row>
    <row r="782">
      <c r="A782" s="60"/>
      <c r="B782" s="60"/>
    </row>
    <row r="783">
      <c r="A783" s="60"/>
      <c r="B783" s="60"/>
    </row>
    <row r="784">
      <c r="A784" s="60"/>
      <c r="B784" s="60"/>
    </row>
    <row r="785">
      <c r="A785" s="60"/>
      <c r="B785" s="60"/>
    </row>
    <row r="786">
      <c r="A786" s="60"/>
      <c r="B786" s="60"/>
    </row>
    <row r="787">
      <c r="A787" s="60"/>
      <c r="B787" s="60"/>
    </row>
    <row r="788">
      <c r="A788" s="60"/>
      <c r="B788" s="60"/>
    </row>
    <row r="789">
      <c r="A789" s="60"/>
      <c r="B789" s="60"/>
    </row>
    <row r="790">
      <c r="A790" s="60"/>
      <c r="B790" s="60"/>
    </row>
    <row r="791">
      <c r="A791" s="60"/>
      <c r="B791" s="60"/>
    </row>
    <row r="792">
      <c r="A792" s="60"/>
      <c r="B792" s="60"/>
    </row>
    <row r="793">
      <c r="A793" s="60"/>
      <c r="B793" s="60"/>
    </row>
    <row r="794">
      <c r="A794" s="60"/>
      <c r="B794" s="60"/>
    </row>
    <row r="795">
      <c r="A795" s="60"/>
      <c r="B795" s="60"/>
    </row>
    <row r="796">
      <c r="A796" s="60"/>
      <c r="B796" s="60"/>
    </row>
    <row r="797">
      <c r="A797" s="60"/>
      <c r="B797" s="60"/>
    </row>
    <row r="798">
      <c r="A798" s="60"/>
      <c r="B798" s="60"/>
    </row>
    <row r="799">
      <c r="A799" s="60"/>
      <c r="B799" s="60"/>
    </row>
    <row r="800">
      <c r="A800" s="60"/>
      <c r="B800" s="60"/>
    </row>
    <row r="801">
      <c r="A801" s="60"/>
      <c r="B801" s="60"/>
    </row>
    <row r="802">
      <c r="A802" s="60"/>
      <c r="B802" s="60"/>
    </row>
    <row r="803">
      <c r="A803" s="60"/>
      <c r="B803" s="60"/>
    </row>
    <row r="804">
      <c r="A804" s="60"/>
      <c r="B804" s="60"/>
    </row>
    <row r="805">
      <c r="A805" s="60"/>
      <c r="B805" s="60"/>
    </row>
    <row r="806">
      <c r="A806" s="60"/>
      <c r="B806" s="60"/>
    </row>
    <row r="807">
      <c r="A807" s="60"/>
      <c r="B807" s="60"/>
    </row>
    <row r="808">
      <c r="A808" s="60"/>
      <c r="B808" s="60"/>
    </row>
    <row r="809">
      <c r="A809" s="60"/>
      <c r="B809" s="60"/>
    </row>
    <row r="810">
      <c r="A810" s="60"/>
      <c r="B810" s="60"/>
    </row>
    <row r="811">
      <c r="A811" s="60"/>
      <c r="B811" s="60"/>
    </row>
    <row r="812">
      <c r="A812" s="60"/>
      <c r="B812" s="60"/>
    </row>
    <row r="813">
      <c r="A813" s="60"/>
      <c r="B813" s="60"/>
    </row>
    <row r="814">
      <c r="A814" s="60"/>
      <c r="B814" s="60"/>
    </row>
    <row r="815">
      <c r="A815" s="60"/>
      <c r="B815" s="60"/>
    </row>
    <row r="816">
      <c r="A816" s="60"/>
      <c r="B816" s="60"/>
    </row>
    <row r="817">
      <c r="A817" s="60"/>
      <c r="B817" s="60"/>
    </row>
    <row r="818">
      <c r="A818" s="60"/>
      <c r="B818" s="60"/>
    </row>
    <row r="819">
      <c r="A819" s="60"/>
      <c r="B819" s="60"/>
    </row>
    <row r="820">
      <c r="A820" s="60"/>
      <c r="B820" s="60"/>
    </row>
    <row r="821">
      <c r="A821" s="60"/>
      <c r="B821" s="60"/>
    </row>
    <row r="822">
      <c r="A822" s="60"/>
      <c r="B822" s="60"/>
    </row>
    <row r="823">
      <c r="A823" s="60"/>
      <c r="B823" s="60"/>
    </row>
    <row r="824">
      <c r="A824" s="60"/>
      <c r="B824" s="60"/>
    </row>
    <row r="825">
      <c r="A825" s="60"/>
      <c r="B825" s="60"/>
    </row>
    <row r="826">
      <c r="A826" s="60"/>
      <c r="B826" s="60"/>
    </row>
    <row r="827">
      <c r="A827" s="60"/>
      <c r="B827" s="60"/>
    </row>
    <row r="828">
      <c r="A828" s="60"/>
      <c r="B828" s="60"/>
    </row>
    <row r="829">
      <c r="A829" s="60"/>
      <c r="B829" s="60"/>
    </row>
    <row r="830">
      <c r="A830" s="60"/>
      <c r="B830" s="60"/>
    </row>
    <row r="831">
      <c r="A831" s="60"/>
      <c r="B831" s="60"/>
    </row>
    <row r="832">
      <c r="A832" s="60"/>
      <c r="B832" s="60"/>
    </row>
    <row r="833">
      <c r="A833" s="60"/>
      <c r="B833" s="60"/>
    </row>
    <row r="834">
      <c r="A834" s="60"/>
      <c r="B834" s="60"/>
    </row>
    <row r="835">
      <c r="A835" s="60"/>
      <c r="B835" s="60"/>
    </row>
    <row r="836">
      <c r="A836" s="60"/>
      <c r="B836" s="60"/>
    </row>
    <row r="837">
      <c r="A837" s="60"/>
      <c r="B837" s="60"/>
    </row>
    <row r="838">
      <c r="A838" s="60"/>
      <c r="B838" s="60"/>
    </row>
    <row r="839">
      <c r="A839" s="60"/>
      <c r="B839" s="60"/>
    </row>
    <row r="840">
      <c r="A840" s="60"/>
      <c r="B840" s="60"/>
    </row>
    <row r="841">
      <c r="A841" s="60"/>
      <c r="B841" s="60"/>
    </row>
    <row r="842">
      <c r="A842" s="60"/>
      <c r="B842" s="60"/>
    </row>
    <row r="843">
      <c r="A843" s="60"/>
      <c r="B843" s="60"/>
    </row>
    <row r="844">
      <c r="A844" s="60"/>
      <c r="B844" s="60"/>
    </row>
    <row r="845">
      <c r="A845" s="60"/>
      <c r="B845" s="60"/>
    </row>
    <row r="846">
      <c r="A846" s="60"/>
      <c r="B846" s="60"/>
    </row>
    <row r="847">
      <c r="A847" s="60"/>
      <c r="B847" s="60"/>
    </row>
    <row r="848">
      <c r="A848" s="60"/>
      <c r="B848" s="60"/>
    </row>
    <row r="849">
      <c r="A849" s="60"/>
      <c r="B849" s="60"/>
    </row>
    <row r="850">
      <c r="A850" s="60"/>
      <c r="B850" s="60"/>
    </row>
    <row r="851">
      <c r="A851" s="60"/>
      <c r="B851" s="60"/>
    </row>
    <row r="852">
      <c r="A852" s="60"/>
      <c r="B852" s="60"/>
    </row>
    <row r="853">
      <c r="A853" s="60"/>
      <c r="B853" s="60"/>
    </row>
    <row r="854">
      <c r="A854" s="60"/>
      <c r="B854" s="60"/>
    </row>
    <row r="855">
      <c r="A855" s="60"/>
      <c r="B855" s="60"/>
    </row>
    <row r="856">
      <c r="A856" s="60"/>
      <c r="B856" s="60"/>
    </row>
    <row r="857">
      <c r="A857" s="60"/>
      <c r="B857" s="60"/>
    </row>
    <row r="858">
      <c r="A858" s="60"/>
      <c r="B858" s="60"/>
    </row>
    <row r="859">
      <c r="A859" s="60"/>
      <c r="B859" s="60"/>
    </row>
    <row r="860">
      <c r="A860" s="60"/>
      <c r="B860" s="60"/>
    </row>
    <row r="861">
      <c r="A861" s="60"/>
      <c r="B861" s="60"/>
    </row>
    <row r="862">
      <c r="A862" s="60"/>
      <c r="B862" s="60"/>
    </row>
    <row r="863">
      <c r="A863" s="60"/>
      <c r="B863" s="60"/>
    </row>
    <row r="864">
      <c r="A864" s="60"/>
      <c r="B864" s="60"/>
    </row>
    <row r="865">
      <c r="A865" s="60"/>
      <c r="B865" s="60"/>
    </row>
    <row r="866">
      <c r="A866" s="60"/>
      <c r="B866" s="60"/>
    </row>
    <row r="867">
      <c r="A867" s="60"/>
      <c r="B867" s="60"/>
    </row>
    <row r="868">
      <c r="A868" s="60"/>
      <c r="B868" s="60"/>
    </row>
    <row r="869">
      <c r="A869" s="60"/>
      <c r="B869" s="60"/>
    </row>
    <row r="870">
      <c r="A870" s="60"/>
      <c r="B870" s="60"/>
    </row>
    <row r="871">
      <c r="A871" s="60"/>
      <c r="B871" s="60"/>
    </row>
    <row r="872">
      <c r="A872" s="60"/>
      <c r="B872" s="60"/>
    </row>
    <row r="873">
      <c r="A873" s="60"/>
      <c r="B873" s="60"/>
    </row>
    <row r="874">
      <c r="A874" s="60"/>
      <c r="B874" s="60"/>
    </row>
    <row r="875">
      <c r="A875" s="60"/>
      <c r="B875" s="60"/>
    </row>
    <row r="876">
      <c r="A876" s="60"/>
      <c r="B876" s="60"/>
    </row>
    <row r="877">
      <c r="A877" s="60"/>
      <c r="B877" s="60"/>
    </row>
    <row r="878">
      <c r="A878" s="60"/>
      <c r="B878" s="60"/>
    </row>
    <row r="879">
      <c r="A879" s="60"/>
      <c r="B879" s="60"/>
    </row>
    <row r="880">
      <c r="A880" s="60"/>
      <c r="B880" s="60"/>
    </row>
    <row r="881">
      <c r="A881" s="60"/>
      <c r="B881" s="60"/>
    </row>
    <row r="882">
      <c r="A882" s="60"/>
      <c r="B882" s="60"/>
    </row>
    <row r="883">
      <c r="A883" s="60"/>
      <c r="B883" s="60"/>
    </row>
    <row r="884">
      <c r="A884" s="60"/>
      <c r="B884" s="60"/>
    </row>
    <row r="885">
      <c r="A885" s="60"/>
      <c r="B885" s="60"/>
    </row>
    <row r="886">
      <c r="A886" s="60"/>
      <c r="B886" s="60"/>
    </row>
    <row r="887">
      <c r="A887" s="60"/>
      <c r="B887" s="60"/>
    </row>
    <row r="888">
      <c r="A888" s="60"/>
      <c r="B888" s="60"/>
    </row>
    <row r="889">
      <c r="A889" s="60"/>
      <c r="B889" s="60"/>
    </row>
    <row r="890">
      <c r="A890" s="60"/>
      <c r="B890" s="60"/>
    </row>
    <row r="891">
      <c r="A891" s="60"/>
      <c r="B891" s="60"/>
    </row>
    <row r="892">
      <c r="A892" s="60"/>
      <c r="B892" s="60"/>
    </row>
    <row r="893">
      <c r="A893" s="60"/>
      <c r="B893" s="60"/>
    </row>
    <row r="894">
      <c r="A894" s="60"/>
      <c r="B894" s="60"/>
    </row>
    <row r="895">
      <c r="A895" s="60"/>
      <c r="B895" s="60"/>
    </row>
    <row r="896">
      <c r="A896" s="60"/>
      <c r="B896" s="60"/>
    </row>
    <row r="897">
      <c r="A897" s="60"/>
      <c r="B897" s="60"/>
    </row>
    <row r="898">
      <c r="A898" s="60"/>
      <c r="B898" s="60"/>
    </row>
    <row r="899">
      <c r="A899" s="60"/>
      <c r="B899" s="60"/>
    </row>
    <row r="900">
      <c r="A900" s="60"/>
      <c r="B900" s="60"/>
    </row>
    <row r="901">
      <c r="A901" s="60"/>
      <c r="B901" s="60"/>
    </row>
    <row r="902">
      <c r="A902" s="60"/>
      <c r="B902" s="60"/>
    </row>
    <row r="903">
      <c r="A903" s="60"/>
      <c r="B903" s="60"/>
    </row>
    <row r="904">
      <c r="A904" s="60"/>
      <c r="B904" s="60"/>
    </row>
    <row r="905">
      <c r="A905" s="60"/>
      <c r="B905" s="60"/>
    </row>
    <row r="906">
      <c r="A906" s="60"/>
      <c r="B906" s="60"/>
    </row>
    <row r="907">
      <c r="A907" s="60"/>
      <c r="B907" s="60"/>
    </row>
    <row r="908">
      <c r="A908" s="60"/>
      <c r="B908" s="60"/>
    </row>
    <row r="909">
      <c r="A909" s="60"/>
      <c r="B909" s="60"/>
    </row>
    <row r="910">
      <c r="A910" s="60"/>
      <c r="B910" s="60"/>
    </row>
    <row r="911">
      <c r="A911" s="60"/>
      <c r="B911" s="60"/>
    </row>
    <row r="912">
      <c r="A912" s="60"/>
      <c r="B912" s="60"/>
    </row>
    <row r="913">
      <c r="A913" s="60"/>
      <c r="B913" s="60"/>
    </row>
    <row r="914">
      <c r="A914" s="60"/>
      <c r="B914" s="60"/>
    </row>
    <row r="915">
      <c r="A915" s="60"/>
      <c r="B915" s="60"/>
    </row>
    <row r="916">
      <c r="A916" s="60"/>
      <c r="B916" s="60"/>
    </row>
    <row r="917">
      <c r="A917" s="60"/>
      <c r="B917" s="60"/>
    </row>
    <row r="918">
      <c r="A918" s="60"/>
      <c r="B918" s="60"/>
    </row>
    <row r="919">
      <c r="A919" s="60"/>
      <c r="B919" s="60"/>
    </row>
    <row r="920">
      <c r="A920" s="60"/>
      <c r="B920" s="60"/>
    </row>
    <row r="921">
      <c r="A921" s="60"/>
      <c r="B921" s="60"/>
    </row>
    <row r="922">
      <c r="A922" s="60"/>
      <c r="B922" s="60"/>
    </row>
    <row r="923">
      <c r="A923" s="60"/>
      <c r="B923" s="60"/>
    </row>
    <row r="924">
      <c r="A924" s="60"/>
      <c r="B924" s="60"/>
    </row>
    <row r="925">
      <c r="A925" s="60"/>
      <c r="B925" s="60"/>
    </row>
    <row r="926">
      <c r="A926" s="60"/>
      <c r="B926" s="60"/>
    </row>
    <row r="927">
      <c r="A927" s="60"/>
      <c r="B927" s="60"/>
    </row>
    <row r="928">
      <c r="A928" s="60"/>
      <c r="B928" s="60"/>
    </row>
    <row r="929">
      <c r="A929" s="60"/>
      <c r="B929" s="60"/>
    </row>
    <row r="930">
      <c r="A930" s="60"/>
      <c r="B930" s="60"/>
    </row>
    <row r="931">
      <c r="A931" s="60"/>
      <c r="B931" s="60"/>
    </row>
    <row r="932">
      <c r="A932" s="60"/>
      <c r="B932" s="60"/>
    </row>
    <row r="933">
      <c r="A933" s="60"/>
      <c r="B933" s="60"/>
    </row>
    <row r="934">
      <c r="A934" s="60"/>
      <c r="B934" s="60"/>
    </row>
    <row r="935">
      <c r="A935" s="60"/>
      <c r="B935" s="60"/>
    </row>
    <row r="936">
      <c r="A936" s="60"/>
      <c r="B936" s="60"/>
    </row>
    <row r="937">
      <c r="A937" s="60"/>
      <c r="B937" s="60"/>
    </row>
    <row r="938">
      <c r="A938" s="60"/>
      <c r="B938" s="60"/>
    </row>
    <row r="939">
      <c r="A939" s="60"/>
      <c r="B939" s="60"/>
    </row>
    <row r="940">
      <c r="A940" s="60"/>
      <c r="B940" s="60"/>
    </row>
    <row r="941">
      <c r="A941" s="60"/>
      <c r="B941" s="60"/>
    </row>
    <row r="942">
      <c r="A942" s="60"/>
      <c r="B942" s="60"/>
    </row>
    <row r="943">
      <c r="A943" s="60"/>
      <c r="B943" s="60"/>
    </row>
    <row r="944">
      <c r="A944" s="60"/>
      <c r="B944" s="60"/>
    </row>
    <row r="945">
      <c r="A945" s="60"/>
      <c r="B945" s="60"/>
    </row>
    <row r="946">
      <c r="A946" s="60"/>
      <c r="B946" s="60"/>
    </row>
    <row r="947">
      <c r="A947" s="60"/>
      <c r="B947" s="60"/>
    </row>
    <row r="948">
      <c r="A948" s="60"/>
      <c r="B948" s="60"/>
    </row>
    <row r="949">
      <c r="A949" s="60"/>
      <c r="B949" s="60"/>
    </row>
    <row r="950">
      <c r="A950" s="60"/>
      <c r="B950" s="60"/>
    </row>
    <row r="951">
      <c r="A951" s="60"/>
      <c r="B951" s="60"/>
    </row>
    <row r="952">
      <c r="A952" s="60"/>
      <c r="B952" s="60"/>
    </row>
    <row r="953">
      <c r="A953" s="60"/>
      <c r="B953" s="60"/>
    </row>
    <row r="954">
      <c r="A954" s="60"/>
      <c r="B954" s="60"/>
    </row>
    <row r="955">
      <c r="A955" s="60"/>
      <c r="B955" s="60"/>
    </row>
    <row r="956">
      <c r="A956" s="60"/>
      <c r="B956" s="60"/>
    </row>
    <row r="957">
      <c r="A957" s="60"/>
      <c r="B957" s="60"/>
    </row>
    <row r="958">
      <c r="A958" s="60"/>
      <c r="B958" s="60"/>
    </row>
    <row r="959">
      <c r="A959" s="60"/>
      <c r="B959" s="60"/>
    </row>
    <row r="960">
      <c r="A960" s="60"/>
      <c r="B960" s="60"/>
    </row>
    <row r="961">
      <c r="A961" s="60"/>
      <c r="B961" s="60"/>
    </row>
    <row r="962">
      <c r="A962" s="60"/>
      <c r="B962" s="60"/>
    </row>
    <row r="963">
      <c r="A963" s="60"/>
      <c r="B963" s="60"/>
    </row>
    <row r="964">
      <c r="A964" s="60"/>
      <c r="B964" s="60"/>
    </row>
    <row r="965">
      <c r="A965" s="60"/>
      <c r="B965" s="60"/>
    </row>
    <row r="966">
      <c r="A966" s="60"/>
      <c r="B966" s="60"/>
    </row>
    <row r="967">
      <c r="A967" s="60"/>
      <c r="B967" s="60"/>
    </row>
    <row r="968">
      <c r="A968" s="60"/>
      <c r="B968" s="60"/>
    </row>
    <row r="969">
      <c r="A969" s="60"/>
      <c r="B969" s="60"/>
    </row>
    <row r="970">
      <c r="A970" s="60"/>
      <c r="B970" s="60"/>
    </row>
    <row r="971">
      <c r="A971" s="60"/>
      <c r="B971" s="60"/>
    </row>
    <row r="972">
      <c r="A972" s="60"/>
      <c r="B972" s="60"/>
    </row>
    <row r="973">
      <c r="A973" s="60"/>
      <c r="B973" s="60"/>
    </row>
    <row r="974">
      <c r="A974" s="60"/>
      <c r="B974" s="60"/>
    </row>
    <row r="975">
      <c r="A975" s="60"/>
      <c r="B975" s="60"/>
    </row>
    <row r="976">
      <c r="A976" s="60"/>
      <c r="B976" s="60"/>
    </row>
    <row r="977">
      <c r="A977" s="60"/>
      <c r="B977" s="60"/>
    </row>
    <row r="978">
      <c r="A978" s="60"/>
      <c r="B978" s="60"/>
    </row>
    <row r="979">
      <c r="A979" s="60"/>
      <c r="B979" s="60"/>
    </row>
    <row r="980">
      <c r="A980" s="60"/>
      <c r="B980" s="60"/>
    </row>
    <row r="981">
      <c r="A981" s="60"/>
      <c r="B981" s="60"/>
    </row>
    <row r="982">
      <c r="A982" s="60"/>
      <c r="B982" s="60"/>
    </row>
    <row r="983">
      <c r="A983" s="60"/>
      <c r="B983" s="60"/>
    </row>
    <row r="984">
      <c r="A984" s="60"/>
      <c r="B984" s="60"/>
    </row>
    <row r="985">
      <c r="A985" s="60"/>
      <c r="B985" s="60"/>
    </row>
    <row r="986">
      <c r="A986" s="60"/>
      <c r="B986" s="60"/>
    </row>
    <row r="987">
      <c r="A987" s="60"/>
      <c r="B987" s="60"/>
    </row>
    <row r="988">
      <c r="A988" s="60"/>
      <c r="B988" s="60"/>
    </row>
    <row r="989">
      <c r="A989" s="60"/>
      <c r="B989" s="60"/>
    </row>
    <row r="990">
      <c r="A990" s="60"/>
      <c r="B990" s="60"/>
    </row>
    <row r="991">
      <c r="A991" s="60"/>
      <c r="B991" s="60"/>
    </row>
    <row r="992">
      <c r="A992" s="60"/>
      <c r="B992" s="60"/>
    </row>
    <row r="993">
      <c r="A993" s="60"/>
      <c r="B993" s="60"/>
    </row>
    <row r="994">
      <c r="A994" s="60"/>
      <c r="B994" s="60"/>
    </row>
    <row r="995">
      <c r="A995" s="60"/>
      <c r="B995" s="60"/>
    </row>
    <row r="996">
      <c r="A996" s="60"/>
      <c r="B996" s="60"/>
    </row>
    <row r="997">
      <c r="A997" s="60"/>
      <c r="B997" s="60"/>
    </row>
    <row r="998">
      <c r="A998" s="60"/>
      <c r="B998" s="60"/>
    </row>
    <row r="999">
      <c r="A999" s="60"/>
      <c r="B999" s="60"/>
    </row>
    <row r="1000">
      <c r="A1000" s="60"/>
      <c r="B1000" s="60"/>
    </row>
  </sheetData>
  <autoFilter ref="$A$1:$D$344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77" t="s">
        <v>714</v>
      </c>
      <c r="B1" s="77" t="s">
        <v>1</v>
      </c>
      <c r="C1" s="105" t="s">
        <v>864</v>
      </c>
      <c r="D1" s="105" t="s">
        <v>865</v>
      </c>
    </row>
    <row r="2" ht="15.0" customHeight="1">
      <c r="A2" s="133">
        <v>10101.0</v>
      </c>
      <c r="B2" s="134" t="s">
        <v>34</v>
      </c>
      <c r="C2" s="136">
        <v>312676.53892423376</v>
      </c>
      <c r="D2" s="136">
        <v>372204.6342083518</v>
      </c>
    </row>
    <row r="3" ht="15.0" customHeight="1">
      <c r="A3" s="133">
        <v>10102.0</v>
      </c>
      <c r="B3" s="134" t="s">
        <v>50</v>
      </c>
      <c r="C3" s="136">
        <v>116.00811161834616</v>
      </c>
      <c r="D3" s="136">
        <v>682.723046897727</v>
      </c>
    </row>
    <row r="4" ht="15.0" customHeight="1">
      <c r="A4" s="133">
        <v>10103.0</v>
      </c>
      <c r="B4" s="134" t="s">
        <v>29</v>
      </c>
      <c r="C4" s="136">
        <v>19.91800801191477</v>
      </c>
      <c r="D4" s="136">
        <v>15.230188217709998</v>
      </c>
    </row>
    <row r="5" ht="15.0" customHeight="1">
      <c r="A5" s="133">
        <v>10201.0</v>
      </c>
      <c r="B5" s="134" t="s">
        <v>739</v>
      </c>
      <c r="C5" s="136">
        <v>54.58813940087834</v>
      </c>
      <c r="D5" s="136">
        <v>40.52311788622457</v>
      </c>
    </row>
    <row r="6" ht="15.0" customHeight="1">
      <c r="A6" s="133">
        <v>10202.0</v>
      </c>
      <c r="B6" s="134" t="s">
        <v>743</v>
      </c>
      <c r="C6" s="136">
        <v>4.079713466458065</v>
      </c>
      <c r="D6" s="136">
        <v>4.618310228760695</v>
      </c>
    </row>
    <row r="7" ht="15.0" customHeight="1">
      <c r="A7" s="133">
        <v>10301.0</v>
      </c>
      <c r="B7" s="134" t="s">
        <v>744</v>
      </c>
      <c r="C7" s="136">
        <v>18.875998711369125</v>
      </c>
      <c r="D7" s="136">
        <v>3225.85614040304</v>
      </c>
    </row>
    <row r="8" ht="15.0" customHeight="1">
      <c r="A8" s="133">
        <v>10302.0</v>
      </c>
      <c r="B8" s="134" t="s">
        <v>745</v>
      </c>
      <c r="C8" s="136">
        <v>0.0</v>
      </c>
      <c r="D8" s="136">
        <v>0.0</v>
      </c>
    </row>
    <row r="9" ht="15.0" customHeight="1">
      <c r="A9" s="133">
        <v>10303.0</v>
      </c>
      <c r="B9" s="134" t="s">
        <v>746</v>
      </c>
      <c r="C9" s="136">
        <v>41.831710889196316</v>
      </c>
      <c r="D9" s="136">
        <v>258.4279646867999</v>
      </c>
    </row>
    <row r="10" ht="15.0" customHeight="1">
      <c r="A10" s="133">
        <v>10304.0</v>
      </c>
      <c r="B10" s="134" t="s">
        <v>747</v>
      </c>
      <c r="C10" s="136">
        <v>20.915855444598158</v>
      </c>
      <c r="D10" s="136">
        <v>4.618310228760695</v>
      </c>
    </row>
    <row r="11" ht="15.0" customHeight="1">
      <c r="A11" s="133">
        <v>10401.0</v>
      </c>
      <c r="B11" s="134" t="s">
        <v>27</v>
      </c>
      <c r="C11" s="136">
        <v>51.41117556309308</v>
      </c>
      <c r="D11" s="136">
        <v>1218.6962551058925</v>
      </c>
    </row>
    <row r="12" ht="15.0" customHeight="1">
      <c r="A12" s="133">
        <v>10402.0</v>
      </c>
      <c r="B12" s="134" t="s">
        <v>748</v>
      </c>
      <c r="C12" s="136">
        <v>58.66785286733641</v>
      </c>
      <c r="D12" s="136">
        <v>1229.2878333874878</v>
      </c>
    </row>
    <row r="13" ht="15.0" customHeight="1">
      <c r="A13" s="133">
        <v>10403.0</v>
      </c>
      <c r="B13" s="134" t="s">
        <v>33</v>
      </c>
      <c r="C13" s="136">
        <v>15.634985114397782</v>
      </c>
      <c r="D13" s="136">
        <v>428.72126803595506</v>
      </c>
    </row>
    <row r="14" ht="15.0" customHeight="1">
      <c r="A14" s="133">
        <v>10404.0</v>
      </c>
      <c r="B14" s="134" t="s">
        <v>10</v>
      </c>
      <c r="C14" s="136">
        <v>0.0</v>
      </c>
      <c r="D14" s="136">
        <v>0.0</v>
      </c>
    </row>
    <row r="15" ht="15.0" customHeight="1">
      <c r="A15" s="133">
        <v>10405.0</v>
      </c>
      <c r="B15" s="134" t="s">
        <v>23</v>
      </c>
      <c r="C15" s="136">
        <v>4.5290968434383885</v>
      </c>
      <c r="D15" s="136">
        <v>4.227904987071646</v>
      </c>
    </row>
    <row r="16" ht="15.0" customHeight="1">
      <c r="A16" s="133">
        <v>10501.0</v>
      </c>
      <c r="B16" s="134" t="s">
        <v>750</v>
      </c>
      <c r="C16" s="136">
        <v>6926.532532008538</v>
      </c>
      <c r="D16" s="136">
        <v>10127.536661467715</v>
      </c>
    </row>
    <row r="17" ht="15.0" customHeight="1">
      <c r="A17" s="133">
        <v>10502.0</v>
      </c>
      <c r="B17" s="134" t="s">
        <v>751</v>
      </c>
      <c r="C17" s="136">
        <v>8.15942693291613</v>
      </c>
      <c r="D17" s="136">
        <v>9.23662045752139</v>
      </c>
    </row>
    <row r="18" ht="15.0" customHeight="1">
      <c r="A18" s="133">
        <v>10601.0</v>
      </c>
      <c r="B18" s="134" t="s">
        <v>38</v>
      </c>
      <c r="C18" s="136">
        <v>165.75902578045788</v>
      </c>
      <c r="D18" s="136">
        <v>107.36786636952726</v>
      </c>
    </row>
    <row r="19" ht="15.0" customHeight="1">
      <c r="A19" s="133">
        <v>10602.0</v>
      </c>
      <c r="B19" s="134" t="s">
        <v>49</v>
      </c>
      <c r="C19" s="136">
        <v>383.3884333229872</v>
      </c>
      <c r="D19" s="136">
        <v>1201.4001254636937</v>
      </c>
    </row>
    <row r="20" ht="15.0" customHeight="1">
      <c r="A20" s="133">
        <v>10701.0</v>
      </c>
      <c r="B20" s="134" t="s">
        <v>13</v>
      </c>
      <c r="C20" s="136">
        <v>674.6324021820892</v>
      </c>
      <c r="D20" s="136">
        <v>1223.8851231980682</v>
      </c>
    </row>
    <row r="21" ht="15.0" customHeight="1">
      <c r="A21" s="133">
        <v>10702.0</v>
      </c>
      <c r="B21" s="134" t="s">
        <v>30</v>
      </c>
      <c r="C21" s="136">
        <v>245.5267205262069</v>
      </c>
      <c r="D21" s="136">
        <v>625.2505840555434</v>
      </c>
    </row>
    <row r="22" ht="15.0" customHeight="1">
      <c r="A22" s="133">
        <v>10703.0</v>
      </c>
      <c r="B22" s="134" t="s">
        <v>24</v>
      </c>
      <c r="C22" s="136">
        <v>203.88547977168147</v>
      </c>
      <c r="D22" s="136">
        <v>148.70474976788663</v>
      </c>
    </row>
    <row r="23" ht="15.0" customHeight="1">
      <c r="A23" s="133">
        <v>10704.0</v>
      </c>
      <c r="B23" s="134" t="s">
        <v>752</v>
      </c>
      <c r="C23" s="136">
        <v>0.0</v>
      </c>
      <c r="D23" s="136">
        <v>0.0</v>
      </c>
    </row>
    <row r="24" ht="15.0" customHeight="1">
      <c r="A24" s="133">
        <v>10801.0</v>
      </c>
      <c r="B24" s="134" t="s">
        <v>45</v>
      </c>
      <c r="C24" s="136">
        <v>241.42798877521383</v>
      </c>
      <c r="D24" s="136">
        <v>953.4616114377791</v>
      </c>
    </row>
    <row r="25" ht="15.0" customHeight="1">
      <c r="A25" s="133">
        <v>10901.0</v>
      </c>
      <c r="B25" s="134" t="s">
        <v>753</v>
      </c>
      <c r="C25" s="136">
        <v>18.875998711369125</v>
      </c>
      <c r="D25" s="136">
        <v>14.277424333534972</v>
      </c>
    </row>
    <row r="26" ht="15.0" customHeight="1">
      <c r="A26" s="133">
        <v>10902.0</v>
      </c>
      <c r="B26" s="134" t="s">
        <v>22</v>
      </c>
      <c r="C26" s="136">
        <v>569.5984467248785</v>
      </c>
      <c r="D26" s="136">
        <v>510.36425953799386</v>
      </c>
    </row>
    <row r="27" ht="15.0" customHeight="1">
      <c r="A27" s="133">
        <v>10903.0</v>
      </c>
      <c r="B27" s="134" t="s">
        <v>25</v>
      </c>
      <c r="C27" s="136">
        <v>88.34910587077938</v>
      </c>
      <c r="D27" s="136">
        <v>65.13124114358982</v>
      </c>
    </row>
    <row r="28">
      <c r="A28" s="133">
        <v>11001.0</v>
      </c>
      <c r="B28" s="134" t="s">
        <v>754</v>
      </c>
      <c r="C28" s="136">
        <v>45.911424355654376</v>
      </c>
      <c r="D28" s="136">
        <v>37.79146912459133</v>
      </c>
    </row>
    <row r="29">
      <c r="A29" s="133">
        <v>11002.0</v>
      </c>
      <c r="B29" s="134" t="s">
        <v>755</v>
      </c>
      <c r="C29" s="136">
        <v>0.0</v>
      </c>
      <c r="D29" s="136">
        <v>0.0</v>
      </c>
    </row>
    <row r="30">
      <c r="A30" s="133">
        <v>11003.0</v>
      </c>
      <c r="B30" s="134" t="s">
        <v>26</v>
      </c>
      <c r="C30" s="136">
        <v>59.548907143805714</v>
      </c>
      <c r="D30" s="136">
        <v>40.731723415448236</v>
      </c>
    </row>
    <row r="31">
      <c r="A31" s="133">
        <v>20101.0</v>
      </c>
      <c r="B31" s="134" t="s">
        <v>756</v>
      </c>
      <c r="C31" s="136">
        <v>1267300.4486619204</v>
      </c>
      <c r="D31" s="136">
        <v>1337652.778784296</v>
      </c>
    </row>
    <row r="32">
      <c r="A32" s="133">
        <v>20102.0</v>
      </c>
      <c r="B32" s="134" t="s">
        <v>89</v>
      </c>
      <c r="C32" s="136">
        <v>240.69458511004854</v>
      </c>
      <c r="D32" s="136">
        <v>13436.65815913808</v>
      </c>
    </row>
    <row r="33">
      <c r="A33" s="133">
        <v>20103.0</v>
      </c>
      <c r="B33" s="134" t="s">
        <v>87</v>
      </c>
      <c r="C33" s="136">
        <v>579.5410150342486</v>
      </c>
      <c r="D33" s="136">
        <v>5411.714535027229</v>
      </c>
    </row>
    <row r="34">
      <c r="A34" s="133">
        <v>20104.0</v>
      </c>
      <c r="B34" s="134" t="s">
        <v>54</v>
      </c>
      <c r="C34" s="136">
        <v>13694.039847657205</v>
      </c>
      <c r="D34" s="136">
        <v>244834.24071821588</v>
      </c>
    </row>
    <row r="35">
      <c r="A35" s="133">
        <v>20105.0</v>
      </c>
      <c r="B35" s="134" t="s">
        <v>74</v>
      </c>
      <c r="C35" s="136">
        <v>681419.916839357</v>
      </c>
      <c r="D35" s="136">
        <v>768090.1587099102</v>
      </c>
    </row>
    <row r="36">
      <c r="A36" s="133">
        <v>20201.0</v>
      </c>
      <c r="B36" s="134" t="s">
        <v>52</v>
      </c>
      <c r="C36" s="136">
        <v>962.2562617006973</v>
      </c>
      <c r="D36" s="136">
        <v>13961.117015477708</v>
      </c>
    </row>
    <row r="37">
      <c r="A37" s="133">
        <v>20202.0</v>
      </c>
      <c r="B37" s="134" t="s">
        <v>757</v>
      </c>
      <c r="C37" s="136">
        <v>0.0</v>
      </c>
      <c r="D37" s="136">
        <v>8738.661384127623</v>
      </c>
    </row>
    <row r="38">
      <c r="A38" s="133">
        <v>20203.0</v>
      </c>
      <c r="B38" s="134" t="s">
        <v>319</v>
      </c>
      <c r="C38" s="136">
        <v>0.0</v>
      </c>
      <c r="D38" s="136">
        <v>3937.9338920802256</v>
      </c>
    </row>
    <row r="39">
      <c r="A39" s="133">
        <v>20204.0</v>
      </c>
      <c r="B39" s="134" t="s">
        <v>79</v>
      </c>
      <c r="C39" s="136">
        <v>0.0</v>
      </c>
      <c r="D39" s="136">
        <v>19929.031159627233</v>
      </c>
    </row>
    <row r="40">
      <c r="A40" s="133">
        <v>20205.0</v>
      </c>
      <c r="B40" s="134" t="s">
        <v>96</v>
      </c>
      <c r="C40" s="136">
        <v>0.0</v>
      </c>
      <c r="D40" s="136">
        <v>22078.54990425597</v>
      </c>
    </row>
    <row r="41">
      <c r="A41" s="133">
        <v>20206.0</v>
      </c>
      <c r="B41" s="134" t="s">
        <v>80</v>
      </c>
      <c r="C41" s="136">
        <v>0.0</v>
      </c>
      <c r="D41" s="136">
        <v>16442.217163533853</v>
      </c>
    </row>
    <row r="42">
      <c r="A42" s="133">
        <v>20301.0</v>
      </c>
      <c r="B42" s="134" t="s">
        <v>758</v>
      </c>
      <c r="C42" s="136">
        <v>20.662586767494762</v>
      </c>
      <c r="D42" s="136">
        <v>1586.448080225149</v>
      </c>
    </row>
    <row r="43">
      <c r="A43" s="133">
        <v>20302.0</v>
      </c>
      <c r="B43" s="134" t="s">
        <v>62</v>
      </c>
      <c r="C43" s="136">
        <v>34.9665085672088</v>
      </c>
      <c r="D43" s="136">
        <v>36.0305331837151</v>
      </c>
    </row>
    <row r="44">
      <c r="A44" s="133">
        <v>20303.0</v>
      </c>
      <c r="B44" s="134" t="s">
        <v>60</v>
      </c>
      <c r="C44" s="136">
        <v>55.39613490000446</v>
      </c>
      <c r="D44" s="136">
        <v>944.7287110515481</v>
      </c>
    </row>
    <row r="45">
      <c r="A45" s="133">
        <v>20304.0</v>
      </c>
      <c r="B45" s="134" t="s">
        <v>759</v>
      </c>
      <c r="C45" s="136">
        <v>0.0</v>
      </c>
      <c r="D45" s="136">
        <v>0.0</v>
      </c>
    </row>
    <row r="46">
      <c r="A46" s="133">
        <v>20305.0</v>
      </c>
      <c r="B46" s="134" t="s">
        <v>64</v>
      </c>
      <c r="C46" s="136">
        <v>18.106450686786722</v>
      </c>
      <c r="D46" s="136">
        <v>1498.779024317988</v>
      </c>
    </row>
    <row r="47">
      <c r="A47" s="133">
        <v>20306.0</v>
      </c>
      <c r="B47" s="134" t="s">
        <v>760</v>
      </c>
      <c r="C47" s="136">
        <v>0.0</v>
      </c>
      <c r="D47" s="136">
        <v>1043.4847480469043</v>
      </c>
    </row>
    <row r="48">
      <c r="A48" s="133">
        <v>20307.0</v>
      </c>
      <c r="B48" s="134" t="s">
        <v>761</v>
      </c>
      <c r="C48" s="136">
        <v>0.0</v>
      </c>
      <c r="D48" s="136">
        <v>0.0</v>
      </c>
    </row>
    <row r="49">
      <c r="A49" s="133">
        <v>20308.0</v>
      </c>
      <c r="B49" s="134" t="s">
        <v>388</v>
      </c>
      <c r="C49" s="136">
        <v>0.0</v>
      </c>
      <c r="D49" s="136">
        <v>126.01491944720318</v>
      </c>
    </row>
    <row r="50">
      <c r="A50" s="133">
        <v>20401.0</v>
      </c>
      <c r="B50" s="134" t="s">
        <v>93</v>
      </c>
      <c r="C50" s="136">
        <v>78.4635981339724</v>
      </c>
      <c r="D50" s="136">
        <v>15171.872928321049</v>
      </c>
    </row>
    <row r="51">
      <c r="A51" s="133">
        <v>20402.0</v>
      </c>
      <c r="B51" s="134" t="s">
        <v>762</v>
      </c>
      <c r="C51" s="136">
        <v>23.60538045410993</v>
      </c>
      <c r="D51" s="136">
        <v>445.5864901406711</v>
      </c>
    </row>
    <row r="52">
      <c r="A52" s="133">
        <v>20403.0</v>
      </c>
      <c r="B52" s="134" t="s">
        <v>763</v>
      </c>
      <c r="C52" s="136">
        <v>0.0</v>
      </c>
      <c r="D52" s="136">
        <v>6411.00671388332</v>
      </c>
    </row>
    <row r="53">
      <c r="A53" s="133">
        <v>20404.0</v>
      </c>
      <c r="B53" s="134" t="s">
        <v>346</v>
      </c>
      <c r="C53" s="136">
        <v>0.0</v>
      </c>
      <c r="D53" s="136">
        <v>2217.3759019049235</v>
      </c>
    </row>
    <row r="54">
      <c r="A54" s="133">
        <v>20405.0</v>
      </c>
      <c r="B54" s="134" t="s">
        <v>339</v>
      </c>
      <c r="C54" s="136">
        <v>0.0</v>
      </c>
      <c r="D54" s="136">
        <v>1095.7223415937365</v>
      </c>
    </row>
    <row r="55">
      <c r="A55" s="133">
        <v>20501.0</v>
      </c>
      <c r="B55" s="134" t="s">
        <v>66</v>
      </c>
      <c r="C55" s="136">
        <v>8.157793774170067</v>
      </c>
      <c r="D55" s="136">
        <v>7.804494288270102</v>
      </c>
    </row>
    <row r="56">
      <c r="A56" s="133">
        <v>20502.0</v>
      </c>
      <c r="B56" s="134" t="s">
        <v>57</v>
      </c>
      <c r="C56" s="136">
        <v>0.0</v>
      </c>
      <c r="D56" s="136">
        <v>0.0</v>
      </c>
    </row>
    <row r="57">
      <c r="A57" s="133">
        <v>20503.0</v>
      </c>
      <c r="B57" s="134" t="s">
        <v>764</v>
      </c>
      <c r="C57" s="136">
        <v>0.0</v>
      </c>
      <c r="D57" s="136">
        <v>0.0</v>
      </c>
    </row>
    <row r="58">
      <c r="A58" s="133">
        <v>20601.0</v>
      </c>
      <c r="B58" s="134" t="s">
        <v>99</v>
      </c>
      <c r="C58" s="136">
        <v>91.22478174218828</v>
      </c>
      <c r="D58" s="136">
        <v>2939.3534949080604</v>
      </c>
    </row>
    <row r="59">
      <c r="A59" s="133">
        <v>20602.0</v>
      </c>
      <c r="B59" s="134" t="s">
        <v>77</v>
      </c>
      <c r="C59" s="136">
        <v>67.92678467417412</v>
      </c>
      <c r="D59" s="136">
        <v>3415.7959906741826</v>
      </c>
    </row>
    <row r="60">
      <c r="A60" s="133">
        <v>20603.0</v>
      </c>
      <c r="B60" s="134" t="s">
        <v>100</v>
      </c>
      <c r="C60" s="136">
        <v>0.0</v>
      </c>
      <c r="D60" s="136">
        <v>0.0</v>
      </c>
    </row>
    <row r="61">
      <c r="A61" s="133">
        <v>20604.0</v>
      </c>
      <c r="B61" s="134" t="s">
        <v>765</v>
      </c>
      <c r="C61" s="136">
        <v>0.0</v>
      </c>
      <c r="D61" s="136">
        <v>0.0</v>
      </c>
    </row>
    <row r="62">
      <c r="A62" s="133">
        <v>20605.0</v>
      </c>
      <c r="B62" s="134" t="s">
        <v>328</v>
      </c>
      <c r="C62" s="136">
        <v>0.0</v>
      </c>
      <c r="D62" s="136">
        <v>1055.5540992350316</v>
      </c>
    </row>
    <row r="63">
      <c r="A63" s="133">
        <v>20606.0</v>
      </c>
      <c r="B63" s="134" t="s">
        <v>766</v>
      </c>
      <c r="C63" s="136">
        <v>0.0</v>
      </c>
      <c r="D63" s="136">
        <v>0.0</v>
      </c>
    </row>
    <row r="64">
      <c r="A64" s="133">
        <v>20607.0</v>
      </c>
      <c r="B64" s="134" t="s">
        <v>767</v>
      </c>
      <c r="C64" s="136">
        <v>0.0</v>
      </c>
      <c r="D64" s="136">
        <v>0.0</v>
      </c>
    </row>
    <row r="65">
      <c r="A65" s="133">
        <v>20608.0</v>
      </c>
      <c r="B65" s="134" t="s">
        <v>768</v>
      </c>
      <c r="C65" s="136">
        <v>0.0</v>
      </c>
      <c r="D65" s="136">
        <v>0.0</v>
      </c>
    </row>
    <row r="66">
      <c r="A66" s="133">
        <v>20701.0</v>
      </c>
      <c r="B66" s="134" t="s">
        <v>299</v>
      </c>
      <c r="C66" s="136">
        <v>0.0</v>
      </c>
      <c r="D66" s="136">
        <v>145.11298521590442</v>
      </c>
    </row>
    <row r="67">
      <c r="A67" s="133">
        <v>20702.0</v>
      </c>
      <c r="B67" s="134" t="s">
        <v>373</v>
      </c>
      <c r="C67" s="136">
        <v>0.0</v>
      </c>
      <c r="D67" s="136">
        <v>1100.8357338600858</v>
      </c>
    </row>
    <row r="68">
      <c r="A68" s="133">
        <v>20801.0</v>
      </c>
      <c r="B68" s="134" t="s">
        <v>104</v>
      </c>
      <c r="C68" s="136">
        <v>50017.878791758325</v>
      </c>
      <c r="D68" s="136">
        <v>92577.7874535596</v>
      </c>
    </row>
    <row r="69">
      <c r="A69" s="133">
        <v>20802.0</v>
      </c>
      <c r="B69" s="134" t="s">
        <v>769</v>
      </c>
      <c r="C69" s="136">
        <v>44.26796722160469</v>
      </c>
      <c r="D69" s="136">
        <v>7498.91205753428</v>
      </c>
    </row>
    <row r="70">
      <c r="A70" s="133">
        <v>20803.0</v>
      </c>
      <c r="B70" s="134" t="s">
        <v>770</v>
      </c>
      <c r="C70" s="136">
        <v>2.942793686615169</v>
      </c>
      <c r="D70" s="136">
        <v>2319.410053019366</v>
      </c>
    </row>
    <row r="71">
      <c r="A71" s="133">
        <v>20804.0</v>
      </c>
      <c r="B71" s="134" t="s">
        <v>73</v>
      </c>
      <c r="C71" s="136">
        <v>46.50366946778686</v>
      </c>
      <c r="D71" s="136">
        <v>28696.120619271664</v>
      </c>
    </row>
    <row r="72">
      <c r="A72" s="133">
        <v>20805.0</v>
      </c>
      <c r="B72" s="134" t="s">
        <v>771</v>
      </c>
      <c r="C72" s="136">
        <v>0.0</v>
      </c>
      <c r="D72" s="136">
        <v>692.2079336344736</v>
      </c>
    </row>
    <row r="73">
      <c r="A73" s="133">
        <v>20806.0</v>
      </c>
      <c r="B73" s="134" t="s">
        <v>772</v>
      </c>
      <c r="C73" s="136">
        <v>269.52759322370866</v>
      </c>
      <c r="D73" s="136">
        <v>300.51618863040557</v>
      </c>
    </row>
    <row r="74">
      <c r="A74" s="133">
        <v>20807.0</v>
      </c>
      <c r="B74" s="134" t="s">
        <v>101</v>
      </c>
      <c r="C74" s="136">
        <v>0.0</v>
      </c>
      <c r="D74" s="136">
        <v>14388.512303394436</v>
      </c>
    </row>
    <row r="75">
      <c r="A75" s="133">
        <v>20901.0</v>
      </c>
      <c r="B75" s="134" t="s">
        <v>86</v>
      </c>
      <c r="C75" s="136">
        <v>351.2816894300505</v>
      </c>
      <c r="D75" s="136">
        <v>261.421646649062</v>
      </c>
    </row>
    <row r="76">
      <c r="A76" s="133">
        <v>20902.0</v>
      </c>
      <c r="B76" s="134" t="s">
        <v>97</v>
      </c>
      <c r="C76" s="136">
        <v>21.304491743016158</v>
      </c>
      <c r="D76" s="136">
        <v>7762.985453675409</v>
      </c>
    </row>
    <row r="77">
      <c r="A77" s="133">
        <v>20903.0</v>
      </c>
      <c r="B77" s="134" t="s">
        <v>407</v>
      </c>
      <c r="C77" s="136">
        <v>0.0</v>
      </c>
      <c r="D77" s="136">
        <v>122.8330742129495</v>
      </c>
    </row>
    <row r="78">
      <c r="A78" s="133">
        <v>20904.0</v>
      </c>
      <c r="B78" s="134" t="s">
        <v>773</v>
      </c>
      <c r="C78" s="136">
        <v>0.0</v>
      </c>
      <c r="D78" s="136">
        <v>0.0</v>
      </c>
    </row>
    <row r="79">
      <c r="A79" s="133">
        <v>20905.0</v>
      </c>
      <c r="B79" s="134" t="s">
        <v>304</v>
      </c>
      <c r="C79" s="136">
        <v>0.0</v>
      </c>
      <c r="D79" s="136">
        <v>179.02545651766167</v>
      </c>
    </row>
    <row r="80">
      <c r="A80" s="133">
        <v>21001.0</v>
      </c>
      <c r="B80" s="134" t="s">
        <v>81</v>
      </c>
      <c r="C80" s="136">
        <v>0.0</v>
      </c>
      <c r="D80" s="136">
        <v>22258.600984258544</v>
      </c>
    </row>
    <row r="81">
      <c r="A81" s="133">
        <v>21002.0</v>
      </c>
      <c r="B81" s="134" t="s">
        <v>95</v>
      </c>
      <c r="C81" s="136">
        <v>25.405502354719587</v>
      </c>
      <c r="D81" s="136">
        <v>5986.075321489863</v>
      </c>
    </row>
    <row r="82">
      <c r="A82" s="133">
        <v>21003.0</v>
      </c>
      <c r="B82" s="134" t="s">
        <v>307</v>
      </c>
      <c r="C82" s="136">
        <v>0.0</v>
      </c>
      <c r="D82" s="136">
        <v>155.344271360914</v>
      </c>
    </row>
    <row r="83">
      <c r="A83" s="133">
        <v>21004.0</v>
      </c>
      <c r="B83" s="134" t="s">
        <v>69</v>
      </c>
      <c r="C83" s="136">
        <v>38.20287424985092</v>
      </c>
      <c r="D83" s="136">
        <v>1596.0304438103256</v>
      </c>
    </row>
    <row r="84">
      <c r="A84" s="133">
        <v>21005.0</v>
      </c>
      <c r="B84" s="134" t="s">
        <v>774</v>
      </c>
      <c r="C84" s="136">
        <v>0.0</v>
      </c>
      <c r="D84" s="136">
        <v>0.0</v>
      </c>
    </row>
    <row r="85">
      <c r="A85" s="133">
        <v>21006.0</v>
      </c>
      <c r="B85" s="134" t="s">
        <v>775</v>
      </c>
      <c r="C85" s="136">
        <v>0.0</v>
      </c>
      <c r="D85" s="136">
        <v>0.0</v>
      </c>
    </row>
    <row r="86">
      <c r="A86" s="133">
        <v>21101.0</v>
      </c>
      <c r="B86" s="134" t="s">
        <v>65</v>
      </c>
      <c r="C86" s="136">
        <v>178.59866683896558</v>
      </c>
      <c r="D86" s="136">
        <v>2494.4781830624247</v>
      </c>
    </row>
    <row r="87">
      <c r="A87" s="133">
        <v>21102.0</v>
      </c>
      <c r="B87" s="134" t="s">
        <v>82</v>
      </c>
      <c r="C87" s="136">
        <v>1968.9841645718302</v>
      </c>
      <c r="D87" s="136">
        <v>1667.2313680565476</v>
      </c>
    </row>
    <row r="88">
      <c r="A88" s="133">
        <v>21103.0</v>
      </c>
      <c r="B88" s="134" t="s">
        <v>776</v>
      </c>
      <c r="C88" s="136">
        <v>0.0</v>
      </c>
      <c r="D88" s="136">
        <v>0.0</v>
      </c>
    </row>
    <row r="89">
      <c r="A89" s="133">
        <v>21104.0</v>
      </c>
      <c r="B89" s="134" t="s">
        <v>90</v>
      </c>
      <c r="C89" s="136">
        <v>1336.6846868959778</v>
      </c>
      <c r="D89" s="136">
        <v>1063.7921817624022</v>
      </c>
    </row>
    <row r="90">
      <c r="A90" s="133">
        <v>21105.0</v>
      </c>
      <c r="B90" s="134" t="s">
        <v>354</v>
      </c>
      <c r="C90" s="136">
        <v>0.0</v>
      </c>
      <c r="D90" s="136">
        <v>309.1843635264233</v>
      </c>
    </row>
    <row r="91">
      <c r="A91" s="133">
        <v>21201.0</v>
      </c>
      <c r="B91" s="134" t="s">
        <v>92</v>
      </c>
      <c r="C91" s="136">
        <v>409.3772503709706</v>
      </c>
      <c r="D91" s="136">
        <v>12643.205268861644</v>
      </c>
    </row>
    <row r="92">
      <c r="A92" s="133">
        <v>21202.0</v>
      </c>
      <c r="B92" s="134" t="s">
        <v>85</v>
      </c>
      <c r="C92" s="136">
        <v>117.75551135889371</v>
      </c>
      <c r="D92" s="136">
        <v>43921.91751592198</v>
      </c>
    </row>
    <row r="93">
      <c r="A93" s="133">
        <v>21203.0</v>
      </c>
      <c r="B93" s="134" t="s">
        <v>59</v>
      </c>
      <c r="C93" s="136">
        <v>45.367021983054</v>
      </c>
      <c r="D93" s="136">
        <v>4922.1981401388675</v>
      </c>
    </row>
    <row r="94">
      <c r="A94" s="133">
        <v>21204.0</v>
      </c>
      <c r="B94" s="134" t="s">
        <v>777</v>
      </c>
      <c r="C94" s="136">
        <v>0.0</v>
      </c>
      <c r="D94" s="136">
        <v>2240.1021644811663</v>
      </c>
    </row>
    <row r="95">
      <c r="A95" s="133">
        <v>21301.0</v>
      </c>
      <c r="B95" s="134" t="s">
        <v>778</v>
      </c>
      <c r="C95" s="136">
        <v>203.5570120659553</v>
      </c>
      <c r="D95" s="136">
        <v>28026.76576544232</v>
      </c>
    </row>
    <row r="96">
      <c r="A96" s="133">
        <v>21302.0</v>
      </c>
      <c r="B96" s="134" t="s">
        <v>103</v>
      </c>
      <c r="C96" s="136">
        <v>43.828782627266506</v>
      </c>
      <c r="D96" s="136">
        <v>1351.586365317523</v>
      </c>
    </row>
    <row r="97">
      <c r="A97" s="133">
        <v>21303.0</v>
      </c>
      <c r="B97" s="134" t="s">
        <v>58</v>
      </c>
      <c r="C97" s="136">
        <v>17.4832542836044</v>
      </c>
      <c r="D97" s="136">
        <v>18401.99607738321</v>
      </c>
    </row>
    <row r="98">
      <c r="A98" s="133">
        <v>21304.0</v>
      </c>
      <c r="B98" s="134" t="s">
        <v>61</v>
      </c>
      <c r="C98" s="136">
        <v>12589.220727159383</v>
      </c>
      <c r="D98" s="136">
        <v>90721.58481714215</v>
      </c>
    </row>
    <row r="99">
      <c r="A99" s="133">
        <v>21305.0</v>
      </c>
      <c r="B99" s="134" t="s">
        <v>91</v>
      </c>
      <c r="C99" s="136">
        <v>2989.803356513821</v>
      </c>
      <c r="D99" s="136">
        <v>31027.365774028138</v>
      </c>
    </row>
    <row r="100">
      <c r="A100" s="133">
        <v>21306.0</v>
      </c>
      <c r="B100" s="134" t="s">
        <v>68</v>
      </c>
      <c r="C100" s="136">
        <v>53.07295925399552</v>
      </c>
      <c r="D100" s="136">
        <v>3729.0957040540543</v>
      </c>
    </row>
    <row r="101">
      <c r="A101" s="133">
        <v>21307.0</v>
      </c>
      <c r="B101" s="134" t="s">
        <v>67</v>
      </c>
      <c r="C101" s="136">
        <v>1462.091650463955</v>
      </c>
      <c r="D101" s="136">
        <v>4792.995943909899</v>
      </c>
    </row>
    <row r="102">
      <c r="A102" s="133">
        <v>21401.0</v>
      </c>
      <c r="B102" s="134" t="s">
        <v>72</v>
      </c>
      <c r="C102" s="136">
        <v>313.54892547840325</v>
      </c>
      <c r="D102" s="136">
        <v>243.4945272096816</v>
      </c>
    </row>
    <row r="103">
      <c r="A103" s="133">
        <v>21402.0</v>
      </c>
      <c r="B103" s="134" t="s">
        <v>334</v>
      </c>
      <c r="C103" s="136">
        <v>0.0</v>
      </c>
      <c r="D103" s="136">
        <v>202.44256897937782</v>
      </c>
    </row>
    <row r="104">
      <c r="A104" s="133">
        <v>21501.0</v>
      </c>
      <c r="B104" s="134" t="s">
        <v>353</v>
      </c>
      <c r="C104" s="136">
        <v>0.0</v>
      </c>
      <c r="D104" s="136">
        <v>340.3371603013992</v>
      </c>
    </row>
    <row r="105">
      <c r="A105" s="133">
        <v>21502.0</v>
      </c>
      <c r="B105" s="134" t="s">
        <v>384</v>
      </c>
      <c r="C105" s="136">
        <v>0.0</v>
      </c>
      <c r="D105" s="136">
        <v>953.687321067522</v>
      </c>
    </row>
    <row r="106">
      <c r="A106" s="133">
        <v>21601.0</v>
      </c>
      <c r="B106" s="134" t="s">
        <v>779</v>
      </c>
      <c r="C106" s="136">
        <v>0.0</v>
      </c>
      <c r="D106" s="136">
        <v>314.0190063087694</v>
      </c>
    </row>
    <row r="107">
      <c r="A107" s="133">
        <v>21602.0</v>
      </c>
      <c r="B107" s="134" t="s">
        <v>780</v>
      </c>
      <c r="C107" s="136">
        <v>0.0</v>
      </c>
      <c r="D107" s="136">
        <v>0.0</v>
      </c>
    </row>
    <row r="108">
      <c r="A108" s="133">
        <v>21701.0</v>
      </c>
      <c r="B108" s="134" t="s">
        <v>70</v>
      </c>
      <c r="C108" s="136">
        <v>8.157793774170067</v>
      </c>
      <c r="D108" s="136">
        <v>1424.3279944494732</v>
      </c>
    </row>
    <row r="109">
      <c r="A109" s="133">
        <v>21702.0</v>
      </c>
      <c r="B109" s="134" t="s">
        <v>386</v>
      </c>
      <c r="C109" s="136">
        <v>0.0</v>
      </c>
      <c r="D109" s="136">
        <v>4082.427787709514</v>
      </c>
    </row>
    <row r="110">
      <c r="A110" s="133">
        <v>21703.0</v>
      </c>
      <c r="B110" s="134" t="s">
        <v>400</v>
      </c>
      <c r="C110" s="136">
        <v>0.0</v>
      </c>
      <c r="D110" s="136">
        <v>388.9658403619575</v>
      </c>
    </row>
    <row r="111">
      <c r="A111" s="133">
        <v>21801.0</v>
      </c>
      <c r="B111" s="134" t="s">
        <v>781</v>
      </c>
      <c r="C111" s="136">
        <v>0.0</v>
      </c>
      <c r="D111" s="136">
        <v>0.0</v>
      </c>
    </row>
    <row r="112">
      <c r="A112" s="133">
        <v>21802.0</v>
      </c>
      <c r="B112" s="134" t="s">
        <v>369</v>
      </c>
      <c r="C112" s="136">
        <v>0.0</v>
      </c>
      <c r="D112" s="136">
        <v>36360.18904097219</v>
      </c>
    </row>
    <row r="113">
      <c r="A113" s="133">
        <v>21803.0</v>
      </c>
      <c r="B113" s="134" t="s">
        <v>782</v>
      </c>
      <c r="C113" s="136">
        <v>0.0</v>
      </c>
      <c r="D113" s="136">
        <v>0.0</v>
      </c>
    </row>
    <row r="114">
      <c r="A114" s="133">
        <v>21901.0</v>
      </c>
      <c r="B114" s="134" t="s">
        <v>783</v>
      </c>
      <c r="C114" s="136">
        <v>0.0</v>
      </c>
      <c r="D114" s="136">
        <v>0.0</v>
      </c>
    </row>
    <row r="115">
      <c r="A115" s="133">
        <v>21902.0</v>
      </c>
      <c r="B115" s="134" t="s">
        <v>784</v>
      </c>
      <c r="C115" s="136">
        <v>0.0</v>
      </c>
      <c r="D115" s="136">
        <v>0.0</v>
      </c>
    </row>
    <row r="116">
      <c r="A116" s="133">
        <v>22001.0</v>
      </c>
      <c r="B116" s="134" t="s">
        <v>63</v>
      </c>
      <c r="C116" s="136">
        <v>11839.968752431925</v>
      </c>
      <c r="D116" s="136">
        <v>15674.027980595045</v>
      </c>
    </row>
    <row r="117">
      <c r="A117" s="133">
        <v>22002.0</v>
      </c>
      <c r="B117" s="134" t="s">
        <v>56</v>
      </c>
      <c r="C117" s="136">
        <v>1284.7866167739157</v>
      </c>
      <c r="D117" s="136">
        <v>1946.97730018355</v>
      </c>
    </row>
    <row r="118">
      <c r="A118" s="133">
        <v>30101.0</v>
      </c>
      <c r="B118" s="134" t="s">
        <v>105</v>
      </c>
      <c r="C118" s="136">
        <v>881059.0940395276</v>
      </c>
      <c r="D118" s="136">
        <v>1052035.3923914102</v>
      </c>
    </row>
    <row r="119">
      <c r="A119" s="133">
        <v>30201.0</v>
      </c>
      <c r="B119" s="134" t="s">
        <v>106</v>
      </c>
      <c r="C119" s="136">
        <v>282.4180499810376</v>
      </c>
      <c r="D119" s="136">
        <v>293.9533387065768</v>
      </c>
    </row>
    <row r="120">
      <c r="A120" s="133">
        <v>30202.0</v>
      </c>
      <c r="B120" s="134" t="s">
        <v>125</v>
      </c>
      <c r="C120" s="136">
        <v>4.97181591004418</v>
      </c>
      <c r="D120" s="136">
        <v>4.6233917787843595</v>
      </c>
    </row>
    <row r="121">
      <c r="A121" s="133">
        <v>30203.0</v>
      </c>
      <c r="B121" s="134" t="s">
        <v>124</v>
      </c>
      <c r="C121" s="136">
        <v>52.89294726868817</v>
      </c>
      <c r="D121" s="136">
        <v>564.3846385025424</v>
      </c>
    </row>
    <row r="122">
      <c r="A122" s="133">
        <v>30301.0</v>
      </c>
      <c r="B122" s="134" t="s">
        <v>785</v>
      </c>
      <c r="C122" s="136">
        <v>0.0</v>
      </c>
      <c r="D122" s="136">
        <v>0.0</v>
      </c>
    </row>
    <row r="123">
      <c r="A123" s="133">
        <v>30302.0</v>
      </c>
      <c r="B123" s="134" t="s">
        <v>123</v>
      </c>
      <c r="C123" s="136">
        <v>109.24402640580344</v>
      </c>
      <c r="D123" s="136">
        <v>460.2005296312365</v>
      </c>
    </row>
    <row r="124">
      <c r="A124" s="133">
        <v>30303.0</v>
      </c>
      <c r="B124" s="134" t="s">
        <v>117</v>
      </c>
      <c r="C124" s="136">
        <v>1532.664939056083</v>
      </c>
      <c r="D124" s="136">
        <v>3612.6875139976305</v>
      </c>
    </row>
    <row r="125">
      <c r="A125" s="133">
        <v>30401.0</v>
      </c>
      <c r="B125" s="134" t="s">
        <v>139</v>
      </c>
      <c r="C125" s="136">
        <v>2211.4014719367538</v>
      </c>
      <c r="D125" s="136">
        <v>3156.3448197216258</v>
      </c>
    </row>
    <row r="126">
      <c r="A126" s="133">
        <v>30402.0</v>
      </c>
      <c r="B126" s="134" t="s">
        <v>108</v>
      </c>
      <c r="C126" s="136">
        <v>1.803983886216617</v>
      </c>
      <c r="D126" s="136">
        <v>776.8100891821074</v>
      </c>
    </row>
    <row r="127">
      <c r="A127" s="133">
        <v>30403.0</v>
      </c>
      <c r="B127" s="134" t="s">
        <v>110</v>
      </c>
      <c r="C127" s="136">
        <v>1077.6337061769054</v>
      </c>
      <c r="D127" s="136">
        <v>12832.080110698778</v>
      </c>
    </row>
    <row r="128">
      <c r="A128" s="133">
        <v>30404.0</v>
      </c>
      <c r="B128" s="134" t="s">
        <v>132</v>
      </c>
      <c r="C128" s="136">
        <v>36.68161225755355</v>
      </c>
      <c r="D128" s="136">
        <v>34.23589668941552</v>
      </c>
    </row>
    <row r="129">
      <c r="A129" s="133">
        <v>30501.0</v>
      </c>
      <c r="B129" s="134" t="s">
        <v>109</v>
      </c>
      <c r="C129" s="136">
        <v>392.70912169379494</v>
      </c>
      <c r="D129" s="136">
        <v>2169.5941944303245</v>
      </c>
    </row>
    <row r="130">
      <c r="A130" s="133">
        <v>30502.0</v>
      </c>
      <c r="B130" s="134" t="s">
        <v>145</v>
      </c>
      <c r="C130" s="136">
        <v>213.07688264156954</v>
      </c>
      <c r="D130" s="136">
        <v>797.1455083763599</v>
      </c>
    </row>
    <row r="131">
      <c r="A131" s="133">
        <v>30601.0</v>
      </c>
      <c r="B131" s="134" t="s">
        <v>111</v>
      </c>
      <c r="C131" s="136">
        <v>23.665671503613357</v>
      </c>
      <c r="D131" s="136">
        <v>848.6269356757908</v>
      </c>
    </row>
    <row r="132">
      <c r="A132" s="133">
        <v>30602.0</v>
      </c>
      <c r="B132" s="134" t="s">
        <v>137</v>
      </c>
      <c r="C132" s="136">
        <v>32.635359372969425</v>
      </c>
      <c r="D132" s="136">
        <v>1359.8533177382938</v>
      </c>
    </row>
    <row r="133">
      <c r="A133" s="133">
        <v>30701.0</v>
      </c>
      <c r="B133" s="134" t="s">
        <v>113</v>
      </c>
      <c r="C133" s="136">
        <v>6491.078014034162</v>
      </c>
      <c r="D133" s="136">
        <v>14208.886766890077</v>
      </c>
    </row>
    <row r="134">
      <c r="A134" s="133">
        <v>30702.0</v>
      </c>
      <c r="B134" s="134" t="s">
        <v>134</v>
      </c>
      <c r="C134" s="136">
        <v>313.40611278217835</v>
      </c>
      <c r="D134" s="136">
        <v>1770.813397088223</v>
      </c>
    </row>
    <row r="135">
      <c r="A135" s="133">
        <v>30703.0</v>
      </c>
      <c r="B135" s="134" t="s">
        <v>786</v>
      </c>
      <c r="C135" s="136">
        <v>0.0</v>
      </c>
      <c r="D135" s="136">
        <v>0.0</v>
      </c>
    </row>
    <row r="136">
      <c r="A136" s="133">
        <v>30801.0</v>
      </c>
      <c r="B136" s="134" t="s">
        <v>116</v>
      </c>
      <c r="C136" s="136">
        <v>12040.090254106317</v>
      </c>
      <c r="D136" s="136">
        <v>21730.381305803236</v>
      </c>
    </row>
    <row r="137">
      <c r="A137" s="133">
        <v>30802.0</v>
      </c>
      <c r="B137" s="134" t="s">
        <v>142</v>
      </c>
      <c r="C137" s="136">
        <v>105.02656910663627</v>
      </c>
      <c r="D137" s="136">
        <v>509.46369218256524</v>
      </c>
    </row>
    <row r="138">
      <c r="A138" s="133">
        <v>30803.0</v>
      </c>
      <c r="B138" s="134" t="s">
        <v>143</v>
      </c>
      <c r="C138" s="136">
        <v>210.28923291935945</v>
      </c>
      <c r="D138" s="136">
        <v>1505.9997666221361</v>
      </c>
    </row>
    <row r="139">
      <c r="A139" s="133">
        <v>30901.0</v>
      </c>
      <c r="B139" s="134" t="s">
        <v>130</v>
      </c>
      <c r="C139" s="136">
        <v>417362.38690078835</v>
      </c>
      <c r="D139" s="136">
        <v>371795.1383529953</v>
      </c>
    </row>
    <row r="140">
      <c r="A140" s="133">
        <v>30902.0</v>
      </c>
      <c r="B140" s="134" t="s">
        <v>787</v>
      </c>
      <c r="C140" s="136">
        <v>0.0</v>
      </c>
      <c r="D140" s="136">
        <v>0.0</v>
      </c>
    </row>
    <row r="141">
      <c r="A141" s="133">
        <v>30903.0</v>
      </c>
      <c r="B141" s="134" t="s">
        <v>140</v>
      </c>
      <c r="C141" s="136">
        <v>19096.653791738325</v>
      </c>
      <c r="D141" s="136">
        <v>73896.74517052207</v>
      </c>
    </row>
    <row r="142">
      <c r="A142" s="133">
        <v>30904.0</v>
      </c>
      <c r="B142" s="134" t="s">
        <v>150</v>
      </c>
      <c r="C142" s="136">
        <v>26100.665611224624</v>
      </c>
      <c r="D142" s="136">
        <v>103751.55916010222</v>
      </c>
    </row>
    <row r="143">
      <c r="A143" s="133">
        <v>30905.0</v>
      </c>
      <c r="B143" s="134" t="s">
        <v>118</v>
      </c>
      <c r="C143" s="136">
        <v>49122.676364383056</v>
      </c>
      <c r="D143" s="136">
        <v>69084.66284056984</v>
      </c>
    </row>
    <row r="144">
      <c r="A144" s="133">
        <v>31001.0</v>
      </c>
      <c r="B144" s="134" t="s">
        <v>131</v>
      </c>
      <c r="C144" s="136">
        <v>224671.13175240462</v>
      </c>
      <c r="D144" s="136">
        <v>269768.4037689881</v>
      </c>
    </row>
    <row r="145">
      <c r="A145" s="133">
        <v>31002.0</v>
      </c>
      <c r="B145" s="134" t="s">
        <v>119</v>
      </c>
      <c r="C145" s="136">
        <v>4421.159330764557</v>
      </c>
      <c r="D145" s="136">
        <v>6090.073680467323</v>
      </c>
    </row>
    <row r="146">
      <c r="A146" s="133">
        <v>31003.0</v>
      </c>
      <c r="B146" s="134" t="s">
        <v>149</v>
      </c>
      <c r="C146" s="136">
        <v>20604.650608888063</v>
      </c>
      <c r="D146" s="136">
        <v>21841.139503439557</v>
      </c>
    </row>
    <row r="147">
      <c r="A147" s="133">
        <v>31101.0</v>
      </c>
      <c r="B147" s="134" t="s">
        <v>138</v>
      </c>
      <c r="C147" s="136">
        <v>59.41863133868334</v>
      </c>
      <c r="D147" s="136">
        <v>1434.4013961723897</v>
      </c>
    </row>
    <row r="148">
      <c r="A148" s="133">
        <v>31201.0</v>
      </c>
      <c r="B148" s="134" t="s">
        <v>144</v>
      </c>
      <c r="C148" s="136">
        <v>612.7927920027151</v>
      </c>
      <c r="D148" s="136">
        <v>1269.4968525515449</v>
      </c>
    </row>
    <row r="149">
      <c r="A149" s="133">
        <v>31202.0</v>
      </c>
      <c r="B149" s="134" t="s">
        <v>127</v>
      </c>
      <c r="C149" s="136">
        <v>245.2287225686093</v>
      </c>
      <c r="D149" s="136">
        <v>344.69890298502463</v>
      </c>
    </row>
    <row r="150">
      <c r="A150" s="133">
        <v>31203.0</v>
      </c>
      <c r="B150" s="134" t="s">
        <v>126</v>
      </c>
      <c r="C150" s="136">
        <v>896.7898762401495</v>
      </c>
      <c r="D150" s="136">
        <v>620.4530429133125</v>
      </c>
    </row>
    <row r="151">
      <c r="A151" s="133">
        <v>31204.0</v>
      </c>
      <c r="B151" s="134" t="s">
        <v>114</v>
      </c>
      <c r="C151" s="136">
        <v>4913.099720219663</v>
      </c>
      <c r="D151" s="136">
        <v>9404.80192547051</v>
      </c>
    </row>
    <row r="152">
      <c r="A152" s="133">
        <v>31205.0</v>
      </c>
      <c r="B152" s="134" t="s">
        <v>128</v>
      </c>
      <c r="C152" s="136">
        <v>12829.690842003976</v>
      </c>
      <c r="D152" s="136">
        <v>40195.31079997497</v>
      </c>
    </row>
    <row r="153">
      <c r="A153" s="133">
        <v>31206.0</v>
      </c>
      <c r="B153" s="134" t="s">
        <v>120</v>
      </c>
      <c r="C153" s="136">
        <v>8184.247956589874</v>
      </c>
      <c r="D153" s="136">
        <v>13866.571198618469</v>
      </c>
    </row>
    <row r="154">
      <c r="A154" s="133">
        <v>31301.0</v>
      </c>
      <c r="B154" s="134" t="s">
        <v>122</v>
      </c>
      <c r="C154" s="136">
        <v>868.60174392881</v>
      </c>
      <c r="D154" s="136">
        <v>1387.1115928042163</v>
      </c>
    </row>
    <row r="155">
      <c r="A155" s="133">
        <v>31302.0</v>
      </c>
      <c r="B155" s="134" t="s">
        <v>146</v>
      </c>
      <c r="C155" s="136">
        <v>1.803983886216617</v>
      </c>
      <c r="D155" s="136">
        <v>1.9057139239665164</v>
      </c>
    </row>
    <row r="156">
      <c r="A156" s="133">
        <v>31303.0</v>
      </c>
      <c r="B156" s="134" t="s">
        <v>107</v>
      </c>
      <c r="C156" s="136">
        <v>3.607967772433234</v>
      </c>
      <c r="D156" s="136">
        <v>3.811427847933033</v>
      </c>
    </row>
    <row r="157">
      <c r="A157" s="133">
        <v>31304.0</v>
      </c>
      <c r="B157" s="134" t="s">
        <v>788</v>
      </c>
      <c r="C157" s="136">
        <v>0.0</v>
      </c>
      <c r="D157" s="136">
        <v>0.0</v>
      </c>
    </row>
    <row r="158">
      <c r="A158" s="133">
        <v>31401.0</v>
      </c>
      <c r="B158" s="134" t="s">
        <v>129</v>
      </c>
      <c r="C158" s="136">
        <v>27572.951950644525</v>
      </c>
      <c r="D158" s="136">
        <v>35170.52533258597</v>
      </c>
    </row>
    <row r="159">
      <c r="A159" s="133">
        <v>31402.0</v>
      </c>
      <c r="B159" s="134" t="s">
        <v>147</v>
      </c>
      <c r="C159" s="136">
        <v>923.4855788735115</v>
      </c>
      <c r="D159" s="136">
        <v>1761.7659854576164</v>
      </c>
    </row>
    <row r="160">
      <c r="A160" s="133">
        <v>31403.0</v>
      </c>
      <c r="B160" s="134" t="s">
        <v>133</v>
      </c>
      <c r="C160" s="136">
        <v>632.7899220277345</v>
      </c>
      <c r="D160" s="136">
        <v>7600.072726911389</v>
      </c>
    </row>
    <row r="161">
      <c r="A161" s="133">
        <v>31404.0</v>
      </c>
      <c r="B161" s="134" t="s">
        <v>789</v>
      </c>
      <c r="C161" s="136">
        <v>0.0</v>
      </c>
      <c r="D161" s="136">
        <v>0.0</v>
      </c>
    </row>
    <row r="162">
      <c r="A162" s="133">
        <v>31405.0</v>
      </c>
      <c r="B162" s="134" t="s">
        <v>790</v>
      </c>
      <c r="C162" s="136">
        <v>0.0</v>
      </c>
      <c r="D162" s="136">
        <v>0.0</v>
      </c>
    </row>
    <row r="163">
      <c r="A163" s="133">
        <v>31501.0</v>
      </c>
      <c r="B163" s="134" t="s">
        <v>112</v>
      </c>
      <c r="C163" s="136">
        <v>38.48107931498177</v>
      </c>
      <c r="D163" s="136">
        <v>19.236786445188702</v>
      </c>
    </row>
    <row r="164">
      <c r="A164" s="133">
        <v>31601.0</v>
      </c>
      <c r="B164" s="134" t="s">
        <v>141</v>
      </c>
      <c r="C164" s="136">
        <v>2941.868032876529</v>
      </c>
      <c r="D164" s="136">
        <v>17530.698834373405</v>
      </c>
    </row>
    <row r="165">
      <c r="A165" s="133">
        <v>31602.0</v>
      </c>
      <c r="B165" s="134" t="s">
        <v>135</v>
      </c>
      <c r="C165" s="136">
        <v>2559.5251002720806</v>
      </c>
      <c r="D165" s="136">
        <v>8958.02360450578</v>
      </c>
    </row>
    <row r="166">
      <c r="A166" s="133">
        <v>40101.0</v>
      </c>
      <c r="B166" s="134" t="s">
        <v>151</v>
      </c>
      <c r="C166" s="136">
        <v>527299.2451830206</v>
      </c>
      <c r="D166" s="136">
        <v>567443.9505984464</v>
      </c>
    </row>
    <row r="167">
      <c r="A167" s="133">
        <v>40102.0</v>
      </c>
      <c r="B167" s="134" t="s">
        <v>154</v>
      </c>
      <c r="C167" s="136">
        <v>281.5352694096457</v>
      </c>
      <c r="D167" s="136">
        <v>7078.329145306034</v>
      </c>
    </row>
    <row r="168">
      <c r="A168" s="133">
        <v>40103.0</v>
      </c>
      <c r="B168" s="134" t="s">
        <v>499</v>
      </c>
      <c r="C168" s="136">
        <v>0.0</v>
      </c>
      <c r="D168" s="136">
        <v>7541.917701938403</v>
      </c>
    </row>
    <row r="169">
      <c r="A169" s="133">
        <v>40104.0</v>
      </c>
      <c r="B169" s="134" t="s">
        <v>791</v>
      </c>
      <c r="C169" s="136">
        <v>66.65281613995305</v>
      </c>
      <c r="D169" s="136">
        <v>14557.03555027261</v>
      </c>
    </row>
    <row r="170">
      <c r="A170" s="133">
        <v>40201.0</v>
      </c>
      <c r="B170" s="134" t="s">
        <v>156</v>
      </c>
      <c r="C170" s="136">
        <v>17251.04296110757</v>
      </c>
      <c r="D170" s="136">
        <v>18242.466880742864</v>
      </c>
    </row>
    <row r="171">
      <c r="A171" s="133">
        <v>40202.0</v>
      </c>
      <c r="B171" s="134" t="s">
        <v>792</v>
      </c>
      <c r="C171" s="136">
        <v>0.0</v>
      </c>
      <c r="D171" s="136">
        <v>914.6655673632092</v>
      </c>
    </row>
    <row r="172">
      <c r="A172" s="133">
        <v>40301.0</v>
      </c>
      <c r="B172" s="134" t="s">
        <v>159</v>
      </c>
      <c r="C172" s="136">
        <v>4.453398955894993</v>
      </c>
      <c r="D172" s="136">
        <v>2595.557014106569</v>
      </c>
    </row>
    <row r="173">
      <c r="A173" s="133">
        <v>40302.0</v>
      </c>
      <c r="B173" s="134" t="s">
        <v>793</v>
      </c>
      <c r="C173" s="136">
        <v>0.0</v>
      </c>
      <c r="D173" s="136">
        <v>1319.8995068835648</v>
      </c>
    </row>
    <row r="174">
      <c r="A174" s="133">
        <v>40401.0</v>
      </c>
      <c r="B174" s="134" t="s">
        <v>161</v>
      </c>
      <c r="C174" s="136">
        <v>19.5523698548166</v>
      </c>
      <c r="D174" s="136">
        <v>219.4840305548598</v>
      </c>
    </row>
    <row r="175">
      <c r="A175" s="133">
        <v>40402.0</v>
      </c>
      <c r="B175" s="134" t="s">
        <v>181</v>
      </c>
      <c r="C175" s="136">
        <v>0.0</v>
      </c>
      <c r="D175" s="136">
        <v>2922.1297454599844</v>
      </c>
    </row>
    <row r="176">
      <c r="A176" s="133">
        <v>40501.0</v>
      </c>
      <c r="B176" s="134" t="s">
        <v>166</v>
      </c>
      <c r="C176" s="136">
        <v>299.69206506605536</v>
      </c>
      <c r="D176" s="136">
        <v>3220.496645732973</v>
      </c>
    </row>
    <row r="177">
      <c r="A177" s="133">
        <v>40502.0</v>
      </c>
      <c r="B177" s="134" t="s">
        <v>162</v>
      </c>
      <c r="C177" s="136">
        <v>12.016750948510852</v>
      </c>
      <c r="D177" s="136">
        <v>19320.989750631525</v>
      </c>
    </row>
    <row r="178">
      <c r="A178" s="133">
        <v>40503.0</v>
      </c>
      <c r="B178" s="134" t="s">
        <v>794</v>
      </c>
      <c r="C178" s="136">
        <v>0.0</v>
      </c>
      <c r="D178" s="136">
        <v>8952.948630553361</v>
      </c>
    </row>
    <row r="179">
      <c r="A179" s="133">
        <v>40504.0</v>
      </c>
      <c r="B179" s="134" t="s">
        <v>795</v>
      </c>
      <c r="C179" s="136">
        <v>0.0</v>
      </c>
      <c r="D179" s="136">
        <v>2130.838439630401</v>
      </c>
    </row>
    <row r="180">
      <c r="A180" s="133">
        <v>40505.0</v>
      </c>
      <c r="B180" s="134" t="s">
        <v>163</v>
      </c>
      <c r="C180" s="136">
        <v>5708.712104934199</v>
      </c>
      <c r="D180" s="136">
        <v>10354.752919095155</v>
      </c>
    </row>
    <row r="181">
      <c r="A181" s="133">
        <v>40601.0</v>
      </c>
      <c r="B181" s="134" t="s">
        <v>796</v>
      </c>
      <c r="C181" s="136">
        <v>45.17017547468139</v>
      </c>
      <c r="D181" s="136">
        <v>4829.936979434142</v>
      </c>
    </row>
    <row r="182">
      <c r="A182" s="133">
        <v>40602.0</v>
      </c>
      <c r="B182" s="134" t="s">
        <v>170</v>
      </c>
      <c r="C182" s="136">
        <v>17.952266224766262</v>
      </c>
      <c r="D182" s="136">
        <v>423.7201477281352</v>
      </c>
    </row>
    <row r="183">
      <c r="A183" s="133">
        <v>40603.0</v>
      </c>
      <c r="B183" s="134" t="s">
        <v>480</v>
      </c>
      <c r="C183" s="136">
        <v>0.0</v>
      </c>
      <c r="D183" s="136">
        <v>3837.3960024793787</v>
      </c>
    </row>
    <row r="184">
      <c r="A184" s="133">
        <v>40701.0</v>
      </c>
      <c r="B184" s="134" t="s">
        <v>797</v>
      </c>
      <c r="C184" s="136">
        <v>502.02581466128225</v>
      </c>
      <c r="D184" s="136">
        <v>7012.713976670413</v>
      </c>
    </row>
    <row r="185">
      <c r="A185" s="133">
        <v>40702.0</v>
      </c>
      <c r="B185" s="134" t="s">
        <v>168</v>
      </c>
      <c r="C185" s="136">
        <v>105.21570354532436</v>
      </c>
      <c r="D185" s="136">
        <v>713.8714951158845</v>
      </c>
    </row>
    <row r="186">
      <c r="A186" s="133">
        <v>40801.0</v>
      </c>
      <c r="B186" s="134" t="s">
        <v>798</v>
      </c>
      <c r="C186" s="136">
        <v>90.34035094936279</v>
      </c>
      <c r="D186" s="136">
        <v>4295.424607143874</v>
      </c>
    </row>
    <row r="187">
      <c r="A187" s="133">
        <v>40802.0</v>
      </c>
      <c r="B187" s="134" t="s">
        <v>169</v>
      </c>
      <c r="C187" s="136">
        <v>19.5523698548166</v>
      </c>
      <c r="D187" s="136">
        <v>598.5735426177224</v>
      </c>
    </row>
    <row r="188">
      <c r="A188" s="133">
        <v>40901.0</v>
      </c>
      <c r="B188" s="134" t="s">
        <v>173</v>
      </c>
      <c r="C188" s="136">
        <v>1249.5451095458448</v>
      </c>
      <c r="D188" s="136">
        <v>6640.929755994697</v>
      </c>
    </row>
    <row r="189">
      <c r="A189" s="133">
        <v>40902.0</v>
      </c>
      <c r="B189" s="134" t="s">
        <v>158</v>
      </c>
      <c r="C189" s="136">
        <v>0.0</v>
      </c>
      <c r="D189" s="136">
        <v>16411.164026280334</v>
      </c>
    </row>
    <row r="190">
      <c r="A190" s="133">
        <v>40903.0</v>
      </c>
      <c r="B190" s="134" t="s">
        <v>799</v>
      </c>
      <c r="C190" s="136">
        <v>21.031142033502313</v>
      </c>
      <c r="D190" s="136">
        <v>18.475105072898195</v>
      </c>
    </row>
    <row r="191">
      <c r="A191" s="133">
        <v>41001.0</v>
      </c>
      <c r="B191" s="134" t="s">
        <v>180</v>
      </c>
      <c r="C191" s="136">
        <v>117.19602095582567</v>
      </c>
      <c r="D191" s="136">
        <v>513.7649397905777</v>
      </c>
    </row>
    <row r="192">
      <c r="A192" s="133">
        <v>41101.0</v>
      </c>
      <c r="B192" s="134" t="s">
        <v>164</v>
      </c>
      <c r="C192" s="136">
        <v>85.05415422820217</v>
      </c>
      <c r="D192" s="136">
        <v>1041.9516899624439</v>
      </c>
    </row>
    <row r="193">
      <c r="A193" s="133">
        <v>41201.0</v>
      </c>
      <c r="B193" s="134" t="s">
        <v>152</v>
      </c>
      <c r="C193" s="136">
        <v>4.52273415648814</v>
      </c>
      <c r="D193" s="136">
        <v>6024.631290361506</v>
      </c>
    </row>
    <row r="194">
      <c r="A194" s="133">
        <v>41202.0</v>
      </c>
      <c r="B194" s="134" t="s">
        <v>153</v>
      </c>
      <c r="C194" s="136">
        <v>0.0</v>
      </c>
      <c r="D194" s="136">
        <v>266.76631774552334</v>
      </c>
    </row>
    <row r="195">
      <c r="A195" s="133">
        <v>41301.0</v>
      </c>
      <c r="B195" s="134" t="s">
        <v>144</v>
      </c>
      <c r="C195" s="136">
        <v>24.13903344117908</v>
      </c>
      <c r="D195" s="136">
        <v>22.048327288742477</v>
      </c>
    </row>
    <row r="196">
      <c r="A196" s="133">
        <v>41401.0</v>
      </c>
      <c r="B196" s="134" t="s">
        <v>178</v>
      </c>
      <c r="C196" s="136">
        <v>145.21190702967183</v>
      </c>
      <c r="D196" s="136">
        <v>884.5719698412876</v>
      </c>
    </row>
    <row r="197">
      <c r="A197" s="133">
        <v>41501.0</v>
      </c>
      <c r="B197" s="134" t="s">
        <v>800</v>
      </c>
      <c r="C197" s="136">
        <v>0.0</v>
      </c>
      <c r="D197" s="136">
        <v>13621.153442344023</v>
      </c>
    </row>
    <row r="198">
      <c r="A198" s="133">
        <v>41502.0</v>
      </c>
      <c r="B198" s="134" t="s">
        <v>530</v>
      </c>
      <c r="C198" s="136">
        <v>0.0</v>
      </c>
      <c r="D198" s="136">
        <v>2488.8736228648318</v>
      </c>
    </row>
    <row r="199">
      <c r="A199" s="133">
        <v>41503.0</v>
      </c>
      <c r="B199" s="134" t="s">
        <v>155</v>
      </c>
      <c r="C199" s="136">
        <v>732.4816456408802</v>
      </c>
      <c r="D199" s="136">
        <v>13527.799831511813</v>
      </c>
    </row>
    <row r="200">
      <c r="A200" s="133">
        <v>41601.0</v>
      </c>
      <c r="B200" s="134" t="s">
        <v>801</v>
      </c>
      <c r="C200" s="136">
        <v>3.107891407676768</v>
      </c>
      <c r="D200" s="136">
        <v>3.5732222158442806</v>
      </c>
    </row>
    <row r="201">
      <c r="A201" s="133">
        <v>50101.0</v>
      </c>
      <c r="B201" s="134" t="s">
        <v>183</v>
      </c>
      <c r="C201" s="136">
        <v>368552.42824585404</v>
      </c>
      <c r="D201" s="136">
        <v>432788.0412249991</v>
      </c>
    </row>
    <row r="202">
      <c r="A202" s="133">
        <v>50102.0</v>
      </c>
      <c r="B202" s="134" t="s">
        <v>802</v>
      </c>
      <c r="C202" s="136">
        <v>0.0</v>
      </c>
      <c r="D202" s="136">
        <v>0.0</v>
      </c>
    </row>
    <row r="203">
      <c r="A203" s="133">
        <v>50103.0</v>
      </c>
      <c r="B203" s="134" t="s">
        <v>212</v>
      </c>
      <c r="C203" s="136">
        <v>125.43345640905497</v>
      </c>
      <c r="D203" s="136">
        <v>427.5873380773288</v>
      </c>
    </row>
    <row r="204">
      <c r="A204" s="133">
        <v>50104.0</v>
      </c>
      <c r="B204" s="134" t="s">
        <v>803</v>
      </c>
      <c r="C204" s="136">
        <v>0.0</v>
      </c>
      <c r="D204" s="136">
        <v>0.0</v>
      </c>
    </row>
    <row r="205">
      <c r="A205" s="133">
        <v>50201.0</v>
      </c>
      <c r="B205" s="134" t="s">
        <v>208</v>
      </c>
      <c r="C205" s="136">
        <v>3405.8863261496476</v>
      </c>
      <c r="D205" s="136">
        <v>3228.410143186302</v>
      </c>
    </row>
    <row r="206">
      <c r="A206" s="133">
        <v>50202.0</v>
      </c>
      <c r="B206" s="134" t="s">
        <v>191</v>
      </c>
      <c r="C206" s="136">
        <v>223.00126465033998</v>
      </c>
      <c r="D206" s="136">
        <v>189.4973094006314</v>
      </c>
    </row>
    <row r="207">
      <c r="A207" s="133">
        <v>50203.0</v>
      </c>
      <c r="B207" s="134" t="s">
        <v>195</v>
      </c>
      <c r="C207" s="136">
        <v>12291.57054712509</v>
      </c>
      <c r="D207" s="136">
        <v>19197.186030367306</v>
      </c>
    </row>
    <row r="208">
      <c r="A208" s="133">
        <v>50204.0</v>
      </c>
      <c r="B208" s="134" t="s">
        <v>804</v>
      </c>
      <c r="C208" s="136">
        <v>0.0</v>
      </c>
      <c r="D208" s="136">
        <v>0.0</v>
      </c>
    </row>
    <row r="209">
      <c r="A209" s="133">
        <v>50301.0</v>
      </c>
      <c r="B209" s="134" t="s">
        <v>187</v>
      </c>
      <c r="C209" s="136">
        <v>1403.5458429478729</v>
      </c>
      <c r="D209" s="136">
        <v>2270.9151444002273</v>
      </c>
    </row>
    <row r="210">
      <c r="A210" s="133">
        <v>50302.0</v>
      </c>
      <c r="B210" s="134" t="s">
        <v>805</v>
      </c>
      <c r="C210" s="136">
        <v>96.70051594345954</v>
      </c>
      <c r="D210" s="136">
        <v>208.5599468065847</v>
      </c>
    </row>
    <row r="211">
      <c r="A211" s="133">
        <v>50303.0</v>
      </c>
      <c r="B211" s="134" t="s">
        <v>806</v>
      </c>
      <c r="C211" s="136">
        <v>0.0</v>
      </c>
      <c r="D211" s="136">
        <v>0.0</v>
      </c>
    </row>
    <row r="212">
      <c r="A212" s="133">
        <v>50401.0</v>
      </c>
      <c r="B212" s="134" t="s">
        <v>193</v>
      </c>
      <c r="C212" s="136">
        <v>44.35707532415035</v>
      </c>
      <c r="D212" s="136">
        <v>36.7997830858591</v>
      </c>
    </row>
    <row r="213">
      <c r="A213" s="133">
        <v>50402.0</v>
      </c>
      <c r="B213" s="134" t="s">
        <v>201</v>
      </c>
      <c r="C213" s="136">
        <v>27.391018495891743</v>
      </c>
      <c r="D213" s="136">
        <v>23.11127709494524</v>
      </c>
    </row>
    <row r="214">
      <c r="A214" s="133">
        <v>50403.0</v>
      </c>
      <c r="B214" s="134" t="s">
        <v>198</v>
      </c>
      <c r="C214" s="136">
        <v>117.0537353339565</v>
      </c>
      <c r="D214" s="136">
        <v>57.453850452654535</v>
      </c>
    </row>
    <row r="215">
      <c r="A215" s="133">
        <v>50404.0</v>
      </c>
      <c r="B215" s="134" t="s">
        <v>807</v>
      </c>
      <c r="C215" s="136">
        <v>4.052591730477038</v>
      </c>
      <c r="D215" s="136">
        <v>11.33301830085346</v>
      </c>
    </row>
    <row r="216">
      <c r="A216" s="133">
        <v>50405.0</v>
      </c>
      <c r="B216" s="134" t="s">
        <v>563</v>
      </c>
      <c r="C216" s="136">
        <v>0.0</v>
      </c>
      <c r="D216" s="136">
        <v>84.78536037383937</v>
      </c>
    </row>
    <row r="217">
      <c r="A217" s="133">
        <v>50501.0</v>
      </c>
      <c r="B217" s="134" t="s">
        <v>265</v>
      </c>
      <c r="C217" s="136">
        <v>26.061003454106064</v>
      </c>
      <c r="D217" s="136">
        <v>1354.896348084254</v>
      </c>
    </row>
    <row r="218">
      <c r="A218" s="133">
        <v>50502.0</v>
      </c>
      <c r="B218" s="134" t="s">
        <v>564</v>
      </c>
      <c r="C218" s="136">
        <v>0.0</v>
      </c>
      <c r="D218" s="136">
        <v>304.8345426260918</v>
      </c>
    </row>
    <row r="219">
      <c r="A219" s="133">
        <v>50601.0</v>
      </c>
      <c r="B219" s="134" t="s">
        <v>194</v>
      </c>
      <c r="C219" s="136">
        <v>931.1558408344348</v>
      </c>
      <c r="D219" s="136">
        <v>2790.2266882892627</v>
      </c>
    </row>
    <row r="220">
      <c r="A220" s="133">
        <v>50602.0</v>
      </c>
      <c r="B220" s="134" t="s">
        <v>211</v>
      </c>
      <c r="C220" s="136">
        <v>161.45218267377143</v>
      </c>
      <c r="D220" s="136">
        <v>96.90261044090245</v>
      </c>
    </row>
    <row r="221">
      <c r="A221" s="133">
        <v>50701.0</v>
      </c>
      <c r="B221" s="134" t="s">
        <v>808</v>
      </c>
      <c r="C221" s="136">
        <v>0.0</v>
      </c>
      <c r="D221" s="136">
        <v>0.0</v>
      </c>
    </row>
    <row r="222">
      <c r="A222" s="133">
        <v>50702.0</v>
      </c>
      <c r="B222" s="134" t="s">
        <v>189</v>
      </c>
      <c r="C222" s="136">
        <v>9.501223377262155</v>
      </c>
      <c r="D222" s="136">
        <v>8.659055271286952</v>
      </c>
    </row>
    <row r="223">
      <c r="A223" s="133">
        <v>50801.0</v>
      </c>
      <c r="B223" s="134" t="s">
        <v>207</v>
      </c>
      <c r="C223" s="136">
        <v>24989.780129811497</v>
      </c>
      <c r="D223" s="136">
        <v>34103.63795330823</v>
      </c>
    </row>
    <row r="224">
      <c r="A224" s="133">
        <v>50802.0</v>
      </c>
      <c r="B224" s="134" t="s">
        <v>185</v>
      </c>
      <c r="C224" s="136">
        <v>605.3722639924464</v>
      </c>
      <c r="D224" s="136">
        <v>1385.7879014692642</v>
      </c>
    </row>
    <row r="225">
      <c r="A225" s="133">
        <v>50901.0</v>
      </c>
      <c r="B225" s="134" t="s">
        <v>809</v>
      </c>
      <c r="C225" s="136">
        <v>2171.5750476983053</v>
      </c>
      <c r="D225" s="136">
        <v>11881.364600029807</v>
      </c>
    </row>
    <row r="226">
      <c r="A226" s="133">
        <v>50902.0</v>
      </c>
      <c r="B226" s="134" t="s">
        <v>810</v>
      </c>
      <c r="C226" s="136">
        <v>0.0</v>
      </c>
      <c r="D226" s="136">
        <v>0.0</v>
      </c>
    </row>
    <row r="227">
      <c r="A227" s="133">
        <v>51001.0</v>
      </c>
      <c r="B227" s="134" t="s">
        <v>811</v>
      </c>
      <c r="C227" s="136">
        <v>0.0</v>
      </c>
      <c r="D227" s="136">
        <v>0.0</v>
      </c>
    </row>
    <row r="228">
      <c r="A228" s="133">
        <v>51002.0</v>
      </c>
      <c r="B228" s="134" t="s">
        <v>812</v>
      </c>
      <c r="C228" s="136">
        <v>0.0</v>
      </c>
      <c r="D228" s="136">
        <v>0.0</v>
      </c>
    </row>
    <row r="229">
      <c r="A229" s="133">
        <v>51003.0</v>
      </c>
      <c r="B229" s="134" t="s">
        <v>202</v>
      </c>
      <c r="C229" s="136">
        <v>27.620553744957117</v>
      </c>
      <c r="D229" s="136">
        <v>23.27606074644811</v>
      </c>
    </row>
    <row r="230">
      <c r="A230" s="133">
        <v>51101.0</v>
      </c>
      <c r="B230" s="134" t="s">
        <v>200</v>
      </c>
      <c r="C230" s="136">
        <v>901.5641849060228</v>
      </c>
      <c r="D230" s="136">
        <v>907.156275159786</v>
      </c>
    </row>
    <row r="231">
      <c r="A231" s="133">
        <v>51102.0</v>
      </c>
      <c r="B231" s="134" t="s">
        <v>813</v>
      </c>
      <c r="C231" s="136">
        <v>90.34078555374931</v>
      </c>
      <c r="D231" s="136">
        <v>111.47433495192325</v>
      </c>
    </row>
    <row r="232">
      <c r="A232" s="133">
        <v>51103.0</v>
      </c>
      <c r="B232" s="134" t="s">
        <v>544</v>
      </c>
      <c r="C232" s="136">
        <v>0.0</v>
      </c>
      <c r="D232" s="136">
        <v>38.852853948353584</v>
      </c>
    </row>
    <row r="233">
      <c r="A233" s="133">
        <v>51201.0</v>
      </c>
      <c r="B233" s="134" t="s">
        <v>209</v>
      </c>
      <c r="C233" s="136">
        <v>23110.844138200267</v>
      </c>
      <c r="D233" s="136">
        <v>29610.494117537655</v>
      </c>
    </row>
    <row r="234">
      <c r="A234" s="133">
        <v>51202.0</v>
      </c>
      <c r="B234" s="134" t="s">
        <v>206</v>
      </c>
      <c r="C234" s="136">
        <v>22.178537662075176</v>
      </c>
      <c r="D234" s="136">
        <v>18.39989154292955</v>
      </c>
    </row>
    <row r="235">
      <c r="A235" s="133">
        <v>51203.0</v>
      </c>
      <c r="B235" s="134" t="s">
        <v>199</v>
      </c>
      <c r="C235" s="136">
        <v>2703.645817696103</v>
      </c>
      <c r="D235" s="136">
        <v>6940.1278422727</v>
      </c>
    </row>
    <row r="236">
      <c r="A236" s="133">
        <v>51204.0</v>
      </c>
      <c r="B236" s="134" t="s">
        <v>814</v>
      </c>
      <c r="C236" s="136">
        <v>0.0</v>
      </c>
      <c r="D236" s="136">
        <v>0.0</v>
      </c>
    </row>
    <row r="237">
      <c r="A237" s="133">
        <v>51301.0</v>
      </c>
      <c r="B237" s="134" t="s">
        <v>815</v>
      </c>
      <c r="C237" s="136">
        <v>0.0</v>
      </c>
      <c r="D237" s="136">
        <v>0.0</v>
      </c>
    </row>
    <row r="238">
      <c r="A238" s="133">
        <v>51302.0</v>
      </c>
      <c r="B238" s="134" t="s">
        <v>184</v>
      </c>
      <c r="C238" s="136">
        <v>0.0</v>
      </c>
      <c r="D238" s="136">
        <v>0.0</v>
      </c>
    </row>
    <row r="239">
      <c r="A239" s="133">
        <v>51401.0</v>
      </c>
      <c r="B239" s="134" t="s">
        <v>196</v>
      </c>
      <c r="C239" s="136">
        <v>214.96163612484162</v>
      </c>
      <c r="D239" s="136">
        <v>165.50872337220255</v>
      </c>
    </row>
    <row r="240">
      <c r="A240" s="133">
        <v>51402.0</v>
      </c>
      <c r="B240" s="134" t="s">
        <v>204</v>
      </c>
      <c r="C240" s="136">
        <v>0.0</v>
      </c>
      <c r="D240" s="136">
        <v>0.0</v>
      </c>
    </row>
    <row r="241">
      <c r="A241" s="133">
        <v>51501.0</v>
      </c>
      <c r="B241" s="134" t="s">
        <v>210</v>
      </c>
      <c r="C241" s="136">
        <v>20094.651242480584</v>
      </c>
      <c r="D241" s="136">
        <v>28385.01703771667</v>
      </c>
    </row>
    <row r="242">
      <c r="A242" s="133">
        <v>51601.0</v>
      </c>
      <c r="B242" s="134" t="s">
        <v>816</v>
      </c>
      <c r="C242" s="136">
        <v>0.0</v>
      </c>
      <c r="D242" s="136">
        <v>0.0</v>
      </c>
    </row>
    <row r="243">
      <c r="A243" s="133">
        <v>60101.0</v>
      </c>
      <c r="B243" s="134" t="s">
        <v>213</v>
      </c>
      <c r="C243" s="136">
        <v>384337.8315013083</v>
      </c>
      <c r="D243" s="136">
        <v>376414.0396052706</v>
      </c>
    </row>
    <row r="244">
      <c r="A244" s="133">
        <v>60201.0</v>
      </c>
      <c r="B244" s="134" t="s">
        <v>218</v>
      </c>
      <c r="C244" s="136">
        <v>1425.1352857600211</v>
      </c>
      <c r="D244" s="136">
        <v>3027.341909059613</v>
      </c>
    </row>
    <row r="245">
      <c r="A245" s="133">
        <v>60202.0</v>
      </c>
      <c r="B245" s="134" t="s">
        <v>214</v>
      </c>
      <c r="C245" s="136">
        <v>30260.28213911792</v>
      </c>
      <c r="D245" s="136">
        <v>33811.17113903527</v>
      </c>
    </row>
    <row r="246">
      <c r="A246" s="133">
        <v>60301.0</v>
      </c>
      <c r="B246" s="134" t="s">
        <v>222</v>
      </c>
      <c r="C246" s="136">
        <v>89358.70519367133</v>
      </c>
      <c r="D246" s="136">
        <v>86392.94325825803</v>
      </c>
    </row>
    <row r="247">
      <c r="A247" s="133">
        <v>60302.0</v>
      </c>
      <c r="B247" s="134" t="s">
        <v>215</v>
      </c>
      <c r="C247" s="136">
        <v>4886.69872814072</v>
      </c>
      <c r="D247" s="136">
        <v>6005.524236728736</v>
      </c>
    </row>
    <row r="248">
      <c r="A248" s="133">
        <v>60303.0</v>
      </c>
      <c r="B248" s="134" t="s">
        <v>817</v>
      </c>
      <c r="C248" s="136">
        <v>29878.423466862172</v>
      </c>
      <c r="D248" s="136">
        <v>34356.882145356336</v>
      </c>
    </row>
    <row r="249">
      <c r="A249" s="133">
        <v>60401.0</v>
      </c>
      <c r="B249" s="134" t="s">
        <v>818</v>
      </c>
      <c r="C249" s="136">
        <v>1790.575017929443</v>
      </c>
      <c r="D249" s="136">
        <v>53607.383732744835</v>
      </c>
    </row>
    <row r="250">
      <c r="A250" s="133">
        <v>60402.0</v>
      </c>
      <c r="B250" s="134" t="s">
        <v>223</v>
      </c>
      <c r="C250" s="136">
        <v>104.40283369617683</v>
      </c>
      <c r="D250" s="136">
        <v>859.4527775346438</v>
      </c>
    </row>
    <row r="251">
      <c r="A251" s="133">
        <v>60501.0</v>
      </c>
      <c r="B251" s="134" t="s">
        <v>219</v>
      </c>
      <c r="C251" s="136">
        <v>2368.214206419097</v>
      </c>
      <c r="D251" s="136">
        <v>39633.733992463094</v>
      </c>
    </row>
    <row r="252">
      <c r="A252" s="133">
        <v>60502.0</v>
      </c>
      <c r="B252" s="134" t="s">
        <v>819</v>
      </c>
      <c r="C252" s="136">
        <v>1276.5250316604906</v>
      </c>
      <c r="D252" s="136">
        <v>3650.8249567241487</v>
      </c>
    </row>
    <row r="253">
      <c r="A253" s="133">
        <v>60601.0</v>
      </c>
      <c r="B253" s="134" t="s">
        <v>120</v>
      </c>
      <c r="C253" s="136">
        <v>1161.3587522157559</v>
      </c>
      <c r="D253" s="136">
        <v>1443.4869301104995</v>
      </c>
    </row>
    <row r="254">
      <c r="A254" s="133">
        <v>70101.0</v>
      </c>
      <c r="B254" s="134" t="s">
        <v>267</v>
      </c>
      <c r="C254" s="136">
        <v>2345424.76679433</v>
      </c>
      <c r="D254" s="136">
        <v>2176431.2238989747</v>
      </c>
    </row>
    <row r="255">
      <c r="A255" s="133">
        <v>70102.0</v>
      </c>
      <c r="B255" s="134" t="s">
        <v>234</v>
      </c>
      <c r="C255" s="136">
        <v>47596.20760049816</v>
      </c>
      <c r="D255" s="136">
        <v>96634.67334158877</v>
      </c>
    </row>
    <row r="256">
      <c r="A256" s="133">
        <v>70103.0</v>
      </c>
      <c r="B256" s="134" t="s">
        <v>820</v>
      </c>
      <c r="C256" s="136">
        <v>1593.0275601625526</v>
      </c>
      <c r="D256" s="136">
        <v>259604.18962668357</v>
      </c>
    </row>
    <row r="257">
      <c r="A257" s="133">
        <v>70104.0</v>
      </c>
      <c r="B257" s="134" t="s">
        <v>241</v>
      </c>
      <c r="C257" s="136">
        <v>70520.32198729331</v>
      </c>
      <c r="D257" s="136">
        <v>222604.93743380773</v>
      </c>
    </row>
    <row r="258">
      <c r="A258" s="133">
        <v>70105.0</v>
      </c>
      <c r="B258" s="134" t="s">
        <v>237</v>
      </c>
      <c r="C258" s="136">
        <v>34479.216149261316</v>
      </c>
      <c r="D258" s="136">
        <v>202822.93411405978</v>
      </c>
    </row>
    <row r="259">
      <c r="A259" s="133">
        <v>70201.0</v>
      </c>
      <c r="B259" s="134" t="s">
        <v>272</v>
      </c>
      <c r="C259" s="136">
        <v>450800.1286063278</v>
      </c>
      <c r="D259" s="136">
        <v>411450.6483433859</v>
      </c>
    </row>
    <row r="260">
      <c r="A260" s="133">
        <v>70202.0</v>
      </c>
      <c r="B260" s="134" t="s">
        <v>821</v>
      </c>
      <c r="C260" s="136">
        <v>7097.553008458515</v>
      </c>
      <c r="D260" s="136">
        <v>29209.728442678494</v>
      </c>
    </row>
    <row r="261">
      <c r="A261" s="133">
        <v>70301.0</v>
      </c>
      <c r="B261" s="134" t="s">
        <v>822</v>
      </c>
      <c r="C261" s="136">
        <v>4185.007993503991</v>
      </c>
      <c r="D261" s="136">
        <v>6679.2153111505</v>
      </c>
    </row>
    <row r="262">
      <c r="A262" s="133">
        <v>70302.0</v>
      </c>
      <c r="B262" s="134" t="s">
        <v>264</v>
      </c>
      <c r="C262" s="136">
        <v>8.118673405843923</v>
      </c>
      <c r="D262" s="136">
        <v>180.61090213615452</v>
      </c>
    </row>
    <row r="263">
      <c r="A263" s="133">
        <v>70303.0</v>
      </c>
      <c r="B263" s="134" t="s">
        <v>823</v>
      </c>
      <c r="C263" s="136">
        <v>0.0</v>
      </c>
      <c r="D263" s="136">
        <v>0.0</v>
      </c>
    </row>
    <row r="264">
      <c r="A264" s="133">
        <v>70401.0</v>
      </c>
      <c r="B264" s="134" t="s">
        <v>227</v>
      </c>
      <c r="C264" s="136">
        <v>1101.8713458780796</v>
      </c>
      <c r="D264" s="136">
        <v>2072.205812020755</v>
      </c>
    </row>
    <row r="265">
      <c r="A265" s="133">
        <v>70402.0</v>
      </c>
      <c r="B265" s="134" t="s">
        <v>257</v>
      </c>
      <c r="C265" s="136">
        <v>1995.4234028861663</v>
      </c>
      <c r="D265" s="136">
        <v>12800.218726169202</v>
      </c>
    </row>
    <row r="266">
      <c r="A266" s="133">
        <v>70403.0</v>
      </c>
      <c r="B266" s="134" t="s">
        <v>273</v>
      </c>
      <c r="C266" s="136">
        <v>21621.99265377759</v>
      </c>
      <c r="D266" s="136">
        <v>36791.76779076297</v>
      </c>
    </row>
    <row r="267">
      <c r="A267" s="133">
        <v>70404.0</v>
      </c>
      <c r="B267" s="134" t="s">
        <v>261</v>
      </c>
      <c r="C267" s="136">
        <v>6326.234160287968</v>
      </c>
      <c r="D267" s="136">
        <v>6126.217390564717</v>
      </c>
    </row>
    <row r="268">
      <c r="A268" s="133">
        <v>70501.0</v>
      </c>
      <c r="B268" s="134" t="s">
        <v>260</v>
      </c>
      <c r="C268" s="136">
        <v>2343.4647418043746</v>
      </c>
      <c r="D268" s="136">
        <v>5404.162443689642</v>
      </c>
    </row>
    <row r="269">
      <c r="A269" s="133">
        <v>70502.0</v>
      </c>
      <c r="B269" s="134" t="s">
        <v>248</v>
      </c>
      <c r="C269" s="136">
        <v>5721.045374443287</v>
      </c>
      <c r="D269" s="136">
        <v>14577.887869677756</v>
      </c>
    </row>
    <row r="270">
      <c r="A270" s="133">
        <v>70503.0</v>
      </c>
      <c r="B270" s="134" t="s">
        <v>254</v>
      </c>
      <c r="C270" s="136">
        <v>27.109478595929584</v>
      </c>
      <c r="D270" s="136">
        <v>17.01168204285406</v>
      </c>
    </row>
    <row r="271">
      <c r="A271" s="133">
        <v>70601.0</v>
      </c>
      <c r="B271" s="134" t="s">
        <v>251</v>
      </c>
      <c r="C271" s="136">
        <v>33898.790609605385</v>
      </c>
      <c r="D271" s="136">
        <v>58541.596115422195</v>
      </c>
    </row>
    <row r="272">
      <c r="A272" s="133">
        <v>70602.0</v>
      </c>
      <c r="B272" s="134" t="s">
        <v>824</v>
      </c>
      <c r="C272" s="136">
        <v>146.4003596728157</v>
      </c>
      <c r="D272" s="136">
        <v>909.9998471575303</v>
      </c>
    </row>
    <row r="273">
      <c r="A273" s="133">
        <v>70603.0</v>
      </c>
      <c r="B273" s="134" t="s">
        <v>231</v>
      </c>
      <c r="C273" s="136">
        <v>1101.3054786468026</v>
      </c>
      <c r="D273" s="136">
        <v>208220.7904064305</v>
      </c>
    </row>
    <row r="274">
      <c r="A274" s="133">
        <v>70701.0</v>
      </c>
      <c r="B274" s="134" t="s">
        <v>242</v>
      </c>
      <c r="C274" s="136">
        <v>8.118673405843923</v>
      </c>
      <c r="D274" s="136">
        <v>2753.4647541508925</v>
      </c>
    </row>
    <row r="275">
      <c r="A275" s="133">
        <v>70702.0</v>
      </c>
      <c r="B275" s="134" t="s">
        <v>825</v>
      </c>
      <c r="C275" s="136">
        <v>638.1675707276959</v>
      </c>
      <c r="D275" s="136">
        <v>2961.359090071441</v>
      </c>
    </row>
    <row r="276">
      <c r="A276" s="133">
        <v>70703.0</v>
      </c>
      <c r="B276" s="134" t="s">
        <v>228</v>
      </c>
      <c r="C276" s="136">
        <v>2373.1839602057653</v>
      </c>
      <c r="D276" s="136">
        <v>13098.958763929591</v>
      </c>
    </row>
    <row r="277">
      <c r="A277" s="133">
        <v>70704.0</v>
      </c>
      <c r="B277" s="134" t="s">
        <v>236</v>
      </c>
      <c r="C277" s="136">
        <v>7.082376030752886</v>
      </c>
      <c r="D277" s="136">
        <v>1453.2233653641367</v>
      </c>
    </row>
    <row r="278">
      <c r="A278" s="133">
        <v>70705.0</v>
      </c>
      <c r="B278" s="134" t="s">
        <v>826</v>
      </c>
      <c r="C278" s="136">
        <v>2.7030275147720015</v>
      </c>
      <c r="D278" s="136">
        <v>2.210183944737274</v>
      </c>
    </row>
    <row r="279">
      <c r="A279" s="133">
        <v>70706.0</v>
      </c>
      <c r="B279" s="134" t="s">
        <v>229</v>
      </c>
      <c r="C279" s="136">
        <v>30827.07663508664</v>
      </c>
      <c r="D279" s="136">
        <v>25321.14853145687</v>
      </c>
    </row>
    <row r="280">
      <c r="A280" s="133">
        <v>70707.0</v>
      </c>
      <c r="B280" s="134" t="s">
        <v>226</v>
      </c>
      <c r="C280" s="136">
        <v>0.0</v>
      </c>
      <c r="D280" s="136">
        <v>173.83257088221706</v>
      </c>
    </row>
    <row r="281">
      <c r="A281" s="133">
        <v>70801.0</v>
      </c>
      <c r="B281" s="134" t="s">
        <v>271</v>
      </c>
      <c r="C281" s="136">
        <v>19884.546382215714</v>
      </c>
      <c r="D281" s="136">
        <v>13846.483144366885</v>
      </c>
    </row>
    <row r="282">
      <c r="A282" s="133">
        <v>70802.0</v>
      </c>
      <c r="B282" s="134" t="s">
        <v>269</v>
      </c>
      <c r="C282" s="136">
        <v>2.7070448175225046</v>
      </c>
      <c r="D282" s="136">
        <v>113.21038950321527</v>
      </c>
    </row>
    <row r="283">
      <c r="A283" s="133">
        <v>70803.0</v>
      </c>
      <c r="B283" s="134" t="s">
        <v>246</v>
      </c>
      <c r="C283" s="136">
        <v>238.75449277167903</v>
      </c>
      <c r="D283" s="136">
        <v>1350.134413031169</v>
      </c>
    </row>
    <row r="284">
      <c r="A284" s="133">
        <v>70804.0</v>
      </c>
      <c r="B284" s="134" t="s">
        <v>827</v>
      </c>
      <c r="C284" s="136">
        <v>0.0</v>
      </c>
      <c r="D284" s="136">
        <v>0.0</v>
      </c>
    </row>
    <row r="285">
      <c r="A285" s="133">
        <v>70805.0</v>
      </c>
      <c r="B285" s="134" t="s">
        <v>828</v>
      </c>
      <c r="C285" s="136">
        <v>0.0</v>
      </c>
      <c r="D285" s="136">
        <v>0.0</v>
      </c>
    </row>
    <row r="286">
      <c r="A286" s="133">
        <v>70901.0</v>
      </c>
      <c r="B286" s="134" t="s">
        <v>256</v>
      </c>
      <c r="C286" s="136">
        <v>568.5452421903932</v>
      </c>
      <c r="D286" s="136">
        <v>390.3609671584868</v>
      </c>
    </row>
    <row r="287">
      <c r="A287" s="133">
        <v>70902.0</v>
      </c>
      <c r="B287" s="134" t="s">
        <v>829</v>
      </c>
      <c r="C287" s="136">
        <v>70.48061867648906</v>
      </c>
      <c r="D287" s="136">
        <v>885.8472127283051</v>
      </c>
    </row>
    <row r="288">
      <c r="A288" s="133">
        <v>70903.0</v>
      </c>
      <c r="B288" s="134" t="s">
        <v>243</v>
      </c>
      <c r="C288" s="136">
        <v>823.0224573785985</v>
      </c>
      <c r="D288" s="136">
        <v>3118.2184777057</v>
      </c>
    </row>
    <row r="289">
      <c r="A289" s="133">
        <v>70904.0</v>
      </c>
      <c r="B289" s="134" t="s">
        <v>830</v>
      </c>
      <c r="C289" s="136">
        <v>0.0</v>
      </c>
      <c r="D289" s="136">
        <v>0.0</v>
      </c>
    </row>
    <row r="290">
      <c r="A290" s="133">
        <v>71001.0</v>
      </c>
      <c r="B290" s="134" t="s">
        <v>245</v>
      </c>
      <c r="C290" s="136">
        <v>385986.53356445173</v>
      </c>
      <c r="D290" s="136">
        <v>423402.4542837464</v>
      </c>
    </row>
    <row r="291">
      <c r="A291" s="133">
        <v>71002.0</v>
      </c>
      <c r="B291" s="134" t="s">
        <v>831</v>
      </c>
      <c r="C291" s="136">
        <v>11344.696450139145</v>
      </c>
      <c r="D291" s="136">
        <v>55969.96891123307</v>
      </c>
    </row>
    <row r="292">
      <c r="A292" s="133">
        <v>71003.0</v>
      </c>
      <c r="B292" s="134" t="s">
        <v>244</v>
      </c>
      <c r="C292" s="136">
        <v>16304.622471187356</v>
      </c>
      <c r="D292" s="136">
        <v>24005.461211140406</v>
      </c>
    </row>
    <row r="293">
      <c r="A293" s="133">
        <v>71004.0</v>
      </c>
      <c r="B293" s="134" t="s">
        <v>238</v>
      </c>
      <c r="C293" s="136">
        <v>5887.702082938435</v>
      </c>
      <c r="D293" s="136">
        <v>32859.99418817659</v>
      </c>
    </row>
    <row r="294">
      <c r="A294" s="133">
        <v>71005.0</v>
      </c>
      <c r="B294" s="134" t="s">
        <v>265</v>
      </c>
      <c r="C294" s="136">
        <v>3336.12730220003</v>
      </c>
      <c r="D294" s="136">
        <v>5866.591745254467</v>
      </c>
    </row>
    <row r="295">
      <c r="A295" s="133">
        <v>71101.0</v>
      </c>
      <c r="B295" s="134" t="s">
        <v>233</v>
      </c>
      <c r="C295" s="136">
        <v>839.9565084398612</v>
      </c>
      <c r="D295" s="136">
        <v>3553.6230952620676</v>
      </c>
    </row>
    <row r="296">
      <c r="A296" s="133">
        <v>71102.0</v>
      </c>
      <c r="B296" s="134" t="s">
        <v>832</v>
      </c>
      <c r="C296" s="136">
        <v>868.7173892828496</v>
      </c>
      <c r="D296" s="136">
        <v>2493.2360234730763</v>
      </c>
    </row>
    <row r="297">
      <c r="A297" s="133">
        <v>71103.0</v>
      </c>
      <c r="B297" s="134" t="s">
        <v>266</v>
      </c>
      <c r="C297" s="136">
        <v>278.92238790684155</v>
      </c>
      <c r="D297" s="136">
        <v>883.2423542777208</v>
      </c>
    </row>
    <row r="298">
      <c r="A298" s="133">
        <v>71104.0</v>
      </c>
      <c r="B298" s="134" t="s">
        <v>262</v>
      </c>
      <c r="C298" s="136">
        <v>20484.866087705734</v>
      </c>
      <c r="D298" s="136">
        <v>28494.306014872203</v>
      </c>
    </row>
    <row r="299">
      <c r="A299" s="133">
        <v>71105.0</v>
      </c>
      <c r="B299" s="134" t="s">
        <v>833</v>
      </c>
      <c r="C299" s="136">
        <v>0.0</v>
      </c>
      <c r="D299" s="136">
        <v>0.0</v>
      </c>
    </row>
    <row r="300">
      <c r="A300" s="133">
        <v>71106.0</v>
      </c>
      <c r="B300" s="134" t="s">
        <v>235</v>
      </c>
      <c r="C300" s="136">
        <v>6169.569580401354</v>
      </c>
      <c r="D300" s="136">
        <v>16578.88948710994</v>
      </c>
    </row>
    <row r="301">
      <c r="A301" s="133">
        <v>71201.0</v>
      </c>
      <c r="B301" s="134" t="s">
        <v>263</v>
      </c>
      <c r="C301" s="136">
        <v>8.118673405843923</v>
      </c>
      <c r="D301" s="136">
        <v>6.557051020175688</v>
      </c>
    </row>
    <row r="302">
      <c r="A302" s="133">
        <v>71301.0</v>
      </c>
      <c r="B302" s="134" t="s">
        <v>232</v>
      </c>
      <c r="C302" s="136">
        <v>4230.568321177783</v>
      </c>
      <c r="D302" s="136">
        <v>5007.069644596564</v>
      </c>
    </row>
    <row r="303">
      <c r="A303" s="133">
        <v>71302.0</v>
      </c>
      <c r="B303" s="134" t="s">
        <v>255</v>
      </c>
      <c r="C303" s="136">
        <v>1153.3962912978805</v>
      </c>
      <c r="D303" s="136">
        <v>461.4280602065176</v>
      </c>
    </row>
    <row r="304">
      <c r="A304" s="133">
        <v>71401.0</v>
      </c>
      <c r="B304" s="134" t="s">
        <v>253</v>
      </c>
      <c r="C304" s="136">
        <v>1969.6050507734406</v>
      </c>
      <c r="D304" s="136">
        <v>1853.8244170047574</v>
      </c>
    </row>
    <row r="305">
      <c r="A305" s="133">
        <v>71402.0</v>
      </c>
      <c r="B305" s="134" t="s">
        <v>252</v>
      </c>
      <c r="C305" s="136">
        <v>7376.998619692804</v>
      </c>
      <c r="D305" s="136">
        <v>6950.879804860878</v>
      </c>
    </row>
    <row r="306">
      <c r="A306" s="133">
        <v>71403.0</v>
      </c>
      <c r="B306" s="134" t="s">
        <v>834</v>
      </c>
      <c r="C306" s="136">
        <v>0.0</v>
      </c>
      <c r="D306" s="136">
        <v>0.0</v>
      </c>
    </row>
    <row r="307">
      <c r="A307" s="133">
        <v>71501.0</v>
      </c>
      <c r="B307" s="134" t="s">
        <v>835</v>
      </c>
      <c r="C307" s="136">
        <v>2594.2756021245814</v>
      </c>
      <c r="D307" s="136">
        <v>5516.016301540516</v>
      </c>
    </row>
    <row r="308">
      <c r="A308" s="133">
        <v>71502.0</v>
      </c>
      <c r="B308" s="134" t="s">
        <v>270</v>
      </c>
      <c r="C308" s="136">
        <v>2.7070448175225046</v>
      </c>
      <c r="D308" s="136">
        <v>2.2137054570758274</v>
      </c>
    </row>
    <row r="309">
      <c r="A309" s="133">
        <v>71503.0</v>
      </c>
      <c r="B309" s="134" t="s">
        <v>819</v>
      </c>
      <c r="C309" s="136">
        <v>0.0</v>
      </c>
      <c r="D309" s="136">
        <v>0.0</v>
      </c>
    </row>
    <row r="310">
      <c r="A310" s="133">
        <v>80101.0</v>
      </c>
      <c r="B310" s="134" t="s">
        <v>283</v>
      </c>
      <c r="C310" s="136">
        <v>300769.7215106666</v>
      </c>
      <c r="D310" s="136">
        <v>267464.31942671</v>
      </c>
    </row>
    <row r="311">
      <c r="A311" s="133">
        <v>80102.0</v>
      </c>
      <c r="B311" s="134" t="s">
        <v>832</v>
      </c>
      <c r="C311" s="136">
        <v>4.037088751115283</v>
      </c>
      <c r="D311" s="136">
        <v>1390.3241146883688</v>
      </c>
    </row>
    <row r="312">
      <c r="A312" s="133">
        <v>80201.0</v>
      </c>
      <c r="B312" s="134" t="s">
        <v>277</v>
      </c>
      <c r="C312" s="136">
        <v>22379.274055905244</v>
      </c>
      <c r="D312" s="136">
        <v>33468.07275703815</v>
      </c>
    </row>
    <row r="313">
      <c r="A313" s="133">
        <v>80202.0</v>
      </c>
      <c r="B313" s="134" t="s">
        <v>836</v>
      </c>
      <c r="C313" s="136">
        <v>476.0460356852892</v>
      </c>
      <c r="D313" s="136">
        <v>241.691794745298</v>
      </c>
    </row>
    <row r="314">
      <c r="A314" s="133">
        <v>80301.0</v>
      </c>
      <c r="B314" s="134" t="s">
        <v>837</v>
      </c>
      <c r="C314" s="136">
        <v>0.0</v>
      </c>
      <c r="D314" s="136">
        <v>0.0</v>
      </c>
    </row>
    <row r="315">
      <c r="A315" s="133">
        <v>80302.0</v>
      </c>
      <c r="B315" s="134" t="s">
        <v>278</v>
      </c>
      <c r="C315" s="136">
        <v>2270.53889957617</v>
      </c>
      <c r="D315" s="136">
        <v>3107.5035715249724</v>
      </c>
    </row>
    <row r="316">
      <c r="A316" s="133">
        <v>80303.0</v>
      </c>
      <c r="B316" s="134" t="s">
        <v>824</v>
      </c>
      <c r="C316" s="136">
        <v>0.0</v>
      </c>
      <c r="D316" s="136">
        <v>0.0</v>
      </c>
    </row>
    <row r="317">
      <c r="A317" s="133">
        <v>80304.0</v>
      </c>
      <c r="B317" s="134" t="s">
        <v>838</v>
      </c>
      <c r="C317" s="136">
        <v>2489.0654586576384</v>
      </c>
      <c r="D317" s="136">
        <v>4975.613273927801</v>
      </c>
    </row>
    <row r="318">
      <c r="A318" s="133">
        <v>80401.0</v>
      </c>
      <c r="B318" s="134" t="s">
        <v>839</v>
      </c>
      <c r="C318" s="136">
        <v>377.3025797561219</v>
      </c>
      <c r="D318" s="136">
        <v>3676.7886590926364</v>
      </c>
    </row>
    <row r="319">
      <c r="A319" s="133">
        <v>80402.0</v>
      </c>
      <c r="B319" s="134" t="s">
        <v>840</v>
      </c>
      <c r="C319" s="136">
        <v>0.0</v>
      </c>
      <c r="D319" s="136">
        <v>0.0</v>
      </c>
    </row>
    <row r="320">
      <c r="A320" s="133">
        <v>80501.0</v>
      </c>
      <c r="B320" s="134" t="s">
        <v>822</v>
      </c>
      <c r="C320" s="136">
        <v>4.037088751115283</v>
      </c>
      <c r="D320" s="136">
        <v>3.6667319675490613</v>
      </c>
    </row>
    <row r="321">
      <c r="A321" s="133">
        <v>80601.0</v>
      </c>
      <c r="B321" s="134" t="s">
        <v>841</v>
      </c>
      <c r="C321" s="136">
        <v>0.0</v>
      </c>
      <c r="D321" s="136">
        <v>0.0</v>
      </c>
    </row>
    <row r="322">
      <c r="A322" s="133">
        <v>80602.0</v>
      </c>
      <c r="B322" s="134" t="s">
        <v>693</v>
      </c>
      <c r="C322" s="136">
        <v>0.0</v>
      </c>
      <c r="D322" s="136">
        <v>3206.5913674165026</v>
      </c>
    </row>
    <row r="323">
      <c r="A323" s="133">
        <v>80701.0</v>
      </c>
      <c r="B323" s="134" t="s">
        <v>281</v>
      </c>
      <c r="C323" s="136">
        <v>107.03391883885197</v>
      </c>
      <c r="D323" s="136">
        <v>54.19663490536157</v>
      </c>
    </row>
    <row r="324">
      <c r="A324" s="133">
        <v>80702.0</v>
      </c>
      <c r="B324" s="134" t="s">
        <v>266</v>
      </c>
      <c r="C324" s="136">
        <v>28.866874383134405</v>
      </c>
      <c r="D324" s="136">
        <v>15.797229903372633</v>
      </c>
    </row>
    <row r="325">
      <c r="A325" s="133">
        <v>80703.0</v>
      </c>
      <c r="B325" s="134" t="s">
        <v>842</v>
      </c>
      <c r="C325" s="136">
        <v>0.0</v>
      </c>
      <c r="D325" s="136">
        <v>0.0</v>
      </c>
    </row>
    <row r="326">
      <c r="A326" s="133">
        <v>80801.0</v>
      </c>
      <c r="B326" s="134" t="s">
        <v>843</v>
      </c>
      <c r="C326" s="136">
        <v>0.0</v>
      </c>
      <c r="D326" s="136">
        <v>0.0</v>
      </c>
    </row>
    <row r="327">
      <c r="A327" s="133">
        <v>80802.0</v>
      </c>
      <c r="B327" s="134" t="s">
        <v>844</v>
      </c>
      <c r="C327" s="136">
        <v>0.0</v>
      </c>
      <c r="D327" s="136">
        <v>0.0</v>
      </c>
    </row>
    <row r="328">
      <c r="A328" s="133">
        <v>80803.0</v>
      </c>
      <c r="B328" s="134" t="s">
        <v>845</v>
      </c>
      <c r="C328" s="136">
        <v>0.0</v>
      </c>
      <c r="D328" s="136">
        <v>0.0</v>
      </c>
    </row>
    <row r="329">
      <c r="A329" s="133">
        <v>80901.0</v>
      </c>
      <c r="B329" s="134" t="s">
        <v>846</v>
      </c>
      <c r="C329" s="136">
        <v>0.0</v>
      </c>
      <c r="D329" s="136">
        <v>0.0</v>
      </c>
    </row>
    <row r="330">
      <c r="A330" s="133">
        <v>90101.0</v>
      </c>
      <c r="B330" s="134" t="s">
        <v>285</v>
      </c>
      <c r="C330" s="136">
        <v>68711.11582114756</v>
      </c>
      <c r="D330" s="136">
        <v>75343.22976811558</v>
      </c>
    </row>
    <row r="331">
      <c r="A331" s="133">
        <v>90102.0</v>
      </c>
      <c r="B331" s="134" t="s">
        <v>702</v>
      </c>
      <c r="C331" s="136">
        <v>0.0</v>
      </c>
      <c r="D331" s="136">
        <v>1474.4425988894232</v>
      </c>
    </row>
    <row r="332">
      <c r="A332" s="133">
        <v>90103.0</v>
      </c>
      <c r="B332" s="134" t="s">
        <v>847</v>
      </c>
      <c r="C332" s="136">
        <v>0.0</v>
      </c>
      <c r="D332" s="136">
        <v>0.0</v>
      </c>
    </row>
    <row r="333">
      <c r="A333" s="133">
        <v>90104.0</v>
      </c>
      <c r="B333" s="134" t="s">
        <v>848</v>
      </c>
      <c r="C333" s="136">
        <v>0.0</v>
      </c>
      <c r="D333" s="136">
        <v>0.0</v>
      </c>
    </row>
    <row r="334">
      <c r="A334" s="133">
        <v>90201.0</v>
      </c>
      <c r="B334" s="134" t="s">
        <v>849</v>
      </c>
      <c r="C334" s="136">
        <v>0.0</v>
      </c>
      <c r="D334" s="136">
        <v>0.0</v>
      </c>
    </row>
    <row r="335">
      <c r="A335" s="133">
        <v>90202.0</v>
      </c>
      <c r="B335" s="134" t="s">
        <v>265</v>
      </c>
      <c r="C335" s="136">
        <v>0.0</v>
      </c>
      <c r="D335" s="136">
        <v>0.0</v>
      </c>
    </row>
    <row r="336">
      <c r="A336" s="133">
        <v>90203.0</v>
      </c>
      <c r="B336" s="134" t="s">
        <v>850</v>
      </c>
      <c r="C336" s="136">
        <v>0.0</v>
      </c>
      <c r="D336" s="136">
        <v>0.0</v>
      </c>
    </row>
    <row r="337">
      <c r="A337" s="133">
        <v>90301.0</v>
      </c>
      <c r="B337" s="134" t="s">
        <v>851</v>
      </c>
      <c r="C337" s="136">
        <v>0.0</v>
      </c>
      <c r="D337" s="136">
        <v>0.0</v>
      </c>
    </row>
    <row r="338">
      <c r="A338" s="133">
        <v>90302.0</v>
      </c>
      <c r="B338" s="134" t="s">
        <v>219</v>
      </c>
      <c r="C338" s="136">
        <v>0.0</v>
      </c>
      <c r="D338" s="136">
        <v>0.0</v>
      </c>
    </row>
    <row r="339">
      <c r="A339" s="133">
        <v>90303.0</v>
      </c>
      <c r="B339" s="134" t="s">
        <v>852</v>
      </c>
      <c r="C339" s="136">
        <v>0.0</v>
      </c>
      <c r="D339" s="136">
        <v>0.0</v>
      </c>
    </row>
    <row r="340">
      <c r="A340" s="133">
        <v>90401.0</v>
      </c>
      <c r="B340" s="134" t="s">
        <v>824</v>
      </c>
      <c r="C340" s="136">
        <v>0.0</v>
      </c>
      <c r="D340" s="136">
        <v>0.0</v>
      </c>
    </row>
    <row r="341">
      <c r="A341" s="133">
        <v>90402.0</v>
      </c>
      <c r="B341" s="134" t="s">
        <v>853</v>
      </c>
      <c r="C341" s="136">
        <v>0.0</v>
      </c>
      <c r="D341" s="136">
        <v>0.0</v>
      </c>
    </row>
    <row r="342">
      <c r="A342" s="133">
        <v>90501.0</v>
      </c>
      <c r="B342" s="134" t="s">
        <v>854</v>
      </c>
      <c r="C342" s="136">
        <v>0.0</v>
      </c>
      <c r="D342" s="136">
        <v>0.0</v>
      </c>
    </row>
    <row r="343">
      <c r="A343" s="133">
        <v>90502.0</v>
      </c>
      <c r="B343" s="134" t="s">
        <v>855</v>
      </c>
      <c r="C343" s="136">
        <v>0.0</v>
      </c>
      <c r="D343" s="136">
        <v>0.0</v>
      </c>
    </row>
    <row r="344">
      <c r="A344" s="133">
        <v>90503.0</v>
      </c>
      <c r="B344" s="134" t="s">
        <v>856</v>
      </c>
      <c r="C344" s="136">
        <v>0.0</v>
      </c>
      <c r="D344" s="136">
        <v>0.0</v>
      </c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105" t="s">
        <v>714</v>
      </c>
      <c r="B1" s="105" t="s">
        <v>0</v>
      </c>
      <c r="C1" s="105" t="s">
        <v>862</v>
      </c>
      <c r="D1" s="105" t="s">
        <v>863</v>
      </c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>
      <c r="A2" s="107">
        <v>1.0</v>
      </c>
      <c r="B2" s="107" t="s">
        <v>9</v>
      </c>
      <c r="C2" s="135">
        <v>0.5495830126827045</v>
      </c>
      <c r="D2" s="135">
        <v>0.6507675466739765</v>
      </c>
    </row>
    <row r="3">
      <c r="A3" s="107">
        <v>2.0</v>
      </c>
      <c r="B3" s="107" t="s">
        <v>51</v>
      </c>
      <c r="C3" s="135">
        <v>0.732964288151268</v>
      </c>
      <c r="D3" s="135">
        <v>0.9857725394783934</v>
      </c>
    </row>
    <row r="4">
      <c r="A4" s="107">
        <v>3.0</v>
      </c>
      <c r="B4" s="107" t="s">
        <v>105</v>
      </c>
      <c r="C4" s="135">
        <v>0.947810976076203</v>
      </c>
      <c r="D4" s="135">
        <v>1.0784142323039776</v>
      </c>
    </row>
    <row r="5">
      <c r="A5" s="107">
        <v>4.0</v>
      </c>
      <c r="B5" s="107" t="s">
        <v>151</v>
      </c>
      <c r="C5" s="135">
        <v>1.0784290031268233</v>
      </c>
      <c r="D5" s="135">
        <v>1.312389959279092</v>
      </c>
    </row>
    <row r="6">
      <c r="A6" s="107">
        <v>5.0</v>
      </c>
      <c r="B6" s="107" t="s">
        <v>183</v>
      </c>
      <c r="C6" s="135">
        <v>0.5525829866631623</v>
      </c>
      <c r="D6" s="135">
        <v>0.6695177677992057</v>
      </c>
    </row>
    <row r="7">
      <c r="A7" s="107">
        <v>6.0</v>
      </c>
      <c r="B7" s="107" t="s">
        <v>213</v>
      </c>
      <c r="C7" s="135">
        <v>1.1020920414856001</v>
      </c>
      <c r="D7" s="135">
        <v>1.1965384112676398</v>
      </c>
    </row>
    <row r="8">
      <c r="A8" s="107">
        <v>7.0</v>
      </c>
      <c r="B8" s="107" t="s">
        <v>224</v>
      </c>
      <c r="C8" s="135">
        <v>1.2834552026106978</v>
      </c>
      <c r="D8" s="135">
        <v>1.4188327462685573</v>
      </c>
    </row>
    <row r="9">
      <c r="A9" s="107">
        <v>8.0</v>
      </c>
      <c r="B9" s="107" t="s">
        <v>274</v>
      </c>
      <c r="C9" s="135">
        <v>0.7499490926462791</v>
      </c>
      <c r="D9" s="135">
        <v>0.6504824592674394</v>
      </c>
    </row>
    <row r="10">
      <c r="A10" s="107">
        <v>9.0</v>
      </c>
      <c r="B10" s="107" t="s">
        <v>284</v>
      </c>
      <c r="C10" s="135">
        <v>0.5904259558167102</v>
      </c>
      <c r="D10" s="135">
        <v>0.5724374589549831</v>
      </c>
    </row>
    <row r="11">
      <c r="A11" s="107">
        <v>10.0</v>
      </c>
      <c r="B11" s="107" t="s">
        <v>749</v>
      </c>
      <c r="C11" s="135">
        <v>0.8251569883142322</v>
      </c>
      <c r="D11" s="135">
        <v>0.7958819924172639</v>
      </c>
    </row>
    <row r="12">
      <c r="A12" s="107">
        <v>11.0</v>
      </c>
      <c r="B12" s="107" t="s">
        <v>7</v>
      </c>
      <c r="C12" s="135">
        <v>0.9267117157020562</v>
      </c>
      <c r="D12" s="135">
        <v>1.0864061693756628</v>
      </c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105" t="s">
        <v>714</v>
      </c>
      <c r="B1" s="105" t="s">
        <v>0</v>
      </c>
      <c r="C1" s="105" t="s">
        <v>864</v>
      </c>
      <c r="D1" s="105" t="s">
        <v>865</v>
      </c>
    </row>
    <row r="2">
      <c r="A2" s="107">
        <v>1.0</v>
      </c>
      <c r="B2" s="107" t="s">
        <v>9</v>
      </c>
      <c r="C2" s="136">
        <v>322714.59546427144</v>
      </c>
      <c r="D2" s="136">
        <v>394382.70400818996</v>
      </c>
    </row>
    <row r="3">
      <c r="A3" s="107">
        <v>2.0</v>
      </c>
      <c r="B3" s="107" t="s">
        <v>51</v>
      </c>
      <c r="C3" s="136">
        <v>2050275.0097364609</v>
      </c>
      <c r="D3" s="136">
        <v>2987794.7480382337</v>
      </c>
    </row>
    <row r="4">
      <c r="A4" s="107">
        <v>3.0</v>
      </c>
      <c r="B4" s="107" t="s">
        <v>105</v>
      </c>
      <c r="C4" s="136">
        <v>1730854.4920713191</v>
      </c>
      <c r="D4" s="136">
        <v>2174468.0862057516</v>
      </c>
    </row>
    <row r="5">
      <c r="A5" s="107">
        <v>4.0</v>
      </c>
      <c r="B5" s="107" t="s">
        <v>151</v>
      </c>
      <c r="C5" s="136">
        <v>554105.4492385867</v>
      </c>
      <c r="D5" s="136">
        <v>749992.802419182</v>
      </c>
    </row>
    <row r="6">
      <c r="A6" s="107">
        <v>5.0</v>
      </c>
      <c r="B6" s="107" t="s">
        <v>183</v>
      </c>
      <c r="C6" s="136">
        <v>462352.12520817446</v>
      </c>
      <c r="D6" s="136">
        <v>576650.2972633136</v>
      </c>
    </row>
    <row r="7">
      <c r="A7" s="107">
        <v>6.0</v>
      </c>
      <c r="B7" s="107" t="s">
        <v>213</v>
      </c>
      <c r="C7" s="136">
        <v>546848.1521567814</v>
      </c>
      <c r="D7" s="136">
        <v>639202.784683286</v>
      </c>
    </row>
    <row r="8">
      <c r="A8" s="107">
        <v>7.0</v>
      </c>
      <c r="B8" s="107" t="s">
        <v>224</v>
      </c>
      <c r="C8" s="136">
        <v>3560269.757887804</v>
      </c>
      <c r="D8" s="136">
        <v>4430454.227661928</v>
      </c>
    </row>
    <row r="9">
      <c r="A9" s="107">
        <v>8.0</v>
      </c>
      <c r="B9" s="107" t="s">
        <v>274</v>
      </c>
      <c r="C9" s="136">
        <v>328905.9235109713</v>
      </c>
      <c r="D9" s="136">
        <v>317604.56556192</v>
      </c>
    </row>
    <row r="10">
      <c r="A10" s="107">
        <v>9.0</v>
      </c>
      <c r="B10" s="107" t="s">
        <v>284</v>
      </c>
      <c r="C10" s="136">
        <v>68711.11582114756</v>
      </c>
      <c r="D10" s="136">
        <v>76817.672367005</v>
      </c>
    </row>
    <row r="11">
      <c r="A11" s="107">
        <v>10.0</v>
      </c>
      <c r="B11" s="107" t="s">
        <v>749</v>
      </c>
      <c r="C11" s="136">
        <v>124123.82738867422</v>
      </c>
      <c r="D11" s="136">
        <v>126755.3496403431</v>
      </c>
    </row>
    <row r="12">
      <c r="A12" s="107">
        <v>11.0</v>
      </c>
      <c r="B12" s="107" t="s">
        <v>7</v>
      </c>
      <c r="C12" s="136">
        <v>9625036.621095518</v>
      </c>
      <c r="D12" s="136">
        <v>1.2347367888208808E7</v>
      </c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workbookViewId="0"/>
  </sheetViews>
  <sheetFormatPr customHeight="1" defaultColWidth="12.63" defaultRowHeight="15.0"/>
  <sheetData>
    <row r="1" ht="15.0" customHeight="1">
      <c r="A1" s="137" t="s">
        <v>866</v>
      </c>
      <c r="B1" s="137" t="s">
        <v>867</v>
      </c>
      <c r="C1" s="138" t="s">
        <v>868</v>
      </c>
      <c r="D1" s="138" t="s">
        <v>869</v>
      </c>
      <c r="E1" s="139" t="s">
        <v>870</v>
      </c>
      <c r="F1" s="139" t="s">
        <v>871</v>
      </c>
      <c r="G1" s="140" t="s">
        <v>872</v>
      </c>
      <c r="H1" s="140" t="s">
        <v>873</v>
      </c>
      <c r="I1" s="141" t="s">
        <v>874</v>
      </c>
      <c r="J1" s="141" t="s">
        <v>875</v>
      </c>
      <c r="K1" s="142" t="s">
        <v>876</v>
      </c>
    </row>
    <row r="2" ht="15.0" customHeight="1">
      <c r="A2" s="143">
        <v>13.0</v>
      </c>
      <c r="B2" s="144" t="s">
        <v>877</v>
      </c>
      <c r="C2" s="143">
        <v>0.0</v>
      </c>
      <c r="D2" s="143">
        <v>0.0</v>
      </c>
      <c r="E2" s="143">
        <v>1.0E-7</v>
      </c>
      <c r="F2" s="143">
        <v>0.2</v>
      </c>
      <c r="G2" s="143">
        <v>0.2</v>
      </c>
      <c r="H2" s="143">
        <v>0.7</v>
      </c>
      <c r="I2" s="143">
        <v>0.7</v>
      </c>
      <c r="J2" s="143">
        <v>99.0</v>
      </c>
      <c r="K2" s="142" t="s">
        <v>878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