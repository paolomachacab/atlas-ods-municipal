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crudos 2012" sheetId="1" r:id="rId4"/>
    <sheet state="visible" name="Datos crudos 2024" sheetId="2" r:id="rId5"/>
    <sheet state="visible" name="Datos procesados " sheetId="3" r:id="rId6"/>
    <sheet state="visible" name="Indicador_MUN" sheetId="4" r:id="rId7"/>
    <sheet state="visible" name="Absoluto_MUN" sheetId="5" r:id="rId8"/>
    <sheet state="visible" name="Absoluto_DEP" sheetId="6" r:id="rId9"/>
    <sheet state="visible" name="Indicador_DEP" sheetId="7" r:id="rId10"/>
    <sheet state="visible" name="Umbral" sheetId="8" r:id="rId11"/>
    <sheet state="visible" name="Mapa" sheetId="9" r:id="rId12"/>
  </sheets>
  <definedNames/>
  <calcPr/>
  <extLst>
    <ext uri="GoogleSheetsCustomDataVersion2">
      <go:sheetsCustomData xmlns:go="http://customooxmlschemas.google.com/" r:id="rId13" roundtripDataChecksum="RYCvjQP7d6X+q6S1CWWd4jIzJzhC8Ejw0DJ0lU/XVZI="/>
    </ext>
  </extLst>
</workbook>
</file>

<file path=xl/sharedStrings.xml><?xml version="1.0" encoding="utf-8"?>
<sst xmlns="http://schemas.openxmlformats.org/spreadsheetml/2006/main" count="1544" uniqueCount="404">
  <si>
    <t>MUN</t>
  </si>
  <si>
    <t xml:space="preserve">Cantidad de pobres de hogares con jefe de adulto mayor </t>
  </si>
  <si>
    <t xml:space="preserve">Suma de privaciones de hogares con jefe de adulto mayor </t>
  </si>
  <si>
    <t xml:space="preserve">Cantidad de personas de hogares con jefe de adulto mayor </t>
  </si>
  <si>
    <t xml:space="preserve">H de hogares con jefe de adulto mayor </t>
  </si>
  <si>
    <t xml:space="preserve">A de hogares con jefe de adulto mayor </t>
  </si>
  <si>
    <t xml:space="preserve">IPM de hogares con jefe de adulto mayor </t>
  </si>
  <si>
    <t xml:space="preserve">Cantidad de pobres de hogares sin jefe de adulto mayor </t>
  </si>
  <si>
    <t xml:space="preserve">Suma de privaciones de hogares sin jefe de adulto mayor </t>
  </si>
  <si>
    <t xml:space="preserve">Cantidad de personas de hogares sin jefe de adulto mayor </t>
  </si>
  <si>
    <t xml:space="preserve">H de hogares sin jefe de adulto mayor </t>
  </si>
  <si>
    <t xml:space="preserve">A de hogares sin jefe de adulto mayor </t>
  </si>
  <si>
    <t xml:space="preserve">IPM de hogares sin jefe de adulto mayor </t>
  </si>
  <si>
    <t>Brecha adulto mayor 2012</t>
  </si>
  <si>
    <t>idep</t>
  </si>
  <si>
    <t>Departamento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</si>
  <si>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</si>
  <si>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</si>
  <si>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</si>
  <si>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</si>
  <si>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</si>
  <si>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</si>
  <si>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</si>
  <si>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</si>
  <si>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</si>
  <si>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Gran Chaco</t>
  </si>
  <si>
    <t>Bolivia</t>
  </si>
  <si>
    <t>codigo_nuevo</t>
  </si>
  <si>
    <t xml:space="preserve">Hogar con adulto mayor </t>
  </si>
  <si>
    <t>pobres</t>
  </si>
  <si>
    <t>H</t>
  </si>
  <si>
    <t>A</t>
  </si>
  <si>
    <t>suma de privaciones</t>
  </si>
  <si>
    <t>personas</t>
  </si>
  <si>
    <t>MPI</t>
  </si>
  <si>
    <t xml:space="preserve">Hogar sin adulto mayor </t>
  </si>
  <si>
    <t>privaciones</t>
  </si>
  <si>
    <t>id</t>
  </si>
  <si>
    <t>Municipio</t>
  </si>
  <si>
    <t>ipm_adultomayor_2012</t>
  </si>
  <si>
    <t>ipm_noadultomayor_2012</t>
  </si>
  <si>
    <t>brecha2012 sin municipios faltantes</t>
  </si>
  <si>
    <t>brecha2012 con municipios faltantes</t>
  </si>
  <si>
    <t>ipm_adulto_mayor2024</t>
  </si>
  <si>
    <t>ipm_adulto_no_mayor2024</t>
  </si>
  <si>
    <t>brecha2024</t>
  </si>
  <si>
    <t>Sucre</t>
  </si>
  <si>
    <t>Yotala</t>
  </si>
  <si>
    <t>promedio</t>
  </si>
  <si>
    <t>Poroma</t>
  </si>
  <si>
    <t>desv</t>
  </si>
  <si>
    <t>Azurduy</t>
  </si>
  <si>
    <t>Tarvita</t>
  </si>
  <si>
    <t>Zudáñez</t>
  </si>
  <si>
    <t>max</t>
  </si>
  <si>
    <t>Presto</t>
  </si>
  <si>
    <t>Mojocoya</t>
  </si>
  <si>
    <t>Icla</t>
  </si>
  <si>
    <t>Padilla</t>
  </si>
  <si>
    <t>Tomina</t>
  </si>
  <si>
    <t>Sopachuy</t>
  </si>
  <si>
    <t>Alcalá</t>
  </si>
  <si>
    <t>El Villar</t>
  </si>
  <si>
    <t>Monteagudo</t>
  </si>
  <si>
    <t>Huacareta</t>
  </si>
  <si>
    <t>nombre</t>
  </si>
  <si>
    <t>Razón de pobreza multidimensional entre hogares con jefe adulto mayor y sin jefe adulto mayor</t>
  </si>
  <si>
    <t>Tarabuco</t>
  </si>
  <si>
    <t>Yamparáez</t>
  </si>
  <si>
    <t>Hogar con jefe de hogar adulto mayor</t>
  </si>
  <si>
    <t>Camargo</t>
  </si>
  <si>
    <t>San Lucas</t>
  </si>
  <si>
    <t xml:space="preserve">1,628,738 </t>
  </si>
  <si>
    <t>2,181,955</t>
  </si>
  <si>
    <t>Incahuasi</t>
  </si>
  <si>
    <t>16.57 %</t>
  </si>
  <si>
    <t>19.60 %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</si>
  <si>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</si>
  <si>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</si>
  <si>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</si>
  <si>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</si>
  <si>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</si>
  <si>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</si>
  <si>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Guaraní Chaqueño de Huacaya)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</si>
  <si>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</si>
  <si>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</si>
  <si>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</si>
  <si>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</si>
  <si>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</si>
  <si>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</si>
  <si>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</si>
  <si>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</si>
  <si>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</si>
  <si>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</si>
  <si>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</si>
  <si>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</si>
  <si>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</si>
  <si>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</si>
  <si>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</si>
  <si>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</si>
  <si>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</si>
  <si>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</si>
  <si>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</si>
  <si>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</si>
  <si>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</si>
  <si>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</si>
  <si>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</si>
  <si>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</si>
  <si>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</si>
  <si>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</si>
  <si>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</si>
  <si>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</si>
  <si>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</si>
  <si>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</si>
  <si>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</si>
  <si>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</si>
  <si>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</si>
  <si>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</si>
  <si>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</si>
  <si>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</si>
  <si>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</si>
  <si>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</si>
  <si>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</si>
  <si>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</si>
  <si>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</si>
  <si>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</si>
  <si>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</si>
  <si>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</si>
  <si>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</si>
  <si>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</si>
  <si>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</si>
  <si>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</si>
  <si>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</si>
  <si>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</si>
  <si>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</si>
  <si>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</si>
  <si>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</si>
  <si>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</si>
  <si>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</si>
  <si>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</si>
  <si>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</si>
  <si>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</si>
  <si>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</si>
  <si>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</si>
  <si>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</si>
  <si>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</si>
  <si>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</si>
  <si>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</si>
  <si>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</si>
  <si>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</si>
  <si>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</si>
  <si>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</si>
  <si>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</si>
  <si>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</si>
  <si>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</si>
  <si>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</si>
  <si>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</si>
  <si>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</si>
  <si>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</si>
  <si>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</si>
  <si>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</si>
  <si>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</si>
  <si>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</si>
  <si>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</si>
  <si>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</si>
  <si>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</si>
  <si>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</si>
  <si>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</si>
  <si>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</si>
  <si>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</si>
  <si>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</si>
  <si>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</si>
  <si>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</si>
  <si>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</si>
  <si>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</si>
  <si>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</si>
  <si>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</si>
  <si>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</si>
  <si>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</si>
  <si>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</si>
  <si>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</si>
  <si>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</si>
  <si>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</si>
  <si>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</si>
  <si>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</si>
  <si>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</si>
  <si>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</si>
  <si>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</si>
  <si>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</si>
  <si>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</si>
  <si>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</si>
  <si>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</si>
  <si>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</si>
  <si>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</si>
  <si>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</si>
  <si>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</si>
  <si>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</si>
  <si>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</si>
  <si>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</si>
  <si>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</si>
  <si>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</si>
  <si>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</si>
  <si>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</si>
  <si>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</si>
  <si>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</si>
  <si>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</si>
  <si>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</si>
  <si>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</si>
  <si>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</si>
  <si>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</si>
  <si>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</si>
  <si>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</si>
  <si>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</si>
  <si>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</si>
  <si>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</si>
  <si>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</si>
  <si>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</si>
  <si>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</si>
  <si>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</si>
  <si>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</si>
  <si>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</si>
  <si>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</si>
  <si>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</si>
  <si>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</si>
  <si>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</si>
  <si>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</si>
  <si>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</si>
  <si>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</si>
  <si>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</si>
  <si>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</si>
  <si>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</si>
  <si>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</si>
  <si>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</si>
  <si>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</si>
  <si>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</si>
  <si>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</si>
  <si>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</si>
  <si>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</si>
  <si>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</si>
  <si>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</si>
  <si>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</si>
  <si>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</si>
  <si>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</si>
  <si>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</si>
  <si>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</si>
  <si>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</si>
  <si>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</si>
  <si>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</si>
  <si>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</si>
  <si>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</si>
  <si>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</si>
  <si>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</si>
  <si>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</si>
  <si>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</si>
  <si>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</si>
  <si>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</si>
  <si>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</si>
  <si>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</si>
  <si>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</si>
  <si>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</si>
  <si>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</si>
  <si>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</si>
  <si>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</si>
  <si>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</si>
  <si>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</si>
  <si>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</si>
  <si>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</si>
  <si>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</si>
  <si>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</si>
  <si>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</si>
  <si>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</si>
  <si>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</si>
  <si>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</si>
  <si>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</si>
  <si>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</si>
  <si>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</si>
  <si>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</si>
  <si>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</si>
  <si>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</si>
  <si>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</si>
  <si>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</si>
  <si>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</si>
  <si>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</si>
  <si>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</si>
  <si>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</si>
  <si>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</si>
  <si>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</si>
  <si>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</si>
  <si>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</si>
  <si>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</si>
  <si>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</si>
  <si>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</si>
  <si>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</si>
  <si>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</si>
  <si>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</si>
  <si>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</si>
  <si>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</si>
  <si>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</si>
  <si>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</si>
  <si>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</si>
  <si>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</si>
  <si>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</si>
  <si>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</si>
  <si>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</si>
  <si>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</si>
  <si>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</si>
  <si>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</si>
  <si>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</si>
  <si>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</si>
  <si>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</t>
  </si>
  <si>
    <t>San Miguel</t>
  </si>
  <si>
    <t>San Rafael</t>
  </si>
  <si>
    <t>Buena Vista</t>
  </si>
  <si>
    <t>San Carlos</t>
  </si>
  <si>
    <t>Yapacaní</t>
  </si>
  <si>
    <t>San Juan</t>
  </si>
  <si>
    <t>San José</t>
  </si>
  <si>
    <t>Pailón</t>
  </si>
  <si>
    <t>Roboré</t>
  </si>
  <si>
    <t>Portachuelo</t>
  </si>
  <si>
    <t>Santa Rosa</t>
  </si>
  <si>
    <t>Colpa Bélgica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</si>
  <si>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</si>
  <si>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</si>
  <si>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</si>
  <si>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</si>
  <si>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</si>
  <si>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</si>
  <si>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</si>
  <si>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</si>
  <si>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</si>
  <si>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</si>
  <si>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</si>
  <si>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</si>
  <si>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</si>
  <si>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</si>
  <si>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</si>
  <si>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</si>
  <si>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</si>
  <si>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</si>
  <si>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</si>
  <si>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</si>
  <si>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</si>
  <si>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</si>
  <si>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</si>
  <si>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</si>
  <si>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</si>
  <si>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</si>
  <si>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</si>
  <si>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</si>
  <si>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</si>
  <si>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</si>
  <si>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</si>
  <si>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</si>
  <si>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</si>
  <si>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</si>
  <si>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</si>
  <si>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</si>
  <si>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</si>
  <si>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</si>
  <si>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</si>
  <si>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Puerto Menor de Rurrenabaque</t>
  </si>
  <si>
    <t>Santa Ana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</si>
  <si>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</si>
  <si>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</si>
  <si>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</si>
  <si>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</si>
  <si>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</si>
  <si>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</si>
  <si>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</si>
  <si>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</si>
  <si>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</si>
  <si>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</si>
  <si>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</si>
  <si>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</si>
  <si>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</si>
  <si>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</si>
  <si>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</si>
  <si>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</si>
  <si>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</si>
  <si>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</si>
  <si>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</si>
  <si>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</si>
  <si>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</si>
  <si>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ipm_adultomayor2012</t>
  </si>
  <si>
    <t>ipm_noadultomayor2012</t>
  </si>
  <si>
    <t>brecha2012</t>
  </si>
  <si>
    <t>ipm_adultomayor2024</t>
  </si>
  <si>
    <t>ipm_noadultomayor2024</t>
  </si>
  <si>
    <t>Brecha de pobreza multidimensional entre hogares con jefe adulto mayor y sin jefe adulto mayor 2012</t>
  </si>
  <si>
    <t>Brecha de pobreza multidimensional entre hogares con jefe adulto mayor y sin jefe adulto mayor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</si>
  <si>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</si>
  <si>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</si>
  <si>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</si>
  <si>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</si>
  <si>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</si>
  <si>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</si>
  <si>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</si>
  <si>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</si>
  <si>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</si>
  <si>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</si>
  <si>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</si>
  <si>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Brecha de pobreza multidimensional entre hogares con jefe adulto mayor y sin jefe adulto mayor</t>
  </si>
  <si>
    <t>Alcanzar la paridad entre sub poblaciones con el índice de pobreza multidimensional =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</si>
</sst>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00"/>
    <numFmt numFmtId="166" formatCode="000"/>
    <numFmt numFmtId="167" formatCode="0.0"/>
  </numFmts>
  <fonts count="9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sz val="10.0"/>
      <color rgb="FF000000"/>
      <name val="Arial"/>
    </font>
    <font>
      <color theme="1"/>
      <name val="Arial"/>
    </font>
    <font>
      <b/>
      <sz val="11.0"/>
      <color rgb="FFFFFFFF"/>
      <name val="Calibri"/>
    </font>
    <font>
      <sz val="10.0"/>
      <color theme="1"/>
      <name val="Arial"/>
    </font>
    <font>
      <b/>
      <sz val="11.0"/>
      <color theme="1"/>
      <name val="Calibri"/>
    </font>
    <font>
      <b/>
      <sz val="9.0"/>
      <color theme="1"/>
      <name val="Play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1" numFmtId="2" xfId="0" applyAlignment="1" applyFont="1" applyNumberFormat="1">
      <alignment shrinkToFit="0" vertical="bottom" wrapText="1"/>
    </xf>
    <xf borderId="0" fillId="0" fontId="1" numFmtId="2" xfId="0" applyAlignment="1" applyFont="1" applyNumberFormat="1">
      <alignment shrinkToFit="0" wrapText="1"/>
    </xf>
    <xf borderId="1" fillId="2" fontId="2" numFmtId="49" xfId="0" applyAlignment="1" applyBorder="1" applyFill="1" applyFont="1" applyNumberFormat="1">
      <alignment horizontal="center"/>
    </xf>
    <xf borderId="0" fillId="0" fontId="1" numFmtId="1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/>
    </xf>
    <xf borderId="0" fillId="0" fontId="1" numFmtId="0" xfId="0" applyFont="1"/>
    <xf borderId="0" fillId="2" fontId="2" numFmtId="0" xfId="0" applyAlignment="1" applyFont="1">
      <alignment horizontal="right"/>
    </xf>
    <xf borderId="1" fillId="2" fontId="2" numFmtId="49" xfId="0" applyBorder="1" applyFont="1" applyNumberFormat="1"/>
    <xf borderId="0" fillId="0" fontId="1" numFmtId="2" xfId="0" applyFont="1" applyNumberFormat="1"/>
    <xf borderId="0" fillId="2" fontId="3" numFmtId="0" xfId="0" applyFont="1"/>
    <xf borderId="0" fillId="2" fontId="3" numFmtId="49" xfId="0" applyFont="1" applyNumberFormat="1"/>
    <xf borderId="0" fillId="0" fontId="1" numFmtId="1" xfId="0" applyFont="1" applyNumberFormat="1"/>
    <xf borderId="0" fillId="0" fontId="4" numFmtId="2" xfId="0" applyFont="1" applyNumberFormat="1"/>
    <xf borderId="0" fillId="0" fontId="1" numFmtId="164" xfId="0" applyAlignment="1" applyFont="1" applyNumberFormat="1">
      <alignment shrinkToFit="0" wrapText="1"/>
    </xf>
    <xf borderId="0" fillId="0" fontId="1" numFmtId="165" xfId="0" applyAlignment="1" applyFont="1" applyNumberFormat="1">
      <alignment shrinkToFit="0" wrapText="1"/>
    </xf>
    <xf borderId="0" fillId="0" fontId="1" numFmtId="1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0" fillId="0" fontId="1" numFmtId="165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1" numFmtId="165" xfId="0" applyFont="1" applyNumberFormat="1"/>
    <xf borderId="1" fillId="3" fontId="5" numFmtId="166" xfId="0" applyAlignment="1" applyBorder="1" applyFill="1" applyFont="1" applyNumberFormat="1">
      <alignment horizontal="center" shrinkToFit="0" wrapText="1"/>
    </xf>
    <xf borderId="1" fillId="3" fontId="5" numFmtId="164" xfId="0" applyAlignment="1" applyBorder="1" applyFont="1" applyNumberFormat="1">
      <alignment horizontal="center" shrinkToFit="0" wrapText="1"/>
    </xf>
    <xf borderId="1" fillId="3" fontId="5" numFmtId="164" xfId="0" applyAlignment="1" applyBorder="1" applyFont="1" applyNumberFormat="1">
      <alignment horizontal="center" shrinkToFit="0" wrapText="1"/>
    </xf>
    <xf borderId="0" fillId="0" fontId="6" numFmtId="164" xfId="0" applyAlignment="1" applyFont="1" applyNumberFormat="1">
      <alignment shrinkToFit="0" wrapText="1"/>
    </xf>
    <xf borderId="0" fillId="0" fontId="1" numFmtId="166" xfId="0" applyAlignment="1" applyFont="1" applyNumberFormat="1">
      <alignment horizontal="right"/>
    </xf>
    <xf borderId="1" fillId="2" fontId="1" numFmtId="164" xfId="0" applyBorder="1" applyFont="1" applyNumberFormat="1"/>
    <xf borderId="0" fillId="0" fontId="6" numFmtId="164" xfId="0" applyFont="1" applyNumberFormat="1"/>
    <xf borderId="0" fillId="0" fontId="6" numFmtId="164" xfId="0" applyAlignment="1" applyFont="1" applyNumberFormat="1">
      <alignment horizontal="right"/>
    </xf>
    <xf borderId="0" fillId="0" fontId="6" numFmtId="1" xfId="0" applyFont="1" applyNumberFormat="1"/>
    <xf borderId="2" fillId="0" fontId="6" numFmtId="164" xfId="0" applyBorder="1" applyFont="1" applyNumberFormat="1"/>
    <xf borderId="2" fillId="0" fontId="6" numFmtId="166" xfId="0" applyBorder="1" applyFont="1" applyNumberFormat="1"/>
    <xf borderId="1" fillId="2" fontId="1" numFmtId="166" xfId="0" applyAlignment="1" applyBorder="1" applyFont="1" applyNumberFormat="1">
      <alignment horizontal="right"/>
    </xf>
    <xf borderId="0" fillId="0" fontId="6" numFmtId="166" xfId="0" applyFont="1" applyNumberFormat="1"/>
    <xf borderId="1" fillId="2" fontId="6" numFmtId="164" xfId="0" applyBorder="1" applyFont="1" applyNumberFormat="1"/>
    <xf borderId="1" fillId="2" fontId="6" numFmtId="164" xfId="0" applyBorder="1" applyFont="1" applyNumberFormat="1"/>
    <xf borderId="1" fillId="2" fontId="6" numFmtId="164" xfId="0" applyAlignment="1" applyBorder="1" applyFont="1" applyNumberFormat="1">
      <alignment shrinkToFit="0" wrapText="1"/>
    </xf>
    <xf borderId="0" fillId="0" fontId="1" numFmtId="3" xfId="0" applyAlignment="1" applyFont="1" applyNumberFormat="1">
      <alignment horizontal="right"/>
    </xf>
    <xf borderId="0" fillId="0" fontId="3" numFmtId="164" xfId="0" applyFont="1" applyNumberFormat="1"/>
    <xf borderId="0" fillId="0" fontId="6" numFmtId="3" xfId="0" applyFont="1" applyNumberFormat="1"/>
    <xf borderId="1" fillId="2" fontId="6" numFmtId="3" xfId="0" applyBorder="1" applyFont="1" applyNumberFormat="1"/>
    <xf borderId="1" fillId="2" fontId="6" numFmtId="166" xfId="0" applyBorder="1" applyFont="1" applyNumberFormat="1"/>
    <xf borderId="1" fillId="3" fontId="5" numFmtId="1" xfId="0" applyAlignment="1" applyBorder="1" applyFont="1" applyNumberFormat="1">
      <alignment horizontal="center"/>
    </xf>
    <xf borderId="1" fillId="3" fontId="5" numFmtId="49" xfId="0" applyAlignment="1" applyBorder="1" applyFont="1" applyNumberFormat="1">
      <alignment horizontal="center"/>
    </xf>
    <xf borderId="1" fillId="3" fontId="5" numFmtId="4" xfId="0" applyAlignment="1" applyBorder="1" applyFont="1" applyNumberFormat="1">
      <alignment horizontal="center"/>
    </xf>
    <xf borderId="1" fillId="2" fontId="1" numFmtId="49" xfId="0" applyBorder="1" applyFont="1" applyNumberFormat="1"/>
    <xf borderId="0" fillId="0" fontId="6" numFmtId="4" xfId="0" applyAlignment="1" applyFont="1" applyNumberFormat="1">
      <alignment horizontal="right"/>
    </xf>
    <xf borderId="0" fillId="0" fontId="6" numFmtId="4" xfId="0" applyFont="1" applyNumberFormat="1"/>
    <xf borderId="1" fillId="2" fontId="1" numFmtId="1" xfId="0" applyAlignment="1" applyBorder="1" applyFont="1" applyNumberFormat="1">
      <alignment horizontal="right"/>
    </xf>
    <xf borderId="1" fillId="2" fontId="6" numFmtId="49" xfId="0" applyBorder="1" applyFont="1" applyNumberFormat="1"/>
    <xf borderId="0" fillId="0" fontId="1" numFmtId="49" xfId="0" applyAlignment="1" applyFont="1" applyNumberFormat="1">
      <alignment horizontal="right"/>
    </xf>
    <xf borderId="0" fillId="0" fontId="1" numFmtId="4" xfId="0" applyAlignment="1" applyFont="1" applyNumberFormat="1">
      <alignment horizontal="right"/>
    </xf>
    <xf borderId="1" fillId="2" fontId="6" numFmtId="1" xfId="0" applyBorder="1" applyFont="1" applyNumberFormat="1"/>
    <xf borderId="0" fillId="0" fontId="4" numFmtId="1" xfId="0" applyFont="1" applyNumberFormat="1"/>
    <xf borderId="0" fillId="0" fontId="4" numFmtId="4" xfId="0" applyFont="1" applyNumberFormat="1"/>
    <xf borderId="1" fillId="3" fontId="5" numFmtId="4" xfId="0" applyAlignment="1" applyBorder="1" applyFont="1" applyNumberFormat="1">
      <alignment horizontal="center"/>
    </xf>
    <xf borderId="0" fillId="0" fontId="6" numFmtId="49" xfId="0" applyFont="1" applyNumberFormat="1"/>
    <xf borderId="0" fillId="0" fontId="6" numFmtId="2" xfId="0" applyAlignment="1" applyFont="1" applyNumberFormat="1">
      <alignment horizontal="right"/>
    </xf>
    <xf borderId="0" fillId="0" fontId="6" numFmtId="2" xfId="0" applyFont="1" applyNumberFormat="1"/>
    <xf borderId="2" fillId="4" fontId="7" numFmtId="0" xfId="0" applyBorder="1" applyFill="1" applyFont="1"/>
    <xf borderId="2" fillId="5" fontId="8" numFmtId="0" xfId="0" applyAlignment="1" applyBorder="1" applyFill="1" applyFont="1">
      <alignment horizontal="center" shrinkToFit="0" wrapText="1"/>
    </xf>
    <xf borderId="2" fillId="5" fontId="8" numFmtId="165" xfId="0" applyAlignment="1" applyBorder="1" applyFont="1" applyNumberFormat="1">
      <alignment horizontal="center" shrinkToFit="0" wrapText="1"/>
    </xf>
    <xf borderId="2" fillId="6" fontId="8" numFmtId="165" xfId="0" applyAlignment="1" applyBorder="1" applyFill="1" applyFont="1" applyNumberFormat="1">
      <alignment horizontal="center" shrinkToFit="0" wrapText="1"/>
    </xf>
    <xf borderId="2" fillId="6" fontId="8" numFmtId="0" xfId="0" applyAlignment="1" applyBorder="1" applyFont="1">
      <alignment horizontal="center" shrinkToFit="0" wrapText="1"/>
    </xf>
    <xf borderId="2" fillId="7" fontId="8" numFmtId="0" xfId="0" applyAlignment="1" applyBorder="1" applyFill="1" applyFont="1">
      <alignment horizontal="center" shrinkToFit="0" wrapText="1"/>
    </xf>
    <xf borderId="2" fillId="8" fontId="8" numFmtId="0" xfId="0" applyAlignment="1" applyBorder="1" applyFill="1" applyFont="1">
      <alignment horizontal="center" shrinkToFit="0" wrapText="1"/>
    </xf>
    <xf borderId="2" fillId="9" fontId="7" numFmtId="0" xfId="0" applyAlignment="1" applyBorder="1" applyFill="1" applyFont="1">
      <alignment horizontal="center" shrinkToFit="0" vertical="bottom" wrapText="1"/>
    </xf>
    <xf borderId="0" fillId="0" fontId="6" numFmtId="0" xfId="0" applyFont="1"/>
    <xf borderId="2" fillId="0" fontId="1" numFmtId="0" xfId="0" applyAlignment="1" applyBorder="1" applyFont="1">
      <alignment horizontal="right"/>
    </xf>
    <xf borderId="2" fillId="0" fontId="1" numFmtId="0" xfId="0" applyBorder="1" applyFont="1"/>
    <xf borderId="2" fillId="0" fontId="1" numFmtId="0" xfId="0" applyAlignment="1" applyBorder="1" applyFont="1">
      <alignment horizontal="right" vertical="bottom"/>
    </xf>
    <xf borderId="2" fillId="0" fontId="4" numFmtId="1" xfId="0" applyAlignment="1" applyBorder="1" applyFont="1" applyNumberFormat="1">
      <alignment horizontal="right" vertical="bottom"/>
    </xf>
    <xf borderId="2" fillId="0" fontId="4" numFmtId="2" xfId="0" applyAlignment="1" applyBorder="1" applyFont="1" applyNumberFormat="1">
      <alignment horizontal="right" vertical="bottom"/>
    </xf>
    <xf borderId="2" fillId="0" fontId="4" numFmtId="167" xfId="0" applyAlignment="1" applyBorder="1" applyFont="1" applyNumberFormat="1">
      <alignment horizontal="right" vertical="bottom"/>
    </xf>
    <xf borderId="2" fillId="0" fontId="1" numFmtId="167" xfId="0" applyAlignment="1" applyBorder="1" applyFont="1" applyNumberFormat="1">
      <alignment horizontal="right" vertical="bottom"/>
    </xf>
    <xf borderId="2" fillId="0" fontId="4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0">
    <tableStyle count="3" pivot="0" name="Datos procesados -style">
      <tableStyleElement dxfId="1" type="headerRow"/>
      <tableStyleElement dxfId="2" type="firstRowStripe"/>
      <tableStyleElement dxfId="3" type="secondRowStripe"/>
    </tableStyle>
    <tableStyle count="3" pivot="0" name="Datos procesados -style 2">
      <tableStyleElement dxfId="1" type="headerRow"/>
      <tableStyleElement dxfId="2" type="firstRowStripe"/>
      <tableStyleElement dxfId="3" type="secondRowStripe"/>
    </tableStyle>
    <tableStyle count="3" pivot="0" name="Datos procesados -style 3">
      <tableStyleElement dxfId="1" type="headerRow"/>
      <tableStyleElement dxfId="2" type="firstRowStripe"/>
      <tableStyleElement dxfId="3" type="secondRowStripe"/>
    </tableStyle>
    <tableStyle count="2" pivot="0" name="Datos procesados -style 4">
      <tableStyleElement dxfId="3" type="firstRowStripe"/>
      <tableStyleElement dxfId="2" type="secondRowStripe"/>
    </tableStyle>
    <tableStyle count="2" pivot="0" name="Datos procesados -style 5">
      <tableStyleElement dxfId="3" type="firstRowStripe"/>
      <tableStyleElement dxfId="2" type="secondRowStripe"/>
    </tableStyle>
    <tableStyle count="2" pivot="0" name="Datos procesados -style 6">
      <tableStyleElement dxfId="3" type="firstRowStripe"/>
      <tableStyleElement dxfId="2" type="secondRowStripe"/>
    </tableStyle>
    <tableStyle count="2" pivot="0" name="Indicador_MUN-style">
      <tableStyleElement dxfId="3" type="firstRowStripe"/>
      <tableStyleElement dxfId="2" type="secondRowStripe"/>
    </tableStyle>
    <tableStyle count="2" pivot="0" name="Absoluto_MUN-style">
      <tableStyleElement dxfId="3" type="firstRowStripe"/>
      <tableStyleElement dxfId="2" type="secondRowStripe"/>
    </tableStyle>
    <tableStyle count="2" pivot="0" name="Absoluto_DEP-style">
      <tableStyleElement dxfId="3" type="firstRowStripe"/>
      <tableStyleElement dxfId="2" type="secondRowStripe"/>
    </tableStyle>
    <tableStyle count="2" pivot="0" name="Indicador_DEP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B558" displayName="Table_1" name="Table_1" id="1">
  <tableColumns count="1">
    <tableColumn name="Municipio" id="1"/>
  </tableColumns>
  <tableStyleInfo name="Datos procesados -style" showColumnStripes="0" showFirstColumn="1" showLastColumn="1" showRowStripes="1"/>
</table>
</file>

<file path=xl/tables/table2.xml><?xml version="1.0" encoding="utf-8"?>
<table xmlns="http://schemas.openxmlformats.org/spreadsheetml/2006/main" headerRowCount="0" ref="D1:F1" displayName="Table_2" name="Table_2" id="2">
  <tableColumns count="3">
    <tableColumn name="Column1" id="1"/>
    <tableColumn name="Column2" id="2"/>
    <tableColumn name="Column3" id="3"/>
  </tableColumns>
  <tableStyleInfo name="Datos procesados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J1:J558" displayName="Table_3" name="Table_3" id="3">
  <tableColumns count="1">
    <tableColumn name="Municipio" id="1"/>
  </tableColumns>
  <tableStyleInfo name="Datos procesados -style 3" showColumnStripes="0" showFirstColumn="1" showLastColumn="1" showRowStripes="1"/>
</table>
</file>

<file path=xl/tables/table4.xml><?xml version="1.0" encoding="utf-8"?>
<table xmlns="http://schemas.openxmlformats.org/spreadsheetml/2006/main" headerRowCount="0" ref="L1:M1" displayName="Table_4" name="Table_4" id="4">
  <tableColumns count="2">
    <tableColumn name="Column1" id="1"/>
    <tableColumn name="Column2" id="2"/>
  </tableColumns>
  <tableStyleInfo name="Datos procesados -style 4" showColumnStripes="0" showFirstColumn="1" showLastColumn="1" showRowStripes="1"/>
</table>
</file>

<file path=xl/tables/table5.xml><?xml version="1.0" encoding="utf-8"?>
<table xmlns="http://schemas.openxmlformats.org/spreadsheetml/2006/main" headerRowCount="0" ref="D347:H347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Datos procesados -style 5" showColumnStripes="0" showFirstColumn="1" showLastColumn="1" showRowStripes="1"/>
</table>
</file>

<file path=xl/tables/table6.xml><?xml version="1.0" encoding="utf-8"?>
<table xmlns="http://schemas.openxmlformats.org/spreadsheetml/2006/main" headerRowCount="0" ref="L347:M347" displayName="Table_6" name="Table_6" id="6">
  <tableColumns count="2">
    <tableColumn name="Column1" id="1"/>
    <tableColumn name="Column2" id="2"/>
  </tableColumns>
  <tableStyleInfo name="Datos procesados -style 6" showColumnStripes="0" showFirstColumn="1" showLastColumn="1" showRowStripes="1"/>
</table>
</file>

<file path=xl/tables/table7.xml><?xml version="1.0" encoding="utf-8"?>
<table xmlns="http://schemas.openxmlformats.org/spreadsheetml/2006/main" headerRowCount="0" ref="D1" displayName="Table_7" name="Table_7" id="7">
  <tableColumns count="1">
    <tableColumn name="Column1" id="1"/>
  </tableColumns>
  <tableStyleInfo name="Indicador_MUN-style" showColumnStripes="0" showFirstColumn="1" showLastColumn="1" showRowStripes="1"/>
</table>
</file>

<file path=xl/tables/table8.xml><?xml version="1.0" encoding="utf-8"?>
<table xmlns="http://schemas.openxmlformats.org/spreadsheetml/2006/main" headerRowCount="0" ref="D1" displayName="Table_8" name="Table_8" id="8">
  <tableColumns count="1">
    <tableColumn name="Column1" id="1"/>
  </tableColumns>
  <tableStyleInfo name="Absoluto_MUN-style" showColumnStripes="0" showFirstColumn="1" showLastColumn="1" showRowStripes="1"/>
</table>
</file>

<file path=xl/tables/table9.xml><?xml version="1.0" encoding="utf-8"?>
<table xmlns="http://schemas.openxmlformats.org/spreadsheetml/2006/main" headerRowCount="0" ref="D1" displayName="Table_9" name="Table_9" id="9">
  <tableColumns count="1">
    <tableColumn name="Column1" id="1"/>
  </tableColumns>
  <tableStyleInfo name="Absoluto_DEP-style" showColumnStripes="0" showFirstColumn="1" showLastColumn="1" showRowStripes="1"/>
</table>
</file>

<file path=xl/tables/table10.xml><?xml version="1.0" encoding="utf-8"?>
<table xmlns="http://schemas.openxmlformats.org/spreadsheetml/2006/main" headerRowCount="0" ref="D1" displayName="Table_10" name="Table_10" id="10">
  <tableColumns count="1">
    <tableColumn name="Column1" id="1"/>
  </tableColumns>
  <tableStyleInfo name="Indicador_DE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5.63"/>
    <col customWidth="1" min="3" max="3" width="13.88"/>
    <col customWidth="1" min="4" max="4" width="14.13"/>
    <col customWidth="1" min="5" max="7" width="11.25"/>
    <col customWidth="1" min="8" max="8" width="15.63"/>
    <col customWidth="1" min="9" max="10" width="13.75"/>
    <col customWidth="1" min="11" max="11" width="11.0"/>
    <col customWidth="1" min="12" max="12" width="10.63"/>
    <col customWidth="1" min="13" max="13" width="11.5"/>
    <col customWidth="1" min="14" max="14" width="6.88"/>
    <col customWidth="1" min="18" max="18" width="14.5"/>
    <col customWidth="1" min="19" max="19" width="14.25"/>
    <col customWidth="1" min="20" max="20" width="14.38"/>
    <col customWidth="1" min="24" max="24" width="14.63"/>
    <col customWidth="1" min="25" max="25" width="14.75"/>
    <col customWidth="1" min="26" max="26" width="14.63"/>
  </cols>
  <sheetData>
    <row r="1" ht="61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1"/>
      <c r="P1" s="5" t="s">
        <v>14</v>
      </c>
      <c r="Q1" s="5" t="s">
        <v>15</v>
      </c>
      <c r="R1" s="2" t="s">
        <v>1</v>
      </c>
      <c r="S1" s="2" t="s">
        <v>2</v>
      </c>
      <c r="T1" s="2" t="s">
        <v>3</v>
      </c>
      <c r="U1" s="3" t="s">
        <v>4</v>
      </c>
      <c r="V1" s="3" t="s">
        <v>5</v>
      </c>
      <c r="W1" s="3" t="s">
        <v>6</v>
      </c>
      <c r="X1" s="2" t="s">
        <v>7</v>
      </c>
      <c r="Y1" s="2" t="s">
        <v>8</v>
      </c>
      <c r="Z1" s="2" t="s">
        <v>9</v>
      </c>
      <c r="AA1" s="3" t="s">
        <v>10</v>
      </c>
      <c r="AB1" s="3" t="s">
        <v>11</v>
      </c>
      <c r="AC1" s="3" t="s">
        <v>12</v>
      </c>
      <c r="AD1" s="4" t="s">
        <v>13</v>
      </c>
    </row>
    <row r="2" ht="15.75" customHeight="1">
      <c r="A2" s="6">
        <v>10101.0</v>
      </c>
      <c r="B2" s="6">
        <v>6602.0</v>
      </c>
      <c r="C2" s="6">
        <v>3011.7778636217117</v>
      </c>
      <c r="D2" s="6">
        <v>42952.0</v>
      </c>
      <c r="E2" s="7">
        <f t="shared" ref="E2:E346" si="1">B2/D2</f>
        <v>0.153706463</v>
      </c>
      <c r="F2" s="7">
        <f t="shared" ref="F2:F346" si="2">C2/B2</f>
        <v>0.4561917394</v>
      </c>
      <c r="G2" s="7">
        <f t="shared" ref="G2:G346" si="3">E2*F2</f>
        <v>0.07011961873</v>
      </c>
      <c r="H2" s="6">
        <v>33988.0</v>
      </c>
      <c r="I2" s="6">
        <v>14948.00038588047</v>
      </c>
      <c r="J2" s="6">
        <v>211327.0</v>
      </c>
      <c r="K2" s="7">
        <f t="shared" ref="K2:K346" si="4">H2/J2</f>
        <v>0.1608313183</v>
      </c>
      <c r="L2" s="7">
        <f t="shared" ref="L2:L346" si="5">I2/H2</f>
        <v>0.4398022945</v>
      </c>
      <c r="M2" s="7">
        <f t="shared" ref="M2:M346" si="6">K2*L2</f>
        <v>0.07073398281</v>
      </c>
      <c r="N2" s="7">
        <f t="shared" ref="N2:N346" si="7">M2/G2</f>
        <v>1.008761658</v>
      </c>
      <c r="O2" s="8"/>
      <c r="P2" s="9">
        <v>1.0</v>
      </c>
      <c r="Q2" s="10" t="s">
        <v>16</v>
      </c>
      <c r="R2" s="6">
        <v>52390.0</v>
      </c>
      <c r="S2" s="6">
        <v>27085.778534829617</v>
      </c>
      <c r="T2" s="6">
        <v>110038.0</v>
      </c>
      <c r="U2" s="11">
        <f t="shared" ref="U2:U12" si="8">R2/T2</f>
        <v>0.4761082535</v>
      </c>
      <c r="V2" s="11">
        <f t="shared" ref="V2:V12" si="9">S2/R2</f>
        <v>0.5170028352</v>
      </c>
      <c r="W2" s="11">
        <f t="shared" ref="W2:W12" si="10">U2*V2</f>
        <v>0.2461493169</v>
      </c>
      <c r="X2" s="6">
        <v>190708.0</v>
      </c>
      <c r="Y2" s="6">
        <v>98169.11373984814</v>
      </c>
      <c r="Z2" s="6">
        <v>455176.0</v>
      </c>
      <c r="AA2" s="11">
        <f t="shared" ref="AA2:AA12" si="11">X2/Z2</f>
        <v>0.4189763959</v>
      </c>
      <c r="AB2" s="11">
        <f t="shared" ref="AB2:AB12" si="12">Y2/X2</f>
        <v>0.5147613825</v>
      </c>
      <c r="AC2" s="11">
        <f t="shared" ref="AC2:AC12" si="13">AB2*AA2</f>
        <v>0.2156728688</v>
      </c>
      <c r="AD2" s="11">
        <f t="shared" ref="AD2:AD12" si="14">AC2/W2</f>
        <v>0.8761871515</v>
      </c>
    </row>
    <row r="3" ht="15.75" customHeight="1">
      <c r="A3" s="6">
        <v>10102.0</v>
      </c>
      <c r="B3" s="6">
        <v>658.0</v>
      </c>
      <c r="C3" s="6">
        <v>292.55556347966194</v>
      </c>
      <c r="D3" s="6">
        <v>2031.0</v>
      </c>
      <c r="E3" s="7">
        <f t="shared" si="1"/>
        <v>0.3239783358</v>
      </c>
      <c r="F3" s="7">
        <f t="shared" si="2"/>
        <v>0.4446133184</v>
      </c>
      <c r="G3" s="7">
        <f t="shared" si="3"/>
        <v>0.144045083</v>
      </c>
      <c r="H3" s="6">
        <v>2321.0</v>
      </c>
      <c r="I3" s="6">
        <v>1009.4444699883461</v>
      </c>
      <c r="J3" s="6">
        <v>7053.0</v>
      </c>
      <c r="K3" s="7">
        <f t="shared" si="4"/>
        <v>0.3290798242</v>
      </c>
      <c r="L3" s="7">
        <f t="shared" si="5"/>
        <v>0.4349179104</v>
      </c>
      <c r="M3" s="7">
        <f t="shared" si="6"/>
        <v>0.1431227095</v>
      </c>
      <c r="N3" s="7">
        <f t="shared" si="7"/>
        <v>0.9935966334</v>
      </c>
      <c r="O3" s="8"/>
      <c r="P3" s="9">
        <v>2.0</v>
      </c>
      <c r="Q3" s="10" t="s">
        <v>17</v>
      </c>
      <c r="R3" s="6">
        <v>136224.0</v>
      </c>
      <c r="S3" s="6">
        <v>58305.33479329944</v>
      </c>
      <c r="T3" s="6">
        <v>476032.0</v>
      </c>
      <c r="U3" s="11">
        <f t="shared" si="8"/>
        <v>0.2861656359</v>
      </c>
      <c r="V3" s="11">
        <f t="shared" si="9"/>
        <v>0.4280107381</v>
      </c>
      <c r="W3" s="11">
        <f t="shared" si="10"/>
        <v>0.1224819651</v>
      </c>
      <c r="X3" s="6">
        <v>544730.0</v>
      </c>
      <c r="Y3" s="6">
        <v>235199.00589963794</v>
      </c>
      <c r="Z3" s="6">
        <v>2196070.0</v>
      </c>
      <c r="AA3" s="11">
        <f t="shared" si="11"/>
        <v>0.2480476488</v>
      </c>
      <c r="AB3" s="11">
        <f t="shared" si="12"/>
        <v>0.4317717142</v>
      </c>
      <c r="AC3" s="11">
        <f t="shared" si="13"/>
        <v>0.1070999585</v>
      </c>
      <c r="AD3" s="11">
        <f t="shared" si="14"/>
        <v>0.8744141104</v>
      </c>
    </row>
    <row r="4" ht="15.75" customHeight="1">
      <c r="A4" s="6">
        <v>10103.0</v>
      </c>
      <c r="B4" s="6">
        <v>3383.0</v>
      </c>
      <c r="C4" s="6">
        <v>1956.555611282587</v>
      </c>
      <c r="D4" s="6">
        <v>3515.0</v>
      </c>
      <c r="E4" s="7">
        <f t="shared" si="1"/>
        <v>0.9624466572</v>
      </c>
      <c r="F4" s="7">
        <f t="shared" si="2"/>
        <v>0.5783492791</v>
      </c>
      <c r="G4" s="7">
        <f t="shared" si="3"/>
        <v>0.5566303304</v>
      </c>
      <c r="H4" s="6">
        <v>11869.0</v>
      </c>
      <c r="I4" s="6">
        <v>6863.333523750305</v>
      </c>
      <c r="J4" s="6">
        <v>12800.0</v>
      </c>
      <c r="K4" s="7">
        <f t="shared" si="4"/>
        <v>0.927265625</v>
      </c>
      <c r="L4" s="7">
        <f t="shared" si="5"/>
        <v>0.5782571003</v>
      </c>
      <c r="M4" s="7">
        <f t="shared" si="6"/>
        <v>0.5361979315</v>
      </c>
      <c r="N4" s="7">
        <f t="shared" si="7"/>
        <v>0.9632926959</v>
      </c>
      <c r="O4" s="8"/>
      <c r="P4" s="9">
        <v>3.0</v>
      </c>
      <c r="Q4" s="10" t="s">
        <v>18</v>
      </c>
      <c r="R4" s="6">
        <v>72229.0</v>
      </c>
      <c r="S4" s="6">
        <v>31787.7786090374</v>
      </c>
      <c r="T4" s="6">
        <v>285906.0</v>
      </c>
      <c r="U4" s="11">
        <f t="shared" si="8"/>
        <v>0.2526319839</v>
      </c>
      <c r="V4" s="11">
        <f t="shared" si="9"/>
        <v>0.4400971716</v>
      </c>
      <c r="W4" s="11">
        <f t="shared" si="10"/>
        <v>0.1111826216</v>
      </c>
      <c r="X4" s="6">
        <v>484004.0</v>
      </c>
      <c r="Y4" s="6">
        <v>213786.89437937737</v>
      </c>
      <c r="Z4" s="6">
        <v>1445574.0</v>
      </c>
      <c r="AA4" s="11">
        <f t="shared" si="11"/>
        <v>0.3348178647</v>
      </c>
      <c r="AB4" s="11">
        <f t="shared" si="12"/>
        <v>0.441704809</v>
      </c>
      <c r="AC4" s="11">
        <f t="shared" si="13"/>
        <v>0.147890661</v>
      </c>
      <c r="AD4" s="11">
        <f t="shared" si="14"/>
        <v>1.330159866</v>
      </c>
    </row>
    <row r="5" ht="15.75" customHeight="1">
      <c r="A5" s="6">
        <v>10201.0</v>
      </c>
      <c r="B5" s="6">
        <v>2019.0</v>
      </c>
      <c r="C5" s="6">
        <v>1189.1111440956593</v>
      </c>
      <c r="D5" s="6">
        <v>2282.0</v>
      </c>
      <c r="E5" s="7">
        <f t="shared" si="1"/>
        <v>0.8847502191</v>
      </c>
      <c r="F5" s="7">
        <f t="shared" si="2"/>
        <v>0.5889604478</v>
      </c>
      <c r="G5" s="7">
        <f t="shared" si="3"/>
        <v>0.5210828852</v>
      </c>
      <c r="H5" s="6">
        <v>6875.0</v>
      </c>
      <c r="I5" s="6">
        <v>4117.444555282593</v>
      </c>
      <c r="J5" s="6">
        <v>8087.0</v>
      </c>
      <c r="K5" s="7">
        <f t="shared" si="4"/>
        <v>0.850129838</v>
      </c>
      <c r="L5" s="7">
        <f t="shared" si="5"/>
        <v>0.5989010262</v>
      </c>
      <c r="M5" s="7">
        <f t="shared" si="6"/>
        <v>0.5091436324</v>
      </c>
      <c r="N5" s="7">
        <f t="shared" si="7"/>
        <v>0.9770876128</v>
      </c>
      <c r="O5" s="8"/>
      <c r="P5" s="9">
        <v>4.0</v>
      </c>
      <c r="Q5" s="10" t="s">
        <v>19</v>
      </c>
      <c r="R5" s="6">
        <v>29783.0</v>
      </c>
      <c r="S5" s="6">
        <v>13046.22254011035</v>
      </c>
      <c r="T5" s="6">
        <v>88339.0</v>
      </c>
      <c r="U5" s="11">
        <f t="shared" si="8"/>
        <v>0.3371444096</v>
      </c>
      <c r="V5" s="11">
        <f t="shared" si="9"/>
        <v>0.4380425928</v>
      </c>
      <c r="W5" s="11">
        <f t="shared" si="10"/>
        <v>0.1476836113</v>
      </c>
      <c r="X5" s="6">
        <v>114912.0</v>
      </c>
      <c r="Y5" s="6">
        <v>50035.44568094611</v>
      </c>
      <c r="Z5" s="6">
        <v>397459.0</v>
      </c>
      <c r="AA5" s="11">
        <f t="shared" si="11"/>
        <v>0.2891166133</v>
      </c>
      <c r="AB5" s="11">
        <f t="shared" si="12"/>
        <v>0.435424026</v>
      </c>
      <c r="AC5" s="11">
        <f t="shared" si="13"/>
        <v>0.1258883198</v>
      </c>
      <c r="AD5" s="11">
        <f t="shared" si="14"/>
        <v>0.8524190236</v>
      </c>
    </row>
    <row r="6" ht="15.75" customHeight="1">
      <c r="A6" s="6">
        <v>10202.0</v>
      </c>
      <c r="B6" s="6">
        <v>2761.0</v>
      </c>
      <c r="C6" s="6">
        <v>1546.555599540472</v>
      </c>
      <c r="D6" s="6">
        <v>3291.0</v>
      </c>
      <c r="E6" s="7">
        <f t="shared" si="1"/>
        <v>0.838954725</v>
      </c>
      <c r="F6" s="7">
        <f t="shared" si="2"/>
        <v>0.5601432813</v>
      </c>
      <c r="G6" s="7">
        <f t="shared" si="3"/>
        <v>0.4699348525</v>
      </c>
      <c r="H6" s="6">
        <v>8624.0</v>
      </c>
      <c r="I6" s="6">
        <v>4827.444576650858</v>
      </c>
      <c r="J6" s="6">
        <v>10806.0</v>
      </c>
      <c r="K6" s="7">
        <f t="shared" si="4"/>
        <v>0.7980751434</v>
      </c>
      <c r="L6" s="7">
        <f t="shared" si="5"/>
        <v>0.5597686197</v>
      </c>
      <c r="M6" s="7">
        <f t="shared" si="6"/>
        <v>0.4467374215</v>
      </c>
      <c r="N6" s="7">
        <f t="shared" si="7"/>
        <v>0.9506369215</v>
      </c>
      <c r="O6" s="8"/>
      <c r="P6" s="9">
        <v>5.0</v>
      </c>
      <c r="Q6" s="10" t="s">
        <v>20</v>
      </c>
      <c r="R6" s="6">
        <v>78009.0</v>
      </c>
      <c r="S6" s="6">
        <v>36648.33431997895</v>
      </c>
      <c r="T6" s="6">
        <v>149285.0</v>
      </c>
      <c r="U6" s="11">
        <f t="shared" si="8"/>
        <v>0.5225508256</v>
      </c>
      <c r="V6" s="11">
        <f t="shared" si="9"/>
        <v>0.4697962327</v>
      </c>
      <c r="W6" s="11">
        <f t="shared" si="10"/>
        <v>0.2454924093</v>
      </c>
      <c r="X6" s="6">
        <v>306218.0</v>
      </c>
      <c r="Y6" s="6">
        <v>146514.33720052242</v>
      </c>
      <c r="Z6" s="6">
        <v>664195.0</v>
      </c>
      <c r="AA6" s="11">
        <f t="shared" si="11"/>
        <v>0.4610362921</v>
      </c>
      <c r="AB6" s="11">
        <f t="shared" si="12"/>
        <v>0.4784641569</v>
      </c>
      <c r="AC6" s="11">
        <f t="shared" si="13"/>
        <v>0.2205893408</v>
      </c>
      <c r="AD6" s="11">
        <f t="shared" si="14"/>
        <v>0.8985587026</v>
      </c>
    </row>
    <row r="7" ht="15.75" customHeight="1">
      <c r="A7" s="6">
        <v>10301.0</v>
      </c>
      <c r="B7" s="6">
        <v>1534.0</v>
      </c>
      <c r="C7" s="6">
        <v>772.4444656968117</v>
      </c>
      <c r="D7" s="6">
        <v>2496.0</v>
      </c>
      <c r="E7" s="7">
        <f t="shared" si="1"/>
        <v>0.6145833333</v>
      </c>
      <c r="F7" s="7">
        <f t="shared" si="2"/>
        <v>0.5035491954</v>
      </c>
      <c r="G7" s="7">
        <f t="shared" si="3"/>
        <v>0.309472943</v>
      </c>
      <c r="H7" s="6">
        <v>5118.0</v>
      </c>
      <c r="I7" s="6">
        <v>2609.2222907841206</v>
      </c>
      <c r="J7" s="6">
        <v>8472.0</v>
      </c>
      <c r="K7" s="7">
        <f t="shared" si="4"/>
        <v>0.6041076487</v>
      </c>
      <c r="L7" s="7">
        <f t="shared" si="5"/>
        <v>0.5098128743</v>
      </c>
      <c r="M7" s="7">
        <f t="shared" si="6"/>
        <v>0.3079818568</v>
      </c>
      <c r="N7" s="7">
        <f t="shared" si="7"/>
        <v>0.9951818528</v>
      </c>
      <c r="O7" s="8"/>
      <c r="P7" s="9">
        <v>6.0</v>
      </c>
      <c r="Q7" s="10" t="s">
        <v>21</v>
      </c>
      <c r="R7" s="6">
        <v>16657.0</v>
      </c>
      <c r="S7" s="6">
        <v>7067.0001802146435</v>
      </c>
      <c r="T7" s="6">
        <v>80335.0</v>
      </c>
      <c r="U7" s="11">
        <f t="shared" si="8"/>
        <v>0.207344246</v>
      </c>
      <c r="V7" s="11">
        <f t="shared" si="9"/>
        <v>0.4242660851</v>
      </c>
      <c r="W7" s="11">
        <f t="shared" si="10"/>
        <v>0.08796913151</v>
      </c>
      <c r="X7" s="6">
        <v>69886.0</v>
      </c>
      <c r="Y7" s="6">
        <v>29635.556315749884</v>
      </c>
      <c r="Z7" s="6">
        <v>382975.0</v>
      </c>
      <c r="AA7" s="11">
        <f t="shared" si="11"/>
        <v>0.1824818852</v>
      </c>
      <c r="AB7" s="11">
        <f t="shared" si="12"/>
        <v>0.4240556952</v>
      </c>
      <c r="AC7" s="11">
        <f t="shared" si="13"/>
        <v>0.07738248271</v>
      </c>
      <c r="AD7" s="11">
        <f t="shared" si="14"/>
        <v>0.8796549583</v>
      </c>
    </row>
    <row r="8" ht="15.75" customHeight="1">
      <c r="A8" s="6">
        <v>10302.0</v>
      </c>
      <c r="B8" s="6">
        <v>2074.0</v>
      </c>
      <c r="C8" s="6">
        <v>1164.000032454729</v>
      </c>
      <c r="D8" s="6">
        <v>2630.0</v>
      </c>
      <c r="E8" s="7">
        <f t="shared" si="1"/>
        <v>0.7885931559</v>
      </c>
      <c r="F8" s="7">
        <f t="shared" si="2"/>
        <v>0.5612343454</v>
      </c>
      <c r="G8" s="7">
        <f t="shared" si="3"/>
        <v>0.4425855637</v>
      </c>
      <c r="H8" s="6">
        <v>7212.0</v>
      </c>
      <c r="I8" s="6">
        <v>4217.66677609086</v>
      </c>
      <c r="J8" s="6">
        <v>9207.0</v>
      </c>
      <c r="K8" s="7">
        <f t="shared" si="4"/>
        <v>0.7833170414</v>
      </c>
      <c r="L8" s="7">
        <f t="shared" si="5"/>
        <v>0.584812365</v>
      </c>
      <c r="M8" s="7">
        <f t="shared" si="6"/>
        <v>0.4580934915</v>
      </c>
      <c r="N8" s="7">
        <f t="shared" si="7"/>
        <v>1.035039389</v>
      </c>
      <c r="O8" s="8"/>
      <c r="P8" s="9">
        <v>7.0</v>
      </c>
      <c r="Q8" s="10" t="s">
        <v>22</v>
      </c>
      <c r="R8" s="6">
        <v>78165.0</v>
      </c>
      <c r="S8" s="6">
        <v>32200.55637985468</v>
      </c>
      <c r="T8" s="6">
        <v>365236.0</v>
      </c>
      <c r="U8" s="11">
        <f t="shared" si="8"/>
        <v>0.2140123098</v>
      </c>
      <c r="V8" s="11">
        <f t="shared" si="9"/>
        <v>0.4119562001</v>
      </c>
      <c r="W8" s="11">
        <f t="shared" si="10"/>
        <v>0.08816369794</v>
      </c>
      <c r="X8" s="6">
        <v>524829.0</v>
      </c>
      <c r="Y8" s="6">
        <v>212499.2276213467</v>
      </c>
      <c r="Z8" s="6">
        <v>2217933.0</v>
      </c>
      <c r="AA8" s="11">
        <f t="shared" si="11"/>
        <v>0.236629781</v>
      </c>
      <c r="AB8" s="11">
        <f t="shared" si="12"/>
        <v>0.4048923128</v>
      </c>
      <c r="AC8" s="11">
        <f t="shared" si="13"/>
        <v>0.09580957929</v>
      </c>
      <c r="AD8" s="11">
        <f t="shared" si="14"/>
        <v>1.086723692</v>
      </c>
    </row>
    <row r="9" ht="15.75" customHeight="1">
      <c r="A9" s="6">
        <v>10303.0</v>
      </c>
      <c r="B9" s="6">
        <v>1343.0</v>
      </c>
      <c r="C9" s="6">
        <v>680.7777974903584</v>
      </c>
      <c r="D9" s="6">
        <v>1809.0</v>
      </c>
      <c r="E9" s="7">
        <f t="shared" si="1"/>
        <v>0.7423991155</v>
      </c>
      <c r="F9" s="7">
        <f t="shared" si="2"/>
        <v>0.5069082632</v>
      </c>
      <c r="G9" s="7">
        <f t="shared" si="3"/>
        <v>0.3763282463</v>
      </c>
      <c r="H9" s="6">
        <v>3942.0</v>
      </c>
      <c r="I9" s="6">
        <v>2025.333391904831</v>
      </c>
      <c r="J9" s="6">
        <v>6129.0</v>
      </c>
      <c r="K9" s="7">
        <f t="shared" si="4"/>
        <v>0.6431718062</v>
      </c>
      <c r="L9" s="7">
        <f t="shared" si="5"/>
        <v>0.5137832044</v>
      </c>
      <c r="M9" s="7">
        <f t="shared" si="6"/>
        <v>0.3304508716</v>
      </c>
      <c r="N9" s="7">
        <f t="shared" si="7"/>
        <v>0.8780921306</v>
      </c>
      <c r="O9" s="8"/>
      <c r="P9" s="9">
        <v>8.0</v>
      </c>
      <c r="Q9" s="10" t="s">
        <v>23</v>
      </c>
      <c r="R9" s="6">
        <v>29342.0</v>
      </c>
      <c r="S9" s="6">
        <v>13022.444780051708</v>
      </c>
      <c r="T9" s="6">
        <v>63669.0</v>
      </c>
      <c r="U9" s="11">
        <f t="shared" si="8"/>
        <v>0.4608522201</v>
      </c>
      <c r="V9" s="11">
        <f t="shared" si="9"/>
        <v>0.4438158537</v>
      </c>
      <c r="W9" s="11">
        <f t="shared" si="10"/>
        <v>0.2045335215</v>
      </c>
      <c r="X9" s="6">
        <v>179974.0</v>
      </c>
      <c r="Y9" s="6">
        <v>80403.55759620667</v>
      </c>
      <c r="Z9" s="6">
        <v>344733.0</v>
      </c>
      <c r="AA9" s="11">
        <f t="shared" si="11"/>
        <v>0.5220678032</v>
      </c>
      <c r="AB9" s="11">
        <f t="shared" si="12"/>
        <v>0.4467509618</v>
      </c>
      <c r="AC9" s="11">
        <f t="shared" si="13"/>
        <v>0.2332342932</v>
      </c>
      <c r="AD9" s="11">
        <f t="shared" si="14"/>
        <v>1.14032307</v>
      </c>
    </row>
    <row r="10" ht="15.75" customHeight="1">
      <c r="A10" s="6">
        <v>10304.0</v>
      </c>
      <c r="B10" s="6">
        <v>1343.0</v>
      </c>
      <c r="C10" s="6">
        <v>672.2222400009632</v>
      </c>
      <c r="D10" s="6">
        <v>1979.0</v>
      </c>
      <c r="E10" s="7">
        <f t="shared" si="1"/>
        <v>0.6786255685</v>
      </c>
      <c r="F10" s="7">
        <f t="shared" si="2"/>
        <v>0.5005377811</v>
      </c>
      <c r="G10" s="7">
        <f t="shared" si="3"/>
        <v>0.3396777362</v>
      </c>
      <c r="H10" s="6">
        <v>3223.0</v>
      </c>
      <c r="I10" s="6">
        <v>1649.55560156703</v>
      </c>
      <c r="J10" s="6">
        <v>5624.0</v>
      </c>
      <c r="K10" s="7">
        <f t="shared" si="4"/>
        <v>0.5730796586</v>
      </c>
      <c r="L10" s="7">
        <f t="shared" si="5"/>
        <v>0.511807509</v>
      </c>
      <c r="M10" s="7">
        <f t="shared" si="6"/>
        <v>0.2933064725</v>
      </c>
      <c r="N10" s="7">
        <f t="shared" si="7"/>
        <v>0.8634845362</v>
      </c>
      <c r="O10" s="8"/>
      <c r="P10" s="9">
        <v>9.0</v>
      </c>
      <c r="Q10" s="10" t="s">
        <v>24</v>
      </c>
      <c r="R10" s="6">
        <v>4788.0</v>
      </c>
      <c r="S10" s="6">
        <v>2234.0000580847263</v>
      </c>
      <c r="T10" s="6">
        <v>9898.0</v>
      </c>
      <c r="U10" s="11">
        <f t="shared" si="8"/>
        <v>0.4837340877</v>
      </c>
      <c r="V10" s="11">
        <f t="shared" si="9"/>
        <v>0.4665831366</v>
      </c>
      <c r="W10" s="11">
        <f t="shared" si="10"/>
        <v>0.2257021679</v>
      </c>
      <c r="X10" s="6">
        <v>48525.0</v>
      </c>
      <c r="Y10" s="6">
        <v>22471.55614423752</v>
      </c>
      <c r="Z10" s="6">
        <v>94236.0</v>
      </c>
      <c r="AA10" s="11">
        <f t="shared" si="11"/>
        <v>0.5149305998</v>
      </c>
      <c r="AB10" s="11">
        <f t="shared" si="12"/>
        <v>0.4630923471</v>
      </c>
      <c r="AC10" s="11">
        <f t="shared" si="13"/>
        <v>0.2384604201</v>
      </c>
      <c r="AD10" s="11">
        <f t="shared" si="14"/>
        <v>1.056526937</v>
      </c>
    </row>
    <row r="11" ht="15.75" customHeight="1">
      <c r="A11" s="6">
        <v>10401.0</v>
      </c>
      <c r="B11" s="6">
        <v>1300.0</v>
      </c>
      <c r="C11" s="6">
        <v>666.3333525359631</v>
      </c>
      <c r="D11" s="6">
        <v>2130.0</v>
      </c>
      <c r="E11" s="7">
        <f t="shared" si="1"/>
        <v>0.6103286385</v>
      </c>
      <c r="F11" s="7">
        <f t="shared" si="2"/>
        <v>0.5125641173</v>
      </c>
      <c r="G11" s="7">
        <f t="shared" si="3"/>
        <v>0.3128325599</v>
      </c>
      <c r="H11" s="6">
        <v>4778.0</v>
      </c>
      <c r="I11" s="6">
        <v>2480.5556261837482</v>
      </c>
      <c r="J11" s="6">
        <v>7969.0</v>
      </c>
      <c r="K11" s="7">
        <f t="shared" si="4"/>
        <v>0.5995733467</v>
      </c>
      <c r="L11" s="7">
        <f t="shared" si="5"/>
        <v>0.5191619142</v>
      </c>
      <c r="M11" s="7">
        <f t="shared" si="6"/>
        <v>0.3112756464</v>
      </c>
      <c r="N11" s="7">
        <f t="shared" si="7"/>
        <v>0.9950231732</v>
      </c>
      <c r="O11" s="8"/>
      <c r="P11" s="12">
        <v>10.0</v>
      </c>
      <c r="Q11" s="13" t="s">
        <v>25</v>
      </c>
      <c r="R11" s="14">
        <v>4273.0</v>
      </c>
      <c r="S11" s="14">
        <v>1801.1111576259136</v>
      </c>
      <c r="T11" s="14">
        <v>19985.0</v>
      </c>
      <c r="U11" s="11">
        <f t="shared" si="8"/>
        <v>0.2138103578</v>
      </c>
      <c r="V11" s="11">
        <f t="shared" si="9"/>
        <v>0.421509749</v>
      </c>
      <c r="W11" s="11">
        <f t="shared" si="10"/>
        <v>0.09012315024</v>
      </c>
      <c r="X11" s="14">
        <v>22514.0</v>
      </c>
      <c r="Y11" s="14">
        <v>9386.666909098625</v>
      </c>
      <c r="Z11" s="14">
        <v>118985.0</v>
      </c>
      <c r="AA11" s="11">
        <f t="shared" si="11"/>
        <v>0.1892171282</v>
      </c>
      <c r="AB11" s="11">
        <f t="shared" si="12"/>
        <v>0.4169257755</v>
      </c>
      <c r="AC11" s="11">
        <f t="shared" si="13"/>
        <v>0.07888949791</v>
      </c>
      <c r="AD11" s="11">
        <f t="shared" si="14"/>
        <v>0.8753522008</v>
      </c>
    </row>
    <row r="12" ht="15.75" customHeight="1">
      <c r="A12" s="6">
        <v>10402.0</v>
      </c>
      <c r="B12" s="6">
        <v>1182.0</v>
      </c>
      <c r="C12" s="6">
        <v>585.2222380936146</v>
      </c>
      <c r="D12" s="6">
        <v>1735.0</v>
      </c>
      <c r="E12" s="7">
        <f t="shared" si="1"/>
        <v>0.6812680115</v>
      </c>
      <c r="F12" s="7">
        <f t="shared" si="2"/>
        <v>0.4951118766</v>
      </c>
      <c r="G12" s="7">
        <f t="shared" si="3"/>
        <v>0.3373038836</v>
      </c>
      <c r="H12" s="6">
        <v>4253.0</v>
      </c>
      <c r="I12" s="6">
        <v>2053.222279369831</v>
      </c>
      <c r="J12" s="6">
        <v>6591.0</v>
      </c>
      <c r="K12" s="7">
        <f t="shared" si="4"/>
        <v>0.6452738583</v>
      </c>
      <c r="L12" s="7">
        <f t="shared" si="5"/>
        <v>0.4827703455</v>
      </c>
      <c r="M12" s="7">
        <f t="shared" si="6"/>
        <v>0.3115190835</v>
      </c>
      <c r="N12" s="7">
        <f t="shared" si="7"/>
        <v>0.9235561718</v>
      </c>
      <c r="O12" s="8"/>
      <c r="P12" s="12">
        <v>11.0</v>
      </c>
      <c r="Q12" s="13" t="s">
        <v>26</v>
      </c>
      <c r="R12" s="14">
        <v>497587.0</v>
      </c>
      <c r="S12" s="14">
        <v>221397.4501954615</v>
      </c>
      <c r="T12" s="14">
        <v>1628738.0</v>
      </c>
      <c r="U12" s="11">
        <f t="shared" si="8"/>
        <v>0.30550463</v>
      </c>
      <c r="V12" s="11">
        <f t="shared" si="9"/>
        <v>0.4449421914</v>
      </c>
      <c r="W12" s="11">
        <f t="shared" si="10"/>
        <v>0.1359318995</v>
      </c>
      <c r="X12" s="14">
        <v>2463786.0</v>
      </c>
      <c r="Y12" s="14">
        <v>1088714.6945778728</v>
      </c>
      <c r="Z12" s="14">
        <v>8198351.0</v>
      </c>
      <c r="AA12" s="11">
        <f t="shared" si="11"/>
        <v>0.3005221416</v>
      </c>
      <c r="AB12" s="11">
        <f t="shared" si="12"/>
        <v>0.4418868743</v>
      </c>
      <c r="AC12" s="11">
        <f t="shared" si="13"/>
        <v>0.1327967898</v>
      </c>
      <c r="AD12" s="11">
        <f t="shared" si="14"/>
        <v>0.9769361737</v>
      </c>
    </row>
    <row r="13" ht="15.75" customHeight="1">
      <c r="A13" s="6">
        <v>10403.0</v>
      </c>
      <c r="B13" s="6">
        <v>1187.0</v>
      </c>
      <c r="C13" s="6">
        <v>652.7777973115444</v>
      </c>
      <c r="D13" s="6">
        <v>1601.0</v>
      </c>
      <c r="E13" s="7">
        <f t="shared" si="1"/>
        <v>0.7414116177</v>
      </c>
      <c r="F13" s="7">
        <f t="shared" si="2"/>
        <v>0.5499391721</v>
      </c>
      <c r="G13" s="7">
        <f t="shared" si="3"/>
        <v>0.4077312913</v>
      </c>
      <c r="H13" s="6">
        <v>3787.0</v>
      </c>
      <c r="I13" s="6">
        <v>2028.4445033073425</v>
      </c>
      <c r="J13" s="6">
        <v>5569.0</v>
      </c>
      <c r="K13" s="7">
        <f t="shared" si="4"/>
        <v>0.6800143652</v>
      </c>
      <c r="L13" s="7">
        <f t="shared" si="5"/>
        <v>0.5356336159</v>
      </c>
      <c r="M13" s="7">
        <f t="shared" si="6"/>
        <v>0.3642385533</v>
      </c>
      <c r="N13" s="7">
        <f t="shared" si="7"/>
        <v>0.8933298991</v>
      </c>
      <c r="O13" s="8"/>
      <c r="P13" s="8"/>
      <c r="Q13" s="8"/>
      <c r="R13" s="8"/>
      <c r="S13" s="8"/>
      <c r="T13" s="8"/>
      <c r="U13" s="11"/>
      <c r="V13" s="11"/>
      <c r="W13" s="11"/>
      <c r="X13" s="8"/>
      <c r="Y13" s="8"/>
      <c r="Z13" s="8"/>
      <c r="AA13" s="11"/>
      <c r="AB13" s="11"/>
      <c r="AC13" s="11"/>
      <c r="AD13" s="11"/>
    </row>
    <row r="14" ht="15.75" customHeight="1">
      <c r="A14" s="6">
        <v>10404.0</v>
      </c>
      <c r="B14" s="6">
        <v>677.0</v>
      </c>
      <c r="C14" s="6">
        <v>340.66667583584785</v>
      </c>
      <c r="D14" s="6">
        <v>1087.0</v>
      </c>
      <c r="E14" s="7">
        <f t="shared" si="1"/>
        <v>0.6228150874</v>
      </c>
      <c r="F14" s="7">
        <f t="shared" si="2"/>
        <v>0.5032004074</v>
      </c>
      <c r="G14" s="7">
        <f t="shared" si="3"/>
        <v>0.3134008057</v>
      </c>
      <c r="H14" s="6">
        <v>2116.0</v>
      </c>
      <c r="I14" s="6">
        <v>1001.0000262260437</v>
      </c>
      <c r="J14" s="6">
        <v>3747.0</v>
      </c>
      <c r="K14" s="7">
        <f t="shared" si="4"/>
        <v>0.5647184414</v>
      </c>
      <c r="L14" s="7">
        <f t="shared" si="5"/>
        <v>0.4730623942</v>
      </c>
      <c r="M14" s="7">
        <f t="shared" si="6"/>
        <v>0.267147058</v>
      </c>
      <c r="N14" s="7">
        <f t="shared" si="7"/>
        <v>0.852413437</v>
      </c>
      <c r="O14" s="8"/>
      <c r="P14" s="8"/>
      <c r="Q14" s="8"/>
      <c r="R14" s="8"/>
      <c r="S14" s="8"/>
      <c r="T14" s="8"/>
      <c r="U14" s="11"/>
      <c r="V14" s="11"/>
      <c r="W14" s="11"/>
      <c r="X14" s="8"/>
      <c r="Y14" s="8"/>
      <c r="Z14" s="8"/>
      <c r="AA14" s="11"/>
      <c r="AB14" s="11"/>
      <c r="AC14" s="11"/>
      <c r="AD14" s="11"/>
    </row>
    <row r="15" ht="15.75" customHeight="1">
      <c r="A15" s="6">
        <v>10405.0</v>
      </c>
      <c r="B15" s="6">
        <v>647.0</v>
      </c>
      <c r="C15" s="6">
        <v>319.5555653870106</v>
      </c>
      <c r="D15" s="6">
        <v>830.0</v>
      </c>
      <c r="E15" s="7">
        <f t="shared" si="1"/>
        <v>0.7795180723</v>
      </c>
      <c r="F15" s="7">
        <f t="shared" si="2"/>
        <v>0.4939035014</v>
      </c>
      <c r="G15" s="7">
        <f t="shared" si="3"/>
        <v>0.3850067053</v>
      </c>
      <c r="H15" s="6">
        <v>2290.0</v>
      </c>
      <c r="I15" s="6">
        <v>1140.333363890648</v>
      </c>
      <c r="J15" s="6">
        <v>3478.0</v>
      </c>
      <c r="K15" s="7">
        <f t="shared" si="4"/>
        <v>0.6584243818</v>
      </c>
      <c r="L15" s="7">
        <f t="shared" si="5"/>
        <v>0.4979621676</v>
      </c>
      <c r="M15" s="7">
        <f t="shared" si="6"/>
        <v>0.3278704324</v>
      </c>
      <c r="N15" s="7">
        <f t="shared" si="7"/>
        <v>0.851596681</v>
      </c>
      <c r="O15" s="8"/>
      <c r="P15" s="8"/>
      <c r="Q15" s="8"/>
      <c r="R15" s="8"/>
      <c r="S15" s="8"/>
      <c r="T15" s="8"/>
      <c r="U15" s="11"/>
      <c r="V15" s="11"/>
      <c r="W15" s="11"/>
      <c r="X15" s="8"/>
      <c r="Y15" s="8"/>
      <c r="Z15" s="8"/>
      <c r="AA15" s="11"/>
      <c r="AB15" s="11"/>
      <c r="AC15" s="11"/>
      <c r="AD15" s="11"/>
    </row>
    <row r="16" ht="15.75" customHeight="1">
      <c r="A16" s="6">
        <v>10501.0</v>
      </c>
      <c r="B16" s="6">
        <v>2326.0</v>
      </c>
      <c r="C16" s="6">
        <v>1164.3333662450314</v>
      </c>
      <c r="D16" s="6">
        <v>4511.0</v>
      </c>
      <c r="E16" s="7">
        <f t="shared" si="1"/>
        <v>0.5156284638</v>
      </c>
      <c r="F16" s="7">
        <f t="shared" si="2"/>
        <v>0.5005732443</v>
      </c>
      <c r="G16" s="7">
        <f t="shared" si="3"/>
        <v>0.258109813</v>
      </c>
      <c r="H16" s="6">
        <v>7803.0</v>
      </c>
      <c r="I16" s="6">
        <v>3777.000103145838</v>
      </c>
      <c r="J16" s="6">
        <v>18805.0</v>
      </c>
      <c r="K16" s="7">
        <f t="shared" si="4"/>
        <v>0.4149428344</v>
      </c>
      <c r="L16" s="7">
        <f t="shared" si="5"/>
        <v>0.4840446115</v>
      </c>
      <c r="M16" s="7">
        <f t="shared" si="6"/>
        <v>0.200850843</v>
      </c>
      <c r="N16" s="7">
        <f t="shared" si="7"/>
        <v>0.77816043</v>
      </c>
      <c r="O16" s="8"/>
      <c r="P16" s="8"/>
      <c r="Q16" s="8"/>
      <c r="R16" s="8"/>
      <c r="S16" s="8"/>
      <c r="T16" s="8"/>
      <c r="U16" s="11"/>
      <c r="V16" s="11"/>
      <c r="W16" s="11"/>
      <c r="X16" s="8"/>
      <c r="Y16" s="8"/>
      <c r="Z16" s="8"/>
      <c r="AA16" s="11"/>
      <c r="AB16" s="11"/>
      <c r="AC16" s="11"/>
      <c r="AD16" s="11"/>
    </row>
    <row r="17" ht="15.75" customHeight="1">
      <c r="A17" s="6">
        <v>10502.0</v>
      </c>
      <c r="B17" s="6">
        <v>1006.0</v>
      </c>
      <c r="C17" s="6">
        <v>515.0000149011612</v>
      </c>
      <c r="D17" s="6">
        <v>1506.0</v>
      </c>
      <c r="E17" s="7">
        <f t="shared" si="1"/>
        <v>0.6679946879</v>
      </c>
      <c r="F17" s="7">
        <f t="shared" si="2"/>
        <v>0.5119284442</v>
      </c>
      <c r="G17" s="7">
        <f t="shared" si="3"/>
        <v>0.3419654813</v>
      </c>
      <c r="H17" s="6">
        <v>4497.0</v>
      </c>
      <c r="I17" s="6">
        <v>2264.222283065319</v>
      </c>
      <c r="J17" s="6">
        <v>6526.0</v>
      </c>
      <c r="K17" s="7">
        <f t="shared" si="4"/>
        <v>0.6890897947</v>
      </c>
      <c r="L17" s="7">
        <f t="shared" si="5"/>
        <v>0.5034961715</v>
      </c>
      <c r="M17" s="7">
        <f t="shared" si="6"/>
        <v>0.3469540734</v>
      </c>
      <c r="N17" s="7">
        <f t="shared" si="7"/>
        <v>1.014587999</v>
      </c>
      <c r="O17" s="8"/>
      <c r="P17" s="8"/>
      <c r="Q17" s="8"/>
      <c r="R17" s="8"/>
      <c r="S17" s="8"/>
      <c r="T17" s="8"/>
      <c r="U17" s="11"/>
      <c r="V17" s="11"/>
      <c r="W17" s="11"/>
      <c r="X17" s="8"/>
      <c r="Y17" s="8"/>
      <c r="Z17" s="8"/>
      <c r="AA17" s="11"/>
      <c r="AB17" s="11"/>
      <c r="AC17" s="11"/>
      <c r="AD17" s="11"/>
    </row>
    <row r="18" ht="15.75" customHeight="1">
      <c r="A18" s="6">
        <v>10601.0</v>
      </c>
      <c r="B18" s="6">
        <v>2573.0</v>
      </c>
      <c r="C18" s="6">
        <v>1271.5555919408798</v>
      </c>
      <c r="D18" s="6">
        <v>3687.0</v>
      </c>
      <c r="E18" s="7">
        <f t="shared" si="1"/>
        <v>0.6978573366</v>
      </c>
      <c r="F18" s="7">
        <f t="shared" si="2"/>
        <v>0.4941918352</v>
      </c>
      <c r="G18" s="7">
        <f t="shared" si="3"/>
        <v>0.3448753979</v>
      </c>
      <c r="H18" s="6">
        <v>8909.0</v>
      </c>
      <c r="I18" s="6">
        <v>4568.4445686638355</v>
      </c>
      <c r="J18" s="6">
        <v>13026.0</v>
      </c>
      <c r="K18" s="7">
        <f t="shared" si="4"/>
        <v>0.6839398127</v>
      </c>
      <c r="L18" s="7">
        <f t="shared" si="5"/>
        <v>0.512789827</v>
      </c>
      <c r="M18" s="7">
        <f t="shared" si="6"/>
        <v>0.3507173782</v>
      </c>
      <c r="N18" s="7">
        <f t="shared" si="7"/>
        <v>1.016939394</v>
      </c>
      <c r="O18" s="8"/>
      <c r="P18" s="8"/>
      <c r="Q18" s="8"/>
      <c r="R18" s="8"/>
      <c r="S18" s="8"/>
      <c r="T18" s="8"/>
      <c r="U18" s="11"/>
      <c r="V18" s="11"/>
      <c r="W18" s="11"/>
      <c r="X18" s="8"/>
      <c r="Y18" s="8"/>
      <c r="Z18" s="8"/>
      <c r="AA18" s="11"/>
      <c r="AB18" s="11"/>
      <c r="AC18" s="11"/>
      <c r="AD18" s="11"/>
    </row>
    <row r="19" ht="15.75" customHeight="1">
      <c r="A19" s="6">
        <v>10602.0</v>
      </c>
      <c r="B19" s="6">
        <v>1766.0</v>
      </c>
      <c r="C19" s="6">
        <v>889.5555811226368</v>
      </c>
      <c r="D19" s="6">
        <v>2830.0</v>
      </c>
      <c r="E19" s="7">
        <f t="shared" si="1"/>
        <v>0.6240282686</v>
      </c>
      <c r="F19" s="7">
        <f t="shared" si="2"/>
        <v>0.5037121071</v>
      </c>
      <c r="G19" s="7">
        <f t="shared" si="3"/>
        <v>0.314330594</v>
      </c>
      <c r="H19" s="6">
        <v>4495.0</v>
      </c>
      <c r="I19" s="6">
        <v>2252.1111750006676</v>
      </c>
      <c r="J19" s="6">
        <v>7053.0</v>
      </c>
      <c r="K19" s="7">
        <f t="shared" si="4"/>
        <v>0.6373174536</v>
      </c>
      <c r="L19" s="7">
        <f t="shared" si="5"/>
        <v>0.5010258454</v>
      </c>
      <c r="M19" s="7">
        <f t="shared" si="6"/>
        <v>0.319312516</v>
      </c>
      <c r="N19" s="7">
        <f t="shared" si="7"/>
        <v>1.015849306</v>
      </c>
      <c r="O19" s="8"/>
      <c r="P19" s="8"/>
      <c r="Q19" s="8"/>
      <c r="R19" s="8"/>
      <c r="S19" s="8"/>
      <c r="T19" s="8"/>
      <c r="U19" s="11"/>
      <c r="V19" s="11"/>
      <c r="W19" s="11"/>
      <c r="X19" s="8"/>
      <c r="Y19" s="8"/>
      <c r="Z19" s="8"/>
      <c r="AA19" s="11"/>
      <c r="AB19" s="11"/>
      <c r="AC19" s="11"/>
      <c r="AD19" s="11"/>
    </row>
    <row r="20" ht="15.75" customHeight="1">
      <c r="A20" s="6">
        <v>10701.0</v>
      </c>
      <c r="B20" s="6">
        <v>1339.0</v>
      </c>
      <c r="C20" s="6">
        <v>642.11112844944</v>
      </c>
      <c r="D20" s="6">
        <v>3288.0</v>
      </c>
      <c r="E20" s="7">
        <f t="shared" si="1"/>
        <v>0.4072384428</v>
      </c>
      <c r="F20" s="7">
        <f t="shared" si="2"/>
        <v>0.4795452789</v>
      </c>
      <c r="G20" s="7">
        <f t="shared" si="3"/>
        <v>0.1952892726</v>
      </c>
      <c r="H20" s="6">
        <v>4883.0</v>
      </c>
      <c r="I20" s="6">
        <v>2328.3333951234818</v>
      </c>
      <c r="J20" s="6">
        <v>11724.0</v>
      </c>
      <c r="K20" s="7">
        <f t="shared" si="4"/>
        <v>0.4164960764</v>
      </c>
      <c r="L20" s="7">
        <f t="shared" si="5"/>
        <v>0.4768243693</v>
      </c>
      <c r="M20" s="7">
        <f t="shared" si="6"/>
        <v>0.1985954789</v>
      </c>
      <c r="N20" s="7">
        <f t="shared" si="7"/>
        <v>1.01692979</v>
      </c>
      <c r="O20" s="8"/>
      <c r="P20" s="8"/>
      <c r="Q20" s="8"/>
      <c r="R20" s="8"/>
      <c r="S20" s="8"/>
      <c r="T20" s="8"/>
      <c r="U20" s="11"/>
      <c r="V20" s="11"/>
      <c r="W20" s="11"/>
      <c r="X20" s="8"/>
      <c r="Y20" s="8"/>
      <c r="Z20" s="8"/>
      <c r="AA20" s="11"/>
      <c r="AB20" s="11"/>
      <c r="AC20" s="11"/>
      <c r="AD20" s="11"/>
    </row>
    <row r="21" ht="15.75" customHeight="1">
      <c r="A21" s="6">
        <v>10702.0</v>
      </c>
      <c r="B21" s="6">
        <v>5353.0</v>
      </c>
      <c r="C21" s="6">
        <v>2876.1111922860146</v>
      </c>
      <c r="D21" s="6">
        <v>6629.0</v>
      </c>
      <c r="E21" s="7">
        <f t="shared" si="1"/>
        <v>0.8075124453</v>
      </c>
      <c r="F21" s="7">
        <f t="shared" si="2"/>
        <v>0.5372895932</v>
      </c>
      <c r="G21" s="7">
        <f t="shared" si="3"/>
        <v>0.4338680332</v>
      </c>
      <c r="H21" s="6">
        <v>17953.0</v>
      </c>
      <c r="I21" s="6">
        <v>9869.889152497053</v>
      </c>
      <c r="J21" s="6">
        <v>25584.0</v>
      </c>
      <c r="K21" s="7">
        <f t="shared" si="4"/>
        <v>0.7017276423</v>
      </c>
      <c r="L21" s="7">
        <f t="shared" si="5"/>
        <v>0.5497626665</v>
      </c>
      <c r="M21" s="7">
        <f t="shared" si="6"/>
        <v>0.3857836598</v>
      </c>
      <c r="N21" s="7">
        <f t="shared" si="7"/>
        <v>0.8891728135</v>
      </c>
      <c r="O21" s="8"/>
      <c r="P21" s="8"/>
      <c r="Q21" s="8"/>
      <c r="R21" s="8"/>
      <c r="S21" s="8"/>
      <c r="T21" s="8"/>
      <c r="U21" s="11"/>
      <c r="V21" s="11"/>
      <c r="W21" s="11"/>
      <c r="X21" s="8"/>
      <c r="Y21" s="8"/>
      <c r="Z21" s="8"/>
      <c r="AA21" s="11"/>
      <c r="AB21" s="11"/>
      <c r="AC21" s="11"/>
      <c r="AD21" s="11"/>
    </row>
    <row r="22" ht="15.75" customHeight="1">
      <c r="A22" s="6">
        <v>10703.0</v>
      </c>
      <c r="B22" s="6">
        <v>1759.0</v>
      </c>
      <c r="C22" s="6">
        <v>1040.5555821359158</v>
      </c>
      <c r="D22" s="6">
        <v>2224.0</v>
      </c>
      <c r="E22" s="7">
        <f t="shared" si="1"/>
        <v>0.7909172662</v>
      </c>
      <c r="F22" s="7">
        <f t="shared" si="2"/>
        <v>0.5915608767</v>
      </c>
      <c r="G22" s="7">
        <f t="shared" si="3"/>
        <v>0.4678757114</v>
      </c>
      <c r="H22" s="6">
        <v>8377.0</v>
      </c>
      <c r="I22" s="6">
        <v>4901.555676102638</v>
      </c>
      <c r="J22" s="6">
        <v>10631.0</v>
      </c>
      <c r="K22" s="7">
        <f t="shared" si="4"/>
        <v>0.7879785533</v>
      </c>
      <c r="L22" s="7">
        <f t="shared" si="5"/>
        <v>0.5851206489</v>
      </c>
      <c r="M22" s="7">
        <f t="shared" si="6"/>
        <v>0.4610625224</v>
      </c>
      <c r="N22" s="7">
        <f t="shared" si="7"/>
        <v>0.9854380367</v>
      </c>
      <c r="O22" s="8"/>
      <c r="P22" s="8"/>
      <c r="Q22" s="8"/>
      <c r="R22" s="8"/>
      <c r="S22" s="8"/>
      <c r="T22" s="8"/>
      <c r="U22" s="11"/>
      <c r="V22" s="11"/>
      <c r="W22" s="11"/>
      <c r="X22" s="8"/>
      <c r="Y22" s="8"/>
      <c r="Z22" s="8"/>
      <c r="AA22" s="11"/>
      <c r="AB22" s="11"/>
      <c r="AC22" s="11"/>
      <c r="AD22" s="11"/>
    </row>
    <row r="23" ht="15.75" customHeight="1">
      <c r="A23" s="6">
        <v>10704.0</v>
      </c>
      <c r="B23" s="6">
        <v>2027.0</v>
      </c>
      <c r="C23" s="6">
        <v>1134.5555863678455</v>
      </c>
      <c r="D23" s="6">
        <v>2525.0</v>
      </c>
      <c r="E23" s="7">
        <f t="shared" si="1"/>
        <v>0.8027722772</v>
      </c>
      <c r="F23" s="7">
        <f t="shared" si="2"/>
        <v>0.5597215522</v>
      </c>
      <c r="G23" s="7">
        <f t="shared" si="3"/>
        <v>0.4493289451</v>
      </c>
      <c r="H23" s="6">
        <v>9552.0</v>
      </c>
      <c r="I23" s="6">
        <v>5205.444582074881</v>
      </c>
      <c r="J23" s="6">
        <v>13160.0</v>
      </c>
      <c r="K23" s="7">
        <f t="shared" si="4"/>
        <v>0.7258358663</v>
      </c>
      <c r="L23" s="7">
        <f t="shared" si="5"/>
        <v>0.5449586037</v>
      </c>
      <c r="M23" s="7">
        <f t="shared" si="6"/>
        <v>0.3955505002</v>
      </c>
      <c r="N23" s="7">
        <f t="shared" si="7"/>
        <v>0.8803138647</v>
      </c>
      <c r="O23" s="8"/>
      <c r="P23" s="8"/>
      <c r="Q23" s="8"/>
      <c r="R23" s="8"/>
      <c r="S23" s="8"/>
      <c r="T23" s="8"/>
      <c r="U23" s="11"/>
      <c r="V23" s="11"/>
      <c r="W23" s="11"/>
      <c r="X23" s="8"/>
      <c r="Y23" s="8"/>
      <c r="Z23" s="8"/>
      <c r="AA23" s="11"/>
      <c r="AB23" s="11"/>
      <c r="AC23" s="11"/>
      <c r="AD23" s="11"/>
    </row>
    <row r="24" ht="15.75" customHeight="1">
      <c r="A24" s="6">
        <v>10801.0</v>
      </c>
      <c r="B24" s="6">
        <v>1446.0</v>
      </c>
      <c r="C24" s="6">
        <v>699.2222403287888</v>
      </c>
      <c r="D24" s="6">
        <v>2574.0</v>
      </c>
      <c r="E24" s="7">
        <f t="shared" si="1"/>
        <v>0.5617715618</v>
      </c>
      <c r="F24" s="7">
        <f t="shared" si="2"/>
        <v>0.4835561828</v>
      </c>
      <c r="G24" s="7">
        <f t="shared" si="3"/>
        <v>0.271648112</v>
      </c>
      <c r="H24" s="6">
        <v>4413.0</v>
      </c>
      <c r="I24" s="6">
        <v>2208.6667279303074</v>
      </c>
      <c r="J24" s="6">
        <v>8333.0</v>
      </c>
      <c r="K24" s="7">
        <f t="shared" si="4"/>
        <v>0.5295811832</v>
      </c>
      <c r="L24" s="7">
        <f t="shared" si="5"/>
        <v>0.5004909875</v>
      </c>
      <c r="M24" s="7">
        <f t="shared" si="6"/>
        <v>0.2650506094</v>
      </c>
      <c r="N24" s="7">
        <f t="shared" si="7"/>
        <v>0.9757130554</v>
      </c>
      <c r="O24" s="8"/>
      <c r="P24" s="8"/>
      <c r="Q24" s="8"/>
      <c r="R24" s="8"/>
      <c r="S24" s="8"/>
      <c r="T24" s="8"/>
      <c r="U24" s="11"/>
      <c r="V24" s="11"/>
      <c r="W24" s="11"/>
      <c r="X24" s="8"/>
      <c r="Y24" s="8"/>
      <c r="Z24" s="8"/>
      <c r="AA24" s="11"/>
      <c r="AB24" s="11"/>
      <c r="AC24" s="11"/>
      <c r="AD24" s="11"/>
    </row>
    <row r="25" ht="15.75" customHeight="1">
      <c r="A25" s="6">
        <v>10901.0</v>
      </c>
      <c r="B25" s="6">
        <v>504.0</v>
      </c>
      <c r="C25" s="6">
        <v>240.11111754179</v>
      </c>
      <c r="D25" s="6">
        <v>823.0</v>
      </c>
      <c r="E25" s="7">
        <f t="shared" si="1"/>
        <v>0.6123936817</v>
      </c>
      <c r="F25" s="7">
        <f t="shared" si="2"/>
        <v>0.4764109475</v>
      </c>
      <c r="G25" s="7">
        <f t="shared" si="3"/>
        <v>0.2917510541</v>
      </c>
      <c r="H25" s="6">
        <v>1545.0</v>
      </c>
      <c r="I25" s="6">
        <v>751.3333537876606</v>
      </c>
      <c r="J25" s="6">
        <v>2550.0</v>
      </c>
      <c r="K25" s="7">
        <f t="shared" si="4"/>
        <v>0.6058823529</v>
      </c>
      <c r="L25" s="7">
        <f t="shared" si="5"/>
        <v>0.4862999054</v>
      </c>
      <c r="M25" s="7">
        <f t="shared" si="6"/>
        <v>0.2946405309</v>
      </c>
      <c r="N25" s="7">
        <f t="shared" si="7"/>
        <v>1.009903912</v>
      </c>
      <c r="O25" s="8"/>
      <c r="P25" s="8"/>
      <c r="Q25" s="8"/>
      <c r="R25" s="8"/>
      <c r="S25" s="8"/>
      <c r="T25" s="8"/>
      <c r="U25" s="11"/>
      <c r="V25" s="11"/>
      <c r="W25" s="11"/>
      <c r="X25" s="8"/>
      <c r="Y25" s="8"/>
      <c r="Z25" s="8"/>
      <c r="AA25" s="11"/>
      <c r="AB25" s="11"/>
      <c r="AC25" s="11"/>
      <c r="AD25" s="11"/>
    </row>
    <row r="26" ht="15.75" customHeight="1">
      <c r="A26" s="6">
        <v>10902.0</v>
      </c>
      <c r="B26" s="6">
        <v>2750.0</v>
      </c>
      <c r="C26" s="6">
        <v>1455.333371847868</v>
      </c>
      <c r="D26" s="6">
        <v>3921.0</v>
      </c>
      <c r="E26" s="7">
        <f t="shared" si="1"/>
        <v>0.701351696</v>
      </c>
      <c r="F26" s="7">
        <f t="shared" si="2"/>
        <v>0.5292121352</v>
      </c>
      <c r="G26" s="7">
        <f t="shared" si="3"/>
        <v>0.3711638286</v>
      </c>
      <c r="H26" s="6">
        <v>8944.0</v>
      </c>
      <c r="I26" s="6">
        <v>4796.889015078545</v>
      </c>
      <c r="J26" s="6">
        <v>13623.0</v>
      </c>
      <c r="K26" s="7">
        <f t="shared" si="4"/>
        <v>0.6565367393</v>
      </c>
      <c r="L26" s="7">
        <f t="shared" si="5"/>
        <v>0.5363248004</v>
      </c>
      <c r="M26" s="7">
        <f t="shared" si="6"/>
        <v>0.3521169357</v>
      </c>
      <c r="N26" s="7">
        <f t="shared" si="7"/>
        <v>0.9486833269</v>
      </c>
      <c r="O26" s="8"/>
      <c r="P26" s="8"/>
      <c r="Q26" s="8"/>
      <c r="R26" s="8"/>
      <c r="S26" s="8"/>
      <c r="T26" s="8"/>
      <c r="U26" s="11"/>
      <c r="V26" s="11"/>
      <c r="W26" s="11"/>
      <c r="X26" s="8"/>
      <c r="Y26" s="8"/>
      <c r="Z26" s="8"/>
      <c r="AA26" s="11"/>
      <c r="AB26" s="11"/>
      <c r="AC26" s="11"/>
      <c r="AD26" s="11"/>
    </row>
    <row r="27" ht="15.75" customHeight="1">
      <c r="A27" s="6">
        <v>10903.0</v>
      </c>
      <c r="B27" s="6">
        <v>538.0</v>
      </c>
      <c r="C27" s="6">
        <v>244.22222915291786</v>
      </c>
      <c r="D27" s="6">
        <v>1183.0</v>
      </c>
      <c r="E27" s="7">
        <f t="shared" si="1"/>
        <v>0.4547759932</v>
      </c>
      <c r="F27" s="7">
        <f t="shared" si="2"/>
        <v>0.4539446639</v>
      </c>
      <c r="G27" s="7">
        <f t="shared" si="3"/>
        <v>0.2064431354</v>
      </c>
      <c r="H27" s="6">
        <v>1370.0</v>
      </c>
      <c r="I27" s="6">
        <v>634.6666832864285</v>
      </c>
      <c r="J27" s="6">
        <v>2754.0</v>
      </c>
      <c r="K27" s="7">
        <f t="shared" si="4"/>
        <v>0.4974582426</v>
      </c>
      <c r="L27" s="7">
        <f t="shared" si="5"/>
        <v>0.4632603528</v>
      </c>
      <c r="M27" s="7">
        <f t="shared" si="6"/>
        <v>0.2304526809</v>
      </c>
      <c r="N27" s="7">
        <f t="shared" si="7"/>
        <v>1.116301012</v>
      </c>
      <c r="O27" s="8"/>
      <c r="P27" s="8"/>
      <c r="Q27" s="8"/>
      <c r="R27" s="8"/>
      <c r="S27" s="8"/>
      <c r="T27" s="8"/>
      <c r="U27" s="11"/>
      <c r="V27" s="11"/>
      <c r="W27" s="11"/>
      <c r="X27" s="8"/>
      <c r="Y27" s="8"/>
      <c r="Z27" s="8"/>
      <c r="AA27" s="11"/>
      <c r="AB27" s="11"/>
      <c r="AC27" s="11"/>
      <c r="AD27" s="11"/>
    </row>
    <row r="28" ht="15.75" customHeight="1">
      <c r="A28" s="6">
        <v>11001.0</v>
      </c>
      <c r="B28" s="6">
        <v>1131.0</v>
      </c>
      <c r="C28" s="6">
        <v>531.7777929604053</v>
      </c>
      <c r="D28" s="6">
        <v>1910.0</v>
      </c>
      <c r="E28" s="7">
        <f t="shared" si="1"/>
        <v>0.5921465969</v>
      </c>
      <c r="F28" s="7">
        <f t="shared" si="2"/>
        <v>0.470183725</v>
      </c>
      <c r="G28" s="7">
        <f t="shared" si="3"/>
        <v>0.2784176926</v>
      </c>
      <c r="H28" s="6">
        <v>3862.0</v>
      </c>
      <c r="I28" s="6">
        <v>1903.5556081533432</v>
      </c>
      <c r="J28" s="6">
        <v>7435.0</v>
      </c>
      <c r="K28" s="7">
        <f t="shared" si="4"/>
        <v>0.5194351042</v>
      </c>
      <c r="L28" s="7">
        <f t="shared" si="5"/>
        <v>0.4928937359</v>
      </c>
      <c r="M28" s="7">
        <f t="shared" si="6"/>
        <v>0.2560263091</v>
      </c>
      <c r="N28" s="7">
        <f t="shared" si="7"/>
        <v>0.9195762908</v>
      </c>
      <c r="O28" s="8"/>
      <c r="P28" s="8"/>
      <c r="Q28" s="8"/>
      <c r="R28" s="8"/>
      <c r="S28" s="8"/>
      <c r="T28" s="8"/>
      <c r="U28" s="11"/>
      <c r="V28" s="11"/>
      <c r="W28" s="11"/>
      <c r="X28" s="8"/>
      <c r="Y28" s="8"/>
      <c r="Z28" s="8"/>
      <c r="AA28" s="11"/>
      <c r="AB28" s="11"/>
      <c r="AC28" s="11"/>
      <c r="AD28" s="11"/>
    </row>
    <row r="29" ht="15.75" customHeight="1">
      <c r="A29" s="6">
        <v>11002.0</v>
      </c>
      <c r="B29" s="6">
        <v>334.0</v>
      </c>
      <c r="C29" s="6">
        <v>156.77778178453445</v>
      </c>
      <c r="D29" s="6">
        <v>490.0</v>
      </c>
      <c r="E29" s="7">
        <f t="shared" si="1"/>
        <v>0.6816326531</v>
      </c>
      <c r="F29" s="7">
        <f t="shared" si="2"/>
        <v>0.4693945562</v>
      </c>
      <c r="G29" s="7">
        <f t="shared" si="3"/>
        <v>0.3199546567</v>
      </c>
      <c r="H29" s="6">
        <v>1225.0</v>
      </c>
      <c r="I29" s="6">
        <v>567.7777917087078</v>
      </c>
      <c r="J29" s="6">
        <v>1939.0</v>
      </c>
      <c r="K29" s="7">
        <f t="shared" si="4"/>
        <v>0.6317689531</v>
      </c>
      <c r="L29" s="7">
        <f t="shared" si="5"/>
        <v>0.4634920749</v>
      </c>
      <c r="M29" s="7">
        <f t="shared" si="6"/>
        <v>0.2928199029</v>
      </c>
      <c r="N29" s="7">
        <f t="shared" si="7"/>
        <v>0.9151918772</v>
      </c>
      <c r="O29" s="8"/>
      <c r="P29" s="8"/>
      <c r="Q29" s="8"/>
      <c r="R29" s="8"/>
      <c r="S29" s="8"/>
      <c r="T29" s="8"/>
      <c r="U29" s="11"/>
      <c r="V29" s="11"/>
      <c r="W29" s="11"/>
      <c r="X29" s="8"/>
      <c r="Y29" s="8"/>
      <c r="Z29" s="8"/>
      <c r="AA29" s="11"/>
      <c r="AB29" s="11"/>
      <c r="AC29" s="11"/>
      <c r="AD29" s="11"/>
    </row>
    <row r="30" ht="15.75" customHeight="1">
      <c r="A30" s="6">
        <v>11003.0</v>
      </c>
      <c r="B30" s="6">
        <v>828.0</v>
      </c>
      <c r="C30" s="6">
        <v>374.0000109374523</v>
      </c>
      <c r="D30" s="6">
        <v>1569.0</v>
      </c>
      <c r="E30" s="7">
        <f t="shared" si="1"/>
        <v>0.5277246654</v>
      </c>
      <c r="F30" s="7">
        <f t="shared" si="2"/>
        <v>0.4516908345</v>
      </c>
      <c r="G30" s="7">
        <f t="shared" si="3"/>
        <v>0.2383683945</v>
      </c>
      <c r="H30" s="6">
        <v>2484.0</v>
      </c>
      <c r="I30" s="6">
        <v>1168.2222533524036</v>
      </c>
      <c r="J30" s="6">
        <v>5174.0</v>
      </c>
      <c r="K30" s="7">
        <f t="shared" si="4"/>
        <v>0.4800927716</v>
      </c>
      <c r="L30" s="7">
        <f t="shared" si="5"/>
        <v>0.4702988137</v>
      </c>
      <c r="M30" s="7">
        <f t="shared" si="6"/>
        <v>0.2257870609</v>
      </c>
      <c r="N30" s="7">
        <f t="shared" si="7"/>
        <v>0.9472189526</v>
      </c>
      <c r="O30" s="8"/>
      <c r="P30" s="8"/>
      <c r="Q30" s="8"/>
      <c r="R30" s="8"/>
      <c r="S30" s="8"/>
      <c r="T30" s="8"/>
      <c r="U30" s="11"/>
      <c r="V30" s="11"/>
      <c r="W30" s="11"/>
      <c r="X30" s="8"/>
      <c r="Y30" s="8"/>
      <c r="Z30" s="8"/>
      <c r="AA30" s="11"/>
      <c r="AB30" s="11"/>
      <c r="AC30" s="11"/>
      <c r="AD30" s="11"/>
    </row>
    <row r="31" ht="15.75" customHeight="1">
      <c r="A31" s="6">
        <v>20101.0</v>
      </c>
      <c r="B31" s="6">
        <v>5993.0</v>
      </c>
      <c r="C31" s="6">
        <v>2353.7778371572495</v>
      </c>
      <c r="D31" s="6">
        <v>153931.0</v>
      </c>
      <c r="E31" s="7">
        <f t="shared" si="1"/>
        <v>0.03893302843</v>
      </c>
      <c r="F31" s="7">
        <f t="shared" si="2"/>
        <v>0.3927545198</v>
      </c>
      <c r="G31" s="7">
        <f t="shared" si="3"/>
        <v>0.01529112289</v>
      </c>
      <c r="H31" s="6">
        <v>27797.0</v>
      </c>
      <c r="I31" s="6">
        <v>10828.000272899866</v>
      </c>
      <c r="J31" s="6">
        <v>594257.0</v>
      </c>
      <c r="K31" s="7">
        <f t="shared" si="4"/>
        <v>0.04677605817</v>
      </c>
      <c r="L31" s="7">
        <f t="shared" si="5"/>
        <v>0.3895384492</v>
      </c>
      <c r="M31" s="7">
        <f t="shared" si="6"/>
        <v>0.01822107316</v>
      </c>
      <c r="N31" s="7">
        <f t="shared" si="7"/>
        <v>1.191611191</v>
      </c>
      <c r="O31" s="8"/>
      <c r="P31" s="8"/>
      <c r="Q31" s="8"/>
      <c r="R31" s="8"/>
      <c r="S31" s="8"/>
      <c r="T31" s="8"/>
      <c r="U31" s="11"/>
      <c r="V31" s="11"/>
      <c r="W31" s="11"/>
      <c r="X31" s="8"/>
      <c r="Y31" s="8"/>
      <c r="Z31" s="8"/>
      <c r="AA31" s="11"/>
      <c r="AB31" s="11"/>
      <c r="AC31" s="11"/>
      <c r="AD31" s="11"/>
    </row>
    <row r="32" ht="15.75" customHeight="1">
      <c r="A32" s="6">
        <v>20102.0</v>
      </c>
      <c r="B32" s="6">
        <v>1843.0</v>
      </c>
      <c r="C32" s="6">
        <v>800.8889091014862</v>
      </c>
      <c r="D32" s="6">
        <v>3424.0</v>
      </c>
      <c r="E32" s="7">
        <f t="shared" si="1"/>
        <v>0.5382593458</v>
      </c>
      <c r="F32" s="7">
        <f t="shared" si="2"/>
        <v>0.4345571943</v>
      </c>
      <c r="G32" s="7">
        <f t="shared" si="3"/>
        <v>0.2339044711</v>
      </c>
      <c r="H32" s="6">
        <v>6648.0</v>
      </c>
      <c r="I32" s="6">
        <v>2867.666738241911</v>
      </c>
      <c r="J32" s="6">
        <v>13062.0</v>
      </c>
      <c r="K32" s="7">
        <f t="shared" si="4"/>
        <v>0.5089572807</v>
      </c>
      <c r="L32" s="7">
        <f t="shared" si="5"/>
        <v>0.4313578126</v>
      </c>
      <c r="M32" s="7">
        <f t="shared" si="6"/>
        <v>0.2195426993</v>
      </c>
      <c r="N32" s="7">
        <f t="shared" si="7"/>
        <v>0.9385998406</v>
      </c>
      <c r="O32" s="8"/>
      <c r="P32" s="8"/>
      <c r="Q32" s="8"/>
      <c r="R32" s="8"/>
      <c r="S32" s="8"/>
      <c r="T32" s="8"/>
      <c r="U32" s="11"/>
      <c r="V32" s="11"/>
      <c r="W32" s="11"/>
      <c r="X32" s="8"/>
      <c r="Y32" s="8"/>
      <c r="Z32" s="8"/>
      <c r="AA32" s="11"/>
      <c r="AB32" s="11"/>
      <c r="AC32" s="11"/>
      <c r="AD32" s="11"/>
    </row>
    <row r="33" ht="15.75" customHeight="1">
      <c r="A33" s="6">
        <v>20103.0</v>
      </c>
      <c r="B33" s="6">
        <v>1639.0</v>
      </c>
      <c r="C33" s="6">
        <v>697.6666840612888</v>
      </c>
      <c r="D33" s="6">
        <v>3705.0</v>
      </c>
      <c r="E33" s="7">
        <f t="shared" si="1"/>
        <v>0.4423751687</v>
      </c>
      <c r="F33" s="7">
        <f t="shared" si="2"/>
        <v>0.4256660672</v>
      </c>
      <c r="G33" s="7">
        <f t="shared" si="3"/>
        <v>0.1883040983</v>
      </c>
      <c r="H33" s="6">
        <v>4511.0</v>
      </c>
      <c r="I33" s="6">
        <v>1938.3333832323551</v>
      </c>
      <c r="J33" s="6">
        <v>12040.0</v>
      </c>
      <c r="K33" s="7">
        <f t="shared" si="4"/>
        <v>0.3746677741</v>
      </c>
      <c r="L33" s="7">
        <f t="shared" si="5"/>
        <v>0.4296903975</v>
      </c>
      <c r="M33" s="7">
        <f t="shared" si="6"/>
        <v>0.1609911448</v>
      </c>
      <c r="N33" s="7">
        <f t="shared" si="7"/>
        <v>0.8549529526</v>
      </c>
      <c r="O33" s="8"/>
      <c r="P33" s="8"/>
      <c r="Q33" s="8"/>
      <c r="R33" s="8"/>
      <c r="S33" s="8"/>
      <c r="T33" s="8"/>
      <c r="U33" s="11"/>
      <c r="V33" s="11"/>
      <c r="W33" s="11"/>
      <c r="X33" s="8"/>
      <c r="Y33" s="8"/>
      <c r="Z33" s="8"/>
      <c r="AA33" s="11"/>
      <c r="AB33" s="11"/>
      <c r="AC33" s="11"/>
      <c r="AD33" s="11"/>
    </row>
    <row r="34" ht="15.75" customHeight="1">
      <c r="A34" s="6">
        <v>20104.0</v>
      </c>
      <c r="B34" s="6">
        <v>1906.0</v>
      </c>
      <c r="C34" s="6">
        <v>764.3333524167538</v>
      </c>
      <c r="D34" s="6">
        <v>3887.0</v>
      </c>
      <c r="E34" s="7">
        <f t="shared" si="1"/>
        <v>0.4903524569</v>
      </c>
      <c r="F34" s="7">
        <f t="shared" si="2"/>
        <v>0.4010143507</v>
      </c>
      <c r="G34" s="7">
        <f t="shared" si="3"/>
        <v>0.1966383721</v>
      </c>
      <c r="H34" s="6">
        <v>8577.0</v>
      </c>
      <c r="I34" s="6">
        <v>3576.5556431412697</v>
      </c>
      <c r="J34" s="6">
        <v>18355.0</v>
      </c>
      <c r="K34" s="7">
        <f t="shared" si="4"/>
        <v>0.4672841188</v>
      </c>
      <c r="L34" s="7">
        <f t="shared" si="5"/>
        <v>0.4169937791</v>
      </c>
      <c r="M34" s="7">
        <f t="shared" si="6"/>
        <v>0.1948545706</v>
      </c>
      <c r="N34" s="7">
        <f t="shared" si="7"/>
        <v>0.9909285176</v>
      </c>
      <c r="O34" s="8"/>
      <c r="P34" s="8"/>
      <c r="Q34" s="8"/>
      <c r="R34" s="8"/>
      <c r="S34" s="8"/>
      <c r="T34" s="8"/>
      <c r="U34" s="11"/>
      <c r="V34" s="11"/>
      <c r="W34" s="11"/>
      <c r="X34" s="8"/>
      <c r="Y34" s="8"/>
      <c r="Z34" s="8"/>
      <c r="AA34" s="11"/>
      <c r="AB34" s="11"/>
      <c r="AC34" s="11"/>
      <c r="AD34" s="11"/>
    </row>
    <row r="35" ht="15.75" customHeight="1">
      <c r="A35" s="6">
        <v>20105.0</v>
      </c>
      <c r="B35" s="6">
        <v>10096.0</v>
      </c>
      <c r="C35" s="6">
        <v>3873.888985335827</v>
      </c>
      <c r="D35" s="6">
        <v>89705.0</v>
      </c>
      <c r="E35" s="7">
        <f t="shared" si="1"/>
        <v>0.1125466808</v>
      </c>
      <c r="F35" s="7">
        <f t="shared" si="2"/>
        <v>0.3837053274</v>
      </c>
      <c r="G35" s="7">
        <f t="shared" si="3"/>
        <v>0.043184761</v>
      </c>
      <c r="H35" s="6">
        <v>103892.0</v>
      </c>
      <c r="I35" s="6">
        <v>40865.778799921274</v>
      </c>
      <c r="J35" s="6">
        <v>749980.0</v>
      </c>
      <c r="K35" s="7">
        <f t="shared" si="4"/>
        <v>0.1385263607</v>
      </c>
      <c r="L35" s="7">
        <f t="shared" si="5"/>
        <v>0.3933486582</v>
      </c>
      <c r="M35" s="7">
        <f t="shared" si="6"/>
        <v>0.05448915811</v>
      </c>
      <c r="N35" s="7">
        <f t="shared" si="7"/>
        <v>1.261768199</v>
      </c>
      <c r="O35" s="8"/>
      <c r="P35" s="8"/>
      <c r="Q35" s="8"/>
      <c r="R35" s="8"/>
      <c r="S35" s="8"/>
      <c r="T35" s="8"/>
      <c r="U35" s="11"/>
      <c r="V35" s="11"/>
      <c r="W35" s="11"/>
      <c r="X35" s="8"/>
      <c r="Y35" s="8"/>
      <c r="Z35" s="8"/>
      <c r="AA35" s="11"/>
      <c r="AB35" s="11"/>
      <c r="AC35" s="11"/>
      <c r="AD35" s="11"/>
    </row>
    <row r="36" ht="15.75" customHeight="1">
      <c r="A36" s="6">
        <v>20201.0</v>
      </c>
      <c r="B36" s="6">
        <v>4443.0</v>
      </c>
      <c r="C36" s="6">
        <v>1850.5556027889252</v>
      </c>
      <c r="D36" s="6">
        <v>10322.0</v>
      </c>
      <c r="E36" s="7">
        <f t="shared" si="1"/>
        <v>0.4304398372</v>
      </c>
      <c r="F36" s="7">
        <f t="shared" si="2"/>
        <v>0.4165103765</v>
      </c>
      <c r="G36" s="7">
        <f t="shared" si="3"/>
        <v>0.1792826587</v>
      </c>
      <c r="H36" s="6">
        <v>13063.0</v>
      </c>
      <c r="I36" s="6">
        <v>5541.333471804857</v>
      </c>
      <c r="J36" s="6">
        <v>35345.0</v>
      </c>
      <c r="K36" s="7">
        <f t="shared" si="4"/>
        <v>0.3695855142</v>
      </c>
      <c r="L36" s="7">
        <f t="shared" si="5"/>
        <v>0.4242006792</v>
      </c>
      <c r="M36" s="7">
        <f t="shared" si="6"/>
        <v>0.1567784261</v>
      </c>
      <c r="N36" s="7">
        <f t="shared" si="7"/>
        <v>0.8744762449</v>
      </c>
      <c r="O36" s="8"/>
      <c r="P36" s="8"/>
      <c r="Q36" s="8"/>
      <c r="R36" s="8"/>
      <c r="S36" s="8"/>
      <c r="T36" s="8"/>
      <c r="U36" s="11"/>
      <c r="V36" s="11"/>
      <c r="W36" s="11"/>
      <c r="X36" s="8"/>
      <c r="Y36" s="8"/>
      <c r="Z36" s="8"/>
      <c r="AA36" s="11"/>
      <c r="AB36" s="11"/>
      <c r="AC36" s="11"/>
      <c r="AD36" s="11"/>
    </row>
    <row r="37" ht="15.75" customHeight="1">
      <c r="A37" s="6">
        <v>20202.0</v>
      </c>
      <c r="B37" s="6">
        <v>2273.0</v>
      </c>
      <c r="C37" s="6">
        <v>948.4444690644741</v>
      </c>
      <c r="D37" s="6">
        <v>3890.0</v>
      </c>
      <c r="E37" s="7">
        <f t="shared" si="1"/>
        <v>0.5843187661</v>
      </c>
      <c r="F37" s="7">
        <f t="shared" si="2"/>
        <v>0.4172654945</v>
      </c>
      <c r="G37" s="7">
        <f t="shared" si="3"/>
        <v>0.2438160589</v>
      </c>
      <c r="H37" s="6">
        <v>4928.0</v>
      </c>
      <c r="I37" s="6">
        <v>2100.6667173802853</v>
      </c>
      <c r="J37" s="6">
        <v>9193.0</v>
      </c>
      <c r="K37" s="7">
        <f t="shared" si="4"/>
        <v>0.5360600457</v>
      </c>
      <c r="L37" s="7">
        <f t="shared" si="5"/>
        <v>0.4262716553</v>
      </c>
      <c r="M37" s="7">
        <f t="shared" si="6"/>
        <v>0.228507203</v>
      </c>
      <c r="N37" s="7">
        <f t="shared" si="7"/>
        <v>0.9372114539</v>
      </c>
      <c r="O37" s="8"/>
      <c r="P37" s="8"/>
      <c r="Q37" s="8"/>
      <c r="R37" s="8"/>
      <c r="S37" s="8"/>
      <c r="T37" s="8"/>
      <c r="U37" s="11"/>
      <c r="V37" s="11"/>
      <c r="W37" s="11"/>
      <c r="X37" s="8"/>
      <c r="Y37" s="8"/>
      <c r="Z37" s="8"/>
      <c r="AA37" s="11"/>
      <c r="AB37" s="11"/>
      <c r="AC37" s="11"/>
      <c r="AD37" s="11"/>
    </row>
    <row r="38" ht="15.75" customHeight="1">
      <c r="A38" s="6">
        <v>20203.0</v>
      </c>
      <c r="B38" s="6">
        <v>1245.0</v>
      </c>
      <c r="C38" s="6">
        <v>525.0000131726265</v>
      </c>
      <c r="D38" s="6">
        <v>2774.0</v>
      </c>
      <c r="E38" s="7">
        <f t="shared" si="1"/>
        <v>0.4488103821</v>
      </c>
      <c r="F38" s="7">
        <f t="shared" si="2"/>
        <v>0.4216867576</v>
      </c>
      <c r="G38" s="7">
        <f t="shared" si="3"/>
        <v>0.1892573948</v>
      </c>
      <c r="H38" s="6">
        <v>2131.0</v>
      </c>
      <c r="I38" s="6">
        <v>902.0000213384628</v>
      </c>
      <c r="J38" s="6">
        <v>5125.0</v>
      </c>
      <c r="K38" s="7">
        <f t="shared" si="4"/>
        <v>0.415804878</v>
      </c>
      <c r="L38" s="7">
        <f t="shared" si="5"/>
        <v>0.4232754675</v>
      </c>
      <c r="M38" s="7">
        <f t="shared" si="6"/>
        <v>0.1760000042</v>
      </c>
      <c r="N38" s="7">
        <f t="shared" si="7"/>
        <v>0.9299504749</v>
      </c>
      <c r="O38" s="8"/>
      <c r="P38" s="8"/>
      <c r="Q38" s="8"/>
      <c r="R38" s="8"/>
      <c r="S38" s="8"/>
      <c r="T38" s="8"/>
      <c r="U38" s="11"/>
      <c r="V38" s="11"/>
      <c r="W38" s="11"/>
      <c r="X38" s="8"/>
      <c r="Y38" s="8"/>
      <c r="Z38" s="8"/>
      <c r="AA38" s="11"/>
      <c r="AB38" s="11"/>
      <c r="AC38" s="11"/>
      <c r="AD38" s="11"/>
    </row>
    <row r="39" ht="15.75" customHeight="1">
      <c r="A39" s="6">
        <v>20204.0</v>
      </c>
      <c r="B39" s="6">
        <v>1145.0</v>
      </c>
      <c r="C39" s="6">
        <v>456.11112213134766</v>
      </c>
      <c r="D39" s="6">
        <v>3037.0</v>
      </c>
      <c r="E39" s="7">
        <f t="shared" si="1"/>
        <v>0.3770167929</v>
      </c>
      <c r="F39" s="7">
        <f t="shared" si="2"/>
        <v>0.398350325</v>
      </c>
      <c r="G39" s="7">
        <f t="shared" si="3"/>
        <v>0.150184762</v>
      </c>
      <c r="H39" s="6">
        <v>2092.0</v>
      </c>
      <c r="I39" s="6">
        <v>870.2222429215908</v>
      </c>
      <c r="J39" s="6">
        <v>5485.0</v>
      </c>
      <c r="K39" s="7">
        <f t="shared" si="4"/>
        <v>0.3814038286</v>
      </c>
      <c r="L39" s="7">
        <f t="shared" si="5"/>
        <v>0.4159762155</v>
      </c>
      <c r="M39" s="7">
        <f t="shared" si="6"/>
        <v>0.1586549212</v>
      </c>
      <c r="N39" s="7">
        <f t="shared" si="7"/>
        <v>1.05639826</v>
      </c>
      <c r="O39" s="8"/>
      <c r="P39" s="8"/>
      <c r="Q39" s="8"/>
      <c r="R39" s="8"/>
      <c r="S39" s="8"/>
      <c r="T39" s="8"/>
      <c r="U39" s="11"/>
      <c r="V39" s="11"/>
      <c r="W39" s="11"/>
      <c r="X39" s="8"/>
      <c r="Y39" s="8"/>
      <c r="Z39" s="8"/>
      <c r="AA39" s="11"/>
      <c r="AB39" s="11"/>
      <c r="AC39" s="11"/>
      <c r="AD39" s="11"/>
    </row>
    <row r="40" ht="15.75" customHeight="1">
      <c r="A40" s="6">
        <v>20205.0</v>
      </c>
      <c r="B40" s="6">
        <v>295.0</v>
      </c>
      <c r="C40" s="6">
        <v>112.33333605527878</v>
      </c>
      <c r="D40" s="6">
        <v>1277.0</v>
      </c>
      <c r="E40" s="7">
        <f t="shared" si="1"/>
        <v>0.2310101801</v>
      </c>
      <c r="F40" s="7">
        <f t="shared" si="2"/>
        <v>0.3807909697</v>
      </c>
      <c r="G40" s="7">
        <f t="shared" si="3"/>
        <v>0.08796659049</v>
      </c>
      <c r="H40" s="6">
        <v>513.0</v>
      </c>
      <c r="I40" s="6">
        <v>203.11111569404602</v>
      </c>
      <c r="J40" s="6">
        <v>2604.0</v>
      </c>
      <c r="K40" s="7">
        <f t="shared" si="4"/>
        <v>0.1970046083</v>
      </c>
      <c r="L40" s="7">
        <f t="shared" si="5"/>
        <v>0.3959281008</v>
      </c>
      <c r="M40" s="7">
        <f t="shared" si="6"/>
        <v>0.0779996604</v>
      </c>
      <c r="N40" s="7">
        <f t="shared" si="7"/>
        <v>0.8866964147</v>
      </c>
      <c r="O40" s="8"/>
      <c r="P40" s="8"/>
      <c r="Q40" s="8"/>
      <c r="R40" s="8"/>
      <c r="S40" s="8"/>
      <c r="T40" s="8"/>
      <c r="U40" s="11"/>
      <c r="V40" s="11"/>
      <c r="W40" s="11"/>
      <c r="X40" s="8"/>
      <c r="Y40" s="8"/>
      <c r="Z40" s="8"/>
      <c r="AA40" s="11"/>
      <c r="AB40" s="11"/>
      <c r="AC40" s="11"/>
      <c r="AD40" s="11"/>
    </row>
    <row r="41" ht="15.75" customHeight="1">
      <c r="A41" s="6">
        <v>20206.0</v>
      </c>
      <c r="B41" s="6">
        <v>543.0</v>
      </c>
      <c r="C41" s="6">
        <v>216.11111643910408</v>
      </c>
      <c r="D41" s="6">
        <v>1458.0</v>
      </c>
      <c r="E41" s="7">
        <f t="shared" si="1"/>
        <v>0.3724279835</v>
      </c>
      <c r="F41" s="7">
        <f t="shared" si="2"/>
        <v>0.3979946896</v>
      </c>
      <c r="G41" s="7">
        <f t="shared" si="3"/>
        <v>0.1482243597</v>
      </c>
      <c r="H41" s="6">
        <v>1265.0</v>
      </c>
      <c r="I41" s="6">
        <v>507.77779045701027</v>
      </c>
      <c r="J41" s="6">
        <v>3402.0</v>
      </c>
      <c r="K41" s="7">
        <f t="shared" si="4"/>
        <v>0.3718400941</v>
      </c>
      <c r="L41" s="7">
        <f t="shared" si="5"/>
        <v>0.401405368</v>
      </c>
      <c r="M41" s="7">
        <f t="shared" si="6"/>
        <v>0.1492586098</v>
      </c>
      <c r="N41" s="7">
        <f t="shared" si="7"/>
        <v>1.006977599</v>
      </c>
      <c r="O41" s="8"/>
      <c r="P41" s="8"/>
      <c r="Q41" s="8"/>
      <c r="R41" s="8"/>
      <c r="S41" s="8"/>
      <c r="T41" s="8"/>
      <c r="U41" s="11"/>
      <c r="V41" s="11"/>
      <c r="W41" s="11"/>
      <c r="X41" s="8"/>
      <c r="Y41" s="8"/>
      <c r="Z41" s="8"/>
      <c r="AA41" s="11"/>
      <c r="AB41" s="11"/>
      <c r="AC41" s="11"/>
      <c r="AD41" s="11"/>
    </row>
    <row r="42" ht="15.75" customHeight="1">
      <c r="A42" s="6">
        <v>20301.0</v>
      </c>
      <c r="B42" s="6">
        <v>2010.0</v>
      </c>
      <c r="C42" s="6">
        <v>894.7777992486954</v>
      </c>
      <c r="D42" s="6">
        <v>3066.0</v>
      </c>
      <c r="E42" s="7">
        <f t="shared" si="1"/>
        <v>0.6555772994</v>
      </c>
      <c r="F42" s="7">
        <f t="shared" si="2"/>
        <v>0.4451630842</v>
      </c>
      <c r="G42" s="7">
        <f t="shared" si="3"/>
        <v>0.2918388125</v>
      </c>
      <c r="H42" s="6">
        <v>4575.0</v>
      </c>
      <c r="I42" s="6">
        <v>2152.2222771942616</v>
      </c>
      <c r="J42" s="6">
        <v>7283.0</v>
      </c>
      <c r="K42" s="7">
        <f t="shared" si="4"/>
        <v>0.6281752025</v>
      </c>
      <c r="L42" s="7">
        <f t="shared" si="5"/>
        <v>0.4704310988</v>
      </c>
      <c r="M42" s="7">
        <f t="shared" si="6"/>
        <v>0.2955131508</v>
      </c>
      <c r="N42" s="7">
        <f t="shared" si="7"/>
        <v>1.0125903</v>
      </c>
      <c r="O42" s="8"/>
      <c r="P42" s="8"/>
      <c r="Q42" s="8"/>
      <c r="R42" s="8"/>
      <c r="S42" s="8"/>
      <c r="T42" s="8"/>
      <c r="U42" s="11"/>
      <c r="V42" s="11"/>
      <c r="W42" s="11"/>
      <c r="X42" s="8"/>
      <c r="Y42" s="8"/>
      <c r="Z42" s="8"/>
      <c r="AA42" s="11"/>
      <c r="AB42" s="11"/>
      <c r="AC42" s="11"/>
      <c r="AD42" s="11"/>
    </row>
    <row r="43" ht="15.75" customHeight="1">
      <c r="A43" s="6">
        <v>20302.0</v>
      </c>
      <c r="B43" s="6">
        <v>4066.0</v>
      </c>
      <c r="C43" s="6">
        <v>1785.5555981695652</v>
      </c>
      <c r="D43" s="6">
        <v>5786.0</v>
      </c>
      <c r="E43" s="7">
        <f t="shared" si="1"/>
        <v>0.7027307293</v>
      </c>
      <c r="F43" s="7">
        <f t="shared" si="2"/>
        <v>0.4391430394</v>
      </c>
      <c r="G43" s="7">
        <f t="shared" si="3"/>
        <v>0.3085993084</v>
      </c>
      <c r="H43" s="6">
        <v>6285.0</v>
      </c>
      <c r="I43" s="6">
        <v>2878.4445175230503</v>
      </c>
      <c r="J43" s="6">
        <v>8843.0</v>
      </c>
      <c r="K43" s="7">
        <f t="shared" si="4"/>
        <v>0.7107316522</v>
      </c>
      <c r="L43" s="7">
        <f t="shared" si="5"/>
        <v>0.457986399</v>
      </c>
      <c r="M43" s="7">
        <f t="shared" si="6"/>
        <v>0.32550543</v>
      </c>
      <c r="N43" s="7">
        <f t="shared" si="7"/>
        <v>1.054783407</v>
      </c>
      <c r="O43" s="8"/>
      <c r="P43" s="8"/>
      <c r="Q43" s="8"/>
      <c r="R43" s="8"/>
      <c r="S43" s="8"/>
      <c r="T43" s="8"/>
      <c r="U43" s="11"/>
      <c r="V43" s="11"/>
      <c r="W43" s="11"/>
      <c r="X43" s="8"/>
      <c r="Y43" s="8"/>
      <c r="Z43" s="8"/>
      <c r="AA43" s="11"/>
      <c r="AB43" s="11"/>
      <c r="AC43" s="11"/>
      <c r="AD43" s="11"/>
    </row>
    <row r="44" ht="15.75" customHeight="1">
      <c r="A44" s="6">
        <v>20303.0</v>
      </c>
      <c r="B44" s="6">
        <v>2686.0</v>
      </c>
      <c r="C44" s="6">
        <v>1180.000027835369</v>
      </c>
      <c r="D44" s="6">
        <v>3468.0</v>
      </c>
      <c r="E44" s="7">
        <f t="shared" si="1"/>
        <v>0.7745098039</v>
      </c>
      <c r="F44" s="7">
        <f t="shared" si="2"/>
        <v>0.4393149769</v>
      </c>
      <c r="G44" s="7">
        <f t="shared" si="3"/>
        <v>0.3402537566</v>
      </c>
      <c r="H44" s="6">
        <v>5153.0</v>
      </c>
      <c r="I44" s="6">
        <v>2336.2222793400288</v>
      </c>
      <c r="J44" s="6">
        <v>6336.0</v>
      </c>
      <c r="K44" s="7">
        <f t="shared" si="4"/>
        <v>0.8132891414</v>
      </c>
      <c r="L44" s="7">
        <f t="shared" si="5"/>
        <v>0.4533712943</v>
      </c>
      <c r="M44" s="7">
        <f t="shared" si="6"/>
        <v>0.3687219507</v>
      </c>
      <c r="N44" s="7">
        <f t="shared" si="7"/>
        <v>1.083667538</v>
      </c>
      <c r="O44" s="8"/>
      <c r="P44" s="8"/>
      <c r="Q44" s="8"/>
      <c r="R44" s="8"/>
      <c r="S44" s="8"/>
      <c r="T44" s="8"/>
      <c r="U44" s="11"/>
      <c r="V44" s="11"/>
      <c r="W44" s="11"/>
      <c r="X44" s="8"/>
      <c r="Y44" s="8"/>
      <c r="Z44" s="8"/>
      <c r="AA44" s="11"/>
      <c r="AB44" s="11"/>
      <c r="AC44" s="11"/>
      <c r="AD44" s="11"/>
    </row>
    <row r="45" ht="15.75" customHeight="1">
      <c r="A45" s="6">
        <v>20304.0</v>
      </c>
      <c r="B45" s="6">
        <v>888.0</v>
      </c>
      <c r="C45" s="6">
        <v>399.0000097155571</v>
      </c>
      <c r="D45" s="6">
        <v>1354.0</v>
      </c>
      <c r="E45" s="7">
        <f t="shared" si="1"/>
        <v>0.6558345643</v>
      </c>
      <c r="F45" s="7">
        <f t="shared" si="2"/>
        <v>0.4493243353</v>
      </c>
      <c r="G45" s="7">
        <f t="shared" si="3"/>
        <v>0.2946824296</v>
      </c>
      <c r="H45" s="6">
        <v>1528.0</v>
      </c>
      <c r="I45" s="6">
        <v>684.5555723309517</v>
      </c>
      <c r="J45" s="6">
        <v>2492.0</v>
      </c>
      <c r="K45" s="7">
        <f t="shared" si="4"/>
        <v>0.6131621188</v>
      </c>
      <c r="L45" s="7">
        <f t="shared" si="5"/>
        <v>0.4480075735</v>
      </c>
      <c r="M45" s="7">
        <f t="shared" si="6"/>
        <v>0.274701273</v>
      </c>
      <c r="N45" s="7">
        <f t="shared" si="7"/>
        <v>0.9321942722</v>
      </c>
      <c r="O45" s="8"/>
      <c r="P45" s="8"/>
      <c r="Q45" s="8"/>
      <c r="R45" s="8"/>
      <c r="S45" s="8"/>
      <c r="T45" s="8"/>
      <c r="U45" s="11"/>
      <c r="V45" s="11"/>
      <c r="W45" s="11"/>
      <c r="X45" s="8"/>
      <c r="Y45" s="8"/>
      <c r="Z45" s="8"/>
      <c r="AA45" s="11"/>
      <c r="AB45" s="11"/>
      <c r="AC45" s="11"/>
      <c r="AD45" s="11"/>
    </row>
    <row r="46" ht="15.75" customHeight="1">
      <c r="A46" s="6">
        <v>20305.0</v>
      </c>
      <c r="B46" s="6">
        <v>505.0</v>
      </c>
      <c r="C46" s="6">
        <v>224.00000503659248</v>
      </c>
      <c r="D46" s="6">
        <v>688.0</v>
      </c>
      <c r="E46" s="7">
        <f t="shared" si="1"/>
        <v>0.7340116279</v>
      </c>
      <c r="F46" s="7">
        <f t="shared" si="2"/>
        <v>0.4435643664</v>
      </c>
      <c r="G46" s="7">
        <f t="shared" si="3"/>
        <v>0.3255814027</v>
      </c>
      <c r="H46" s="6">
        <v>1582.0</v>
      </c>
      <c r="I46" s="6">
        <v>724.1111301481724</v>
      </c>
      <c r="J46" s="6">
        <v>2331.0</v>
      </c>
      <c r="K46" s="7">
        <f t="shared" si="4"/>
        <v>0.6786786787</v>
      </c>
      <c r="L46" s="7">
        <f t="shared" si="5"/>
        <v>0.4577187928</v>
      </c>
      <c r="M46" s="7">
        <f t="shared" si="6"/>
        <v>0.3106439855</v>
      </c>
      <c r="N46" s="7">
        <f t="shared" si="7"/>
        <v>0.9541207911</v>
      </c>
      <c r="O46" s="8"/>
      <c r="P46" s="8"/>
      <c r="Q46" s="8"/>
      <c r="R46" s="8"/>
      <c r="S46" s="8"/>
      <c r="T46" s="8"/>
      <c r="U46" s="11"/>
      <c r="V46" s="11"/>
      <c r="W46" s="11"/>
      <c r="X46" s="8"/>
      <c r="Y46" s="8"/>
      <c r="Z46" s="8"/>
      <c r="AA46" s="11"/>
      <c r="AB46" s="11"/>
      <c r="AC46" s="11"/>
      <c r="AD46" s="11"/>
    </row>
    <row r="47" ht="15.75" customHeight="1">
      <c r="A47" s="6">
        <v>20306.0</v>
      </c>
      <c r="B47" s="6">
        <v>580.0</v>
      </c>
      <c r="C47" s="6">
        <v>246.4444504082203</v>
      </c>
      <c r="D47" s="6">
        <v>874.0</v>
      </c>
      <c r="E47" s="7">
        <f t="shared" si="1"/>
        <v>0.6636155606</v>
      </c>
      <c r="F47" s="7">
        <f t="shared" si="2"/>
        <v>0.4249042248</v>
      </c>
      <c r="G47" s="7">
        <f t="shared" si="3"/>
        <v>0.2819730554</v>
      </c>
      <c r="H47" s="6">
        <v>2747.0</v>
      </c>
      <c r="I47" s="6">
        <v>1201.6666970551014</v>
      </c>
      <c r="J47" s="6">
        <v>4127.0</v>
      </c>
      <c r="K47" s="7">
        <f t="shared" si="4"/>
        <v>0.6656166707</v>
      </c>
      <c r="L47" s="7">
        <f t="shared" si="5"/>
        <v>0.4374469228</v>
      </c>
      <c r="M47" s="7">
        <f t="shared" si="6"/>
        <v>0.2911719644</v>
      </c>
      <c r="N47" s="7">
        <f t="shared" si="7"/>
        <v>1.032623362</v>
      </c>
      <c r="O47" s="8"/>
      <c r="P47" s="8"/>
      <c r="Q47" s="8"/>
      <c r="R47" s="8"/>
      <c r="S47" s="8"/>
      <c r="T47" s="8"/>
      <c r="U47" s="11"/>
      <c r="V47" s="11"/>
      <c r="W47" s="11"/>
      <c r="X47" s="8"/>
      <c r="Y47" s="8"/>
      <c r="Z47" s="8"/>
      <c r="AA47" s="11"/>
      <c r="AB47" s="11"/>
      <c r="AC47" s="11"/>
      <c r="AD47" s="11"/>
    </row>
    <row r="48" ht="15.75" customHeight="1">
      <c r="A48" s="6">
        <v>20307.0</v>
      </c>
      <c r="B48" s="6">
        <v>52.0</v>
      </c>
      <c r="C48" s="6">
        <v>19.66666704416275</v>
      </c>
      <c r="D48" s="6">
        <v>101.0</v>
      </c>
      <c r="E48" s="7">
        <f t="shared" si="1"/>
        <v>0.5148514851</v>
      </c>
      <c r="F48" s="7">
        <f t="shared" si="2"/>
        <v>0.3782051355</v>
      </c>
      <c r="G48" s="7">
        <f t="shared" si="3"/>
        <v>0.1947194757</v>
      </c>
      <c r="H48" s="6">
        <v>334.0</v>
      </c>
      <c r="I48" s="6">
        <v>137.44444805383682</v>
      </c>
      <c r="J48" s="6">
        <v>499.0</v>
      </c>
      <c r="K48" s="7">
        <f t="shared" si="4"/>
        <v>0.6693386774</v>
      </c>
      <c r="L48" s="7">
        <f t="shared" si="5"/>
        <v>0.4115103235</v>
      </c>
      <c r="M48" s="7">
        <f t="shared" si="6"/>
        <v>0.2754397757</v>
      </c>
      <c r="N48" s="7">
        <f t="shared" si="7"/>
        <v>1.414546617</v>
      </c>
      <c r="O48" s="8"/>
      <c r="P48" s="8"/>
      <c r="Q48" s="8"/>
      <c r="R48" s="8"/>
      <c r="S48" s="8"/>
      <c r="T48" s="8"/>
      <c r="U48" s="11"/>
      <c r="V48" s="11"/>
      <c r="W48" s="11"/>
      <c r="X48" s="8"/>
      <c r="Y48" s="8"/>
      <c r="Z48" s="8"/>
      <c r="AA48" s="11"/>
      <c r="AB48" s="11"/>
      <c r="AC48" s="11"/>
      <c r="AD48" s="11"/>
    </row>
    <row r="49" ht="15.75" customHeight="1">
      <c r="A49" s="6">
        <v>20308.0</v>
      </c>
      <c r="B49" s="6">
        <v>2439.0</v>
      </c>
      <c r="C49" s="6">
        <v>1169.2222523093224</v>
      </c>
      <c r="D49" s="6">
        <v>2718.0</v>
      </c>
      <c r="E49" s="7">
        <f t="shared" si="1"/>
        <v>0.8973509934</v>
      </c>
      <c r="F49" s="7">
        <f t="shared" si="2"/>
        <v>0.4793859173</v>
      </c>
      <c r="G49" s="7">
        <f t="shared" si="3"/>
        <v>0.4301774291</v>
      </c>
      <c r="H49" s="6">
        <v>4082.0</v>
      </c>
      <c r="I49" s="6">
        <v>1970.8889375329018</v>
      </c>
      <c r="J49" s="6">
        <v>4524.0</v>
      </c>
      <c r="K49" s="7">
        <f t="shared" si="4"/>
        <v>0.9022988506</v>
      </c>
      <c r="L49" s="7">
        <f t="shared" si="5"/>
        <v>0.4828243355</v>
      </c>
      <c r="M49" s="7">
        <f t="shared" si="6"/>
        <v>0.435651843</v>
      </c>
      <c r="N49" s="7">
        <f t="shared" si="7"/>
        <v>1.012725944</v>
      </c>
      <c r="O49" s="8"/>
      <c r="P49" s="8"/>
      <c r="Q49" s="8"/>
      <c r="R49" s="8"/>
      <c r="S49" s="8"/>
      <c r="T49" s="8"/>
      <c r="U49" s="11"/>
      <c r="V49" s="11"/>
      <c r="W49" s="11"/>
      <c r="X49" s="8"/>
      <c r="Y49" s="8"/>
      <c r="Z49" s="8"/>
      <c r="AA49" s="11"/>
      <c r="AB49" s="11"/>
      <c r="AC49" s="11"/>
      <c r="AD49" s="11"/>
    </row>
    <row r="50" ht="15.75" customHeight="1">
      <c r="A50" s="6">
        <v>20401.0</v>
      </c>
      <c r="B50" s="6">
        <v>2363.0</v>
      </c>
      <c r="C50" s="6">
        <v>1017.2222481369972</v>
      </c>
      <c r="D50" s="6">
        <v>3578.0</v>
      </c>
      <c r="E50" s="7">
        <f t="shared" si="1"/>
        <v>0.6604248183</v>
      </c>
      <c r="F50" s="7">
        <f t="shared" si="2"/>
        <v>0.4304791571</v>
      </c>
      <c r="G50" s="7">
        <f t="shared" si="3"/>
        <v>0.2842991191</v>
      </c>
      <c r="H50" s="6">
        <v>4948.0</v>
      </c>
      <c r="I50" s="6">
        <v>2195.7778320610523</v>
      </c>
      <c r="J50" s="6">
        <v>7657.0</v>
      </c>
      <c r="K50" s="7">
        <f t="shared" si="4"/>
        <v>0.6462060859</v>
      </c>
      <c r="L50" s="7">
        <f t="shared" si="5"/>
        <v>0.4437707826</v>
      </c>
      <c r="M50" s="7">
        <f t="shared" si="6"/>
        <v>0.2867673804</v>
      </c>
      <c r="N50" s="7">
        <f t="shared" si="7"/>
        <v>1.008681917</v>
      </c>
      <c r="O50" s="8"/>
      <c r="P50" s="8"/>
      <c r="Q50" s="8"/>
      <c r="R50" s="8"/>
      <c r="S50" s="8"/>
      <c r="T50" s="8"/>
      <c r="U50" s="11"/>
      <c r="V50" s="11"/>
      <c r="W50" s="11"/>
      <c r="X50" s="8"/>
      <c r="Y50" s="8"/>
      <c r="Z50" s="8"/>
      <c r="AA50" s="11"/>
      <c r="AB50" s="11"/>
      <c r="AC50" s="11"/>
      <c r="AD50" s="11"/>
    </row>
    <row r="51" ht="15.75" customHeight="1">
      <c r="A51" s="6">
        <v>20402.0</v>
      </c>
      <c r="B51" s="6">
        <v>2456.0</v>
      </c>
      <c r="C51" s="6">
        <v>1042.2222483158112</v>
      </c>
      <c r="D51" s="6">
        <v>4121.0</v>
      </c>
      <c r="E51" s="7">
        <f t="shared" si="1"/>
        <v>0.5959718515</v>
      </c>
      <c r="F51" s="7">
        <f t="shared" si="2"/>
        <v>0.424357593</v>
      </c>
      <c r="G51" s="7">
        <f t="shared" si="3"/>
        <v>0.2529051804</v>
      </c>
      <c r="H51" s="6">
        <v>7147.0</v>
      </c>
      <c r="I51" s="6">
        <v>3122.666746020317</v>
      </c>
      <c r="J51" s="6">
        <v>11448.0</v>
      </c>
      <c r="K51" s="7">
        <f t="shared" si="4"/>
        <v>0.624301188</v>
      </c>
      <c r="L51" s="7">
        <f t="shared" si="5"/>
        <v>0.4369199309</v>
      </c>
      <c r="M51" s="7">
        <f t="shared" si="6"/>
        <v>0.2727696319</v>
      </c>
      <c r="N51" s="7">
        <f t="shared" si="7"/>
        <v>1.078545056</v>
      </c>
      <c r="O51" s="8"/>
      <c r="P51" s="8"/>
      <c r="Q51" s="8"/>
      <c r="R51" s="8"/>
      <c r="S51" s="8"/>
      <c r="T51" s="8"/>
      <c r="U51" s="11"/>
      <c r="V51" s="11"/>
      <c r="W51" s="11"/>
      <c r="X51" s="8"/>
      <c r="Y51" s="8"/>
      <c r="Z51" s="8"/>
      <c r="AA51" s="11"/>
      <c r="AB51" s="11"/>
      <c r="AC51" s="11"/>
      <c r="AD51" s="11"/>
    </row>
    <row r="52" ht="15.75" customHeight="1">
      <c r="A52" s="6">
        <v>20403.0</v>
      </c>
      <c r="B52" s="6">
        <v>2545.0</v>
      </c>
      <c r="C52" s="6">
        <v>1114.5555847585201</v>
      </c>
      <c r="D52" s="6">
        <v>4304.0</v>
      </c>
      <c r="E52" s="7">
        <f t="shared" si="1"/>
        <v>0.5913104089</v>
      </c>
      <c r="F52" s="7">
        <f t="shared" si="2"/>
        <v>0.437939326</v>
      </c>
      <c r="G52" s="7">
        <f t="shared" si="3"/>
        <v>0.258958082</v>
      </c>
      <c r="H52" s="6">
        <v>6237.0</v>
      </c>
      <c r="I52" s="6">
        <v>2901.7778537869453</v>
      </c>
      <c r="J52" s="6">
        <v>10031.0</v>
      </c>
      <c r="K52" s="7">
        <f t="shared" si="4"/>
        <v>0.6217725052</v>
      </c>
      <c r="L52" s="7">
        <f t="shared" si="5"/>
        <v>0.4652521811</v>
      </c>
      <c r="M52" s="7">
        <f t="shared" si="6"/>
        <v>0.2892810142</v>
      </c>
      <c r="N52" s="7">
        <f t="shared" si="7"/>
        <v>1.11709591</v>
      </c>
      <c r="O52" s="8"/>
      <c r="P52" s="8"/>
      <c r="Q52" s="8"/>
      <c r="R52" s="8"/>
      <c r="S52" s="8"/>
      <c r="T52" s="8"/>
      <c r="U52" s="11"/>
      <c r="V52" s="11"/>
      <c r="W52" s="11"/>
      <c r="X52" s="8"/>
      <c r="Y52" s="8"/>
      <c r="Z52" s="8"/>
      <c r="AA52" s="11"/>
      <c r="AB52" s="11"/>
      <c r="AC52" s="11"/>
      <c r="AD52" s="11"/>
    </row>
    <row r="53" ht="15.75" customHeight="1">
      <c r="A53" s="6">
        <v>20404.0</v>
      </c>
      <c r="B53" s="6">
        <v>978.0</v>
      </c>
      <c r="C53" s="6">
        <v>425.00001031160355</v>
      </c>
      <c r="D53" s="6">
        <v>1374.0</v>
      </c>
      <c r="E53" s="7">
        <f t="shared" si="1"/>
        <v>0.711790393</v>
      </c>
      <c r="F53" s="7">
        <f t="shared" si="2"/>
        <v>0.4345603377</v>
      </c>
      <c r="G53" s="7">
        <f t="shared" si="3"/>
        <v>0.3093158736</v>
      </c>
      <c r="H53" s="6">
        <v>2726.0</v>
      </c>
      <c r="I53" s="6">
        <v>1218.8889200091362</v>
      </c>
      <c r="J53" s="6">
        <v>3962.0</v>
      </c>
      <c r="K53" s="7">
        <f t="shared" si="4"/>
        <v>0.6880363453</v>
      </c>
      <c r="L53" s="7">
        <f t="shared" si="5"/>
        <v>0.4471346002</v>
      </c>
      <c r="M53" s="7">
        <f t="shared" si="6"/>
        <v>0.3076448561</v>
      </c>
      <c r="N53" s="7">
        <f t="shared" si="7"/>
        <v>0.994597699</v>
      </c>
      <c r="O53" s="8"/>
      <c r="P53" s="8"/>
      <c r="Q53" s="8"/>
      <c r="R53" s="8"/>
      <c r="S53" s="8"/>
      <c r="T53" s="8"/>
      <c r="U53" s="11"/>
      <c r="V53" s="11"/>
      <c r="W53" s="11"/>
      <c r="X53" s="8"/>
      <c r="Y53" s="8"/>
      <c r="Z53" s="8"/>
      <c r="AA53" s="11"/>
      <c r="AB53" s="11"/>
      <c r="AC53" s="11"/>
      <c r="AD53" s="11"/>
    </row>
    <row r="54" ht="15.75" customHeight="1">
      <c r="A54" s="6">
        <v>20405.0</v>
      </c>
      <c r="B54" s="6">
        <v>1396.0</v>
      </c>
      <c r="C54" s="6">
        <v>581.4444588720798</v>
      </c>
      <c r="D54" s="6">
        <v>2308.0</v>
      </c>
      <c r="E54" s="7">
        <f t="shared" si="1"/>
        <v>0.6048526863</v>
      </c>
      <c r="F54" s="7">
        <f t="shared" si="2"/>
        <v>0.416507492</v>
      </c>
      <c r="G54" s="7">
        <f t="shared" si="3"/>
        <v>0.2519256754</v>
      </c>
      <c r="H54" s="6">
        <v>2350.0</v>
      </c>
      <c r="I54" s="6">
        <v>981.0000232756138</v>
      </c>
      <c r="J54" s="6">
        <v>4840.0</v>
      </c>
      <c r="K54" s="7">
        <f t="shared" si="4"/>
        <v>0.4855371901</v>
      </c>
      <c r="L54" s="7">
        <f t="shared" si="5"/>
        <v>0.4174468184</v>
      </c>
      <c r="M54" s="7">
        <f t="shared" si="6"/>
        <v>0.2026859552</v>
      </c>
      <c r="N54" s="7">
        <f t="shared" si="7"/>
        <v>0.8045466381</v>
      </c>
      <c r="O54" s="8"/>
      <c r="P54" s="8"/>
      <c r="Q54" s="8"/>
      <c r="R54" s="8"/>
      <c r="S54" s="8"/>
      <c r="T54" s="8"/>
      <c r="U54" s="11"/>
      <c r="V54" s="11"/>
      <c r="W54" s="11"/>
      <c r="X54" s="8"/>
      <c r="Y54" s="8"/>
      <c r="Z54" s="8"/>
      <c r="AA54" s="11"/>
      <c r="AB54" s="11"/>
      <c r="AC54" s="11"/>
      <c r="AD54" s="11"/>
    </row>
    <row r="55" ht="15.75" customHeight="1">
      <c r="A55" s="6">
        <v>20501.0</v>
      </c>
      <c r="B55" s="6">
        <v>1599.0</v>
      </c>
      <c r="C55" s="6">
        <v>688.3333504199982</v>
      </c>
      <c r="D55" s="6">
        <v>2947.0</v>
      </c>
      <c r="E55" s="7">
        <f t="shared" si="1"/>
        <v>0.5425856804</v>
      </c>
      <c r="F55" s="7">
        <f t="shared" si="2"/>
        <v>0.4304773924</v>
      </c>
      <c r="G55" s="7">
        <f t="shared" si="3"/>
        <v>0.2335708688</v>
      </c>
      <c r="H55" s="6">
        <v>4464.0</v>
      </c>
      <c r="I55" s="6">
        <v>1981.1111630797386</v>
      </c>
      <c r="J55" s="6">
        <v>8499.0</v>
      </c>
      <c r="K55" s="7">
        <f t="shared" si="4"/>
        <v>0.5252382633</v>
      </c>
      <c r="L55" s="7">
        <f t="shared" si="5"/>
        <v>0.4437973036</v>
      </c>
      <c r="M55" s="7">
        <f t="shared" si="6"/>
        <v>0.233099325</v>
      </c>
      <c r="N55" s="7">
        <f t="shared" si="7"/>
        <v>0.9979811531</v>
      </c>
      <c r="O55" s="8"/>
      <c r="P55" s="8"/>
      <c r="Q55" s="8"/>
      <c r="R55" s="8"/>
      <c r="S55" s="8"/>
      <c r="T55" s="8"/>
      <c r="U55" s="11"/>
      <c r="V55" s="11"/>
      <c r="W55" s="11"/>
      <c r="X55" s="8"/>
      <c r="Y55" s="8"/>
      <c r="Z55" s="8"/>
      <c r="AA55" s="11"/>
      <c r="AB55" s="11"/>
      <c r="AC55" s="11"/>
      <c r="AD55" s="11"/>
    </row>
    <row r="56" ht="15.75" customHeight="1">
      <c r="A56" s="6">
        <v>20502.0</v>
      </c>
      <c r="B56" s="6">
        <v>940.0</v>
      </c>
      <c r="C56" s="6">
        <v>415.44445556402206</v>
      </c>
      <c r="D56" s="6">
        <v>1536.0</v>
      </c>
      <c r="E56" s="7">
        <f t="shared" si="1"/>
        <v>0.6119791667</v>
      </c>
      <c r="F56" s="7">
        <f t="shared" si="2"/>
        <v>0.4419621868</v>
      </c>
      <c r="G56" s="7">
        <f t="shared" si="3"/>
        <v>0.2704716508</v>
      </c>
      <c r="H56" s="6">
        <v>4548.0</v>
      </c>
      <c r="I56" s="6">
        <v>2086.2222759127617</v>
      </c>
      <c r="J56" s="6">
        <v>6715.0</v>
      </c>
      <c r="K56" s="7">
        <f t="shared" si="4"/>
        <v>0.67728965</v>
      </c>
      <c r="L56" s="7">
        <f t="shared" si="5"/>
        <v>0.458712022</v>
      </c>
      <c r="M56" s="7">
        <f t="shared" si="6"/>
        <v>0.3106809048</v>
      </c>
      <c r="N56" s="7">
        <f t="shared" si="7"/>
        <v>1.14866347</v>
      </c>
      <c r="O56" s="8"/>
      <c r="P56" s="8"/>
      <c r="Q56" s="8"/>
      <c r="R56" s="8"/>
      <c r="S56" s="8"/>
      <c r="T56" s="8"/>
      <c r="U56" s="11"/>
      <c r="V56" s="11"/>
      <c r="W56" s="11"/>
      <c r="X56" s="8"/>
      <c r="Y56" s="8"/>
      <c r="Z56" s="8"/>
      <c r="AA56" s="11"/>
      <c r="AB56" s="11"/>
      <c r="AC56" s="11"/>
      <c r="AD56" s="11"/>
    </row>
    <row r="57" ht="15.75" customHeight="1">
      <c r="A57" s="6">
        <v>20503.0</v>
      </c>
      <c r="B57" s="6">
        <v>642.0</v>
      </c>
      <c r="C57" s="6">
        <v>289.44445297122</v>
      </c>
      <c r="D57" s="6">
        <v>910.0</v>
      </c>
      <c r="E57" s="7">
        <f t="shared" si="1"/>
        <v>0.7054945055</v>
      </c>
      <c r="F57" s="7">
        <f t="shared" si="2"/>
        <v>0.4508480576</v>
      </c>
      <c r="G57" s="7">
        <f t="shared" si="3"/>
        <v>0.3180708274</v>
      </c>
      <c r="H57" s="6">
        <v>2957.0</v>
      </c>
      <c r="I57" s="6">
        <v>1339.2222560048103</v>
      </c>
      <c r="J57" s="6">
        <v>4526.0</v>
      </c>
      <c r="K57" s="7">
        <f t="shared" si="4"/>
        <v>0.6533362793</v>
      </c>
      <c r="L57" s="7">
        <f t="shared" si="5"/>
        <v>0.4528989706</v>
      </c>
      <c r="M57" s="7">
        <f t="shared" si="6"/>
        <v>0.2958953283</v>
      </c>
      <c r="N57" s="7">
        <f t="shared" si="7"/>
        <v>0.9302812544</v>
      </c>
      <c r="O57" s="8"/>
      <c r="P57" s="8"/>
      <c r="Q57" s="8"/>
      <c r="R57" s="8"/>
      <c r="S57" s="8"/>
      <c r="T57" s="8"/>
      <c r="U57" s="11"/>
      <c r="V57" s="11"/>
      <c r="W57" s="11"/>
      <c r="X57" s="8"/>
      <c r="Y57" s="8"/>
      <c r="Z57" s="8"/>
      <c r="AA57" s="11"/>
      <c r="AB57" s="11"/>
      <c r="AC57" s="11"/>
      <c r="AD57" s="11"/>
    </row>
    <row r="58" ht="15.75" customHeight="1">
      <c r="A58" s="6">
        <v>20601.0</v>
      </c>
      <c r="B58" s="6">
        <v>2657.0</v>
      </c>
      <c r="C58" s="6">
        <v>1173.4444749355316</v>
      </c>
      <c r="D58" s="6">
        <v>4860.0</v>
      </c>
      <c r="E58" s="7">
        <f t="shared" si="1"/>
        <v>0.5467078189</v>
      </c>
      <c r="F58" s="7">
        <f t="shared" si="2"/>
        <v>0.4416426326</v>
      </c>
      <c r="G58" s="7">
        <f t="shared" si="3"/>
        <v>0.2414494804</v>
      </c>
      <c r="H58" s="6">
        <v>9593.0</v>
      </c>
      <c r="I58" s="6">
        <v>4251.000107884407</v>
      </c>
      <c r="J58" s="6">
        <v>18485.0</v>
      </c>
      <c r="K58" s="7">
        <f t="shared" si="4"/>
        <v>0.51896132</v>
      </c>
      <c r="L58" s="7">
        <f t="shared" si="5"/>
        <v>0.443135631</v>
      </c>
      <c r="M58" s="7">
        <f t="shared" si="6"/>
        <v>0.229970252</v>
      </c>
      <c r="N58" s="7">
        <f t="shared" si="7"/>
        <v>0.9524570174</v>
      </c>
      <c r="O58" s="8"/>
      <c r="P58" s="8"/>
      <c r="Q58" s="8"/>
      <c r="R58" s="8"/>
      <c r="S58" s="8"/>
      <c r="T58" s="8"/>
      <c r="U58" s="11"/>
      <c r="V58" s="11"/>
      <c r="W58" s="11"/>
      <c r="X58" s="8"/>
      <c r="Y58" s="8"/>
      <c r="Z58" s="8"/>
      <c r="AA58" s="11"/>
      <c r="AB58" s="11"/>
      <c r="AC58" s="11"/>
      <c r="AD58" s="11"/>
    </row>
    <row r="59" ht="15.75" customHeight="1">
      <c r="A59" s="6">
        <v>20602.0</v>
      </c>
      <c r="B59" s="6">
        <v>862.0</v>
      </c>
      <c r="C59" s="6">
        <v>390.7777878642082</v>
      </c>
      <c r="D59" s="6">
        <v>2000.0</v>
      </c>
      <c r="E59" s="7">
        <f t="shared" si="1"/>
        <v>0.431</v>
      </c>
      <c r="F59" s="7">
        <f t="shared" si="2"/>
        <v>0.453338501</v>
      </c>
      <c r="G59" s="7">
        <f t="shared" si="3"/>
        <v>0.1953888939</v>
      </c>
      <c r="H59" s="6">
        <v>5388.0</v>
      </c>
      <c r="I59" s="6">
        <v>2473.1111745238304</v>
      </c>
      <c r="J59" s="6">
        <v>12422.0</v>
      </c>
      <c r="K59" s="7">
        <f t="shared" si="4"/>
        <v>0.4337465787</v>
      </c>
      <c r="L59" s="7">
        <f t="shared" si="5"/>
        <v>0.4590035587</v>
      </c>
      <c r="M59" s="7">
        <f t="shared" si="6"/>
        <v>0.1990912232</v>
      </c>
      <c r="N59" s="7">
        <f t="shared" si="7"/>
        <v>1.018948514</v>
      </c>
      <c r="O59" s="8"/>
      <c r="P59" s="8"/>
      <c r="Q59" s="8"/>
      <c r="R59" s="8"/>
      <c r="S59" s="8"/>
      <c r="T59" s="8"/>
      <c r="U59" s="11"/>
      <c r="V59" s="11"/>
      <c r="W59" s="11"/>
      <c r="X59" s="8"/>
      <c r="Y59" s="8"/>
      <c r="Z59" s="8"/>
      <c r="AA59" s="11"/>
      <c r="AB59" s="11"/>
      <c r="AC59" s="11"/>
      <c r="AD59" s="11"/>
    </row>
    <row r="60" ht="15.75" customHeight="1">
      <c r="A60" s="6">
        <v>20603.0</v>
      </c>
      <c r="B60" s="6">
        <v>640.0</v>
      </c>
      <c r="C60" s="6">
        <v>291.0000073313713</v>
      </c>
      <c r="D60" s="6">
        <v>1031.0</v>
      </c>
      <c r="E60" s="7">
        <f t="shared" si="1"/>
        <v>0.620756547</v>
      </c>
      <c r="F60" s="7">
        <f t="shared" si="2"/>
        <v>0.4546875115</v>
      </c>
      <c r="G60" s="7">
        <f t="shared" si="3"/>
        <v>0.2822502496</v>
      </c>
      <c r="H60" s="6">
        <v>3838.0</v>
      </c>
      <c r="I60" s="6">
        <v>1716.1111543774605</v>
      </c>
      <c r="J60" s="6">
        <v>6872.0</v>
      </c>
      <c r="K60" s="7">
        <f t="shared" si="4"/>
        <v>0.5584982538</v>
      </c>
      <c r="L60" s="7">
        <f t="shared" si="5"/>
        <v>0.4471368302</v>
      </c>
      <c r="M60" s="7">
        <f t="shared" si="6"/>
        <v>0.2497251389</v>
      </c>
      <c r="N60" s="7">
        <f t="shared" si="7"/>
        <v>0.8847649887</v>
      </c>
      <c r="O60" s="8"/>
      <c r="P60" s="8"/>
      <c r="Q60" s="8"/>
      <c r="R60" s="8"/>
      <c r="S60" s="8"/>
      <c r="T60" s="8"/>
      <c r="U60" s="11"/>
      <c r="V60" s="11"/>
      <c r="W60" s="11"/>
      <c r="X60" s="8"/>
      <c r="Y60" s="8"/>
      <c r="Z60" s="8"/>
      <c r="AA60" s="11"/>
      <c r="AB60" s="11"/>
      <c r="AC60" s="11"/>
      <c r="AD60" s="11"/>
    </row>
    <row r="61" ht="15.75" customHeight="1">
      <c r="A61" s="6">
        <v>20604.0</v>
      </c>
      <c r="B61" s="6">
        <v>361.0</v>
      </c>
      <c r="C61" s="6">
        <v>157.00000435113907</v>
      </c>
      <c r="D61" s="6">
        <v>583.0</v>
      </c>
      <c r="E61" s="7">
        <f t="shared" si="1"/>
        <v>0.6192109777</v>
      </c>
      <c r="F61" s="7">
        <f t="shared" si="2"/>
        <v>0.4349030591</v>
      </c>
      <c r="G61" s="7">
        <f t="shared" si="3"/>
        <v>0.2692967485</v>
      </c>
      <c r="H61" s="6">
        <v>1126.0</v>
      </c>
      <c r="I61" s="6">
        <v>492.1111229658127</v>
      </c>
      <c r="J61" s="6">
        <v>2041.0</v>
      </c>
      <c r="K61" s="7">
        <f t="shared" si="4"/>
        <v>0.5516903479</v>
      </c>
      <c r="L61" s="7">
        <f t="shared" si="5"/>
        <v>0.4370436261</v>
      </c>
      <c r="M61" s="7">
        <f t="shared" si="6"/>
        <v>0.2411127501</v>
      </c>
      <c r="N61" s="7">
        <f t="shared" si="7"/>
        <v>0.8953422256</v>
      </c>
      <c r="O61" s="8"/>
      <c r="P61" s="8"/>
      <c r="Q61" s="8"/>
      <c r="R61" s="8"/>
      <c r="S61" s="8"/>
      <c r="T61" s="8"/>
      <c r="U61" s="11"/>
      <c r="V61" s="11"/>
      <c r="W61" s="11"/>
      <c r="X61" s="8"/>
      <c r="Y61" s="8"/>
      <c r="Z61" s="8"/>
      <c r="AA61" s="11"/>
      <c r="AB61" s="11"/>
      <c r="AC61" s="11"/>
      <c r="AD61" s="11"/>
    </row>
    <row r="62" ht="15.75" customHeight="1">
      <c r="A62" s="6">
        <v>20605.0</v>
      </c>
      <c r="B62" s="6">
        <v>660.0</v>
      </c>
      <c r="C62" s="6">
        <v>266.0000068247318</v>
      </c>
      <c r="D62" s="6">
        <v>1357.0</v>
      </c>
      <c r="E62" s="7">
        <f t="shared" si="1"/>
        <v>0.486366986</v>
      </c>
      <c r="F62" s="7">
        <f t="shared" si="2"/>
        <v>0.4030303134</v>
      </c>
      <c r="G62" s="7">
        <f t="shared" si="3"/>
        <v>0.1960206388</v>
      </c>
      <c r="H62" s="6">
        <v>1128.0</v>
      </c>
      <c r="I62" s="6">
        <v>466.00001138448715</v>
      </c>
      <c r="J62" s="6">
        <v>2322.0</v>
      </c>
      <c r="K62" s="7">
        <f t="shared" si="4"/>
        <v>0.4857881137</v>
      </c>
      <c r="L62" s="7">
        <f t="shared" si="5"/>
        <v>0.4131205775</v>
      </c>
      <c r="M62" s="7">
        <f t="shared" si="6"/>
        <v>0.2006890661</v>
      </c>
      <c r="N62" s="7">
        <f t="shared" si="7"/>
        <v>1.023815999</v>
      </c>
      <c r="O62" s="8"/>
      <c r="P62" s="8"/>
      <c r="Q62" s="8"/>
      <c r="R62" s="8"/>
      <c r="S62" s="8"/>
      <c r="T62" s="8"/>
      <c r="U62" s="11"/>
      <c r="V62" s="11"/>
      <c r="W62" s="11"/>
      <c r="X62" s="8"/>
      <c r="Y62" s="8"/>
      <c r="Z62" s="8"/>
      <c r="AA62" s="11"/>
      <c r="AB62" s="11"/>
      <c r="AC62" s="11"/>
      <c r="AD62" s="11"/>
    </row>
    <row r="63" ht="15.75" customHeight="1">
      <c r="A63" s="6">
        <v>20606.0</v>
      </c>
      <c r="B63" s="6">
        <v>289.0</v>
      </c>
      <c r="C63" s="6">
        <v>113.66666948795319</v>
      </c>
      <c r="D63" s="6">
        <v>929.0</v>
      </c>
      <c r="E63" s="7">
        <f t="shared" si="1"/>
        <v>0.3110871905</v>
      </c>
      <c r="F63" s="7">
        <f t="shared" si="2"/>
        <v>0.393310275</v>
      </c>
      <c r="G63" s="7">
        <f t="shared" si="3"/>
        <v>0.1223537885</v>
      </c>
      <c r="H63" s="6">
        <v>2587.0</v>
      </c>
      <c r="I63" s="6">
        <v>1036.3333587944508</v>
      </c>
      <c r="J63" s="6">
        <v>8855.0</v>
      </c>
      <c r="K63" s="7">
        <f t="shared" si="4"/>
        <v>0.2921513269</v>
      </c>
      <c r="L63" s="7">
        <f t="shared" si="5"/>
        <v>0.400592717</v>
      </c>
      <c r="M63" s="7">
        <f t="shared" si="6"/>
        <v>0.1170336938</v>
      </c>
      <c r="N63" s="7">
        <f t="shared" si="7"/>
        <v>0.9565187583</v>
      </c>
      <c r="O63" s="8"/>
      <c r="P63" s="8"/>
      <c r="Q63" s="8"/>
      <c r="R63" s="8"/>
      <c r="S63" s="8"/>
      <c r="T63" s="8"/>
      <c r="U63" s="11"/>
      <c r="V63" s="11"/>
      <c r="W63" s="11"/>
      <c r="X63" s="8"/>
      <c r="Y63" s="8"/>
      <c r="Z63" s="8"/>
      <c r="AA63" s="11"/>
      <c r="AB63" s="11"/>
      <c r="AC63" s="11"/>
      <c r="AD63" s="11"/>
    </row>
    <row r="64" ht="15.75" customHeight="1">
      <c r="A64" s="6">
        <v>20607.0</v>
      </c>
      <c r="B64" s="6">
        <v>456.0</v>
      </c>
      <c r="C64" s="6">
        <v>175.22222632169724</v>
      </c>
      <c r="D64" s="6">
        <v>1174.0</v>
      </c>
      <c r="E64" s="7">
        <f t="shared" si="1"/>
        <v>0.3884156729</v>
      </c>
      <c r="F64" s="7">
        <f t="shared" si="2"/>
        <v>0.3842592682</v>
      </c>
      <c r="G64" s="7">
        <f t="shared" si="3"/>
        <v>0.1492523223</v>
      </c>
      <c r="H64" s="6">
        <v>3343.0</v>
      </c>
      <c r="I64" s="6">
        <v>1333.5555875599384</v>
      </c>
      <c r="J64" s="6">
        <v>11970.0</v>
      </c>
      <c r="K64" s="7">
        <f t="shared" si="4"/>
        <v>0.2792815372</v>
      </c>
      <c r="L64" s="7">
        <f t="shared" si="5"/>
        <v>0.3989098377</v>
      </c>
      <c r="M64" s="7">
        <f t="shared" si="6"/>
        <v>0.1114081527</v>
      </c>
      <c r="N64" s="7">
        <f t="shared" si="7"/>
        <v>0.74644167</v>
      </c>
      <c r="O64" s="8"/>
      <c r="P64" s="8"/>
      <c r="Q64" s="8"/>
      <c r="R64" s="8"/>
      <c r="S64" s="8"/>
      <c r="T64" s="8"/>
      <c r="U64" s="11"/>
      <c r="V64" s="11"/>
      <c r="W64" s="11"/>
      <c r="X64" s="8"/>
      <c r="Y64" s="8"/>
      <c r="Z64" s="8"/>
      <c r="AA64" s="11"/>
      <c r="AB64" s="11"/>
      <c r="AC64" s="11"/>
      <c r="AD64" s="11"/>
    </row>
    <row r="65" ht="15.75" customHeight="1">
      <c r="A65" s="6">
        <v>20608.0</v>
      </c>
      <c r="B65" s="6">
        <v>492.0</v>
      </c>
      <c r="C65" s="6">
        <v>212.66667130589485</v>
      </c>
      <c r="D65" s="6">
        <v>1029.0</v>
      </c>
      <c r="E65" s="7">
        <f t="shared" si="1"/>
        <v>0.4781341108</v>
      </c>
      <c r="F65" s="7">
        <f t="shared" si="2"/>
        <v>0.4322493319</v>
      </c>
      <c r="G65" s="7">
        <f t="shared" si="3"/>
        <v>0.20667315</v>
      </c>
      <c r="H65" s="6">
        <v>4744.0</v>
      </c>
      <c r="I65" s="6">
        <v>2221.0000559687614</v>
      </c>
      <c r="J65" s="6">
        <v>8021.0</v>
      </c>
      <c r="K65" s="7">
        <f t="shared" si="4"/>
        <v>0.5914474504</v>
      </c>
      <c r="L65" s="7">
        <f t="shared" si="5"/>
        <v>0.4681703322</v>
      </c>
      <c r="M65" s="7">
        <f t="shared" si="6"/>
        <v>0.2768981494</v>
      </c>
      <c r="N65" s="7">
        <f t="shared" si="7"/>
        <v>1.339787725</v>
      </c>
      <c r="O65" s="8"/>
      <c r="P65" s="8"/>
      <c r="Q65" s="8"/>
      <c r="R65" s="8"/>
      <c r="S65" s="8"/>
      <c r="T65" s="8"/>
      <c r="U65" s="11"/>
      <c r="V65" s="11"/>
      <c r="W65" s="11"/>
      <c r="X65" s="8"/>
      <c r="Y65" s="8"/>
      <c r="Z65" s="8"/>
      <c r="AA65" s="11"/>
      <c r="AB65" s="11"/>
      <c r="AC65" s="11"/>
      <c r="AD65" s="11"/>
    </row>
    <row r="66" ht="15.75" customHeight="1">
      <c r="A66" s="6">
        <v>20701.0</v>
      </c>
      <c r="B66" s="6">
        <v>2027.0</v>
      </c>
      <c r="C66" s="6">
        <v>1024.4444718956947</v>
      </c>
      <c r="D66" s="6">
        <v>3323.0</v>
      </c>
      <c r="E66" s="7">
        <f t="shared" si="1"/>
        <v>0.609990972</v>
      </c>
      <c r="F66" s="7">
        <f t="shared" si="2"/>
        <v>0.5053993448</v>
      </c>
      <c r="G66" s="7">
        <f t="shared" si="3"/>
        <v>0.3082890376</v>
      </c>
      <c r="H66" s="6">
        <v>7994.0</v>
      </c>
      <c r="I66" s="6">
        <v>3927.7778821587563</v>
      </c>
      <c r="J66" s="6">
        <v>15182.0</v>
      </c>
      <c r="K66" s="7">
        <f t="shared" si="4"/>
        <v>0.5265445923</v>
      </c>
      <c r="L66" s="7">
        <f t="shared" si="5"/>
        <v>0.4913407408</v>
      </c>
      <c r="M66" s="7">
        <f t="shared" si="6"/>
        <v>0.25871281</v>
      </c>
      <c r="N66" s="7">
        <f t="shared" si="7"/>
        <v>0.8391891326</v>
      </c>
      <c r="O66" s="8"/>
      <c r="P66" s="8"/>
      <c r="Q66" s="8"/>
      <c r="R66" s="8"/>
      <c r="S66" s="8"/>
      <c r="T66" s="8"/>
      <c r="U66" s="11"/>
      <c r="V66" s="11"/>
      <c r="W66" s="11"/>
      <c r="X66" s="8"/>
      <c r="Y66" s="8"/>
      <c r="Z66" s="8"/>
      <c r="AA66" s="11"/>
      <c r="AB66" s="11"/>
      <c r="AC66" s="11"/>
      <c r="AD66" s="11"/>
    </row>
    <row r="67" ht="15.75" customHeight="1">
      <c r="A67" s="6">
        <v>20702.0</v>
      </c>
      <c r="B67" s="6">
        <v>595.0</v>
      </c>
      <c r="C67" s="6">
        <v>279.6666744351387</v>
      </c>
      <c r="D67" s="6">
        <v>770.0</v>
      </c>
      <c r="E67" s="7">
        <f t="shared" si="1"/>
        <v>0.7727272727</v>
      </c>
      <c r="F67" s="7">
        <f t="shared" si="2"/>
        <v>0.4700280243</v>
      </c>
      <c r="G67" s="7">
        <f t="shared" si="3"/>
        <v>0.3632034733</v>
      </c>
      <c r="H67" s="6">
        <v>3699.0</v>
      </c>
      <c r="I67" s="6">
        <v>1719.222266703844</v>
      </c>
      <c r="J67" s="6">
        <v>5222.0</v>
      </c>
      <c r="K67" s="7">
        <f t="shared" si="4"/>
        <v>0.7083492915</v>
      </c>
      <c r="L67" s="7">
        <f t="shared" si="5"/>
        <v>0.464780283</v>
      </c>
      <c r="M67" s="7">
        <f t="shared" si="6"/>
        <v>0.3292267841</v>
      </c>
      <c r="N67" s="7">
        <f t="shared" si="7"/>
        <v>0.9064527416</v>
      </c>
      <c r="O67" s="8"/>
      <c r="P67" s="8"/>
      <c r="Q67" s="8"/>
      <c r="R67" s="8"/>
      <c r="S67" s="8"/>
      <c r="T67" s="8"/>
      <c r="U67" s="11"/>
      <c r="V67" s="11"/>
      <c r="W67" s="11"/>
      <c r="X67" s="8"/>
      <c r="Y67" s="8"/>
      <c r="Z67" s="8"/>
      <c r="AA67" s="11"/>
      <c r="AB67" s="11"/>
      <c r="AC67" s="11"/>
      <c r="AD67" s="11"/>
    </row>
    <row r="68" ht="15.75" customHeight="1">
      <c r="A68" s="6">
        <v>20801.0</v>
      </c>
      <c r="B68" s="6">
        <v>3934.0</v>
      </c>
      <c r="C68" s="6">
        <v>1614.4444838762283</v>
      </c>
      <c r="D68" s="6">
        <v>12508.0</v>
      </c>
      <c r="E68" s="7">
        <f t="shared" si="1"/>
        <v>0.314518708</v>
      </c>
      <c r="F68" s="7">
        <f t="shared" si="2"/>
        <v>0.4103824311</v>
      </c>
      <c r="G68" s="7">
        <f t="shared" si="3"/>
        <v>0.129072952</v>
      </c>
      <c r="H68" s="6">
        <v>20102.0</v>
      </c>
      <c r="I68" s="6">
        <v>8389.66687130928</v>
      </c>
      <c r="J68" s="6">
        <v>66250.0</v>
      </c>
      <c r="K68" s="7">
        <f t="shared" si="4"/>
        <v>0.3034264151</v>
      </c>
      <c r="L68" s="7">
        <f t="shared" si="5"/>
        <v>0.4173548339</v>
      </c>
      <c r="M68" s="7">
        <f t="shared" si="6"/>
        <v>0.1266364811</v>
      </c>
      <c r="N68" s="7">
        <f t="shared" si="7"/>
        <v>0.9811233035</v>
      </c>
      <c r="O68" s="8"/>
      <c r="P68" s="8"/>
      <c r="Q68" s="8"/>
      <c r="R68" s="8"/>
      <c r="S68" s="8"/>
      <c r="T68" s="8"/>
      <c r="U68" s="11"/>
      <c r="V68" s="11"/>
      <c r="W68" s="11"/>
      <c r="X68" s="8"/>
      <c r="Y68" s="8"/>
      <c r="Z68" s="8"/>
      <c r="AA68" s="11"/>
      <c r="AB68" s="11"/>
      <c r="AC68" s="11"/>
      <c r="AD68" s="11"/>
    </row>
    <row r="69" ht="15.75" customHeight="1">
      <c r="A69" s="6">
        <v>20802.0</v>
      </c>
      <c r="B69" s="6">
        <v>947.0</v>
      </c>
      <c r="C69" s="6">
        <v>371.8888975083828</v>
      </c>
      <c r="D69" s="6">
        <v>2475.0</v>
      </c>
      <c r="E69" s="7">
        <f t="shared" si="1"/>
        <v>0.3826262626</v>
      </c>
      <c r="F69" s="7">
        <f t="shared" si="2"/>
        <v>0.3927021093</v>
      </c>
      <c r="G69" s="7">
        <f t="shared" si="3"/>
        <v>0.1502581404</v>
      </c>
      <c r="H69" s="6">
        <v>1660.0</v>
      </c>
      <c r="I69" s="6">
        <v>680.333350121975</v>
      </c>
      <c r="J69" s="6">
        <v>4529.0</v>
      </c>
      <c r="K69" s="7">
        <f t="shared" si="4"/>
        <v>0.3665268271</v>
      </c>
      <c r="L69" s="7">
        <f t="shared" si="5"/>
        <v>0.4098393675</v>
      </c>
      <c r="M69" s="7">
        <f t="shared" si="6"/>
        <v>0.150217123</v>
      </c>
      <c r="N69" s="7">
        <f t="shared" si="7"/>
        <v>0.9997270205</v>
      </c>
      <c r="O69" s="8"/>
      <c r="P69" s="8"/>
      <c r="Q69" s="8"/>
      <c r="R69" s="8"/>
      <c r="S69" s="8"/>
      <c r="T69" s="8"/>
      <c r="U69" s="11"/>
      <c r="V69" s="11"/>
      <c r="W69" s="11"/>
      <c r="X69" s="8"/>
      <c r="Y69" s="8"/>
      <c r="Z69" s="8"/>
      <c r="AA69" s="11"/>
      <c r="AB69" s="11"/>
      <c r="AC69" s="11"/>
      <c r="AD69" s="11"/>
    </row>
    <row r="70" ht="15.75" customHeight="1">
      <c r="A70" s="6">
        <v>20803.0</v>
      </c>
      <c r="B70" s="6">
        <v>1617.0</v>
      </c>
      <c r="C70" s="6">
        <v>696.3333498835564</v>
      </c>
      <c r="D70" s="6">
        <v>3433.0</v>
      </c>
      <c r="E70" s="7">
        <f t="shared" si="1"/>
        <v>0.4710166036</v>
      </c>
      <c r="F70" s="7">
        <f t="shared" si="2"/>
        <v>0.4306328694</v>
      </c>
      <c r="G70" s="7">
        <f t="shared" si="3"/>
        <v>0.2028352315</v>
      </c>
      <c r="H70" s="6">
        <v>4098.0</v>
      </c>
      <c r="I70" s="6">
        <v>1784.666711062193</v>
      </c>
      <c r="J70" s="6">
        <v>8658.0</v>
      </c>
      <c r="K70" s="7">
        <f t="shared" si="4"/>
        <v>0.4733194733</v>
      </c>
      <c r="L70" s="7">
        <f t="shared" si="5"/>
        <v>0.4354970012</v>
      </c>
      <c r="M70" s="7">
        <f t="shared" si="6"/>
        <v>0.2061292113</v>
      </c>
      <c r="N70" s="7">
        <f t="shared" si="7"/>
        <v>1.016239682</v>
      </c>
      <c r="O70" s="8"/>
      <c r="P70" s="8"/>
      <c r="Q70" s="8"/>
      <c r="R70" s="8"/>
      <c r="S70" s="8"/>
      <c r="T70" s="8"/>
      <c r="U70" s="11"/>
      <c r="V70" s="11"/>
      <c r="W70" s="11"/>
      <c r="X70" s="8"/>
      <c r="Y70" s="8"/>
      <c r="Z70" s="8"/>
      <c r="AA70" s="11"/>
      <c r="AB70" s="11"/>
      <c r="AC70" s="11"/>
      <c r="AD70" s="11"/>
    </row>
    <row r="71" ht="15.75" customHeight="1">
      <c r="A71" s="6">
        <v>20804.0</v>
      </c>
      <c r="B71" s="6">
        <v>488.0</v>
      </c>
      <c r="C71" s="6">
        <v>193.11111557483673</v>
      </c>
      <c r="D71" s="6">
        <v>1636.0</v>
      </c>
      <c r="E71" s="7">
        <f t="shared" si="1"/>
        <v>0.2982885086</v>
      </c>
      <c r="F71" s="7">
        <f t="shared" si="2"/>
        <v>0.3957194991</v>
      </c>
      <c r="G71" s="7">
        <f t="shared" si="3"/>
        <v>0.1180385792</v>
      </c>
      <c r="H71" s="6">
        <v>1258.0</v>
      </c>
      <c r="I71" s="6">
        <v>485.2222338616848</v>
      </c>
      <c r="J71" s="6">
        <v>5117.0</v>
      </c>
      <c r="K71" s="7">
        <f t="shared" si="4"/>
        <v>0.2458471761</v>
      </c>
      <c r="L71" s="7">
        <f t="shared" si="5"/>
        <v>0.3857092479</v>
      </c>
      <c r="M71" s="7">
        <f t="shared" si="6"/>
        <v>0.09482552938</v>
      </c>
      <c r="N71" s="7">
        <f t="shared" si="7"/>
        <v>0.8033435342</v>
      </c>
      <c r="O71" s="8"/>
      <c r="P71" s="8"/>
      <c r="Q71" s="8"/>
      <c r="R71" s="8"/>
      <c r="S71" s="8"/>
      <c r="T71" s="8"/>
      <c r="U71" s="11"/>
      <c r="V71" s="11"/>
      <c r="W71" s="11"/>
      <c r="X71" s="8"/>
      <c r="Y71" s="8"/>
      <c r="Z71" s="8"/>
      <c r="AA71" s="11"/>
      <c r="AB71" s="11"/>
      <c r="AC71" s="11"/>
      <c r="AD71" s="11"/>
    </row>
    <row r="72" ht="15.75" customHeight="1">
      <c r="A72" s="6">
        <v>20805.0</v>
      </c>
      <c r="B72" s="6">
        <v>1607.0</v>
      </c>
      <c r="C72" s="6">
        <v>687.5555723309517</v>
      </c>
      <c r="D72" s="6">
        <v>2341.0</v>
      </c>
      <c r="E72" s="7">
        <f t="shared" si="1"/>
        <v>0.6864587783</v>
      </c>
      <c r="F72" s="7">
        <f t="shared" si="2"/>
        <v>0.4278503873</v>
      </c>
      <c r="G72" s="7">
        <f t="shared" si="3"/>
        <v>0.2937016541</v>
      </c>
      <c r="H72" s="6">
        <v>2497.0</v>
      </c>
      <c r="I72" s="6">
        <v>1073.4444720745087</v>
      </c>
      <c r="J72" s="6">
        <v>3740.0</v>
      </c>
      <c r="K72" s="7">
        <f t="shared" si="4"/>
        <v>0.6676470588</v>
      </c>
      <c r="L72" s="7">
        <f t="shared" si="5"/>
        <v>0.4298936612</v>
      </c>
      <c r="M72" s="7">
        <f t="shared" si="6"/>
        <v>0.2870172385</v>
      </c>
      <c r="N72" s="7">
        <f t="shared" si="7"/>
        <v>0.9772407968</v>
      </c>
      <c r="O72" s="8"/>
      <c r="P72" s="8"/>
      <c r="Q72" s="8"/>
      <c r="R72" s="8"/>
      <c r="S72" s="8"/>
      <c r="T72" s="8"/>
      <c r="U72" s="11"/>
      <c r="V72" s="11"/>
      <c r="W72" s="11"/>
      <c r="X72" s="8"/>
      <c r="Y72" s="8"/>
      <c r="Z72" s="8"/>
      <c r="AA72" s="11"/>
      <c r="AB72" s="11"/>
      <c r="AC72" s="11"/>
      <c r="AD72" s="11"/>
    </row>
    <row r="73" ht="15.75" customHeight="1">
      <c r="A73" s="6">
        <v>20806.0</v>
      </c>
      <c r="B73" s="6">
        <v>2254.0</v>
      </c>
      <c r="C73" s="6">
        <v>942.0000219941139</v>
      </c>
      <c r="D73" s="6">
        <v>5067.0</v>
      </c>
      <c r="E73" s="7">
        <f t="shared" si="1"/>
        <v>0.4448391553</v>
      </c>
      <c r="F73" s="7">
        <f t="shared" si="2"/>
        <v>0.417923701</v>
      </c>
      <c r="G73" s="7">
        <f t="shared" si="3"/>
        <v>0.1859088261</v>
      </c>
      <c r="H73" s="6">
        <v>4633.0</v>
      </c>
      <c r="I73" s="6">
        <v>1963.6667141616344</v>
      </c>
      <c r="J73" s="6">
        <v>9903.0</v>
      </c>
      <c r="K73" s="7">
        <f t="shared" si="4"/>
        <v>0.4678380289</v>
      </c>
      <c r="L73" s="7">
        <f t="shared" si="5"/>
        <v>0.4238434522</v>
      </c>
      <c r="M73" s="7">
        <f t="shared" si="6"/>
        <v>0.1982900852</v>
      </c>
      <c r="N73" s="7">
        <f t="shared" si="7"/>
        <v>1.066598555</v>
      </c>
      <c r="O73" s="8"/>
      <c r="P73" s="8"/>
      <c r="Q73" s="8"/>
      <c r="R73" s="8"/>
      <c r="S73" s="8"/>
      <c r="T73" s="8"/>
      <c r="U73" s="11"/>
      <c r="V73" s="11"/>
      <c r="W73" s="11"/>
      <c r="X73" s="8"/>
      <c r="Y73" s="8"/>
      <c r="Z73" s="8"/>
      <c r="AA73" s="11"/>
      <c r="AB73" s="11"/>
      <c r="AC73" s="11"/>
      <c r="AD73" s="11"/>
    </row>
    <row r="74" ht="15.75" customHeight="1">
      <c r="A74" s="6">
        <v>20807.0</v>
      </c>
      <c r="B74" s="6">
        <v>1228.0</v>
      </c>
      <c r="C74" s="6">
        <v>504.666678994894</v>
      </c>
      <c r="D74" s="6">
        <v>3177.0</v>
      </c>
      <c r="E74" s="7">
        <f t="shared" si="1"/>
        <v>0.3865281712</v>
      </c>
      <c r="F74" s="7">
        <f t="shared" si="2"/>
        <v>0.410966351</v>
      </c>
      <c r="G74" s="7">
        <f t="shared" si="3"/>
        <v>0.1588500721</v>
      </c>
      <c r="H74" s="6">
        <v>1471.0</v>
      </c>
      <c r="I74" s="6">
        <v>605.6666816473007</v>
      </c>
      <c r="J74" s="6">
        <v>3390.0</v>
      </c>
      <c r="K74" s="7">
        <f t="shared" si="4"/>
        <v>0.4339233038</v>
      </c>
      <c r="L74" s="7">
        <f t="shared" si="5"/>
        <v>0.4117380569</v>
      </c>
      <c r="M74" s="7">
        <f t="shared" si="6"/>
        <v>0.1786627379</v>
      </c>
      <c r="N74" s="7">
        <f t="shared" si="7"/>
        <v>1.124725571</v>
      </c>
      <c r="O74" s="8"/>
      <c r="P74" s="8"/>
      <c r="Q74" s="8"/>
      <c r="R74" s="8"/>
      <c r="S74" s="8"/>
      <c r="T74" s="8"/>
      <c r="U74" s="11"/>
      <c r="V74" s="11"/>
      <c r="W74" s="11"/>
      <c r="X74" s="8"/>
      <c r="Y74" s="8"/>
      <c r="Z74" s="8"/>
      <c r="AA74" s="11"/>
      <c r="AB74" s="11"/>
      <c r="AC74" s="11"/>
      <c r="AD74" s="11"/>
    </row>
    <row r="75" ht="15.75" customHeight="1">
      <c r="A75" s="6">
        <v>20901.0</v>
      </c>
      <c r="B75" s="6">
        <v>1108.0</v>
      </c>
      <c r="C75" s="6">
        <v>492.11112436652184</v>
      </c>
      <c r="D75" s="6">
        <v>2490.0</v>
      </c>
      <c r="E75" s="7">
        <f t="shared" si="1"/>
        <v>0.4449799197</v>
      </c>
      <c r="F75" s="7">
        <f t="shared" si="2"/>
        <v>0.444143614</v>
      </c>
      <c r="G75" s="7">
        <f t="shared" si="3"/>
        <v>0.1976349897</v>
      </c>
      <c r="H75" s="6">
        <v>3471.0</v>
      </c>
      <c r="I75" s="6">
        <v>1456.8889236450195</v>
      </c>
      <c r="J75" s="6">
        <v>8560.0</v>
      </c>
      <c r="K75" s="7">
        <f t="shared" si="4"/>
        <v>0.4054906542</v>
      </c>
      <c r="L75" s="7">
        <f t="shared" si="5"/>
        <v>0.4197317556</v>
      </c>
      <c r="M75" s="7">
        <f t="shared" si="6"/>
        <v>0.1701973042</v>
      </c>
      <c r="N75" s="7">
        <f t="shared" si="7"/>
        <v>0.8611698992</v>
      </c>
      <c r="O75" s="8"/>
      <c r="P75" s="8"/>
      <c r="Q75" s="8"/>
      <c r="R75" s="8"/>
      <c r="S75" s="8"/>
      <c r="T75" s="8"/>
      <c r="U75" s="11"/>
      <c r="V75" s="11"/>
      <c r="W75" s="11"/>
      <c r="X75" s="8"/>
      <c r="Y75" s="8"/>
      <c r="Z75" s="8"/>
      <c r="AA75" s="11"/>
      <c r="AB75" s="11"/>
      <c r="AC75" s="11"/>
      <c r="AD75" s="11"/>
    </row>
    <row r="76" ht="15.75" customHeight="1">
      <c r="A76" s="6">
        <v>20902.0</v>
      </c>
      <c r="B76" s="6">
        <v>2009.0</v>
      </c>
      <c r="C76" s="6">
        <v>900.0000236332417</v>
      </c>
      <c r="D76" s="6">
        <v>2999.0</v>
      </c>
      <c r="E76" s="7">
        <f t="shared" si="1"/>
        <v>0.6698899633</v>
      </c>
      <c r="F76" s="7">
        <f t="shared" si="2"/>
        <v>0.4479840834</v>
      </c>
      <c r="G76" s="7">
        <f t="shared" si="3"/>
        <v>0.3001000412</v>
      </c>
      <c r="H76" s="6">
        <v>6312.0</v>
      </c>
      <c r="I76" s="6">
        <v>2782.33340215683</v>
      </c>
      <c r="J76" s="6">
        <v>9396.0</v>
      </c>
      <c r="K76" s="7">
        <f t="shared" si="4"/>
        <v>0.6717752235</v>
      </c>
      <c r="L76" s="7">
        <f t="shared" si="5"/>
        <v>0.4408006024</v>
      </c>
      <c r="M76" s="7">
        <f t="shared" si="6"/>
        <v>0.2961189232</v>
      </c>
      <c r="N76" s="7">
        <f t="shared" si="7"/>
        <v>0.9867340303</v>
      </c>
      <c r="O76" s="8"/>
      <c r="P76" s="8"/>
      <c r="Q76" s="8"/>
      <c r="R76" s="8"/>
      <c r="S76" s="8"/>
      <c r="T76" s="8"/>
      <c r="U76" s="11"/>
      <c r="V76" s="11"/>
      <c r="W76" s="11"/>
      <c r="X76" s="8"/>
      <c r="Y76" s="8"/>
      <c r="Z76" s="8"/>
      <c r="AA76" s="11"/>
      <c r="AB76" s="11"/>
      <c r="AC76" s="11"/>
      <c r="AD76" s="11"/>
    </row>
    <row r="77" ht="15.75" customHeight="1">
      <c r="A77" s="6">
        <v>20903.0</v>
      </c>
      <c r="B77" s="6">
        <v>1050.0</v>
      </c>
      <c r="C77" s="6">
        <v>424.5555658340454</v>
      </c>
      <c r="D77" s="6">
        <v>1740.0</v>
      </c>
      <c r="E77" s="7">
        <f t="shared" si="1"/>
        <v>0.6034482759</v>
      </c>
      <c r="F77" s="7">
        <f t="shared" si="2"/>
        <v>0.4043386341</v>
      </c>
      <c r="G77" s="7">
        <f t="shared" si="3"/>
        <v>0.2439974516</v>
      </c>
      <c r="H77" s="6">
        <v>3191.0</v>
      </c>
      <c r="I77" s="6">
        <v>1377.888923496008</v>
      </c>
      <c r="J77" s="6">
        <v>5478.0</v>
      </c>
      <c r="K77" s="7">
        <f t="shared" si="4"/>
        <v>0.5825118656</v>
      </c>
      <c r="L77" s="7">
        <f t="shared" si="5"/>
        <v>0.4318047394</v>
      </c>
      <c r="M77" s="7">
        <f t="shared" si="6"/>
        <v>0.2515313844</v>
      </c>
      <c r="N77" s="7">
        <f t="shared" si="7"/>
        <v>1.030877096</v>
      </c>
      <c r="O77" s="8"/>
      <c r="P77" s="8"/>
      <c r="Q77" s="8"/>
      <c r="R77" s="8"/>
      <c r="S77" s="8"/>
      <c r="T77" s="8"/>
      <c r="U77" s="11"/>
      <c r="V77" s="11"/>
      <c r="W77" s="11"/>
      <c r="X77" s="8"/>
      <c r="Y77" s="8"/>
      <c r="Z77" s="8"/>
      <c r="AA77" s="11"/>
      <c r="AB77" s="11"/>
      <c r="AC77" s="11"/>
      <c r="AD77" s="11"/>
    </row>
    <row r="78" ht="15.75" customHeight="1">
      <c r="A78" s="6">
        <v>20904.0</v>
      </c>
      <c r="B78" s="6">
        <v>744.0</v>
      </c>
      <c r="C78" s="6">
        <v>316.22223019599915</v>
      </c>
      <c r="D78" s="6">
        <v>1195.0</v>
      </c>
      <c r="E78" s="7">
        <f t="shared" si="1"/>
        <v>0.6225941423</v>
      </c>
      <c r="F78" s="7">
        <f t="shared" si="2"/>
        <v>0.4250298793</v>
      </c>
      <c r="G78" s="7">
        <f t="shared" si="3"/>
        <v>0.2646211131</v>
      </c>
      <c r="H78" s="6">
        <v>1926.0</v>
      </c>
      <c r="I78" s="6">
        <v>813.2222432494164</v>
      </c>
      <c r="J78" s="6">
        <v>3811.0</v>
      </c>
      <c r="K78" s="7">
        <f t="shared" si="4"/>
        <v>0.5053791656</v>
      </c>
      <c r="L78" s="7">
        <f t="shared" si="5"/>
        <v>0.4222337712</v>
      </c>
      <c r="M78" s="7">
        <f t="shared" si="6"/>
        <v>0.2133881509</v>
      </c>
      <c r="N78" s="7">
        <f t="shared" si="7"/>
        <v>0.8063912528</v>
      </c>
      <c r="O78" s="8"/>
      <c r="P78" s="8"/>
      <c r="Q78" s="8"/>
      <c r="R78" s="8"/>
      <c r="S78" s="8"/>
      <c r="T78" s="8"/>
      <c r="U78" s="11"/>
      <c r="V78" s="11"/>
      <c r="W78" s="11"/>
      <c r="X78" s="8"/>
      <c r="Y78" s="8"/>
      <c r="Z78" s="8"/>
      <c r="AA78" s="11"/>
      <c r="AB78" s="11"/>
      <c r="AC78" s="11"/>
      <c r="AD78" s="11"/>
    </row>
    <row r="79" ht="15.75" customHeight="1">
      <c r="A79" s="6">
        <v>20905.0</v>
      </c>
      <c r="B79" s="6">
        <v>1191.0</v>
      </c>
      <c r="C79" s="6">
        <v>521.6666812896729</v>
      </c>
      <c r="D79" s="6">
        <v>2427.0</v>
      </c>
      <c r="E79" s="7">
        <f t="shared" si="1"/>
        <v>0.4907292954</v>
      </c>
      <c r="F79" s="7">
        <f t="shared" si="2"/>
        <v>0.4380072891</v>
      </c>
      <c r="G79" s="7">
        <f t="shared" si="3"/>
        <v>0.2149430084</v>
      </c>
      <c r="H79" s="6">
        <v>3835.0</v>
      </c>
      <c r="I79" s="6">
        <v>1626.5555959641933</v>
      </c>
      <c r="J79" s="6">
        <v>8814.0</v>
      </c>
      <c r="K79" s="7">
        <f t="shared" si="4"/>
        <v>0.4351032448</v>
      </c>
      <c r="L79" s="7">
        <f t="shared" si="5"/>
        <v>0.4241344448</v>
      </c>
      <c r="M79" s="7">
        <f t="shared" si="6"/>
        <v>0.1845422732</v>
      </c>
      <c r="N79" s="7">
        <f t="shared" si="7"/>
        <v>0.8585637402</v>
      </c>
      <c r="O79" s="8"/>
      <c r="P79" s="8"/>
      <c r="Q79" s="8"/>
      <c r="R79" s="8"/>
      <c r="S79" s="8"/>
      <c r="T79" s="8"/>
      <c r="U79" s="11"/>
      <c r="V79" s="11"/>
      <c r="W79" s="11"/>
      <c r="X79" s="8"/>
      <c r="Y79" s="8"/>
      <c r="Z79" s="8"/>
      <c r="AA79" s="11"/>
      <c r="AB79" s="11"/>
      <c r="AC79" s="11"/>
      <c r="AD79" s="11"/>
    </row>
    <row r="80" ht="15.75" customHeight="1">
      <c r="A80" s="6">
        <v>21001.0</v>
      </c>
      <c r="B80" s="6">
        <v>2415.0</v>
      </c>
      <c r="C80" s="6">
        <v>1145.3333633840084</v>
      </c>
      <c r="D80" s="6">
        <v>3223.0</v>
      </c>
      <c r="E80" s="7">
        <f t="shared" si="1"/>
        <v>0.7493018926</v>
      </c>
      <c r="F80" s="7">
        <f t="shared" si="2"/>
        <v>0.4742581215</v>
      </c>
      <c r="G80" s="7">
        <f t="shared" si="3"/>
        <v>0.355362508</v>
      </c>
      <c r="H80" s="6">
        <v>8841.0</v>
      </c>
      <c r="I80" s="6">
        <v>4400.111227542162</v>
      </c>
      <c r="J80" s="6">
        <v>11406.0</v>
      </c>
      <c r="K80" s="7">
        <f t="shared" si="4"/>
        <v>0.7751183588</v>
      </c>
      <c r="L80" s="7">
        <f t="shared" si="5"/>
        <v>0.4976938387</v>
      </c>
      <c r="M80" s="7">
        <f t="shared" si="6"/>
        <v>0.3857716314</v>
      </c>
      <c r="N80" s="7">
        <f t="shared" si="7"/>
        <v>1.08557212</v>
      </c>
      <c r="O80" s="8"/>
      <c r="P80" s="8"/>
      <c r="Q80" s="8"/>
      <c r="R80" s="8"/>
      <c r="S80" s="8"/>
      <c r="T80" s="8"/>
      <c r="U80" s="11"/>
      <c r="V80" s="11"/>
      <c r="W80" s="11"/>
      <c r="X80" s="8"/>
      <c r="Y80" s="8"/>
      <c r="Z80" s="8"/>
      <c r="AA80" s="11"/>
      <c r="AB80" s="11"/>
      <c r="AC80" s="11"/>
      <c r="AD80" s="11"/>
    </row>
    <row r="81" ht="15.75" customHeight="1">
      <c r="A81" s="6">
        <v>21002.0</v>
      </c>
      <c r="B81" s="6">
        <v>961.0</v>
      </c>
      <c r="C81" s="6">
        <v>421.11112171411514</v>
      </c>
      <c r="D81" s="6">
        <v>1808.0</v>
      </c>
      <c r="E81" s="7">
        <f t="shared" si="1"/>
        <v>0.5315265487</v>
      </c>
      <c r="F81" s="7">
        <f t="shared" si="2"/>
        <v>0.4382009591</v>
      </c>
      <c r="G81" s="7">
        <f t="shared" si="3"/>
        <v>0.2329154434</v>
      </c>
      <c r="H81" s="6">
        <v>2434.0</v>
      </c>
      <c r="I81" s="6">
        <v>1056.444471001625</v>
      </c>
      <c r="J81" s="6">
        <v>6262.0</v>
      </c>
      <c r="K81" s="7">
        <f t="shared" si="4"/>
        <v>0.3886937081</v>
      </c>
      <c r="L81" s="7">
        <f t="shared" si="5"/>
        <v>0.434036348</v>
      </c>
      <c r="M81" s="7">
        <f t="shared" si="6"/>
        <v>0.1687071975</v>
      </c>
      <c r="N81" s="7">
        <f t="shared" si="7"/>
        <v>0.7243280869</v>
      </c>
      <c r="O81" s="8"/>
      <c r="P81" s="8"/>
      <c r="Q81" s="8"/>
      <c r="R81" s="8"/>
      <c r="S81" s="8"/>
      <c r="T81" s="8"/>
      <c r="U81" s="11"/>
      <c r="V81" s="11"/>
      <c r="W81" s="11"/>
      <c r="X81" s="8"/>
      <c r="Y81" s="8"/>
      <c r="Z81" s="8"/>
      <c r="AA81" s="11"/>
      <c r="AB81" s="11"/>
      <c r="AC81" s="11"/>
      <c r="AD81" s="11"/>
    </row>
    <row r="82" ht="15.75" customHeight="1">
      <c r="A82" s="6">
        <v>21003.0</v>
      </c>
      <c r="B82" s="6">
        <v>628.0</v>
      </c>
      <c r="C82" s="6">
        <v>266.8888965845108</v>
      </c>
      <c r="D82" s="6">
        <v>1940.0</v>
      </c>
      <c r="E82" s="7">
        <f t="shared" si="1"/>
        <v>0.3237113402</v>
      </c>
      <c r="F82" s="7">
        <f t="shared" si="2"/>
        <v>0.4249823194</v>
      </c>
      <c r="G82" s="7">
        <f t="shared" si="3"/>
        <v>0.1375715962</v>
      </c>
      <c r="H82" s="6">
        <v>2616.0</v>
      </c>
      <c r="I82" s="6">
        <v>1119.777804940939</v>
      </c>
      <c r="J82" s="6">
        <v>8284.0</v>
      </c>
      <c r="K82" s="7">
        <f t="shared" si="4"/>
        <v>0.3157894737</v>
      </c>
      <c r="L82" s="7">
        <f t="shared" si="5"/>
        <v>0.4280496196</v>
      </c>
      <c r="M82" s="7">
        <f t="shared" si="6"/>
        <v>0.1351735641</v>
      </c>
      <c r="N82" s="7">
        <f t="shared" si="7"/>
        <v>0.982568843</v>
      </c>
      <c r="O82" s="8"/>
      <c r="P82" s="8"/>
      <c r="Q82" s="8"/>
      <c r="R82" s="8"/>
      <c r="S82" s="8"/>
      <c r="T82" s="8"/>
      <c r="U82" s="11"/>
      <c r="V82" s="11"/>
      <c r="W82" s="11"/>
      <c r="X82" s="8"/>
      <c r="Y82" s="8"/>
      <c r="Z82" s="8"/>
      <c r="AA82" s="11"/>
      <c r="AB82" s="11"/>
      <c r="AC82" s="11"/>
      <c r="AD82" s="11"/>
    </row>
    <row r="83" ht="15.75" customHeight="1">
      <c r="A83" s="6">
        <v>21004.0</v>
      </c>
      <c r="B83" s="6">
        <v>2049.0</v>
      </c>
      <c r="C83" s="6">
        <v>873.3333564996719</v>
      </c>
      <c r="D83" s="6">
        <v>3234.0</v>
      </c>
      <c r="E83" s="7">
        <f t="shared" si="1"/>
        <v>0.633580705</v>
      </c>
      <c r="F83" s="7">
        <f t="shared" si="2"/>
        <v>0.4262241857</v>
      </c>
      <c r="G83" s="7">
        <f t="shared" si="3"/>
        <v>0.2700474201</v>
      </c>
      <c r="H83" s="6">
        <v>7297.0</v>
      </c>
      <c r="I83" s="6">
        <v>3210.5556366741657</v>
      </c>
      <c r="J83" s="6">
        <v>16068.0</v>
      </c>
      <c r="K83" s="7">
        <f t="shared" si="4"/>
        <v>0.4541324371</v>
      </c>
      <c r="L83" s="7">
        <f t="shared" si="5"/>
        <v>0.4399829569</v>
      </c>
      <c r="M83" s="7">
        <f t="shared" si="6"/>
        <v>0.1998105325</v>
      </c>
      <c r="N83" s="7">
        <f t="shared" si="7"/>
        <v>0.7399090592</v>
      </c>
      <c r="O83" s="8"/>
      <c r="P83" s="8"/>
      <c r="Q83" s="8"/>
      <c r="R83" s="8"/>
      <c r="S83" s="8"/>
      <c r="T83" s="8"/>
      <c r="U83" s="11"/>
      <c r="V83" s="11"/>
      <c r="W83" s="11"/>
      <c r="X83" s="8"/>
      <c r="Y83" s="8"/>
      <c r="Z83" s="8"/>
      <c r="AA83" s="11"/>
      <c r="AB83" s="11"/>
      <c r="AC83" s="11"/>
      <c r="AD83" s="11"/>
    </row>
    <row r="84" ht="15.75" customHeight="1">
      <c r="A84" s="6">
        <v>21005.0</v>
      </c>
      <c r="B84" s="6">
        <v>1658.0</v>
      </c>
      <c r="C84" s="6">
        <v>805.5555775463581</v>
      </c>
      <c r="D84" s="6">
        <v>2373.0</v>
      </c>
      <c r="E84" s="7">
        <f t="shared" si="1"/>
        <v>0.6986936367</v>
      </c>
      <c r="F84" s="7">
        <f t="shared" si="2"/>
        <v>0.4858598176</v>
      </c>
      <c r="G84" s="7">
        <f t="shared" si="3"/>
        <v>0.3394671629</v>
      </c>
      <c r="H84" s="6">
        <v>3764.0</v>
      </c>
      <c r="I84" s="6">
        <v>1790.333380162716</v>
      </c>
      <c r="J84" s="6">
        <v>5384.0</v>
      </c>
      <c r="K84" s="7">
        <f t="shared" si="4"/>
        <v>0.6991084695</v>
      </c>
      <c r="L84" s="7">
        <f t="shared" si="5"/>
        <v>0.4756464878</v>
      </c>
      <c r="M84" s="7">
        <f t="shared" si="6"/>
        <v>0.3325284881</v>
      </c>
      <c r="N84" s="7">
        <f t="shared" si="7"/>
        <v>0.9795601003</v>
      </c>
      <c r="O84" s="8"/>
      <c r="P84" s="8"/>
      <c r="Q84" s="8"/>
      <c r="R84" s="8"/>
      <c r="S84" s="8"/>
      <c r="T84" s="8"/>
      <c r="U84" s="11"/>
      <c r="V84" s="11"/>
      <c r="W84" s="11"/>
      <c r="X84" s="8"/>
      <c r="Y84" s="8"/>
      <c r="Z84" s="8"/>
      <c r="AA84" s="11"/>
      <c r="AB84" s="11"/>
      <c r="AC84" s="11"/>
      <c r="AD84" s="11"/>
    </row>
    <row r="85" ht="15.75" customHeight="1">
      <c r="A85" s="6">
        <v>21006.0</v>
      </c>
      <c r="B85" s="6">
        <v>808.0</v>
      </c>
      <c r="C85" s="6">
        <v>368.6666756272316</v>
      </c>
      <c r="D85" s="6">
        <v>1619.0</v>
      </c>
      <c r="E85" s="7">
        <f t="shared" si="1"/>
        <v>0.4990735022</v>
      </c>
      <c r="F85" s="7">
        <f t="shared" si="2"/>
        <v>0.4562706382</v>
      </c>
      <c r="G85" s="7">
        <f t="shared" si="3"/>
        <v>0.2277125853</v>
      </c>
      <c r="H85" s="6">
        <v>1718.0</v>
      </c>
      <c r="I85" s="6">
        <v>806.333354473114</v>
      </c>
      <c r="J85" s="6">
        <v>3840.0</v>
      </c>
      <c r="K85" s="7">
        <f t="shared" si="4"/>
        <v>0.4473958333</v>
      </c>
      <c r="L85" s="7">
        <f t="shared" si="5"/>
        <v>0.469344211</v>
      </c>
      <c r="M85" s="7">
        <f t="shared" si="6"/>
        <v>0.2099826444</v>
      </c>
      <c r="N85" s="7">
        <f t="shared" si="7"/>
        <v>0.9221389503</v>
      </c>
      <c r="O85" s="8"/>
      <c r="P85" s="8"/>
      <c r="Q85" s="8"/>
      <c r="R85" s="8"/>
      <c r="S85" s="8"/>
      <c r="T85" s="8"/>
      <c r="U85" s="11"/>
      <c r="V85" s="11"/>
      <c r="W85" s="11"/>
      <c r="X85" s="8"/>
      <c r="Y85" s="8"/>
      <c r="Z85" s="8"/>
      <c r="AA85" s="11"/>
      <c r="AB85" s="11"/>
      <c r="AC85" s="11"/>
      <c r="AD85" s="11"/>
    </row>
    <row r="86" ht="15.75" customHeight="1">
      <c r="A86" s="6">
        <v>21101.0</v>
      </c>
      <c r="B86" s="6">
        <v>798.0</v>
      </c>
      <c r="C86" s="6">
        <v>330.3333414196968</v>
      </c>
      <c r="D86" s="6">
        <v>2969.0</v>
      </c>
      <c r="E86" s="7">
        <f t="shared" si="1"/>
        <v>0.2687773661</v>
      </c>
      <c r="F86" s="7">
        <f t="shared" si="2"/>
        <v>0.4139515557</v>
      </c>
      <c r="G86" s="7">
        <f t="shared" si="3"/>
        <v>0.1112608088</v>
      </c>
      <c r="H86" s="6">
        <v>4066.0</v>
      </c>
      <c r="I86" s="6">
        <v>1665.6667075753212</v>
      </c>
      <c r="J86" s="6">
        <v>14487.0</v>
      </c>
      <c r="K86" s="7">
        <f t="shared" si="4"/>
        <v>0.2806654242</v>
      </c>
      <c r="L86" s="7">
        <f t="shared" si="5"/>
        <v>0.4096573309</v>
      </c>
      <c r="M86" s="7">
        <f t="shared" si="6"/>
        <v>0.1149766486</v>
      </c>
      <c r="N86" s="7">
        <f t="shared" si="7"/>
        <v>1.033397562</v>
      </c>
      <c r="O86" s="8"/>
      <c r="P86" s="8"/>
      <c r="Q86" s="8"/>
      <c r="R86" s="8"/>
      <c r="S86" s="8"/>
      <c r="T86" s="8"/>
      <c r="U86" s="11"/>
      <c r="V86" s="11"/>
      <c r="W86" s="11"/>
      <c r="X86" s="8"/>
      <c r="Y86" s="8"/>
      <c r="Z86" s="8"/>
      <c r="AA86" s="11"/>
      <c r="AB86" s="11"/>
      <c r="AC86" s="11"/>
      <c r="AD86" s="11"/>
    </row>
    <row r="87" ht="15.75" customHeight="1">
      <c r="A87" s="6">
        <v>21102.0</v>
      </c>
      <c r="B87" s="6">
        <v>1212.0</v>
      </c>
      <c r="C87" s="6">
        <v>523.7777903676033</v>
      </c>
      <c r="D87" s="6">
        <v>3106.0</v>
      </c>
      <c r="E87" s="7">
        <f t="shared" si="1"/>
        <v>0.390212492</v>
      </c>
      <c r="F87" s="7">
        <f t="shared" si="2"/>
        <v>0.432159893</v>
      </c>
      <c r="G87" s="7">
        <f t="shared" si="3"/>
        <v>0.1686341888</v>
      </c>
      <c r="H87" s="6">
        <v>5582.0</v>
      </c>
      <c r="I87" s="6">
        <v>2476.2222826480865</v>
      </c>
      <c r="J87" s="6">
        <v>13619.0</v>
      </c>
      <c r="K87" s="7">
        <f t="shared" si="4"/>
        <v>0.409868566</v>
      </c>
      <c r="L87" s="7">
        <f t="shared" si="5"/>
        <v>0.4436084347</v>
      </c>
      <c r="M87" s="7">
        <f t="shared" si="6"/>
        <v>0.181821153</v>
      </c>
      <c r="N87" s="7">
        <f t="shared" si="7"/>
        <v>1.07819864</v>
      </c>
      <c r="O87" s="8"/>
      <c r="P87" s="8"/>
      <c r="Q87" s="8"/>
      <c r="R87" s="8"/>
      <c r="S87" s="8"/>
      <c r="T87" s="8"/>
      <c r="U87" s="11"/>
      <c r="V87" s="11"/>
      <c r="W87" s="11"/>
      <c r="X87" s="8"/>
      <c r="Y87" s="8"/>
      <c r="Z87" s="8"/>
      <c r="AA87" s="11"/>
      <c r="AB87" s="11"/>
      <c r="AC87" s="11"/>
      <c r="AD87" s="11"/>
    </row>
    <row r="88" ht="15.75" customHeight="1">
      <c r="A88" s="6">
        <v>21103.0</v>
      </c>
      <c r="B88" s="6">
        <v>358.0</v>
      </c>
      <c r="C88" s="6">
        <v>143.3333368897438</v>
      </c>
      <c r="D88" s="6">
        <v>1096.0</v>
      </c>
      <c r="E88" s="7">
        <f t="shared" si="1"/>
        <v>0.3266423358</v>
      </c>
      <c r="F88" s="7">
        <f t="shared" si="2"/>
        <v>0.4003724494</v>
      </c>
      <c r="G88" s="7">
        <f t="shared" si="3"/>
        <v>0.1307785921</v>
      </c>
      <c r="H88" s="6">
        <v>1196.0</v>
      </c>
      <c r="I88" s="6">
        <v>530.1111237108707</v>
      </c>
      <c r="J88" s="6">
        <v>5100.0</v>
      </c>
      <c r="K88" s="7">
        <f t="shared" si="4"/>
        <v>0.2345098039</v>
      </c>
      <c r="L88" s="7">
        <f t="shared" si="5"/>
        <v>0.4432367255</v>
      </c>
      <c r="M88" s="7">
        <f t="shared" si="6"/>
        <v>0.1039433576</v>
      </c>
      <c r="N88" s="7">
        <f t="shared" si="7"/>
        <v>0.7948040727</v>
      </c>
      <c r="O88" s="8"/>
      <c r="P88" s="8"/>
      <c r="Q88" s="8"/>
      <c r="R88" s="8"/>
      <c r="S88" s="8"/>
      <c r="T88" s="8"/>
      <c r="U88" s="11"/>
      <c r="V88" s="11"/>
      <c r="W88" s="11"/>
      <c r="X88" s="8"/>
      <c r="Y88" s="8"/>
      <c r="Z88" s="8"/>
      <c r="AA88" s="11"/>
      <c r="AB88" s="11"/>
      <c r="AC88" s="11"/>
      <c r="AD88" s="11"/>
    </row>
    <row r="89" ht="15.75" customHeight="1">
      <c r="A89" s="6">
        <v>21104.0</v>
      </c>
      <c r="B89" s="6">
        <v>886.0</v>
      </c>
      <c r="C89" s="6">
        <v>380.33334213495255</v>
      </c>
      <c r="D89" s="6">
        <v>2336.0</v>
      </c>
      <c r="E89" s="7">
        <f t="shared" si="1"/>
        <v>0.3792808219</v>
      </c>
      <c r="F89" s="7">
        <f t="shared" si="2"/>
        <v>0.4292701378</v>
      </c>
      <c r="G89" s="7">
        <f t="shared" si="3"/>
        <v>0.1628139307</v>
      </c>
      <c r="H89" s="6">
        <v>10130.0</v>
      </c>
      <c r="I89" s="6">
        <v>4602.333439558744</v>
      </c>
      <c r="J89" s="6">
        <v>21673.0</v>
      </c>
      <c r="K89" s="7">
        <f t="shared" si="4"/>
        <v>0.4674018364</v>
      </c>
      <c r="L89" s="7">
        <f t="shared" si="5"/>
        <v>0.4543270918</v>
      </c>
      <c r="M89" s="7">
        <f t="shared" si="6"/>
        <v>0.212353317</v>
      </c>
      <c r="N89" s="7">
        <f t="shared" si="7"/>
        <v>1.304269948</v>
      </c>
      <c r="O89" s="8"/>
      <c r="P89" s="8"/>
      <c r="Q89" s="8"/>
      <c r="R89" s="8"/>
      <c r="S89" s="8"/>
      <c r="T89" s="8"/>
      <c r="U89" s="11"/>
      <c r="V89" s="11"/>
      <c r="W89" s="11"/>
      <c r="X89" s="8"/>
      <c r="Y89" s="8"/>
      <c r="Z89" s="8"/>
      <c r="AA89" s="11"/>
      <c r="AB89" s="11"/>
      <c r="AC89" s="11"/>
      <c r="AD89" s="11"/>
    </row>
    <row r="90" ht="15.75" customHeight="1">
      <c r="A90" s="6">
        <v>21105.0</v>
      </c>
      <c r="B90" s="6">
        <v>2141.0</v>
      </c>
      <c r="C90" s="6">
        <v>1037.1111371219158</v>
      </c>
      <c r="D90" s="6">
        <v>2798.0</v>
      </c>
      <c r="E90" s="7">
        <f t="shared" si="1"/>
        <v>0.765189421</v>
      </c>
      <c r="F90" s="7">
        <f t="shared" si="2"/>
        <v>0.484405015</v>
      </c>
      <c r="G90" s="7">
        <f t="shared" si="3"/>
        <v>0.370661593</v>
      </c>
      <c r="H90" s="6">
        <v>28525.0</v>
      </c>
      <c r="I90" s="6">
        <v>13958.667023569345</v>
      </c>
      <c r="J90" s="6">
        <v>36785.0</v>
      </c>
      <c r="K90" s="7">
        <f t="shared" si="4"/>
        <v>0.7754519505</v>
      </c>
      <c r="L90" s="7">
        <f t="shared" si="5"/>
        <v>0.4893485372</v>
      </c>
      <c r="M90" s="7">
        <f t="shared" si="6"/>
        <v>0.3794662777</v>
      </c>
      <c r="N90" s="7">
        <f t="shared" si="7"/>
        <v>1.023753971</v>
      </c>
      <c r="O90" s="8"/>
      <c r="P90" s="8"/>
      <c r="Q90" s="8"/>
      <c r="R90" s="8"/>
      <c r="S90" s="8"/>
      <c r="T90" s="8"/>
      <c r="U90" s="11"/>
      <c r="V90" s="11"/>
      <c r="W90" s="11"/>
      <c r="X90" s="8"/>
      <c r="Y90" s="8"/>
      <c r="Z90" s="8"/>
      <c r="AA90" s="11"/>
      <c r="AB90" s="11"/>
      <c r="AC90" s="11"/>
      <c r="AD90" s="11"/>
    </row>
    <row r="91" ht="15.75" customHeight="1">
      <c r="A91" s="6">
        <v>21201.0</v>
      </c>
      <c r="B91" s="6">
        <v>3526.0</v>
      </c>
      <c r="C91" s="6">
        <v>1534.3333714008331</v>
      </c>
      <c r="D91" s="6">
        <v>6334.0</v>
      </c>
      <c r="E91" s="7">
        <f t="shared" si="1"/>
        <v>0.5566782444</v>
      </c>
      <c r="F91" s="7">
        <f t="shared" si="2"/>
        <v>0.435148432</v>
      </c>
      <c r="G91" s="7">
        <f t="shared" si="3"/>
        <v>0.2422376652</v>
      </c>
      <c r="H91" s="6">
        <v>11992.0</v>
      </c>
      <c r="I91" s="6">
        <v>5310.5556908249855</v>
      </c>
      <c r="J91" s="6">
        <v>23534.0</v>
      </c>
      <c r="K91" s="7">
        <f t="shared" si="4"/>
        <v>0.5095606357</v>
      </c>
      <c r="L91" s="7">
        <f t="shared" si="5"/>
        <v>0.4428415353</v>
      </c>
      <c r="M91" s="7">
        <f t="shared" si="6"/>
        <v>0.2256546142</v>
      </c>
      <c r="N91" s="7">
        <f t="shared" si="7"/>
        <v>0.9315422274</v>
      </c>
      <c r="O91" s="8"/>
      <c r="P91" s="8"/>
      <c r="Q91" s="8"/>
      <c r="R91" s="8"/>
      <c r="S91" s="8"/>
      <c r="T91" s="8"/>
      <c r="U91" s="11"/>
      <c r="V91" s="11"/>
      <c r="W91" s="11"/>
      <c r="X91" s="8"/>
      <c r="Y91" s="8"/>
      <c r="Z91" s="8"/>
      <c r="AA91" s="11"/>
      <c r="AB91" s="11"/>
      <c r="AC91" s="11"/>
      <c r="AD91" s="11"/>
    </row>
    <row r="92" ht="15.75" customHeight="1">
      <c r="A92" s="6">
        <v>21202.0</v>
      </c>
      <c r="B92" s="6">
        <v>3136.0</v>
      </c>
      <c r="C92" s="6">
        <v>1318.11114269495</v>
      </c>
      <c r="D92" s="6">
        <v>5804.0</v>
      </c>
      <c r="E92" s="7">
        <f t="shared" si="1"/>
        <v>0.5403170227</v>
      </c>
      <c r="F92" s="7">
        <f t="shared" si="2"/>
        <v>0.4203160532</v>
      </c>
      <c r="G92" s="7">
        <f t="shared" si="3"/>
        <v>0.2271039185</v>
      </c>
      <c r="H92" s="6">
        <v>9585.0</v>
      </c>
      <c r="I92" s="6">
        <v>4112.111212223768</v>
      </c>
      <c r="J92" s="6">
        <v>18629.0</v>
      </c>
      <c r="K92" s="7">
        <f t="shared" si="4"/>
        <v>0.5145203715</v>
      </c>
      <c r="L92" s="7">
        <f t="shared" si="5"/>
        <v>0.4290152543</v>
      </c>
      <c r="M92" s="7">
        <f t="shared" si="6"/>
        <v>0.220737088</v>
      </c>
      <c r="N92" s="7">
        <f t="shared" si="7"/>
        <v>0.9719651228</v>
      </c>
      <c r="O92" s="8"/>
      <c r="P92" s="8"/>
      <c r="Q92" s="8"/>
      <c r="R92" s="8"/>
      <c r="S92" s="8"/>
      <c r="T92" s="8"/>
      <c r="U92" s="11"/>
      <c r="V92" s="11"/>
      <c r="W92" s="11"/>
      <c r="X92" s="8"/>
      <c r="Y92" s="8"/>
      <c r="Z92" s="8"/>
      <c r="AA92" s="11"/>
      <c r="AB92" s="11"/>
      <c r="AC92" s="11"/>
      <c r="AD92" s="11"/>
    </row>
    <row r="93" ht="15.75" customHeight="1">
      <c r="A93" s="6">
        <v>21203.0</v>
      </c>
      <c r="B93" s="6">
        <v>2010.0</v>
      </c>
      <c r="C93" s="6">
        <v>860.6666892766953</v>
      </c>
      <c r="D93" s="6">
        <v>4852.0</v>
      </c>
      <c r="E93" s="7">
        <f t="shared" si="1"/>
        <v>0.4142621599</v>
      </c>
      <c r="F93" s="7">
        <f t="shared" si="2"/>
        <v>0.4281923827</v>
      </c>
      <c r="G93" s="7">
        <f t="shared" si="3"/>
        <v>0.1773839013</v>
      </c>
      <c r="H93" s="6">
        <v>4874.0</v>
      </c>
      <c r="I93" s="6">
        <v>2134.4444978535175</v>
      </c>
      <c r="J93" s="6">
        <v>12514.0</v>
      </c>
      <c r="K93" s="7">
        <f t="shared" si="4"/>
        <v>0.3894837782</v>
      </c>
      <c r="L93" s="7">
        <f t="shared" si="5"/>
        <v>0.4379245995</v>
      </c>
      <c r="M93" s="7">
        <f t="shared" si="6"/>
        <v>0.1705645276</v>
      </c>
      <c r="N93" s="7">
        <f t="shared" si="7"/>
        <v>0.9615558474</v>
      </c>
      <c r="O93" s="8"/>
      <c r="P93" s="8"/>
      <c r="Q93" s="8"/>
      <c r="R93" s="8"/>
      <c r="S93" s="8"/>
      <c r="T93" s="8"/>
      <c r="U93" s="11"/>
      <c r="V93" s="11"/>
      <c r="W93" s="11"/>
      <c r="X93" s="8"/>
      <c r="Y93" s="8"/>
      <c r="Z93" s="8"/>
      <c r="AA93" s="11"/>
      <c r="AB93" s="11"/>
      <c r="AC93" s="11"/>
      <c r="AD93" s="11"/>
    </row>
    <row r="94" ht="15.75" customHeight="1">
      <c r="A94" s="6">
        <v>21204.0</v>
      </c>
      <c r="B94" s="6">
        <v>996.0</v>
      </c>
      <c r="C94" s="6">
        <v>400.2222318351269</v>
      </c>
      <c r="D94" s="6">
        <v>1879.0</v>
      </c>
      <c r="E94" s="7">
        <f t="shared" si="1"/>
        <v>0.5300691857</v>
      </c>
      <c r="F94" s="7">
        <f t="shared" si="2"/>
        <v>0.40182955</v>
      </c>
      <c r="G94" s="7">
        <f t="shared" si="3"/>
        <v>0.2129974624</v>
      </c>
      <c r="H94" s="6">
        <v>1851.0</v>
      </c>
      <c r="I94" s="6">
        <v>739.6666848361492</v>
      </c>
      <c r="J94" s="6">
        <v>4578.0</v>
      </c>
      <c r="K94" s="7">
        <f t="shared" si="4"/>
        <v>0.4043250328</v>
      </c>
      <c r="L94" s="7">
        <f t="shared" si="5"/>
        <v>0.3996038276</v>
      </c>
      <c r="M94" s="7">
        <f t="shared" si="6"/>
        <v>0.1615698307</v>
      </c>
      <c r="N94" s="7">
        <f t="shared" si="7"/>
        <v>0.7585528431</v>
      </c>
      <c r="O94" s="8"/>
      <c r="P94" s="8"/>
      <c r="Q94" s="8"/>
      <c r="R94" s="8"/>
      <c r="S94" s="8"/>
      <c r="T94" s="8"/>
      <c r="U94" s="11"/>
      <c r="V94" s="11"/>
      <c r="W94" s="11"/>
      <c r="X94" s="8"/>
      <c r="Y94" s="8"/>
      <c r="Z94" s="8"/>
      <c r="AA94" s="11"/>
      <c r="AB94" s="11"/>
      <c r="AC94" s="11"/>
      <c r="AD94" s="11"/>
    </row>
    <row r="95" ht="15.75" customHeight="1">
      <c r="A95" s="6">
        <v>21301.0</v>
      </c>
      <c r="B95" s="6">
        <v>3753.0</v>
      </c>
      <c r="C95" s="6">
        <v>1619.000040113926</v>
      </c>
      <c r="D95" s="6">
        <v>6552.0</v>
      </c>
      <c r="E95" s="7">
        <f t="shared" si="1"/>
        <v>0.5728021978</v>
      </c>
      <c r="F95" s="7">
        <f t="shared" si="2"/>
        <v>0.4313882334</v>
      </c>
      <c r="G95" s="7">
        <f t="shared" si="3"/>
        <v>0.2471001282</v>
      </c>
      <c r="H95" s="6">
        <v>12996.0</v>
      </c>
      <c r="I95" s="6">
        <v>5667.555699139833</v>
      </c>
      <c r="J95" s="6">
        <v>24607.0</v>
      </c>
      <c r="K95" s="7">
        <f t="shared" si="4"/>
        <v>0.5281423985</v>
      </c>
      <c r="L95" s="7">
        <f t="shared" si="5"/>
        <v>0.4361000076</v>
      </c>
      <c r="M95" s="7">
        <f t="shared" si="6"/>
        <v>0.230322904</v>
      </c>
      <c r="N95" s="7">
        <f t="shared" si="7"/>
        <v>0.9321035391</v>
      </c>
      <c r="O95" s="8"/>
      <c r="P95" s="8"/>
      <c r="Q95" s="8"/>
      <c r="R95" s="8"/>
      <c r="S95" s="8"/>
      <c r="T95" s="8"/>
      <c r="U95" s="11"/>
      <c r="V95" s="11"/>
      <c r="W95" s="11"/>
      <c r="X95" s="8"/>
      <c r="Y95" s="8"/>
      <c r="Z95" s="8"/>
      <c r="AA95" s="11"/>
      <c r="AB95" s="11"/>
      <c r="AC95" s="11"/>
      <c r="AD95" s="11"/>
    </row>
    <row r="96" ht="15.75" customHeight="1">
      <c r="A96" s="6">
        <v>21302.0</v>
      </c>
      <c r="B96" s="6">
        <v>1488.0</v>
      </c>
      <c r="C96" s="6">
        <v>634.1111261844635</v>
      </c>
      <c r="D96" s="6">
        <v>2810.0</v>
      </c>
      <c r="E96" s="7">
        <f t="shared" si="1"/>
        <v>0.5295373665</v>
      </c>
      <c r="F96" s="7">
        <f t="shared" si="2"/>
        <v>0.4261499504</v>
      </c>
      <c r="G96" s="7">
        <f t="shared" si="3"/>
        <v>0.2256623225</v>
      </c>
      <c r="H96" s="6">
        <v>3486.0</v>
      </c>
      <c r="I96" s="6">
        <v>1575.1111505031586</v>
      </c>
      <c r="J96" s="6">
        <v>6058.0</v>
      </c>
      <c r="K96" s="7">
        <f t="shared" si="4"/>
        <v>0.5754374381</v>
      </c>
      <c r="L96" s="7">
        <f t="shared" si="5"/>
        <v>0.4518391137</v>
      </c>
      <c r="M96" s="7">
        <f t="shared" si="6"/>
        <v>0.260005142</v>
      </c>
      <c r="N96" s="7">
        <f t="shared" si="7"/>
        <v>1.152186768</v>
      </c>
      <c r="O96" s="8"/>
      <c r="P96" s="8"/>
      <c r="Q96" s="8"/>
      <c r="R96" s="8"/>
      <c r="S96" s="8"/>
      <c r="T96" s="8"/>
      <c r="U96" s="11"/>
      <c r="V96" s="11"/>
      <c r="W96" s="11"/>
      <c r="X96" s="8"/>
      <c r="Y96" s="8"/>
      <c r="Z96" s="8"/>
      <c r="AA96" s="11"/>
      <c r="AB96" s="11"/>
      <c r="AC96" s="11"/>
      <c r="AD96" s="11"/>
    </row>
    <row r="97" ht="15.75" customHeight="1">
      <c r="A97" s="6">
        <v>21303.0</v>
      </c>
      <c r="B97" s="6">
        <v>992.0</v>
      </c>
      <c r="C97" s="6">
        <v>434.8889000415802</v>
      </c>
      <c r="D97" s="6">
        <v>1798.0</v>
      </c>
      <c r="E97" s="7">
        <f t="shared" si="1"/>
        <v>0.5517241379</v>
      </c>
      <c r="F97" s="7">
        <f t="shared" si="2"/>
        <v>0.4383960686</v>
      </c>
      <c r="G97" s="7">
        <f t="shared" si="3"/>
        <v>0.241873693</v>
      </c>
      <c r="H97" s="6">
        <v>3706.0</v>
      </c>
      <c r="I97" s="6">
        <v>1677.4444847106934</v>
      </c>
      <c r="J97" s="6">
        <v>5970.0</v>
      </c>
      <c r="K97" s="7">
        <f t="shared" si="4"/>
        <v>0.6207705193</v>
      </c>
      <c r="L97" s="7">
        <f t="shared" si="5"/>
        <v>0.4526293807</v>
      </c>
      <c r="M97" s="7">
        <f t="shared" si="6"/>
        <v>0.2809789757</v>
      </c>
      <c r="N97" s="7">
        <f t="shared" si="7"/>
        <v>1.161676461</v>
      </c>
      <c r="O97" s="8"/>
      <c r="P97" s="8"/>
      <c r="Q97" s="8"/>
      <c r="R97" s="8"/>
      <c r="S97" s="8"/>
      <c r="T97" s="8"/>
      <c r="U97" s="11"/>
      <c r="V97" s="11"/>
      <c r="W97" s="11"/>
      <c r="X97" s="8"/>
      <c r="Y97" s="8"/>
      <c r="Z97" s="8"/>
      <c r="AA97" s="11"/>
      <c r="AB97" s="11"/>
      <c r="AC97" s="11"/>
      <c r="AD97" s="11"/>
    </row>
    <row r="98" ht="15.75" customHeight="1">
      <c r="A98" s="6">
        <v>21304.0</v>
      </c>
      <c r="B98" s="6">
        <v>1371.0</v>
      </c>
      <c r="C98" s="6">
        <v>597.7777922153473</v>
      </c>
      <c r="D98" s="6">
        <v>2717.0</v>
      </c>
      <c r="E98" s="7">
        <f t="shared" si="1"/>
        <v>0.5046006625</v>
      </c>
      <c r="F98" s="7">
        <f t="shared" si="2"/>
        <v>0.4360158951</v>
      </c>
      <c r="G98" s="7">
        <f t="shared" si="3"/>
        <v>0.2200139095</v>
      </c>
      <c r="H98" s="6">
        <v>4650.0</v>
      </c>
      <c r="I98" s="6">
        <v>1986.3333825170994</v>
      </c>
      <c r="J98" s="6">
        <v>9627.0</v>
      </c>
      <c r="K98" s="7">
        <f t="shared" si="4"/>
        <v>0.483016516</v>
      </c>
      <c r="L98" s="7">
        <f t="shared" si="5"/>
        <v>0.4271684694</v>
      </c>
      <c r="M98" s="7">
        <f t="shared" si="6"/>
        <v>0.2063294258</v>
      </c>
      <c r="N98" s="7">
        <f t="shared" si="7"/>
        <v>0.9378017338</v>
      </c>
      <c r="O98" s="8"/>
      <c r="P98" s="8"/>
      <c r="Q98" s="8"/>
      <c r="R98" s="8"/>
      <c r="S98" s="8"/>
      <c r="T98" s="8"/>
      <c r="U98" s="11"/>
      <c r="V98" s="11"/>
      <c r="W98" s="11"/>
      <c r="X98" s="8"/>
      <c r="Y98" s="8"/>
      <c r="Z98" s="8"/>
      <c r="AA98" s="11"/>
      <c r="AB98" s="11"/>
      <c r="AC98" s="11"/>
      <c r="AD98" s="11"/>
    </row>
    <row r="99" ht="15.75" customHeight="1">
      <c r="A99" s="6">
        <v>21305.0</v>
      </c>
      <c r="B99" s="6">
        <v>1856.0</v>
      </c>
      <c r="C99" s="6">
        <v>802.7777971625328</v>
      </c>
      <c r="D99" s="6">
        <v>4025.0</v>
      </c>
      <c r="E99" s="7">
        <f t="shared" si="1"/>
        <v>0.4611180124</v>
      </c>
      <c r="F99" s="7">
        <f t="shared" si="2"/>
        <v>0.4325311407</v>
      </c>
      <c r="G99" s="7">
        <f t="shared" si="3"/>
        <v>0.1994478999</v>
      </c>
      <c r="H99" s="6">
        <v>5723.0</v>
      </c>
      <c r="I99" s="6">
        <v>2391.888948559761</v>
      </c>
      <c r="J99" s="6">
        <v>18290.0</v>
      </c>
      <c r="K99" s="7">
        <f t="shared" si="4"/>
        <v>0.3129032258</v>
      </c>
      <c r="L99" s="7">
        <f t="shared" si="5"/>
        <v>0.4179432026</v>
      </c>
      <c r="M99" s="7">
        <f t="shared" si="6"/>
        <v>0.1307757763</v>
      </c>
      <c r="N99" s="7">
        <f t="shared" si="7"/>
        <v>0.655688911</v>
      </c>
      <c r="O99" s="8"/>
      <c r="P99" s="8"/>
      <c r="Q99" s="8"/>
      <c r="R99" s="8"/>
      <c r="S99" s="8"/>
      <c r="T99" s="8"/>
      <c r="U99" s="11"/>
      <c r="V99" s="11"/>
      <c r="W99" s="11"/>
      <c r="X99" s="8"/>
      <c r="Y99" s="8"/>
      <c r="Z99" s="8"/>
      <c r="AA99" s="11"/>
      <c r="AB99" s="11"/>
      <c r="AC99" s="11"/>
      <c r="AD99" s="11"/>
    </row>
    <row r="100" ht="15.75" customHeight="1">
      <c r="A100" s="6">
        <v>21306.0</v>
      </c>
      <c r="B100" s="6">
        <v>941.0</v>
      </c>
      <c r="C100" s="6">
        <v>419.6666765511036</v>
      </c>
      <c r="D100" s="6">
        <v>1777.0</v>
      </c>
      <c r="E100" s="7">
        <f t="shared" si="1"/>
        <v>0.5295441756</v>
      </c>
      <c r="F100" s="7">
        <f t="shared" si="2"/>
        <v>0.445979465</v>
      </c>
      <c r="G100" s="7">
        <f t="shared" si="3"/>
        <v>0.2361658281</v>
      </c>
      <c r="H100" s="6">
        <v>4026.0</v>
      </c>
      <c r="I100" s="6">
        <v>1739.8889318108559</v>
      </c>
      <c r="J100" s="6">
        <v>8085.0</v>
      </c>
      <c r="K100" s="7">
        <f t="shared" si="4"/>
        <v>0.4979591837</v>
      </c>
      <c r="L100" s="7">
        <f t="shared" si="5"/>
        <v>0.4321631723</v>
      </c>
      <c r="M100" s="7">
        <f t="shared" si="6"/>
        <v>0.2151996205</v>
      </c>
      <c r="N100" s="7">
        <f t="shared" si="7"/>
        <v>0.9112225178</v>
      </c>
      <c r="O100" s="8"/>
      <c r="P100" s="8"/>
      <c r="Q100" s="8"/>
      <c r="R100" s="8"/>
      <c r="S100" s="8"/>
      <c r="T100" s="8"/>
      <c r="U100" s="11"/>
      <c r="V100" s="11"/>
      <c r="W100" s="11"/>
      <c r="X100" s="8"/>
      <c r="Y100" s="8"/>
      <c r="Z100" s="8"/>
      <c r="AA100" s="11"/>
      <c r="AB100" s="11"/>
      <c r="AC100" s="11"/>
      <c r="AD100" s="11"/>
    </row>
    <row r="101" ht="15.75" customHeight="1">
      <c r="A101" s="6">
        <v>21307.0</v>
      </c>
      <c r="B101" s="6">
        <v>576.0</v>
      </c>
      <c r="C101" s="6">
        <v>236.77778297662735</v>
      </c>
      <c r="D101" s="6">
        <v>1251.0</v>
      </c>
      <c r="E101" s="7">
        <f t="shared" si="1"/>
        <v>0.4604316547</v>
      </c>
      <c r="F101" s="7">
        <f t="shared" si="2"/>
        <v>0.4110725399</v>
      </c>
      <c r="G101" s="7">
        <f t="shared" si="3"/>
        <v>0.1892708097</v>
      </c>
      <c r="H101" s="6">
        <v>1389.0</v>
      </c>
      <c r="I101" s="6">
        <v>557.1111244857311</v>
      </c>
      <c r="J101" s="6">
        <v>3728.0</v>
      </c>
      <c r="K101" s="7">
        <f t="shared" si="4"/>
        <v>0.3725858369</v>
      </c>
      <c r="L101" s="7">
        <f t="shared" si="5"/>
        <v>0.4010879226</v>
      </c>
      <c r="M101" s="7">
        <f t="shared" si="6"/>
        <v>0.1494396793</v>
      </c>
      <c r="N101" s="7">
        <f t="shared" si="7"/>
        <v>0.7895548158</v>
      </c>
      <c r="O101" s="8"/>
      <c r="P101" s="8"/>
      <c r="Q101" s="8"/>
      <c r="R101" s="8"/>
      <c r="S101" s="8"/>
      <c r="T101" s="8"/>
      <c r="U101" s="11"/>
      <c r="V101" s="11"/>
      <c r="W101" s="11"/>
      <c r="X101" s="8"/>
      <c r="Y101" s="8"/>
      <c r="Z101" s="8"/>
      <c r="AA101" s="11"/>
      <c r="AB101" s="11"/>
      <c r="AC101" s="11"/>
      <c r="AD101" s="11"/>
    </row>
    <row r="102" ht="15.75" customHeight="1">
      <c r="A102" s="6">
        <v>21401.0</v>
      </c>
      <c r="B102" s="6">
        <v>1113.0</v>
      </c>
      <c r="C102" s="6">
        <v>457.66667729616165</v>
      </c>
      <c r="D102" s="6">
        <v>3362.0</v>
      </c>
      <c r="E102" s="7">
        <f t="shared" si="1"/>
        <v>0.3310529447</v>
      </c>
      <c r="F102" s="7">
        <f t="shared" si="2"/>
        <v>0.4112009679</v>
      </c>
      <c r="G102" s="7">
        <f t="shared" si="3"/>
        <v>0.1361292913</v>
      </c>
      <c r="H102" s="6">
        <v>5523.0</v>
      </c>
      <c r="I102" s="6">
        <v>2408.5556141734123</v>
      </c>
      <c r="J102" s="6">
        <v>15365.0</v>
      </c>
      <c r="K102" s="7">
        <f t="shared" si="4"/>
        <v>0.359453303</v>
      </c>
      <c r="L102" s="7">
        <f t="shared" si="5"/>
        <v>0.4360955304</v>
      </c>
      <c r="M102" s="7">
        <f t="shared" si="6"/>
        <v>0.1567559788</v>
      </c>
      <c r="N102" s="7">
        <f t="shared" si="7"/>
        <v>1.151522772</v>
      </c>
      <c r="O102" s="8"/>
      <c r="P102" s="8"/>
      <c r="Q102" s="8"/>
      <c r="R102" s="8"/>
      <c r="S102" s="8"/>
      <c r="T102" s="8"/>
      <c r="U102" s="11"/>
      <c r="V102" s="11"/>
      <c r="W102" s="11"/>
      <c r="X102" s="8"/>
      <c r="Y102" s="8"/>
      <c r="Z102" s="8"/>
      <c r="AA102" s="11"/>
      <c r="AB102" s="11"/>
      <c r="AC102" s="11"/>
      <c r="AD102" s="11"/>
    </row>
    <row r="103" ht="15.75" customHeight="1">
      <c r="A103" s="6">
        <v>21402.0</v>
      </c>
      <c r="B103" s="6">
        <v>676.0</v>
      </c>
      <c r="C103" s="6">
        <v>269.4444513320923</v>
      </c>
      <c r="D103" s="6">
        <v>2869.0</v>
      </c>
      <c r="E103" s="7">
        <f t="shared" si="1"/>
        <v>0.235622168</v>
      </c>
      <c r="F103" s="7">
        <f t="shared" si="2"/>
        <v>0.3985864665</v>
      </c>
      <c r="G103" s="7">
        <f t="shared" si="3"/>
        <v>0.09391580737</v>
      </c>
      <c r="H103" s="6">
        <v>2907.0</v>
      </c>
      <c r="I103" s="6">
        <v>1179.5555873215199</v>
      </c>
      <c r="J103" s="6">
        <v>13899.0</v>
      </c>
      <c r="K103" s="7">
        <f t="shared" si="4"/>
        <v>0.2091517375</v>
      </c>
      <c r="L103" s="7">
        <f t="shared" si="5"/>
        <v>0.4057638759</v>
      </c>
      <c r="M103" s="7">
        <f t="shared" si="6"/>
        <v>0.08486621968</v>
      </c>
      <c r="N103" s="7">
        <f t="shared" si="7"/>
        <v>0.9036414855</v>
      </c>
      <c r="O103" s="8"/>
      <c r="P103" s="8"/>
      <c r="Q103" s="8"/>
      <c r="R103" s="8"/>
      <c r="S103" s="8"/>
      <c r="T103" s="8"/>
      <c r="U103" s="11"/>
      <c r="V103" s="11"/>
      <c r="W103" s="11"/>
      <c r="X103" s="8"/>
      <c r="Y103" s="8"/>
      <c r="Z103" s="8"/>
      <c r="AA103" s="11"/>
      <c r="AB103" s="11"/>
      <c r="AC103" s="11"/>
      <c r="AD103" s="11"/>
    </row>
    <row r="104" ht="15.75" customHeight="1">
      <c r="A104" s="6">
        <v>21501.0</v>
      </c>
      <c r="B104" s="6">
        <v>482.0</v>
      </c>
      <c r="C104" s="6">
        <v>223.88889455795288</v>
      </c>
      <c r="D104" s="6">
        <v>836.0</v>
      </c>
      <c r="E104" s="7">
        <f t="shared" si="1"/>
        <v>0.5765550239</v>
      </c>
      <c r="F104" s="7">
        <f t="shared" si="2"/>
        <v>0.4644997812</v>
      </c>
      <c r="G104" s="7">
        <f t="shared" si="3"/>
        <v>0.2678096825</v>
      </c>
      <c r="H104" s="6">
        <v>4556.0</v>
      </c>
      <c r="I104" s="6">
        <v>2116.888944745064</v>
      </c>
      <c r="J104" s="6">
        <v>7502.0</v>
      </c>
      <c r="K104" s="7">
        <f t="shared" si="4"/>
        <v>0.6073047187</v>
      </c>
      <c r="L104" s="7">
        <f t="shared" si="5"/>
        <v>0.4646376086</v>
      </c>
      <c r="M104" s="7">
        <f t="shared" si="6"/>
        <v>0.2821766122</v>
      </c>
      <c r="N104" s="7">
        <f t="shared" si="7"/>
        <v>1.053646043</v>
      </c>
      <c r="O104" s="8"/>
      <c r="P104" s="8"/>
      <c r="Q104" s="8"/>
      <c r="R104" s="8"/>
      <c r="S104" s="8"/>
      <c r="T104" s="8"/>
      <c r="U104" s="11"/>
      <c r="V104" s="11"/>
      <c r="W104" s="11"/>
      <c r="X104" s="8"/>
      <c r="Y104" s="8"/>
      <c r="Z104" s="8"/>
      <c r="AA104" s="11"/>
      <c r="AB104" s="11"/>
      <c r="AC104" s="11"/>
      <c r="AD104" s="11"/>
    </row>
    <row r="105" ht="15.75" customHeight="1">
      <c r="A105" s="6">
        <v>21502.0</v>
      </c>
      <c r="B105" s="6">
        <v>517.0</v>
      </c>
      <c r="C105" s="6">
        <v>222.00000581145287</v>
      </c>
      <c r="D105" s="6">
        <v>1293.0</v>
      </c>
      <c r="E105" s="7">
        <f t="shared" si="1"/>
        <v>0.399845321</v>
      </c>
      <c r="F105" s="7">
        <f t="shared" si="2"/>
        <v>0.4294003981</v>
      </c>
      <c r="G105" s="7">
        <f t="shared" si="3"/>
        <v>0.17169374</v>
      </c>
      <c r="H105" s="6">
        <v>2575.0</v>
      </c>
      <c r="I105" s="6">
        <v>1183.7778077423573</v>
      </c>
      <c r="J105" s="6">
        <v>6921.0</v>
      </c>
      <c r="K105" s="7">
        <f t="shared" si="4"/>
        <v>0.3720560613</v>
      </c>
      <c r="L105" s="7">
        <f t="shared" si="5"/>
        <v>0.459719537</v>
      </c>
      <c r="M105" s="7">
        <f t="shared" si="6"/>
        <v>0.1710414402</v>
      </c>
      <c r="N105" s="7">
        <f t="shared" si="7"/>
        <v>0.9962007946</v>
      </c>
      <c r="O105" s="8"/>
      <c r="P105" s="8"/>
      <c r="Q105" s="8"/>
      <c r="R105" s="8"/>
      <c r="S105" s="8"/>
      <c r="T105" s="8"/>
      <c r="U105" s="11"/>
      <c r="V105" s="11"/>
      <c r="W105" s="11"/>
      <c r="X105" s="8"/>
      <c r="Y105" s="8"/>
      <c r="Z105" s="8"/>
      <c r="AA105" s="11"/>
      <c r="AB105" s="11"/>
      <c r="AC105" s="11"/>
      <c r="AD105" s="11"/>
    </row>
    <row r="106" ht="15.75" customHeight="1">
      <c r="A106" s="6">
        <v>21601.0</v>
      </c>
      <c r="B106" s="6">
        <v>1967.0</v>
      </c>
      <c r="C106" s="6">
        <v>872.2222457528114</v>
      </c>
      <c r="D106" s="6">
        <v>2685.0</v>
      </c>
      <c r="E106" s="7">
        <f t="shared" si="1"/>
        <v>0.7325884544</v>
      </c>
      <c r="F106" s="7">
        <f t="shared" si="2"/>
        <v>0.4434276796</v>
      </c>
      <c r="G106" s="7">
        <f t="shared" si="3"/>
        <v>0.3248499984</v>
      </c>
      <c r="H106" s="6">
        <v>7372.0</v>
      </c>
      <c r="I106" s="6">
        <v>3407.2223116457462</v>
      </c>
      <c r="J106" s="6">
        <v>10242.0</v>
      </c>
      <c r="K106" s="7">
        <f t="shared" si="4"/>
        <v>0.7197812927</v>
      </c>
      <c r="L106" s="7">
        <f t="shared" si="5"/>
        <v>0.4621842528</v>
      </c>
      <c r="M106" s="7">
        <f t="shared" si="6"/>
        <v>0.332671579</v>
      </c>
      <c r="N106" s="7">
        <f t="shared" si="7"/>
        <v>1.024077514</v>
      </c>
      <c r="O106" s="8"/>
      <c r="P106" s="8"/>
      <c r="Q106" s="8"/>
      <c r="R106" s="8"/>
      <c r="S106" s="8"/>
      <c r="T106" s="8"/>
      <c r="U106" s="11"/>
      <c r="V106" s="11"/>
      <c r="W106" s="11"/>
      <c r="X106" s="8"/>
      <c r="Y106" s="8"/>
      <c r="Z106" s="8"/>
      <c r="AA106" s="11"/>
      <c r="AB106" s="11"/>
      <c r="AC106" s="11"/>
      <c r="AD106" s="11"/>
    </row>
    <row r="107" ht="15.75" customHeight="1">
      <c r="A107" s="6">
        <v>21602.0</v>
      </c>
      <c r="B107" s="6">
        <v>473.0</v>
      </c>
      <c r="C107" s="6">
        <v>225.1111171245575</v>
      </c>
      <c r="D107" s="6">
        <v>635.0</v>
      </c>
      <c r="E107" s="7">
        <f t="shared" si="1"/>
        <v>0.7448818898</v>
      </c>
      <c r="F107" s="7">
        <f t="shared" si="2"/>
        <v>0.4759220235</v>
      </c>
      <c r="G107" s="7">
        <f t="shared" si="3"/>
        <v>0.3545056963</v>
      </c>
      <c r="H107" s="6">
        <v>1844.0</v>
      </c>
      <c r="I107" s="6">
        <v>873.0000238418579</v>
      </c>
      <c r="J107" s="6">
        <v>2629.0</v>
      </c>
      <c r="K107" s="7">
        <f t="shared" si="4"/>
        <v>0.7014073792</v>
      </c>
      <c r="L107" s="7">
        <f t="shared" si="5"/>
        <v>0.4734273448</v>
      </c>
      <c r="M107" s="7">
        <f t="shared" si="6"/>
        <v>0.3320654332</v>
      </c>
      <c r="N107" s="7">
        <f t="shared" si="7"/>
        <v>0.9366998519</v>
      </c>
      <c r="O107" s="8"/>
      <c r="P107" s="8"/>
      <c r="Q107" s="8"/>
      <c r="R107" s="8"/>
      <c r="S107" s="8"/>
      <c r="T107" s="8"/>
      <c r="U107" s="11"/>
      <c r="V107" s="11"/>
      <c r="W107" s="11"/>
      <c r="X107" s="8"/>
      <c r="Y107" s="8"/>
      <c r="Z107" s="8"/>
      <c r="AA107" s="11"/>
      <c r="AB107" s="11"/>
      <c r="AC107" s="11"/>
      <c r="AD107" s="11"/>
    </row>
    <row r="108" ht="15.75" customHeight="1">
      <c r="A108" s="6">
        <v>21701.0</v>
      </c>
      <c r="B108" s="6">
        <v>1504.0</v>
      </c>
      <c r="C108" s="6">
        <v>614.4444604218006</v>
      </c>
      <c r="D108" s="6">
        <v>3839.0</v>
      </c>
      <c r="E108" s="7">
        <f t="shared" si="1"/>
        <v>0.3917686898</v>
      </c>
      <c r="F108" s="7">
        <f t="shared" si="2"/>
        <v>0.4085401997</v>
      </c>
      <c r="G108" s="7">
        <f t="shared" si="3"/>
        <v>0.1600532588</v>
      </c>
      <c r="H108" s="6">
        <v>3172.0</v>
      </c>
      <c r="I108" s="6">
        <v>1291.5555867552757</v>
      </c>
      <c r="J108" s="6">
        <v>10648.0</v>
      </c>
      <c r="K108" s="7">
        <f t="shared" si="4"/>
        <v>0.2978963186</v>
      </c>
      <c r="L108" s="7">
        <f t="shared" si="5"/>
        <v>0.4071738924</v>
      </c>
      <c r="M108" s="7">
        <f t="shared" si="6"/>
        <v>0.1212956036</v>
      </c>
      <c r="N108" s="7">
        <f t="shared" si="7"/>
        <v>0.7578452604</v>
      </c>
      <c r="O108" s="8"/>
      <c r="P108" s="8"/>
      <c r="Q108" s="8"/>
      <c r="R108" s="8"/>
      <c r="S108" s="8"/>
      <c r="T108" s="8"/>
      <c r="U108" s="11"/>
      <c r="V108" s="11"/>
      <c r="W108" s="11"/>
      <c r="X108" s="8"/>
      <c r="Y108" s="8"/>
      <c r="Z108" s="8"/>
      <c r="AA108" s="11"/>
      <c r="AB108" s="11"/>
      <c r="AC108" s="11"/>
      <c r="AD108" s="11"/>
    </row>
    <row r="109" ht="15.75" customHeight="1">
      <c r="A109" s="6">
        <v>21702.0</v>
      </c>
      <c r="B109" s="6">
        <v>1211.0</v>
      </c>
      <c r="C109" s="6">
        <v>509.2222348153591</v>
      </c>
      <c r="D109" s="6">
        <v>2465.0</v>
      </c>
      <c r="E109" s="7">
        <f t="shared" si="1"/>
        <v>0.4912778905</v>
      </c>
      <c r="F109" s="7">
        <f t="shared" si="2"/>
        <v>0.4204973037</v>
      </c>
      <c r="G109" s="7">
        <f t="shared" si="3"/>
        <v>0.2065810283</v>
      </c>
      <c r="H109" s="6">
        <v>1445.0</v>
      </c>
      <c r="I109" s="6">
        <v>615.3333483338356</v>
      </c>
      <c r="J109" s="6">
        <v>3478.0</v>
      </c>
      <c r="K109" s="7">
        <f t="shared" si="4"/>
        <v>0.4154686601</v>
      </c>
      <c r="L109" s="7">
        <f t="shared" si="5"/>
        <v>0.4258362272</v>
      </c>
      <c r="M109" s="7">
        <f t="shared" si="6"/>
        <v>0.1769216068</v>
      </c>
      <c r="N109" s="7">
        <f t="shared" si="7"/>
        <v>0.8564271763</v>
      </c>
      <c r="O109" s="8"/>
      <c r="P109" s="8"/>
      <c r="Q109" s="8"/>
      <c r="R109" s="8"/>
      <c r="S109" s="8"/>
      <c r="T109" s="8"/>
      <c r="U109" s="11"/>
      <c r="V109" s="11"/>
      <c r="W109" s="11"/>
      <c r="X109" s="8"/>
      <c r="Y109" s="8"/>
      <c r="Z109" s="8"/>
      <c r="AA109" s="11"/>
      <c r="AB109" s="11"/>
      <c r="AC109" s="11"/>
      <c r="AD109" s="11"/>
    </row>
    <row r="110" ht="15.75" customHeight="1">
      <c r="A110" s="6">
        <v>21703.0</v>
      </c>
      <c r="B110" s="6">
        <v>1260.0</v>
      </c>
      <c r="C110" s="6">
        <v>587.7777938246727</v>
      </c>
      <c r="D110" s="6">
        <v>1868.0</v>
      </c>
      <c r="E110" s="7">
        <f t="shared" si="1"/>
        <v>0.6745182013</v>
      </c>
      <c r="F110" s="7">
        <f t="shared" si="2"/>
        <v>0.4664903126</v>
      </c>
      <c r="G110" s="7">
        <f t="shared" si="3"/>
        <v>0.3146562065</v>
      </c>
      <c r="H110" s="6">
        <v>2466.0</v>
      </c>
      <c r="I110" s="6">
        <v>1117.5555837452412</v>
      </c>
      <c r="J110" s="6">
        <v>4377.0</v>
      </c>
      <c r="K110" s="7">
        <f t="shared" si="4"/>
        <v>0.5633995888</v>
      </c>
      <c r="L110" s="7">
        <f t="shared" si="5"/>
        <v>0.4531855571</v>
      </c>
      <c r="M110" s="7">
        <f t="shared" si="6"/>
        <v>0.2553245565</v>
      </c>
      <c r="N110" s="7">
        <f t="shared" si="7"/>
        <v>0.8114397593</v>
      </c>
      <c r="O110" s="8"/>
      <c r="P110" s="8"/>
      <c r="Q110" s="8"/>
      <c r="R110" s="8"/>
      <c r="S110" s="8"/>
      <c r="T110" s="8"/>
      <c r="U110" s="11"/>
      <c r="V110" s="11"/>
      <c r="W110" s="11"/>
      <c r="X110" s="8"/>
      <c r="Y110" s="8"/>
      <c r="Z110" s="8"/>
      <c r="AA110" s="11"/>
      <c r="AB110" s="11"/>
      <c r="AC110" s="11"/>
      <c r="AD110" s="11"/>
    </row>
    <row r="111" ht="15.75" customHeight="1">
      <c r="A111" s="6">
        <v>21801.0</v>
      </c>
      <c r="B111" s="6">
        <v>1796.0</v>
      </c>
      <c r="C111" s="6">
        <v>804.3333521783352</v>
      </c>
      <c r="D111" s="6">
        <v>2526.0</v>
      </c>
      <c r="E111" s="7">
        <f t="shared" si="1"/>
        <v>0.7110055424</v>
      </c>
      <c r="F111" s="7">
        <f t="shared" si="2"/>
        <v>0.4478470781</v>
      </c>
      <c r="G111" s="7">
        <f t="shared" si="3"/>
        <v>0.3184217546</v>
      </c>
      <c r="H111" s="6">
        <v>4308.0</v>
      </c>
      <c r="I111" s="6">
        <v>1960.6667133271694</v>
      </c>
      <c r="J111" s="6">
        <v>6283.0</v>
      </c>
      <c r="K111" s="7">
        <f t="shared" si="4"/>
        <v>0.6856597167</v>
      </c>
      <c r="L111" s="7">
        <f t="shared" si="5"/>
        <v>0.455122264</v>
      </c>
      <c r="M111" s="7">
        <f t="shared" si="6"/>
        <v>0.3120590026</v>
      </c>
      <c r="N111" s="7">
        <f t="shared" si="7"/>
        <v>0.9800178476</v>
      </c>
      <c r="O111" s="8"/>
      <c r="P111" s="8"/>
      <c r="Q111" s="8"/>
      <c r="R111" s="8"/>
      <c r="S111" s="8"/>
      <c r="T111" s="8"/>
      <c r="U111" s="11"/>
      <c r="V111" s="11"/>
      <c r="W111" s="11"/>
      <c r="X111" s="8"/>
      <c r="Y111" s="8"/>
      <c r="Z111" s="8"/>
      <c r="AA111" s="11"/>
      <c r="AB111" s="11"/>
      <c r="AC111" s="11"/>
      <c r="AD111" s="11"/>
    </row>
    <row r="112" ht="15.75" customHeight="1">
      <c r="A112" s="6">
        <v>21802.0</v>
      </c>
      <c r="B112" s="6">
        <v>959.0</v>
      </c>
      <c r="C112" s="6">
        <v>398.33334293961525</v>
      </c>
      <c r="D112" s="6">
        <v>1794.0</v>
      </c>
      <c r="E112" s="7">
        <f t="shared" si="1"/>
        <v>0.5345596433</v>
      </c>
      <c r="F112" s="7">
        <f t="shared" si="2"/>
        <v>0.4153632356</v>
      </c>
      <c r="G112" s="7">
        <f t="shared" si="3"/>
        <v>0.222036423</v>
      </c>
      <c r="H112" s="6">
        <v>2671.0</v>
      </c>
      <c r="I112" s="6">
        <v>1154.5555835664272</v>
      </c>
      <c r="J112" s="6">
        <v>5192.0</v>
      </c>
      <c r="K112" s="7">
        <f t="shared" si="4"/>
        <v>0.5144453005</v>
      </c>
      <c r="L112" s="7">
        <f t="shared" si="5"/>
        <v>0.432255928</v>
      </c>
      <c r="M112" s="7">
        <f t="shared" si="6"/>
        <v>0.2223720307</v>
      </c>
      <c r="N112" s="7">
        <f t="shared" si="7"/>
        <v>1.001511498</v>
      </c>
      <c r="O112" s="8"/>
      <c r="P112" s="8"/>
      <c r="Q112" s="8"/>
      <c r="R112" s="8"/>
      <c r="S112" s="8"/>
      <c r="T112" s="8"/>
      <c r="U112" s="11"/>
      <c r="V112" s="11"/>
      <c r="W112" s="11"/>
      <c r="X112" s="8"/>
      <c r="Y112" s="8"/>
      <c r="Z112" s="8"/>
      <c r="AA112" s="11"/>
      <c r="AB112" s="11"/>
      <c r="AC112" s="11"/>
      <c r="AD112" s="11"/>
    </row>
    <row r="113" ht="15.75" customHeight="1">
      <c r="A113" s="6">
        <v>21803.0</v>
      </c>
      <c r="B113" s="6">
        <v>401.0</v>
      </c>
      <c r="C113" s="6">
        <v>179.7777822315693</v>
      </c>
      <c r="D113" s="6">
        <v>505.0</v>
      </c>
      <c r="E113" s="7">
        <f t="shared" si="1"/>
        <v>0.7940594059</v>
      </c>
      <c r="F113" s="7">
        <f t="shared" si="2"/>
        <v>0.4483236465</v>
      </c>
      <c r="G113" s="7">
        <f t="shared" si="3"/>
        <v>0.3559956084</v>
      </c>
      <c r="H113" s="6">
        <v>1164.0</v>
      </c>
      <c r="I113" s="6">
        <v>516.2222349643707</v>
      </c>
      <c r="J113" s="6">
        <v>1495.0</v>
      </c>
      <c r="K113" s="7">
        <f t="shared" si="4"/>
        <v>0.7785953177</v>
      </c>
      <c r="L113" s="7">
        <f t="shared" si="5"/>
        <v>0.4434898926</v>
      </c>
      <c r="M113" s="7">
        <f t="shared" si="6"/>
        <v>0.3452991538</v>
      </c>
      <c r="N113" s="7">
        <f t="shared" si="7"/>
        <v>0.9699534087</v>
      </c>
      <c r="O113" s="8"/>
      <c r="P113" s="8"/>
      <c r="Q113" s="8"/>
      <c r="R113" s="8"/>
      <c r="S113" s="8"/>
      <c r="T113" s="8"/>
      <c r="U113" s="11"/>
      <c r="V113" s="11"/>
      <c r="W113" s="11"/>
      <c r="X113" s="8"/>
      <c r="Y113" s="8"/>
      <c r="Z113" s="8"/>
      <c r="AA113" s="11"/>
      <c r="AB113" s="11"/>
      <c r="AC113" s="11"/>
      <c r="AD113" s="11"/>
    </row>
    <row r="114" ht="15.75" customHeight="1">
      <c r="A114" s="6">
        <v>21901.0</v>
      </c>
      <c r="B114" s="6">
        <v>767.0</v>
      </c>
      <c r="C114" s="6">
        <v>312.00000697374344</v>
      </c>
      <c r="D114" s="6">
        <v>1643.0</v>
      </c>
      <c r="E114" s="7">
        <f t="shared" si="1"/>
        <v>0.4668289714</v>
      </c>
      <c r="F114" s="7">
        <f t="shared" si="2"/>
        <v>0.4067796701</v>
      </c>
      <c r="G114" s="7">
        <f t="shared" si="3"/>
        <v>0.189896535</v>
      </c>
      <c r="H114" s="6">
        <v>1641.0</v>
      </c>
      <c r="I114" s="6">
        <v>688.0000173449516</v>
      </c>
      <c r="J114" s="6">
        <v>2906.0</v>
      </c>
      <c r="K114" s="7">
        <f t="shared" si="4"/>
        <v>0.5646937371</v>
      </c>
      <c r="L114" s="7">
        <f t="shared" si="5"/>
        <v>0.4192565615</v>
      </c>
      <c r="M114" s="7">
        <f t="shared" si="6"/>
        <v>0.2367515545</v>
      </c>
      <c r="N114" s="7">
        <f t="shared" si="7"/>
        <v>1.246739729</v>
      </c>
      <c r="O114" s="8"/>
      <c r="P114" s="8"/>
      <c r="Q114" s="8"/>
      <c r="R114" s="8"/>
      <c r="S114" s="8"/>
      <c r="T114" s="8"/>
      <c r="U114" s="11"/>
      <c r="V114" s="11"/>
      <c r="W114" s="11"/>
      <c r="X114" s="8"/>
      <c r="Y114" s="8"/>
      <c r="Z114" s="8"/>
      <c r="AA114" s="11"/>
      <c r="AB114" s="11"/>
      <c r="AC114" s="11"/>
      <c r="AD114" s="11"/>
    </row>
    <row r="115" ht="15.75" customHeight="1">
      <c r="A115" s="6">
        <v>21902.0</v>
      </c>
      <c r="B115" s="6">
        <v>259.0</v>
      </c>
      <c r="C115" s="6">
        <v>106.88889154791832</v>
      </c>
      <c r="D115" s="6">
        <v>541.0</v>
      </c>
      <c r="E115" s="7">
        <f t="shared" si="1"/>
        <v>0.4787430684</v>
      </c>
      <c r="F115" s="7">
        <f t="shared" si="2"/>
        <v>0.412698423</v>
      </c>
      <c r="G115" s="7">
        <f t="shared" si="3"/>
        <v>0.1975765093</v>
      </c>
      <c r="H115" s="6">
        <v>1290.0</v>
      </c>
      <c r="I115" s="6">
        <v>547.7777911126614</v>
      </c>
      <c r="J115" s="6">
        <v>2319.0</v>
      </c>
      <c r="K115" s="7">
        <f t="shared" si="4"/>
        <v>0.5562742561</v>
      </c>
      <c r="L115" s="7">
        <f t="shared" si="5"/>
        <v>0.4246339466</v>
      </c>
      <c r="M115" s="7">
        <f t="shared" si="6"/>
        <v>0.2362129328</v>
      </c>
      <c r="N115" s="7">
        <f t="shared" si="7"/>
        <v>1.195551706</v>
      </c>
      <c r="O115" s="8"/>
      <c r="P115" s="8"/>
      <c r="Q115" s="8"/>
      <c r="R115" s="8"/>
      <c r="S115" s="8"/>
      <c r="T115" s="8"/>
      <c r="U115" s="11"/>
      <c r="V115" s="11"/>
      <c r="W115" s="11"/>
      <c r="X115" s="8"/>
      <c r="Y115" s="8"/>
      <c r="Z115" s="8"/>
      <c r="AA115" s="11"/>
      <c r="AB115" s="11"/>
      <c r="AC115" s="11"/>
      <c r="AD115" s="11"/>
    </row>
    <row r="116" ht="15.75" customHeight="1">
      <c r="A116" s="6">
        <v>22001.0</v>
      </c>
      <c r="B116" s="6">
        <v>2799.0</v>
      </c>
      <c r="C116" s="6">
        <v>1203.6666960418224</v>
      </c>
      <c r="D116" s="6">
        <v>6455.0</v>
      </c>
      <c r="E116" s="7">
        <f t="shared" si="1"/>
        <v>0.4336173509</v>
      </c>
      <c r="F116" s="7">
        <f t="shared" si="2"/>
        <v>0.4300345466</v>
      </c>
      <c r="G116" s="7">
        <f t="shared" si="3"/>
        <v>0.1864704409</v>
      </c>
      <c r="H116" s="6">
        <v>20227.0</v>
      </c>
      <c r="I116" s="6">
        <v>8940.666890323162</v>
      </c>
      <c r="J116" s="6">
        <v>42734.0</v>
      </c>
      <c r="K116" s="7">
        <f t="shared" si="4"/>
        <v>0.4733233491</v>
      </c>
      <c r="L116" s="7">
        <f t="shared" si="5"/>
        <v>0.4420164577</v>
      </c>
      <c r="M116" s="7">
        <f t="shared" si="6"/>
        <v>0.2092167101</v>
      </c>
      <c r="N116" s="7">
        <f t="shared" si="7"/>
        <v>1.121983244</v>
      </c>
      <c r="O116" s="8"/>
      <c r="P116" s="8"/>
      <c r="Q116" s="8"/>
      <c r="R116" s="8"/>
      <c r="S116" s="8"/>
      <c r="T116" s="8"/>
      <c r="U116" s="11"/>
      <c r="V116" s="11"/>
      <c r="W116" s="11"/>
      <c r="X116" s="8"/>
      <c r="Y116" s="8"/>
      <c r="Z116" s="8"/>
      <c r="AA116" s="11"/>
      <c r="AB116" s="11"/>
      <c r="AC116" s="11"/>
      <c r="AD116" s="11"/>
    </row>
    <row r="117" ht="15.75" customHeight="1">
      <c r="A117" s="6">
        <v>22002.0</v>
      </c>
      <c r="B117" s="6">
        <v>699.0</v>
      </c>
      <c r="C117" s="6">
        <v>324.55556362867355</v>
      </c>
      <c r="D117" s="6">
        <v>1328.0</v>
      </c>
      <c r="E117" s="7">
        <f t="shared" si="1"/>
        <v>0.5263554217</v>
      </c>
      <c r="F117" s="7">
        <f t="shared" si="2"/>
        <v>0.4643141111</v>
      </c>
      <c r="G117" s="7">
        <f t="shared" si="3"/>
        <v>0.2443942497</v>
      </c>
      <c r="H117" s="6">
        <v>6148.0</v>
      </c>
      <c r="I117" s="6">
        <v>2899.555629938841</v>
      </c>
      <c r="J117" s="6">
        <v>9553.0</v>
      </c>
      <c r="K117" s="7">
        <f t="shared" si="4"/>
        <v>0.6435674657</v>
      </c>
      <c r="L117" s="7">
        <f t="shared" si="5"/>
        <v>0.4716258344</v>
      </c>
      <c r="M117" s="7">
        <f t="shared" si="6"/>
        <v>0.303523043</v>
      </c>
      <c r="N117" s="7">
        <f t="shared" si="7"/>
        <v>1.241940199</v>
      </c>
      <c r="O117" s="8"/>
      <c r="P117" s="8"/>
      <c r="Q117" s="8"/>
      <c r="R117" s="8"/>
      <c r="S117" s="8"/>
      <c r="T117" s="8"/>
      <c r="U117" s="11"/>
      <c r="V117" s="11"/>
      <c r="W117" s="11"/>
      <c r="X117" s="8"/>
      <c r="Y117" s="8"/>
      <c r="Z117" s="8"/>
      <c r="AA117" s="11"/>
      <c r="AB117" s="11"/>
      <c r="AC117" s="11"/>
      <c r="AD117" s="11"/>
    </row>
    <row r="118" ht="15.75" customHeight="1">
      <c r="A118" s="6">
        <v>30101.0</v>
      </c>
      <c r="B118" s="6">
        <v>12144.0</v>
      </c>
      <c r="C118" s="6">
        <v>4703.111227154732</v>
      </c>
      <c r="D118" s="6">
        <v>111485.0</v>
      </c>
      <c r="E118" s="7">
        <f t="shared" si="1"/>
        <v>0.1089294524</v>
      </c>
      <c r="F118" s="7">
        <f t="shared" si="2"/>
        <v>0.3872785925</v>
      </c>
      <c r="G118" s="7">
        <f t="shared" si="3"/>
        <v>0.042186045</v>
      </c>
      <c r="H118" s="6">
        <v>124183.0</v>
      </c>
      <c r="I118" s="6">
        <v>49726.89014020562</v>
      </c>
      <c r="J118" s="6">
        <v>509699.0</v>
      </c>
      <c r="K118" s="7">
        <f t="shared" si="4"/>
        <v>0.2436398737</v>
      </c>
      <c r="L118" s="7">
        <f t="shared" si="5"/>
        <v>0.4004323469</v>
      </c>
      <c r="M118" s="7">
        <f t="shared" si="6"/>
        <v>0.09756128645</v>
      </c>
      <c r="N118" s="7">
        <f t="shared" si="7"/>
        <v>2.312643587</v>
      </c>
      <c r="O118" s="8"/>
      <c r="P118" s="8"/>
      <c r="Q118" s="8"/>
      <c r="R118" s="8"/>
      <c r="S118" s="8"/>
      <c r="T118" s="8"/>
      <c r="U118" s="11"/>
      <c r="V118" s="11"/>
      <c r="W118" s="11"/>
      <c r="X118" s="8"/>
      <c r="Y118" s="8"/>
      <c r="Z118" s="8"/>
      <c r="AA118" s="11"/>
      <c r="AB118" s="11"/>
      <c r="AC118" s="11"/>
      <c r="AD118" s="11"/>
    </row>
    <row r="119" ht="15.75" customHeight="1">
      <c r="A119" s="6">
        <v>30201.0</v>
      </c>
      <c r="B119" s="6">
        <v>2189.0</v>
      </c>
      <c r="C119" s="6">
        <v>1055.5555845499039</v>
      </c>
      <c r="D119" s="6">
        <v>4384.0</v>
      </c>
      <c r="E119" s="7">
        <f t="shared" si="1"/>
        <v>0.4993156934</v>
      </c>
      <c r="F119" s="7">
        <f t="shared" si="2"/>
        <v>0.4822090382</v>
      </c>
      <c r="G119" s="7">
        <f t="shared" si="3"/>
        <v>0.2407745403</v>
      </c>
      <c r="H119" s="6">
        <v>9042.0</v>
      </c>
      <c r="I119" s="6">
        <v>4508.1112323999405</v>
      </c>
      <c r="J119" s="6">
        <v>18668.0</v>
      </c>
      <c r="K119" s="7">
        <f t="shared" si="4"/>
        <v>0.4843582601</v>
      </c>
      <c r="L119" s="7">
        <f t="shared" si="5"/>
        <v>0.4985745667</v>
      </c>
      <c r="M119" s="7">
        <f t="shared" si="6"/>
        <v>0.2414887097</v>
      </c>
      <c r="N119" s="7">
        <f t="shared" si="7"/>
        <v>1.002966133</v>
      </c>
      <c r="O119" s="8"/>
      <c r="P119" s="8"/>
      <c r="Q119" s="8"/>
      <c r="R119" s="8"/>
      <c r="S119" s="8"/>
      <c r="T119" s="8"/>
      <c r="U119" s="11"/>
      <c r="V119" s="11"/>
      <c r="W119" s="11"/>
      <c r="X119" s="8"/>
      <c r="Y119" s="8"/>
      <c r="Z119" s="8"/>
      <c r="AA119" s="11"/>
      <c r="AB119" s="11"/>
      <c r="AC119" s="11"/>
      <c r="AD119" s="11"/>
    </row>
    <row r="120" ht="15.75" customHeight="1">
      <c r="A120" s="6">
        <v>30202.0</v>
      </c>
      <c r="B120" s="6">
        <v>784.0</v>
      </c>
      <c r="C120" s="6">
        <v>351.2222316265106</v>
      </c>
      <c r="D120" s="6">
        <v>1594.0</v>
      </c>
      <c r="E120" s="7">
        <f t="shared" si="1"/>
        <v>0.4918444166</v>
      </c>
      <c r="F120" s="7">
        <f t="shared" si="2"/>
        <v>0.4479875403</v>
      </c>
      <c r="G120" s="7">
        <f t="shared" si="3"/>
        <v>0.2203401704</v>
      </c>
      <c r="H120" s="6">
        <v>2753.0</v>
      </c>
      <c r="I120" s="6">
        <v>1303.1111452281475</v>
      </c>
      <c r="J120" s="6">
        <v>5200.0</v>
      </c>
      <c r="K120" s="7">
        <f t="shared" si="4"/>
        <v>0.5294230769</v>
      </c>
      <c r="L120" s="7">
        <f t="shared" si="5"/>
        <v>0.4733422249</v>
      </c>
      <c r="M120" s="7">
        <f t="shared" si="6"/>
        <v>0.2505982972</v>
      </c>
      <c r="N120" s="7">
        <f t="shared" si="7"/>
        <v>1.137324604</v>
      </c>
      <c r="O120" s="8"/>
      <c r="P120" s="8"/>
      <c r="Q120" s="8"/>
      <c r="R120" s="8"/>
      <c r="S120" s="8"/>
      <c r="T120" s="8"/>
      <c r="U120" s="11"/>
      <c r="V120" s="11"/>
      <c r="W120" s="11"/>
      <c r="X120" s="8"/>
      <c r="Y120" s="8"/>
      <c r="Z120" s="8"/>
      <c r="AA120" s="11"/>
      <c r="AB120" s="11"/>
      <c r="AC120" s="11"/>
      <c r="AD120" s="11"/>
    </row>
    <row r="121" ht="15.75" customHeight="1">
      <c r="A121" s="6">
        <v>30203.0</v>
      </c>
      <c r="B121" s="6">
        <v>298.0</v>
      </c>
      <c r="C121" s="6">
        <v>139.3333374261856</v>
      </c>
      <c r="D121" s="6">
        <v>775.0</v>
      </c>
      <c r="E121" s="7">
        <f t="shared" si="1"/>
        <v>0.384516129</v>
      </c>
      <c r="F121" s="7">
        <f t="shared" si="2"/>
        <v>0.467561535</v>
      </c>
      <c r="G121" s="7">
        <f t="shared" si="3"/>
        <v>0.1797849515</v>
      </c>
      <c r="H121" s="6">
        <v>1898.0</v>
      </c>
      <c r="I121" s="6">
        <v>918.6666921675205</v>
      </c>
      <c r="J121" s="6">
        <v>4812.0</v>
      </c>
      <c r="K121" s="7">
        <f t="shared" si="4"/>
        <v>0.3944305902</v>
      </c>
      <c r="L121" s="7">
        <f t="shared" si="5"/>
        <v>0.4840182783</v>
      </c>
      <c r="M121" s="7">
        <f t="shared" si="6"/>
        <v>0.1909116152</v>
      </c>
      <c r="N121" s="7">
        <f t="shared" si="7"/>
        <v>1.061888737</v>
      </c>
      <c r="O121" s="8"/>
      <c r="P121" s="8"/>
      <c r="Q121" s="8"/>
      <c r="R121" s="8"/>
      <c r="S121" s="8"/>
      <c r="T121" s="8"/>
      <c r="U121" s="11"/>
      <c r="V121" s="11"/>
      <c r="W121" s="11"/>
      <c r="X121" s="8"/>
      <c r="Y121" s="8"/>
      <c r="Z121" s="8"/>
      <c r="AA121" s="11"/>
      <c r="AB121" s="11"/>
      <c r="AC121" s="11"/>
      <c r="AD121" s="11"/>
    </row>
    <row r="122" ht="15.75" customHeight="1">
      <c r="A122" s="6">
        <v>30301.0</v>
      </c>
      <c r="B122" s="6">
        <v>3282.0</v>
      </c>
      <c r="C122" s="6">
        <v>1633.5556005835533</v>
      </c>
      <c r="D122" s="6">
        <v>4292.0</v>
      </c>
      <c r="E122" s="7">
        <f t="shared" si="1"/>
        <v>0.7646784716</v>
      </c>
      <c r="F122" s="7">
        <f t="shared" si="2"/>
        <v>0.4977317491</v>
      </c>
      <c r="G122" s="7">
        <f t="shared" si="3"/>
        <v>0.3806047532</v>
      </c>
      <c r="H122" s="6">
        <v>12918.0</v>
      </c>
      <c r="I122" s="6">
        <v>6416.666837960482</v>
      </c>
      <c r="J122" s="6">
        <v>19100.0</v>
      </c>
      <c r="K122" s="7">
        <f t="shared" si="4"/>
        <v>0.6763350785</v>
      </c>
      <c r="L122" s="7">
        <f t="shared" si="5"/>
        <v>0.4967229322</v>
      </c>
      <c r="M122" s="7">
        <f t="shared" si="6"/>
        <v>0.3359511433</v>
      </c>
      <c r="N122" s="7">
        <f t="shared" si="7"/>
        <v>0.8826772145</v>
      </c>
      <c r="O122" s="8"/>
      <c r="P122" s="8"/>
      <c r="Q122" s="8"/>
      <c r="R122" s="8"/>
      <c r="S122" s="8"/>
      <c r="T122" s="8"/>
      <c r="U122" s="11"/>
      <c r="V122" s="11"/>
      <c r="W122" s="11"/>
      <c r="X122" s="8"/>
      <c r="Y122" s="8"/>
      <c r="Z122" s="8"/>
      <c r="AA122" s="11"/>
      <c r="AB122" s="11"/>
      <c r="AC122" s="11"/>
      <c r="AD122" s="11"/>
    </row>
    <row r="123" ht="15.75" customHeight="1">
      <c r="A123" s="6">
        <v>30302.0</v>
      </c>
      <c r="B123" s="6">
        <v>2018.0</v>
      </c>
      <c r="C123" s="6">
        <v>1019.5555823743343</v>
      </c>
      <c r="D123" s="6">
        <v>2788.0</v>
      </c>
      <c r="E123" s="7">
        <f t="shared" si="1"/>
        <v>0.7238163558</v>
      </c>
      <c r="F123" s="7">
        <f t="shared" si="2"/>
        <v>0.5052307148</v>
      </c>
      <c r="G123" s="7">
        <f t="shared" si="3"/>
        <v>0.3656942548</v>
      </c>
      <c r="H123" s="6">
        <v>7488.0</v>
      </c>
      <c r="I123" s="6">
        <v>3885.6667703688145</v>
      </c>
      <c r="J123" s="6">
        <v>9933.0</v>
      </c>
      <c r="K123" s="7">
        <f t="shared" si="4"/>
        <v>0.7538508004</v>
      </c>
      <c r="L123" s="7">
        <f t="shared" si="5"/>
        <v>0.5189191734</v>
      </c>
      <c r="M123" s="7">
        <f t="shared" si="6"/>
        <v>0.3911876342</v>
      </c>
      <c r="N123" s="7">
        <f t="shared" si="7"/>
        <v>1.069712278</v>
      </c>
      <c r="O123" s="8"/>
      <c r="P123" s="8"/>
      <c r="Q123" s="8"/>
      <c r="R123" s="8"/>
      <c r="S123" s="8"/>
      <c r="T123" s="8"/>
      <c r="U123" s="11"/>
      <c r="V123" s="11"/>
      <c r="W123" s="11"/>
      <c r="X123" s="8"/>
      <c r="Y123" s="8"/>
      <c r="Z123" s="8"/>
      <c r="AA123" s="11"/>
      <c r="AB123" s="11"/>
      <c r="AC123" s="11"/>
      <c r="AD123" s="11"/>
    </row>
    <row r="124" ht="15.75" customHeight="1">
      <c r="A124" s="6">
        <v>30303.0</v>
      </c>
      <c r="B124" s="6">
        <v>2040.0</v>
      </c>
      <c r="C124" s="6">
        <v>1022.6666942238808</v>
      </c>
      <c r="D124" s="6">
        <v>2509.0</v>
      </c>
      <c r="E124" s="7">
        <f t="shared" si="1"/>
        <v>0.8130729374</v>
      </c>
      <c r="F124" s="7">
        <f t="shared" si="2"/>
        <v>0.5013072031</v>
      </c>
      <c r="G124" s="7">
        <f t="shared" si="3"/>
        <v>0.4075993201</v>
      </c>
      <c r="H124" s="6">
        <v>12697.0</v>
      </c>
      <c r="I124" s="6">
        <v>6414.000173032284</v>
      </c>
      <c r="J124" s="6">
        <v>15047.0</v>
      </c>
      <c r="K124" s="7">
        <f t="shared" si="4"/>
        <v>0.8438226889</v>
      </c>
      <c r="L124" s="7">
        <f t="shared" si="5"/>
        <v>0.5051587125</v>
      </c>
      <c r="M124" s="7">
        <f t="shared" si="6"/>
        <v>0.4262643831</v>
      </c>
      <c r="N124" s="7">
        <f t="shared" si="7"/>
        <v>1.045792675</v>
      </c>
      <c r="O124" s="8"/>
      <c r="P124" s="8"/>
      <c r="Q124" s="8"/>
      <c r="R124" s="8"/>
      <c r="S124" s="8"/>
      <c r="T124" s="8"/>
      <c r="U124" s="11"/>
      <c r="V124" s="11"/>
      <c r="W124" s="11"/>
      <c r="X124" s="8"/>
      <c r="Y124" s="8"/>
      <c r="Z124" s="8"/>
      <c r="AA124" s="11"/>
      <c r="AB124" s="11"/>
      <c r="AC124" s="11"/>
      <c r="AD124" s="11"/>
    </row>
    <row r="125" ht="15.75" customHeight="1">
      <c r="A125" s="6">
        <v>30401.0</v>
      </c>
      <c r="B125" s="6">
        <v>553.0</v>
      </c>
      <c r="C125" s="6">
        <v>256.55556282401085</v>
      </c>
      <c r="D125" s="6">
        <v>1702.0</v>
      </c>
      <c r="E125" s="7">
        <f t="shared" si="1"/>
        <v>0.3249118684</v>
      </c>
      <c r="F125" s="7">
        <f t="shared" si="2"/>
        <v>0.46393411</v>
      </c>
      <c r="G125" s="7">
        <f t="shared" si="3"/>
        <v>0.1507376985</v>
      </c>
      <c r="H125" s="6">
        <v>2396.0</v>
      </c>
      <c r="I125" s="6">
        <v>1122.6666965782642</v>
      </c>
      <c r="J125" s="6">
        <v>6110.0</v>
      </c>
      <c r="K125" s="7">
        <f t="shared" si="4"/>
        <v>0.3921440262</v>
      </c>
      <c r="L125" s="7">
        <f t="shared" si="5"/>
        <v>0.4685587214</v>
      </c>
      <c r="M125" s="7">
        <f t="shared" si="6"/>
        <v>0.1837425035</v>
      </c>
      <c r="N125" s="7">
        <f t="shared" si="7"/>
        <v>1.218955214</v>
      </c>
      <c r="O125" s="8"/>
      <c r="P125" s="8"/>
      <c r="Q125" s="8"/>
      <c r="R125" s="8"/>
      <c r="S125" s="8"/>
      <c r="T125" s="8"/>
      <c r="U125" s="11"/>
      <c r="V125" s="11"/>
      <c r="W125" s="11"/>
      <c r="X125" s="8"/>
      <c r="Y125" s="8"/>
      <c r="Z125" s="8"/>
      <c r="AA125" s="11"/>
      <c r="AB125" s="11"/>
      <c r="AC125" s="11"/>
      <c r="AD125" s="11"/>
    </row>
    <row r="126" ht="15.75" customHeight="1">
      <c r="A126" s="6">
        <v>30402.0</v>
      </c>
      <c r="B126" s="6">
        <v>1221.0</v>
      </c>
      <c r="C126" s="6">
        <v>587.5555715560913</v>
      </c>
      <c r="D126" s="6">
        <v>1754.0</v>
      </c>
      <c r="E126" s="7">
        <f t="shared" si="1"/>
        <v>0.6961231471</v>
      </c>
      <c r="F126" s="7">
        <f t="shared" si="2"/>
        <v>0.4812084943</v>
      </c>
      <c r="G126" s="7">
        <f t="shared" si="3"/>
        <v>0.3349803715</v>
      </c>
      <c r="H126" s="6">
        <v>3820.0</v>
      </c>
      <c r="I126" s="6">
        <v>1881.8889407515526</v>
      </c>
      <c r="J126" s="6">
        <v>5407.0</v>
      </c>
      <c r="K126" s="7">
        <f t="shared" si="4"/>
        <v>0.706491585</v>
      </c>
      <c r="L126" s="7">
        <f t="shared" si="5"/>
        <v>0.492641084</v>
      </c>
      <c r="M126" s="7">
        <f t="shared" si="6"/>
        <v>0.3480467802</v>
      </c>
      <c r="N126" s="7">
        <f t="shared" si="7"/>
        <v>1.039006491</v>
      </c>
      <c r="O126" s="8"/>
      <c r="P126" s="8"/>
      <c r="Q126" s="8"/>
      <c r="R126" s="8"/>
      <c r="S126" s="8"/>
      <c r="T126" s="8"/>
      <c r="U126" s="11"/>
      <c r="V126" s="11"/>
      <c r="W126" s="11"/>
      <c r="X126" s="8"/>
      <c r="Y126" s="8"/>
      <c r="Z126" s="8"/>
      <c r="AA126" s="11"/>
      <c r="AB126" s="11"/>
      <c r="AC126" s="11"/>
      <c r="AD126" s="11"/>
    </row>
    <row r="127" ht="15.75" customHeight="1">
      <c r="A127" s="6">
        <v>30403.0</v>
      </c>
      <c r="B127" s="6">
        <v>645.0</v>
      </c>
      <c r="C127" s="6">
        <v>275.11111813783646</v>
      </c>
      <c r="D127" s="6">
        <v>3220.0</v>
      </c>
      <c r="E127" s="7">
        <f t="shared" si="1"/>
        <v>0.200310559</v>
      </c>
      <c r="F127" s="7">
        <f t="shared" si="2"/>
        <v>0.4265288653</v>
      </c>
      <c r="G127" s="7">
        <f t="shared" si="3"/>
        <v>0.08543823545</v>
      </c>
      <c r="H127" s="6">
        <v>6172.0</v>
      </c>
      <c r="I127" s="6">
        <v>2749.333405047655</v>
      </c>
      <c r="J127" s="6">
        <v>13923.0</v>
      </c>
      <c r="K127" s="7">
        <f t="shared" si="4"/>
        <v>0.4432952668</v>
      </c>
      <c r="L127" s="7">
        <f t="shared" si="5"/>
        <v>0.4454525932</v>
      </c>
      <c r="M127" s="7">
        <f t="shared" si="6"/>
        <v>0.1974670261</v>
      </c>
      <c r="N127" s="7">
        <f t="shared" si="7"/>
        <v>2.311225473</v>
      </c>
      <c r="O127" s="8"/>
      <c r="P127" s="8"/>
      <c r="Q127" s="8"/>
      <c r="R127" s="8"/>
      <c r="S127" s="8"/>
      <c r="T127" s="8"/>
      <c r="U127" s="11"/>
      <c r="V127" s="11"/>
      <c r="W127" s="11"/>
      <c r="X127" s="8"/>
      <c r="Y127" s="8"/>
      <c r="Z127" s="8"/>
      <c r="AA127" s="11"/>
      <c r="AB127" s="11"/>
      <c r="AC127" s="11"/>
      <c r="AD127" s="11"/>
    </row>
    <row r="128" ht="15.75" customHeight="1">
      <c r="A128" s="6">
        <v>30404.0</v>
      </c>
      <c r="B128" s="6">
        <v>682.0</v>
      </c>
      <c r="C128" s="6">
        <v>317.33334186673164</v>
      </c>
      <c r="D128" s="6">
        <v>1023.0</v>
      </c>
      <c r="E128" s="7">
        <f t="shared" si="1"/>
        <v>0.6666666667</v>
      </c>
      <c r="F128" s="7">
        <f t="shared" si="2"/>
        <v>0.4652981552</v>
      </c>
      <c r="G128" s="7">
        <f t="shared" si="3"/>
        <v>0.3101987702</v>
      </c>
      <c r="H128" s="6">
        <v>2022.0</v>
      </c>
      <c r="I128" s="6">
        <v>948.555579572916</v>
      </c>
      <c r="J128" s="6">
        <v>3300.0</v>
      </c>
      <c r="K128" s="7">
        <f t="shared" si="4"/>
        <v>0.6127272727</v>
      </c>
      <c r="L128" s="7">
        <f t="shared" si="5"/>
        <v>0.4691174973</v>
      </c>
      <c r="M128" s="7">
        <f t="shared" si="6"/>
        <v>0.2874410847</v>
      </c>
      <c r="N128" s="7">
        <f t="shared" si="7"/>
        <v>0.9266351526</v>
      </c>
      <c r="O128" s="8"/>
      <c r="P128" s="8"/>
      <c r="Q128" s="8"/>
      <c r="R128" s="8"/>
      <c r="S128" s="8"/>
      <c r="T128" s="8"/>
      <c r="U128" s="11"/>
      <c r="V128" s="11"/>
      <c r="W128" s="11"/>
      <c r="X128" s="8"/>
      <c r="Y128" s="8"/>
      <c r="Z128" s="8"/>
      <c r="AA128" s="11"/>
      <c r="AB128" s="11"/>
      <c r="AC128" s="11"/>
      <c r="AD128" s="11"/>
    </row>
    <row r="129" ht="15.75" customHeight="1">
      <c r="A129" s="6">
        <v>30501.0</v>
      </c>
      <c r="B129" s="6">
        <v>619.0</v>
      </c>
      <c r="C129" s="6">
        <v>255.11111801862717</v>
      </c>
      <c r="D129" s="6">
        <v>2358.0</v>
      </c>
      <c r="E129" s="7">
        <f t="shared" si="1"/>
        <v>0.2625106022</v>
      </c>
      <c r="F129" s="7">
        <f t="shared" si="2"/>
        <v>0.4121342779</v>
      </c>
      <c r="G129" s="7">
        <f t="shared" si="3"/>
        <v>0.1081896175</v>
      </c>
      <c r="H129" s="6">
        <v>2015.0</v>
      </c>
      <c r="I129" s="6">
        <v>893.3333567678928</v>
      </c>
      <c r="J129" s="6">
        <v>7046.0</v>
      </c>
      <c r="K129" s="7">
        <f t="shared" si="4"/>
        <v>0.2859778598</v>
      </c>
      <c r="L129" s="7">
        <f t="shared" si="5"/>
        <v>0.4433416163</v>
      </c>
      <c r="M129" s="7">
        <f t="shared" si="6"/>
        <v>0.1267858866</v>
      </c>
      <c r="N129" s="7">
        <f t="shared" si="7"/>
        <v>1.171885894</v>
      </c>
      <c r="O129" s="8"/>
      <c r="P129" s="8"/>
      <c r="Q129" s="8"/>
      <c r="R129" s="8"/>
      <c r="S129" s="8"/>
      <c r="T129" s="8"/>
      <c r="U129" s="11"/>
      <c r="V129" s="11"/>
      <c r="W129" s="11"/>
      <c r="X129" s="8"/>
      <c r="Y129" s="8"/>
      <c r="Z129" s="8"/>
      <c r="AA129" s="11"/>
      <c r="AB129" s="11"/>
      <c r="AC129" s="11"/>
      <c r="AD129" s="11"/>
    </row>
    <row r="130" ht="15.75" customHeight="1">
      <c r="A130" s="6">
        <v>30502.0</v>
      </c>
      <c r="B130" s="6">
        <v>1205.0</v>
      </c>
      <c r="C130" s="6">
        <v>511.33334654569626</v>
      </c>
      <c r="D130" s="6">
        <v>2130.0</v>
      </c>
      <c r="E130" s="7">
        <f t="shared" si="1"/>
        <v>0.5657276995</v>
      </c>
      <c r="F130" s="7">
        <f t="shared" si="2"/>
        <v>0.4243430262</v>
      </c>
      <c r="G130" s="7">
        <f t="shared" si="3"/>
        <v>0.240062604</v>
      </c>
      <c r="H130" s="6">
        <v>3536.0</v>
      </c>
      <c r="I130" s="6">
        <v>1597.2222639918327</v>
      </c>
      <c r="J130" s="6">
        <v>6777.0</v>
      </c>
      <c r="K130" s="7">
        <f t="shared" si="4"/>
        <v>0.5217647927</v>
      </c>
      <c r="L130" s="7">
        <f t="shared" si="5"/>
        <v>0.451703129</v>
      </c>
      <c r="M130" s="7">
        <f t="shared" si="6"/>
        <v>0.2356827894</v>
      </c>
      <c r="N130" s="7">
        <f t="shared" si="7"/>
        <v>0.9817555317</v>
      </c>
      <c r="O130" s="8"/>
      <c r="P130" s="8"/>
      <c r="Q130" s="8"/>
      <c r="R130" s="8"/>
      <c r="S130" s="8"/>
      <c r="T130" s="8"/>
      <c r="U130" s="11"/>
      <c r="V130" s="11"/>
      <c r="W130" s="11"/>
      <c r="X130" s="8"/>
      <c r="Y130" s="8"/>
      <c r="Z130" s="8"/>
      <c r="AA130" s="11"/>
      <c r="AB130" s="11"/>
      <c r="AC130" s="11"/>
      <c r="AD130" s="11"/>
    </row>
    <row r="131" ht="15.75" customHeight="1">
      <c r="A131" s="6">
        <v>30601.0</v>
      </c>
      <c r="B131" s="6">
        <v>1322.0</v>
      </c>
      <c r="C131" s="6">
        <v>657.1111296713352</v>
      </c>
      <c r="D131" s="6">
        <v>1552.0</v>
      </c>
      <c r="E131" s="7">
        <f t="shared" si="1"/>
        <v>0.8518041237</v>
      </c>
      <c r="F131" s="7">
        <f t="shared" si="2"/>
        <v>0.4970583432</v>
      </c>
      <c r="G131" s="7">
        <f t="shared" si="3"/>
        <v>0.4233963464</v>
      </c>
      <c r="H131" s="6">
        <v>7142.0</v>
      </c>
      <c r="I131" s="6">
        <v>3689.2223223745823</v>
      </c>
      <c r="J131" s="6">
        <v>8934.0</v>
      </c>
      <c r="K131" s="7">
        <f t="shared" si="4"/>
        <v>0.7994179539</v>
      </c>
      <c r="L131" s="7">
        <f t="shared" si="5"/>
        <v>0.5165531115</v>
      </c>
      <c r="M131" s="7">
        <f t="shared" si="6"/>
        <v>0.4129418315</v>
      </c>
      <c r="N131" s="7">
        <f t="shared" si="7"/>
        <v>0.9753079708</v>
      </c>
      <c r="O131" s="8"/>
      <c r="P131" s="8"/>
      <c r="Q131" s="8"/>
      <c r="R131" s="8"/>
      <c r="S131" s="8"/>
      <c r="T131" s="8"/>
      <c r="U131" s="11"/>
      <c r="V131" s="11"/>
      <c r="W131" s="11"/>
      <c r="X131" s="8"/>
      <c r="Y131" s="8"/>
      <c r="Z131" s="8"/>
      <c r="AA131" s="11"/>
      <c r="AB131" s="11"/>
      <c r="AC131" s="11"/>
      <c r="AD131" s="11"/>
    </row>
    <row r="132" ht="15.75" customHeight="1">
      <c r="A132" s="6">
        <v>30602.0</v>
      </c>
      <c r="B132" s="6">
        <v>1665.0</v>
      </c>
      <c r="C132" s="6">
        <v>743.3333520293236</v>
      </c>
      <c r="D132" s="6">
        <v>2331.0</v>
      </c>
      <c r="E132" s="7">
        <f t="shared" si="1"/>
        <v>0.7142857143</v>
      </c>
      <c r="F132" s="7">
        <f t="shared" si="2"/>
        <v>0.4464464577</v>
      </c>
      <c r="G132" s="7">
        <f t="shared" si="3"/>
        <v>0.3188903269</v>
      </c>
      <c r="H132" s="6">
        <v>5440.0</v>
      </c>
      <c r="I132" s="6">
        <v>2430.222284734249</v>
      </c>
      <c r="J132" s="6">
        <v>7780.0</v>
      </c>
      <c r="K132" s="7">
        <f t="shared" si="4"/>
        <v>0.6992287918</v>
      </c>
      <c r="L132" s="7">
        <f t="shared" si="5"/>
        <v>0.4467320376</v>
      </c>
      <c r="M132" s="7">
        <f t="shared" si="6"/>
        <v>0.3123679029</v>
      </c>
      <c r="N132" s="7">
        <f t="shared" si="7"/>
        <v>0.9795464978</v>
      </c>
      <c r="O132" s="8"/>
      <c r="P132" s="8"/>
      <c r="Q132" s="8"/>
      <c r="R132" s="8"/>
      <c r="S132" s="8"/>
      <c r="T132" s="8"/>
      <c r="U132" s="11"/>
      <c r="V132" s="11"/>
      <c r="W132" s="11"/>
      <c r="X132" s="8"/>
      <c r="Y132" s="8"/>
      <c r="Z132" s="8"/>
      <c r="AA132" s="11"/>
      <c r="AB132" s="11"/>
      <c r="AC132" s="11"/>
      <c r="AD132" s="11"/>
    </row>
    <row r="133" ht="15.75" customHeight="1">
      <c r="A133" s="6">
        <v>30701.0</v>
      </c>
      <c r="B133" s="6">
        <v>1302.0</v>
      </c>
      <c r="C133" s="6">
        <v>598.7777928411961</v>
      </c>
      <c r="D133" s="6">
        <v>3470.0</v>
      </c>
      <c r="E133" s="7">
        <f t="shared" si="1"/>
        <v>0.3752161383</v>
      </c>
      <c r="F133" s="7">
        <f t="shared" si="2"/>
        <v>0.4598907779</v>
      </c>
      <c r="G133" s="7">
        <f t="shared" si="3"/>
        <v>0.1725584417</v>
      </c>
      <c r="H133" s="6">
        <v>5289.0</v>
      </c>
      <c r="I133" s="6">
        <v>2391.444504827261</v>
      </c>
      <c r="J133" s="6">
        <v>15711.0</v>
      </c>
      <c r="K133" s="7">
        <f t="shared" si="4"/>
        <v>0.3366431163</v>
      </c>
      <c r="L133" s="7">
        <f t="shared" si="5"/>
        <v>0.4521543779</v>
      </c>
      <c r="M133" s="7">
        <f t="shared" si="6"/>
        <v>0.1522146588</v>
      </c>
      <c r="N133" s="7">
        <f t="shared" si="7"/>
        <v>0.8821049686</v>
      </c>
      <c r="O133" s="8"/>
      <c r="P133" s="8"/>
      <c r="Q133" s="8"/>
      <c r="R133" s="8"/>
      <c r="S133" s="8"/>
      <c r="T133" s="8"/>
      <c r="U133" s="11"/>
      <c r="V133" s="11"/>
      <c r="W133" s="11"/>
      <c r="X133" s="8"/>
      <c r="Y133" s="8"/>
      <c r="Z133" s="8"/>
      <c r="AA133" s="11"/>
      <c r="AB133" s="11"/>
      <c r="AC133" s="11"/>
      <c r="AD133" s="11"/>
    </row>
    <row r="134" ht="15.75" customHeight="1">
      <c r="A134" s="6">
        <v>30702.0</v>
      </c>
      <c r="B134" s="6">
        <v>601.0</v>
      </c>
      <c r="C134" s="6">
        <v>253.0000069141388</v>
      </c>
      <c r="D134" s="6">
        <v>1762.0</v>
      </c>
      <c r="E134" s="7">
        <f t="shared" si="1"/>
        <v>0.3410896708</v>
      </c>
      <c r="F134" s="7">
        <f t="shared" si="2"/>
        <v>0.4209650697</v>
      </c>
      <c r="G134" s="7">
        <f t="shared" si="3"/>
        <v>0.1435868371</v>
      </c>
      <c r="H134" s="6">
        <v>1509.0</v>
      </c>
      <c r="I134" s="6">
        <v>673.8889055550098</v>
      </c>
      <c r="J134" s="6">
        <v>4606.0</v>
      </c>
      <c r="K134" s="7">
        <f t="shared" si="4"/>
        <v>0.3276161528</v>
      </c>
      <c r="L134" s="7">
        <f t="shared" si="5"/>
        <v>0.4465797916</v>
      </c>
      <c r="M134" s="7">
        <f t="shared" si="6"/>
        <v>0.1463067533</v>
      </c>
      <c r="N134" s="7">
        <f t="shared" si="7"/>
        <v>1.018942657</v>
      </c>
      <c r="O134" s="8"/>
      <c r="P134" s="8"/>
      <c r="Q134" s="8"/>
      <c r="R134" s="8"/>
      <c r="S134" s="8"/>
      <c r="T134" s="8"/>
      <c r="U134" s="11"/>
      <c r="V134" s="11"/>
      <c r="W134" s="11"/>
      <c r="X134" s="8"/>
      <c r="Y134" s="8"/>
      <c r="Z134" s="8"/>
      <c r="AA134" s="11"/>
      <c r="AB134" s="11"/>
      <c r="AC134" s="11"/>
      <c r="AD134" s="11"/>
    </row>
    <row r="135" ht="15.75" customHeight="1">
      <c r="A135" s="6">
        <v>30703.0</v>
      </c>
      <c r="B135" s="6">
        <v>456.0</v>
      </c>
      <c r="C135" s="6">
        <v>213.00000602006912</v>
      </c>
      <c r="D135" s="6">
        <v>766.0</v>
      </c>
      <c r="E135" s="7">
        <f t="shared" si="1"/>
        <v>0.5953002611</v>
      </c>
      <c r="F135" s="7">
        <f t="shared" si="2"/>
        <v>0.4671052764</v>
      </c>
      <c r="G135" s="7">
        <f t="shared" si="3"/>
        <v>0.278067893</v>
      </c>
      <c r="H135" s="6">
        <v>1680.0</v>
      </c>
      <c r="I135" s="6">
        <v>797.2222439348698</v>
      </c>
      <c r="J135" s="6">
        <v>2951.0</v>
      </c>
      <c r="K135" s="7">
        <f t="shared" si="4"/>
        <v>0.5692985429</v>
      </c>
      <c r="L135" s="7">
        <f t="shared" si="5"/>
        <v>0.47453705</v>
      </c>
      <c r="M135" s="7">
        <f t="shared" si="6"/>
        <v>0.2701532511</v>
      </c>
      <c r="N135" s="7">
        <f t="shared" si="7"/>
        <v>0.9715370163</v>
      </c>
      <c r="O135" s="8"/>
      <c r="P135" s="8"/>
      <c r="Q135" s="8"/>
      <c r="R135" s="8"/>
      <c r="S135" s="8"/>
      <c r="T135" s="8"/>
      <c r="U135" s="11"/>
      <c r="V135" s="11"/>
      <c r="W135" s="11"/>
      <c r="X135" s="8"/>
      <c r="Y135" s="8"/>
      <c r="Z135" s="8"/>
      <c r="AA135" s="11"/>
      <c r="AB135" s="11"/>
      <c r="AC135" s="11"/>
      <c r="AD135" s="11"/>
    </row>
    <row r="136" ht="15.75" customHeight="1">
      <c r="A136" s="6">
        <v>30801.0</v>
      </c>
      <c r="B136" s="6">
        <v>754.0</v>
      </c>
      <c r="C136" s="6">
        <v>277.44445154070854</v>
      </c>
      <c r="D136" s="6">
        <v>5415.0</v>
      </c>
      <c r="E136" s="7">
        <f t="shared" si="1"/>
        <v>0.139242844</v>
      </c>
      <c r="F136" s="7">
        <f t="shared" si="2"/>
        <v>0.3679634636</v>
      </c>
      <c r="G136" s="7">
        <f t="shared" si="3"/>
        <v>0.05123627914</v>
      </c>
      <c r="H136" s="6">
        <v>2607.0</v>
      </c>
      <c r="I136" s="6">
        <v>1003.4444699883461</v>
      </c>
      <c r="J136" s="6">
        <v>16353.0</v>
      </c>
      <c r="K136" s="7">
        <f t="shared" si="4"/>
        <v>0.1594202899</v>
      </c>
      <c r="L136" s="7">
        <f t="shared" si="5"/>
        <v>0.384903901</v>
      </c>
      <c r="M136" s="7">
        <f t="shared" si="6"/>
        <v>0.06136149147</v>
      </c>
      <c r="N136" s="7">
        <f t="shared" si="7"/>
        <v>1.197618026</v>
      </c>
      <c r="O136" s="8"/>
      <c r="P136" s="8"/>
      <c r="Q136" s="8"/>
      <c r="R136" s="8"/>
      <c r="S136" s="8"/>
      <c r="T136" s="8"/>
      <c r="U136" s="11"/>
      <c r="V136" s="11"/>
      <c r="W136" s="11"/>
      <c r="X136" s="8"/>
      <c r="Y136" s="8"/>
      <c r="Z136" s="8"/>
      <c r="AA136" s="11"/>
      <c r="AB136" s="11"/>
      <c r="AC136" s="11"/>
      <c r="AD136" s="11"/>
    </row>
    <row r="137" ht="15.75" customHeight="1">
      <c r="A137" s="6">
        <v>30802.0</v>
      </c>
      <c r="B137" s="6">
        <v>590.0</v>
      </c>
      <c r="C137" s="6">
        <v>235.11111697554588</v>
      </c>
      <c r="D137" s="6">
        <v>2118.0</v>
      </c>
      <c r="E137" s="7">
        <f t="shared" si="1"/>
        <v>0.2785646837</v>
      </c>
      <c r="F137" s="7">
        <f t="shared" si="2"/>
        <v>0.3984934186</v>
      </c>
      <c r="G137" s="7">
        <f t="shared" si="3"/>
        <v>0.1110061931</v>
      </c>
      <c r="H137" s="6">
        <v>1397.0</v>
      </c>
      <c r="I137" s="6">
        <v>587.6666814088821</v>
      </c>
      <c r="J137" s="6">
        <v>4916.0</v>
      </c>
      <c r="K137" s="7">
        <f t="shared" si="4"/>
        <v>0.2841741253</v>
      </c>
      <c r="L137" s="7">
        <f t="shared" si="5"/>
        <v>0.4206633367</v>
      </c>
      <c r="M137" s="7">
        <f t="shared" si="6"/>
        <v>0.1195416358</v>
      </c>
      <c r="N137" s="7">
        <f t="shared" si="7"/>
        <v>1.07689159</v>
      </c>
      <c r="O137" s="8"/>
      <c r="P137" s="8"/>
      <c r="Q137" s="8"/>
      <c r="R137" s="8"/>
      <c r="S137" s="8"/>
      <c r="T137" s="8"/>
      <c r="U137" s="11"/>
      <c r="V137" s="11"/>
      <c r="W137" s="11"/>
      <c r="X137" s="8"/>
      <c r="Y137" s="8"/>
      <c r="Z137" s="8"/>
      <c r="AA137" s="11"/>
      <c r="AB137" s="11"/>
      <c r="AC137" s="11"/>
      <c r="AD137" s="11"/>
    </row>
    <row r="138" ht="15.75" customHeight="1">
      <c r="A138" s="6">
        <v>30803.0</v>
      </c>
      <c r="B138" s="6">
        <v>203.0</v>
      </c>
      <c r="C138" s="6">
        <v>73.22222429513931</v>
      </c>
      <c r="D138" s="6">
        <v>1135.0</v>
      </c>
      <c r="E138" s="7">
        <f t="shared" si="1"/>
        <v>0.1788546256</v>
      </c>
      <c r="F138" s="7">
        <f t="shared" si="2"/>
        <v>0.3607006123</v>
      </c>
      <c r="G138" s="7">
        <f t="shared" si="3"/>
        <v>0.06451297295</v>
      </c>
      <c r="H138" s="6">
        <v>1024.0</v>
      </c>
      <c r="I138" s="6">
        <v>407.4444542825222</v>
      </c>
      <c r="J138" s="6">
        <v>3995.0</v>
      </c>
      <c r="K138" s="7">
        <f t="shared" si="4"/>
        <v>0.2563204005</v>
      </c>
      <c r="L138" s="7">
        <f t="shared" si="5"/>
        <v>0.3978949749</v>
      </c>
      <c r="M138" s="7">
        <f t="shared" si="6"/>
        <v>0.1019885993</v>
      </c>
      <c r="N138" s="7">
        <f t="shared" si="7"/>
        <v>1.580900626</v>
      </c>
      <c r="O138" s="8"/>
      <c r="P138" s="8"/>
      <c r="Q138" s="8"/>
      <c r="R138" s="8"/>
      <c r="S138" s="8"/>
      <c r="T138" s="8"/>
      <c r="U138" s="11"/>
      <c r="V138" s="11"/>
      <c r="W138" s="11"/>
      <c r="X138" s="8"/>
      <c r="Y138" s="8"/>
      <c r="Z138" s="8"/>
      <c r="AA138" s="11"/>
      <c r="AB138" s="11"/>
      <c r="AC138" s="11"/>
      <c r="AD138" s="11"/>
    </row>
    <row r="139" ht="15.75" customHeight="1">
      <c r="A139" s="6">
        <v>30901.0</v>
      </c>
      <c r="B139" s="6">
        <v>2787.0</v>
      </c>
      <c r="C139" s="6">
        <v>1088.6666946411133</v>
      </c>
      <c r="D139" s="6">
        <v>22918.0</v>
      </c>
      <c r="E139" s="7">
        <f t="shared" si="1"/>
        <v>0.1216074701</v>
      </c>
      <c r="F139" s="7">
        <f t="shared" si="2"/>
        <v>0.3906231412</v>
      </c>
      <c r="G139" s="7">
        <f t="shared" si="3"/>
        <v>0.04750269197</v>
      </c>
      <c r="H139" s="6">
        <v>18902.0</v>
      </c>
      <c r="I139" s="6">
        <v>7556.444639116526</v>
      </c>
      <c r="J139" s="6">
        <v>111941.0</v>
      </c>
      <c r="K139" s="7">
        <f t="shared" si="4"/>
        <v>0.1688568085</v>
      </c>
      <c r="L139" s="7">
        <f t="shared" si="5"/>
        <v>0.399769582</v>
      </c>
      <c r="M139" s="7">
        <f t="shared" si="6"/>
        <v>0.06750381575</v>
      </c>
      <c r="N139" s="7">
        <f t="shared" si="7"/>
        <v>1.421052428</v>
      </c>
      <c r="O139" s="8"/>
      <c r="P139" s="8"/>
      <c r="Q139" s="8"/>
      <c r="R139" s="8"/>
      <c r="S139" s="8"/>
      <c r="T139" s="8"/>
      <c r="U139" s="11"/>
      <c r="V139" s="11"/>
      <c r="W139" s="11"/>
      <c r="X139" s="8"/>
      <c r="Y139" s="8"/>
      <c r="Z139" s="8"/>
      <c r="AA139" s="11"/>
      <c r="AB139" s="11"/>
      <c r="AC139" s="11"/>
      <c r="AD139" s="11"/>
    </row>
    <row r="140" ht="15.75" customHeight="1">
      <c r="A140" s="6">
        <v>30902.0</v>
      </c>
      <c r="B140" s="6">
        <v>1727.0</v>
      </c>
      <c r="C140" s="6">
        <v>780.1111315190792</v>
      </c>
      <c r="D140" s="6">
        <v>6479.0</v>
      </c>
      <c r="E140" s="7">
        <f t="shared" si="1"/>
        <v>0.2665534805</v>
      </c>
      <c r="F140" s="7">
        <f t="shared" si="2"/>
        <v>0.45171461</v>
      </c>
      <c r="G140" s="7">
        <f t="shared" si="3"/>
        <v>0.1204061015</v>
      </c>
      <c r="H140" s="6">
        <v>9338.0</v>
      </c>
      <c r="I140" s="6">
        <v>4181.6667748093605</v>
      </c>
      <c r="J140" s="6">
        <v>34450.0</v>
      </c>
      <c r="K140" s="7">
        <f t="shared" si="4"/>
        <v>0.2710595065</v>
      </c>
      <c r="L140" s="7">
        <f t="shared" si="5"/>
        <v>0.44781182</v>
      </c>
      <c r="M140" s="7">
        <f t="shared" si="6"/>
        <v>0.1213836509</v>
      </c>
      <c r="N140" s="7">
        <f t="shared" si="7"/>
        <v>1.00811877</v>
      </c>
      <c r="O140" s="8"/>
      <c r="P140" s="8"/>
      <c r="Q140" s="8"/>
      <c r="R140" s="8"/>
      <c r="S140" s="8"/>
      <c r="T140" s="8"/>
      <c r="U140" s="11"/>
      <c r="V140" s="11"/>
      <c r="W140" s="11"/>
      <c r="X140" s="8"/>
      <c r="Y140" s="8"/>
      <c r="Z140" s="8"/>
      <c r="AA140" s="11"/>
      <c r="AB140" s="11"/>
      <c r="AC140" s="11"/>
      <c r="AD140" s="11"/>
    </row>
    <row r="141" ht="15.75" customHeight="1">
      <c r="A141" s="6">
        <v>30903.0</v>
      </c>
      <c r="B141" s="6">
        <v>1716.0</v>
      </c>
      <c r="C141" s="6">
        <v>690.8889071047306</v>
      </c>
      <c r="D141" s="6">
        <v>7699.0</v>
      </c>
      <c r="E141" s="7">
        <f t="shared" si="1"/>
        <v>0.2228860891</v>
      </c>
      <c r="F141" s="7">
        <f t="shared" si="2"/>
        <v>0.4026159132</v>
      </c>
      <c r="G141" s="7">
        <f t="shared" si="3"/>
        <v>0.08973748631</v>
      </c>
      <c r="H141" s="6">
        <v>11192.0</v>
      </c>
      <c r="I141" s="6">
        <v>4572.333451032639</v>
      </c>
      <c r="J141" s="6">
        <v>45121.0</v>
      </c>
      <c r="K141" s="7">
        <f t="shared" si="4"/>
        <v>0.248044148</v>
      </c>
      <c r="L141" s="7">
        <f t="shared" si="5"/>
        <v>0.4085358695</v>
      </c>
      <c r="M141" s="7">
        <f t="shared" si="6"/>
        <v>0.1013349317</v>
      </c>
      <c r="N141" s="7">
        <f t="shared" si="7"/>
        <v>1.129237466</v>
      </c>
      <c r="O141" s="8"/>
      <c r="P141" s="8"/>
      <c r="Q141" s="8"/>
      <c r="R141" s="8"/>
      <c r="S141" s="8"/>
      <c r="T141" s="8"/>
      <c r="U141" s="11"/>
      <c r="V141" s="11"/>
      <c r="W141" s="11"/>
      <c r="X141" s="8"/>
      <c r="Y141" s="8"/>
      <c r="Z141" s="8"/>
      <c r="AA141" s="11"/>
      <c r="AB141" s="11"/>
      <c r="AC141" s="11"/>
      <c r="AD141" s="11"/>
    </row>
    <row r="142" ht="15.75" customHeight="1">
      <c r="A142" s="6">
        <v>30904.0</v>
      </c>
      <c r="B142" s="6">
        <v>1738.0</v>
      </c>
      <c r="C142" s="6">
        <v>693.4444623589516</v>
      </c>
      <c r="D142" s="6">
        <v>7271.0</v>
      </c>
      <c r="E142" s="7">
        <f t="shared" si="1"/>
        <v>0.23903177</v>
      </c>
      <c r="F142" s="7">
        <f t="shared" si="2"/>
        <v>0.3989899093</v>
      </c>
      <c r="G142" s="7">
        <f t="shared" si="3"/>
        <v>0.09537126425</v>
      </c>
      <c r="H142" s="6">
        <v>12024.0</v>
      </c>
      <c r="I142" s="6">
        <v>4919.222346395254</v>
      </c>
      <c r="J142" s="6">
        <v>44133.0</v>
      </c>
      <c r="K142" s="7">
        <f t="shared" si="4"/>
        <v>0.2724491877</v>
      </c>
      <c r="L142" s="7">
        <f t="shared" si="5"/>
        <v>0.4091169616</v>
      </c>
      <c r="M142" s="7">
        <f t="shared" si="6"/>
        <v>0.1114635839</v>
      </c>
      <c r="N142" s="7">
        <f t="shared" si="7"/>
        <v>1.16873342</v>
      </c>
      <c r="O142" s="8"/>
      <c r="P142" s="8"/>
      <c r="Q142" s="8"/>
      <c r="R142" s="8"/>
      <c r="S142" s="8"/>
      <c r="T142" s="8"/>
      <c r="U142" s="11"/>
      <c r="V142" s="11"/>
      <c r="W142" s="11"/>
      <c r="X142" s="8"/>
      <c r="Y142" s="8"/>
      <c r="Z142" s="8"/>
      <c r="AA142" s="11"/>
      <c r="AB142" s="11"/>
      <c r="AC142" s="11"/>
      <c r="AD142" s="11"/>
    </row>
    <row r="143" ht="15.75" customHeight="1">
      <c r="A143" s="6">
        <v>30905.0</v>
      </c>
      <c r="B143" s="6">
        <v>668.0</v>
      </c>
      <c r="C143" s="6">
        <v>249.77778354287148</v>
      </c>
      <c r="D143" s="6">
        <v>8937.0</v>
      </c>
      <c r="E143" s="7">
        <f t="shared" si="1"/>
        <v>0.0747454403</v>
      </c>
      <c r="F143" s="7">
        <f t="shared" si="2"/>
        <v>0.3739188376</v>
      </c>
      <c r="G143" s="7">
        <f t="shared" si="3"/>
        <v>0.02794872816</v>
      </c>
      <c r="H143" s="6">
        <v>4710.0</v>
      </c>
      <c r="I143" s="6">
        <v>1752.4444880485535</v>
      </c>
      <c r="J143" s="6">
        <v>42382.0</v>
      </c>
      <c r="K143" s="7">
        <f t="shared" si="4"/>
        <v>0.1111320844</v>
      </c>
      <c r="L143" s="7">
        <f t="shared" si="5"/>
        <v>0.3720688934</v>
      </c>
      <c r="M143" s="7">
        <f t="shared" si="6"/>
        <v>0.04134879166</v>
      </c>
      <c r="N143" s="7">
        <f t="shared" si="7"/>
        <v>1.479451638</v>
      </c>
      <c r="O143" s="8"/>
      <c r="P143" s="8"/>
      <c r="Q143" s="8"/>
      <c r="R143" s="8"/>
      <c r="S143" s="8"/>
      <c r="T143" s="8"/>
      <c r="U143" s="11"/>
      <c r="V143" s="11"/>
      <c r="W143" s="11"/>
      <c r="X143" s="8"/>
      <c r="Y143" s="8"/>
      <c r="Z143" s="8"/>
      <c r="AA143" s="11"/>
      <c r="AB143" s="11"/>
      <c r="AC143" s="11"/>
      <c r="AD143" s="11"/>
    </row>
    <row r="144" ht="15.75" customHeight="1">
      <c r="A144" s="6">
        <v>31001.0</v>
      </c>
      <c r="B144" s="6">
        <v>5061.0</v>
      </c>
      <c r="C144" s="6">
        <v>2024.6667174994946</v>
      </c>
      <c r="D144" s="6">
        <v>25368.0</v>
      </c>
      <c r="E144" s="7">
        <f t="shared" si="1"/>
        <v>0.1995033113</v>
      </c>
      <c r="F144" s="7">
        <f t="shared" si="2"/>
        <v>0.4000527006</v>
      </c>
      <c r="G144" s="7">
        <f t="shared" si="3"/>
        <v>0.07981183844</v>
      </c>
      <c r="H144" s="6">
        <v>34661.0</v>
      </c>
      <c r="I144" s="6">
        <v>14192.555918067694</v>
      </c>
      <c r="J144" s="6">
        <v>144368.0</v>
      </c>
      <c r="K144" s="7">
        <f t="shared" si="4"/>
        <v>0.2400878311</v>
      </c>
      <c r="L144" s="7">
        <f t="shared" si="5"/>
        <v>0.4094675837</v>
      </c>
      <c r="M144" s="7">
        <f t="shared" si="6"/>
        <v>0.09830818407</v>
      </c>
      <c r="N144" s="7">
        <f t="shared" si="7"/>
        <v>1.2317494</v>
      </c>
      <c r="O144" s="8"/>
      <c r="P144" s="8"/>
      <c r="Q144" s="8"/>
      <c r="R144" s="8"/>
      <c r="S144" s="8"/>
      <c r="T144" s="8"/>
      <c r="U144" s="11"/>
      <c r="V144" s="11"/>
      <c r="W144" s="11"/>
      <c r="X144" s="8"/>
      <c r="Y144" s="8"/>
      <c r="Z144" s="8"/>
      <c r="AA144" s="11"/>
      <c r="AB144" s="11"/>
      <c r="AC144" s="11"/>
      <c r="AD144" s="11"/>
    </row>
    <row r="145" ht="15.75" customHeight="1">
      <c r="A145" s="6">
        <v>31002.0</v>
      </c>
      <c r="B145" s="6">
        <v>1139.0</v>
      </c>
      <c r="C145" s="6">
        <v>508.555569678545</v>
      </c>
      <c r="D145" s="6">
        <v>2720.0</v>
      </c>
      <c r="E145" s="7">
        <f t="shared" si="1"/>
        <v>0.41875</v>
      </c>
      <c r="F145" s="7">
        <f t="shared" si="2"/>
        <v>0.4464930375</v>
      </c>
      <c r="G145" s="7">
        <f t="shared" si="3"/>
        <v>0.1869689594</v>
      </c>
      <c r="H145" s="6">
        <v>6687.0</v>
      </c>
      <c r="I145" s="6">
        <v>3035.7778529822826</v>
      </c>
      <c r="J145" s="6">
        <v>16013.0</v>
      </c>
      <c r="K145" s="7">
        <f t="shared" si="4"/>
        <v>0.4175982015</v>
      </c>
      <c r="L145" s="7">
        <f t="shared" si="5"/>
        <v>0.4539820327</v>
      </c>
      <c r="M145" s="7">
        <f t="shared" si="6"/>
        <v>0.1895820804</v>
      </c>
      <c r="N145" s="7">
        <f t="shared" si="7"/>
        <v>1.013976229</v>
      </c>
      <c r="O145" s="8"/>
      <c r="P145" s="8"/>
      <c r="Q145" s="8"/>
      <c r="R145" s="8"/>
      <c r="S145" s="8"/>
      <c r="T145" s="8"/>
      <c r="U145" s="11"/>
      <c r="V145" s="11"/>
      <c r="W145" s="11"/>
      <c r="X145" s="8"/>
      <c r="Y145" s="8"/>
      <c r="Z145" s="8"/>
      <c r="AA145" s="11"/>
      <c r="AB145" s="11"/>
      <c r="AC145" s="11"/>
      <c r="AD145" s="11"/>
    </row>
    <row r="146" ht="15.75" customHeight="1">
      <c r="A146" s="6">
        <v>31003.0</v>
      </c>
      <c r="B146" s="6">
        <v>2783.0</v>
      </c>
      <c r="C146" s="6">
        <v>1218.888919353485</v>
      </c>
      <c r="D146" s="6">
        <v>4876.0</v>
      </c>
      <c r="E146" s="7">
        <f t="shared" si="1"/>
        <v>0.570754717</v>
      </c>
      <c r="F146" s="7">
        <f t="shared" si="2"/>
        <v>0.4379766149</v>
      </c>
      <c r="G146" s="7">
        <f t="shared" si="3"/>
        <v>0.2499772189</v>
      </c>
      <c r="H146" s="6">
        <v>38101.0</v>
      </c>
      <c r="I146" s="6">
        <v>17197.222651809454</v>
      </c>
      <c r="J146" s="6">
        <v>64329.0</v>
      </c>
      <c r="K146" s="7">
        <f t="shared" si="4"/>
        <v>0.5922834181</v>
      </c>
      <c r="L146" s="7">
        <f t="shared" si="5"/>
        <v>0.4513588266</v>
      </c>
      <c r="M146" s="7">
        <f t="shared" si="6"/>
        <v>0.2673323486</v>
      </c>
      <c r="N146" s="7">
        <f t="shared" si="7"/>
        <v>1.069426845</v>
      </c>
      <c r="O146" s="8"/>
      <c r="P146" s="8"/>
      <c r="Q146" s="8"/>
      <c r="R146" s="8"/>
      <c r="S146" s="8"/>
      <c r="T146" s="8"/>
      <c r="U146" s="11"/>
      <c r="V146" s="11"/>
      <c r="W146" s="11"/>
      <c r="X146" s="8"/>
      <c r="Y146" s="8"/>
      <c r="Z146" s="8"/>
      <c r="AA146" s="11"/>
      <c r="AB146" s="11"/>
      <c r="AC146" s="11"/>
      <c r="AD146" s="11"/>
    </row>
    <row r="147" ht="15.75" customHeight="1">
      <c r="A147" s="6">
        <v>31101.0</v>
      </c>
      <c r="B147" s="6">
        <v>3646.0</v>
      </c>
      <c r="C147" s="6">
        <v>1786.3333814144135</v>
      </c>
      <c r="D147" s="6">
        <v>4424.0</v>
      </c>
      <c r="E147" s="7">
        <f t="shared" si="1"/>
        <v>0.8241410488</v>
      </c>
      <c r="F147" s="7">
        <f t="shared" si="2"/>
        <v>0.4899433301</v>
      </c>
      <c r="G147" s="7">
        <f t="shared" si="3"/>
        <v>0.4037824099</v>
      </c>
      <c r="H147" s="6">
        <v>16035.0</v>
      </c>
      <c r="I147" s="6">
        <v>8177.555775880814</v>
      </c>
      <c r="J147" s="6">
        <v>19977.0</v>
      </c>
      <c r="K147" s="7">
        <f t="shared" si="4"/>
        <v>0.802673074</v>
      </c>
      <c r="L147" s="7">
        <f t="shared" si="5"/>
        <v>0.5099816511</v>
      </c>
      <c r="M147" s="7">
        <f t="shared" si="6"/>
        <v>0.4093485396</v>
      </c>
      <c r="N147" s="7">
        <f t="shared" si="7"/>
        <v>1.013784973</v>
      </c>
      <c r="O147" s="8"/>
      <c r="P147" s="8"/>
      <c r="Q147" s="8"/>
      <c r="R147" s="8"/>
      <c r="S147" s="8"/>
      <c r="T147" s="8"/>
      <c r="U147" s="11"/>
      <c r="V147" s="11"/>
      <c r="W147" s="11"/>
      <c r="X147" s="8"/>
      <c r="Y147" s="8"/>
      <c r="Z147" s="8"/>
      <c r="AA147" s="11"/>
      <c r="AB147" s="11"/>
      <c r="AC147" s="11"/>
      <c r="AD147" s="11"/>
    </row>
    <row r="148" ht="15.75" customHeight="1">
      <c r="A148" s="6">
        <v>31201.0</v>
      </c>
      <c r="B148" s="6">
        <v>1302.0</v>
      </c>
      <c r="C148" s="6">
        <v>658.4444627761841</v>
      </c>
      <c r="D148" s="6">
        <v>1995.0</v>
      </c>
      <c r="E148" s="7">
        <f t="shared" si="1"/>
        <v>0.6526315789</v>
      </c>
      <c r="F148" s="7">
        <f t="shared" si="2"/>
        <v>0.5057177133</v>
      </c>
      <c r="G148" s="7">
        <f t="shared" si="3"/>
        <v>0.3300473498</v>
      </c>
      <c r="H148" s="6">
        <v>9031.0</v>
      </c>
      <c r="I148" s="6">
        <v>4585.000120639801</v>
      </c>
      <c r="J148" s="6">
        <v>12529.0</v>
      </c>
      <c r="K148" s="7">
        <f t="shared" si="4"/>
        <v>0.7208077261</v>
      </c>
      <c r="L148" s="7">
        <f t="shared" si="5"/>
        <v>0.5076957281</v>
      </c>
      <c r="M148" s="7">
        <f t="shared" si="6"/>
        <v>0.3659510033</v>
      </c>
      <c r="N148" s="7">
        <f t="shared" si="7"/>
        <v>1.108783342</v>
      </c>
      <c r="O148" s="8"/>
      <c r="P148" s="8"/>
      <c r="Q148" s="8"/>
      <c r="R148" s="8"/>
      <c r="S148" s="8"/>
      <c r="T148" s="8"/>
      <c r="U148" s="11"/>
      <c r="V148" s="11"/>
      <c r="W148" s="11"/>
      <c r="X148" s="8"/>
      <c r="Y148" s="8"/>
      <c r="Z148" s="8"/>
      <c r="AA148" s="11"/>
      <c r="AB148" s="11"/>
      <c r="AC148" s="11"/>
      <c r="AD148" s="11"/>
    </row>
    <row r="149" ht="15.75" customHeight="1">
      <c r="A149" s="6">
        <v>31202.0</v>
      </c>
      <c r="B149" s="6">
        <v>831.0</v>
      </c>
      <c r="C149" s="6">
        <v>430.22223475575447</v>
      </c>
      <c r="D149" s="6">
        <v>1222.0</v>
      </c>
      <c r="E149" s="7">
        <f t="shared" si="1"/>
        <v>0.6800327332</v>
      </c>
      <c r="F149" s="7">
        <f t="shared" si="2"/>
        <v>0.5177162873</v>
      </c>
      <c r="G149" s="7">
        <f t="shared" si="3"/>
        <v>0.3520640219</v>
      </c>
      <c r="H149" s="6">
        <v>6346.0</v>
      </c>
      <c r="I149" s="6">
        <v>3221.1111982166767</v>
      </c>
      <c r="J149" s="6">
        <v>8850.0</v>
      </c>
      <c r="K149" s="7">
        <f t="shared" si="4"/>
        <v>0.7170621469</v>
      </c>
      <c r="L149" s="7">
        <f t="shared" si="5"/>
        <v>0.5075813423</v>
      </c>
      <c r="M149" s="7">
        <f t="shared" si="6"/>
        <v>0.363967367</v>
      </c>
      <c r="N149" s="7">
        <f t="shared" si="7"/>
        <v>1.033810172</v>
      </c>
      <c r="O149" s="8"/>
      <c r="P149" s="8"/>
      <c r="Q149" s="8"/>
      <c r="R149" s="8"/>
      <c r="S149" s="8"/>
      <c r="T149" s="8"/>
      <c r="U149" s="11"/>
      <c r="V149" s="11"/>
      <c r="W149" s="11"/>
      <c r="X149" s="8"/>
      <c r="Y149" s="8"/>
      <c r="Z149" s="8"/>
      <c r="AA149" s="11"/>
      <c r="AB149" s="11"/>
      <c r="AC149" s="11"/>
      <c r="AD149" s="11"/>
    </row>
    <row r="150" ht="15.75" customHeight="1">
      <c r="A150" s="6">
        <v>31203.0</v>
      </c>
      <c r="B150" s="6">
        <v>1033.0</v>
      </c>
      <c r="C150" s="6">
        <v>470.88890114426613</v>
      </c>
      <c r="D150" s="6">
        <v>1960.0</v>
      </c>
      <c r="E150" s="7">
        <f t="shared" si="1"/>
        <v>0.5270408163</v>
      </c>
      <c r="F150" s="7">
        <f t="shared" si="2"/>
        <v>0.4558459837</v>
      </c>
      <c r="G150" s="7">
        <f t="shared" si="3"/>
        <v>0.2402494394</v>
      </c>
      <c r="H150" s="6">
        <v>4410.0</v>
      </c>
      <c r="I150" s="6">
        <v>1955.7778266966343</v>
      </c>
      <c r="J150" s="6">
        <v>8578.0</v>
      </c>
      <c r="K150" s="7">
        <f t="shared" si="4"/>
        <v>0.5141058522</v>
      </c>
      <c r="L150" s="7">
        <f t="shared" si="5"/>
        <v>0.4434870355</v>
      </c>
      <c r="M150" s="7">
        <f t="shared" si="6"/>
        <v>0.2279992803</v>
      </c>
      <c r="N150" s="7">
        <f t="shared" si="7"/>
        <v>0.9490106655</v>
      </c>
      <c r="O150" s="8"/>
      <c r="P150" s="8"/>
      <c r="Q150" s="8"/>
      <c r="R150" s="8"/>
      <c r="S150" s="8"/>
      <c r="T150" s="8"/>
      <c r="U150" s="11"/>
      <c r="V150" s="11"/>
      <c r="W150" s="11"/>
      <c r="X150" s="8"/>
      <c r="Y150" s="8"/>
      <c r="Z150" s="8"/>
      <c r="AA150" s="11"/>
      <c r="AB150" s="11"/>
      <c r="AC150" s="11"/>
      <c r="AD150" s="11"/>
    </row>
    <row r="151" ht="15.75" customHeight="1">
      <c r="A151" s="6">
        <v>31204.0</v>
      </c>
      <c r="B151" s="6">
        <v>742.0</v>
      </c>
      <c r="C151" s="6">
        <v>336.222230643034</v>
      </c>
      <c r="D151" s="6">
        <v>1516.0</v>
      </c>
      <c r="E151" s="7">
        <f t="shared" si="1"/>
        <v>0.4894459103</v>
      </c>
      <c r="F151" s="7">
        <f t="shared" si="2"/>
        <v>0.4531296909</v>
      </c>
      <c r="G151" s="7">
        <f t="shared" si="3"/>
        <v>0.221782474</v>
      </c>
      <c r="H151" s="6">
        <v>10256.0</v>
      </c>
      <c r="I151" s="6">
        <v>4705.111234486103</v>
      </c>
      <c r="J151" s="6">
        <v>19175.0</v>
      </c>
      <c r="K151" s="7">
        <f t="shared" si="4"/>
        <v>0.534863103</v>
      </c>
      <c r="L151" s="7">
        <f t="shared" si="5"/>
        <v>0.458766696</v>
      </c>
      <c r="M151" s="7">
        <f t="shared" si="6"/>
        <v>0.2453773786</v>
      </c>
      <c r="N151" s="7">
        <f t="shared" si="7"/>
        <v>1.106387597</v>
      </c>
      <c r="O151" s="8"/>
      <c r="P151" s="8"/>
      <c r="Q151" s="8"/>
      <c r="R151" s="8"/>
      <c r="S151" s="8"/>
      <c r="T151" s="8"/>
      <c r="U151" s="11"/>
      <c r="V151" s="11"/>
      <c r="W151" s="11"/>
      <c r="X151" s="8"/>
      <c r="Y151" s="8"/>
      <c r="Z151" s="8"/>
      <c r="AA151" s="11"/>
      <c r="AB151" s="11"/>
      <c r="AC151" s="11"/>
      <c r="AD151" s="11"/>
    </row>
    <row r="152" ht="15.75" customHeight="1">
      <c r="A152" s="6">
        <v>31205.0</v>
      </c>
      <c r="B152" s="6">
        <v>1543.0</v>
      </c>
      <c r="C152" s="6">
        <v>695.0000179409981</v>
      </c>
      <c r="D152" s="6">
        <v>3159.0</v>
      </c>
      <c r="E152" s="7">
        <f t="shared" si="1"/>
        <v>0.4884457107</v>
      </c>
      <c r="F152" s="7">
        <f t="shared" si="2"/>
        <v>0.4504212689</v>
      </c>
      <c r="G152" s="7">
        <f t="shared" si="3"/>
        <v>0.2200063368</v>
      </c>
      <c r="H152" s="6">
        <v>20802.0</v>
      </c>
      <c r="I152" s="6">
        <v>9322.88912153244</v>
      </c>
      <c r="J152" s="6">
        <v>42448.0</v>
      </c>
      <c r="K152" s="7">
        <f t="shared" si="4"/>
        <v>0.4900584244</v>
      </c>
      <c r="L152" s="7">
        <f t="shared" si="5"/>
        <v>0.4481727296</v>
      </c>
      <c r="M152" s="7">
        <f t="shared" si="6"/>
        <v>0.2196308217</v>
      </c>
      <c r="N152" s="7">
        <f t="shared" si="7"/>
        <v>0.9982931626</v>
      </c>
      <c r="O152" s="8"/>
      <c r="P152" s="8"/>
      <c r="Q152" s="8"/>
      <c r="R152" s="8"/>
      <c r="S152" s="8"/>
      <c r="T152" s="8"/>
      <c r="U152" s="11"/>
      <c r="V152" s="11"/>
      <c r="W152" s="11"/>
      <c r="X152" s="8"/>
      <c r="Y152" s="8"/>
      <c r="Z152" s="8"/>
      <c r="AA152" s="11"/>
      <c r="AB152" s="11"/>
      <c r="AC152" s="11"/>
      <c r="AD152" s="11"/>
    </row>
    <row r="153" ht="15.75" customHeight="1">
      <c r="A153" s="6">
        <v>31206.0</v>
      </c>
      <c r="B153" s="6">
        <v>911.0</v>
      </c>
      <c r="C153" s="6">
        <v>392.00000950694084</v>
      </c>
      <c r="D153" s="6">
        <v>1800.0</v>
      </c>
      <c r="E153" s="7">
        <f t="shared" si="1"/>
        <v>0.5061111111</v>
      </c>
      <c r="F153" s="7">
        <f t="shared" si="2"/>
        <v>0.430296388</v>
      </c>
      <c r="G153" s="7">
        <f t="shared" si="3"/>
        <v>0.2177777831</v>
      </c>
      <c r="H153" s="6">
        <v>14168.0</v>
      </c>
      <c r="I153" s="6">
        <v>6251.555706441402</v>
      </c>
      <c r="J153" s="6">
        <v>27784.0</v>
      </c>
      <c r="K153" s="7">
        <f t="shared" si="4"/>
        <v>0.5099337748</v>
      </c>
      <c r="L153" s="7">
        <f t="shared" si="5"/>
        <v>0.4412447562</v>
      </c>
      <c r="M153" s="7">
        <f t="shared" si="6"/>
        <v>0.2250056042</v>
      </c>
      <c r="N153" s="7">
        <f t="shared" si="7"/>
        <v>1.033188974</v>
      </c>
      <c r="O153" s="8"/>
      <c r="P153" s="8"/>
      <c r="Q153" s="8"/>
      <c r="R153" s="8"/>
      <c r="S153" s="8"/>
      <c r="T153" s="8"/>
      <c r="U153" s="11"/>
      <c r="V153" s="11"/>
      <c r="W153" s="11"/>
      <c r="X153" s="8"/>
      <c r="Y153" s="8"/>
      <c r="Z153" s="8"/>
      <c r="AA153" s="11"/>
      <c r="AB153" s="11"/>
      <c r="AC153" s="11"/>
      <c r="AD153" s="11"/>
    </row>
    <row r="154" ht="15.75" customHeight="1">
      <c r="A154" s="6">
        <v>31301.0</v>
      </c>
      <c r="B154" s="6">
        <v>1840.0</v>
      </c>
      <c r="C154" s="6">
        <v>892.1111357808113</v>
      </c>
      <c r="D154" s="6">
        <v>3159.0</v>
      </c>
      <c r="E154" s="7">
        <f t="shared" si="1"/>
        <v>0.5824628047</v>
      </c>
      <c r="F154" s="7">
        <f t="shared" si="2"/>
        <v>0.4848430086</v>
      </c>
      <c r="G154" s="7">
        <f t="shared" si="3"/>
        <v>0.2824030186</v>
      </c>
      <c r="H154" s="6">
        <v>8927.0</v>
      </c>
      <c r="I154" s="6">
        <v>4409.889004319906</v>
      </c>
      <c r="J154" s="6">
        <v>16407.0</v>
      </c>
      <c r="K154" s="7">
        <f t="shared" si="4"/>
        <v>0.5440970318</v>
      </c>
      <c r="L154" s="7">
        <f t="shared" si="5"/>
        <v>0.4939945115</v>
      </c>
      <c r="M154" s="7">
        <f t="shared" si="6"/>
        <v>0.2687809474</v>
      </c>
      <c r="N154" s="7">
        <f t="shared" si="7"/>
        <v>0.9517637196</v>
      </c>
      <c r="O154" s="8"/>
      <c r="P154" s="8"/>
      <c r="Q154" s="8"/>
      <c r="R154" s="8"/>
      <c r="S154" s="8"/>
      <c r="T154" s="8"/>
      <c r="U154" s="11"/>
      <c r="V154" s="11"/>
      <c r="W154" s="11"/>
      <c r="X154" s="8"/>
      <c r="Y154" s="8"/>
      <c r="Z154" s="8"/>
      <c r="AA154" s="11"/>
      <c r="AB154" s="11"/>
      <c r="AC154" s="11"/>
      <c r="AD154" s="11"/>
    </row>
    <row r="155" ht="15.75" customHeight="1">
      <c r="A155" s="6">
        <v>31302.0</v>
      </c>
      <c r="B155" s="6">
        <v>807.0</v>
      </c>
      <c r="C155" s="6">
        <v>431.3333457708359</v>
      </c>
      <c r="D155" s="6">
        <v>991.0</v>
      </c>
      <c r="E155" s="7">
        <f t="shared" si="1"/>
        <v>0.8143289606</v>
      </c>
      <c r="F155" s="7">
        <f t="shared" si="2"/>
        <v>0.5344898956</v>
      </c>
      <c r="G155" s="7">
        <f t="shared" si="3"/>
        <v>0.4352506012</v>
      </c>
      <c r="H155" s="6">
        <v>3738.0</v>
      </c>
      <c r="I155" s="6">
        <v>2064.777833968401</v>
      </c>
      <c r="J155" s="6">
        <v>4425.0</v>
      </c>
      <c r="K155" s="7">
        <f t="shared" si="4"/>
        <v>0.8447457627</v>
      </c>
      <c r="L155" s="7">
        <f t="shared" si="5"/>
        <v>0.5523750225</v>
      </c>
      <c r="M155" s="7">
        <f t="shared" si="6"/>
        <v>0.4666164597</v>
      </c>
      <c r="N155" s="7">
        <f t="shared" si="7"/>
        <v>1.072063906</v>
      </c>
      <c r="O155" s="8"/>
      <c r="P155" s="8"/>
      <c r="Q155" s="8"/>
      <c r="R155" s="8"/>
      <c r="S155" s="8"/>
      <c r="T155" s="8"/>
      <c r="U155" s="11"/>
      <c r="V155" s="11"/>
      <c r="W155" s="11"/>
      <c r="X155" s="8"/>
      <c r="Y155" s="8"/>
      <c r="Z155" s="8"/>
      <c r="AA155" s="11"/>
      <c r="AB155" s="11"/>
      <c r="AC155" s="11"/>
      <c r="AD155" s="11"/>
    </row>
    <row r="156" ht="15.75" customHeight="1">
      <c r="A156" s="6">
        <v>31303.0</v>
      </c>
      <c r="B156" s="6">
        <v>525.0</v>
      </c>
      <c r="C156" s="6">
        <v>264.6666729748249</v>
      </c>
      <c r="D156" s="6">
        <v>575.0</v>
      </c>
      <c r="E156" s="7">
        <f t="shared" si="1"/>
        <v>0.9130434783</v>
      </c>
      <c r="F156" s="7">
        <f t="shared" si="2"/>
        <v>0.5041269961</v>
      </c>
      <c r="G156" s="7">
        <f t="shared" si="3"/>
        <v>0.460289866</v>
      </c>
      <c r="H156" s="6">
        <v>2543.0</v>
      </c>
      <c r="I156" s="6">
        <v>1371.1111479401588</v>
      </c>
      <c r="J156" s="6">
        <v>2843.0</v>
      </c>
      <c r="K156" s="7">
        <f t="shared" si="4"/>
        <v>0.8944776644</v>
      </c>
      <c r="L156" s="7">
        <f t="shared" si="5"/>
        <v>0.5391707227</v>
      </c>
      <c r="M156" s="7">
        <f t="shared" si="6"/>
        <v>0.4822761688</v>
      </c>
      <c r="N156" s="7">
        <f t="shared" si="7"/>
        <v>1.047766211</v>
      </c>
      <c r="O156" s="8"/>
      <c r="P156" s="8"/>
      <c r="Q156" s="8"/>
      <c r="R156" s="8"/>
      <c r="S156" s="8"/>
      <c r="T156" s="8"/>
      <c r="U156" s="11"/>
      <c r="V156" s="11"/>
      <c r="W156" s="11"/>
      <c r="X156" s="8"/>
      <c r="Y156" s="8"/>
      <c r="Z156" s="8"/>
      <c r="AA156" s="11"/>
      <c r="AB156" s="11"/>
      <c r="AC156" s="11"/>
      <c r="AD156" s="11"/>
    </row>
    <row r="157" ht="15.75" customHeight="1">
      <c r="A157" s="6">
        <v>31304.0</v>
      </c>
      <c r="B157" s="6">
        <v>949.0</v>
      </c>
      <c r="C157" s="6">
        <v>550.7777931392193</v>
      </c>
      <c r="D157" s="6">
        <v>1003.0</v>
      </c>
      <c r="E157" s="7">
        <f t="shared" si="1"/>
        <v>0.9461615155</v>
      </c>
      <c r="F157" s="7">
        <f t="shared" si="2"/>
        <v>0.5803770212</v>
      </c>
      <c r="G157" s="7">
        <f t="shared" si="3"/>
        <v>0.5491304019</v>
      </c>
      <c r="H157" s="6">
        <v>5676.0</v>
      </c>
      <c r="I157" s="6">
        <v>3403.111201018095</v>
      </c>
      <c r="J157" s="6">
        <v>6018.0</v>
      </c>
      <c r="K157" s="7">
        <f t="shared" si="4"/>
        <v>0.9431704885</v>
      </c>
      <c r="L157" s="7">
        <f t="shared" si="5"/>
        <v>0.5995615224</v>
      </c>
      <c r="M157" s="7">
        <f t="shared" si="6"/>
        <v>0.565488734</v>
      </c>
      <c r="N157" s="7">
        <f t="shared" si="7"/>
        <v>1.029789522</v>
      </c>
      <c r="O157" s="8"/>
      <c r="P157" s="8"/>
      <c r="Q157" s="8"/>
      <c r="R157" s="8"/>
      <c r="S157" s="8"/>
      <c r="T157" s="8"/>
      <c r="U157" s="11"/>
      <c r="V157" s="11"/>
      <c r="W157" s="11"/>
      <c r="X157" s="8"/>
      <c r="Y157" s="8"/>
      <c r="Z157" s="8"/>
      <c r="AA157" s="11"/>
      <c r="AB157" s="11"/>
      <c r="AC157" s="11"/>
      <c r="AD157" s="11"/>
    </row>
    <row r="158" ht="15.75" customHeight="1">
      <c r="A158" s="6">
        <v>31401.0</v>
      </c>
      <c r="B158" s="6">
        <v>978.0</v>
      </c>
      <c r="C158" s="6">
        <v>369.88889867067337</v>
      </c>
      <c r="D158" s="6">
        <v>6947.0</v>
      </c>
      <c r="E158" s="7">
        <f t="shared" si="1"/>
        <v>0.1407801929</v>
      </c>
      <c r="F158" s="7">
        <f t="shared" si="2"/>
        <v>0.3782095078</v>
      </c>
      <c r="G158" s="7">
        <f t="shared" si="3"/>
        <v>0.05324440747</v>
      </c>
      <c r="H158" s="6">
        <v>3403.0</v>
      </c>
      <c r="I158" s="6">
        <v>1326.2222551107407</v>
      </c>
      <c r="J158" s="6">
        <v>21737.0</v>
      </c>
      <c r="K158" s="7">
        <f t="shared" si="4"/>
        <v>0.1565533422</v>
      </c>
      <c r="L158" s="7">
        <f t="shared" si="5"/>
        <v>0.3897214972</v>
      </c>
      <c r="M158" s="7">
        <f t="shared" si="6"/>
        <v>0.06101220293</v>
      </c>
      <c r="N158" s="7">
        <f t="shared" si="7"/>
        <v>1.145889415</v>
      </c>
      <c r="O158" s="8"/>
      <c r="P158" s="8"/>
      <c r="Q158" s="8"/>
      <c r="R158" s="8"/>
      <c r="S158" s="8"/>
      <c r="T158" s="8"/>
      <c r="U158" s="11"/>
      <c r="V158" s="11"/>
      <c r="W158" s="11"/>
      <c r="X158" s="8"/>
      <c r="Y158" s="8"/>
      <c r="Z158" s="8"/>
      <c r="AA158" s="11"/>
      <c r="AB158" s="11"/>
      <c r="AC158" s="11"/>
      <c r="AD158" s="11"/>
    </row>
    <row r="159" ht="15.75" customHeight="1">
      <c r="A159" s="6">
        <v>31402.0</v>
      </c>
      <c r="B159" s="6">
        <v>438.0</v>
      </c>
      <c r="C159" s="6">
        <v>170.66667094826698</v>
      </c>
      <c r="D159" s="6">
        <v>1546.0</v>
      </c>
      <c r="E159" s="7">
        <f t="shared" si="1"/>
        <v>0.2833117723</v>
      </c>
      <c r="F159" s="7">
        <f t="shared" si="2"/>
        <v>0.3896499337</v>
      </c>
      <c r="G159" s="7">
        <f t="shared" si="3"/>
        <v>0.1103924133</v>
      </c>
      <c r="H159" s="6">
        <v>1951.0</v>
      </c>
      <c r="I159" s="6">
        <v>767.8889079391956</v>
      </c>
      <c r="J159" s="6">
        <v>6577.0</v>
      </c>
      <c r="K159" s="7">
        <f t="shared" si="4"/>
        <v>0.2966398054</v>
      </c>
      <c r="L159" s="7">
        <f t="shared" si="5"/>
        <v>0.3935873439</v>
      </c>
      <c r="M159" s="7">
        <f t="shared" si="6"/>
        <v>0.1167536731</v>
      </c>
      <c r="N159" s="7">
        <f t="shared" si="7"/>
        <v>1.057624067</v>
      </c>
      <c r="O159" s="8"/>
      <c r="P159" s="8"/>
      <c r="Q159" s="8"/>
      <c r="R159" s="8"/>
      <c r="S159" s="8"/>
      <c r="T159" s="8"/>
      <c r="U159" s="11"/>
      <c r="V159" s="11"/>
      <c r="W159" s="11"/>
      <c r="X159" s="8"/>
      <c r="Y159" s="8"/>
      <c r="Z159" s="8"/>
      <c r="AA159" s="11"/>
      <c r="AB159" s="11"/>
      <c r="AC159" s="11"/>
      <c r="AD159" s="11"/>
    </row>
    <row r="160" ht="15.75" customHeight="1">
      <c r="A160" s="6">
        <v>31403.0</v>
      </c>
      <c r="B160" s="6">
        <v>672.0</v>
      </c>
      <c r="C160" s="6">
        <v>261.33333960175514</v>
      </c>
      <c r="D160" s="6">
        <v>3056.0</v>
      </c>
      <c r="E160" s="7">
        <f t="shared" si="1"/>
        <v>0.219895288</v>
      </c>
      <c r="F160" s="7">
        <f t="shared" si="2"/>
        <v>0.3888888982</v>
      </c>
      <c r="G160" s="7">
        <f t="shared" si="3"/>
        <v>0.08551483626</v>
      </c>
      <c r="H160" s="6">
        <v>2457.0</v>
      </c>
      <c r="I160" s="6">
        <v>984.2222465276718</v>
      </c>
      <c r="J160" s="6">
        <v>10330.0</v>
      </c>
      <c r="K160" s="7">
        <f t="shared" si="4"/>
        <v>0.2378509197</v>
      </c>
      <c r="L160" s="7">
        <f t="shared" si="5"/>
        <v>0.4005788549</v>
      </c>
      <c r="M160" s="7">
        <f t="shared" si="6"/>
        <v>0.09527804903</v>
      </c>
      <c r="N160" s="7">
        <f t="shared" si="7"/>
        <v>1.114169812</v>
      </c>
      <c r="O160" s="8"/>
      <c r="P160" s="8"/>
      <c r="Q160" s="8"/>
      <c r="R160" s="8"/>
      <c r="S160" s="8"/>
      <c r="T160" s="8"/>
      <c r="U160" s="11"/>
      <c r="V160" s="11"/>
      <c r="W160" s="11"/>
      <c r="X160" s="8"/>
      <c r="Y160" s="8"/>
      <c r="Z160" s="8"/>
      <c r="AA160" s="11"/>
      <c r="AB160" s="11"/>
      <c r="AC160" s="11"/>
      <c r="AD160" s="11"/>
    </row>
    <row r="161" ht="15.75" customHeight="1">
      <c r="A161" s="6">
        <v>31404.0</v>
      </c>
      <c r="B161" s="6">
        <v>175.0</v>
      </c>
      <c r="C161" s="6">
        <v>67.11111310124397</v>
      </c>
      <c r="D161" s="6">
        <v>353.0</v>
      </c>
      <c r="E161" s="7">
        <f t="shared" si="1"/>
        <v>0.4957507082</v>
      </c>
      <c r="F161" s="7">
        <f t="shared" si="2"/>
        <v>0.3834920749</v>
      </c>
      <c r="G161" s="7">
        <f t="shared" si="3"/>
        <v>0.1901164677</v>
      </c>
      <c r="H161" s="6">
        <v>450.0</v>
      </c>
      <c r="I161" s="6">
        <v>185.33333837985992</v>
      </c>
      <c r="J161" s="6">
        <v>943.0</v>
      </c>
      <c r="K161" s="7">
        <f t="shared" si="4"/>
        <v>0.4772004242</v>
      </c>
      <c r="L161" s="7">
        <f t="shared" si="5"/>
        <v>0.4118518631</v>
      </c>
      <c r="M161" s="7">
        <f t="shared" si="6"/>
        <v>0.1965358838</v>
      </c>
      <c r="N161" s="7">
        <f t="shared" si="7"/>
        <v>1.033765702</v>
      </c>
      <c r="O161" s="8"/>
      <c r="P161" s="8"/>
      <c r="Q161" s="8"/>
      <c r="R161" s="8"/>
      <c r="S161" s="8"/>
      <c r="T161" s="8"/>
      <c r="U161" s="11"/>
      <c r="V161" s="11"/>
      <c r="W161" s="11"/>
      <c r="X161" s="8"/>
      <c r="Y161" s="8"/>
      <c r="Z161" s="8"/>
      <c r="AA161" s="11"/>
      <c r="AB161" s="11"/>
      <c r="AC161" s="11"/>
      <c r="AD161" s="11"/>
    </row>
    <row r="162" ht="15.75" customHeight="1">
      <c r="A162" s="6">
        <v>31405.0</v>
      </c>
      <c r="B162" s="6">
        <v>406.0</v>
      </c>
      <c r="C162" s="6">
        <v>169.00000420212746</v>
      </c>
      <c r="D162" s="6">
        <v>821.0</v>
      </c>
      <c r="E162" s="7">
        <f t="shared" si="1"/>
        <v>0.4945188794</v>
      </c>
      <c r="F162" s="7">
        <f t="shared" si="2"/>
        <v>0.416256168</v>
      </c>
      <c r="G162" s="7">
        <f t="shared" si="3"/>
        <v>0.2058465337</v>
      </c>
      <c r="H162" s="6">
        <v>1047.0</v>
      </c>
      <c r="I162" s="6">
        <v>472.1111220419407</v>
      </c>
      <c r="J162" s="6">
        <v>1937.0</v>
      </c>
      <c r="K162" s="7">
        <f t="shared" si="4"/>
        <v>0.5405265875</v>
      </c>
      <c r="L162" s="7">
        <f t="shared" si="5"/>
        <v>0.4509179771</v>
      </c>
      <c r="M162" s="7">
        <f t="shared" si="6"/>
        <v>0.2437331554</v>
      </c>
      <c r="N162" s="7">
        <f t="shared" si="7"/>
        <v>1.184052755</v>
      </c>
      <c r="O162" s="8"/>
      <c r="P162" s="8"/>
      <c r="Q162" s="8"/>
      <c r="R162" s="8"/>
      <c r="S162" s="8"/>
      <c r="T162" s="8"/>
      <c r="U162" s="11"/>
      <c r="V162" s="11"/>
      <c r="W162" s="11"/>
      <c r="X162" s="8"/>
      <c r="Y162" s="8"/>
      <c r="Z162" s="8"/>
      <c r="AA162" s="11"/>
      <c r="AB162" s="11"/>
      <c r="AC162" s="11"/>
      <c r="AD162" s="11"/>
    </row>
    <row r="163" ht="15.75" customHeight="1">
      <c r="A163" s="6">
        <v>31501.0</v>
      </c>
      <c r="B163" s="6">
        <v>1030.0</v>
      </c>
      <c r="C163" s="6">
        <v>457.00001218914986</v>
      </c>
      <c r="D163" s="6">
        <v>1330.0</v>
      </c>
      <c r="E163" s="7">
        <f t="shared" si="1"/>
        <v>0.7744360902</v>
      </c>
      <c r="F163" s="7">
        <f t="shared" si="2"/>
        <v>0.4436893322</v>
      </c>
      <c r="G163" s="7">
        <f t="shared" si="3"/>
        <v>0.3436090317</v>
      </c>
      <c r="H163" s="6">
        <v>4325.0</v>
      </c>
      <c r="I163" s="6">
        <v>2015.333388209343</v>
      </c>
      <c r="J163" s="6">
        <v>5841.0</v>
      </c>
      <c r="K163" s="7">
        <f t="shared" si="4"/>
        <v>0.7404554015</v>
      </c>
      <c r="L163" s="7">
        <f t="shared" si="5"/>
        <v>0.4659730377</v>
      </c>
      <c r="M163" s="7">
        <f t="shared" si="6"/>
        <v>0.3450322527</v>
      </c>
      <c r="N163" s="7">
        <f t="shared" si="7"/>
        <v>1.004141978</v>
      </c>
      <c r="O163" s="8"/>
      <c r="P163" s="8"/>
      <c r="Q163" s="8"/>
      <c r="R163" s="8"/>
      <c r="S163" s="8"/>
      <c r="T163" s="8"/>
      <c r="U163" s="11"/>
      <c r="V163" s="11"/>
      <c r="W163" s="11"/>
      <c r="X163" s="8"/>
      <c r="Y163" s="8"/>
      <c r="Z163" s="8"/>
      <c r="AA163" s="11"/>
      <c r="AB163" s="11"/>
      <c r="AC163" s="11"/>
      <c r="AD163" s="11"/>
    </row>
    <row r="164" ht="15.75" customHeight="1">
      <c r="A164" s="6">
        <v>31601.0</v>
      </c>
      <c r="B164" s="6">
        <v>1509.0</v>
      </c>
      <c r="C164" s="6">
        <v>646.5555725097656</v>
      </c>
      <c r="D164" s="6">
        <v>3588.0</v>
      </c>
      <c r="E164" s="7">
        <f t="shared" si="1"/>
        <v>0.4205685619</v>
      </c>
      <c r="F164" s="7">
        <f t="shared" si="2"/>
        <v>0.4284662508</v>
      </c>
      <c r="G164" s="7">
        <f t="shared" si="3"/>
        <v>0.1801994349</v>
      </c>
      <c r="H164" s="6">
        <v>7568.0</v>
      </c>
      <c r="I164" s="6">
        <v>3293.0000827014446</v>
      </c>
      <c r="J164" s="6">
        <v>17497.0</v>
      </c>
      <c r="K164" s="7">
        <f t="shared" si="4"/>
        <v>0.4325312911</v>
      </c>
      <c r="L164" s="7">
        <f t="shared" si="5"/>
        <v>0.4351215754</v>
      </c>
      <c r="M164" s="7">
        <f t="shared" si="6"/>
        <v>0.1882036968</v>
      </c>
      <c r="N164" s="7">
        <f t="shared" si="7"/>
        <v>1.044418907</v>
      </c>
      <c r="O164" s="8"/>
      <c r="P164" s="8"/>
      <c r="Q164" s="8"/>
      <c r="R164" s="8"/>
      <c r="S164" s="8"/>
      <c r="T164" s="8"/>
      <c r="U164" s="11"/>
      <c r="V164" s="11"/>
      <c r="W164" s="11"/>
      <c r="X164" s="8"/>
      <c r="Y164" s="8"/>
      <c r="Z164" s="8"/>
      <c r="AA164" s="11"/>
      <c r="AB164" s="11"/>
      <c r="AC164" s="11"/>
      <c r="AD164" s="11"/>
    </row>
    <row r="165" ht="15.75" customHeight="1">
      <c r="A165" s="6">
        <v>31602.0</v>
      </c>
      <c r="B165" s="6">
        <v>700.0</v>
      </c>
      <c r="C165" s="6">
        <v>304.2222290933132</v>
      </c>
      <c r="D165" s="6">
        <v>1630.0</v>
      </c>
      <c r="E165" s="7">
        <f t="shared" si="1"/>
        <v>0.4294478528</v>
      </c>
      <c r="F165" s="7">
        <f t="shared" si="2"/>
        <v>0.4346031844</v>
      </c>
      <c r="G165" s="7">
        <f t="shared" si="3"/>
        <v>0.1866394044</v>
      </c>
      <c r="H165" s="6">
        <v>8228.0</v>
      </c>
      <c r="I165" s="6">
        <v>3520.5556438863277</v>
      </c>
      <c r="J165" s="6">
        <v>18673.0</v>
      </c>
      <c r="K165" s="7">
        <f t="shared" si="4"/>
        <v>0.4406362127</v>
      </c>
      <c r="L165" s="7">
        <f t="shared" si="5"/>
        <v>0.4278750175</v>
      </c>
      <c r="M165" s="7">
        <f t="shared" si="6"/>
        <v>0.1885372272</v>
      </c>
      <c r="N165" s="7">
        <f t="shared" si="7"/>
        <v>1.010168393</v>
      </c>
      <c r="O165" s="8"/>
      <c r="P165" s="8"/>
      <c r="Q165" s="8"/>
      <c r="R165" s="8"/>
      <c r="S165" s="8"/>
      <c r="T165" s="8"/>
      <c r="U165" s="11"/>
      <c r="V165" s="11"/>
      <c r="W165" s="11"/>
      <c r="X165" s="8"/>
      <c r="Y165" s="8"/>
      <c r="Z165" s="8"/>
      <c r="AA165" s="11"/>
      <c r="AB165" s="11"/>
      <c r="AC165" s="11"/>
      <c r="AD165" s="11"/>
    </row>
    <row r="166" ht="15.75" customHeight="1">
      <c r="A166" s="6">
        <v>40101.0</v>
      </c>
      <c r="B166" s="6">
        <v>2535.0</v>
      </c>
      <c r="C166" s="6">
        <v>1002.1111362576485</v>
      </c>
      <c r="D166" s="6">
        <v>41266.0</v>
      </c>
      <c r="E166" s="7">
        <f t="shared" si="1"/>
        <v>0.06143071778</v>
      </c>
      <c r="F166" s="7">
        <f t="shared" si="2"/>
        <v>0.3953101129</v>
      </c>
      <c r="G166" s="7">
        <f t="shared" si="3"/>
        <v>0.02428418398</v>
      </c>
      <c r="H166" s="6">
        <v>27473.0</v>
      </c>
      <c r="I166" s="6">
        <v>11063.000275820494</v>
      </c>
      <c r="J166" s="6">
        <v>219065.0</v>
      </c>
      <c r="K166" s="7">
        <f t="shared" si="4"/>
        <v>0.1254102664</v>
      </c>
      <c r="L166" s="7">
        <f t="shared" si="5"/>
        <v>0.4026862838</v>
      </c>
      <c r="M166" s="7">
        <f t="shared" si="6"/>
        <v>0.05050099412</v>
      </c>
      <c r="N166" s="7">
        <f t="shared" si="7"/>
        <v>2.079583739</v>
      </c>
      <c r="O166" s="8"/>
      <c r="P166" s="8"/>
      <c r="Q166" s="8"/>
      <c r="R166" s="8"/>
      <c r="S166" s="8"/>
      <c r="T166" s="8"/>
      <c r="U166" s="11"/>
      <c r="V166" s="11"/>
      <c r="W166" s="11"/>
      <c r="X166" s="8"/>
      <c r="Y166" s="8"/>
      <c r="Z166" s="8"/>
      <c r="AA166" s="11"/>
      <c r="AB166" s="11"/>
      <c r="AC166" s="11"/>
      <c r="AD166" s="11"/>
    </row>
    <row r="167" ht="15.75" customHeight="1">
      <c r="A167" s="6">
        <v>40102.0</v>
      </c>
      <c r="B167" s="6">
        <v>2715.0</v>
      </c>
      <c r="C167" s="6">
        <v>1204.1111420989037</v>
      </c>
      <c r="D167" s="6">
        <v>5001.0</v>
      </c>
      <c r="E167" s="7">
        <f t="shared" si="1"/>
        <v>0.5428914217</v>
      </c>
      <c r="F167" s="7">
        <f t="shared" si="2"/>
        <v>0.4435031831</v>
      </c>
      <c r="G167" s="7">
        <f t="shared" si="3"/>
        <v>0.2407740736</v>
      </c>
      <c r="H167" s="6">
        <v>9056.0</v>
      </c>
      <c r="I167" s="6">
        <v>4033.5556615293026</v>
      </c>
      <c r="J167" s="6">
        <v>17928.0</v>
      </c>
      <c r="K167" s="7">
        <f t="shared" si="4"/>
        <v>0.5051316377</v>
      </c>
      <c r="L167" s="7">
        <f t="shared" si="5"/>
        <v>0.4454014644</v>
      </c>
      <c r="M167" s="7">
        <f t="shared" si="6"/>
        <v>0.2249863711</v>
      </c>
      <c r="N167" s="7">
        <f t="shared" si="7"/>
        <v>0.9344293917</v>
      </c>
      <c r="O167" s="8"/>
      <c r="P167" s="8"/>
      <c r="Q167" s="8"/>
      <c r="R167" s="8"/>
      <c r="S167" s="8"/>
      <c r="T167" s="8"/>
      <c r="U167" s="11"/>
      <c r="V167" s="11"/>
      <c r="W167" s="11"/>
      <c r="X167" s="8"/>
      <c r="Y167" s="8"/>
      <c r="Z167" s="8"/>
      <c r="AA167" s="11"/>
      <c r="AB167" s="11"/>
      <c r="AC167" s="11"/>
      <c r="AD167" s="11"/>
    </row>
    <row r="168" ht="15.75" customHeight="1">
      <c r="A168" s="6">
        <v>40103.0</v>
      </c>
      <c r="B168" s="6">
        <v>1750.0</v>
      </c>
      <c r="C168" s="6">
        <v>832.5555745959282</v>
      </c>
      <c r="D168" s="6">
        <v>1896.0</v>
      </c>
      <c r="E168" s="7">
        <f t="shared" si="1"/>
        <v>0.9229957806</v>
      </c>
      <c r="F168" s="7">
        <f t="shared" si="2"/>
        <v>0.4757460426</v>
      </c>
      <c r="G168" s="7">
        <f t="shared" si="3"/>
        <v>0.43911159</v>
      </c>
      <c r="H168" s="6">
        <v>6139.0</v>
      </c>
      <c r="I168" s="6">
        <v>3023.0000713169575</v>
      </c>
      <c r="J168" s="6">
        <v>6803.0</v>
      </c>
      <c r="K168" s="7">
        <f t="shared" si="4"/>
        <v>0.9023960018</v>
      </c>
      <c r="L168" s="7">
        <f t="shared" si="5"/>
        <v>0.4924254881</v>
      </c>
      <c r="M168" s="7">
        <f t="shared" si="6"/>
        <v>0.4443627916</v>
      </c>
      <c r="N168" s="7">
        <f t="shared" si="7"/>
        <v>1.011958695</v>
      </c>
      <c r="O168" s="8"/>
      <c r="P168" s="8"/>
      <c r="Q168" s="8"/>
      <c r="R168" s="8"/>
      <c r="S168" s="8"/>
      <c r="T168" s="8"/>
      <c r="U168" s="11"/>
      <c r="V168" s="11"/>
      <c r="W168" s="11"/>
      <c r="X168" s="8"/>
      <c r="Y168" s="8"/>
      <c r="Z168" s="8"/>
      <c r="AA168" s="11"/>
      <c r="AB168" s="11"/>
      <c r="AC168" s="11"/>
      <c r="AD168" s="11"/>
    </row>
    <row r="169" ht="15.75" customHeight="1">
      <c r="A169" s="6">
        <v>40104.0</v>
      </c>
      <c r="B169" s="6">
        <v>1264.0</v>
      </c>
      <c r="C169" s="6">
        <v>546.2222356498241</v>
      </c>
      <c r="D169" s="6">
        <v>2401.0</v>
      </c>
      <c r="E169" s="7">
        <f t="shared" si="1"/>
        <v>0.5264473136</v>
      </c>
      <c r="F169" s="7">
        <f t="shared" si="2"/>
        <v>0.4321378447</v>
      </c>
      <c r="G169" s="7">
        <f t="shared" si="3"/>
        <v>0.2274978074</v>
      </c>
      <c r="H169" s="6">
        <v>5148.0</v>
      </c>
      <c r="I169" s="6">
        <v>2251.4445029497147</v>
      </c>
      <c r="J169" s="6">
        <v>10374.0</v>
      </c>
      <c r="K169" s="7">
        <f t="shared" si="4"/>
        <v>0.4962406015</v>
      </c>
      <c r="L169" s="7">
        <f t="shared" si="5"/>
        <v>0.437343532</v>
      </c>
      <c r="M169" s="7">
        <f t="shared" si="6"/>
        <v>0.2170276174</v>
      </c>
      <c r="N169" s="7">
        <f t="shared" si="7"/>
        <v>0.9539767431</v>
      </c>
      <c r="O169" s="8"/>
      <c r="P169" s="8"/>
      <c r="Q169" s="8"/>
      <c r="R169" s="8"/>
      <c r="S169" s="8"/>
      <c r="T169" s="8"/>
      <c r="U169" s="11"/>
      <c r="V169" s="11"/>
      <c r="W169" s="11"/>
      <c r="X169" s="8"/>
      <c r="Y169" s="8"/>
      <c r="Z169" s="8"/>
      <c r="AA169" s="11"/>
      <c r="AB169" s="11"/>
      <c r="AC169" s="11"/>
      <c r="AD169" s="11"/>
    </row>
    <row r="170" ht="15.75" customHeight="1">
      <c r="A170" s="6">
        <v>40201.0</v>
      </c>
      <c r="B170" s="6">
        <v>2575.0</v>
      </c>
      <c r="C170" s="6">
        <v>1123.333361506462</v>
      </c>
      <c r="D170" s="6">
        <v>4734.0</v>
      </c>
      <c r="E170" s="7">
        <f t="shared" si="1"/>
        <v>0.5439374736</v>
      </c>
      <c r="F170" s="7">
        <f t="shared" si="2"/>
        <v>0.4362459656</v>
      </c>
      <c r="G170" s="7">
        <f t="shared" si="3"/>
        <v>0.2372905284</v>
      </c>
      <c r="H170" s="6">
        <v>10727.0</v>
      </c>
      <c r="I170" s="6">
        <v>4714.333451390266</v>
      </c>
      <c r="J170" s="6">
        <v>23350.0</v>
      </c>
      <c r="K170" s="7">
        <f t="shared" si="4"/>
        <v>0.4594004283</v>
      </c>
      <c r="L170" s="7">
        <f t="shared" si="5"/>
        <v>0.4394829357</v>
      </c>
      <c r="M170" s="7">
        <f t="shared" si="6"/>
        <v>0.2018986489</v>
      </c>
      <c r="N170" s="7">
        <f t="shared" si="7"/>
        <v>0.8508500117</v>
      </c>
      <c r="O170" s="8"/>
      <c r="P170" s="8"/>
      <c r="Q170" s="8"/>
      <c r="R170" s="8"/>
      <c r="S170" s="8"/>
      <c r="T170" s="8"/>
      <c r="U170" s="11"/>
      <c r="V170" s="11"/>
      <c r="W170" s="11"/>
      <c r="X170" s="8"/>
      <c r="Y170" s="8"/>
      <c r="Z170" s="8"/>
      <c r="AA170" s="11"/>
      <c r="AB170" s="11"/>
      <c r="AC170" s="11"/>
      <c r="AD170" s="11"/>
    </row>
    <row r="171" ht="15.75" customHeight="1">
      <c r="A171" s="6">
        <v>40202.0</v>
      </c>
      <c r="B171" s="6">
        <v>481.0</v>
      </c>
      <c r="C171" s="6">
        <v>202.66667085886002</v>
      </c>
      <c r="D171" s="6">
        <v>972.0</v>
      </c>
      <c r="E171" s="7">
        <f t="shared" si="1"/>
        <v>0.4948559671</v>
      </c>
      <c r="F171" s="7">
        <f t="shared" si="2"/>
        <v>0.4213444301</v>
      </c>
      <c r="G171" s="7">
        <f t="shared" si="3"/>
        <v>0.2085048054</v>
      </c>
      <c r="H171" s="6">
        <v>1491.0</v>
      </c>
      <c r="I171" s="6">
        <v>659.1111271381378</v>
      </c>
      <c r="J171" s="6">
        <v>3007.0</v>
      </c>
      <c r="K171" s="7">
        <f t="shared" si="4"/>
        <v>0.4958430329</v>
      </c>
      <c r="L171" s="7">
        <f t="shared" si="5"/>
        <v>0.4420597768</v>
      </c>
      <c r="M171" s="7">
        <f t="shared" si="6"/>
        <v>0.2191922604</v>
      </c>
      <c r="N171" s="7">
        <f t="shared" si="7"/>
        <v>1.051257596</v>
      </c>
      <c r="O171" s="8"/>
      <c r="P171" s="8"/>
      <c r="Q171" s="8"/>
      <c r="R171" s="8"/>
      <c r="S171" s="8"/>
      <c r="T171" s="8"/>
      <c r="U171" s="11"/>
      <c r="V171" s="11"/>
      <c r="W171" s="11"/>
      <c r="X171" s="8"/>
      <c r="Y171" s="8"/>
      <c r="Z171" s="8"/>
      <c r="AA171" s="11"/>
      <c r="AB171" s="11"/>
      <c r="AC171" s="11"/>
      <c r="AD171" s="11"/>
    </row>
    <row r="172" ht="15.75" customHeight="1">
      <c r="A172" s="6">
        <v>40301.0</v>
      </c>
      <c r="B172" s="6">
        <v>1954.0</v>
      </c>
      <c r="C172" s="6">
        <v>904.111133813858</v>
      </c>
      <c r="D172" s="6">
        <v>2583.0</v>
      </c>
      <c r="E172" s="7">
        <f t="shared" si="1"/>
        <v>0.7564847077</v>
      </c>
      <c r="F172" s="7">
        <f t="shared" si="2"/>
        <v>0.462697612</v>
      </c>
      <c r="G172" s="7">
        <f t="shared" si="3"/>
        <v>0.3500236678</v>
      </c>
      <c r="H172" s="6">
        <v>4472.0</v>
      </c>
      <c r="I172" s="6">
        <v>2117.55560952425</v>
      </c>
      <c r="J172" s="6">
        <v>6405.0</v>
      </c>
      <c r="K172" s="7">
        <f t="shared" si="4"/>
        <v>0.6982045277</v>
      </c>
      <c r="L172" s="7">
        <f t="shared" si="5"/>
        <v>0.473514224</v>
      </c>
      <c r="M172" s="7">
        <f t="shared" si="6"/>
        <v>0.3306097751</v>
      </c>
      <c r="N172" s="7">
        <f t="shared" si="7"/>
        <v>0.9445354859</v>
      </c>
      <c r="O172" s="8"/>
      <c r="P172" s="8"/>
      <c r="Q172" s="8"/>
      <c r="R172" s="8"/>
      <c r="S172" s="8"/>
      <c r="T172" s="8"/>
      <c r="U172" s="11"/>
      <c r="V172" s="11"/>
      <c r="W172" s="11"/>
      <c r="X172" s="8"/>
      <c r="Y172" s="8"/>
      <c r="Z172" s="8"/>
      <c r="AA172" s="11"/>
      <c r="AB172" s="11"/>
      <c r="AC172" s="11"/>
      <c r="AD172" s="11"/>
    </row>
    <row r="173" ht="15.75" customHeight="1">
      <c r="A173" s="6">
        <v>40302.0</v>
      </c>
      <c r="B173" s="6">
        <v>354.0</v>
      </c>
      <c r="C173" s="6">
        <v>164.11111545562744</v>
      </c>
      <c r="D173" s="6">
        <v>539.0</v>
      </c>
      <c r="E173" s="7">
        <f t="shared" si="1"/>
        <v>0.6567717996</v>
      </c>
      <c r="F173" s="7">
        <f t="shared" si="2"/>
        <v>0.4635907216</v>
      </c>
      <c r="G173" s="7">
        <f t="shared" si="3"/>
        <v>0.3044733125</v>
      </c>
      <c r="H173" s="6">
        <v>938.0</v>
      </c>
      <c r="I173" s="6">
        <v>437.7777880728245</v>
      </c>
      <c r="J173" s="6">
        <v>1305.0</v>
      </c>
      <c r="K173" s="7">
        <f t="shared" si="4"/>
        <v>0.7187739464</v>
      </c>
      <c r="L173" s="7">
        <f t="shared" si="5"/>
        <v>0.4667140598</v>
      </c>
      <c r="M173" s="7">
        <f t="shared" si="6"/>
        <v>0.3354619066</v>
      </c>
      <c r="N173" s="7">
        <f t="shared" si="7"/>
        <v>1.101777702</v>
      </c>
      <c r="O173" s="8"/>
      <c r="P173" s="8"/>
      <c r="Q173" s="8"/>
      <c r="R173" s="8"/>
      <c r="S173" s="8"/>
      <c r="T173" s="8"/>
      <c r="U173" s="11"/>
      <c r="V173" s="11"/>
      <c r="W173" s="11"/>
      <c r="X173" s="8"/>
      <c r="Y173" s="8"/>
      <c r="Z173" s="8"/>
      <c r="AA173" s="11"/>
      <c r="AB173" s="11"/>
      <c r="AC173" s="11"/>
      <c r="AD173" s="11"/>
    </row>
    <row r="174" ht="15.75" customHeight="1">
      <c r="A174" s="6">
        <v>40401.0</v>
      </c>
      <c r="B174" s="6">
        <v>572.0</v>
      </c>
      <c r="C174" s="6">
        <v>248.66667339205742</v>
      </c>
      <c r="D174" s="6">
        <v>983.0</v>
      </c>
      <c r="E174" s="7">
        <f t="shared" si="1"/>
        <v>0.5818921668</v>
      </c>
      <c r="F174" s="7">
        <f t="shared" si="2"/>
        <v>0.4347319465</v>
      </c>
      <c r="G174" s="7">
        <f t="shared" si="3"/>
        <v>0.2529671143</v>
      </c>
      <c r="H174" s="6">
        <v>1236.0</v>
      </c>
      <c r="I174" s="6">
        <v>526.666679084301</v>
      </c>
      <c r="J174" s="6">
        <v>2933.0</v>
      </c>
      <c r="K174" s="7">
        <f t="shared" si="4"/>
        <v>0.421411524</v>
      </c>
      <c r="L174" s="7">
        <f t="shared" si="5"/>
        <v>0.4261057274</v>
      </c>
      <c r="M174" s="7">
        <f t="shared" si="6"/>
        <v>0.179565864</v>
      </c>
      <c r="N174" s="7">
        <f t="shared" si="7"/>
        <v>0.7098387649</v>
      </c>
      <c r="O174" s="8"/>
      <c r="P174" s="8"/>
      <c r="Q174" s="8"/>
      <c r="R174" s="8"/>
      <c r="S174" s="8"/>
      <c r="T174" s="8"/>
      <c r="U174" s="11"/>
      <c r="V174" s="11"/>
      <c r="W174" s="11"/>
      <c r="X174" s="8"/>
      <c r="Y174" s="8"/>
      <c r="Z174" s="8"/>
      <c r="AA174" s="11"/>
      <c r="AB174" s="11"/>
      <c r="AC174" s="11"/>
      <c r="AD174" s="11"/>
    </row>
    <row r="175" ht="15.75" customHeight="1">
      <c r="A175" s="6">
        <v>40402.0</v>
      </c>
      <c r="B175" s="6">
        <v>988.0</v>
      </c>
      <c r="C175" s="6">
        <v>429.4444554448128</v>
      </c>
      <c r="D175" s="6">
        <v>1632.0</v>
      </c>
      <c r="E175" s="7">
        <f t="shared" si="1"/>
        <v>0.6053921569</v>
      </c>
      <c r="F175" s="7">
        <f t="shared" si="2"/>
        <v>0.43466038</v>
      </c>
      <c r="G175" s="7">
        <f t="shared" si="3"/>
        <v>0.263139985</v>
      </c>
      <c r="H175" s="6">
        <v>1842.0</v>
      </c>
      <c r="I175" s="6">
        <v>818.2222419977188</v>
      </c>
      <c r="J175" s="6">
        <v>3507.0</v>
      </c>
      <c r="K175" s="7">
        <f t="shared" si="4"/>
        <v>0.5252352438</v>
      </c>
      <c r="L175" s="7">
        <f t="shared" si="5"/>
        <v>0.4442031716</v>
      </c>
      <c r="M175" s="7">
        <f t="shared" si="6"/>
        <v>0.2333111611</v>
      </c>
      <c r="N175" s="7">
        <f t="shared" si="7"/>
        <v>0.8866427546</v>
      </c>
      <c r="O175" s="8"/>
      <c r="P175" s="8"/>
      <c r="Q175" s="8"/>
      <c r="R175" s="8"/>
      <c r="S175" s="8"/>
      <c r="T175" s="8"/>
      <c r="U175" s="11"/>
      <c r="V175" s="11"/>
      <c r="W175" s="11"/>
      <c r="X175" s="8"/>
      <c r="Y175" s="8"/>
      <c r="Z175" s="8"/>
      <c r="AA175" s="11"/>
      <c r="AB175" s="11"/>
      <c r="AC175" s="11"/>
      <c r="AD175" s="11"/>
    </row>
    <row r="176" ht="15.75" customHeight="1">
      <c r="A176" s="6">
        <v>40501.0</v>
      </c>
      <c r="B176" s="6">
        <v>19.0</v>
      </c>
      <c r="C176" s="6">
        <v>7.111111283302307</v>
      </c>
      <c r="D176" s="6">
        <v>115.0</v>
      </c>
      <c r="E176" s="7">
        <f t="shared" si="1"/>
        <v>0.1652173913</v>
      </c>
      <c r="F176" s="7">
        <f t="shared" si="2"/>
        <v>0.3742690149</v>
      </c>
      <c r="G176" s="7">
        <f t="shared" si="3"/>
        <v>0.06183575029</v>
      </c>
      <c r="H176" s="6">
        <v>29.0</v>
      </c>
      <c r="I176" s="6">
        <v>10.222222477197647</v>
      </c>
      <c r="J176" s="6">
        <v>552.0</v>
      </c>
      <c r="K176" s="7">
        <f t="shared" si="4"/>
        <v>0.05253623188</v>
      </c>
      <c r="L176" s="7">
        <f t="shared" si="5"/>
        <v>0.3524904302</v>
      </c>
      <c r="M176" s="7">
        <f t="shared" si="6"/>
        <v>0.01851851898</v>
      </c>
      <c r="N176" s="7">
        <f t="shared" si="7"/>
        <v>0.2994791669</v>
      </c>
      <c r="O176" s="8"/>
      <c r="P176" s="8"/>
      <c r="Q176" s="8"/>
      <c r="R176" s="8"/>
      <c r="S176" s="8"/>
      <c r="T176" s="8"/>
      <c r="U176" s="11"/>
      <c r="V176" s="11"/>
      <c r="W176" s="11"/>
      <c r="X176" s="8"/>
      <c r="Y176" s="8"/>
      <c r="Z176" s="8"/>
      <c r="AA176" s="11"/>
      <c r="AB176" s="11"/>
      <c r="AC176" s="11"/>
      <c r="AD176" s="11"/>
    </row>
    <row r="177" ht="15.75" customHeight="1">
      <c r="A177" s="6">
        <v>40502.0</v>
      </c>
      <c r="B177" s="6">
        <v>656.0</v>
      </c>
      <c r="C177" s="6">
        <v>301.0000071525574</v>
      </c>
      <c r="D177" s="6">
        <v>923.0</v>
      </c>
      <c r="E177" s="7">
        <f t="shared" si="1"/>
        <v>0.7107258938</v>
      </c>
      <c r="F177" s="7">
        <f t="shared" si="2"/>
        <v>0.4588414743</v>
      </c>
      <c r="G177" s="7">
        <f t="shared" si="3"/>
        <v>0.326110517</v>
      </c>
      <c r="H177" s="6">
        <v>2272.0</v>
      </c>
      <c r="I177" s="6">
        <v>1033.444470077753</v>
      </c>
      <c r="J177" s="6">
        <v>3276.0</v>
      </c>
      <c r="K177" s="7">
        <f t="shared" si="4"/>
        <v>0.6935286935</v>
      </c>
      <c r="L177" s="7">
        <f t="shared" si="5"/>
        <v>0.4548611224</v>
      </c>
      <c r="M177" s="7">
        <f t="shared" si="6"/>
        <v>0.31545924</v>
      </c>
      <c r="N177" s="7">
        <f t="shared" si="7"/>
        <v>0.9673384437</v>
      </c>
      <c r="O177" s="8"/>
      <c r="P177" s="8"/>
      <c r="Q177" s="8"/>
      <c r="R177" s="8"/>
      <c r="S177" s="8"/>
      <c r="T177" s="8"/>
      <c r="U177" s="11"/>
      <c r="V177" s="11"/>
      <c r="W177" s="11"/>
      <c r="X177" s="8"/>
      <c r="Y177" s="8"/>
      <c r="Z177" s="8"/>
      <c r="AA177" s="11"/>
      <c r="AB177" s="11"/>
      <c r="AC177" s="11"/>
      <c r="AD177" s="11"/>
    </row>
    <row r="178" ht="15.75" customHeight="1">
      <c r="A178" s="6">
        <v>40503.0</v>
      </c>
      <c r="B178" s="6">
        <v>228.0</v>
      </c>
      <c r="C178" s="6">
        <v>100.33333587646484</v>
      </c>
      <c r="D178" s="6">
        <v>353.0</v>
      </c>
      <c r="E178" s="7">
        <f t="shared" si="1"/>
        <v>0.6458923513</v>
      </c>
      <c r="F178" s="7">
        <f t="shared" si="2"/>
        <v>0.4400584907</v>
      </c>
      <c r="G178" s="7">
        <f t="shared" si="3"/>
        <v>0.2842304132</v>
      </c>
      <c r="H178" s="6">
        <v>1006.0</v>
      </c>
      <c r="I178" s="6">
        <v>457.1111228764057</v>
      </c>
      <c r="J178" s="6">
        <v>1600.0</v>
      </c>
      <c r="K178" s="7">
        <f t="shared" si="4"/>
        <v>0.62875</v>
      </c>
      <c r="L178" s="7">
        <f t="shared" si="5"/>
        <v>0.454384814</v>
      </c>
      <c r="M178" s="7">
        <f t="shared" si="6"/>
        <v>0.2856944518</v>
      </c>
      <c r="N178" s="7">
        <f t="shared" si="7"/>
        <v>1.005150886</v>
      </c>
      <c r="O178" s="8"/>
      <c r="P178" s="8"/>
      <c r="Q178" s="8"/>
      <c r="R178" s="8"/>
      <c r="S178" s="8"/>
      <c r="T178" s="8"/>
      <c r="U178" s="11"/>
      <c r="V178" s="11"/>
      <c r="W178" s="11"/>
      <c r="X178" s="8"/>
      <c r="Y178" s="8"/>
      <c r="Z178" s="8"/>
      <c r="AA178" s="11"/>
      <c r="AB178" s="11"/>
      <c r="AC178" s="11"/>
      <c r="AD178" s="11"/>
    </row>
    <row r="179" ht="15.75" customHeight="1">
      <c r="A179" s="6">
        <v>40504.0</v>
      </c>
      <c r="B179" s="6">
        <v>32.0</v>
      </c>
      <c r="C179" s="6">
        <v>13.555555820465088</v>
      </c>
      <c r="D179" s="6">
        <v>61.0</v>
      </c>
      <c r="E179" s="7">
        <f t="shared" si="1"/>
        <v>0.5245901639</v>
      </c>
      <c r="F179" s="7">
        <f t="shared" si="2"/>
        <v>0.4236111194</v>
      </c>
      <c r="G179" s="7">
        <f t="shared" si="3"/>
        <v>0.2222222266</v>
      </c>
      <c r="H179" s="6">
        <v>280.0</v>
      </c>
      <c r="I179" s="6">
        <v>117.0000029206276</v>
      </c>
      <c r="J179" s="6">
        <v>452.0</v>
      </c>
      <c r="K179" s="7">
        <f t="shared" si="4"/>
        <v>0.6194690265</v>
      </c>
      <c r="L179" s="7">
        <f t="shared" si="5"/>
        <v>0.4178571533</v>
      </c>
      <c r="M179" s="7">
        <f t="shared" si="6"/>
        <v>0.258849564</v>
      </c>
      <c r="N179" s="7">
        <f t="shared" si="7"/>
        <v>1.164823015</v>
      </c>
      <c r="O179" s="8"/>
      <c r="P179" s="8"/>
      <c r="Q179" s="8"/>
      <c r="R179" s="8"/>
      <c r="S179" s="8"/>
      <c r="T179" s="8"/>
      <c r="U179" s="11"/>
      <c r="V179" s="11"/>
      <c r="W179" s="11"/>
      <c r="X179" s="8"/>
      <c r="Y179" s="8"/>
      <c r="Z179" s="8"/>
      <c r="AA179" s="11"/>
      <c r="AB179" s="11"/>
      <c r="AC179" s="11"/>
      <c r="AD179" s="11"/>
    </row>
    <row r="180" ht="15.75" customHeight="1">
      <c r="A180" s="6">
        <v>40505.0</v>
      </c>
      <c r="B180" s="6">
        <v>114.0</v>
      </c>
      <c r="C180" s="6">
        <v>48.11111241579056</v>
      </c>
      <c r="D180" s="6">
        <v>340.0</v>
      </c>
      <c r="E180" s="7">
        <f t="shared" si="1"/>
        <v>0.3352941176</v>
      </c>
      <c r="F180" s="7">
        <f t="shared" si="2"/>
        <v>0.4220273019</v>
      </c>
      <c r="G180" s="7">
        <f t="shared" si="3"/>
        <v>0.1415032718</v>
      </c>
      <c r="H180" s="6">
        <v>840.0</v>
      </c>
      <c r="I180" s="6">
        <v>351.77778697013855</v>
      </c>
      <c r="J180" s="6">
        <v>2348.0</v>
      </c>
      <c r="K180" s="7">
        <f t="shared" si="4"/>
        <v>0.3577512777</v>
      </c>
      <c r="L180" s="7">
        <f t="shared" si="5"/>
        <v>0.4187830797</v>
      </c>
      <c r="M180" s="7">
        <f t="shared" si="6"/>
        <v>0.1498201818</v>
      </c>
      <c r="N180" s="7">
        <f t="shared" si="7"/>
        <v>1.05877539</v>
      </c>
      <c r="O180" s="8"/>
      <c r="P180" s="8"/>
      <c r="Q180" s="8"/>
      <c r="R180" s="8"/>
      <c r="S180" s="8"/>
      <c r="T180" s="8"/>
      <c r="U180" s="11"/>
      <c r="V180" s="11"/>
      <c r="W180" s="11"/>
      <c r="X180" s="8"/>
      <c r="Y180" s="8"/>
      <c r="Z180" s="8"/>
      <c r="AA180" s="11"/>
      <c r="AB180" s="11"/>
      <c r="AC180" s="11"/>
      <c r="AD180" s="11"/>
    </row>
    <row r="181" ht="15.75" customHeight="1">
      <c r="A181" s="6">
        <v>40601.0</v>
      </c>
      <c r="B181" s="6">
        <v>833.0</v>
      </c>
      <c r="C181" s="6">
        <v>348.0000086724758</v>
      </c>
      <c r="D181" s="6">
        <v>1658.0</v>
      </c>
      <c r="E181" s="7">
        <f t="shared" si="1"/>
        <v>0.5024125452</v>
      </c>
      <c r="F181" s="7">
        <f t="shared" si="2"/>
        <v>0.4177671173</v>
      </c>
      <c r="G181" s="7">
        <f t="shared" si="3"/>
        <v>0.2098914407</v>
      </c>
      <c r="H181" s="6">
        <v>1801.0</v>
      </c>
      <c r="I181" s="6">
        <v>747.2222391664982</v>
      </c>
      <c r="J181" s="6">
        <v>5567.0</v>
      </c>
      <c r="K181" s="7">
        <f t="shared" si="4"/>
        <v>0.3235135621</v>
      </c>
      <c r="L181" s="7">
        <f t="shared" si="5"/>
        <v>0.4148929701</v>
      </c>
      <c r="M181" s="7">
        <f t="shared" si="6"/>
        <v>0.1342235026</v>
      </c>
      <c r="N181" s="7">
        <f t="shared" si="7"/>
        <v>0.6394901202</v>
      </c>
      <c r="O181" s="8"/>
      <c r="P181" s="8"/>
      <c r="Q181" s="8"/>
      <c r="R181" s="8"/>
      <c r="S181" s="8"/>
      <c r="T181" s="8"/>
      <c r="U181" s="11"/>
      <c r="V181" s="11"/>
      <c r="W181" s="11"/>
      <c r="X181" s="8"/>
      <c r="Y181" s="8"/>
      <c r="Z181" s="8"/>
      <c r="AA181" s="11"/>
      <c r="AB181" s="11"/>
      <c r="AC181" s="11"/>
      <c r="AD181" s="11"/>
    </row>
    <row r="182" ht="15.75" customHeight="1">
      <c r="A182" s="6">
        <v>40602.0</v>
      </c>
      <c r="B182" s="6">
        <v>611.0</v>
      </c>
      <c r="C182" s="6">
        <v>258.00000670552254</v>
      </c>
      <c r="D182" s="6">
        <v>1416.0</v>
      </c>
      <c r="E182" s="7">
        <f t="shared" si="1"/>
        <v>0.4314971751</v>
      </c>
      <c r="F182" s="7">
        <f t="shared" si="2"/>
        <v>0.4222586034</v>
      </c>
      <c r="G182" s="7">
        <f t="shared" si="3"/>
        <v>0.1822033946</v>
      </c>
      <c r="H182" s="6">
        <v>1469.0</v>
      </c>
      <c r="I182" s="6">
        <v>612.0000144839287</v>
      </c>
      <c r="J182" s="6">
        <v>4517.0</v>
      </c>
      <c r="K182" s="7">
        <f t="shared" si="4"/>
        <v>0.3252158512</v>
      </c>
      <c r="L182" s="7">
        <f t="shared" si="5"/>
        <v>0.4166099486</v>
      </c>
      <c r="M182" s="7">
        <f t="shared" si="6"/>
        <v>0.1354881591</v>
      </c>
      <c r="N182" s="7">
        <f t="shared" si="7"/>
        <v>0.7436094118</v>
      </c>
      <c r="O182" s="8"/>
      <c r="P182" s="8"/>
      <c r="Q182" s="8"/>
      <c r="R182" s="8"/>
      <c r="S182" s="8"/>
      <c r="T182" s="8"/>
      <c r="U182" s="11"/>
      <c r="V182" s="11"/>
      <c r="W182" s="11"/>
      <c r="X182" s="8"/>
      <c r="Y182" s="8"/>
      <c r="Z182" s="8"/>
      <c r="AA182" s="11"/>
      <c r="AB182" s="11"/>
      <c r="AC182" s="11"/>
      <c r="AD182" s="11"/>
    </row>
    <row r="183" ht="15.75" customHeight="1">
      <c r="A183" s="6">
        <v>40603.0</v>
      </c>
      <c r="B183" s="6">
        <v>216.0</v>
      </c>
      <c r="C183" s="6">
        <v>87.111113011837</v>
      </c>
      <c r="D183" s="6">
        <v>443.0</v>
      </c>
      <c r="E183" s="7">
        <f t="shared" si="1"/>
        <v>0.4875846501</v>
      </c>
      <c r="F183" s="7">
        <f t="shared" si="2"/>
        <v>0.4032921899</v>
      </c>
      <c r="G183" s="7">
        <f t="shared" si="3"/>
        <v>0.1966390813</v>
      </c>
      <c r="H183" s="6">
        <v>717.0</v>
      </c>
      <c r="I183" s="6">
        <v>299.5555631518364</v>
      </c>
      <c r="J183" s="6">
        <v>2786.0</v>
      </c>
      <c r="K183" s="7">
        <f t="shared" si="4"/>
        <v>0.2573582197</v>
      </c>
      <c r="L183" s="7">
        <f t="shared" si="5"/>
        <v>0.4177901857</v>
      </c>
      <c r="M183" s="7">
        <f t="shared" si="6"/>
        <v>0.1075217384</v>
      </c>
      <c r="N183" s="7">
        <f t="shared" si="7"/>
        <v>0.5467974</v>
      </c>
      <c r="O183" s="8"/>
      <c r="P183" s="8"/>
      <c r="Q183" s="8"/>
      <c r="R183" s="8"/>
      <c r="S183" s="8"/>
      <c r="T183" s="8"/>
      <c r="U183" s="11"/>
      <c r="V183" s="11"/>
      <c r="W183" s="11"/>
      <c r="X183" s="8"/>
      <c r="Y183" s="8"/>
      <c r="Z183" s="8"/>
      <c r="AA183" s="11"/>
      <c r="AB183" s="11"/>
      <c r="AC183" s="11"/>
      <c r="AD183" s="11"/>
    </row>
    <row r="184" ht="15.75" customHeight="1">
      <c r="A184" s="6">
        <v>40701.0</v>
      </c>
      <c r="B184" s="6">
        <v>703.0</v>
      </c>
      <c r="C184" s="6">
        <v>288.00000643730164</v>
      </c>
      <c r="D184" s="6">
        <v>2539.0</v>
      </c>
      <c r="E184" s="7">
        <f t="shared" si="1"/>
        <v>0.2768806617</v>
      </c>
      <c r="F184" s="7">
        <f t="shared" si="2"/>
        <v>0.4096728399</v>
      </c>
      <c r="G184" s="7">
        <f t="shared" si="3"/>
        <v>0.113430487</v>
      </c>
      <c r="H184" s="6">
        <v>3788.0</v>
      </c>
      <c r="I184" s="6">
        <v>1510.5555936992168</v>
      </c>
      <c r="J184" s="6">
        <v>21631.0</v>
      </c>
      <c r="K184" s="7">
        <f t="shared" si="4"/>
        <v>0.1751190421</v>
      </c>
      <c r="L184" s="7">
        <f t="shared" si="5"/>
        <v>0.398773916</v>
      </c>
      <c r="M184" s="7">
        <f t="shared" si="6"/>
        <v>0.06983290619</v>
      </c>
      <c r="N184" s="7">
        <f t="shared" si="7"/>
        <v>0.6156449474</v>
      </c>
      <c r="O184" s="8"/>
      <c r="P184" s="8"/>
      <c r="Q184" s="8"/>
      <c r="R184" s="8"/>
      <c r="S184" s="8"/>
      <c r="T184" s="8"/>
      <c r="U184" s="11"/>
      <c r="V184" s="11"/>
      <c r="W184" s="11"/>
      <c r="X184" s="8"/>
      <c r="Y184" s="8"/>
      <c r="Z184" s="8"/>
      <c r="AA184" s="11"/>
      <c r="AB184" s="11"/>
      <c r="AC184" s="11"/>
      <c r="AD184" s="11"/>
    </row>
    <row r="185" ht="15.75" customHeight="1">
      <c r="A185" s="6">
        <v>40702.0</v>
      </c>
      <c r="B185" s="6">
        <v>373.0</v>
      </c>
      <c r="C185" s="6">
        <v>156.44444796442986</v>
      </c>
      <c r="D185" s="6">
        <v>1437.0</v>
      </c>
      <c r="E185" s="7">
        <f t="shared" si="1"/>
        <v>0.2595685456</v>
      </c>
      <c r="F185" s="7">
        <f t="shared" si="2"/>
        <v>0.4194221125</v>
      </c>
      <c r="G185" s="7">
        <f t="shared" si="3"/>
        <v>0.1088687877</v>
      </c>
      <c r="H185" s="6">
        <v>765.0</v>
      </c>
      <c r="I185" s="6">
        <v>310.0000077486038</v>
      </c>
      <c r="J185" s="6">
        <v>3303.0</v>
      </c>
      <c r="K185" s="7">
        <f t="shared" si="4"/>
        <v>0.2316076294</v>
      </c>
      <c r="L185" s="7">
        <f t="shared" si="5"/>
        <v>0.4052287683</v>
      </c>
      <c r="M185" s="7">
        <f t="shared" si="6"/>
        <v>0.0938540744</v>
      </c>
      <c r="N185" s="7">
        <f t="shared" si="7"/>
        <v>0.862084316</v>
      </c>
      <c r="O185" s="8"/>
      <c r="P185" s="8"/>
      <c r="Q185" s="8"/>
      <c r="R185" s="8"/>
      <c r="S185" s="8"/>
      <c r="T185" s="8"/>
      <c r="U185" s="11"/>
      <c r="V185" s="11"/>
      <c r="W185" s="11"/>
      <c r="X185" s="8"/>
      <c r="Y185" s="8"/>
      <c r="Z185" s="8"/>
      <c r="AA185" s="11"/>
      <c r="AB185" s="11"/>
      <c r="AC185" s="11"/>
      <c r="AD185" s="11"/>
    </row>
    <row r="186" ht="15.75" customHeight="1">
      <c r="A186" s="6">
        <v>40801.0</v>
      </c>
      <c r="B186" s="6">
        <v>1447.0</v>
      </c>
      <c r="C186" s="6">
        <v>598.1111253499985</v>
      </c>
      <c r="D186" s="6">
        <v>2735.0</v>
      </c>
      <c r="E186" s="7">
        <f t="shared" si="1"/>
        <v>0.5290676417</v>
      </c>
      <c r="F186" s="7">
        <f t="shared" si="2"/>
        <v>0.4133456291</v>
      </c>
      <c r="G186" s="7">
        <f t="shared" si="3"/>
        <v>0.2186877972</v>
      </c>
      <c r="H186" s="6">
        <v>5000.0</v>
      </c>
      <c r="I186" s="6">
        <v>2119.2222746908665</v>
      </c>
      <c r="J186" s="6">
        <v>8982.0</v>
      </c>
      <c r="K186" s="7">
        <f t="shared" si="4"/>
        <v>0.5566688933</v>
      </c>
      <c r="L186" s="7">
        <f t="shared" si="5"/>
        <v>0.4238444549</v>
      </c>
      <c r="M186" s="7">
        <f t="shared" si="6"/>
        <v>0.2359410237</v>
      </c>
      <c r="N186" s="7">
        <f t="shared" si="7"/>
        <v>1.078894327</v>
      </c>
      <c r="O186" s="8"/>
      <c r="P186" s="8"/>
      <c r="Q186" s="8"/>
      <c r="R186" s="8"/>
      <c r="S186" s="8"/>
      <c r="T186" s="8"/>
      <c r="U186" s="11"/>
      <c r="V186" s="11"/>
      <c r="W186" s="11"/>
      <c r="X186" s="8"/>
      <c r="Y186" s="8"/>
      <c r="Z186" s="8"/>
      <c r="AA186" s="11"/>
      <c r="AB186" s="11"/>
      <c r="AC186" s="11"/>
      <c r="AD186" s="11"/>
    </row>
    <row r="187" ht="15.75" customHeight="1">
      <c r="A187" s="6">
        <v>40802.0</v>
      </c>
      <c r="B187" s="6">
        <v>318.0</v>
      </c>
      <c r="C187" s="6">
        <v>141.44444784522057</v>
      </c>
      <c r="D187" s="6">
        <v>540.0</v>
      </c>
      <c r="E187" s="7">
        <f t="shared" si="1"/>
        <v>0.5888888889</v>
      </c>
      <c r="F187" s="7">
        <f t="shared" si="2"/>
        <v>0.4447938611</v>
      </c>
      <c r="G187" s="7">
        <f t="shared" si="3"/>
        <v>0.2619341627</v>
      </c>
      <c r="H187" s="6">
        <v>1411.0</v>
      </c>
      <c r="I187" s="6">
        <v>615.5555707514286</v>
      </c>
      <c r="J187" s="6">
        <v>2392.0</v>
      </c>
      <c r="K187" s="7">
        <f t="shared" si="4"/>
        <v>0.5898829431</v>
      </c>
      <c r="L187" s="7">
        <f t="shared" si="5"/>
        <v>0.436254834</v>
      </c>
      <c r="M187" s="7">
        <f t="shared" si="6"/>
        <v>0.2573392854</v>
      </c>
      <c r="N187" s="7">
        <f t="shared" si="7"/>
        <v>0.9824578925</v>
      </c>
      <c r="O187" s="8"/>
      <c r="P187" s="8"/>
      <c r="Q187" s="8"/>
      <c r="R187" s="8"/>
      <c r="S187" s="8"/>
      <c r="T187" s="8"/>
      <c r="U187" s="11"/>
      <c r="V187" s="11"/>
      <c r="W187" s="11"/>
      <c r="X187" s="8"/>
      <c r="Y187" s="8"/>
      <c r="Z187" s="8"/>
      <c r="AA187" s="11"/>
      <c r="AB187" s="11"/>
      <c r="AC187" s="11"/>
      <c r="AD187" s="11"/>
    </row>
    <row r="188" ht="15.75" customHeight="1">
      <c r="A188" s="6">
        <v>40901.0</v>
      </c>
      <c r="B188" s="6">
        <v>394.0</v>
      </c>
      <c r="C188" s="6">
        <v>162.44444811344147</v>
      </c>
      <c r="D188" s="6">
        <v>1068.0</v>
      </c>
      <c r="E188" s="7">
        <f t="shared" si="1"/>
        <v>0.3689138577</v>
      </c>
      <c r="F188" s="7">
        <f t="shared" si="2"/>
        <v>0.4122955536</v>
      </c>
      <c r="G188" s="7">
        <f t="shared" si="3"/>
        <v>0.1521015432</v>
      </c>
      <c r="H188" s="6">
        <v>3207.0</v>
      </c>
      <c r="I188" s="6">
        <v>1358.2222561836243</v>
      </c>
      <c r="J188" s="6">
        <v>6736.0</v>
      </c>
      <c r="K188" s="7">
        <f t="shared" si="4"/>
        <v>0.4760985748</v>
      </c>
      <c r="L188" s="7">
        <f t="shared" si="5"/>
        <v>0.4235180094</v>
      </c>
      <c r="M188" s="7">
        <f t="shared" si="6"/>
        <v>0.2016363207</v>
      </c>
      <c r="N188" s="7">
        <f t="shared" si="7"/>
        <v>1.325669132</v>
      </c>
      <c r="O188" s="8"/>
      <c r="P188" s="8"/>
      <c r="Q188" s="8"/>
      <c r="R188" s="8"/>
      <c r="S188" s="8"/>
      <c r="T188" s="8"/>
      <c r="U188" s="11"/>
      <c r="V188" s="11"/>
      <c r="W188" s="11"/>
      <c r="X188" s="8"/>
      <c r="Y188" s="8"/>
      <c r="Z188" s="8"/>
      <c r="AA188" s="11"/>
      <c r="AB188" s="11"/>
      <c r="AC188" s="11"/>
      <c r="AD188" s="11"/>
    </row>
    <row r="189" ht="15.75" customHeight="1">
      <c r="A189" s="6">
        <v>40902.0</v>
      </c>
      <c r="B189" s="6">
        <v>74.0</v>
      </c>
      <c r="C189" s="6">
        <v>30.777778685092926</v>
      </c>
      <c r="D189" s="6">
        <v>142.0</v>
      </c>
      <c r="E189" s="7">
        <f t="shared" si="1"/>
        <v>0.5211267606</v>
      </c>
      <c r="F189" s="7">
        <f t="shared" si="2"/>
        <v>0.4159159282</v>
      </c>
      <c r="G189" s="7">
        <f t="shared" si="3"/>
        <v>0.2167449203</v>
      </c>
      <c r="H189" s="6">
        <v>393.0</v>
      </c>
      <c r="I189" s="6">
        <v>168.1111156642437</v>
      </c>
      <c r="J189" s="6">
        <v>732.0</v>
      </c>
      <c r="K189" s="7">
        <f t="shared" si="4"/>
        <v>0.5368852459</v>
      </c>
      <c r="L189" s="7">
        <f t="shared" si="5"/>
        <v>0.4277636531</v>
      </c>
      <c r="M189" s="7">
        <f t="shared" si="6"/>
        <v>0.2296599941</v>
      </c>
      <c r="N189" s="7">
        <f t="shared" si="7"/>
        <v>1.059586512</v>
      </c>
      <c r="O189" s="8"/>
      <c r="P189" s="8"/>
      <c r="Q189" s="8"/>
      <c r="R189" s="8"/>
      <c r="S189" s="8"/>
      <c r="T189" s="8"/>
      <c r="U189" s="11"/>
      <c r="V189" s="11"/>
      <c r="W189" s="11"/>
      <c r="X189" s="8"/>
      <c r="Y189" s="8"/>
      <c r="Z189" s="8"/>
      <c r="AA189" s="11"/>
      <c r="AB189" s="11"/>
      <c r="AC189" s="11"/>
      <c r="AD189" s="11"/>
    </row>
    <row r="190" ht="15.75" customHeight="1">
      <c r="A190" s="6">
        <v>40903.0</v>
      </c>
      <c r="B190" s="6">
        <v>142.0</v>
      </c>
      <c r="C190" s="6">
        <v>56.666667968034744</v>
      </c>
      <c r="D190" s="6">
        <v>269.0</v>
      </c>
      <c r="E190" s="7">
        <f t="shared" si="1"/>
        <v>0.5278810409</v>
      </c>
      <c r="F190" s="7">
        <f t="shared" si="2"/>
        <v>0.399061042</v>
      </c>
      <c r="G190" s="7">
        <f t="shared" si="3"/>
        <v>0.2106567582</v>
      </c>
      <c r="H190" s="6">
        <v>894.0</v>
      </c>
      <c r="I190" s="6">
        <v>395.66667702794075</v>
      </c>
      <c r="J190" s="6">
        <v>1711.0</v>
      </c>
      <c r="K190" s="7">
        <f t="shared" si="4"/>
        <v>0.5225014611</v>
      </c>
      <c r="L190" s="7">
        <f t="shared" si="5"/>
        <v>0.4425801756</v>
      </c>
      <c r="M190" s="7">
        <f t="shared" si="6"/>
        <v>0.2312487884</v>
      </c>
      <c r="N190" s="7">
        <f t="shared" si="7"/>
        <v>1.097751576</v>
      </c>
      <c r="O190" s="8"/>
      <c r="P190" s="8"/>
      <c r="Q190" s="8"/>
      <c r="R190" s="8"/>
      <c r="S190" s="8"/>
      <c r="T190" s="8"/>
      <c r="U190" s="11"/>
      <c r="V190" s="11"/>
      <c r="W190" s="11"/>
      <c r="X190" s="8"/>
      <c r="Y190" s="8"/>
      <c r="Z190" s="8"/>
      <c r="AA190" s="11"/>
      <c r="AB190" s="11"/>
      <c r="AC190" s="11"/>
      <c r="AD190" s="11"/>
    </row>
    <row r="191" ht="15.75" customHeight="1">
      <c r="A191" s="6">
        <v>41001.0</v>
      </c>
      <c r="B191" s="6">
        <v>1845.0</v>
      </c>
      <c r="C191" s="6">
        <v>847.0000199973583</v>
      </c>
      <c r="D191" s="6">
        <v>2329.0</v>
      </c>
      <c r="E191" s="7">
        <f t="shared" si="1"/>
        <v>0.7921854873</v>
      </c>
      <c r="F191" s="7">
        <f t="shared" si="2"/>
        <v>0.4590786016</v>
      </c>
      <c r="G191" s="7">
        <f t="shared" si="3"/>
        <v>0.3636754058</v>
      </c>
      <c r="H191" s="6">
        <v>5662.0</v>
      </c>
      <c r="I191" s="6">
        <v>2620.666725695133</v>
      </c>
      <c r="J191" s="6">
        <v>7698.0</v>
      </c>
      <c r="K191" s="7">
        <f t="shared" si="4"/>
        <v>0.7355157184</v>
      </c>
      <c r="L191" s="7">
        <f t="shared" si="5"/>
        <v>0.4628517707</v>
      </c>
      <c r="M191" s="7">
        <f t="shared" si="6"/>
        <v>0.3404347526</v>
      </c>
      <c r="N191" s="7">
        <f t="shared" si="7"/>
        <v>0.9360950651</v>
      </c>
      <c r="O191" s="8"/>
      <c r="P191" s="8"/>
      <c r="Q191" s="8"/>
      <c r="R191" s="8"/>
      <c r="S191" s="8"/>
      <c r="T191" s="8"/>
      <c r="U191" s="11"/>
      <c r="V191" s="11"/>
      <c r="W191" s="11"/>
      <c r="X191" s="8"/>
      <c r="Y191" s="8"/>
      <c r="Z191" s="8"/>
      <c r="AA191" s="11"/>
      <c r="AB191" s="11"/>
      <c r="AC191" s="11"/>
      <c r="AD191" s="11"/>
    </row>
    <row r="192" ht="15.75" customHeight="1">
      <c r="A192" s="6">
        <v>41101.0</v>
      </c>
      <c r="B192" s="6">
        <v>532.0</v>
      </c>
      <c r="C192" s="6">
        <v>221.66667208075523</v>
      </c>
      <c r="D192" s="6">
        <v>1087.0</v>
      </c>
      <c r="E192" s="7">
        <f t="shared" si="1"/>
        <v>0.4894204232</v>
      </c>
      <c r="F192" s="7">
        <f t="shared" si="2"/>
        <v>0.4166666768</v>
      </c>
      <c r="G192" s="7">
        <f t="shared" si="3"/>
        <v>0.2039251813</v>
      </c>
      <c r="H192" s="6">
        <v>1554.0</v>
      </c>
      <c r="I192" s="6">
        <v>660.2222388386726</v>
      </c>
      <c r="J192" s="6">
        <v>4141.0</v>
      </c>
      <c r="K192" s="7">
        <f t="shared" si="4"/>
        <v>0.3752716735</v>
      </c>
      <c r="L192" s="7">
        <f t="shared" si="5"/>
        <v>0.4248534355</v>
      </c>
      <c r="M192" s="7">
        <f t="shared" si="6"/>
        <v>0.1594354598</v>
      </c>
      <c r="N192" s="7">
        <f t="shared" si="7"/>
        <v>0.7818331151</v>
      </c>
      <c r="O192" s="8"/>
      <c r="P192" s="8"/>
      <c r="Q192" s="8"/>
      <c r="R192" s="8"/>
      <c r="S192" s="8"/>
      <c r="T192" s="8"/>
      <c r="U192" s="11"/>
      <c r="V192" s="11"/>
      <c r="W192" s="11"/>
      <c r="X192" s="8"/>
      <c r="Y192" s="8"/>
      <c r="Z192" s="8"/>
      <c r="AA192" s="11"/>
      <c r="AB192" s="11"/>
      <c r="AC192" s="11"/>
      <c r="AD192" s="11"/>
    </row>
    <row r="193" ht="15.75" customHeight="1">
      <c r="A193" s="6">
        <v>41201.0</v>
      </c>
      <c r="B193" s="6">
        <v>1066.0</v>
      </c>
      <c r="C193" s="6">
        <v>466.7777890264988</v>
      </c>
      <c r="D193" s="6">
        <v>1482.0</v>
      </c>
      <c r="E193" s="7">
        <f t="shared" si="1"/>
        <v>0.7192982456</v>
      </c>
      <c r="F193" s="7">
        <f t="shared" si="2"/>
        <v>0.4378778509</v>
      </c>
      <c r="G193" s="7">
        <f t="shared" si="3"/>
        <v>0.3149647699</v>
      </c>
      <c r="H193" s="6">
        <v>2582.0</v>
      </c>
      <c r="I193" s="6">
        <v>1159.7778044641018</v>
      </c>
      <c r="J193" s="6">
        <v>3703.0</v>
      </c>
      <c r="K193" s="7">
        <f t="shared" si="4"/>
        <v>0.6972724818</v>
      </c>
      <c r="L193" s="7">
        <f t="shared" si="5"/>
        <v>0.4491780807</v>
      </c>
      <c r="M193" s="7">
        <f t="shared" si="6"/>
        <v>0.3131995151</v>
      </c>
      <c r="N193" s="7">
        <f t="shared" si="7"/>
        <v>0.9943953896</v>
      </c>
      <c r="O193" s="8"/>
      <c r="P193" s="8"/>
      <c r="Q193" s="8"/>
      <c r="R193" s="8"/>
      <c r="S193" s="8"/>
      <c r="T193" s="8"/>
      <c r="U193" s="11"/>
      <c r="V193" s="11"/>
      <c r="W193" s="11"/>
      <c r="X193" s="8"/>
      <c r="Y193" s="8"/>
      <c r="Z193" s="8"/>
      <c r="AA193" s="11"/>
      <c r="AB193" s="11"/>
      <c r="AC193" s="11"/>
      <c r="AD193" s="11"/>
    </row>
    <row r="194" ht="15.75" customHeight="1">
      <c r="A194" s="6">
        <v>41202.0</v>
      </c>
      <c r="B194" s="6">
        <v>427.0</v>
      </c>
      <c r="C194" s="6">
        <v>184.3333376944065</v>
      </c>
      <c r="D194" s="6">
        <v>623.0</v>
      </c>
      <c r="E194" s="7">
        <f t="shared" si="1"/>
        <v>0.6853932584</v>
      </c>
      <c r="F194" s="7">
        <f t="shared" si="2"/>
        <v>0.4316939993</v>
      </c>
      <c r="G194" s="7">
        <f t="shared" si="3"/>
        <v>0.2958801568</v>
      </c>
      <c r="H194" s="6">
        <v>807.0</v>
      </c>
      <c r="I194" s="6">
        <v>329.44445195794106</v>
      </c>
      <c r="J194" s="6">
        <v>1370.0</v>
      </c>
      <c r="K194" s="7">
        <f t="shared" si="4"/>
        <v>0.5890510949</v>
      </c>
      <c r="L194" s="7">
        <f t="shared" si="5"/>
        <v>0.4082335216</v>
      </c>
      <c r="M194" s="7">
        <f t="shared" si="6"/>
        <v>0.2404704029</v>
      </c>
      <c r="N194" s="7">
        <f t="shared" si="7"/>
        <v>0.812729064</v>
      </c>
      <c r="O194" s="8"/>
      <c r="P194" s="8"/>
      <c r="Q194" s="8"/>
      <c r="R194" s="8"/>
      <c r="S194" s="8"/>
      <c r="T194" s="8"/>
      <c r="U194" s="11"/>
      <c r="V194" s="11"/>
      <c r="W194" s="11"/>
      <c r="X194" s="8"/>
      <c r="Y194" s="8"/>
      <c r="Z194" s="8"/>
      <c r="AA194" s="11"/>
      <c r="AB194" s="11"/>
      <c r="AC194" s="11"/>
      <c r="AD194" s="11"/>
    </row>
    <row r="195" ht="15.75" customHeight="1">
      <c r="A195" s="6">
        <v>41301.0</v>
      </c>
      <c r="B195" s="6">
        <v>1107.0</v>
      </c>
      <c r="C195" s="6">
        <v>500.2222335636616</v>
      </c>
      <c r="D195" s="6">
        <v>1472.0</v>
      </c>
      <c r="E195" s="7">
        <f t="shared" si="1"/>
        <v>0.7520380435</v>
      </c>
      <c r="F195" s="7">
        <f t="shared" si="2"/>
        <v>0.4518719364</v>
      </c>
      <c r="G195" s="7">
        <f t="shared" si="3"/>
        <v>0.3398248869</v>
      </c>
      <c r="H195" s="6">
        <v>2831.0</v>
      </c>
      <c r="I195" s="6">
        <v>1292.333363801241</v>
      </c>
      <c r="J195" s="6">
        <v>4022.0</v>
      </c>
      <c r="K195" s="7">
        <f t="shared" si="4"/>
        <v>0.7038786673</v>
      </c>
      <c r="L195" s="7">
        <f t="shared" si="5"/>
        <v>0.4564935937</v>
      </c>
      <c r="M195" s="7">
        <f t="shared" si="6"/>
        <v>0.3213161024</v>
      </c>
      <c r="N195" s="7">
        <f t="shared" si="7"/>
        <v>0.9455343465</v>
      </c>
      <c r="O195" s="8"/>
      <c r="P195" s="8"/>
      <c r="Q195" s="8"/>
      <c r="R195" s="8"/>
      <c r="S195" s="8"/>
      <c r="T195" s="8"/>
      <c r="U195" s="11"/>
      <c r="V195" s="11"/>
      <c r="W195" s="11"/>
      <c r="X195" s="8"/>
      <c r="Y195" s="8"/>
      <c r="Z195" s="8"/>
      <c r="AA195" s="11"/>
      <c r="AB195" s="11"/>
      <c r="AC195" s="11"/>
      <c r="AD195" s="11"/>
    </row>
    <row r="196" ht="15.75" customHeight="1">
      <c r="A196" s="6">
        <v>41401.0</v>
      </c>
      <c r="B196" s="6">
        <v>1787.0</v>
      </c>
      <c r="C196" s="6">
        <v>814.1111311912537</v>
      </c>
      <c r="D196" s="6">
        <v>3130.0</v>
      </c>
      <c r="E196" s="7">
        <f t="shared" si="1"/>
        <v>0.5709265176</v>
      </c>
      <c r="F196" s="7">
        <f t="shared" si="2"/>
        <v>0.45557422</v>
      </c>
      <c r="G196" s="7">
        <f t="shared" si="3"/>
        <v>0.2600994029</v>
      </c>
      <c r="H196" s="6">
        <v>5149.0</v>
      </c>
      <c r="I196" s="6">
        <v>2401.8889486789703</v>
      </c>
      <c r="J196" s="6">
        <v>9962.0</v>
      </c>
      <c r="K196" s="7">
        <f t="shared" si="4"/>
        <v>0.5168640835</v>
      </c>
      <c r="L196" s="7">
        <f t="shared" si="5"/>
        <v>0.4664767816</v>
      </c>
      <c r="M196" s="7">
        <f t="shared" si="6"/>
        <v>0.2411050942</v>
      </c>
      <c r="N196" s="7">
        <f t="shared" si="7"/>
        <v>0.9269728862</v>
      </c>
      <c r="O196" s="8"/>
      <c r="P196" s="8"/>
      <c r="Q196" s="8"/>
      <c r="R196" s="8"/>
      <c r="S196" s="8"/>
      <c r="T196" s="8"/>
      <c r="U196" s="11"/>
      <c r="V196" s="11"/>
      <c r="W196" s="11"/>
      <c r="X196" s="8"/>
      <c r="Y196" s="8"/>
      <c r="Z196" s="8"/>
      <c r="AA196" s="11"/>
      <c r="AB196" s="11"/>
      <c r="AC196" s="11"/>
      <c r="AD196" s="11"/>
    </row>
    <row r="197" ht="15.75" customHeight="1">
      <c r="A197" s="6">
        <v>41501.0</v>
      </c>
      <c r="B197" s="6">
        <v>60.0</v>
      </c>
      <c r="C197" s="6">
        <v>24.111111640930176</v>
      </c>
      <c r="D197" s="6">
        <v>80.0</v>
      </c>
      <c r="E197" s="7">
        <f t="shared" si="1"/>
        <v>0.75</v>
      </c>
      <c r="F197" s="7">
        <f t="shared" si="2"/>
        <v>0.4018518607</v>
      </c>
      <c r="G197" s="7">
        <f t="shared" si="3"/>
        <v>0.3013888955</v>
      </c>
      <c r="H197" s="6">
        <v>288.0</v>
      </c>
      <c r="I197" s="6">
        <v>131.3333367407322</v>
      </c>
      <c r="J197" s="6">
        <v>427.0</v>
      </c>
      <c r="K197" s="7">
        <f t="shared" si="4"/>
        <v>0.6744730679</v>
      </c>
      <c r="L197" s="7">
        <f t="shared" si="5"/>
        <v>0.4560185303</v>
      </c>
      <c r="M197" s="7">
        <f t="shared" si="6"/>
        <v>0.3075722172</v>
      </c>
      <c r="N197" s="7">
        <f t="shared" si="7"/>
        <v>1.02051609</v>
      </c>
      <c r="O197" s="8"/>
      <c r="P197" s="8"/>
      <c r="Q197" s="8"/>
      <c r="R197" s="8"/>
      <c r="S197" s="8"/>
      <c r="T197" s="8"/>
      <c r="U197" s="11"/>
      <c r="V197" s="11"/>
      <c r="W197" s="11"/>
      <c r="X197" s="8"/>
      <c r="Y197" s="8"/>
      <c r="Z197" s="8"/>
      <c r="AA197" s="11"/>
      <c r="AB197" s="11"/>
      <c r="AC197" s="11"/>
      <c r="AD197" s="11"/>
    </row>
    <row r="198" ht="15.75" customHeight="1">
      <c r="A198" s="6">
        <v>41502.0</v>
      </c>
      <c r="B198" s="6">
        <v>66.0</v>
      </c>
      <c r="C198" s="6">
        <v>31.22222289443016</v>
      </c>
      <c r="D198" s="6">
        <v>113.0</v>
      </c>
      <c r="E198" s="7">
        <f t="shared" si="1"/>
        <v>0.5840707965</v>
      </c>
      <c r="F198" s="7">
        <f t="shared" si="2"/>
        <v>0.4730639832</v>
      </c>
      <c r="G198" s="7">
        <f t="shared" si="3"/>
        <v>0.2763028575</v>
      </c>
      <c r="H198" s="6">
        <v>404.0</v>
      </c>
      <c r="I198" s="6">
        <v>187.1111156642437</v>
      </c>
      <c r="J198" s="6">
        <v>548.0</v>
      </c>
      <c r="K198" s="7">
        <f t="shared" si="4"/>
        <v>0.7372262774</v>
      </c>
      <c r="L198" s="7">
        <f t="shared" si="5"/>
        <v>0.4631463259</v>
      </c>
      <c r="M198" s="7">
        <f t="shared" si="6"/>
        <v>0.3414436417</v>
      </c>
      <c r="N198" s="7">
        <f t="shared" si="7"/>
        <v>1.235758634</v>
      </c>
      <c r="O198" s="8"/>
      <c r="P198" s="8"/>
      <c r="Q198" s="8"/>
      <c r="R198" s="8"/>
      <c r="S198" s="8"/>
      <c r="T198" s="8"/>
      <c r="U198" s="11"/>
      <c r="V198" s="11"/>
      <c r="W198" s="11"/>
      <c r="X198" s="8"/>
      <c r="Y198" s="8"/>
      <c r="Z198" s="8"/>
      <c r="AA198" s="11"/>
      <c r="AB198" s="11"/>
      <c r="AC198" s="11"/>
      <c r="AD198" s="11"/>
    </row>
    <row r="199" ht="15.75" customHeight="1">
      <c r="A199" s="6">
        <v>41503.0</v>
      </c>
      <c r="B199" s="6">
        <v>93.0</v>
      </c>
      <c r="C199" s="6">
        <v>46.55555680394173</v>
      </c>
      <c r="D199" s="6">
        <v>106.0</v>
      </c>
      <c r="E199" s="7">
        <f t="shared" si="1"/>
        <v>0.8773584906</v>
      </c>
      <c r="F199" s="7">
        <f t="shared" si="2"/>
        <v>0.500597385</v>
      </c>
      <c r="G199" s="7">
        <f t="shared" si="3"/>
        <v>0.4392033661</v>
      </c>
      <c r="H199" s="6">
        <v>546.0</v>
      </c>
      <c r="I199" s="6">
        <v>252.3333398103714</v>
      </c>
      <c r="J199" s="6">
        <v>734.0</v>
      </c>
      <c r="K199" s="7">
        <f t="shared" si="4"/>
        <v>0.7438692098</v>
      </c>
      <c r="L199" s="7">
        <f t="shared" si="5"/>
        <v>0.462148974</v>
      </c>
      <c r="M199" s="7">
        <f t="shared" si="6"/>
        <v>0.3437783921</v>
      </c>
      <c r="N199" s="7">
        <f t="shared" si="7"/>
        <v>0.782731688</v>
      </c>
      <c r="O199" s="8"/>
      <c r="P199" s="8"/>
      <c r="Q199" s="8"/>
      <c r="R199" s="8"/>
      <c r="S199" s="8"/>
      <c r="T199" s="8"/>
      <c r="U199" s="11"/>
      <c r="V199" s="11"/>
      <c r="W199" s="11"/>
      <c r="X199" s="8"/>
      <c r="Y199" s="8"/>
      <c r="Z199" s="8"/>
      <c r="AA199" s="11"/>
      <c r="AB199" s="11"/>
      <c r="AC199" s="11"/>
      <c r="AD199" s="11"/>
    </row>
    <row r="200" ht="15.75" customHeight="1">
      <c r="A200" s="6">
        <v>41601.0</v>
      </c>
      <c r="B200" s="6">
        <v>1452.0</v>
      </c>
      <c r="C200" s="6">
        <v>655.7777928411961</v>
      </c>
      <c r="D200" s="6">
        <v>1871.0</v>
      </c>
      <c r="E200" s="7">
        <f t="shared" si="1"/>
        <v>0.7760555852</v>
      </c>
      <c r="F200" s="7">
        <f t="shared" si="2"/>
        <v>0.4516375984</v>
      </c>
      <c r="G200" s="7">
        <f t="shared" si="3"/>
        <v>0.3504958807</v>
      </c>
      <c r="H200" s="6">
        <v>2695.0</v>
      </c>
      <c r="I200" s="6">
        <v>1250.0000285804272</v>
      </c>
      <c r="J200" s="6">
        <v>3592.0</v>
      </c>
      <c r="K200" s="7">
        <f t="shared" si="4"/>
        <v>0.7502783964</v>
      </c>
      <c r="L200" s="7">
        <f t="shared" si="5"/>
        <v>0.463821903</v>
      </c>
      <c r="M200" s="7">
        <f t="shared" si="6"/>
        <v>0.3479955536</v>
      </c>
      <c r="N200" s="7">
        <f t="shared" si="7"/>
        <v>0.9928663153</v>
      </c>
      <c r="O200" s="8"/>
      <c r="P200" s="8"/>
      <c r="Q200" s="8"/>
      <c r="R200" s="8"/>
      <c r="S200" s="8"/>
      <c r="T200" s="8"/>
      <c r="U200" s="11"/>
      <c r="V200" s="11"/>
      <c r="W200" s="11"/>
      <c r="X200" s="8"/>
      <c r="Y200" s="8"/>
      <c r="Z200" s="8"/>
      <c r="AA200" s="11"/>
      <c r="AB200" s="11"/>
      <c r="AC200" s="11"/>
      <c r="AD200" s="11"/>
    </row>
    <row r="201" ht="15.75" customHeight="1">
      <c r="A201" s="6">
        <v>50101.0</v>
      </c>
      <c r="B201" s="6">
        <v>3521.0</v>
      </c>
      <c r="C201" s="6">
        <v>1485.5555942952633</v>
      </c>
      <c r="D201" s="6">
        <v>27358.0</v>
      </c>
      <c r="E201" s="7">
        <f t="shared" si="1"/>
        <v>0.1287009284</v>
      </c>
      <c r="F201" s="7">
        <f t="shared" si="2"/>
        <v>0.4219129776</v>
      </c>
      <c r="G201" s="7">
        <f t="shared" si="3"/>
        <v>0.05430059194</v>
      </c>
      <c r="H201" s="6">
        <v>19879.0</v>
      </c>
      <c r="I201" s="6">
        <v>8152.666875272989</v>
      </c>
      <c r="J201" s="6">
        <v>160545.0</v>
      </c>
      <c r="K201" s="7">
        <f t="shared" si="4"/>
        <v>0.1238219814</v>
      </c>
      <c r="L201" s="7">
        <f t="shared" si="5"/>
        <v>0.4101145367</v>
      </c>
      <c r="M201" s="7">
        <f t="shared" si="6"/>
        <v>0.05078119453</v>
      </c>
      <c r="N201" s="7">
        <f t="shared" si="7"/>
        <v>0.9351867579</v>
      </c>
      <c r="O201" s="8"/>
      <c r="P201" s="8"/>
      <c r="Q201" s="8"/>
      <c r="R201" s="8"/>
      <c r="S201" s="8"/>
      <c r="T201" s="8"/>
      <c r="U201" s="11"/>
      <c r="V201" s="11"/>
      <c r="W201" s="11"/>
      <c r="X201" s="8"/>
      <c r="Y201" s="8"/>
      <c r="Z201" s="8"/>
      <c r="AA201" s="11"/>
      <c r="AB201" s="11"/>
      <c r="AC201" s="11"/>
      <c r="AD201" s="11"/>
    </row>
    <row r="202" ht="15.75" customHeight="1">
      <c r="A202" s="6">
        <v>50102.0</v>
      </c>
      <c r="B202" s="6">
        <v>4190.0</v>
      </c>
      <c r="C202" s="6">
        <v>2124.7778364419937</v>
      </c>
      <c r="D202" s="6">
        <v>5034.0</v>
      </c>
      <c r="E202" s="7">
        <f t="shared" si="1"/>
        <v>0.8323400874</v>
      </c>
      <c r="F202" s="7">
        <f t="shared" si="2"/>
        <v>0.5071068822</v>
      </c>
      <c r="G202" s="7">
        <f t="shared" si="3"/>
        <v>0.4220853867</v>
      </c>
      <c r="H202" s="6">
        <v>19171.0</v>
      </c>
      <c r="I202" s="6">
        <v>10404.666948318481</v>
      </c>
      <c r="J202" s="6">
        <v>22060.0</v>
      </c>
      <c r="K202" s="7">
        <f t="shared" si="4"/>
        <v>0.8690389846</v>
      </c>
      <c r="L202" s="7">
        <f t="shared" si="5"/>
        <v>0.5427294846</v>
      </c>
      <c r="M202" s="7">
        <f t="shared" si="6"/>
        <v>0.4716530802</v>
      </c>
      <c r="N202" s="7">
        <f t="shared" si="7"/>
        <v>1.117435228</v>
      </c>
      <c r="O202" s="8"/>
      <c r="P202" s="8"/>
      <c r="Q202" s="8"/>
      <c r="R202" s="8"/>
      <c r="S202" s="8"/>
      <c r="T202" s="8"/>
      <c r="U202" s="11"/>
      <c r="V202" s="11"/>
      <c r="W202" s="11"/>
      <c r="X202" s="8"/>
      <c r="Y202" s="8"/>
      <c r="Z202" s="8"/>
      <c r="AA202" s="11"/>
      <c r="AB202" s="11"/>
      <c r="AC202" s="11"/>
      <c r="AD202" s="11"/>
    </row>
    <row r="203" ht="15.75" customHeight="1">
      <c r="A203" s="6">
        <v>50103.0</v>
      </c>
      <c r="B203" s="6">
        <v>1228.0</v>
      </c>
      <c r="C203" s="6">
        <v>510.55556932091713</v>
      </c>
      <c r="D203" s="6">
        <v>2804.0</v>
      </c>
      <c r="E203" s="7">
        <f t="shared" si="1"/>
        <v>0.4379457917</v>
      </c>
      <c r="F203" s="7">
        <f t="shared" si="2"/>
        <v>0.4157618643</v>
      </c>
      <c r="G203" s="7">
        <f t="shared" si="3"/>
        <v>0.1820811588</v>
      </c>
      <c r="H203" s="6">
        <v>1964.0</v>
      </c>
      <c r="I203" s="6">
        <v>813.4444632232189</v>
      </c>
      <c r="J203" s="6">
        <v>5997.0</v>
      </c>
      <c r="K203" s="7">
        <f t="shared" si="4"/>
        <v>0.3274970819</v>
      </c>
      <c r="L203" s="7">
        <f t="shared" si="5"/>
        <v>0.4141774253</v>
      </c>
      <c r="M203" s="7">
        <f t="shared" si="6"/>
        <v>0.1356418982</v>
      </c>
      <c r="N203" s="7">
        <f t="shared" si="7"/>
        <v>0.7449529596</v>
      </c>
      <c r="O203" s="8"/>
      <c r="P203" s="8"/>
      <c r="Q203" s="8"/>
      <c r="R203" s="8"/>
      <c r="S203" s="8"/>
      <c r="T203" s="8"/>
      <c r="U203" s="11"/>
      <c r="V203" s="11"/>
      <c r="W203" s="11"/>
      <c r="X203" s="8"/>
      <c r="Y203" s="8"/>
      <c r="Z203" s="8"/>
      <c r="AA203" s="11"/>
      <c r="AB203" s="11"/>
      <c r="AC203" s="11"/>
      <c r="AD203" s="11"/>
    </row>
    <row r="204" ht="15.75" customHeight="1">
      <c r="A204" s="6">
        <v>50104.0</v>
      </c>
      <c r="B204" s="6">
        <v>366.0</v>
      </c>
      <c r="C204" s="6">
        <v>167.22222658991814</v>
      </c>
      <c r="D204" s="6">
        <v>506.0</v>
      </c>
      <c r="E204" s="7">
        <f t="shared" si="1"/>
        <v>0.7233201581</v>
      </c>
      <c r="F204" s="7">
        <f t="shared" si="2"/>
        <v>0.4568913295</v>
      </c>
      <c r="G204" s="7">
        <f t="shared" si="3"/>
        <v>0.3304787087</v>
      </c>
      <c r="H204" s="6">
        <v>1370.0</v>
      </c>
      <c r="I204" s="6">
        <v>609.7777936756611</v>
      </c>
      <c r="J204" s="6">
        <v>2248.0</v>
      </c>
      <c r="K204" s="7">
        <f t="shared" si="4"/>
        <v>0.609430605</v>
      </c>
      <c r="L204" s="7">
        <f t="shared" si="5"/>
        <v>0.4450932801</v>
      </c>
      <c r="M204" s="7">
        <f t="shared" si="6"/>
        <v>0.2712534669</v>
      </c>
      <c r="N204" s="7">
        <f t="shared" si="7"/>
        <v>0.820789539</v>
      </c>
      <c r="O204" s="8"/>
      <c r="P204" s="8"/>
      <c r="Q204" s="8"/>
      <c r="R204" s="8"/>
      <c r="S204" s="8"/>
      <c r="T204" s="8"/>
      <c r="U204" s="11"/>
      <c r="V204" s="11"/>
      <c r="W204" s="11"/>
      <c r="X204" s="8"/>
      <c r="Y204" s="8"/>
      <c r="Z204" s="8"/>
      <c r="AA204" s="11"/>
      <c r="AB204" s="11"/>
      <c r="AC204" s="11"/>
      <c r="AD204" s="11"/>
    </row>
    <row r="205" ht="15.75" customHeight="1">
      <c r="A205" s="6">
        <v>50201.0</v>
      </c>
      <c r="B205" s="6">
        <v>1911.0</v>
      </c>
      <c r="C205" s="6">
        <v>811.5555774569511</v>
      </c>
      <c r="D205" s="6">
        <v>3700.0</v>
      </c>
      <c r="E205" s="7">
        <f t="shared" si="1"/>
        <v>0.5164864865</v>
      </c>
      <c r="F205" s="7">
        <f t="shared" si="2"/>
        <v>0.4246758647</v>
      </c>
      <c r="G205" s="7">
        <f t="shared" si="3"/>
        <v>0.2193393453</v>
      </c>
      <c r="H205" s="6">
        <v>8663.0</v>
      </c>
      <c r="I205" s="6">
        <v>3787.333427131176</v>
      </c>
      <c r="J205" s="6">
        <v>17849.0</v>
      </c>
      <c r="K205" s="7">
        <f t="shared" si="4"/>
        <v>0.4853493193</v>
      </c>
      <c r="L205" s="7">
        <f t="shared" si="5"/>
        <v>0.4371849737</v>
      </c>
      <c r="M205" s="7">
        <f t="shared" si="6"/>
        <v>0.2121874294</v>
      </c>
      <c r="N205" s="7">
        <f t="shared" si="7"/>
        <v>0.9673933746</v>
      </c>
      <c r="O205" s="8"/>
      <c r="P205" s="8"/>
      <c r="Q205" s="8"/>
      <c r="R205" s="8"/>
      <c r="S205" s="8"/>
      <c r="T205" s="8"/>
      <c r="U205" s="11"/>
      <c r="V205" s="11"/>
      <c r="W205" s="11"/>
      <c r="X205" s="8"/>
      <c r="Y205" s="8"/>
      <c r="Z205" s="8"/>
      <c r="AA205" s="11"/>
      <c r="AB205" s="11"/>
      <c r="AC205" s="11"/>
      <c r="AD205" s="11"/>
    </row>
    <row r="206" ht="15.75" customHeight="1">
      <c r="A206" s="6">
        <v>50202.0</v>
      </c>
      <c r="B206" s="6">
        <v>1564.0</v>
      </c>
      <c r="C206" s="6">
        <v>651.3333497047424</v>
      </c>
      <c r="D206" s="6">
        <v>2849.0</v>
      </c>
      <c r="E206" s="7">
        <f t="shared" si="1"/>
        <v>0.548964549</v>
      </c>
      <c r="F206" s="7">
        <f t="shared" si="2"/>
        <v>0.4164535484</v>
      </c>
      <c r="G206" s="7">
        <f t="shared" si="3"/>
        <v>0.2286182344</v>
      </c>
      <c r="H206" s="6">
        <v>7455.0</v>
      </c>
      <c r="I206" s="6">
        <v>3281.222304612398</v>
      </c>
      <c r="J206" s="6">
        <v>13094.0</v>
      </c>
      <c r="K206" s="7">
        <f t="shared" si="4"/>
        <v>0.569344738</v>
      </c>
      <c r="L206" s="7">
        <f t="shared" si="5"/>
        <v>0.4401371301</v>
      </c>
      <c r="M206" s="7">
        <f t="shared" si="6"/>
        <v>0.250589759</v>
      </c>
      <c r="N206" s="7">
        <f t="shared" si="7"/>
        <v>1.09610574</v>
      </c>
      <c r="O206" s="8"/>
      <c r="P206" s="8"/>
      <c r="Q206" s="8"/>
      <c r="R206" s="8"/>
      <c r="S206" s="8"/>
      <c r="T206" s="8"/>
      <c r="U206" s="11"/>
      <c r="V206" s="11"/>
      <c r="W206" s="11"/>
      <c r="X206" s="8"/>
      <c r="Y206" s="8"/>
      <c r="Z206" s="8"/>
      <c r="AA206" s="11"/>
      <c r="AB206" s="11"/>
      <c r="AC206" s="11"/>
      <c r="AD206" s="11"/>
    </row>
    <row r="207" ht="15.75" customHeight="1">
      <c r="A207" s="6">
        <v>50203.0</v>
      </c>
      <c r="B207" s="6">
        <v>1501.0</v>
      </c>
      <c r="C207" s="6">
        <v>619.4444595873356</v>
      </c>
      <c r="D207" s="6">
        <v>5687.0</v>
      </c>
      <c r="E207" s="7">
        <f t="shared" si="1"/>
        <v>0.263935291</v>
      </c>
      <c r="F207" s="7">
        <f t="shared" si="2"/>
        <v>0.4126878478</v>
      </c>
      <c r="G207" s="7">
        <f t="shared" si="3"/>
        <v>0.1089228872</v>
      </c>
      <c r="H207" s="6">
        <v>9764.0</v>
      </c>
      <c r="I207" s="6">
        <v>4056.333438307047</v>
      </c>
      <c r="J207" s="6">
        <v>34688.0</v>
      </c>
      <c r="K207" s="7">
        <f t="shared" si="4"/>
        <v>0.2814806273</v>
      </c>
      <c r="L207" s="7">
        <f t="shared" si="5"/>
        <v>0.4154376729</v>
      </c>
      <c r="M207" s="7">
        <f t="shared" si="6"/>
        <v>0.1169376568</v>
      </c>
      <c r="N207" s="7">
        <f t="shared" si="7"/>
        <v>1.073582052</v>
      </c>
      <c r="O207" s="8"/>
      <c r="P207" s="8"/>
      <c r="Q207" s="8"/>
      <c r="R207" s="8"/>
      <c r="S207" s="8"/>
      <c r="T207" s="8"/>
      <c r="U207" s="11"/>
      <c r="V207" s="11"/>
      <c r="W207" s="11"/>
      <c r="X207" s="8"/>
      <c r="Y207" s="8"/>
      <c r="Z207" s="8"/>
      <c r="AA207" s="11"/>
      <c r="AB207" s="11"/>
      <c r="AC207" s="11"/>
      <c r="AD207" s="11"/>
    </row>
    <row r="208" ht="15.75" customHeight="1">
      <c r="A208" s="6">
        <v>50204.0</v>
      </c>
      <c r="B208" s="6">
        <v>720.0</v>
      </c>
      <c r="C208" s="6">
        <v>323.00000888109207</v>
      </c>
      <c r="D208" s="6">
        <v>923.0</v>
      </c>
      <c r="E208" s="7">
        <f t="shared" si="1"/>
        <v>0.7800650054</v>
      </c>
      <c r="F208" s="7">
        <f t="shared" si="2"/>
        <v>0.4486111234</v>
      </c>
      <c r="G208" s="7">
        <f t="shared" si="3"/>
        <v>0.3499458384</v>
      </c>
      <c r="H208" s="6">
        <v>5017.0</v>
      </c>
      <c r="I208" s="6">
        <v>2426.333397090435</v>
      </c>
      <c r="J208" s="6">
        <v>6988.0</v>
      </c>
      <c r="K208" s="7">
        <f t="shared" si="4"/>
        <v>0.7179450487</v>
      </c>
      <c r="L208" s="7">
        <f t="shared" si="5"/>
        <v>0.4836223634</v>
      </c>
      <c r="M208" s="7">
        <f t="shared" si="6"/>
        <v>0.3472142812</v>
      </c>
      <c r="N208" s="7">
        <f t="shared" si="7"/>
        <v>0.9921943429</v>
      </c>
      <c r="O208" s="8"/>
      <c r="P208" s="8"/>
      <c r="Q208" s="8"/>
      <c r="R208" s="8"/>
      <c r="S208" s="8"/>
      <c r="T208" s="8"/>
      <c r="U208" s="11"/>
      <c r="V208" s="11"/>
      <c r="W208" s="11"/>
      <c r="X208" s="8"/>
      <c r="Y208" s="8"/>
      <c r="Z208" s="8"/>
      <c r="AA208" s="11"/>
      <c r="AB208" s="11"/>
      <c r="AC208" s="11"/>
      <c r="AD208" s="11"/>
    </row>
    <row r="209" ht="15.75" customHeight="1">
      <c r="A209" s="6">
        <v>50301.0</v>
      </c>
      <c r="B209" s="6">
        <v>4563.0</v>
      </c>
      <c r="C209" s="6">
        <v>2125.5556117892265</v>
      </c>
      <c r="D209" s="6">
        <v>7295.0</v>
      </c>
      <c r="E209" s="7">
        <f t="shared" si="1"/>
        <v>0.6254969157</v>
      </c>
      <c r="F209" s="7">
        <f t="shared" si="2"/>
        <v>0.4658241534</v>
      </c>
      <c r="G209" s="7">
        <f t="shared" si="3"/>
        <v>0.2913715712</v>
      </c>
      <c r="H209" s="6">
        <v>15775.0</v>
      </c>
      <c r="I209" s="6">
        <v>7546.5557525753975</v>
      </c>
      <c r="J209" s="6">
        <v>26348.0</v>
      </c>
      <c r="K209" s="7">
        <f t="shared" si="4"/>
        <v>0.5987171702</v>
      </c>
      <c r="L209" s="7">
        <f t="shared" si="5"/>
        <v>0.4783870525</v>
      </c>
      <c r="M209" s="7">
        <f t="shared" si="6"/>
        <v>0.2864185423</v>
      </c>
      <c r="N209" s="7">
        <f t="shared" si="7"/>
        <v>0.9830009878</v>
      </c>
      <c r="O209" s="8"/>
      <c r="P209" s="8"/>
      <c r="Q209" s="8"/>
      <c r="R209" s="8"/>
      <c r="S209" s="8"/>
      <c r="T209" s="8"/>
      <c r="U209" s="11"/>
      <c r="V209" s="11"/>
      <c r="W209" s="11"/>
      <c r="X209" s="8"/>
      <c r="Y209" s="8"/>
      <c r="Z209" s="8"/>
      <c r="AA209" s="11"/>
      <c r="AB209" s="11"/>
      <c r="AC209" s="11"/>
      <c r="AD209" s="11"/>
    </row>
    <row r="210" ht="15.75" customHeight="1">
      <c r="A210" s="6">
        <v>50302.0</v>
      </c>
      <c r="B210" s="6">
        <v>1856.0</v>
      </c>
      <c r="C210" s="6">
        <v>824.8889106214046</v>
      </c>
      <c r="D210" s="6">
        <v>3052.0</v>
      </c>
      <c r="E210" s="7">
        <f t="shared" si="1"/>
        <v>0.6081258191</v>
      </c>
      <c r="F210" s="7">
        <f t="shared" si="2"/>
        <v>0.4444444562</v>
      </c>
      <c r="G210" s="7">
        <f t="shared" si="3"/>
        <v>0.270278149</v>
      </c>
      <c r="H210" s="6">
        <v>3621.0</v>
      </c>
      <c r="I210" s="6">
        <v>1597.7778177559376</v>
      </c>
      <c r="J210" s="6">
        <v>6755.0</v>
      </c>
      <c r="K210" s="7">
        <f t="shared" si="4"/>
        <v>0.5360473723</v>
      </c>
      <c r="L210" s="7">
        <f t="shared" si="5"/>
        <v>0.4412531946</v>
      </c>
      <c r="M210" s="7">
        <f t="shared" si="6"/>
        <v>0.2365326155</v>
      </c>
      <c r="N210" s="7">
        <f t="shared" si="7"/>
        <v>0.8751451659</v>
      </c>
      <c r="O210" s="8"/>
      <c r="P210" s="8"/>
      <c r="Q210" s="8"/>
      <c r="R210" s="8"/>
      <c r="S210" s="8"/>
      <c r="T210" s="8"/>
      <c r="U210" s="11"/>
      <c r="V210" s="11"/>
      <c r="W210" s="11"/>
      <c r="X210" s="8"/>
      <c r="Y210" s="8"/>
      <c r="Z210" s="8"/>
      <c r="AA210" s="11"/>
      <c r="AB210" s="11"/>
      <c r="AC210" s="11"/>
      <c r="AD210" s="11"/>
    </row>
    <row r="211" ht="15.75" customHeight="1">
      <c r="A211" s="6">
        <v>50303.0</v>
      </c>
      <c r="B211" s="6">
        <v>2183.0</v>
      </c>
      <c r="C211" s="6">
        <v>1156.666700899601</v>
      </c>
      <c r="D211" s="6">
        <v>2300.0</v>
      </c>
      <c r="E211" s="7">
        <f t="shared" si="1"/>
        <v>0.9491304348</v>
      </c>
      <c r="F211" s="7">
        <f t="shared" si="2"/>
        <v>0.5298519015</v>
      </c>
      <c r="G211" s="7">
        <f t="shared" si="3"/>
        <v>0.5028985656</v>
      </c>
      <c r="H211" s="6">
        <v>8580.0</v>
      </c>
      <c r="I211" s="6">
        <v>4487.333454877138</v>
      </c>
      <c r="J211" s="6">
        <v>9395.0</v>
      </c>
      <c r="K211" s="7">
        <f t="shared" si="4"/>
        <v>0.9132517296</v>
      </c>
      <c r="L211" s="7">
        <f t="shared" si="5"/>
        <v>0.5229992372</v>
      </c>
      <c r="M211" s="7">
        <f t="shared" si="6"/>
        <v>0.4776299579</v>
      </c>
      <c r="N211" s="7">
        <f t="shared" si="7"/>
        <v>0.9497540669</v>
      </c>
      <c r="O211" s="8"/>
      <c r="P211" s="8"/>
      <c r="Q211" s="8"/>
      <c r="R211" s="8"/>
      <c r="S211" s="8"/>
      <c r="T211" s="8"/>
      <c r="U211" s="11"/>
      <c r="V211" s="11"/>
      <c r="W211" s="11"/>
      <c r="X211" s="8"/>
      <c r="Y211" s="8"/>
      <c r="Z211" s="8"/>
      <c r="AA211" s="11"/>
      <c r="AB211" s="11"/>
      <c r="AC211" s="11"/>
      <c r="AD211" s="11"/>
    </row>
    <row r="212" ht="15.75" customHeight="1">
      <c r="A212" s="6">
        <v>50401.0</v>
      </c>
      <c r="B212" s="6">
        <v>2200.0</v>
      </c>
      <c r="C212" s="6">
        <v>1124.888921290636</v>
      </c>
      <c r="D212" s="6">
        <v>2677.0</v>
      </c>
      <c r="E212" s="7">
        <f t="shared" si="1"/>
        <v>0.8218154651</v>
      </c>
      <c r="F212" s="7">
        <f t="shared" si="2"/>
        <v>0.511313146</v>
      </c>
      <c r="G212" s="7">
        <f t="shared" si="3"/>
        <v>0.4202050509</v>
      </c>
      <c r="H212" s="6">
        <v>8983.0</v>
      </c>
      <c r="I212" s="6">
        <v>4691.111241340637</v>
      </c>
      <c r="J212" s="6">
        <v>12392.0</v>
      </c>
      <c r="K212" s="7">
        <f t="shared" si="4"/>
        <v>0.7249031633</v>
      </c>
      <c r="L212" s="7">
        <f t="shared" si="5"/>
        <v>0.5222209998</v>
      </c>
      <c r="M212" s="7">
        <f t="shared" si="6"/>
        <v>0.3785596547</v>
      </c>
      <c r="N212" s="7">
        <f t="shared" si="7"/>
        <v>0.9008926806</v>
      </c>
      <c r="O212" s="8"/>
      <c r="P212" s="8"/>
      <c r="Q212" s="8"/>
      <c r="R212" s="8"/>
      <c r="S212" s="8"/>
      <c r="T212" s="8"/>
      <c r="U212" s="11"/>
      <c r="V212" s="11"/>
      <c r="W212" s="11"/>
      <c r="X212" s="8"/>
      <c r="Y212" s="8"/>
      <c r="Z212" s="8"/>
      <c r="AA212" s="11"/>
      <c r="AB212" s="11"/>
      <c r="AC212" s="11"/>
      <c r="AD212" s="11"/>
    </row>
    <row r="213" ht="15.75" customHeight="1">
      <c r="A213" s="6">
        <v>50402.0</v>
      </c>
      <c r="B213" s="6">
        <v>3854.0</v>
      </c>
      <c r="C213" s="6">
        <v>2016.3333875238895</v>
      </c>
      <c r="D213" s="6">
        <v>4659.0</v>
      </c>
      <c r="E213" s="7">
        <f t="shared" si="1"/>
        <v>0.8272161408</v>
      </c>
      <c r="F213" s="7">
        <f t="shared" si="2"/>
        <v>0.5231793948</v>
      </c>
      <c r="G213" s="7">
        <f t="shared" si="3"/>
        <v>0.4327824399</v>
      </c>
      <c r="H213" s="6">
        <v>13277.0</v>
      </c>
      <c r="I213" s="6">
        <v>7010.889078170061</v>
      </c>
      <c r="J213" s="6">
        <v>16382.0</v>
      </c>
      <c r="K213" s="7">
        <f t="shared" si="4"/>
        <v>0.810462703</v>
      </c>
      <c r="L213" s="7">
        <f t="shared" si="5"/>
        <v>0.5280476823</v>
      </c>
      <c r="M213" s="7">
        <f t="shared" si="6"/>
        <v>0.4279629519</v>
      </c>
      <c r="N213" s="7">
        <f t="shared" si="7"/>
        <v>0.9888639474</v>
      </c>
      <c r="O213" s="8"/>
      <c r="P213" s="8"/>
      <c r="Q213" s="8"/>
      <c r="R213" s="8"/>
      <c r="S213" s="8"/>
      <c r="T213" s="8"/>
      <c r="U213" s="11"/>
      <c r="V213" s="11"/>
      <c r="W213" s="11"/>
      <c r="X213" s="8"/>
      <c r="Y213" s="8"/>
      <c r="Z213" s="8"/>
      <c r="AA213" s="11"/>
      <c r="AB213" s="11"/>
      <c r="AC213" s="11"/>
      <c r="AD213" s="11"/>
    </row>
    <row r="214" ht="15.75" customHeight="1">
      <c r="A214" s="6">
        <v>50403.0</v>
      </c>
      <c r="B214" s="6">
        <v>4515.0</v>
      </c>
      <c r="C214" s="6">
        <v>2108.0000570118427</v>
      </c>
      <c r="D214" s="6">
        <v>5693.0</v>
      </c>
      <c r="E214" s="7">
        <f t="shared" si="1"/>
        <v>0.7930792201</v>
      </c>
      <c r="F214" s="7">
        <f t="shared" si="2"/>
        <v>0.4668881632</v>
      </c>
      <c r="G214" s="7">
        <f t="shared" si="3"/>
        <v>0.3702793004</v>
      </c>
      <c r="H214" s="6">
        <v>15261.0</v>
      </c>
      <c r="I214" s="6">
        <v>7220.222413003445</v>
      </c>
      <c r="J214" s="6">
        <v>20480.0</v>
      </c>
      <c r="K214" s="7">
        <f t="shared" si="4"/>
        <v>0.7451660156</v>
      </c>
      <c r="L214" s="7">
        <f t="shared" si="5"/>
        <v>0.4731159435</v>
      </c>
      <c r="M214" s="7">
        <f t="shared" si="6"/>
        <v>0.3525499225</v>
      </c>
      <c r="N214" s="7">
        <f t="shared" si="7"/>
        <v>0.9521189063</v>
      </c>
      <c r="O214" s="8"/>
      <c r="P214" s="8"/>
      <c r="Q214" s="8"/>
      <c r="R214" s="8"/>
      <c r="S214" s="8"/>
      <c r="T214" s="8"/>
      <c r="U214" s="11"/>
      <c r="V214" s="11"/>
      <c r="W214" s="11"/>
      <c r="X214" s="8"/>
      <c r="Y214" s="8"/>
      <c r="Z214" s="8"/>
      <c r="AA214" s="11"/>
      <c r="AB214" s="11"/>
      <c r="AC214" s="11"/>
      <c r="AD214" s="11"/>
    </row>
    <row r="215" ht="15.75" customHeight="1">
      <c r="A215" s="6">
        <v>50404.0</v>
      </c>
      <c r="B215" s="6">
        <v>2434.0</v>
      </c>
      <c r="C215" s="6">
        <v>1242.7778125107288</v>
      </c>
      <c r="D215" s="6">
        <v>2806.0</v>
      </c>
      <c r="E215" s="7">
        <f t="shared" si="1"/>
        <v>0.8674269423</v>
      </c>
      <c r="F215" s="7">
        <f t="shared" si="2"/>
        <v>0.51059072</v>
      </c>
      <c r="G215" s="7">
        <f t="shared" si="3"/>
        <v>0.442900147</v>
      </c>
      <c r="H215" s="6">
        <v>11219.0</v>
      </c>
      <c r="I215" s="6">
        <v>6094.111276715994</v>
      </c>
      <c r="J215" s="6">
        <v>13217.0</v>
      </c>
      <c r="K215" s="7">
        <f t="shared" si="4"/>
        <v>0.8488310509</v>
      </c>
      <c r="L215" s="7">
        <f t="shared" si="5"/>
        <v>0.5431955858</v>
      </c>
      <c r="M215" s="7">
        <f t="shared" si="6"/>
        <v>0.4610812799</v>
      </c>
      <c r="N215" s="7">
        <f t="shared" si="7"/>
        <v>1.041050185</v>
      </c>
      <c r="O215" s="8"/>
      <c r="P215" s="8"/>
      <c r="Q215" s="8"/>
      <c r="R215" s="8"/>
      <c r="S215" s="8"/>
      <c r="T215" s="8"/>
      <c r="U215" s="11"/>
      <c r="V215" s="11"/>
      <c r="W215" s="11"/>
      <c r="X215" s="8"/>
      <c r="Y215" s="8"/>
      <c r="Z215" s="8"/>
      <c r="AA215" s="11"/>
      <c r="AB215" s="11"/>
      <c r="AC215" s="11"/>
      <c r="AD215" s="11"/>
    </row>
    <row r="216" ht="15.75" customHeight="1">
      <c r="A216" s="6">
        <v>50405.0</v>
      </c>
      <c r="B216" s="6">
        <v>2775.0</v>
      </c>
      <c r="C216" s="6">
        <v>1335.8889257907867</v>
      </c>
      <c r="D216" s="6">
        <v>3470.0</v>
      </c>
      <c r="E216" s="7">
        <f t="shared" si="1"/>
        <v>0.7997118156</v>
      </c>
      <c r="F216" s="7">
        <f t="shared" si="2"/>
        <v>0.4814014147</v>
      </c>
      <c r="G216" s="7">
        <f t="shared" si="3"/>
        <v>0.3849823994</v>
      </c>
      <c r="H216" s="6">
        <v>13402.0</v>
      </c>
      <c r="I216" s="6">
        <v>6541.777956545353</v>
      </c>
      <c r="J216" s="6">
        <v>16363.0</v>
      </c>
      <c r="K216" s="7">
        <f t="shared" si="4"/>
        <v>0.8190429628</v>
      </c>
      <c r="L216" s="7">
        <f t="shared" si="5"/>
        <v>0.4881195312</v>
      </c>
      <c r="M216" s="7">
        <f t="shared" si="6"/>
        <v>0.399790867</v>
      </c>
      <c r="N216" s="7">
        <f t="shared" si="7"/>
        <v>1.038465311</v>
      </c>
      <c r="O216" s="8"/>
      <c r="P216" s="8"/>
      <c r="Q216" s="8"/>
      <c r="R216" s="8"/>
      <c r="S216" s="8"/>
      <c r="T216" s="8"/>
      <c r="U216" s="11"/>
      <c r="V216" s="11"/>
      <c r="W216" s="11"/>
      <c r="X216" s="8"/>
      <c r="Y216" s="8"/>
      <c r="Z216" s="8"/>
      <c r="AA216" s="11"/>
      <c r="AB216" s="11"/>
      <c r="AC216" s="11"/>
      <c r="AD216" s="11"/>
    </row>
    <row r="217" ht="15.75" customHeight="1">
      <c r="A217" s="6">
        <v>50501.0</v>
      </c>
      <c r="B217" s="6">
        <v>5391.0</v>
      </c>
      <c r="C217" s="6">
        <v>2890.7778602838516</v>
      </c>
      <c r="D217" s="6">
        <v>5861.0</v>
      </c>
      <c r="E217" s="7">
        <f t="shared" si="1"/>
        <v>0.9198089063</v>
      </c>
      <c r="F217" s="7">
        <f t="shared" si="2"/>
        <v>0.5362229383</v>
      </c>
      <c r="G217" s="7">
        <f t="shared" si="3"/>
        <v>0.4932226344</v>
      </c>
      <c r="H217" s="6">
        <v>21593.0</v>
      </c>
      <c r="I217" s="6">
        <v>11892.000332653522</v>
      </c>
      <c r="J217" s="6">
        <v>23952.0</v>
      </c>
      <c r="K217" s="7">
        <f t="shared" si="4"/>
        <v>0.901511356</v>
      </c>
      <c r="L217" s="7">
        <f t="shared" si="5"/>
        <v>0.5507340496</v>
      </c>
      <c r="M217" s="7">
        <f t="shared" si="6"/>
        <v>0.4964929999</v>
      </c>
      <c r="N217" s="7">
        <f t="shared" si="7"/>
        <v>1.006630607</v>
      </c>
      <c r="O217" s="8"/>
      <c r="P217" s="8"/>
      <c r="Q217" s="8"/>
      <c r="R217" s="8"/>
      <c r="S217" s="8"/>
      <c r="T217" s="8"/>
      <c r="U217" s="11"/>
      <c r="V217" s="11"/>
      <c r="W217" s="11"/>
      <c r="X217" s="8"/>
      <c r="Y217" s="8"/>
      <c r="Z217" s="8"/>
      <c r="AA217" s="11"/>
      <c r="AB217" s="11"/>
      <c r="AC217" s="11"/>
      <c r="AD217" s="11"/>
    </row>
    <row r="218" ht="15.75" customHeight="1">
      <c r="A218" s="6">
        <v>50502.0</v>
      </c>
      <c r="B218" s="6">
        <v>1819.0</v>
      </c>
      <c r="C218" s="6">
        <v>908.8889138698578</v>
      </c>
      <c r="D218" s="6">
        <v>2256.0</v>
      </c>
      <c r="E218" s="7">
        <f t="shared" si="1"/>
        <v>0.8062943262</v>
      </c>
      <c r="F218" s="7">
        <f t="shared" si="2"/>
        <v>0.4996640538</v>
      </c>
      <c r="G218" s="7">
        <f t="shared" si="3"/>
        <v>0.4028762916</v>
      </c>
      <c r="H218" s="6">
        <v>6500.0</v>
      </c>
      <c r="I218" s="6">
        <v>3405.3334271013737</v>
      </c>
      <c r="J218" s="6">
        <v>8461.0</v>
      </c>
      <c r="K218" s="7">
        <f t="shared" si="4"/>
        <v>0.7682307056</v>
      </c>
      <c r="L218" s="7">
        <f t="shared" si="5"/>
        <v>0.5238974503</v>
      </c>
      <c r="M218" s="7">
        <f t="shared" si="6"/>
        <v>0.4024741079</v>
      </c>
      <c r="N218" s="7">
        <f t="shared" si="7"/>
        <v>0.9990017191</v>
      </c>
      <c r="O218" s="8"/>
      <c r="P218" s="8"/>
      <c r="Q218" s="8"/>
      <c r="R218" s="8"/>
      <c r="S218" s="8"/>
      <c r="T218" s="8"/>
      <c r="U218" s="11"/>
      <c r="V218" s="11"/>
      <c r="W218" s="11"/>
      <c r="X218" s="8"/>
      <c r="Y218" s="8"/>
      <c r="Z218" s="8"/>
      <c r="AA218" s="11"/>
      <c r="AB218" s="11"/>
      <c r="AC218" s="11"/>
      <c r="AD218" s="11"/>
    </row>
    <row r="219" ht="15.75" customHeight="1">
      <c r="A219" s="6">
        <v>50601.0</v>
      </c>
      <c r="B219" s="6">
        <v>4083.0</v>
      </c>
      <c r="C219" s="6">
        <v>1792.5556015968323</v>
      </c>
      <c r="D219" s="6">
        <v>6409.0</v>
      </c>
      <c r="E219" s="7">
        <f t="shared" si="1"/>
        <v>0.6370728663</v>
      </c>
      <c r="F219" s="7">
        <f t="shared" si="2"/>
        <v>0.4390290477</v>
      </c>
      <c r="G219" s="7">
        <f t="shared" si="3"/>
        <v>0.2796934938</v>
      </c>
      <c r="H219" s="6">
        <v>14473.0</v>
      </c>
      <c r="I219" s="6">
        <v>6376.444607973099</v>
      </c>
      <c r="J219" s="6">
        <v>25037.0</v>
      </c>
      <c r="K219" s="7">
        <f t="shared" si="4"/>
        <v>0.5780644646</v>
      </c>
      <c r="L219" s="7">
        <f t="shared" si="5"/>
        <v>0.4405751819</v>
      </c>
      <c r="M219" s="7">
        <f t="shared" si="6"/>
        <v>0.2546808567</v>
      </c>
      <c r="N219" s="7">
        <f t="shared" si="7"/>
        <v>0.9105712586</v>
      </c>
      <c r="O219" s="8"/>
      <c r="P219" s="8"/>
      <c r="Q219" s="8"/>
      <c r="R219" s="8"/>
      <c r="S219" s="8"/>
      <c r="T219" s="8"/>
      <c r="U219" s="11"/>
      <c r="V219" s="11"/>
      <c r="W219" s="11"/>
      <c r="X219" s="8"/>
      <c r="Y219" s="8"/>
      <c r="Z219" s="8"/>
      <c r="AA219" s="11"/>
      <c r="AB219" s="11"/>
      <c r="AC219" s="11"/>
      <c r="AD219" s="11"/>
    </row>
    <row r="220" ht="15.75" customHeight="1">
      <c r="A220" s="6">
        <v>50602.0</v>
      </c>
      <c r="B220" s="6">
        <v>1698.0</v>
      </c>
      <c r="C220" s="6">
        <v>734.4444646835327</v>
      </c>
      <c r="D220" s="6">
        <v>2775.0</v>
      </c>
      <c r="E220" s="7">
        <f t="shared" si="1"/>
        <v>0.6118918919</v>
      </c>
      <c r="F220" s="7">
        <f t="shared" si="2"/>
        <v>0.4325350204</v>
      </c>
      <c r="G220" s="7">
        <f t="shared" si="3"/>
        <v>0.264664672</v>
      </c>
      <c r="H220" s="6">
        <v>3645.0</v>
      </c>
      <c r="I220" s="6">
        <v>1564.5555968880653</v>
      </c>
      <c r="J220" s="6">
        <v>7705.0</v>
      </c>
      <c r="K220" s="7">
        <f t="shared" si="4"/>
        <v>0.4730694354</v>
      </c>
      <c r="L220" s="7">
        <f t="shared" si="5"/>
        <v>0.4292333599</v>
      </c>
      <c r="M220" s="7">
        <f t="shared" si="6"/>
        <v>0.2030571832</v>
      </c>
      <c r="N220" s="7">
        <f t="shared" si="7"/>
        <v>0.7672243588</v>
      </c>
      <c r="O220" s="8"/>
      <c r="P220" s="8"/>
      <c r="Q220" s="8"/>
      <c r="R220" s="8"/>
      <c r="S220" s="8"/>
      <c r="T220" s="8"/>
      <c r="U220" s="11"/>
      <c r="V220" s="11"/>
      <c r="W220" s="11"/>
      <c r="X220" s="8"/>
      <c r="Y220" s="8"/>
      <c r="Z220" s="8"/>
      <c r="AA220" s="11"/>
      <c r="AB220" s="11"/>
      <c r="AC220" s="11"/>
      <c r="AD220" s="11"/>
    </row>
    <row r="221" ht="15.75" customHeight="1">
      <c r="A221" s="6">
        <v>50701.0</v>
      </c>
      <c r="B221" s="6">
        <v>2437.0</v>
      </c>
      <c r="C221" s="6">
        <v>1156.5555869340897</v>
      </c>
      <c r="D221" s="6">
        <v>3366.0</v>
      </c>
      <c r="E221" s="7">
        <f t="shared" si="1"/>
        <v>0.7240047534</v>
      </c>
      <c r="F221" s="7">
        <f t="shared" si="2"/>
        <v>0.4745816934</v>
      </c>
      <c r="G221" s="7">
        <f t="shared" si="3"/>
        <v>0.3435994019</v>
      </c>
      <c r="H221" s="6">
        <v>11821.0</v>
      </c>
      <c r="I221" s="6">
        <v>5752.00015220046</v>
      </c>
      <c r="J221" s="6">
        <v>16001.0</v>
      </c>
      <c r="K221" s="7">
        <f t="shared" si="4"/>
        <v>0.7387663271</v>
      </c>
      <c r="L221" s="7">
        <f t="shared" si="5"/>
        <v>0.4865916718</v>
      </c>
      <c r="M221" s="7">
        <f t="shared" si="6"/>
        <v>0.3594775422</v>
      </c>
      <c r="N221" s="7">
        <f t="shared" si="7"/>
        <v>1.046211199</v>
      </c>
      <c r="O221" s="8"/>
      <c r="P221" s="8"/>
      <c r="Q221" s="8"/>
      <c r="R221" s="8"/>
      <c r="S221" s="8"/>
      <c r="T221" s="8"/>
      <c r="U221" s="11"/>
      <c r="V221" s="11"/>
      <c r="W221" s="11"/>
      <c r="X221" s="8"/>
      <c r="Y221" s="8"/>
      <c r="Z221" s="8"/>
      <c r="AA221" s="11"/>
      <c r="AB221" s="11"/>
      <c r="AC221" s="11"/>
      <c r="AD221" s="11"/>
    </row>
    <row r="222" ht="15.75" customHeight="1">
      <c r="A222" s="6">
        <v>50702.0</v>
      </c>
      <c r="B222" s="6">
        <v>1034.0</v>
      </c>
      <c r="C222" s="6">
        <v>438.66667744517326</v>
      </c>
      <c r="D222" s="6">
        <v>1439.0</v>
      </c>
      <c r="E222" s="7">
        <f t="shared" si="1"/>
        <v>0.7185545518</v>
      </c>
      <c r="F222" s="7">
        <f t="shared" si="2"/>
        <v>0.4242424347</v>
      </c>
      <c r="G222" s="7">
        <f t="shared" si="3"/>
        <v>0.3048413325</v>
      </c>
      <c r="H222" s="6">
        <v>5250.0</v>
      </c>
      <c r="I222" s="6">
        <v>2330.777838885784</v>
      </c>
      <c r="J222" s="6">
        <v>7206.0</v>
      </c>
      <c r="K222" s="7">
        <f t="shared" si="4"/>
        <v>0.7285595337</v>
      </c>
      <c r="L222" s="7">
        <f t="shared" si="5"/>
        <v>0.4439576836</v>
      </c>
      <c r="M222" s="7">
        <f t="shared" si="6"/>
        <v>0.323449603</v>
      </c>
      <c r="N222" s="7">
        <f t="shared" si="7"/>
        <v>1.061042478</v>
      </c>
      <c r="O222" s="8"/>
      <c r="P222" s="8"/>
      <c r="Q222" s="8"/>
      <c r="R222" s="8"/>
      <c r="S222" s="8"/>
      <c r="T222" s="8"/>
      <c r="U222" s="11"/>
      <c r="V222" s="11"/>
      <c r="W222" s="11"/>
      <c r="X222" s="8"/>
      <c r="Y222" s="8"/>
      <c r="Z222" s="8"/>
      <c r="AA222" s="11"/>
      <c r="AB222" s="11"/>
      <c r="AC222" s="11"/>
      <c r="AD222" s="11"/>
    </row>
    <row r="223" ht="15.75" customHeight="1">
      <c r="A223" s="6">
        <v>50801.0</v>
      </c>
      <c r="B223" s="6">
        <v>2994.0</v>
      </c>
      <c r="C223" s="6">
        <v>1321.6667014062405</v>
      </c>
      <c r="D223" s="6">
        <v>9298.0</v>
      </c>
      <c r="E223" s="7">
        <f t="shared" si="1"/>
        <v>0.3220047322</v>
      </c>
      <c r="F223" s="7">
        <f t="shared" si="2"/>
        <v>0.441438444</v>
      </c>
      <c r="G223" s="7">
        <f t="shared" si="3"/>
        <v>0.142145268</v>
      </c>
      <c r="H223" s="6">
        <v>10257.0</v>
      </c>
      <c r="I223" s="6">
        <v>4479.7778941988945</v>
      </c>
      <c r="J223" s="6">
        <v>34421.0</v>
      </c>
      <c r="K223" s="7">
        <f t="shared" si="4"/>
        <v>0.2979866942</v>
      </c>
      <c r="L223" s="7">
        <f t="shared" si="5"/>
        <v>0.4367532314</v>
      </c>
      <c r="M223" s="7">
        <f t="shared" si="6"/>
        <v>0.1301466516</v>
      </c>
      <c r="N223" s="7">
        <f t="shared" si="7"/>
        <v>0.9155890552</v>
      </c>
      <c r="O223" s="8"/>
      <c r="P223" s="8"/>
      <c r="Q223" s="8"/>
      <c r="R223" s="8"/>
      <c r="S223" s="8"/>
      <c r="T223" s="8"/>
      <c r="U223" s="11"/>
      <c r="V223" s="11"/>
      <c r="W223" s="11"/>
      <c r="X223" s="8"/>
      <c r="Y223" s="8"/>
      <c r="Z223" s="8"/>
      <c r="AA223" s="11"/>
      <c r="AB223" s="11"/>
      <c r="AC223" s="11"/>
      <c r="AD223" s="11"/>
    </row>
    <row r="224" ht="15.75" customHeight="1">
      <c r="A224" s="6">
        <v>50802.0</v>
      </c>
      <c r="B224" s="6">
        <v>315.0</v>
      </c>
      <c r="C224" s="6">
        <v>135.8888924717903</v>
      </c>
      <c r="D224" s="6">
        <v>1101.0</v>
      </c>
      <c r="E224" s="7">
        <f t="shared" si="1"/>
        <v>0.2861035422</v>
      </c>
      <c r="F224" s="7">
        <f t="shared" si="2"/>
        <v>0.4313933094</v>
      </c>
      <c r="G224" s="7">
        <f t="shared" si="3"/>
        <v>0.1234231539</v>
      </c>
      <c r="H224" s="6">
        <v>1949.0</v>
      </c>
      <c r="I224" s="6">
        <v>774.0000197291374</v>
      </c>
      <c r="J224" s="6">
        <v>9829.0</v>
      </c>
      <c r="K224" s="7">
        <f t="shared" si="4"/>
        <v>0.1982907722</v>
      </c>
      <c r="L224" s="7">
        <f t="shared" si="5"/>
        <v>0.3971267418</v>
      </c>
      <c r="M224" s="7">
        <f t="shared" si="6"/>
        <v>0.07874656829</v>
      </c>
      <c r="N224" s="7">
        <f t="shared" si="7"/>
        <v>0.638021034</v>
      </c>
      <c r="O224" s="8"/>
      <c r="P224" s="8"/>
      <c r="Q224" s="8"/>
      <c r="R224" s="8"/>
      <c r="S224" s="8"/>
      <c r="T224" s="8"/>
      <c r="U224" s="11"/>
      <c r="V224" s="11"/>
      <c r="W224" s="11"/>
      <c r="X224" s="8"/>
      <c r="Y224" s="8"/>
      <c r="Z224" s="8"/>
      <c r="AA224" s="11"/>
      <c r="AB224" s="11"/>
      <c r="AC224" s="11"/>
      <c r="AD224" s="11"/>
    </row>
    <row r="225" ht="15.75" customHeight="1">
      <c r="A225" s="6">
        <v>50901.0</v>
      </c>
      <c r="B225" s="6">
        <v>1255.0</v>
      </c>
      <c r="C225" s="6">
        <v>570.3333474993706</v>
      </c>
      <c r="D225" s="6">
        <v>2166.0</v>
      </c>
      <c r="E225" s="7">
        <f t="shared" si="1"/>
        <v>0.5794090489</v>
      </c>
      <c r="F225" s="7">
        <f t="shared" si="2"/>
        <v>0.4544488825</v>
      </c>
      <c r="G225" s="7">
        <f t="shared" si="3"/>
        <v>0.2633117948</v>
      </c>
      <c r="H225" s="6">
        <v>4123.0</v>
      </c>
      <c r="I225" s="6">
        <v>1831.4444924592972</v>
      </c>
      <c r="J225" s="6">
        <v>8952.0</v>
      </c>
      <c r="K225" s="7">
        <f t="shared" si="4"/>
        <v>0.460567471</v>
      </c>
      <c r="L225" s="7">
        <f t="shared" si="5"/>
        <v>0.4442019143</v>
      </c>
      <c r="M225" s="7">
        <f t="shared" si="6"/>
        <v>0.2045849522</v>
      </c>
      <c r="N225" s="7">
        <f t="shared" si="7"/>
        <v>0.7769684317</v>
      </c>
      <c r="O225" s="8"/>
      <c r="P225" s="8"/>
      <c r="Q225" s="8"/>
      <c r="R225" s="8"/>
      <c r="S225" s="8"/>
      <c r="T225" s="8"/>
      <c r="U225" s="11"/>
      <c r="V225" s="11"/>
      <c r="W225" s="11"/>
      <c r="X225" s="8"/>
      <c r="Y225" s="8"/>
      <c r="Z225" s="8"/>
      <c r="AA225" s="11"/>
      <c r="AB225" s="11"/>
      <c r="AC225" s="11"/>
      <c r="AD225" s="11"/>
    </row>
    <row r="226" ht="15.75" customHeight="1">
      <c r="A226" s="6">
        <v>50902.0</v>
      </c>
      <c r="B226" s="6">
        <v>130.0</v>
      </c>
      <c r="C226" s="6">
        <v>52.44444581866264</v>
      </c>
      <c r="D226" s="6">
        <v>262.0</v>
      </c>
      <c r="E226" s="7">
        <f t="shared" si="1"/>
        <v>0.4961832061</v>
      </c>
      <c r="F226" s="7">
        <f t="shared" si="2"/>
        <v>0.403418814</v>
      </c>
      <c r="G226" s="7">
        <f t="shared" si="3"/>
        <v>0.2001696405</v>
      </c>
      <c r="H226" s="6">
        <v>311.0</v>
      </c>
      <c r="I226" s="6">
        <v>129.4444473683834</v>
      </c>
      <c r="J226" s="6">
        <v>733.0</v>
      </c>
      <c r="K226" s="7">
        <f t="shared" si="4"/>
        <v>0.4242837653</v>
      </c>
      <c r="L226" s="7">
        <f t="shared" si="5"/>
        <v>0.416220088</v>
      </c>
      <c r="M226" s="7">
        <f t="shared" si="6"/>
        <v>0.1765954262</v>
      </c>
      <c r="N226" s="7">
        <f t="shared" si="7"/>
        <v>0.8822288219</v>
      </c>
      <c r="O226" s="8"/>
      <c r="P226" s="8"/>
      <c r="Q226" s="8"/>
      <c r="R226" s="8"/>
      <c r="S226" s="8"/>
      <c r="T226" s="8"/>
      <c r="U226" s="11"/>
      <c r="V226" s="11"/>
      <c r="W226" s="11"/>
      <c r="X226" s="8"/>
      <c r="Y226" s="8"/>
      <c r="Z226" s="8"/>
      <c r="AA226" s="11"/>
      <c r="AB226" s="11"/>
      <c r="AC226" s="11"/>
      <c r="AD226" s="11"/>
    </row>
    <row r="227" ht="15.75" customHeight="1">
      <c r="A227" s="6">
        <v>51001.0</v>
      </c>
      <c r="B227" s="6">
        <v>312.0</v>
      </c>
      <c r="C227" s="6">
        <v>141.66666999459267</v>
      </c>
      <c r="D227" s="6">
        <v>476.0</v>
      </c>
      <c r="E227" s="7">
        <f t="shared" si="1"/>
        <v>0.6554621849</v>
      </c>
      <c r="F227" s="7">
        <f t="shared" si="2"/>
        <v>0.4540598397</v>
      </c>
      <c r="G227" s="7">
        <f t="shared" si="3"/>
        <v>0.2976190546</v>
      </c>
      <c r="H227" s="6">
        <v>1528.0</v>
      </c>
      <c r="I227" s="6">
        <v>683.8889054059982</v>
      </c>
      <c r="J227" s="6">
        <v>2482.0</v>
      </c>
      <c r="K227" s="7">
        <f t="shared" si="4"/>
        <v>0.6156325544</v>
      </c>
      <c r="L227" s="7">
        <f t="shared" si="5"/>
        <v>0.4475712732</v>
      </c>
      <c r="M227" s="7">
        <f t="shared" si="6"/>
        <v>0.2755394462</v>
      </c>
      <c r="N227" s="7">
        <f t="shared" si="7"/>
        <v>0.9258125174</v>
      </c>
      <c r="O227" s="8"/>
      <c r="P227" s="8"/>
      <c r="Q227" s="8"/>
      <c r="R227" s="8"/>
      <c r="S227" s="8"/>
      <c r="T227" s="8"/>
      <c r="U227" s="11"/>
      <c r="V227" s="11"/>
      <c r="W227" s="11"/>
      <c r="X227" s="8"/>
      <c r="Y227" s="8"/>
      <c r="Z227" s="8"/>
      <c r="AA227" s="11"/>
      <c r="AB227" s="11"/>
      <c r="AC227" s="11"/>
      <c r="AD227" s="11"/>
    </row>
    <row r="228" ht="15.75" customHeight="1">
      <c r="A228" s="6">
        <v>51002.0</v>
      </c>
      <c r="B228" s="6">
        <v>175.0</v>
      </c>
      <c r="C228" s="6">
        <v>85.33333578705788</v>
      </c>
      <c r="D228" s="6">
        <v>248.0</v>
      </c>
      <c r="E228" s="7">
        <f t="shared" si="1"/>
        <v>0.7056451613</v>
      </c>
      <c r="F228" s="7">
        <f t="shared" si="2"/>
        <v>0.4876190616</v>
      </c>
      <c r="G228" s="7">
        <f t="shared" si="3"/>
        <v>0.3440860314</v>
      </c>
      <c r="H228" s="6">
        <v>677.0</v>
      </c>
      <c r="I228" s="6">
        <v>331.4444541335106</v>
      </c>
      <c r="J228" s="6">
        <v>930.0</v>
      </c>
      <c r="K228" s="7">
        <f t="shared" si="4"/>
        <v>0.7279569892</v>
      </c>
      <c r="L228" s="7">
        <f t="shared" si="5"/>
        <v>0.4895782188</v>
      </c>
      <c r="M228" s="7">
        <f t="shared" si="6"/>
        <v>0.3563918862</v>
      </c>
      <c r="N228" s="7">
        <f t="shared" si="7"/>
        <v>1.035763889</v>
      </c>
      <c r="O228" s="8"/>
      <c r="P228" s="8"/>
      <c r="Q228" s="8"/>
      <c r="R228" s="8"/>
      <c r="S228" s="8"/>
      <c r="T228" s="8"/>
      <c r="U228" s="11"/>
      <c r="V228" s="11"/>
      <c r="W228" s="11"/>
      <c r="X228" s="8"/>
      <c r="Y228" s="8"/>
      <c r="Z228" s="8"/>
      <c r="AA228" s="11"/>
      <c r="AB228" s="11"/>
      <c r="AC228" s="11"/>
      <c r="AD228" s="11"/>
    </row>
    <row r="229" ht="15.75" customHeight="1">
      <c r="A229" s="6">
        <v>51003.0</v>
      </c>
      <c r="B229" s="6">
        <v>241.0</v>
      </c>
      <c r="C229" s="6">
        <v>104.88889166712761</v>
      </c>
      <c r="D229" s="6">
        <v>363.0</v>
      </c>
      <c r="E229" s="7">
        <f t="shared" si="1"/>
        <v>0.6639118457</v>
      </c>
      <c r="F229" s="7">
        <f t="shared" si="2"/>
        <v>0.4352236169</v>
      </c>
      <c r="G229" s="7">
        <f t="shared" si="3"/>
        <v>0.2889501148</v>
      </c>
      <c r="H229" s="6">
        <v>1035.0</v>
      </c>
      <c r="I229" s="6">
        <v>452.3333448767662</v>
      </c>
      <c r="J229" s="6">
        <v>1876.0</v>
      </c>
      <c r="K229" s="7">
        <f t="shared" si="4"/>
        <v>0.5517057569</v>
      </c>
      <c r="L229" s="7">
        <f t="shared" si="5"/>
        <v>0.4370370482</v>
      </c>
      <c r="M229" s="7">
        <f t="shared" si="6"/>
        <v>0.2411158555</v>
      </c>
      <c r="N229" s="7">
        <f t="shared" si="7"/>
        <v>0.8344549565</v>
      </c>
      <c r="O229" s="8"/>
      <c r="P229" s="8"/>
      <c r="Q229" s="8"/>
      <c r="R229" s="8"/>
      <c r="S229" s="8"/>
      <c r="T229" s="8"/>
      <c r="U229" s="11"/>
      <c r="V229" s="11"/>
      <c r="W229" s="11"/>
      <c r="X229" s="8"/>
      <c r="Y229" s="8"/>
      <c r="Z229" s="8"/>
      <c r="AA229" s="11"/>
      <c r="AB229" s="11"/>
      <c r="AC229" s="11"/>
      <c r="AD229" s="11"/>
    </row>
    <row r="230" ht="15.75" customHeight="1">
      <c r="A230" s="6">
        <v>51101.0</v>
      </c>
      <c r="B230" s="6">
        <v>3111.0</v>
      </c>
      <c r="C230" s="6">
        <v>1371.8889249265194</v>
      </c>
      <c r="D230" s="6">
        <v>5867.0</v>
      </c>
      <c r="E230" s="7">
        <f t="shared" si="1"/>
        <v>0.5302539628</v>
      </c>
      <c r="F230" s="7">
        <f t="shared" si="2"/>
        <v>0.4409800466</v>
      </c>
      <c r="G230" s="7">
        <f t="shared" si="3"/>
        <v>0.2338314172</v>
      </c>
      <c r="H230" s="6">
        <v>8021.0</v>
      </c>
      <c r="I230" s="6">
        <v>3523.3334223926067</v>
      </c>
      <c r="J230" s="6">
        <v>15903.0</v>
      </c>
      <c r="K230" s="7">
        <f t="shared" si="4"/>
        <v>0.5043702446</v>
      </c>
      <c r="L230" s="7">
        <f t="shared" si="5"/>
        <v>0.4392636108</v>
      </c>
      <c r="M230" s="7">
        <f t="shared" si="6"/>
        <v>0.2215514948</v>
      </c>
      <c r="N230" s="7">
        <f t="shared" si="7"/>
        <v>0.9474838645</v>
      </c>
      <c r="O230" s="8"/>
      <c r="P230" s="8"/>
      <c r="Q230" s="8"/>
      <c r="R230" s="8"/>
      <c r="S230" s="8"/>
      <c r="T230" s="8"/>
      <c r="U230" s="11"/>
      <c r="V230" s="11"/>
      <c r="W230" s="11"/>
      <c r="X230" s="8"/>
      <c r="Y230" s="8"/>
      <c r="Z230" s="8"/>
      <c r="AA230" s="11"/>
      <c r="AB230" s="11"/>
      <c r="AC230" s="11"/>
      <c r="AD230" s="11"/>
    </row>
    <row r="231" ht="15.75" customHeight="1">
      <c r="A231" s="6">
        <v>51102.0</v>
      </c>
      <c r="B231" s="6">
        <v>1528.0</v>
      </c>
      <c r="C231" s="6">
        <v>664.0000167191029</v>
      </c>
      <c r="D231" s="6">
        <v>3054.0</v>
      </c>
      <c r="E231" s="7">
        <f t="shared" si="1"/>
        <v>0.5003274394</v>
      </c>
      <c r="F231" s="7">
        <f t="shared" si="2"/>
        <v>0.4345549848</v>
      </c>
      <c r="G231" s="7">
        <f t="shared" si="3"/>
        <v>0.2174197828</v>
      </c>
      <c r="H231" s="6">
        <v>4019.0</v>
      </c>
      <c r="I231" s="6">
        <v>1712.3333748877048</v>
      </c>
      <c r="J231" s="6">
        <v>8708.0</v>
      </c>
      <c r="K231" s="7">
        <f t="shared" si="4"/>
        <v>0.4615296279</v>
      </c>
      <c r="L231" s="7">
        <f t="shared" si="5"/>
        <v>0.4260595608</v>
      </c>
      <c r="M231" s="7">
        <f t="shared" si="6"/>
        <v>0.1966391106</v>
      </c>
      <c r="N231" s="7">
        <f t="shared" si="7"/>
        <v>0.9044214286</v>
      </c>
      <c r="O231" s="8"/>
      <c r="P231" s="8"/>
      <c r="Q231" s="8"/>
      <c r="R231" s="8"/>
      <c r="S231" s="8"/>
      <c r="T231" s="8"/>
      <c r="U231" s="11"/>
      <c r="V231" s="11"/>
      <c r="W231" s="11"/>
      <c r="X231" s="8"/>
      <c r="Y231" s="8"/>
      <c r="Z231" s="8"/>
      <c r="AA231" s="11"/>
      <c r="AB231" s="11"/>
      <c r="AC231" s="11"/>
      <c r="AD231" s="11"/>
    </row>
    <row r="232" ht="15.75" customHeight="1">
      <c r="A232" s="6">
        <v>51103.0</v>
      </c>
      <c r="B232" s="6">
        <v>2407.0</v>
      </c>
      <c r="C232" s="6">
        <v>1294.44448107481</v>
      </c>
      <c r="D232" s="6">
        <v>2690.0</v>
      </c>
      <c r="E232" s="7">
        <f t="shared" si="1"/>
        <v>0.894795539</v>
      </c>
      <c r="F232" s="7">
        <f t="shared" si="2"/>
        <v>0.5377833324</v>
      </c>
      <c r="G232" s="7">
        <f t="shared" si="3"/>
        <v>0.4812061268</v>
      </c>
      <c r="H232" s="6">
        <v>11319.0</v>
      </c>
      <c r="I232" s="6">
        <v>6157.666829019785</v>
      </c>
      <c r="J232" s="6">
        <v>12992.0</v>
      </c>
      <c r="K232" s="7">
        <f t="shared" si="4"/>
        <v>0.8712284483</v>
      </c>
      <c r="L232" s="7">
        <f t="shared" si="5"/>
        <v>0.5440115584</v>
      </c>
      <c r="M232" s="7">
        <f t="shared" si="6"/>
        <v>0.4739583458</v>
      </c>
      <c r="N232" s="7">
        <f t="shared" si="7"/>
        <v>0.9849383028</v>
      </c>
      <c r="O232" s="8"/>
      <c r="P232" s="8"/>
      <c r="Q232" s="8"/>
      <c r="R232" s="8"/>
      <c r="S232" s="8"/>
      <c r="T232" s="8"/>
      <c r="U232" s="11"/>
      <c r="V232" s="11"/>
      <c r="W232" s="11"/>
      <c r="X232" s="8"/>
      <c r="Y232" s="8"/>
      <c r="Z232" s="8"/>
      <c r="AA232" s="11"/>
      <c r="AB232" s="11"/>
      <c r="AC232" s="11"/>
      <c r="AD232" s="11"/>
    </row>
    <row r="233" ht="15.75" customHeight="1">
      <c r="A233" s="6">
        <v>51201.0</v>
      </c>
      <c r="B233" s="6">
        <v>2042.0</v>
      </c>
      <c r="C233" s="6">
        <v>913.6666905581951</v>
      </c>
      <c r="D233" s="6">
        <v>4899.0</v>
      </c>
      <c r="E233" s="7">
        <f t="shared" si="1"/>
        <v>0.4168197591</v>
      </c>
      <c r="F233" s="7">
        <f t="shared" si="2"/>
        <v>0.4474371648</v>
      </c>
      <c r="G233" s="7">
        <f t="shared" si="3"/>
        <v>0.1865006513</v>
      </c>
      <c r="H233" s="6">
        <v>8808.0</v>
      </c>
      <c r="I233" s="6">
        <v>3912.666768670082</v>
      </c>
      <c r="J233" s="6">
        <v>23754.0</v>
      </c>
      <c r="K233" s="7">
        <f t="shared" si="4"/>
        <v>0.3708007072</v>
      </c>
      <c r="L233" s="7">
        <f t="shared" si="5"/>
        <v>0.4442173897</v>
      </c>
      <c r="M233" s="7">
        <f t="shared" si="6"/>
        <v>0.1647161223</v>
      </c>
      <c r="N233" s="7">
        <f t="shared" si="7"/>
        <v>0.883193282</v>
      </c>
      <c r="O233" s="8"/>
      <c r="P233" s="8"/>
      <c r="Q233" s="8"/>
      <c r="R233" s="8"/>
      <c r="S233" s="8"/>
      <c r="T233" s="8"/>
      <c r="U233" s="11"/>
      <c r="V233" s="11"/>
      <c r="W233" s="11"/>
      <c r="X233" s="8"/>
      <c r="Y233" s="8"/>
      <c r="Z233" s="8"/>
      <c r="AA233" s="11"/>
      <c r="AB233" s="11"/>
      <c r="AC233" s="11"/>
      <c r="AD233" s="11"/>
    </row>
    <row r="234" ht="15.75" customHeight="1">
      <c r="A234" s="6">
        <v>51202.0</v>
      </c>
      <c r="B234" s="6">
        <v>1590.0</v>
      </c>
      <c r="C234" s="6">
        <v>701.6666849553585</v>
      </c>
      <c r="D234" s="6">
        <v>2275.0</v>
      </c>
      <c r="E234" s="7">
        <f t="shared" si="1"/>
        <v>0.6989010989</v>
      </c>
      <c r="F234" s="7">
        <f t="shared" si="2"/>
        <v>0.4412998019</v>
      </c>
      <c r="G234" s="7">
        <f t="shared" si="3"/>
        <v>0.3084249165</v>
      </c>
      <c r="H234" s="6">
        <v>4398.0</v>
      </c>
      <c r="I234" s="6">
        <v>1965.3333811163902</v>
      </c>
      <c r="J234" s="6">
        <v>6453.0</v>
      </c>
      <c r="K234" s="7">
        <f t="shared" si="4"/>
        <v>0.6815434682</v>
      </c>
      <c r="L234" s="7">
        <f t="shared" si="5"/>
        <v>0.4468698002</v>
      </c>
      <c r="M234" s="7">
        <f t="shared" si="6"/>
        <v>0.3045611934</v>
      </c>
      <c r="N234" s="7">
        <f t="shared" si="7"/>
        <v>0.9874727273</v>
      </c>
      <c r="O234" s="8"/>
      <c r="P234" s="8"/>
      <c r="Q234" s="8"/>
      <c r="R234" s="8"/>
      <c r="S234" s="8"/>
      <c r="T234" s="8"/>
      <c r="U234" s="11"/>
      <c r="V234" s="11"/>
      <c r="W234" s="11"/>
      <c r="X234" s="8"/>
      <c r="Y234" s="8"/>
      <c r="Z234" s="8"/>
      <c r="AA234" s="11"/>
      <c r="AB234" s="11"/>
      <c r="AC234" s="11"/>
      <c r="AD234" s="11"/>
    </row>
    <row r="235" ht="15.75" customHeight="1">
      <c r="A235" s="6">
        <v>51203.0</v>
      </c>
      <c r="B235" s="6">
        <v>620.0</v>
      </c>
      <c r="C235" s="6">
        <v>301.0000087618828</v>
      </c>
      <c r="D235" s="6">
        <v>960.0</v>
      </c>
      <c r="E235" s="7">
        <f t="shared" si="1"/>
        <v>0.6458333333</v>
      </c>
      <c r="F235" s="7">
        <f t="shared" si="2"/>
        <v>0.4854838851</v>
      </c>
      <c r="G235" s="7">
        <f t="shared" si="3"/>
        <v>0.3135416758</v>
      </c>
      <c r="H235" s="6">
        <v>2412.0</v>
      </c>
      <c r="I235" s="6">
        <v>1106.8889155983925</v>
      </c>
      <c r="J235" s="6">
        <v>9727.0</v>
      </c>
      <c r="K235" s="7">
        <f t="shared" si="4"/>
        <v>0.2479695692</v>
      </c>
      <c r="L235" s="7">
        <f t="shared" si="5"/>
        <v>0.458909169</v>
      </c>
      <c r="M235" s="7">
        <f t="shared" si="6"/>
        <v>0.113795509</v>
      </c>
      <c r="N235" s="7">
        <f t="shared" si="7"/>
        <v>0.3629358319</v>
      </c>
      <c r="O235" s="8"/>
      <c r="P235" s="8"/>
      <c r="Q235" s="8"/>
      <c r="R235" s="8"/>
      <c r="S235" s="8"/>
      <c r="T235" s="8"/>
      <c r="U235" s="11"/>
      <c r="V235" s="11"/>
      <c r="W235" s="11"/>
      <c r="X235" s="8"/>
      <c r="Y235" s="8"/>
      <c r="Z235" s="8"/>
      <c r="AA235" s="11"/>
      <c r="AB235" s="11"/>
      <c r="AC235" s="11"/>
      <c r="AD235" s="11"/>
    </row>
    <row r="236" ht="15.75" customHeight="1">
      <c r="A236" s="6">
        <v>51204.0</v>
      </c>
      <c r="B236" s="6">
        <v>682.0</v>
      </c>
      <c r="C236" s="6">
        <v>312.1111201643944</v>
      </c>
      <c r="D236" s="6">
        <v>1039.0</v>
      </c>
      <c r="E236" s="7">
        <f t="shared" si="1"/>
        <v>0.656400385</v>
      </c>
      <c r="F236" s="7">
        <f t="shared" si="2"/>
        <v>0.4576409387</v>
      </c>
      <c r="G236" s="7">
        <f t="shared" si="3"/>
        <v>0.3003956883</v>
      </c>
      <c r="H236" s="6">
        <v>3223.0</v>
      </c>
      <c r="I236" s="6">
        <v>1515.6667044758797</v>
      </c>
      <c r="J236" s="6">
        <v>4836.0</v>
      </c>
      <c r="K236" s="7">
        <f t="shared" si="4"/>
        <v>0.6664598842</v>
      </c>
      <c r="L236" s="7">
        <f t="shared" si="5"/>
        <v>0.4702658096</v>
      </c>
      <c r="M236" s="7">
        <f t="shared" si="6"/>
        <v>0.313413297</v>
      </c>
      <c r="N236" s="7">
        <f t="shared" si="7"/>
        <v>1.043334872</v>
      </c>
      <c r="O236" s="8"/>
      <c r="P236" s="8"/>
      <c r="Q236" s="8"/>
      <c r="R236" s="8"/>
      <c r="S236" s="8"/>
      <c r="T236" s="8"/>
      <c r="U236" s="11"/>
      <c r="V236" s="11"/>
      <c r="W236" s="11"/>
      <c r="X236" s="8"/>
      <c r="Y236" s="8"/>
      <c r="Z236" s="8"/>
      <c r="AA236" s="11"/>
      <c r="AB236" s="11"/>
      <c r="AC236" s="11"/>
      <c r="AD236" s="11"/>
    </row>
    <row r="237" ht="15.75" customHeight="1">
      <c r="A237" s="6">
        <v>51301.0</v>
      </c>
      <c r="B237" s="6">
        <v>640.0</v>
      </c>
      <c r="C237" s="6">
        <v>307.44445249438286</v>
      </c>
      <c r="D237" s="6">
        <v>923.0</v>
      </c>
      <c r="E237" s="7">
        <f t="shared" si="1"/>
        <v>0.6933911159</v>
      </c>
      <c r="F237" s="7">
        <f t="shared" si="2"/>
        <v>0.480381957</v>
      </c>
      <c r="G237" s="7">
        <f t="shared" si="3"/>
        <v>0.3330925813</v>
      </c>
      <c r="H237" s="6">
        <v>2433.0</v>
      </c>
      <c r="I237" s="6">
        <v>1236.0000346302986</v>
      </c>
      <c r="J237" s="6">
        <v>3191.0</v>
      </c>
      <c r="K237" s="7">
        <f t="shared" si="4"/>
        <v>0.7624569101</v>
      </c>
      <c r="L237" s="7">
        <f t="shared" si="5"/>
        <v>0.5080148108</v>
      </c>
      <c r="M237" s="7">
        <f t="shared" si="6"/>
        <v>0.3873394029</v>
      </c>
      <c r="N237" s="7">
        <f t="shared" si="7"/>
        <v>1.16285809</v>
      </c>
      <c r="O237" s="8"/>
      <c r="P237" s="8"/>
      <c r="Q237" s="8"/>
      <c r="R237" s="8"/>
      <c r="S237" s="8"/>
      <c r="T237" s="8"/>
      <c r="U237" s="11"/>
      <c r="V237" s="11"/>
      <c r="W237" s="11"/>
      <c r="X237" s="8"/>
      <c r="Y237" s="8"/>
      <c r="Z237" s="8"/>
      <c r="AA237" s="11"/>
      <c r="AB237" s="11"/>
      <c r="AC237" s="11"/>
      <c r="AD237" s="11"/>
    </row>
    <row r="238" ht="15.75" customHeight="1">
      <c r="A238" s="6">
        <v>51302.0</v>
      </c>
      <c r="B238" s="6">
        <v>975.0</v>
      </c>
      <c r="C238" s="6">
        <v>441.222233325243</v>
      </c>
      <c r="D238" s="6">
        <v>1367.0</v>
      </c>
      <c r="E238" s="7">
        <f t="shared" si="1"/>
        <v>0.713240673</v>
      </c>
      <c r="F238" s="7">
        <f t="shared" si="2"/>
        <v>0.4525356239</v>
      </c>
      <c r="G238" s="7">
        <f t="shared" si="3"/>
        <v>0.322766813</v>
      </c>
      <c r="H238" s="6">
        <v>3230.0</v>
      </c>
      <c r="I238" s="6">
        <v>1551.4444858431816</v>
      </c>
      <c r="J238" s="6">
        <v>4732.0</v>
      </c>
      <c r="K238" s="7">
        <f t="shared" si="4"/>
        <v>0.6825866441</v>
      </c>
      <c r="L238" s="7">
        <f t="shared" si="5"/>
        <v>0.4803233702</v>
      </c>
      <c r="M238" s="7">
        <f t="shared" si="6"/>
        <v>0.3278623174</v>
      </c>
      <c r="N238" s="7">
        <f t="shared" si="7"/>
        <v>1.015786953</v>
      </c>
      <c r="O238" s="8"/>
      <c r="P238" s="8"/>
      <c r="Q238" s="8"/>
      <c r="R238" s="8"/>
      <c r="S238" s="8"/>
      <c r="T238" s="8"/>
      <c r="U238" s="11"/>
      <c r="V238" s="11"/>
      <c r="W238" s="11"/>
      <c r="X238" s="8"/>
      <c r="Y238" s="8"/>
      <c r="Z238" s="8"/>
      <c r="AA238" s="11"/>
      <c r="AB238" s="11"/>
      <c r="AC238" s="11"/>
      <c r="AD238" s="11"/>
    </row>
    <row r="239" ht="15.75" customHeight="1">
      <c r="A239" s="6">
        <v>51401.0</v>
      </c>
      <c r="B239" s="6">
        <v>604.0</v>
      </c>
      <c r="C239" s="6">
        <v>246.00000622868538</v>
      </c>
      <c r="D239" s="6">
        <v>1089.0</v>
      </c>
      <c r="E239" s="7">
        <f t="shared" si="1"/>
        <v>0.5546372819</v>
      </c>
      <c r="F239" s="7">
        <f t="shared" si="2"/>
        <v>0.4072847785</v>
      </c>
      <c r="G239" s="7">
        <f t="shared" si="3"/>
        <v>0.2258953225</v>
      </c>
      <c r="H239" s="6">
        <v>1637.0</v>
      </c>
      <c r="I239" s="6">
        <v>698.0000172257423</v>
      </c>
      <c r="J239" s="6">
        <v>2896.0</v>
      </c>
      <c r="K239" s="7">
        <f t="shared" si="4"/>
        <v>0.5652624309</v>
      </c>
      <c r="L239" s="7">
        <f t="shared" si="5"/>
        <v>0.4263897478</v>
      </c>
      <c r="M239" s="7">
        <f t="shared" si="6"/>
        <v>0.2410221054</v>
      </c>
      <c r="N239" s="7">
        <f t="shared" si="7"/>
        <v>1.066963683</v>
      </c>
      <c r="O239" s="8"/>
      <c r="P239" s="8"/>
      <c r="Q239" s="8"/>
      <c r="R239" s="8"/>
      <c r="S239" s="8"/>
      <c r="T239" s="8"/>
      <c r="U239" s="11"/>
      <c r="V239" s="11"/>
      <c r="W239" s="11"/>
      <c r="X239" s="8"/>
      <c r="Y239" s="8"/>
      <c r="Z239" s="8"/>
      <c r="AA239" s="11"/>
      <c r="AB239" s="11"/>
      <c r="AC239" s="11"/>
      <c r="AD239" s="11"/>
    </row>
    <row r="240" ht="15.75" customHeight="1">
      <c r="A240" s="6">
        <v>51402.0</v>
      </c>
      <c r="B240" s="6">
        <v>144.0</v>
      </c>
      <c r="C240" s="6">
        <v>56.000001311302185</v>
      </c>
      <c r="D240" s="6">
        <v>435.0</v>
      </c>
      <c r="E240" s="7">
        <f t="shared" si="1"/>
        <v>0.3310344828</v>
      </c>
      <c r="F240" s="7">
        <f t="shared" si="2"/>
        <v>0.388888898</v>
      </c>
      <c r="G240" s="7">
        <f t="shared" si="3"/>
        <v>0.1287356352</v>
      </c>
      <c r="H240" s="6">
        <v>476.0</v>
      </c>
      <c r="I240" s="6">
        <v>199.1111163198948</v>
      </c>
      <c r="J240" s="6">
        <v>1237.0</v>
      </c>
      <c r="K240" s="7">
        <f t="shared" si="4"/>
        <v>0.3848019402</v>
      </c>
      <c r="L240" s="7">
        <f t="shared" si="5"/>
        <v>0.4183006645</v>
      </c>
      <c r="M240" s="7">
        <f t="shared" si="6"/>
        <v>0.1609629073</v>
      </c>
      <c r="N240" s="7">
        <f t="shared" si="7"/>
        <v>1.25033684</v>
      </c>
      <c r="O240" s="8"/>
      <c r="P240" s="8"/>
      <c r="Q240" s="8"/>
      <c r="R240" s="8"/>
      <c r="S240" s="8"/>
      <c r="T240" s="8"/>
      <c r="U240" s="11"/>
      <c r="V240" s="11"/>
      <c r="W240" s="11"/>
      <c r="X240" s="8"/>
      <c r="Y240" s="8"/>
      <c r="Z240" s="8"/>
      <c r="AA240" s="11"/>
      <c r="AB240" s="11"/>
      <c r="AC240" s="11"/>
      <c r="AD240" s="11"/>
    </row>
    <row r="241" ht="15.75" customHeight="1">
      <c r="A241" s="6">
        <v>51501.0</v>
      </c>
      <c r="B241" s="6">
        <v>2233.0</v>
      </c>
      <c r="C241" s="6">
        <v>1002.4444697797298</v>
      </c>
      <c r="D241" s="6">
        <v>7504.0</v>
      </c>
      <c r="E241" s="7">
        <f t="shared" si="1"/>
        <v>0.2975746269</v>
      </c>
      <c r="F241" s="7">
        <f t="shared" si="2"/>
        <v>0.4489227361</v>
      </c>
      <c r="G241" s="7">
        <f t="shared" si="3"/>
        <v>0.1335880157</v>
      </c>
      <c r="H241" s="6">
        <v>8986.0</v>
      </c>
      <c r="I241" s="6">
        <v>3891.333433508873</v>
      </c>
      <c r="J241" s="6">
        <v>36082.0</v>
      </c>
      <c r="K241" s="7">
        <f t="shared" si="4"/>
        <v>0.2490438446</v>
      </c>
      <c r="L241" s="7">
        <f t="shared" si="5"/>
        <v>0.4330440055</v>
      </c>
      <c r="M241" s="7">
        <f t="shared" si="6"/>
        <v>0.107846944</v>
      </c>
      <c r="N241" s="7">
        <f t="shared" si="7"/>
        <v>0.8073100228</v>
      </c>
      <c r="O241" s="8"/>
      <c r="P241" s="8"/>
      <c r="Q241" s="8"/>
      <c r="R241" s="8"/>
      <c r="S241" s="8"/>
      <c r="T241" s="8"/>
      <c r="U241" s="11"/>
      <c r="V241" s="11"/>
      <c r="W241" s="11"/>
      <c r="X241" s="8"/>
      <c r="Y241" s="8"/>
      <c r="Z241" s="8"/>
      <c r="AA241" s="11"/>
      <c r="AB241" s="11"/>
      <c r="AC241" s="11"/>
      <c r="AD241" s="11"/>
    </row>
    <row r="242" ht="15.75" customHeight="1">
      <c r="A242" s="6">
        <v>51601.0</v>
      </c>
      <c r="B242" s="6">
        <v>168.0</v>
      </c>
      <c r="C242" s="6">
        <v>73.88889050483704</v>
      </c>
      <c r="D242" s="6">
        <v>350.0</v>
      </c>
      <c r="E242" s="7">
        <f t="shared" si="1"/>
        <v>0.48</v>
      </c>
      <c r="F242" s="7">
        <f t="shared" si="2"/>
        <v>0.4398148244</v>
      </c>
      <c r="G242" s="7">
        <f t="shared" si="3"/>
        <v>0.2111111157</v>
      </c>
      <c r="H242" s="6">
        <v>693.0</v>
      </c>
      <c r="I242" s="6">
        <v>319.5555643439293</v>
      </c>
      <c r="J242" s="6">
        <v>1298.0</v>
      </c>
      <c r="K242" s="7">
        <f t="shared" si="4"/>
        <v>0.5338983051</v>
      </c>
      <c r="L242" s="7">
        <f t="shared" si="5"/>
        <v>0.4611191405</v>
      </c>
      <c r="M242" s="7">
        <f t="shared" si="6"/>
        <v>0.2461907275</v>
      </c>
      <c r="N242" s="7">
        <f t="shared" si="7"/>
        <v>1.166166579</v>
      </c>
      <c r="O242" s="8"/>
      <c r="P242" s="8"/>
      <c r="Q242" s="8"/>
      <c r="R242" s="8"/>
      <c r="S242" s="8"/>
      <c r="T242" s="8"/>
      <c r="U242" s="11"/>
      <c r="V242" s="11"/>
      <c r="W242" s="11"/>
      <c r="X242" s="8"/>
      <c r="Y242" s="8"/>
      <c r="Z242" s="8"/>
      <c r="AA242" s="11"/>
      <c r="AB242" s="11"/>
      <c r="AC242" s="11"/>
      <c r="AD242" s="11"/>
    </row>
    <row r="243" ht="15.75" customHeight="1">
      <c r="A243" s="6">
        <v>60101.0</v>
      </c>
      <c r="B243" s="6">
        <v>4214.0</v>
      </c>
      <c r="C243" s="6">
        <v>1713.7778205275536</v>
      </c>
      <c r="D243" s="6">
        <v>35851.0</v>
      </c>
      <c r="E243" s="7">
        <f t="shared" si="1"/>
        <v>0.117542049</v>
      </c>
      <c r="F243" s="7">
        <f t="shared" si="2"/>
        <v>0.4066867158</v>
      </c>
      <c r="G243" s="7">
        <f t="shared" si="3"/>
        <v>0.0478027899</v>
      </c>
      <c r="H243" s="6">
        <v>17917.0</v>
      </c>
      <c r="I243" s="6">
        <v>7291.000180661678</v>
      </c>
      <c r="J243" s="6">
        <v>163197.0</v>
      </c>
      <c r="K243" s="7">
        <f t="shared" si="4"/>
        <v>0.1097875574</v>
      </c>
      <c r="L243" s="7">
        <f t="shared" si="5"/>
        <v>0.4069319741</v>
      </c>
      <c r="M243" s="7">
        <f t="shared" si="6"/>
        <v>0.04467606746</v>
      </c>
      <c r="N243" s="7">
        <f t="shared" si="7"/>
        <v>0.9345912143</v>
      </c>
      <c r="O243" s="8"/>
      <c r="P243" s="8"/>
      <c r="Q243" s="8"/>
      <c r="R243" s="8"/>
      <c r="S243" s="8"/>
      <c r="T243" s="8"/>
      <c r="U243" s="11"/>
      <c r="V243" s="11"/>
      <c r="W243" s="11"/>
      <c r="X243" s="8"/>
      <c r="Y243" s="8"/>
      <c r="Z243" s="8"/>
      <c r="AA243" s="11"/>
      <c r="AB243" s="11"/>
      <c r="AC243" s="11"/>
      <c r="AD243" s="11"/>
    </row>
    <row r="244" ht="15.75" customHeight="1">
      <c r="A244" s="6">
        <v>60201.0</v>
      </c>
      <c r="B244" s="6">
        <v>1505.0</v>
      </c>
      <c r="C244" s="6">
        <v>639.3333486020565</v>
      </c>
      <c r="D244" s="6">
        <v>3977.0</v>
      </c>
      <c r="E244" s="7">
        <f t="shared" si="1"/>
        <v>0.3784259492</v>
      </c>
      <c r="F244" s="7">
        <f t="shared" si="2"/>
        <v>0.4248062117</v>
      </c>
      <c r="G244" s="7">
        <f t="shared" si="3"/>
        <v>0.1607576939</v>
      </c>
      <c r="H244" s="6">
        <v>5391.0</v>
      </c>
      <c r="I244" s="6">
        <v>2347.8889494538307</v>
      </c>
      <c r="J244" s="6">
        <v>14217.0</v>
      </c>
      <c r="K244" s="7">
        <f t="shared" si="4"/>
        <v>0.3791939228</v>
      </c>
      <c r="L244" s="7">
        <f t="shared" si="5"/>
        <v>0.4355201168</v>
      </c>
      <c r="M244" s="7">
        <f t="shared" si="6"/>
        <v>0.1651465815</v>
      </c>
      <c r="N244" s="7">
        <f t="shared" si="7"/>
        <v>1.02730126</v>
      </c>
      <c r="O244" s="8"/>
      <c r="P244" s="8"/>
      <c r="Q244" s="8"/>
      <c r="R244" s="8"/>
      <c r="S244" s="8"/>
      <c r="T244" s="8"/>
      <c r="U244" s="11"/>
      <c r="V244" s="11"/>
      <c r="W244" s="11"/>
      <c r="X244" s="8"/>
      <c r="Y244" s="8"/>
      <c r="Z244" s="8"/>
      <c r="AA244" s="11"/>
      <c r="AB244" s="11"/>
      <c r="AC244" s="11"/>
      <c r="AD244" s="11"/>
    </row>
    <row r="245" ht="15.75" customHeight="1">
      <c r="A245" s="6">
        <v>60202.0</v>
      </c>
      <c r="B245" s="6">
        <v>784.0</v>
      </c>
      <c r="C245" s="6">
        <v>307.44445130228996</v>
      </c>
      <c r="D245" s="6">
        <v>5339.0</v>
      </c>
      <c r="E245" s="7">
        <f t="shared" si="1"/>
        <v>0.1468439783</v>
      </c>
      <c r="F245" s="7">
        <f t="shared" si="2"/>
        <v>0.3921485348</v>
      </c>
      <c r="G245" s="7">
        <f t="shared" si="3"/>
        <v>0.05758465093</v>
      </c>
      <c r="H245" s="6">
        <v>3606.0</v>
      </c>
      <c r="I245" s="6">
        <v>1439.3333705365658</v>
      </c>
      <c r="J245" s="6">
        <v>27620.0</v>
      </c>
      <c r="K245" s="7">
        <f t="shared" si="4"/>
        <v>0.130557567</v>
      </c>
      <c r="L245" s="7">
        <f t="shared" si="5"/>
        <v>0.3991495759</v>
      </c>
      <c r="M245" s="7">
        <f t="shared" si="6"/>
        <v>0.05211199749</v>
      </c>
      <c r="N245" s="7">
        <f t="shared" si="7"/>
        <v>0.9049633304</v>
      </c>
      <c r="O245" s="8"/>
      <c r="P245" s="8"/>
      <c r="Q245" s="8"/>
      <c r="R245" s="8"/>
      <c r="S245" s="8"/>
      <c r="T245" s="8"/>
      <c r="U245" s="11"/>
      <c r="V245" s="11"/>
      <c r="W245" s="11"/>
      <c r="X245" s="8"/>
      <c r="Y245" s="8"/>
      <c r="Z245" s="8"/>
      <c r="AA245" s="11"/>
      <c r="AB245" s="11"/>
      <c r="AC245" s="11"/>
      <c r="AD245" s="11"/>
    </row>
    <row r="246" ht="15.75" customHeight="1">
      <c r="A246" s="6">
        <v>60301.0</v>
      </c>
      <c r="B246" s="6">
        <v>2530.0</v>
      </c>
      <c r="C246" s="6">
        <v>1082.0000278055668</v>
      </c>
      <c r="D246" s="6">
        <v>12848.0</v>
      </c>
      <c r="E246" s="7">
        <f t="shared" si="1"/>
        <v>0.1969178082</v>
      </c>
      <c r="F246" s="7">
        <f t="shared" si="2"/>
        <v>0.4276679952</v>
      </c>
      <c r="G246" s="7">
        <f t="shared" si="3"/>
        <v>0.08421544426</v>
      </c>
      <c r="H246" s="6">
        <v>12690.0</v>
      </c>
      <c r="I246" s="6">
        <v>5333.333470523357</v>
      </c>
      <c r="J246" s="6">
        <v>75021.0</v>
      </c>
      <c r="K246" s="7">
        <f t="shared" si="4"/>
        <v>0.1691526373</v>
      </c>
      <c r="L246" s="7">
        <f t="shared" si="5"/>
        <v>0.4202784453</v>
      </c>
      <c r="M246" s="7">
        <f t="shared" si="6"/>
        <v>0.0710912074</v>
      </c>
      <c r="N246" s="7">
        <f t="shared" si="7"/>
        <v>0.8441587886</v>
      </c>
      <c r="O246" s="8"/>
      <c r="P246" s="8"/>
      <c r="Q246" s="8"/>
      <c r="R246" s="8"/>
      <c r="S246" s="8"/>
      <c r="T246" s="8"/>
      <c r="U246" s="11"/>
      <c r="V246" s="11"/>
      <c r="W246" s="11"/>
      <c r="X246" s="8"/>
      <c r="Y246" s="8"/>
      <c r="Z246" s="8"/>
      <c r="AA246" s="11"/>
      <c r="AB246" s="11"/>
      <c r="AC246" s="11"/>
      <c r="AD246" s="11"/>
    </row>
    <row r="247" ht="15.75" customHeight="1">
      <c r="A247" s="6">
        <v>60302.0</v>
      </c>
      <c r="B247" s="6">
        <v>436.0</v>
      </c>
      <c r="C247" s="6">
        <v>174.22222664952278</v>
      </c>
      <c r="D247" s="6">
        <v>1941.0</v>
      </c>
      <c r="E247" s="7">
        <f t="shared" si="1"/>
        <v>0.2246264812</v>
      </c>
      <c r="F247" s="7">
        <f t="shared" si="2"/>
        <v>0.399592263</v>
      </c>
      <c r="G247" s="7">
        <f t="shared" si="3"/>
        <v>0.08975900394</v>
      </c>
      <c r="H247" s="6">
        <v>1958.0</v>
      </c>
      <c r="I247" s="6">
        <v>810.1111329495907</v>
      </c>
      <c r="J247" s="6">
        <v>11370.0</v>
      </c>
      <c r="K247" s="7">
        <f t="shared" si="4"/>
        <v>0.1722075638</v>
      </c>
      <c r="L247" s="7">
        <f t="shared" si="5"/>
        <v>0.4137441946</v>
      </c>
      <c r="M247" s="7">
        <f t="shared" si="6"/>
        <v>0.07124987977</v>
      </c>
      <c r="N247" s="7">
        <f t="shared" si="7"/>
        <v>0.7937908916</v>
      </c>
      <c r="O247" s="8"/>
      <c r="P247" s="8"/>
      <c r="Q247" s="8"/>
      <c r="R247" s="8"/>
      <c r="S247" s="8"/>
      <c r="T247" s="8"/>
      <c r="U247" s="11"/>
      <c r="V247" s="11"/>
      <c r="W247" s="11"/>
      <c r="X247" s="8"/>
      <c r="Y247" s="8"/>
      <c r="Z247" s="8"/>
      <c r="AA247" s="11"/>
      <c r="AB247" s="11"/>
      <c r="AC247" s="11"/>
      <c r="AD247" s="11"/>
    </row>
    <row r="248" ht="15.75" customHeight="1">
      <c r="A248" s="6">
        <v>60303.0</v>
      </c>
      <c r="B248" s="6">
        <v>1307.0</v>
      </c>
      <c r="C248" s="6">
        <v>544.888903170824</v>
      </c>
      <c r="D248" s="6">
        <v>5196.0</v>
      </c>
      <c r="E248" s="7">
        <f t="shared" si="1"/>
        <v>0.2515396459</v>
      </c>
      <c r="F248" s="7">
        <f t="shared" si="2"/>
        <v>0.4169004615</v>
      </c>
      <c r="G248" s="7">
        <f t="shared" si="3"/>
        <v>0.1048669945</v>
      </c>
      <c r="H248" s="6">
        <v>7866.0</v>
      </c>
      <c r="I248" s="6">
        <v>3243.222305625677</v>
      </c>
      <c r="J248" s="6">
        <v>32594.0</v>
      </c>
      <c r="K248" s="7">
        <f t="shared" si="4"/>
        <v>0.2413327606</v>
      </c>
      <c r="L248" s="7">
        <f t="shared" si="5"/>
        <v>0.4123089633</v>
      </c>
      <c r="M248" s="7">
        <f t="shared" si="6"/>
        <v>0.09950366036</v>
      </c>
      <c r="N248" s="7">
        <f t="shared" si="7"/>
        <v>0.9488558424</v>
      </c>
      <c r="O248" s="8"/>
      <c r="P248" s="8"/>
      <c r="Q248" s="8"/>
      <c r="R248" s="8"/>
      <c r="S248" s="8"/>
      <c r="T248" s="8"/>
      <c r="U248" s="11"/>
      <c r="V248" s="11"/>
      <c r="W248" s="11"/>
      <c r="X248" s="8"/>
      <c r="Y248" s="8"/>
      <c r="Z248" s="8"/>
      <c r="AA248" s="11"/>
      <c r="AB248" s="11"/>
      <c r="AC248" s="11"/>
      <c r="AD248" s="11"/>
    </row>
    <row r="249" ht="15.75" customHeight="1">
      <c r="A249" s="6">
        <v>60401.0</v>
      </c>
      <c r="B249" s="6">
        <v>1023.0</v>
      </c>
      <c r="C249" s="6">
        <v>447.0000120103359</v>
      </c>
      <c r="D249" s="6">
        <v>2768.0</v>
      </c>
      <c r="E249" s="7">
        <f t="shared" si="1"/>
        <v>0.3695809249</v>
      </c>
      <c r="F249" s="7">
        <f t="shared" si="2"/>
        <v>0.4369501584</v>
      </c>
      <c r="G249" s="7">
        <f t="shared" si="3"/>
        <v>0.1614884436</v>
      </c>
      <c r="H249" s="6">
        <v>3833.0</v>
      </c>
      <c r="I249" s="6">
        <v>1670.777821034193</v>
      </c>
      <c r="J249" s="6">
        <v>11747.0</v>
      </c>
      <c r="K249" s="7">
        <f t="shared" si="4"/>
        <v>0.3262960756</v>
      </c>
      <c r="L249" s="7">
        <f t="shared" si="5"/>
        <v>0.4358929875</v>
      </c>
      <c r="M249" s="7">
        <f t="shared" si="6"/>
        <v>0.1422301712</v>
      </c>
      <c r="N249" s="7">
        <f t="shared" si="7"/>
        <v>0.8807451975</v>
      </c>
      <c r="O249" s="8"/>
      <c r="P249" s="8"/>
      <c r="Q249" s="8"/>
      <c r="R249" s="8"/>
      <c r="S249" s="8"/>
      <c r="T249" s="8"/>
      <c r="U249" s="11"/>
      <c r="V249" s="11"/>
      <c r="W249" s="11"/>
      <c r="X249" s="8"/>
      <c r="Y249" s="8"/>
      <c r="Z249" s="8"/>
      <c r="AA249" s="11"/>
      <c r="AB249" s="11"/>
      <c r="AC249" s="11"/>
      <c r="AD249" s="11"/>
    </row>
    <row r="250" ht="15.75" customHeight="1">
      <c r="A250" s="6">
        <v>60402.0</v>
      </c>
      <c r="B250" s="6">
        <v>436.0</v>
      </c>
      <c r="C250" s="6">
        <v>188.77778288722038</v>
      </c>
      <c r="D250" s="6">
        <v>967.0</v>
      </c>
      <c r="E250" s="7">
        <f t="shared" si="1"/>
        <v>0.4508790072</v>
      </c>
      <c r="F250" s="7">
        <f t="shared" si="2"/>
        <v>0.4329765663</v>
      </c>
      <c r="G250" s="7">
        <f t="shared" si="3"/>
        <v>0.1952200444</v>
      </c>
      <c r="H250" s="6">
        <v>1516.0</v>
      </c>
      <c r="I250" s="6">
        <v>666.000017374754</v>
      </c>
      <c r="J250" s="6">
        <v>4258.0</v>
      </c>
      <c r="K250" s="7">
        <f t="shared" si="4"/>
        <v>0.3560356975</v>
      </c>
      <c r="L250" s="7">
        <f t="shared" si="5"/>
        <v>0.4393139956</v>
      </c>
      <c r="M250" s="7">
        <f t="shared" si="6"/>
        <v>0.1564114649</v>
      </c>
      <c r="N250" s="7">
        <f t="shared" si="7"/>
        <v>0.8012059693</v>
      </c>
      <c r="O250" s="8"/>
      <c r="P250" s="8"/>
      <c r="Q250" s="8"/>
      <c r="R250" s="8"/>
      <c r="S250" s="8"/>
      <c r="T250" s="8"/>
      <c r="U250" s="11"/>
      <c r="V250" s="11"/>
      <c r="W250" s="11"/>
      <c r="X250" s="8"/>
      <c r="Y250" s="8"/>
      <c r="Z250" s="8"/>
      <c r="AA250" s="11"/>
      <c r="AB250" s="11"/>
      <c r="AC250" s="11"/>
      <c r="AD250" s="11"/>
    </row>
    <row r="251" ht="15.75" customHeight="1">
      <c r="A251" s="6">
        <v>60501.0</v>
      </c>
      <c r="B251" s="6">
        <v>1691.0</v>
      </c>
      <c r="C251" s="6">
        <v>785.0000209510326</v>
      </c>
      <c r="D251" s="6">
        <v>5428.0</v>
      </c>
      <c r="E251" s="7">
        <f t="shared" si="1"/>
        <v>0.3115327929</v>
      </c>
      <c r="F251" s="7">
        <f t="shared" si="2"/>
        <v>0.464222366</v>
      </c>
      <c r="G251" s="7">
        <f t="shared" si="3"/>
        <v>0.1446204902</v>
      </c>
      <c r="H251" s="6">
        <v>5322.0</v>
      </c>
      <c r="I251" s="6">
        <v>2443.0000619888306</v>
      </c>
      <c r="J251" s="6">
        <v>17827.0</v>
      </c>
      <c r="K251" s="7">
        <f t="shared" si="4"/>
        <v>0.2985359286</v>
      </c>
      <c r="L251" s="7">
        <f t="shared" si="5"/>
        <v>0.4590379673</v>
      </c>
      <c r="M251" s="7">
        <f t="shared" si="6"/>
        <v>0.1370393259</v>
      </c>
      <c r="N251" s="7">
        <f t="shared" si="7"/>
        <v>0.9475789056</v>
      </c>
      <c r="O251" s="8"/>
      <c r="P251" s="8"/>
      <c r="Q251" s="8"/>
      <c r="R251" s="8"/>
      <c r="S251" s="8"/>
      <c r="T251" s="8"/>
      <c r="U251" s="11"/>
      <c r="V251" s="11"/>
      <c r="W251" s="11"/>
      <c r="X251" s="8"/>
      <c r="Y251" s="8"/>
      <c r="Z251" s="8"/>
      <c r="AA251" s="11"/>
      <c r="AB251" s="11"/>
      <c r="AC251" s="11"/>
      <c r="AD251" s="11"/>
    </row>
    <row r="252" ht="15.75" customHeight="1">
      <c r="A252" s="6">
        <v>60502.0</v>
      </c>
      <c r="B252" s="6">
        <v>748.0</v>
      </c>
      <c r="C252" s="6">
        <v>313.6666747331619</v>
      </c>
      <c r="D252" s="6">
        <v>1995.0</v>
      </c>
      <c r="E252" s="7">
        <f t="shared" si="1"/>
        <v>0.3749373434</v>
      </c>
      <c r="F252" s="7">
        <f t="shared" si="2"/>
        <v>0.4193404742</v>
      </c>
      <c r="G252" s="7">
        <f t="shared" si="3"/>
        <v>0.1572264034</v>
      </c>
      <c r="H252" s="6">
        <v>2819.0</v>
      </c>
      <c r="I252" s="6">
        <v>1211.3333651721478</v>
      </c>
      <c r="J252" s="6">
        <v>8952.0</v>
      </c>
      <c r="K252" s="7">
        <f t="shared" si="4"/>
        <v>0.3149016979</v>
      </c>
      <c r="L252" s="7">
        <f t="shared" si="5"/>
        <v>0.4297032157</v>
      </c>
      <c r="M252" s="7">
        <f t="shared" si="6"/>
        <v>0.1353142722</v>
      </c>
      <c r="N252" s="7">
        <f t="shared" si="7"/>
        <v>0.860633261</v>
      </c>
      <c r="O252" s="8"/>
      <c r="P252" s="8"/>
      <c r="Q252" s="8"/>
      <c r="R252" s="8"/>
      <c r="S252" s="8"/>
      <c r="T252" s="8"/>
      <c r="U252" s="11"/>
      <c r="V252" s="11"/>
      <c r="W252" s="11"/>
      <c r="X252" s="8"/>
      <c r="Y252" s="8"/>
      <c r="Z252" s="8"/>
      <c r="AA252" s="11"/>
      <c r="AB252" s="11"/>
      <c r="AC252" s="11"/>
      <c r="AD252" s="11"/>
    </row>
    <row r="253" ht="15.75" customHeight="1">
      <c r="A253" s="6">
        <v>60601.0</v>
      </c>
      <c r="B253" s="6">
        <v>1983.0</v>
      </c>
      <c r="C253" s="6">
        <v>870.888911575079</v>
      </c>
      <c r="D253" s="6">
        <v>4025.0</v>
      </c>
      <c r="E253" s="7">
        <f t="shared" si="1"/>
        <v>0.4926708075</v>
      </c>
      <c r="F253" s="7">
        <f t="shared" si="2"/>
        <v>0.4391774642</v>
      </c>
      <c r="G253" s="7">
        <f t="shared" si="3"/>
        <v>0.2163699159</v>
      </c>
      <c r="H253" s="6">
        <v>6968.0</v>
      </c>
      <c r="I253" s="6">
        <v>3179.5556404292583</v>
      </c>
      <c r="J253" s="6">
        <v>16172.0</v>
      </c>
      <c r="K253" s="7">
        <f t="shared" si="4"/>
        <v>0.4308681672</v>
      </c>
      <c r="L253" s="7">
        <f t="shared" si="5"/>
        <v>0.4563082148</v>
      </c>
      <c r="M253" s="7">
        <f t="shared" si="6"/>
        <v>0.1966086842</v>
      </c>
      <c r="N253" s="7">
        <f t="shared" si="7"/>
        <v>0.9086692267</v>
      </c>
      <c r="O253" s="8"/>
      <c r="P253" s="8"/>
      <c r="Q253" s="8"/>
      <c r="R253" s="8"/>
      <c r="S253" s="8"/>
      <c r="T253" s="8"/>
      <c r="U253" s="11"/>
      <c r="V253" s="11"/>
      <c r="W253" s="11"/>
      <c r="X253" s="8"/>
      <c r="Y253" s="8"/>
      <c r="Z253" s="8"/>
      <c r="AA253" s="11"/>
      <c r="AB253" s="11"/>
      <c r="AC253" s="11"/>
      <c r="AD253" s="11"/>
    </row>
    <row r="254" ht="15.75" customHeight="1">
      <c r="A254" s="6">
        <v>70101.0</v>
      </c>
      <c r="B254" s="6">
        <v>20918.0</v>
      </c>
      <c r="C254" s="6">
        <v>7834.666863262653</v>
      </c>
      <c r="D254" s="6">
        <v>198210.0</v>
      </c>
      <c r="E254" s="7">
        <f t="shared" si="1"/>
        <v>0.1055345341</v>
      </c>
      <c r="F254" s="7">
        <f t="shared" si="2"/>
        <v>0.3745418713</v>
      </c>
      <c r="G254" s="7">
        <f t="shared" si="3"/>
        <v>0.03952710188</v>
      </c>
      <c r="H254" s="6">
        <v>173011.0</v>
      </c>
      <c r="I254" s="6">
        <v>64225.44606119394</v>
      </c>
      <c r="J254" s="6">
        <v>1213021.0</v>
      </c>
      <c r="K254" s="7">
        <f t="shared" si="4"/>
        <v>0.1426281985</v>
      </c>
      <c r="L254" s="7">
        <f t="shared" si="5"/>
        <v>0.3712217493</v>
      </c>
      <c r="M254" s="7">
        <f t="shared" si="6"/>
        <v>0.05294668935</v>
      </c>
      <c r="N254" s="7">
        <f t="shared" si="7"/>
        <v>1.33950345</v>
      </c>
      <c r="O254" s="8"/>
      <c r="P254" s="8"/>
      <c r="Q254" s="8"/>
      <c r="R254" s="8"/>
      <c r="S254" s="8"/>
      <c r="T254" s="8"/>
      <c r="U254" s="11"/>
      <c r="V254" s="11"/>
      <c r="W254" s="11"/>
      <c r="X254" s="8"/>
      <c r="Y254" s="8"/>
      <c r="Z254" s="8"/>
      <c r="AA254" s="11"/>
      <c r="AB254" s="11"/>
      <c r="AC254" s="11"/>
      <c r="AD254" s="11"/>
    </row>
    <row r="255" ht="15.75" customHeight="1">
      <c r="A255" s="6">
        <v>70102.0</v>
      </c>
      <c r="B255" s="6">
        <v>1534.0</v>
      </c>
      <c r="C255" s="6">
        <v>600.7777919769287</v>
      </c>
      <c r="D255" s="6">
        <v>6403.0</v>
      </c>
      <c r="E255" s="7">
        <f t="shared" si="1"/>
        <v>0.2395751991</v>
      </c>
      <c r="F255" s="7">
        <f t="shared" si="2"/>
        <v>0.3916413246</v>
      </c>
      <c r="G255" s="7">
        <f t="shared" si="3"/>
        <v>0.09382754833</v>
      </c>
      <c r="H255" s="6">
        <v>12602.0</v>
      </c>
      <c r="I255" s="6">
        <v>4921.555680036545</v>
      </c>
      <c r="J255" s="6">
        <v>48244.0</v>
      </c>
      <c r="K255" s="7">
        <f t="shared" si="4"/>
        <v>0.2612138297</v>
      </c>
      <c r="L255" s="7">
        <f t="shared" si="5"/>
        <v>0.390537667</v>
      </c>
      <c r="M255" s="7">
        <f t="shared" si="6"/>
        <v>0.1020138396</v>
      </c>
      <c r="N255" s="7">
        <f t="shared" si="7"/>
        <v>1.08724827</v>
      </c>
      <c r="O255" s="8"/>
      <c r="P255" s="8"/>
      <c r="Q255" s="8"/>
      <c r="R255" s="8"/>
      <c r="S255" s="8"/>
      <c r="T255" s="8"/>
      <c r="U255" s="11"/>
      <c r="V255" s="11"/>
      <c r="W255" s="11"/>
      <c r="X255" s="8"/>
      <c r="Y255" s="8"/>
      <c r="Z255" s="8"/>
      <c r="AA255" s="11"/>
      <c r="AB255" s="11"/>
      <c r="AC255" s="11"/>
      <c r="AD255" s="11"/>
    </row>
    <row r="256" ht="15.75" customHeight="1">
      <c r="A256" s="6">
        <v>70103.0</v>
      </c>
      <c r="B256" s="6">
        <v>1012.0</v>
      </c>
      <c r="C256" s="6">
        <v>436.22223299741745</v>
      </c>
      <c r="D256" s="6">
        <v>2946.0</v>
      </c>
      <c r="E256" s="7">
        <f t="shared" si="1"/>
        <v>0.3435166327</v>
      </c>
      <c r="F256" s="7">
        <f t="shared" si="2"/>
        <v>0.4310496373</v>
      </c>
      <c r="G256" s="7">
        <f t="shared" si="3"/>
        <v>0.14807272</v>
      </c>
      <c r="H256" s="6">
        <v>3685.0</v>
      </c>
      <c r="I256" s="6">
        <v>1578.1111524701118</v>
      </c>
      <c r="J256" s="6">
        <v>12302.0</v>
      </c>
      <c r="K256" s="7">
        <f t="shared" si="4"/>
        <v>0.2995447895</v>
      </c>
      <c r="L256" s="7">
        <f t="shared" si="5"/>
        <v>0.4282526872</v>
      </c>
      <c r="M256" s="7">
        <f t="shared" si="6"/>
        <v>0.128280861</v>
      </c>
      <c r="N256" s="7">
        <f t="shared" si="7"/>
        <v>0.866336899</v>
      </c>
      <c r="O256" s="8"/>
      <c r="P256" s="8"/>
      <c r="Q256" s="8"/>
      <c r="R256" s="8"/>
      <c r="S256" s="8"/>
      <c r="T256" s="8"/>
      <c r="U256" s="11"/>
      <c r="V256" s="11"/>
      <c r="W256" s="11"/>
      <c r="X256" s="8"/>
      <c r="Y256" s="8"/>
      <c r="Z256" s="8"/>
      <c r="AA256" s="11"/>
      <c r="AB256" s="11"/>
      <c r="AC256" s="11"/>
      <c r="AD256" s="11"/>
    </row>
    <row r="257" ht="15.75" customHeight="1">
      <c r="A257" s="6">
        <v>70104.0</v>
      </c>
      <c r="B257" s="6">
        <v>2346.0</v>
      </c>
      <c r="C257" s="6">
        <v>910.444466739893</v>
      </c>
      <c r="D257" s="6">
        <v>9206.0</v>
      </c>
      <c r="E257" s="7">
        <f t="shared" si="1"/>
        <v>0.254833804</v>
      </c>
      <c r="F257" s="7">
        <f t="shared" si="2"/>
        <v>0.3880837454</v>
      </c>
      <c r="G257" s="7">
        <f t="shared" si="3"/>
        <v>0.09889685713</v>
      </c>
      <c r="H257" s="6">
        <v>18982.0</v>
      </c>
      <c r="I257" s="6">
        <v>7214.111294806004</v>
      </c>
      <c r="J257" s="6">
        <v>79129.0</v>
      </c>
      <c r="K257" s="7">
        <f t="shared" si="4"/>
        <v>0.2398867672</v>
      </c>
      <c r="L257" s="7">
        <f t="shared" si="5"/>
        <v>0.3800501156</v>
      </c>
      <c r="M257" s="7">
        <f t="shared" si="6"/>
        <v>0.0911689936</v>
      </c>
      <c r="N257" s="7">
        <f t="shared" si="7"/>
        <v>0.9218593618</v>
      </c>
      <c r="O257" s="8"/>
      <c r="P257" s="8"/>
      <c r="Q257" s="8"/>
      <c r="R257" s="8"/>
      <c r="S257" s="8"/>
      <c r="T257" s="8"/>
      <c r="U257" s="11"/>
      <c r="V257" s="11"/>
      <c r="W257" s="11"/>
      <c r="X257" s="8"/>
      <c r="Y257" s="8"/>
      <c r="Z257" s="8"/>
      <c r="AA257" s="11"/>
      <c r="AB257" s="11"/>
      <c r="AC257" s="11"/>
      <c r="AD257" s="11"/>
    </row>
    <row r="258" ht="15.75" customHeight="1">
      <c r="A258" s="6">
        <v>70105.0</v>
      </c>
      <c r="B258" s="6">
        <v>2527.0</v>
      </c>
      <c r="C258" s="6">
        <v>1077.1111393868923</v>
      </c>
      <c r="D258" s="6">
        <v>7160.0</v>
      </c>
      <c r="E258" s="7">
        <f t="shared" si="1"/>
        <v>0.3529329609</v>
      </c>
      <c r="F258" s="7">
        <f t="shared" si="2"/>
        <v>0.4262410524</v>
      </c>
      <c r="G258" s="7">
        <f t="shared" si="3"/>
        <v>0.1504345167</v>
      </c>
      <c r="H258" s="6">
        <v>12222.0</v>
      </c>
      <c r="I258" s="6">
        <v>5238.666804045439</v>
      </c>
      <c r="J258" s="6">
        <v>41911.0</v>
      </c>
      <c r="K258" s="7">
        <f t="shared" si="4"/>
        <v>0.2916179523</v>
      </c>
      <c r="L258" s="7">
        <f t="shared" si="5"/>
        <v>0.4286259863</v>
      </c>
      <c r="M258" s="7">
        <f t="shared" si="6"/>
        <v>0.1249950324</v>
      </c>
      <c r="N258" s="7">
        <f t="shared" si="7"/>
        <v>0.8308933029</v>
      </c>
      <c r="O258" s="8"/>
      <c r="P258" s="8"/>
      <c r="Q258" s="8"/>
      <c r="R258" s="8"/>
      <c r="S258" s="8"/>
      <c r="T258" s="8"/>
      <c r="U258" s="11"/>
      <c r="V258" s="11"/>
      <c r="W258" s="11"/>
      <c r="X258" s="8"/>
      <c r="Y258" s="8"/>
      <c r="Z258" s="8"/>
      <c r="AA258" s="11"/>
      <c r="AB258" s="11"/>
      <c r="AC258" s="11"/>
      <c r="AD258" s="11"/>
    </row>
    <row r="259" ht="15.75" customHeight="1">
      <c r="A259" s="6">
        <v>70201.0</v>
      </c>
      <c r="B259" s="6">
        <v>2746.0</v>
      </c>
      <c r="C259" s="6">
        <v>1115.888917952776</v>
      </c>
      <c r="D259" s="6">
        <v>10243.0</v>
      </c>
      <c r="E259" s="7">
        <f t="shared" si="1"/>
        <v>0.2680855218</v>
      </c>
      <c r="F259" s="7">
        <f t="shared" si="2"/>
        <v>0.4063688703</v>
      </c>
      <c r="G259" s="7">
        <f t="shared" si="3"/>
        <v>0.1089416107</v>
      </c>
      <c r="H259" s="6">
        <v>21948.0</v>
      </c>
      <c r="I259" s="6">
        <v>8667.666882067919</v>
      </c>
      <c r="J259" s="6">
        <v>84776.0</v>
      </c>
      <c r="K259" s="7">
        <f t="shared" si="4"/>
        <v>0.2588940266</v>
      </c>
      <c r="L259" s="7">
        <f t="shared" si="5"/>
        <v>0.3949183015</v>
      </c>
      <c r="M259" s="7">
        <f t="shared" si="6"/>
        <v>0.1022419893</v>
      </c>
      <c r="N259" s="7">
        <f t="shared" si="7"/>
        <v>0.9385026405</v>
      </c>
      <c r="O259" s="8"/>
      <c r="P259" s="8"/>
      <c r="Q259" s="8"/>
      <c r="R259" s="8"/>
      <c r="S259" s="8"/>
      <c r="T259" s="8"/>
      <c r="U259" s="11"/>
      <c r="V259" s="11"/>
      <c r="W259" s="11"/>
      <c r="X259" s="8"/>
      <c r="Y259" s="8"/>
      <c r="Z259" s="8"/>
      <c r="AA259" s="11"/>
      <c r="AB259" s="11"/>
      <c r="AC259" s="11"/>
      <c r="AD259" s="11"/>
    </row>
    <row r="260" ht="15.75" customHeight="1">
      <c r="A260" s="6">
        <v>70202.0</v>
      </c>
      <c r="B260" s="6">
        <v>428.0</v>
      </c>
      <c r="C260" s="6">
        <v>174.22222650051117</v>
      </c>
      <c r="D260" s="6">
        <v>1875.0</v>
      </c>
      <c r="E260" s="7">
        <f t="shared" si="1"/>
        <v>0.2282666667</v>
      </c>
      <c r="F260" s="7">
        <f t="shared" si="2"/>
        <v>0.4070612769</v>
      </c>
      <c r="G260" s="7">
        <f t="shared" si="3"/>
        <v>0.0929185208</v>
      </c>
      <c r="H260" s="6">
        <v>2856.0</v>
      </c>
      <c r="I260" s="6">
        <v>1132.0000287294388</v>
      </c>
      <c r="J260" s="6">
        <v>10241.0</v>
      </c>
      <c r="K260" s="7">
        <f t="shared" si="4"/>
        <v>0.2788790157</v>
      </c>
      <c r="L260" s="7">
        <f t="shared" si="5"/>
        <v>0.3963585535</v>
      </c>
      <c r="M260" s="7">
        <f t="shared" si="6"/>
        <v>0.1105360833</v>
      </c>
      <c r="N260" s="7">
        <f t="shared" si="7"/>
        <v>1.18960227</v>
      </c>
      <c r="O260" s="8"/>
      <c r="P260" s="8"/>
      <c r="Q260" s="8"/>
      <c r="R260" s="8"/>
      <c r="S260" s="8"/>
      <c r="T260" s="8"/>
      <c r="U260" s="11"/>
      <c r="V260" s="11"/>
      <c r="W260" s="11"/>
      <c r="X260" s="8"/>
      <c r="Y260" s="8"/>
      <c r="Z260" s="8"/>
      <c r="AA260" s="11"/>
      <c r="AB260" s="11"/>
      <c r="AC260" s="11"/>
      <c r="AD260" s="11"/>
    </row>
    <row r="261" ht="15.75" customHeight="1">
      <c r="A261" s="6">
        <v>70301.0</v>
      </c>
      <c r="B261" s="6">
        <v>3571.0</v>
      </c>
      <c r="C261" s="6">
        <v>1516.4444833099842</v>
      </c>
      <c r="D261" s="6">
        <v>7866.0</v>
      </c>
      <c r="E261" s="7">
        <f t="shared" si="1"/>
        <v>0.4539791508</v>
      </c>
      <c r="F261" s="7">
        <f t="shared" si="2"/>
        <v>0.424655414</v>
      </c>
      <c r="G261" s="7">
        <f t="shared" si="3"/>
        <v>0.1927847042</v>
      </c>
      <c r="H261" s="6">
        <v>19874.0</v>
      </c>
      <c r="I261" s="6">
        <v>8551.000221431255</v>
      </c>
      <c r="J261" s="6">
        <v>43155.0</v>
      </c>
      <c r="K261" s="7">
        <f t="shared" si="4"/>
        <v>0.4605260109</v>
      </c>
      <c r="L261" s="7">
        <f t="shared" si="5"/>
        <v>0.4302606532</v>
      </c>
      <c r="M261" s="7">
        <f t="shared" si="6"/>
        <v>0.1981462223</v>
      </c>
      <c r="N261" s="7">
        <f t="shared" si="7"/>
        <v>1.02781091</v>
      </c>
      <c r="O261" s="8"/>
      <c r="P261" s="8"/>
      <c r="Q261" s="8"/>
      <c r="R261" s="8"/>
      <c r="S261" s="8"/>
      <c r="T261" s="8"/>
      <c r="U261" s="11"/>
      <c r="V261" s="11"/>
      <c r="W261" s="11"/>
      <c r="X261" s="8"/>
      <c r="Y261" s="8"/>
      <c r="Z261" s="8"/>
      <c r="AA261" s="11"/>
      <c r="AB261" s="11"/>
      <c r="AC261" s="11"/>
      <c r="AD261" s="11"/>
    </row>
    <row r="262" ht="15.75" customHeight="1">
      <c r="A262" s="6">
        <v>70302.0</v>
      </c>
      <c r="B262" s="6">
        <v>1221.0</v>
      </c>
      <c r="C262" s="6">
        <v>577.111124932766</v>
      </c>
      <c r="D262" s="6">
        <v>2041.0</v>
      </c>
      <c r="E262" s="7">
        <f t="shared" si="1"/>
        <v>0.5982361587</v>
      </c>
      <c r="F262" s="7">
        <f t="shared" si="2"/>
        <v>0.472654484</v>
      </c>
      <c r="G262" s="7">
        <f t="shared" si="3"/>
        <v>0.2827590029</v>
      </c>
      <c r="H262" s="6">
        <v>5295.0</v>
      </c>
      <c r="I262" s="6">
        <v>2355.6667266488075</v>
      </c>
      <c r="J262" s="6">
        <v>9191.0</v>
      </c>
      <c r="K262" s="7">
        <f t="shared" si="4"/>
        <v>0.5761070613</v>
      </c>
      <c r="L262" s="7">
        <f t="shared" si="5"/>
        <v>0.4448851231</v>
      </c>
      <c r="M262" s="7">
        <f t="shared" si="6"/>
        <v>0.2563014608</v>
      </c>
      <c r="N262" s="7">
        <f t="shared" si="7"/>
        <v>0.9064307704</v>
      </c>
      <c r="O262" s="8"/>
      <c r="P262" s="8"/>
      <c r="Q262" s="8"/>
      <c r="R262" s="8"/>
      <c r="S262" s="8"/>
      <c r="T262" s="8"/>
      <c r="U262" s="11"/>
      <c r="V262" s="11"/>
      <c r="W262" s="11"/>
      <c r="X262" s="8"/>
      <c r="Y262" s="8"/>
      <c r="Z262" s="8"/>
      <c r="AA262" s="11"/>
      <c r="AB262" s="11"/>
      <c r="AC262" s="11"/>
      <c r="AD262" s="11"/>
    </row>
    <row r="263" ht="15.75" customHeight="1">
      <c r="A263" s="6">
        <v>70303.0</v>
      </c>
      <c r="B263" s="6">
        <v>440.0</v>
      </c>
      <c r="C263" s="6">
        <v>202.2222277522087</v>
      </c>
      <c r="D263" s="6">
        <v>751.0</v>
      </c>
      <c r="E263" s="7">
        <f t="shared" si="1"/>
        <v>0.585885486</v>
      </c>
      <c r="F263" s="7">
        <f t="shared" si="2"/>
        <v>0.4595959722</v>
      </c>
      <c r="G263" s="7">
        <f t="shared" si="3"/>
        <v>0.2692706095</v>
      </c>
      <c r="H263" s="6">
        <v>2692.0</v>
      </c>
      <c r="I263" s="6">
        <v>1190.4444778859615</v>
      </c>
      <c r="J263" s="6">
        <v>4869.0</v>
      </c>
      <c r="K263" s="7">
        <f t="shared" si="4"/>
        <v>0.5528856028</v>
      </c>
      <c r="L263" s="7">
        <f t="shared" si="5"/>
        <v>0.4422156307</v>
      </c>
      <c r="M263" s="7">
        <f t="shared" si="6"/>
        <v>0.2444946556</v>
      </c>
      <c r="N263" s="7">
        <f t="shared" si="7"/>
        <v>0.9079886438</v>
      </c>
      <c r="O263" s="8"/>
      <c r="P263" s="8"/>
      <c r="Q263" s="8"/>
      <c r="R263" s="8"/>
      <c r="S263" s="8"/>
      <c r="T263" s="8"/>
      <c r="U263" s="11"/>
      <c r="V263" s="11"/>
      <c r="W263" s="11"/>
      <c r="X263" s="8"/>
      <c r="Y263" s="8"/>
      <c r="Z263" s="8"/>
      <c r="AA263" s="11"/>
      <c r="AB263" s="11"/>
      <c r="AC263" s="11"/>
      <c r="AD263" s="11"/>
    </row>
    <row r="264" ht="15.75" customHeight="1">
      <c r="A264" s="6">
        <v>70401.0</v>
      </c>
      <c r="B264" s="6">
        <v>715.0</v>
      </c>
      <c r="C264" s="6">
        <v>311.888896882534</v>
      </c>
      <c r="D264" s="6">
        <v>2370.0</v>
      </c>
      <c r="E264" s="7">
        <f t="shared" si="1"/>
        <v>0.3016877637</v>
      </c>
      <c r="F264" s="7">
        <f t="shared" si="2"/>
        <v>0.4362082474</v>
      </c>
      <c r="G264" s="7">
        <f t="shared" si="3"/>
        <v>0.1315986907</v>
      </c>
      <c r="H264" s="6">
        <v>3160.0</v>
      </c>
      <c r="I264" s="6">
        <v>1379.7778138816357</v>
      </c>
      <c r="J264" s="6">
        <v>10165.0</v>
      </c>
      <c r="K264" s="7">
        <f t="shared" si="4"/>
        <v>0.3108706345</v>
      </c>
      <c r="L264" s="7">
        <f t="shared" si="5"/>
        <v>0.4366385487</v>
      </c>
      <c r="M264" s="7">
        <f t="shared" si="6"/>
        <v>0.1357381027</v>
      </c>
      <c r="N264" s="7">
        <f t="shared" si="7"/>
        <v>1.031454812</v>
      </c>
      <c r="O264" s="8"/>
      <c r="P264" s="8"/>
      <c r="Q264" s="8"/>
      <c r="R264" s="8"/>
      <c r="S264" s="8"/>
      <c r="T264" s="8"/>
      <c r="U264" s="11"/>
      <c r="V264" s="11"/>
      <c r="W264" s="11"/>
      <c r="X264" s="8"/>
      <c r="Y264" s="8"/>
      <c r="Z264" s="8"/>
      <c r="AA264" s="11"/>
      <c r="AB264" s="11"/>
      <c r="AC264" s="11"/>
      <c r="AD264" s="11"/>
    </row>
    <row r="265" ht="15.75" customHeight="1">
      <c r="A265" s="6">
        <v>70402.0</v>
      </c>
      <c r="B265" s="6">
        <v>1545.0</v>
      </c>
      <c r="C265" s="6">
        <v>659.5555728375912</v>
      </c>
      <c r="D265" s="6">
        <v>3377.0</v>
      </c>
      <c r="E265" s="7">
        <f t="shared" si="1"/>
        <v>0.4575066627</v>
      </c>
      <c r="F265" s="7">
        <f t="shared" si="2"/>
        <v>0.4268968109</v>
      </c>
      <c r="G265" s="7">
        <f t="shared" si="3"/>
        <v>0.1953081353</v>
      </c>
      <c r="H265" s="6">
        <v>6762.0</v>
      </c>
      <c r="I265" s="6">
        <v>2924.444519340992</v>
      </c>
      <c r="J265" s="6">
        <v>16322.0</v>
      </c>
      <c r="K265" s="7">
        <f t="shared" si="4"/>
        <v>0.4142874648</v>
      </c>
      <c r="L265" s="7">
        <f t="shared" si="5"/>
        <v>0.4324821827</v>
      </c>
      <c r="M265" s="7">
        <f t="shared" si="6"/>
        <v>0.179171947</v>
      </c>
      <c r="N265" s="7">
        <f t="shared" si="7"/>
        <v>0.9173808698</v>
      </c>
      <c r="O265" s="8"/>
      <c r="P265" s="8"/>
      <c r="Q265" s="8"/>
      <c r="R265" s="8"/>
      <c r="S265" s="8"/>
      <c r="T265" s="8"/>
      <c r="U265" s="11"/>
      <c r="V265" s="11"/>
      <c r="W265" s="11"/>
      <c r="X265" s="8"/>
      <c r="Y265" s="8"/>
      <c r="Z265" s="8"/>
      <c r="AA265" s="11"/>
      <c r="AB265" s="11"/>
      <c r="AC265" s="11"/>
      <c r="AD265" s="11"/>
    </row>
    <row r="266" ht="15.75" customHeight="1">
      <c r="A266" s="6">
        <v>70403.0</v>
      </c>
      <c r="B266" s="6">
        <v>2414.0</v>
      </c>
      <c r="C266" s="6">
        <v>1054.000025600195</v>
      </c>
      <c r="D266" s="6">
        <v>5136.0</v>
      </c>
      <c r="E266" s="7">
        <f t="shared" si="1"/>
        <v>0.4700155763</v>
      </c>
      <c r="F266" s="7">
        <f t="shared" si="2"/>
        <v>0.4366197289</v>
      </c>
      <c r="G266" s="7">
        <f t="shared" si="3"/>
        <v>0.2052180735</v>
      </c>
      <c r="H266" s="6">
        <v>21175.0</v>
      </c>
      <c r="I266" s="6">
        <v>9478.333565741777</v>
      </c>
      <c r="J266" s="6">
        <v>44215.0</v>
      </c>
      <c r="K266" s="7">
        <f t="shared" si="4"/>
        <v>0.4789098722</v>
      </c>
      <c r="L266" s="7">
        <f t="shared" si="5"/>
        <v>0.4476190586</v>
      </c>
      <c r="M266" s="7">
        <f t="shared" si="6"/>
        <v>0.2143691862</v>
      </c>
      <c r="N266" s="7">
        <f t="shared" si="7"/>
        <v>1.044592138</v>
      </c>
      <c r="O266" s="8"/>
      <c r="P266" s="8"/>
      <c r="Q266" s="8"/>
      <c r="R266" s="8"/>
      <c r="S266" s="8"/>
      <c r="T266" s="8"/>
      <c r="U266" s="11"/>
      <c r="V266" s="11"/>
      <c r="W266" s="11"/>
      <c r="X266" s="8"/>
      <c r="Y266" s="8"/>
      <c r="Z266" s="8"/>
      <c r="AA266" s="11"/>
      <c r="AB266" s="11"/>
      <c r="AC266" s="11"/>
      <c r="AD266" s="11"/>
    </row>
    <row r="267" ht="15.75" customHeight="1">
      <c r="A267" s="6">
        <v>70404.0</v>
      </c>
      <c r="B267" s="6">
        <v>563.0</v>
      </c>
      <c r="C267" s="6">
        <v>246.33333989977837</v>
      </c>
      <c r="D267" s="6">
        <v>1334.0</v>
      </c>
      <c r="E267" s="7">
        <f t="shared" si="1"/>
        <v>0.4220389805</v>
      </c>
      <c r="F267" s="7">
        <f t="shared" si="2"/>
        <v>0.4375370158</v>
      </c>
      <c r="G267" s="7">
        <f t="shared" si="3"/>
        <v>0.1846576761</v>
      </c>
      <c r="H267" s="6">
        <v>2993.0</v>
      </c>
      <c r="I267" s="6">
        <v>1289.44447773695</v>
      </c>
      <c r="J267" s="6">
        <v>6853.0</v>
      </c>
      <c r="K267" s="7">
        <f t="shared" si="4"/>
        <v>0.4367430322</v>
      </c>
      <c r="L267" s="7">
        <f t="shared" si="5"/>
        <v>0.4308200727</v>
      </c>
      <c r="M267" s="7">
        <f t="shared" si="6"/>
        <v>0.1881576649</v>
      </c>
      <c r="N267" s="7">
        <f t="shared" si="7"/>
        <v>1.018953931</v>
      </c>
      <c r="O267" s="8"/>
      <c r="P267" s="8"/>
      <c r="Q267" s="8"/>
      <c r="R267" s="8"/>
      <c r="S267" s="8"/>
      <c r="T267" s="8"/>
      <c r="U267" s="11"/>
      <c r="V267" s="11"/>
      <c r="W267" s="11"/>
      <c r="X267" s="8"/>
      <c r="Y267" s="8"/>
      <c r="Z267" s="8"/>
      <c r="AA267" s="11"/>
      <c r="AB267" s="11"/>
      <c r="AC267" s="11"/>
      <c r="AD267" s="11"/>
    </row>
    <row r="268" ht="15.75" customHeight="1">
      <c r="A268" s="6">
        <v>70501.0</v>
      </c>
      <c r="B268" s="6">
        <v>1007.0</v>
      </c>
      <c r="C268" s="6">
        <v>395.4444545209408</v>
      </c>
      <c r="D268" s="6">
        <v>3513.0</v>
      </c>
      <c r="E268" s="7">
        <f t="shared" si="1"/>
        <v>0.2866495872</v>
      </c>
      <c r="F268" s="7">
        <f t="shared" si="2"/>
        <v>0.3926955854</v>
      </c>
      <c r="G268" s="7">
        <f t="shared" si="3"/>
        <v>0.1125660275</v>
      </c>
      <c r="H268" s="6">
        <v>6049.0</v>
      </c>
      <c r="I268" s="6">
        <v>2365.111167550087</v>
      </c>
      <c r="J268" s="6">
        <v>18359.0</v>
      </c>
      <c r="K268" s="7">
        <f t="shared" si="4"/>
        <v>0.3294841767</v>
      </c>
      <c r="L268" s="7">
        <f t="shared" si="5"/>
        <v>0.3909920925</v>
      </c>
      <c r="M268" s="7">
        <f t="shared" si="6"/>
        <v>0.1288257077</v>
      </c>
      <c r="N268" s="7">
        <f t="shared" si="7"/>
        <v>1.144445714</v>
      </c>
      <c r="O268" s="8"/>
      <c r="P268" s="8"/>
      <c r="Q268" s="8"/>
      <c r="R268" s="8"/>
      <c r="S268" s="8"/>
      <c r="T268" s="8"/>
      <c r="U268" s="11"/>
      <c r="V268" s="11"/>
      <c r="W268" s="11"/>
      <c r="X268" s="8"/>
      <c r="Y268" s="8"/>
      <c r="Z268" s="8"/>
      <c r="AA268" s="11"/>
      <c r="AB268" s="11"/>
      <c r="AC268" s="11"/>
      <c r="AD268" s="11"/>
    </row>
    <row r="269" ht="15.75" customHeight="1">
      <c r="A269" s="6">
        <v>70502.0</v>
      </c>
      <c r="B269" s="6">
        <v>874.0</v>
      </c>
      <c r="C269" s="6">
        <v>355.11111983656883</v>
      </c>
      <c r="D269" s="6">
        <v>3005.0</v>
      </c>
      <c r="E269" s="7">
        <f t="shared" si="1"/>
        <v>0.2908485857</v>
      </c>
      <c r="F269" s="7">
        <f t="shared" si="2"/>
        <v>0.4063056291</v>
      </c>
      <c r="G269" s="7">
        <f t="shared" si="3"/>
        <v>0.1181734176</v>
      </c>
      <c r="H269" s="6">
        <v>11494.0</v>
      </c>
      <c r="I269" s="6">
        <v>4468.55566740036</v>
      </c>
      <c r="J269" s="6">
        <v>33297.0</v>
      </c>
      <c r="K269" s="7">
        <f t="shared" si="4"/>
        <v>0.3451962639</v>
      </c>
      <c r="L269" s="7">
        <f t="shared" si="5"/>
        <v>0.3887728961</v>
      </c>
      <c r="M269" s="7">
        <f t="shared" si="6"/>
        <v>0.1342029512</v>
      </c>
      <c r="N269" s="7">
        <f t="shared" si="7"/>
        <v>1.135644157</v>
      </c>
      <c r="O269" s="8"/>
      <c r="P269" s="8"/>
      <c r="Q269" s="8"/>
      <c r="R269" s="8"/>
      <c r="S269" s="8"/>
      <c r="T269" s="8"/>
      <c r="U269" s="11"/>
      <c r="V269" s="11"/>
      <c r="W269" s="11"/>
      <c r="X269" s="8"/>
      <c r="Y269" s="8"/>
      <c r="Z269" s="8"/>
      <c r="AA269" s="11"/>
      <c r="AB269" s="11"/>
      <c r="AC269" s="11"/>
      <c r="AD269" s="11"/>
    </row>
    <row r="270" ht="15.75" customHeight="1">
      <c r="A270" s="6">
        <v>70503.0</v>
      </c>
      <c r="B270" s="6">
        <v>692.0</v>
      </c>
      <c r="C270" s="6">
        <v>291.1111179590225</v>
      </c>
      <c r="D270" s="6">
        <v>3474.0</v>
      </c>
      <c r="E270" s="7">
        <f t="shared" si="1"/>
        <v>0.1991940127</v>
      </c>
      <c r="F270" s="7">
        <f t="shared" si="2"/>
        <v>0.4206808063</v>
      </c>
      <c r="G270" s="7">
        <f t="shared" si="3"/>
        <v>0.08379709786</v>
      </c>
      <c r="H270" s="6">
        <v>2593.0</v>
      </c>
      <c r="I270" s="6">
        <v>1090.2222498953342</v>
      </c>
      <c r="J270" s="6">
        <v>11251.0</v>
      </c>
      <c r="K270" s="7">
        <f t="shared" si="4"/>
        <v>0.2304684028</v>
      </c>
      <c r="L270" s="7">
        <f t="shared" si="5"/>
        <v>0.420448226</v>
      </c>
      <c r="M270" s="7">
        <f t="shared" si="6"/>
        <v>0.0969000311</v>
      </c>
      <c r="N270" s="7">
        <f t="shared" si="7"/>
        <v>1.156365</v>
      </c>
      <c r="O270" s="8"/>
      <c r="P270" s="8"/>
      <c r="Q270" s="8"/>
      <c r="R270" s="8"/>
      <c r="S270" s="8"/>
      <c r="T270" s="8"/>
      <c r="U270" s="11"/>
      <c r="V270" s="11"/>
      <c r="W270" s="11"/>
      <c r="X270" s="8"/>
      <c r="Y270" s="8"/>
      <c r="Z270" s="8"/>
      <c r="AA270" s="11"/>
      <c r="AB270" s="11"/>
      <c r="AC270" s="11"/>
      <c r="AD270" s="11"/>
    </row>
    <row r="271" ht="15.75" customHeight="1">
      <c r="A271" s="6">
        <v>70601.0</v>
      </c>
      <c r="B271" s="6">
        <v>804.0</v>
      </c>
      <c r="C271" s="6">
        <v>332.5555646419525</v>
      </c>
      <c r="D271" s="6">
        <v>3790.0</v>
      </c>
      <c r="E271" s="7">
        <f t="shared" si="1"/>
        <v>0.2121372032</v>
      </c>
      <c r="F271" s="7">
        <f t="shared" si="2"/>
        <v>0.4136263242</v>
      </c>
      <c r="G271" s="7">
        <f t="shared" si="3"/>
        <v>0.08774553157</v>
      </c>
      <c r="H271" s="6">
        <v>3090.0</v>
      </c>
      <c r="I271" s="6">
        <v>1250.666698217392</v>
      </c>
      <c r="J271" s="6">
        <v>13668.0</v>
      </c>
      <c r="K271" s="7">
        <f t="shared" si="4"/>
        <v>0.2260755048</v>
      </c>
      <c r="L271" s="7">
        <f t="shared" si="5"/>
        <v>0.4047465043</v>
      </c>
      <c r="M271" s="7">
        <f t="shared" si="6"/>
        <v>0.09150327028</v>
      </c>
      <c r="N271" s="7">
        <f t="shared" si="7"/>
        <v>1.042825414</v>
      </c>
      <c r="O271" s="8"/>
      <c r="P271" s="8"/>
      <c r="Q271" s="8"/>
      <c r="R271" s="8"/>
      <c r="S271" s="8"/>
      <c r="T271" s="8"/>
      <c r="U271" s="11"/>
      <c r="V271" s="11"/>
      <c r="W271" s="11"/>
      <c r="X271" s="8"/>
      <c r="Y271" s="8"/>
      <c r="Z271" s="8"/>
      <c r="AA271" s="11"/>
      <c r="AB271" s="11"/>
      <c r="AC271" s="11"/>
      <c r="AD271" s="11"/>
    </row>
    <row r="272" ht="15.75" customHeight="1">
      <c r="A272" s="6">
        <v>70602.0</v>
      </c>
      <c r="B272" s="6">
        <v>1364.0</v>
      </c>
      <c r="C272" s="6">
        <v>610.0000157356262</v>
      </c>
      <c r="D272" s="6">
        <v>3024.0</v>
      </c>
      <c r="E272" s="7">
        <f t="shared" si="1"/>
        <v>0.4510582011</v>
      </c>
      <c r="F272" s="7">
        <f t="shared" si="2"/>
        <v>0.4472140878</v>
      </c>
      <c r="G272" s="7">
        <f t="shared" si="3"/>
        <v>0.2017195819</v>
      </c>
      <c r="H272" s="6">
        <v>8405.0</v>
      </c>
      <c r="I272" s="6">
        <v>3775.0000980496407</v>
      </c>
      <c r="J272" s="6">
        <v>15963.0</v>
      </c>
      <c r="K272" s="7">
        <f t="shared" si="4"/>
        <v>0.5265301009</v>
      </c>
      <c r="L272" s="7">
        <f t="shared" si="5"/>
        <v>0.4491374299</v>
      </c>
      <c r="M272" s="7">
        <f t="shared" si="6"/>
        <v>0.2364843762</v>
      </c>
      <c r="N272" s="7">
        <f t="shared" si="7"/>
        <v>1.172342189</v>
      </c>
      <c r="O272" s="8"/>
      <c r="P272" s="8"/>
      <c r="Q272" s="8"/>
      <c r="R272" s="8"/>
      <c r="S272" s="8"/>
      <c r="T272" s="8"/>
      <c r="U272" s="11"/>
      <c r="V272" s="11"/>
      <c r="W272" s="11"/>
      <c r="X272" s="8"/>
      <c r="Y272" s="8"/>
      <c r="Z272" s="8"/>
      <c r="AA272" s="11"/>
      <c r="AB272" s="11"/>
      <c r="AC272" s="11"/>
      <c r="AD272" s="11"/>
    </row>
    <row r="273" ht="15.75" customHeight="1">
      <c r="A273" s="6">
        <v>70603.0</v>
      </c>
      <c r="B273" s="6">
        <v>367.0</v>
      </c>
      <c r="C273" s="6">
        <v>159.44444873929024</v>
      </c>
      <c r="D273" s="6">
        <v>1176.0</v>
      </c>
      <c r="E273" s="7">
        <f t="shared" si="1"/>
        <v>0.3120748299</v>
      </c>
      <c r="F273" s="7">
        <f t="shared" si="2"/>
        <v>0.4344535388</v>
      </c>
      <c r="G273" s="7">
        <f t="shared" si="3"/>
        <v>0.1355820142</v>
      </c>
      <c r="H273" s="6">
        <v>1565.0</v>
      </c>
      <c r="I273" s="6">
        <v>638.5555716753006</v>
      </c>
      <c r="J273" s="6">
        <v>4813.0</v>
      </c>
      <c r="K273" s="7">
        <f t="shared" si="4"/>
        <v>0.3251610222</v>
      </c>
      <c r="L273" s="7">
        <f t="shared" si="5"/>
        <v>0.4080227295</v>
      </c>
      <c r="M273" s="7">
        <f t="shared" si="6"/>
        <v>0.1326730878</v>
      </c>
      <c r="N273" s="7">
        <f t="shared" si="7"/>
        <v>0.9785448945</v>
      </c>
      <c r="O273" s="8"/>
      <c r="P273" s="8"/>
      <c r="Q273" s="8"/>
      <c r="R273" s="8"/>
      <c r="S273" s="8"/>
      <c r="T273" s="8"/>
      <c r="U273" s="11"/>
      <c r="V273" s="11"/>
      <c r="W273" s="11"/>
      <c r="X273" s="8"/>
      <c r="Y273" s="8"/>
      <c r="Z273" s="8"/>
      <c r="AA273" s="11"/>
      <c r="AB273" s="11"/>
      <c r="AC273" s="11"/>
      <c r="AD273" s="11"/>
    </row>
    <row r="274" ht="15.75" customHeight="1">
      <c r="A274" s="6">
        <v>70701.0</v>
      </c>
      <c r="B274" s="6">
        <v>540.0</v>
      </c>
      <c r="C274" s="6">
        <v>250.7777836918831</v>
      </c>
      <c r="D274" s="6">
        <v>983.0</v>
      </c>
      <c r="E274" s="7">
        <f t="shared" si="1"/>
        <v>0.5493387589</v>
      </c>
      <c r="F274" s="7">
        <f t="shared" si="2"/>
        <v>0.4644033031</v>
      </c>
      <c r="G274" s="7">
        <f t="shared" si="3"/>
        <v>0.2551147342</v>
      </c>
      <c r="H274" s="6">
        <v>2200.0</v>
      </c>
      <c r="I274" s="6">
        <v>1023.0000271201134</v>
      </c>
      <c r="J274" s="6">
        <v>4091.0</v>
      </c>
      <c r="K274" s="7">
        <f t="shared" si="4"/>
        <v>0.5377658274</v>
      </c>
      <c r="L274" s="7">
        <f t="shared" si="5"/>
        <v>0.4650000123</v>
      </c>
      <c r="M274" s="7">
        <f t="shared" si="6"/>
        <v>0.2500611164</v>
      </c>
      <c r="N274" s="7">
        <f t="shared" si="7"/>
        <v>0.9801908039</v>
      </c>
      <c r="O274" s="8"/>
      <c r="P274" s="8"/>
      <c r="Q274" s="8"/>
      <c r="R274" s="8"/>
      <c r="S274" s="8"/>
      <c r="T274" s="8"/>
      <c r="U274" s="11"/>
      <c r="V274" s="11"/>
      <c r="W274" s="11"/>
      <c r="X274" s="8"/>
      <c r="Y274" s="8"/>
      <c r="Z274" s="8"/>
      <c r="AA274" s="11"/>
      <c r="AB274" s="11"/>
      <c r="AC274" s="11"/>
      <c r="AD274" s="11"/>
    </row>
    <row r="275" ht="15.75" customHeight="1">
      <c r="A275" s="6">
        <v>70702.0</v>
      </c>
      <c r="B275" s="6">
        <v>2352.0</v>
      </c>
      <c r="C275" s="6">
        <v>1020.222248673439</v>
      </c>
      <c r="D275" s="6">
        <v>4897.0</v>
      </c>
      <c r="E275" s="7">
        <f t="shared" si="1"/>
        <v>0.4802940576</v>
      </c>
      <c r="F275" s="7">
        <f t="shared" si="2"/>
        <v>0.4337679629</v>
      </c>
      <c r="G275" s="7">
        <f t="shared" si="3"/>
        <v>0.2083361749</v>
      </c>
      <c r="H275" s="6">
        <v>14991.0</v>
      </c>
      <c r="I275" s="6">
        <v>6450.889054298401</v>
      </c>
      <c r="J275" s="6">
        <v>26127.0</v>
      </c>
      <c r="K275" s="7">
        <f t="shared" si="4"/>
        <v>0.5737742565</v>
      </c>
      <c r="L275" s="7">
        <f t="shared" si="5"/>
        <v>0.4303174608</v>
      </c>
      <c r="M275" s="7">
        <f t="shared" si="6"/>
        <v>0.2469050811</v>
      </c>
      <c r="N275" s="7">
        <f t="shared" si="7"/>
        <v>1.185128225</v>
      </c>
      <c r="O275" s="8"/>
      <c r="P275" s="8"/>
      <c r="Q275" s="8"/>
      <c r="R275" s="8"/>
      <c r="S275" s="8"/>
      <c r="T275" s="8"/>
      <c r="U275" s="11"/>
      <c r="V275" s="11"/>
      <c r="W275" s="11"/>
      <c r="X275" s="8"/>
      <c r="Y275" s="8"/>
      <c r="Z275" s="8"/>
      <c r="AA275" s="11"/>
      <c r="AB275" s="11"/>
      <c r="AC275" s="11"/>
      <c r="AD275" s="11"/>
    </row>
    <row r="276" ht="15.75" customHeight="1">
      <c r="A276" s="6">
        <v>70703.0</v>
      </c>
      <c r="B276" s="6">
        <v>1116.0</v>
      </c>
      <c r="C276" s="6">
        <v>468.5555677115917</v>
      </c>
      <c r="D276" s="6">
        <v>3163.0</v>
      </c>
      <c r="E276" s="7">
        <f t="shared" si="1"/>
        <v>0.3528295922</v>
      </c>
      <c r="F276" s="7">
        <f t="shared" si="2"/>
        <v>0.4198526592</v>
      </c>
      <c r="G276" s="7">
        <f t="shared" si="3"/>
        <v>0.1481364425</v>
      </c>
      <c r="H276" s="6">
        <v>8457.0</v>
      </c>
      <c r="I276" s="6">
        <v>3515.4445317089558</v>
      </c>
      <c r="J276" s="6">
        <v>21873.0</v>
      </c>
      <c r="K276" s="7">
        <f t="shared" si="4"/>
        <v>0.3866410643</v>
      </c>
      <c r="L276" s="7">
        <f t="shared" si="5"/>
        <v>0.4156845846</v>
      </c>
      <c r="M276" s="7">
        <f t="shared" si="6"/>
        <v>0.1607207302</v>
      </c>
      <c r="N276" s="7">
        <f t="shared" si="7"/>
        <v>1.084950654</v>
      </c>
      <c r="O276" s="8"/>
      <c r="P276" s="8"/>
      <c r="Q276" s="8"/>
      <c r="R276" s="8"/>
      <c r="S276" s="8"/>
      <c r="T276" s="8"/>
      <c r="U276" s="11"/>
      <c r="V276" s="11"/>
      <c r="W276" s="11"/>
      <c r="X276" s="8"/>
      <c r="Y276" s="8"/>
      <c r="Z276" s="8"/>
      <c r="AA276" s="11"/>
      <c r="AB276" s="11"/>
      <c r="AC276" s="11"/>
      <c r="AD276" s="11"/>
    </row>
    <row r="277" ht="15.75" customHeight="1">
      <c r="A277" s="6">
        <v>70704.0</v>
      </c>
      <c r="B277" s="6">
        <v>420.0</v>
      </c>
      <c r="C277" s="6">
        <v>199.00000566244125</v>
      </c>
      <c r="D277" s="6">
        <v>961.0</v>
      </c>
      <c r="E277" s="7">
        <f t="shared" si="1"/>
        <v>0.4370447451</v>
      </c>
      <c r="F277" s="7">
        <f t="shared" si="2"/>
        <v>0.4738095373</v>
      </c>
      <c r="G277" s="7">
        <f t="shared" si="3"/>
        <v>0.2070759684</v>
      </c>
      <c r="H277" s="6">
        <v>1935.0</v>
      </c>
      <c r="I277" s="6">
        <v>945.1111364364624</v>
      </c>
      <c r="J277" s="6">
        <v>3819.0</v>
      </c>
      <c r="K277" s="7">
        <f t="shared" si="4"/>
        <v>0.5066771406</v>
      </c>
      <c r="L277" s="7">
        <f t="shared" si="5"/>
        <v>0.4884295279</v>
      </c>
      <c r="M277" s="7">
        <f t="shared" si="6"/>
        <v>0.2474760766</v>
      </c>
      <c r="N277" s="7">
        <f t="shared" si="7"/>
        <v>1.195098004</v>
      </c>
      <c r="O277" s="8"/>
      <c r="P277" s="8"/>
      <c r="Q277" s="8"/>
      <c r="R277" s="8"/>
      <c r="S277" s="8"/>
      <c r="T277" s="8"/>
      <c r="U277" s="11"/>
      <c r="V277" s="11"/>
      <c r="W277" s="11"/>
      <c r="X277" s="8"/>
      <c r="Y277" s="8"/>
      <c r="Z277" s="8"/>
      <c r="AA277" s="11"/>
      <c r="AB277" s="11"/>
      <c r="AC277" s="11"/>
      <c r="AD277" s="11"/>
    </row>
    <row r="278" ht="15.75" customHeight="1">
      <c r="A278" s="6">
        <v>70705.0</v>
      </c>
      <c r="B278" s="6">
        <v>1403.0</v>
      </c>
      <c r="C278" s="6">
        <v>693.5555736124516</v>
      </c>
      <c r="D278" s="6">
        <v>2139.0</v>
      </c>
      <c r="E278" s="7">
        <f t="shared" si="1"/>
        <v>0.6559139785</v>
      </c>
      <c r="F278" s="7">
        <f t="shared" si="2"/>
        <v>0.4943375436</v>
      </c>
      <c r="G278" s="7">
        <f t="shared" si="3"/>
        <v>0.3242429049</v>
      </c>
      <c r="H278" s="6">
        <v>6920.0</v>
      </c>
      <c r="I278" s="6">
        <v>3318.666753143072</v>
      </c>
      <c r="J278" s="6">
        <v>9747.0</v>
      </c>
      <c r="K278" s="7">
        <f t="shared" si="4"/>
        <v>0.7099620396</v>
      </c>
      <c r="L278" s="7">
        <f t="shared" si="5"/>
        <v>0.4795761204</v>
      </c>
      <c r="M278" s="7">
        <f t="shared" si="6"/>
        <v>0.3404808406</v>
      </c>
      <c r="N278" s="7">
        <f t="shared" si="7"/>
        <v>1.05007954</v>
      </c>
      <c r="O278" s="8"/>
      <c r="P278" s="8"/>
      <c r="Q278" s="8"/>
      <c r="R278" s="8"/>
      <c r="S278" s="8"/>
      <c r="T278" s="8"/>
      <c r="U278" s="11"/>
      <c r="V278" s="11"/>
      <c r="W278" s="11"/>
      <c r="X278" s="8"/>
      <c r="Y278" s="8"/>
      <c r="Z278" s="8"/>
      <c r="AA278" s="11"/>
      <c r="AB278" s="11"/>
      <c r="AC278" s="11"/>
      <c r="AD278" s="11"/>
    </row>
    <row r="279" ht="15.75" customHeight="1">
      <c r="A279" s="6">
        <v>70706.0</v>
      </c>
      <c r="B279" s="6">
        <v>1252.0</v>
      </c>
      <c r="C279" s="6">
        <v>514.3333468437195</v>
      </c>
      <c r="D279" s="6">
        <v>7280.0</v>
      </c>
      <c r="E279" s="7">
        <f t="shared" si="1"/>
        <v>0.171978022</v>
      </c>
      <c r="F279" s="7">
        <f t="shared" si="2"/>
        <v>0.4108093825</v>
      </c>
      <c r="G279" s="7">
        <f t="shared" si="3"/>
        <v>0.07065018501</v>
      </c>
      <c r="H279" s="6">
        <v>4153.0</v>
      </c>
      <c r="I279" s="6">
        <v>1688.0000437796116</v>
      </c>
      <c r="J279" s="6">
        <v>25662.0</v>
      </c>
      <c r="K279" s="7">
        <f t="shared" si="4"/>
        <v>0.1618346193</v>
      </c>
      <c r="L279" s="7">
        <f t="shared" si="5"/>
        <v>0.4064531769</v>
      </c>
      <c r="M279" s="7">
        <f t="shared" si="6"/>
        <v>0.06577819514</v>
      </c>
      <c r="N279" s="7">
        <f t="shared" si="7"/>
        <v>0.9310406638</v>
      </c>
      <c r="O279" s="8"/>
      <c r="P279" s="8"/>
      <c r="Q279" s="8"/>
      <c r="R279" s="8"/>
      <c r="S279" s="8"/>
      <c r="T279" s="8"/>
      <c r="U279" s="11"/>
      <c r="V279" s="11"/>
      <c r="W279" s="11"/>
      <c r="X279" s="8"/>
      <c r="Y279" s="8"/>
      <c r="Z279" s="8"/>
      <c r="AA279" s="11"/>
      <c r="AB279" s="11"/>
      <c r="AC279" s="11"/>
      <c r="AD279" s="11"/>
    </row>
    <row r="280" ht="15.75" customHeight="1">
      <c r="A280" s="6">
        <v>70707.0</v>
      </c>
      <c r="B280" s="6">
        <v>520.0</v>
      </c>
      <c r="C280" s="6">
        <v>231.11111769080162</v>
      </c>
      <c r="D280" s="6">
        <v>1057.0</v>
      </c>
      <c r="E280" s="7">
        <f t="shared" si="1"/>
        <v>0.4919583728</v>
      </c>
      <c r="F280" s="7">
        <f t="shared" si="2"/>
        <v>0.4444444571</v>
      </c>
      <c r="G280" s="7">
        <f t="shared" si="3"/>
        <v>0.2186481719</v>
      </c>
      <c r="H280" s="6">
        <v>1860.0</v>
      </c>
      <c r="I280" s="6">
        <v>881.3333553373814</v>
      </c>
      <c r="J280" s="6">
        <v>3838.0</v>
      </c>
      <c r="K280" s="7">
        <f t="shared" si="4"/>
        <v>0.4846274101</v>
      </c>
      <c r="L280" s="7">
        <f t="shared" si="5"/>
        <v>0.4738351373</v>
      </c>
      <c r="M280" s="7">
        <f t="shared" si="6"/>
        <v>0.2296334954</v>
      </c>
      <c r="N280" s="7">
        <f t="shared" si="7"/>
        <v>1.050242009</v>
      </c>
      <c r="O280" s="8"/>
      <c r="P280" s="8"/>
      <c r="Q280" s="8"/>
      <c r="R280" s="8"/>
      <c r="S280" s="8"/>
      <c r="T280" s="8"/>
      <c r="U280" s="11"/>
      <c r="V280" s="11"/>
      <c r="W280" s="11"/>
      <c r="X280" s="8"/>
      <c r="Y280" s="8"/>
      <c r="Z280" s="8"/>
      <c r="AA280" s="11"/>
      <c r="AB280" s="11"/>
      <c r="AC280" s="11"/>
      <c r="AD280" s="11"/>
    </row>
    <row r="281" ht="15.75" customHeight="1">
      <c r="A281" s="6">
        <v>70801.0</v>
      </c>
      <c r="B281" s="6">
        <v>1425.0</v>
      </c>
      <c r="C281" s="6">
        <v>626.8889046907425</v>
      </c>
      <c r="D281" s="6">
        <v>4510.0</v>
      </c>
      <c r="E281" s="7">
        <f t="shared" si="1"/>
        <v>0.3159645233</v>
      </c>
      <c r="F281" s="7">
        <f t="shared" si="2"/>
        <v>0.4399220384</v>
      </c>
      <c r="G281" s="7">
        <f t="shared" si="3"/>
        <v>0.1389997571</v>
      </c>
      <c r="H281" s="6">
        <v>3904.0</v>
      </c>
      <c r="I281" s="6">
        <v>1741.5556018650532</v>
      </c>
      <c r="J281" s="6">
        <v>12286.0</v>
      </c>
      <c r="K281" s="7">
        <f t="shared" si="4"/>
        <v>0.3177600521</v>
      </c>
      <c r="L281" s="7">
        <f t="shared" si="5"/>
        <v>0.4460951849</v>
      </c>
      <c r="M281" s="7">
        <f t="shared" si="6"/>
        <v>0.1417512292</v>
      </c>
      <c r="N281" s="7">
        <f t="shared" si="7"/>
        <v>1.019794798</v>
      </c>
      <c r="O281" s="8"/>
      <c r="P281" s="8"/>
      <c r="Q281" s="8"/>
      <c r="R281" s="8"/>
      <c r="S281" s="8"/>
      <c r="T281" s="8"/>
      <c r="U281" s="11"/>
      <c r="V281" s="11"/>
      <c r="W281" s="11"/>
      <c r="X281" s="8"/>
      <c r="Y281" s="8"/>
      <c r="Z281" s="8"/>
      <c r="AA281" s="11"/>
      <c r="AB281" s="11"/>
      <c r="AC281" s="11"/>
      <c r="AD281" s="11"/>
    </row>
    <row r="282" ht="15.75" customHeight="1">
      <c r="A282" s="6">
        <v>70802.0</v>
      </c>
      <c r="B282" s="6">
        <v>114.0</v>
      </c>
      <c r="C282" s="6">
        <v>49.666667968034744</v>
      </c>
      <c r="D282" s="6">
        <v>581.0</v>
      </c>
      <c r="E282" s="7">
        <f t="shared" si="1"/>
        <v>0.1962134251</v>
      </c>
      <c r="F282" s="7">
        <f t="shared" si="2"/>
        <v>0.435672526</v>
      </c>
      <c r="G282" s="7">
        <f t="shared" si="3"/>
        <v>0.08548479857</v>
      </c>
      <c r="H282" s="6">
        <v>366.0</v>
      </c>
      <c r="I282" s="6">
        <v>148.66667068004608</v>
      </c>
      <c r="J282" s="6">
        <v>1496.0</v>
      </c>
      <c r="K282" s="7">
        <f t="shared" si="4"/>
        <v>0.2446524064</v>
      </c>
      <c r="L282" s="7">
        <f t="shared" si="5"/>
        <v>0.4061930893</v>
      </c>
      <c r="M282" s="7">
        <f t="shared" si="6"/>
        <v>0.09937611676</v>
      </c>
      <c r="N282" s="7">
        <f t="shared" si="7"/>
        <v>1.16250045</v>
      </c>
      <c r="O282" s="8"/>
      <c r="P282" s="8"/>
      <c r="Q282" s="8"/>
      <c r="R282" s="8"/>
      <c r="S282" s="8"/>
      <c r="T282" s="8"/>
      <c r="U282" s="11"/>
      <c r="V282" s="11"/>
      <c r="W282" s="11"/>
      <c r="X282" s="8"/>
      <c r="Y282" s="8"/>
      <c r="Z282" s="8"/>
      <c r="AA282" s="11"/>
      <c r="AB282" s="11"/>
      <c r="AC282" s="11"/>
      <c r="AD282" s="11"/>
    </row>
    <row r="283" ht="15.75" customHeight="1">
      <c r="A283" s="6">
        <v>70803.0</v>
      </c>
      <c r="B283" s="6">
        <v>272.0</v>
      </c>
      <c r="C283" s="6">
        <v>127.11111417412758</v>
      </c>
      <c r="D283" s="6">
        <v>624.0</v>
      </c>
      <c r="E283" s="7">
        <f t="shared" si="1"/>
        <v>0.4358974359</v>
      </c>
      <c r="F283" s="7">
        <f t="shared" si="2"/>
        <v>0.4673202727</v>
      </c>
      <c r="G283" s="7">
        <f t="shared" si="3"/>
        <v>0.2037037086</v>
      </c>
      <c r="H283" s="6">
        <v>948.0</v>
      </c>
      <c r="I283" s="6">
        <v>430.5555663406849</v>
      </c>
      <c r="J283" s="6">
        <v>2128.0</v>
      </c>
      <c r="K283" s="7">
        <f t="shared" si="4"/>
        <v>0.4454887218</v>
      </c>
      <c r="L283" s="7">
        <f t="shared" si="5"/>
        <v>0.4541725383</v>
      </c>
      <c r="M283" s="7">
        <f t="shared" si="6"/>
        <v>0.2023287436</v>
      </c>
      <c r="N283" s="7">
        <f t="shared" si="7"/>
        <v>0.9932501718</v>
      </c>
      <c r="O283" s="8"/>
      <c r="P283" s="8"/>
      <c r="Q283" s="8"/>
      <c r="R283" s="8"/>
      <c r="S283" s="8"/>
      <c r="T283" s="8"/>
      <c r="U283" s="11"/>
      <c r="V283" s="11"/>
      <c r="W283" s="11"/>
      <c r="X283" s="8"/>
      <c r="Y283" s="8"/>
      <c r="Z283" s="8"/>
      <c r="AA283" s="11"/>
      <c r="AB283" s="11"/>
      <c r="AC283" s="11"/>
      <c r="AD283" s="11"/>
    </row>
    <row r="284" ht="15.75" customHeight="1">
      <c r="A284" s="6">
        <v>70804.0</v>
      </c>
      <c r="B284" s="6">
        <v>282.0</v>
      </c>
      <c r="C284" s="6">
        <v>141.22222647070885</v>
      </c>
      <c r="D284" s="6">
        <v>679.0</v>
      </c>
      <c r="E284" s="7">
        <f t="shared" si="1"/>
        <v>0.4153166421</v>
      </c>
      <c r="F284" s="7">
        <f t="shared" si="2"/>
        <v>0.5007880371</v>
      </c>
      <c r="G284" s="7">
        <f t="shared" si="3"/>
        <v>0.207985606</v>
      </c>
      <c r="H284" s="6">
        <v>883.0</v>
      </c>
      <c r="I284" s="6">
        <v>488.8889021873474</v>
      </c>
      <c r="J284" s="6">
        <v>1618.0</v>
      </c>
      <c r="K284" s="7">
        <f t="shared" si="4"/>
        <v>0.5457354759</v>
      </c>
      <c r="L284" s="7">
        <f t="shared" si="5"/>
        <v>0.5536680659</v>
      </c>
      <c r="M284" s="7">
        <f t="shared" si="6"/>
        <v>0.3021563054</v>
      </c>
      <c r="N284" s="7">
        <f t="shared" si="7"/>
        <v>1.45277508</v>
      </c>
      <c r="O284" s="8"/>
      <c r="P284" s="8"/>
      <c r="Q284" s="8"/>
      <c r="R284" s="8"/>
      <c r="S284" s="8"/>
      <c r="T284" s="8"/>
      <c r="U284" s="11"/>
      <c r="V284" s="11"/>
      <c r="W284" s="11"/>
      <c r="X284" s="8"/>
      <c r="Y284" s="8"/>
      <c r="Z284" s="8"/>
      <c r="AA284" s="11"/>
      <c r="AB284" s="11"/>
      <c r="AC284" s="11"/>
      <c r="AD284" s="11"/>
    </row>
    <row r="285" ht="15.75" customHeight="1">
      <c r="A285" s="6">
        <v>70805.0</v>
      </c>
      <c r="B285" s="6">
        <v>235.0</v>
      </c>
      <c r="C285" s="6">
        <v>114.2222248017788</v>
      </c>
      <c r="D285" s="6">
        <v>455.0</v>
      </c>
      <c r="E285" s="7">
        <f t="shared" si="1"/>
        <v>0.5164835165</v>
      </c>
      <c r="F285" s="7">
        <f t="shared" si="2"/>
        <v>0.4860520204</v>
      </c>
      <c r="G285" s="7">
        <f t="shared" si="3"/>
        <v>0.2510378567</v>
      </c>
      <c r="H285" s="6">
        <v>852.0</v>
      </c>
      <c r="I285" s="6">
        <v>384.333343565464</v>
      </c>
      <c r="J285" s="6">
        <v>1593.0</v>
      </c>
      <c r="K285" s="7">
        <f t="shared" si="4"/>
        <v>0.5348399247</v>
      </c>
      <c r="L285" s="7">
        <f t="shared" si="5"/>
        <v>0.4510954737</v>
      </c>
      <c r="M285" s="7">
        <f t="shared" si="6"/>
        <v>0.2412638692</v>
      </c>
      <c r="N285" s="7">
        <f t="shared" si="7"/>
        <v>0.9610656828</v>
      </c>
      <c r="O285" s="8"/>
      <c r="P285" s="8"/>
      <c r="Q285" s="8"/>
      <c r="R285" s="8"/>
      <c r="S285" s="8"/>
      <c r="T285" s="8"/>
      <c r="U285" s="11"/>
      <c r="V285" s="11"/>
      <c r="W285" s="11"/>
      <c r="X285" s="8"/>
      <c r="Y285" s="8"/>
      <c r="Z285" s="8"/>
      <c r="AA285" s="11"/>
      <c r="AB285" s="11"/>
      <c r="AC285" s="11"/>
      <c r="AD285" s="11"/>
    </row>
    <row r="286" ht="15.75" customHeight="1">
      <c r="A286" s="6">
        <v>70901.0</v>
      </c>
      <c r="B286" s="6">
        <v>767.0</v>
      </c>
      <c r="C286" s="6">
        <v>343.3333429992199</v>
      </c>
      <c r="D286" s="6">
        <v>2072.0</v>
      </c>
      <c r="E286" s="7">
        <f t="shared" si="1"/>
        <v>0.3701737452</v>
      </c>
      <c r="F286" s="7">
        <f t="shared" si="2"/>
        <v>0.4476314772</v>
      </c>
      <c r="G286" s="7">
        <f t="shared" si="3"/>
        <v>0.1657014204</v>
      </c>
      <c r="H286" s="6">
        <v>2765.0</v>
      </c>
      <c r="I286" s="6">
        <v>1263.2222560048103</v>
      </c>
      <c r="J286" s="6">
        <v>8178.0</v>
      </c>
      <c r="K286" s="7">
        <f t="shared" si="4"/>
        <v>0.3381022255</v>
      </c>
      <c r="L286" s="7">
        <f t="shared" si="5"/>
        <v>0.4568615754</v>
      </c>
      <c r="M286" s="7">
        <f t="shared" si="6"/>
        <v>0.1544659154</v>
      </c>
      <c r="N286" s="7">
        <f t="shared" si="7"/>
        <v>0.9321942747</v>
      </c>
      <c r="O286" s="8"/>
      <c r="P286" s="8"/>
      <c r="Q286" s="8"/>
      <c r="R286" s="8"/>
      <c r="S286" s="8"/>
      <c r="T286" s="8"/>
      <c r="U286" s="11"/>
      <c r="V286" s="11"/>
      <c r="W286" s="11"/>
      <c r="X286" s="8"/>
      <c r="Y286" s="8"/>
      <c r="Z286" s="8"/>
      <c r="AA286" s="11"/>
      <c r="AB286" s="11"/>
      <c r="AC286" s="11"/>
      <c r="AD286" s="11"/>
    </row>
    <row r="287" ht="15.75" customHeight="1">
      <c r="A287" s="6">
        <v>70902.0</v>
      </c>
      <c r="B287" s="6">
        <v>410.0</v>
      </c>
      <c r="C287" s="6">
        <v>173.00000482797623</v>
      </c>
      <c r="D287" s="6">
        <v>1273.0</v>
      </c>
      <c r="E287" s="7">
        <f t="shared" si="1"/>
        <v>0.3220738413</v>
      </c>
      <c r="F287" s="7">
        <f t="shared" si="2"/>
        <v>0.4219512313</v>
      </c>
      <c r="G287" s="7">
        <f t="shared" si="3"/>
        <v>0.1358994539</v>
      </c>
      <c r="H287" s="6">
        <v>2650.0</v>
      </c>
      <c r="I287" s="6">
        <v>1187.8889218568802</v>
      </c>
      <c r="J287" s="6">
        <v>7824.0</v>
      </c>
      <c r="K287" s="7">
        <f t="shared" si="4"/>
        <v>0.3387014315</v>
      </c>
      <c r="L287" s="7">
        <f t="shared" si="5"/>
        <v>0.4482599705</v>
      </c>
      <c r="M287" s="7">
        <f t="shared" si="6"/>
        <v>0.1518262937</v>
      </c>
      <c r="N287" s="7">
        <f t="shared" si="7"/>
        <v>1.11719576</v>
      </c>
      <c r="O287" s="8"/>
      <c r="P287" s="8"/>
      <c r="Q287" s="8"/>
      <c r="R287" s="8"/>
      <c r="S287" s="8"/>
      <c r="T287" s="8"/>
      <c r="U287" s="11"/>
      <c r="V287" s="11"/>
      <c r="W287" s="11"/>
      <c r="X287" s="8"/>
      <c r="Y287" s="8"/>
      <c r="Z287" s="8"/>
      <c r="AA287" s="11"/>
      <c r="AB287" s="11"/>
      <c r="AC287" s="11"/>
      <c r="AD287" s="11"/>
    </row>
    <row r="288" ht="15.75" customHeight="1">
      <c r="A288" s="6">
        <v>70903.0</v>
      </c>
      <c r="B288" s="6">
        <v>291.0</v>
      </c>
      <c r="C288" s="6">
        <v>122.11111456155777</v>
      </c>
      <c r="D288" s="6">
        <v>1318.0</v>
      </c>
      <c r="E288" s="7">
        <f t="shared" si="1"/>
        <v>0.2207890744</v>
      </c>
      <c r="F288" s="7">
        <f t="shared" si="2"/>
        <v>0.4196258232</v>
      </c>
      <c r="G288" s="7">
        <f t="shared" si="3"/>
        <v>0.09264879709</v>
      </c>
      <c r="H288" s="6">
        <v>2373.0</v>
      </c>
      <c r="I288" s="6">
        <v>987.333358168602</v>
      </c>
      <c r="J288" s="6">
        <v>8708.0</v>
      </c>
      <c r="K288" s="7">
        <f t="shared" si="4"/>
        <v>0.2725080386</v>
      </c>
      <c r="L288" s="7">
        <f t="shared" si="5"/>
        <v>0.4160696832</v>
      </c>
      <c r="M288" s="7">
        <f t="shared" si="6"/>
        <v>0.1133823333</v>
      </c>
      <c r="N288" s="7">
        <f t="shared" si="7"/>
        <v>1.223786351</v>
      </c>
      <c r="O288" s="8"/>
      <c r="P288" s="8"/>
      <c r="Q288" s="8"/>
      <c r="R288" s="8"/>
      <c r="S288" s="8"/>
      <c r="T288" s="8"/>
      <c r="U288" s="11"/>
      <c r="V288" s="11"/>
      <c r="W288" s="11"/>
      <c r="X288" s="8"/>
      <c r="Y288" s="8"/>
      <c r="Z288" s="8"/>
      <c r="AA288" s="11"/>
      <c r="AB288" s="11"/>
      <c r="AC288" s="11"/>
      <c r="AD288" s="11"/>
    </row>
    <row r="289" ht="15.75" customHeight="1">
      <c r="A289" s="6">
        <v>70904.0</v>
      </c>
      <c r="B289" s="6">
        <v>240.0</v>
      </c>
      <c r="C289" s="6">
        <v>108.55555802583694</v>
      </c>
      <c r="D289" s="6">
        <v>652.0</v>
      </c>
      <c r="E289" s="7">
        <f t="shared" si="1"/>
        <v>0.3680981595</v>
      </c>
      <c r="F289" s="7">
        <f t="shared" si="2"/>
        <v>0.4523148251</v>
      </c>
      <c r="G289" s="7">
        <f t="shared" si="3"/>
        <v>0.1664962546</v>
      </c>
      <c r="H289" s="6">
        <v>640.0</v>
      </c>
      <c r="I289" s="6">
        <v>288.77778577804565</v>
      </c>
      <c r="J289" s="6">
        <v>2266.0</v>
      </c>
      <c r="K289" s="7">
        <f t="shared" si="4"/>
        <v>0.2824360106</v>
      </c>
      <c r="L289" s="7">
        <f t="shared" si="5"/>
        <v>0.4512152903</v>
      </c>
      <c r="M289" s="7">
        <f t="shared" si="6"/>
        <v>0.1274394465</v>
      </c>
      <c r="N289" s="7">
        <f t="shared" si="7"/>
        <v>0.7654192989</v>
      </c>
      <c r="O289" s="8"/>
      <c r="P289" s="8"/>
      <c r="Q289" s="8"/>
      <c r="R289" s="8"/>
      <c r="S289" s="8"/>
      <c r="T289" s="8"/>
      <c r="U289" s="11"/>
      <c r="V289" s="11"/>
      <c r="W289" s="11"/>
      <c r="X289" s="8"/>
      <c r="Y289" s="8"/>
      <c r="Z289" s="8"/>
      <c r="AA289" s="11"/>
      <c r="AB289" s="11"/>
      <c r="AC289" s="11"/>
      <c r="AD289" s="11"/>
    </row>
    <row r="290" ht="15.75" customHeight="1">
      <c r="A290" s="6">
        <v>71001.0</v>
      </c>
      <c r="B290" s="6">
        <v>2553.0</v>
      </c>
      <c r="C290" s="6">
        <v>993.7778035700321</v>
      </c>
      <c r="D290" s="6">
        <v>16486.0</v>
      </c>
      <c r="E290" s="7">
        <f t="shared" si="1"/>
        <v>0.154858668</v>
      </c>
      <c r="F290" s="7">
        <f t="shared" si="2"/>
        <v>0.3892588341</v>
      </c>
      <c r="G290" s="7">
        <f t="shared" si="3"/>
        <v>0.06028010455</v>
      </c>
      <c r="H290" s="6">
        <v>19901.0</v>
      </c>
      <c r="I290" s="6">
        <v>7977.666867554188</v>
      </c>
      <c r="J290" s="6">
        <v>90468.0</v>
      </c>
      <c r="K290" s="7">
        <f t="shared" si="4"/>
        <v>0.2199783349</v>
      </c>
      <c r="L290" s="7">
        <f t="shared" si="5"/>
        <v>0.4008676382</v>
      </c>
      <c r="M290" s="7">
        <f t="shared" si="6"/>
        <v>0.08818219556</v>
      </c>
      <c r="N290" s="7">
        <f t="shared" si="7"/>
        <v>1.462873965</v>
      </c>
      <c r="O290" s="8"/>
      <c r="P290" s="8"/>
      <c r="Q290" s="8"/>
      <c r="R290" s="8"/>
      <c r="S290" s="8"/>
      <c r="T290" s="8"/>
      <c r="U290" s="11"/>
      <c r="V290" s="11"/>
      <c r="W290" s="11"/>
      <c r="X290" s="8"/>
      <c r="Y290" s="8"/>
      <c r="Z290" s="8"/>
      <c r="AA290" s="11"/>
      <c r="AB290" s="11"/>
      <c r="AC290" s="11"/>
      <c r="AD290" s="11"/>
    </row>
    <row r="291" ht="15.75" customHeight="1">
      <c r="A291" s="6">
        <v>71002.0</v>
      </c>
      <c r="B291" s="6">
        <v>737.0</v>
      </c>
      <c r="C291" s="6">
        <v>302.3333412706852</v>
      </c>
      <c r="D291" s="6">
        <v>2282.0</v>
      </c>
      <c r="E291" s="7">
        <f t="shared" si="1"/>
        <v>0.3229623138</v>
      </c>
      <c r="F291" s="7">
        <f t="shared" si="2"/>
        <v>0.4102216299</v>
      </c>
      <c r="G291" s="7">
        <f t="shared" si="3"/>
        <v>0.1324861268</v>
      </c>
      <c r="H291" s="6">
        <v>3939.0</v>
      </c>
      <c r="I291" s="6">
        <v>1629.5555981993675</v>
      </c>
      <c r="J291" s="6">
        <v>11624.0</v>
      </c>
      <c r="K291" s="7">
        <f t="shared" si="4"/>
        <v>0.3388678596</v>
      </c>
      <c r="L291" s="7">
        <f t="shared" si="5"/>
        <v>0.4136977909</v>
      </c>
      <c r="M291" s="7">
        <f t="shared" si="6"/>
        <v>0.1401888849</v>
      </c>
      <c r="N291" s="7">
        <f t="shared" si="7"/>
        <v>1.058140111</v>
      </c>
      <c r="O291" s="8"/>
      <c r="P291" s="8"/>
      <c r="Q291" s="8"/>
      <c r="R291" s="8"/>
      <c r="S291" s="8"/>
      <c r="T291" s="8"/>
      <c r="U291" s="11"/>
      <c r="V291" s="11"/>
      <c r="W291" s="11"/>
      <c r="X291" s="8"/>
      <c r="Y291" s="8"/>
      <c r="Z291" s="8"/>
      <c r="AA291" s="11"/>
      <c r="AB291" s="11"/>
      <c r="AC291" s="11"/>
      <c r="AD291" s="11"/>
    </row>
    <row r="292" ht="15.75" customHeight="1">
      <c r="A292" s="6">
        <v>71003.0</v>
      </c>
      <c r="B292" s="6">
        <v>1187.0</v>
      </c>
      <c r="C292" s="6">
        <v>472.3333456814289</v>
      </c>
      <c r="D292" s="6">
        <v>3240.0</v>
      </c>
      <c r="E292" s="7">
        <f t="shared" si="1"/>
        <v>0.3663580247</v>
      </c>
      <c r="F292" s="7">
        <f t="shared" si="2"/>
        <v>0.3979219424</v>
      </c>
      <c r="G292" s="7">
        <f t="shared" si="3"/>
        <v>0.1457818968</v>
      </c>
      <c r="H292" s="6">
        <v>7290.0</v>
      </c>
      <c r="I292" s="6">
        <v>2945.111185282469</v>
      </c>
      <c r="J292" s="6">
        <v>19653.0</v>
      </c>
      <c r="K292" s="7">
        <f t="shared" si="4"/>
        <v>0.370935735</v>
      </c>
      <c r="L292" s="7">
        <f t="shared" si="5"/>
        <v>0.4039933039</v>
      </c>
      <c r="M292" s="7">
        <f t="shared" si="6"/>
        <v>0.1498555531</v>
      </c>
      <c r="N292" s="7">
        <f t="shared" si="7"/>
        <v>1.027943499</v>
      </c>
      <c r="O292" s="8"/>
      <c r="P292" s="8"/>
      <c r="Q292" s="8"/>
      <c r="R292" s="8"/>
      <c r="S292" s="8"/>
      <c r="T292" s="8"/>
      <c r="U292" s="11"/>
      <c r="V292" s="11"/>
      <c r="W292" s="11"/>
      <c r="X292" s="8"/>
      <c r="Y292" s="8"/>
      <c r="Z292" s="8"/>
      <c r="AA292" s="11"/>
      <c r="AB292" s="11"/>
      <c r="AC292" s="11"/>
      <c r="AD292" s="11"/>
    </row>
    <row r="293" ht="15.75" customHeight="1">
      <c r="A293" s="6">
        <v>71004.0</v>
      </c>
      <c r="B293" s="6">
        <v>720.0</v>
      </c>
      <c r="C293" s="6">
        <v>280.22222951054573</v>
      </c>
      <c r="D293" s="6">
        <v>1939.0</v>
      </c>
      <c r="E293" s="7">
        <f t="shared" si="1"/>
        <v>0.3713254255</v>
      </c>
      <c r="F293" s="7">
        <f t="shared" si="2"/>
        <v>0.389197541</v>
      </c>
      <c r="G293" s="7">
        <f t="shared" si="3"/>
        <v>0.1445189425</v>
      </c>
      <c r="H293" s="6">
        <v>3873.0</v>
      </c>
      <c r="I293" s="6">
        <v>1550.1111503243446</v>
      </c>
      <c r="J293" s="6">
        <v>11861.0</v>
      </c>
      <c r="K293" s="7">
        <f t="shared" si="4"/>
        <v>0.3265323329</v>
      </c>
      <c r="L293" s="7">
        <f t="shared" si="5"/>
        <v>0.400235257</v>
      </c>
      <c r="M293" s="7">
        <f t="shared" si="6"/>
        <v>0.1306897522</v>
      </c>
      <c r="N293" s="7">
        <f t="shared" si="7"/>
        <v>0.9043088047</v>
      </c>
      <c r="O293" s="8"/>
      <c r="P293" s="8"/>
      <c r="Q293" s="8"/>
      <c r="R293" s="8"/>
      <c r="S293" s="8"/>
      <c r="T293" s="8"/>
      <c r="U293" s="11"/>
      <c r="V293" s="11"/>
      <c r="W293" s="11"/>
      <c r="X293" s="8"/>
      <c r="Y293" s="8"/>
      <c r="Z293" s="8"/>
      <c r="AA293" s="11"/>
      <c r="AB293" s="11"/>
      <c r="AC293" s="11"/>
      <c r="AD293" s="11"/>
    </row>
    <row r="294" ht="15.75" customHeight="1">
      <c r="A294" s="6">
        <v>71005.0</v>
      </c>
      <c r="B294" s="6">
        <v>889.0</v>
      </c>
      <c r="C294" s="6">
        <v>367.4444537460804</v>
      </c>
      <c r="D294" s="6">
        <v>2390.0</v>
      </c>
      <c r="E294" s="7">
        <f t="shared" si="1"/>
        <v>0.3719665272</v>
      </c>
      <c r="F294" s="7">
        <f t="shared" si="2"/>
        <v>0.413323345</v>
      </c>
      <c r="G294" s="7">
        <f t="shared" si="3"/>
        <v>0.1537424493</v>
      </c>
      <c r="H294" s="6">
        <v>3791.0</v>
      </c>
      <c r="I294" s="6">
        <v>1476.7778155207634</v>
      </c>
      <c r="J294" s="6">
        <v>13625.0</v>
      </c>
      <c r="K294" s="7">
        <f t="shared" si="4"/>
        <v>0.2782385321</v>
      </c>
      <c r="L294" s="7">
        <f t="shared" si="5"/>
        <v>0.3895483555</v>
      </c>
      <c r="M294" s="7">
        <f t="shared" si="6"/>
        <v>0.1083873626</v>
      </c>
      <c r="N294" s="7">
        <f t="shared" si="7"/>
        <v>0.7049930785</v>
      </c>
      <c r="O294" s="8"/>
      <c r="P294" s="8"/>
      <c r="Q294" s="8"/>
      <c r="R294" s="8"/>
      <c r="S294" s="8"/>
      <c r="T294" s="8"/>
      <c r="U294" s="11"/>
      <c r="V294" s="11"/>
      <c r="W294" s="11"/>
      <c r="X294" s="8"/>
      <c r="Y294" s="8"/>
      <c r="Z294" s="8"/>
      <c r="AA294" s="11"/>
      <c r="AB294" s="11"/>
      <c r="AC294" s="11"/>
      <c r="AD294" s="11"/>
    </row>
    <row r="295" ht="15.75" customHeight="1">
      <c r="A295" s="6">
        <v>71101.0</v>
      </c>
      <c r="B295" s="6">
        <v>1515.0</v>
      </c>
      <c r="C295" s="6">
        <v>698.0000191032887</v>
      </c>
      <c r="D295" s="6">
        <v>2660.0</v>
      </c>
      <c r="E295" s="7">
        <f t="shared" si="1"/>
        <v>0.5695488722</v>
      </c>
      <c r="F295" s="7">
        <f t="shared" si="2"/>
        <v>0.4607260852</v>
      </c>
      <c r="G295" s="7">
        <f t="shared" si="3"/>
        <v>0.2624060222</v>
      </c>
      <c r="H295" s="6">
        <v>8423.0</v>
      </c>
      <c r="I295" s="6">
        <v>3764.4445412158966</v>
      </c>
      <c r="J295" s="6">
        <v>15795.0</v>
      </c>
      <c r="K295" s="7">
        <f t="shared" si="4"/>
        <v>0.5332700222</v>
      </c>
      <c r="L295" s="7">
        <f t="shared" si="5"/>
        <v>0.446924438</v>
      </c>
      <c r="M295" s="7">
        <f t="shared" si="6"/>
        <v>0.238331405</v>
      </c>
      <c r="N295" s="7">
        <f t="shared" si="7"/>
        <v>0.9082543264</v>
      </c>
      <c r="O295" s="8"/>
      <c r="P295" s="8"/>
      <c r="Q295" s="8"/>
      <c r="R295" s="8"/>
      <c r="S295" s="8"/>
      <c r="T295" s="8"/>
      <c r="U295" s="11"/>
      <c r="V295" s="11"/>
      <c r="W295" s="11"/>
      <c r="X295" s="8"/>
      <c r="Y295" s="8"/>
      <c r="Z295" s="8"/>
      <c r="AA295" s="11"/>
      <c r="AB295" s="11"/>
      <c r="AC295" s="11"/>
      <c r="AD295" s="11"/>
    </row>
    <row r="296" ht="15.75" customHeight="1">
      <c r="A296" s="6">
        <v>71102.0</v>
      </c>
      <c r="B296" s="6">
        <v>823.0</v>
      </c>
      <c r="C296" s="6">
        <v>366.2222321331501</v>
      </c>
      <c r="D296" s="6">
        <v>1626.0</v>
      </c>
      <c r="E296" s="7">
        <f t="shared" si="1"/>
        <v>0.5061500615</v>
      </c>
      <c r="F296" s="7">
        <f t="shared" si="2"/>
        <v>0.4449844862</v>
      </c>
      <c r="G296" s="7">
        <f t="shared" si="3"/>
        <v>0.2252289251</v>
      </c>
      <c r="H296" s="6">
        <v>5892.0</v>
      </c>
      <c r="I296" s="6">
        <v>2721.0000709593296</v>
      </c>
      <c r="J296" s="6">
        <v>11724.0</v>
      </c>
      <c r="K296" s="7">
        <f t="shared" si="4"/>
        <v>0.5025588536</v>
      </c>
      <c r="L296" s="7">
        <f t="shared" si="5"/>
        <v>0.4618126393</v>
      </c>
      <c r="M296" s="7">
        <f t="shared" si="6"/>
        <v>0.2320880306</v>
      </c>
      <c r="N296" s="7">
        <f t="shared" si="7"/>
        <v>1.030453928</v>
      </c>
      <c r="O296" s="8"/>
      <c r="P296" s="8"/>
      <c r="Q296" s="8"/>
      <c r="R296" s="8"/>
      <c r="S296" s="8"/>
      <c r="T296" s="8"/>
      <c r="U296" s="11"/>
      <c r="V296" s="11"/>
      <c r="W296" s="11"/>
      <c r="X296" s="8"/>
      <c r="Y296" s="8"/>
      <c r="Z296" s="8"/>
      <c r="AA296" s="11"/>
      <c r="AB296" s="11"/>
      <c r="AC296" s="11"/>
      <c r="AD296" s="11"/>
    </row>
    <row r="297" ht="15.75" customHeight="1">
      <c r="A297" s="6">
        <v>71103.0</v>
      </c>
      <c r="B297" s="6">
        <v>1871.0</v>
      </c>
      <c r="C297" s="6">
        <v>774.44446387887</v>
      </c>
      <c r="D297" s="6">
        <v>4194.0</v>
      </c>
      <c r="E297" s="7">
        <f t="shared" si="1"/>
        <v>0.4461134955</v>
      </c>
      <c r="F297" s="7">
        <f t="shared" si="2"/>
        <v>0.4139200769</v>
      </c>
      <c r="G297" s="7">
        <f t="shared" si="3"/>
        <v>0.1846553324</v>
      </c>
      <c r="H297" s="6">
        <v>16905.0</v>
      </c>
      <c r="I297" s="6">
        <v>6787.666833013296</v>
      </c>
      <c r="J297" s="6">
        <v>42176.0</v>
      </c>
      <c r="K297" s="7">
        <f t="shared" si="4"/>
        <v>0.4008203718</v>
      </c>
      <c r="L297" s="7">
        <f t="shared" si="5"/>
        <v>0.4015182983</v>
      </c>
      <c r="M297" s="7">
        <f t="shared" si="6"/>
        <v>0.1609367136</v>
      </c>
      <c r="N297" s="7">
        <f t="shared" si="7"/>
        <v>0.8715519425</v>
      </c>
      <c r="O297" s="8"/>
      <c r="P297" s="8"/>
      <c r="Q297" s="8"/>
      <c r="R297" s="8"/>
      <c r="S297" s="8"/>
      <c r="T297" s="8"/>
      <c r="U297" s="11"/>
      <c r="V297" s="11"/>
      <c r="W297" s="11"/>
      <c r="X297" s="8"/>
      <c r="Y297" s="8"/>
      <c r="Z297" s="8"/>
      <c r="AA297" s="11"/>
      <c r="AB297" s="11"/>
      <c r="AC297" s="11"/>
      <c r="AD297" s="11"/>
    </row>
    <row r="298" ht="15.75" customHeight="1">
      <c r="A298" s="6">
        <v>71104.0</v>
      </c>
      <c r="B298" s="6">
        <v>427.0</v>
      </c>
      <c r="C298" s="6">
        <v>175.44444864988327</v>
      </c>
      <c r="D298" s="6">
        <v>1081.0</v>
      </c>
      <c r="E298" s="7">
        <f t="shared" si="1"/>
        <v>0.3950046253</v>
      </c>
      <c r="F298" s="7">
        <f t="shared" si="2"/>
        <v>0.4108769289</v>
      </c>
      <c r="G298" s="7">
        <f t="shared" si="3"/>
        <v>0.1622982874</v>
      </c>
      <c r="H298" s="6">
        <v>1872.0</v>
      </c>
      <c r="I298" s="6">
        <v>806.3333550989628</v>
      </c>
      <c r="J298" s="6">
        <v>5383.0</v>
      </c>
      <c r="K298" s="7">
        <f t="shared" si="4"/>
        <v>0.3477614713</v>
      </c>
      <c r="L298" s="7">
        <f t="shared" si="5"/>
        <v>0.4307336299</v>
      </c>
      <c r="M298" s="7">
        <f t="shared" si="6"/>
        <v>0.1497925609</v>
      </c>
      <c r="N298" s="7">
        <f t="shared" si="7"/>
        <v>0.9229460352</v>
      </c>
      <c r="O298" s="8"/>
      <c r="P298" s="8"/>
      <c r="Q298" s="8"/>
      <c r="R298" s="8"/>
      <c r="S298" s="8"/>
      <c r="T298" s="8"/>
      <c r="U298" s="11"/>
      <c r="V298" s="11"/>
      <c r="W298" s="11"/>
      <c r="X298" s="8"/>
      <c r="Y298" s="8"/>
      <c r="Z298" s="8"/>
      <c r="AA298" s="11"/>
      <c r="AB298" s="11"/>
      <c r="AC298" s="11"/>
      <c r="AD298" s="11"/>
    </row>
    <row r="299" ht="15.75" customHeight="1">
      <c r="A299" s="6">
        <v>71105.0</v>
      </c>
      <c r="B299" s="6">
        <v>441.0</v>
      </c>
      <c r="C299" s="6">
        <v>189.4444486796856</v>
      </c>
      <c r="D299" s="6">
        <v>910.0</v>
      </c>
      <c r="E299" s="7">
        <f t="shared" si="1"/>
        <v>0.4846153846</v>
      </c>
      <c r="F299" s="7">
        <f t="shared" si="2"/>
        <v>0.4295792487</v>
      </c>
      <c r="G299" s="7">
        <f t="shared" si="3"/>
        <v>0.2081807128</v>
      </c>
      <c r="H299" s="6">
        <v>2508.0</v>
      </c>
      <c r="I299" s="6">
        <v>1103.4444716274738</v>
      </c>
      <c r="J299" s="6">
        <v>6039.0</v>
      </c>
      <c r="K299" s="7">
        <f t="shared" si="4"/>
        <v>0.4153005464</v>
      </c>
      <c r="L299" s="7">
        <f t="shared" si="5"/>
        <v>0.439969885</v>
      </c>
      <c r="M299" s="7">
        <f t="shared" si="6"/>
        <v>0.1827197337</v>
      </c>
      <c r="N299" s="7">
        <f t="shared" si="7"/>
        <v>0.877697704</v>
      </c>
      <c r="O299" s="8"/>
      <c r="P299" s="8"/>
      <c r="Q299" s="8"/>
      <c r="R299" s="8"/>
      <c r="S299" s="8"/>
      <c r="T299" s="8"/>
      <c r="U299" s="11"/>
      <c r="V299" s="11"/>
      <c r="W299" s="11"/>
      <c r="X299" s="8"/>
      <c r="Y299" s="8"/>
      <c r="Z299" s="8"/>
      <c r="AA299" s="11"/>
      <c r="AB299" s="11"/>
      <c r="AC299" s="11"/>
      <c r="AD299" s="11"/>
    </row>
    <row r="300" ht="15.75" customHeight="1">
      <c r="A300" s="6">
        <v>71106.0</v>
      </c>
      <c r="B300" s="6">
        <v>667.0</v>
      </c>
      <c r="C300" s="6">
        <v>260.5555627346039</v>
      </c>
      <c r="D300" s="6">
        <v>1740.0</v>
      </c>
      <c r="E300" s="7">
        <f t="shared" si="1"/>
        <v>0.3833333333</v>
      </c>
      <c r="F300" s="7">
        <f t="shared" si="2"/>
        <v>0.3906380251</v>
      </c>
      <c r="G300" s="7">
        <f t="shared" si="3"/>
        <v>0.1497445763</v>
      </c>
      <c r="H300" s="6">
        <v>5809.0</v>
      </c>
      <c r="I300" s="6">
        <v>2242.5556116700172</v>
      </c>
      <c r="J300" s="6">
        <v>19621.0</v>
      </c>
      <c r="K300" s="7">
        <f t="shared" si="4"/>
        <v>0.2960603435</v>
      </c>
      <c r="L300" s="7">
        <f t="shared" si="5"/>
        <v>0.3860484785</v>
      </c>
      <c r="M300" s="7">
        <f t="shared" si="6"/>
        <v>0.1142936452</v>
      </c>
      <c r="N300" s="7">
        <f t="shared" si="7"/>
        <v>0.7632573279</v>
      </c>
      <c r="O300" s="8"/>
      <c r="P300" s="8"/>
      <c r="Q300" s="8"/>
      <c r="R300" s="8"/>
      <c r="S300" s="8"/>
      <c r="T300" s="8"/>
      <c r="U300" s="11"/>
      <c r="V300" s="11"/>
      <c r="W300" s="11"/>
      <c r="X300" s="8"/>
      <c r="Y300" s="8"/>
      <c r="Z300" s="8"/>
      <c r="AA300" s="11"/>
      <c r="AB300" s="11"/>
      <c r="AC300" s="11"/>
      <c r="AD300" s="11"/>
    </row>
    <row r="301" ht="15.75" customHeight="1">
      <c r="A301" s="6">
        <v>71201.0</v>
      </c>
      <c r="B301" s="6">
        <v>1269.0</v>
      </c>
      <c r="C301" s="6">
        <v>563.0000147819519</v>
      </c>
      <c r="D301" s="6">
        <v>2360.0</v>
      </c>
      <c r="E301" s="7">
        <f t="shared" si="1"/>
        <v>0.5377118644</v>
      </c>
      <c r="F301" s="7">
        <f t="shared" si="2"/>
        <v>0.443656434</v>
      </c>
      <c r="G301" s="7">
        <f t="shared" si="3"/>
        <v>0.2385593283</v>
      </c>
      <c r="H301" s="6">
        <v>6240.0</v>
      </c>
      <c r="I301" s="6">
        <v>2782.1111861765385</v>
      </c>
      <c r="J301" s="6">
        <v>11720.0</v>
      </c>
      <c r="K301" s="7">
        <f t="shared" si="4"/>
        <v>0.5324232082</v>
      </c>
      <c r="L301" s="7">
        <f t="shared" si="5"/>
        <v>0.4458511516</v>
      </c>
      <c r="M301" s="7">
        <f t="shared" si="6"/>
        <v>0.2373815005</v>
      </c>
      <c r="N301" s="7">
        <f t="shared" si="7"/>
        <v>0.995062747</v>
      </c>
      <c r="O301" s="8"/>
      <c r="P301" s="8"/>
      <c r="Q301" s="8"/>
      <c r="R301" s="8"/>
      <c r="S301" s="8"/>
      <c r="T301" s="8"/>
      <c r="U301" s="11"/>
      <c r="V301" s="11"/>
      <c r="W301" s="11"/>
      <c r="X301" s="8"/>
      <c r="Y301" s="8"/>
      <c r="Z301" s="8"/>
      <c r="AA301" s="11"/>
      <c r="AB301" s="11"/>
      <c r="AC301" s="11"/>
      <c r="AD301" s="11"/>
    </row>
    <row r="302" ht="15.75" customHeight="1">
      <c r="A302" s="6">
        <v>71301.0</v>
      </c>
      <c r="B302" s="6">
        <v>796.0</v>
      </c>
      <c r="C302" s="6">
        <v>359.88889786601067</v>
      </c>
      <c r="D302" s="6">
        <v>2021.0</v>
      </c>
      <c r="E302" s="7">
        <f t="shared" si="1"/>
        <v>0.3938644236</v>
      </c>
      <c r="F302" s="7">
        <f t="shared" si="2"/>
        <v>0.452121731</v>
      </c>
      <c r="G302" s="7">
        <f t="shared" si="3"/>
        <v>0.178074665</v>
      </c>
      <c r="H302" s="6">
        <v>4653.0</v>
      </c>
      <c r="I302" s="6">
        <v>2127.3333889842033</v>
      </c>
      <c r="J302" s="6">
        <v>13727.0</v>
      </c>
      <c r="K302" s="7">
        <f t="shared" si="4"/>
        <v>0.3389669993</v>
      </c>
      <c r="L302" s="7">
        <f t="shared" si="5"/>
        <v>0.4571960862</v>
      </c>
      <c r="M302" s="7">
        <f t="shared" si="6"/>
        <v>0.1549743854</v>
      </c>
      <c r="N302" s="7">
        <f t="shared" si="7"/>
        <v>0.870277563</v>
      </c>
      <c r="O302" s="8"/>
      <c r="P302" s="8"/>
      <c r="Q302" s="8"/>
      <c r="R302" s="8"/>
      <c r="S302" s="8"/>
      <c r="T302" s="8"/>
      <c r="U302" s="11"/>
      <c r="V302" s="11"/>
      <c r="W302" s="11"/>
      <c r="X302" s="8"/>
      <c r="Y302" s="8"/>
      <c r="Z302" s="8"/>
      <c r="AA302" s="11"/>
      <c r="AB302" s="11"/>
      <c r="AC302" s="11"/>
      <c r="AD302" s="11"/>
    </row>
    <row r="303" ht="15.75" customHeight="1">
      <c r="A303" s="6">
        <v>71302.0</v>
      </c>
      <c r="B303" s="6">
        <v>385.0</v>
      </c>
      <c r="C303" s="6">
        <v>159.00000461935997</v>
      </c>
      <c r="D303" s="6">
        <v>1044.0</v>
      </c>
      <c r="E303" s="7">
        <f t="shared" si="1"/>
        <v>0.3687739464</v>
      </c>
      <c r="F303" s="7">
        <f t="shared" si="2"/>
        <v>0.412987025</v>
      </c>
      <c r="G303" s="7">
        <f t="shared" si="3"/>
        <v>0.152298855</v>
      </c>
      <c r="H303" s="6">
        <v>2298.0</v>
      </c>
      <c r="I303" s="6">
        <v>964.3333591222763</v>
      </c>
      <c r="J303" s="6">
        <v>6081.0</v>
      </c>
      <c r="K303" s="7">
        <f t="shared" si="4"/>
        <v>0.377898372</v>
      </c>
      <c r="L303" s="7">
        <f t="shared" si="5"/>
        <v>0.4196402781</v>
      </c>
      <c r="M303" s="7">
        <f t="shared" si="6"/>
        <v>0.1585813779</v>
      </c>
      <c r="N303" s="7">
        <f t="shared" si="7"/>
        <v>1.041251281</v>
      </c>
      <c r="O303" s="8"/>
      <c r="P303" s="8"/>
      <c r="Q303" s="8"/>
      <c r="R303" s="8"/>
      <c r="S303" s="8"/>
      <c r="T303" s="8"/>
      <c r="U303" s="11"/>
      <c r="V303" s="11"/>
      <c r="W303" s="11"/>
      <c r="X303" s="8"/>
      <c r="Y303" s="8"/>
      <c r="Z303" s="8"/>
      <c r="AA303" s="11"/>
      <c r="AB303" s="11"/>
      <c r="AC303" s="11"/>
      <c r="AD303" s="11"/>
    </row>
    <row r="304" ht="15.75" customHeight="1">
      <c r="A304" s="6">
        <v>71401.0</v>
      </c>
      <c r="B304" s="6">
        <v>643.0</v>
      </c>
      <c r="C304" s="6">
        <v>249.00000596046448</v>
      </c>
      <c r="D304" s="6">
        <v>3029.0</v>
      </c>
      <c r="E304" s="7">
        <f t="shared" si="1"/>
        <v>0.212281281</v>
      </c>
      <c r="F304" s="7">
        <f t="shared" si="2"/>
        <v>0.3872472877</v>
      </c>
      <c r="G304" s="7">
        <f t="shared" si="3"/>
        <v>0.08220535027</v>
      </c>
      <c r="H304" s="6">
        <v>3647.0</v>
      </c>
      <c r="I304" s="6">
        <v>1469.4444810450077</v>
      </c>
      <c r="J304" s="6">
        <v>15484.0</v>
      </c>
      <c r="K304" s="7">
        <f t="shared" si="4"/>
        <v>0.2355334539</v>
      </c>
      <c r="L304" s="7">
        <f t="shared" si="5"/>
        <v>0.4029186951</v>
      </c>
      <c r="M304" s="7">
        <f t="shared" si="6"/>
        <v>0.09490083189</v>
      </c>
      <c r="N304" s="7">
        <f t="shared" si="7"/>
        <v>1.154436196</v>
      </c>
      <c r="O304" s="8"/>
      <c r="P304" s="8"/>
      <c r="Q304" s="8"/>
      <c r="R304" s="8"/>
      <c r="S304" s="8"/>
      <c r="T304" s="8"/>
      <c r="U304" s="11"/>
      <c r="V304" s="11"/>
      <c r="W304" s="11"/>
      <c r="X304" s="8"/>
      <c r="Y304" s="8"/>
      <c r="Z304" s="8"/>
      <c r="AA304" s="11"/>
      <c r="AB304" s="11"/>
      <c r="AC304" s="11"/>
      <c r="AD304" s="11"/>
    </row>
    <row r="305" ht="15.75" customHeight="1">
      <c r="A305" s="6">
        <v>71402.0</v>
      </c>
      <c r="B305" s="6">
        <v>473.0</v>
      </c>
      <c r="C305" s="6">
        <v>186.88889375329018</v>
      </c>
      <c r="D305" s="6">
        <v>1655.0</v>
      </c>
      <c r="E305" s="7">
        <f t="shared" si="1"/>
        <v>0.2858006042</v>
      </c>
      <c r="F305" s="7">
        <f t="shared" si="2"/>
        <v>0.3951139403</v>
      </c>
      <c r="G305" s="7">
        <f t="shared" si="3"/>
        <v>0.1129238029</v>
      </c>
      <c r="H305" s="6">
        <v>3781.0</v>
      </c>
      <c r="I305" s="6">
        <v>1456.2222562730312</v>
      </c>
      <c r="J305" s="6">
        <v>14041.0</v>
      </c>
      <c r="K305" s="7">
        <f t="shared" si="4"/>
        <v>0.2692828146</v>
      </c>
      <c r="L305" s="7">
        <f t="shared" si="5"/>
        <v>0.3851420937</v>
      </c>
      <c r="M305" s="7">
        <f t="shared" si="6"/>
        <v>0.103712147</v>
      </c>
      <c r="N305" s="7">
        <f t="shared" si="7"/>
        <v>0.9184259153</v>
      </c>
      <c r="O305" s="8"/>
      <c r="P305" s="8"/>
      <c r="Q305" s="8"/>
      <c r="R305" s="8"/>
      <c r="S305" s="8"/>
      <c r="T305" s="8"/>
      <c r="U305" s="11"/>
      <c r="V305" s="11"/>
      <c r="W305" s="11"/>
      <c r="X305" s="8"/>
      <c r="Y305" s="8"/>
      <c r="Z305" s="8"/>
      <c r="AA305" s="11"/>
      <c r="AB305" s="11"/>
      <c r="AC305" s="11"/>
      <c r="AD305" s="11"/>
    </row>
    <row r="306" ht="15.75" customHeight="1">
      <c r="A306" s="6">
        <v>71403.0</v>
      </c>
      <c r="B306" s="6">
        <v>427.0</v>
      </c>
      <c r="C306" s="6">
        <v>176.77778178453445</v>
      </c>
      <c r="D306" s="6">
        <v>1126.0</v>
      </c>
      <c r="E306" s="7">
        <f t="shared" si="1"/>
        <v>0.3792184725</v>
      </c>
      <c r="F306" s="7">
        <f t="shared" si="2"/>
        <v>0.413999489</v>
      </c>
      <c r="G306" s="7">
        <f t="shared" si="3"/>
        <v>0.1569962538</v>
      </c>
      <c r="H306" s="6">
        <v>2409.0</v>
      </c>
      <c r="I306" s="6">
        <v>1057.5555825531483</v>
      </c>
      <c r="J306" s="6">
        <v>4939.0</v>
      </c>
      <c r="K306" s="7">
        <f t="shared" si="4"/>
        <v>0.4877505568</v>
      </c>
      <c r="L306" s="7">
        <f t="shared" si="5"/>
        <v>0.4390019023</v>
      </c>
      <c r="M306" s="7">
        <f t="shared" si="6"/>
        <v>0.2141234223</v>
      </c>
      <c r="N306" s="7">
        <f t="shared" si="7"/>
        <v>1.363875998</v>
      </c>
      <c r="O306" s="8"/>
      <c r="P306" s="8"/>
      <c r="Q306" s="8"/>
      <c r="R306" s="8"/>
      <c r="S306" s="8"/>
      <c r="T306" s="8"/>
      <c r="U306" s="11"/>
      <c r="V306" s="11"/>
      <c r="W306" s="11"/>
      <c r="X306" s="8"/>
      <c r="Y306" s="8"/>
      <c r="Z306" s="8"/>
      <c r="AA306" s="11"/>
      <c r="AB306" s="11"/>
      <c r="AC306" s="11"/>
      <c r="AD306" s="11"/>
    </row>
    <row r="307" ht="15.75" customHeight="1">
      <c r="A307" s="6">
        <v>71501.0</v>
      </c>
      <c r="B307" s="6">
        <v>2175.0</v>
      </c>
      <c r="C307" s="6">
        <v>942.0000260472298</v>
      </c>
      <c r="D307" s="6">
        <v>3636.0</v>
      </c>
      <c r="E307" s="7">
        <f t="shared" si="1"/>
        <v>0.5981848185</v>
      </c>
      <c r="F307" s="7">
        <f t="shared" si="2"/>
        <v>0.4331034603</v>
      </c>
      <c r="G307" s="7">
        <f t="shared" si="3"/>
        <v>0.2590759148</v>
      </c>
      <c r="H307" s="6">
        <v>13902.0</v>
      </c>
      <c r="I307" s="6">
        <v>6150.555714726448</v>
      </c>
      <c r="J307" s="6">
        <v>22543.0</v>
      </c>
      <c r="K307" s="7">
        <f t="shared" si="4"/>
        <v>0.6166881072</v>
      </c>
      <c r="L307" s="7">
        <f t="shared" si="5"/>
        <v>0.4424223647</v>
      </c>
      <c r="M307" s="7">
        <f t="shared" si="6"/>
        <v>0.2728366107</v>
      </c>
      <c r="N307" s="7">
        <f t="shared" si="7"/>
        <v>1.053114532</v>
      </c>
      <c r="O307" s="8"/>
      <c r="P307" s="8"/>
      <c r="Q307" s="8"/>
      <c r="R307" s="8"/>
      <c r="S307" s="8"/>
      <c r="T307" s="8"/>
      <c r="U307" s="11"/>
      <c r="V307" s="11"/>
      <c r="W307" s="11"/>
      <c r="X307" s="8"/>
      <c r="Y307" s="8"/>
      <c r="Z307" s="8"/>
      <c r="AA307" s="11"/>
      <c r="AB307" s="11"/>
      <c r="AC307" s="11"/>
      <c r="AD307" s="11"/>
    </row>
    <row r="308" ht="15.75" customHeight="1">
      <c r="A308" s="6">
        <v>71502.0</v>
      </c>
      <c r="B308" s="6">
        <v>565.0</v>
      </c>
      <c r="C308" s="6">
        <v>243.00000622868538</v>
      </c>
      <c r="D308" s="6">
        <v>1000.0</v>
      </c>
      <c r="E308" s="7">
        <f t="shared" si="1"/>
        <v>0.565</v>
      </c>
      <c r="F308" s="7">
        <f t="shared" si="2"/>
        <v>0.4300885066</v>
      </c>
      <c r="G308" s="7">
        <f t="shared" si="3"/>
        <v>0.2430000062</v>
      </c>
      <c r="H308" s="6">
        <v>3254.0</v>
      </c>
      <c r="I308" s="6">
        <v>1448.8889276385307</v>
      </c>
      <c r="J308" s="6">
        <v>5802.0</v>
      </c>
      <c r="K308" s="7">
        <f t="shared" si="4"/>
        <v>0.5608410893</v>
      </c>
      <c r="L308" s="7">
        <f t="shared" si="5"/>
        <v>0.4452639606</v>
      </c>
      <c r="M308" s="7">
        <f t="shared" si="6"/>
        <v>0.2497223247</v>
      </c>
      <c r="N308" s="7">
        <f t="shared" si="7"/>
        <v>1.027663861</v>
      </c>
      <c r="O308" s="8"/>
      <c r="P308" s="8"/>
      <c r="Q308" s="8"/>
      <c r="R308" s="8"/>
      <c r="S308" s="8"/>
      <c r="T308" s="8"/>
      <c r="U308" s="11"/>
      <c r="V308" s="11"/>
      <c r="W308" s="11"/>
      <c r="X308" s="8"/>
      <c r="Y308" s="8"/>
      <c r="Z308" s="8"/>
      <c r="AA308" s="11"/>
      <c r="AB308" s="11"/>
      <c r="AC308" s="11"/>
      <c r="AD308" s="11"/>
    </row>
    <row r="309" ht="15.75" customHeight="1">
      <c r="A309" s="6">
        <v>71503.0</v>
      </c>
      <c r="B309" s="6">
        <v>875.0</v>
      </c>
      <c r="C309" s="6">
        <v>396.555565983057</v>
      </c>
      <c r="D309" s="6">
        <v>1273.0</v>
      </c>
      <c r="E309" s="7">
        <f t="shared" si="1"/>
        <v>0.6873527101</v>
      </c>
      <c r="F309" s="7">
        <f t="shared" si="2"/>
        <v>0.4532063611</v>
      </c>
      <c r="G309" s="7">
        <f t="shared" si="3"/>
        <v>0.3115126206</v>
      </c>
      <c r="H309" s="6">
        <v>8092.0</v>
      </c>
      <c r="I309" s="6">
        <v>3559.666757285595</v>
      </c>
      <c r="J309" s="6">
        <v>12628.0</v>
      </c>
      <c r="K309" s="7">
        <f t="shared" si="4"/>
        <v>0.6407982262</v>
      </c>
      <c r="L309" s="7">
        <f t="shared" si="5"/>
        <v>0.4398995004</v>
      </c>
      <c r="M309" s="7">
        <f t="shared" si="6"/>
        <v>0.2818868196</v>
      </c>
      <c r="N309" s="7">
        <f t="shared" si="7"/>
        <v>0.9048969478</v>
      </c>
      <c r="O309" s="8"/>
      <c r="P309" s="8"/>
      <c r="Q309" s="8"/>
      <c r="R309" s="8"/>
      <c r="S309" s="8"/>
      <c r="T309" s="8"/>
      <c r="U309" s="11"/>
      <c r="V309" s="11"/>
      <c r="W309" s="11"/>
      <c r="X309" s="8"/>
      <c r="Y309" s="8"/>
      <c r="Z309" s="8"/>
      <c r="AA309" s="11"/>
      <c r="AB309" s="11"/>
      <c r="AC309" s="11"/>
      <c r="AD309" s="11"/>
    </row>
    <row r="310" ht="15.75" customHeight="1">
      <c r="A310" s="6">
        <v>80101.0</v>
      </c>
      <c r="B310" s="6">
        <v>4549.0</v>
      </c>
      <c r="C310" s="6">
        <v>1829.4444925487041</v>
      </c>
      <c r="D310" s="6">
        <v>16112.0</v>
      </c>
      <c r="E310" s="7">
        <f t="shared" si="1"/>
        <v>0.282336147</v>
      </c>
      <c r="F310" s="7">
        <f t="shared" si="2"/>
        <v>0.4021641004</v>
      </c>
      <c r="G310" s="7">
        <f t="shared" si="3"/>
        <v>0.1135454625</v>
      </c>
      <c r="H310" s="6">
        <v>32135.0</v>
      </c>
      <c r="I310" s="6">
        <v>13086.444779992104</v>
      </c>
      <c r="J310" s="6">
        <v>86916.0</v>
      </c>
      <c r="K310" s="7">
        <f t="shared" si="4"/>
        <v>0.3697247918</v>
      </c>
      <c r="L310" s="7">
        <f t="shared" si="5"/>
        <v>0.4072333835</v>
      </c>
      <c r="M310" s="7">
        <f t="shared" si="6"/>
        <v>0.1505642779</v>
      </c>
      <c r="N310" s="7">
        <f t="shared" si="7"/>
        <v>1.326026373</v>
      </c>
      <c r="O310" s="8"/>
      <c r="P310" s="8"/>
      <c r="Q310" s="8"/>
      <c r="R310" s="8"/>
      <c r="S310" s="8"/>
      <c r="T310" s="8"/>
      <c r="U310" s="11"/>
      <c r="V310" s="11"/>
      <c r="W310" s="11"/>
      <c r="X310" s="8"/>
      <c r="Y310" s="8"/>
      <c r="Z310" s="8"/>
      <c r="AA310" s="11"/>
      <c r="AB310" s="11"/>
      <c r="AC310" s="11"/>
      <c r="AD310" s="11"/>
    </row>
    <row r="311" ht="15.75" customHeight="1">
      <c r="A311" s="6">
        <v>80102.0</v>
      </c>
      <c r="B311" s="6">
        <v>404.0</v>
      </c>
      <c r="C311" s="6">
        <v>170.55555924773216</v>
      </c>
      <c r="D311" s="6">
        <v>739.0</v>
      </c>
      <c r="E311" s="7">
        <f t="shared" si="1"/>
        <v>0.5466847091</v>
      </c>
      <c r="F311" s="7">
        <f t="shared" si="2"/>
        <v>0.4221672259</v>
      </c>
      <c r="G311" s="7">
        <f t="shared" si="3"/>
        <v>0.230792367</v>
      </c>
      <c r="H311" s="6">
        <v>2630.0</v>
      </c>
      <c r="I311" s="6">
        <v>1130.3333630859852</v>
      </c>
      <c r="J311" s="6">
        <v>4499.0</v>
      </c>
      <c r="K311" s="7">
        <f t="shared" si="4"/>
        <v>0.5845743499</v>
      </c>
      <c r="L311" s="7">
        <f t="shared" si="5"/>
        <v>0.4297845487</v>
      </c>
      <c r="M311" s="7">
        <f t="shared" si="6"/>
        <v>0.2512410231</v>
      </c>
      <c r="N311" s="7">
        <f t="shared" si="7"/>
        <v>1.08860196</v>
      </c>
      <c r="O311" s="8"/>
      <c r="P311" s="8"/>
      <c r="Q311" s="8"/>
      <c r="R311" s="8"/>
      <c r="S311" s="8"/>
      <c r="T311" s="8"/>
      <c r="U311" s="11"/>
      <c r="V311" s="11"/>
      <c r="W311" s="11"/>
      <c r="X311" s="8"/>
      <c r="Y311" s="8"/>
      <c r="Z311" s="8"/>
      <c r="AA311" s="11"/>
      <c r="AB311" s="11"/>
      <c r="AC311" s="11"/>
      <c r="AD311" s="11"/>
    </row>
    <row r="312" ht="15.75" customHeight="1">
      <c r="A312" s="6">
        <v>80201.0</v>
      </c>
      <c r="B312" s="6">
        <v>7202.0</v>
      </c>
      <c r="C312" s="6">
        <v>3144.4445238411427</v>
      </c>
      <c r="D312" s="6">
        <v>12514.0</v>
      </c>
      <c r="E312" s="7">
        <f t="shared" si="1"/>
        <v>0.5755154227</v>
      </c>
      <c r="F312" s="7">
        <f t="shared" si="2"/>
        <v>0.4366071263</v>
      </c>
      <c r="G312" s="7">
        <f t="shared" si="3"/>
        <v>0.2512741349</v>
      </c>
      <c r="H312" s="6">
        <v>51146.0</v>
      </c>
      <c r="I312" s="6">
        <v>22372.33390840888</v>
      </c>
      <c r="J312" s="6">
        <v>74389.0</v>
      </c>
      <c r="K312" s="7">
        <f t="shared" si="4"/>
        <v>0.6875478901</v>
      </c>
      <c r="L312" s="7">
        <f t="shared" si="5"/>
        <v>0.4374209891</v>
      </c>
      <c r="M312" s="7">
        <f t="shared" si="6"/>
        <v>0.3007478782</v>
      </c>
      <c r="N312" s="7">
        <f t="shared" si="7"/>
        <v>1.196891508</v>
      </c>
      <c r="O312" s="8"/>
      <c r="P312" s="8"/>
      <c r="Q312" s="8"/>
      <c r="R312" s="8"/>
      <c r="S312" s="8"/>
      <c r="T312" s="8"/>
      <c r="U312" s="11"/>
      <c r="V312" s="11"/>
      <c r="W312" s="11"/>
      <c r="X312" s="8"/>
      <c r="Y312" s="8"/>
      <c r="Z312" s="8"/>
      <c r="AA312" s="11"/>
      <c r="AB312" s="11"/>
      <c r="AC312" s="11"/>
      <c r="AD312" s="11"/>
    </row>
    <row r="313" ht="15.75" customHeight="1">
      <c r="A313" s="6">
        <v>80202.0</v>
      </c>
      <c r="B313" s="6">
        <v>2286.0</v>
      </c>
      <c r="C313" s="6">
        <v>943.4444684684277</v>
      </c>
      <c r="D313" s="6">
        <v>6427.0</v>
      </c>
      <c r="E313" s="7">
        <f t="shared" si="1"/>
        <v>0.3556869457</v>
      </c>
      <c r="F313" s="7">
        <f t="shared" si="2"/>
        <v>0.4127053668</v>
      </c>
      <c r="G313" s="7">
        <f t="shared" si="3"/>
        <v>0.1467939114</v>
      </c>
      <c r="H313" s="6">
        <v>12804.0</v>
      </c>
      <c r="I313" s="6">
        <v>5312.222357749939</v>
      </c>
      <c r="J313" s="6">
        <v>33759.0</v>
      </c>
      <c r="K313" s="7">
        <f t="shared" si="4"/>
        <v>0.3792766373</v>
      </c>
      <c r="L313" s="7">
        <f t="shared" si="5"/>
        <v>0.4148877193</v>
      </c>
      <c r="M313" s="7">
        <f t="shared" si="6"/>
        <v>0.157357219</v>
      </c>
      <c r="N313" s="7">
        <f t="shared" si="7"/>
        <v>1.071960121</v>
      </c>
      <c r="O313" s="8"/>
      <c r="P313" s="8"/>
      <c r="Q313" s="8"/>
      <c r="R313" s="8"/>
      <c r="S313" s="8"/>
      <c r="T313" s="8"/>
      <c r="U313" s="11"/>
      <c r="V313" s="11"/>
      <c r="W313" s="11"/>
      <c r="X313" s="8"/>
      <c r="Y313" s="8"/>
      <c r="Z313" s="8"/>
      <c r="AA313" s="11"/>
      <c r="AB313" s="11"/>
      <c r="AC313" s="11"/>
      <c r="AD313" s="11"/>
    </row>
    <row r="314" ht="15.75" customHeight="1">
      <c r="A314" s="6">
        <v>80301.0</v>
      </c>
      <c r="B314" s="6">
        <v>1375.0</v>
      </c>
      <c r="C314" s="6">
        <v>613.3333496451378</v>
      </c>
      <c r="D314" s="6">
        <v>2318.0</v>
      </c>
      <c r="E314" s="7">
        <f t="shared" si="1"/>
        <v>0.5931837791</v>
      </c>
      <c r="F314" s="7">
        <f t="shared" si="2"/>
        <v>0.4460606179</v>
      </c>
      <c r="G314" s="7">
        <f t="shared" si="3"/>
        <v>0.2645959231</v>
      </c>
      <c r="H314" s="6">
        <v>6949.0</v>
      </c>
      <c r="I314" s="6">
        <v>3066.1111919283867</v>
      </c>
      <c r="J314" s="6">
        <v>10594.0</v>
      </c>
      <c r="K314" s="7">
        <f t="shared" si="4"/>
        <v>0.655937323</v>
      </c>
      <c r="L314" s="7">
        <f t="shared" si="5"/>
        <v>0.4412305644</v>
      </c>
      <c r="M314" s="7">
        <f t="shared" si="6"/>
        <v>0.2894195952</v>
      </c>
      <c r="N314" s="7">
        <f t="shared" si="7"/>
        <v>1.093817289</v>
      </c>
      <c r="O314" s="8"/>
      <c r="P314" s="8"/>
      <c r="Q314" s="8"/>
      <c r="R314" s="8"/>
      <c r="S314" s="8"/>
      <c r="T314" s="8"/>
      <c r="U314" s="11"/>
      <c r="V314" s="11"/>
      <c r="W314" s="11"/>
      <c r="X314" s="8"/>
      <c r="Y314" s="8"/>
      <c r="Z314" s="8"/>
      <c r="AA314" s="11"/>
      <c r="AB314" s="11"/>
      <c r="AC314" s="11"/>
      <c r="AD314" s="11"/>
    </row>
    <row r="315" ht="15.75" customHeight="1">
      <c r="A315" s="6">
        <v>80302.0</v>
      </c>
      <c r="B315" s="6">
        <v>3506.0</v>
      </c>
      <c r="C315" s="6">
        <v>1845.2222703695297</v>
      </c>
      <c r="D315" s="6">
        <v>5826.0</v>
      </c>
      <c r="E315" s="7">
        <f t="shared" si="1"/>
        <v>0.6017851013</v>
      </c>
      <c r="F315" s="7">
        <f t="shared" si="2"/>
        <v>0.5263041273</v>
      </c>
      <c r="G315" s="7">
        <f t="shared" si="3"/>
        <v>0.3167219826</v>
      </c>
      <c r="H315" s="6">
        <v>20905.0</v>
      </c>
      <c r="I315" s="6">
        <v>11213.555827587843</v>
      </c>
      <c r="J315" s="6">
        <v>34102.0</v>
      </c>
      <c r="K315" s="7">
        <f t="shared" si="4"/>
        <v>0.6130138995</v>
      </c>
      <c r="L315" s="7">
        <f t="shared" si="5"/>
        <v>0.536405445</v>
      </c>
      <c r="M315" s="7">
        <f t="shared" si="6"/>
        <v>0.3288239935</v>
      </c>
      <c r="N315" s="7">
        <f t="shared" si="7"/>
        <v>1.038210202</v>
      </c>
      <c r="O315" s="8"/>
      <c r="P315" s="8"/>
      <c r="Q315" s="8"/>
      <c r="R315" s="8"/>
      <c r="S315" s="8"/>
      <c r="T315" s="8"/>
      <c r="U315" s="11"/>
      <c r="V315" s="11"/>
      <c r="W315" s="11"/>
      <c r="X315" s="8"/>
      <c r="Y315" s="8"/>
      <c r="Z315" s="8"/>
      <c r="AA315" s="11"/>
      <c r="AB315" s="11"/>
      <c r="AC315" s="11"/>
      <c r="AD315" s="11"/>
    </row>
    <row r="316" ht="15.75" customHeight="1">
      <c r="A316" s="6">
        <v>80303.0</v>
      </c>
      <c r="B316" s="6">
        <v>640.0</v>
      </c>
      <c r="C316" s="6">
        <v>281.5555622577667</v>
      </c>
      <c r="D316" s="6">
        <v>1392.0</v>
      </c>
      <c r="E316" s="7">
        <f t="shared" si="1"/>
        <v>0.4597701149</v>
      </c>
      <c r="F316" s="7">
        <f t="shared" si="2"/>
        <v>0.439930566</v>
      </c>
      <c r="G316" s="7">
        <f t="shared" si="3"/>
        <v>0.2022669269</v>
      </c>
      <c r="H316" s="6">
        <v>3669.0</v>
      </c>
      <c r="I316" s="6">
        <v>1565.7778177261353</v>
      </c>
      <c r="J316" s="6">
        <v>7905.0</v>
      </c>
      <c r="K316" s="7">
        <f t="shared" si="4"/>
        <v>0.4641366224</v>
      </c>
      <c r="L316" s="7">
        <f t="shared" si="5"/>
        <v>0.4267587402</v>
      </c>
      <c r="M316" s="7">
        <f t="shared" si="6"/>
        <v>0.1980743602</v>
      </c>
      <c r="N316" s="7">
        <f t="shared" si="7"/>
        <v>0.9792721097</v>
      </c>
      <c r="O316" s="8"/>
      <c r="P316" s="8"/>
      <c r="Q316" s="8"/>
      <c r="R316" s="8"/>
      <c r="S316" s="8"/>
      <c r="T316" s="8"/>
      <c r="U316" s="11"/>
      <c r="V316" s="11"/>
      <c r="W316" s="11"/>
      <c r="X316" s="8"/>
      <c r="Y316" s="8"/>
      <c r="Z316" s="8"/>
      <c r="AA316" s="11"/>
      <c r="AB316" s="11"/>
      <c r="AC316" s="11"/>
      <c r="AD316" s="11"/>
    </row>
    <row r="317" ht="15.75" customHeight="1">
      <c r="A317" s="6">
        <v>80304.0</v>
      </c>
      <c r="B317" s="6">
        <v>727.0</v>
      </c>
      <c r="C317" s="6">
        <v>323.55556413531303</v>
      </c>
      <c r="D317" s="6">
        <v>2228.0</v>
      </c>
      <c r="E317" s="7">
        <f t="shared" si="1"/>
        <v>0.3263016158</v>
      </c>
      <c r="F317" s="7">
        <f t="shared" si="2"/>
        <v>0.4450557966</v>
      </c>
      <c r="G317" s="7">
        <f t="shared" si="3"/>
        <v>0.1452224256</v>
      </c>
      <c r="H317" s="6">
        <v>5835.0</v>
      </c>
      <c r="I317" s="6">
        <v>2723.88895753026</v>
      </c>
      <c r="J317" s="6">
        <v>16079.0</v>
      </c>
      <c r="K317" s="7">
        <f t="shared" si="4"/>
        <v>0.3628957025</v>
      </c>
      <c r="L317" s="7">
        <f t="shared" si="5"/>
        <v>0.4668190159</v>
      </c>
      <c r="M317" s="7">
        <f t="shared" si="6"/>
        <v>0.1694066147</v>
      </c>
      <c r="N317" s="7">
        <f t="shared" si="7"/>
        <v>1.166532056</v>
      </c>
      <c r="O317" s="8"/>
      <c r="P317" s="8"/>
      <c r="Q317" s="8"/>
      <c r="R317" s="8"/>
      <c r="S317" s="8"/>
      <c r="T317" s="8"/>
      <c r="U317" s="11"/>
      <c r="V317" s="11"/>
      <c r="W317" s="11"/>
      <c r="X317" s="8"/>
      <c r="Y317" s="8"/>
      <c r="Z317" s="8"/>
      <c r="AA317" s="11"/>
      <c r="AB317" s="11"/>
      <c r="AC317" s="11"/>
      <c r="AD317" s="11"/>
    </row>
    <row r="318" ht="15.75" customHeight="1">
      <c r="A318" s="6">
        <v>80401.0</v>
      </c>
      <c r="B318" s="6">
        <v>1232.0</v>
      </c>
      <c r="C318" s="6">
        <v>550.3333470225334</v>
      </c>
      <c r="D318" s="6">
        <v>3243.0</v>
      </c>
      <c r="E318" s="7">
        <f t="shared" si="1"/>
        <v>0.3798951588</v>
      </c>
      <c r="F318" s="7">
        <f t="shared" si="2"/>
        <v>0.4466991453</v>
      </c>
      <c r="G318" s="7">
        <f t="shared" si="3"/>
        <v>0.1696988427</v>
      </c>
      <c r="H318" s="6">
        <v>5592.0</v>
      </c>
      <c r="I318" s="6">
        <v>2519.000063210726</v>
      </c>
      <c r="J318" s="6">
        <v>13332.0</v>
      </c>
      <c r="K318" s="7">
        <f t="shared" si="4"/>
        <v>0.4194419442</v>
      </c>
      <c r="L318" s="7">
        <f t="shared" si="5"/>
        <v>0.4504649612</v>
      </c>
      <c r="M318" s="7">
        <f t="shared" si="6"/>
        <v>0.1889438991</v>
      </c>
      <c r="N318" s="7">
        <f t="shared" si="7"/>
        <v>1.113407116</v>
      </c>
      <c r="O318" s="8"/>
      <c r="P318" s="8"/>
      <c r="Q318" s="8"/>
      <c r="R318" s="8"/>
      <c r="S318" s="8"/>
      <c r="T318" s="8"/>
      <c r="U318" s="11"/>
      <c r="V318" s="11"/>
      <c r="W318" s="11"/>
      <c r="X318" s="8"/>
      <c r="Y318" s="8"/>
      <c r="Z318" s="8"/>
      <c r="AA318" s="11"/>
      <c r="AB318" s="11"/>
      <c r="AC318" s="11"/>
      <c r="AD318" s="11"/>
    </row>
    <row r="319" ht="15.75" customHeight="1">
      <c r="A319" s="6">
        <v>80402.0</v>
      </c>
      <c r="B319" s="6">
        <v>602.0</v>
      </c>
      <c r="C319" s="6">
        <v>292.44445264339447</v>
      </c>
      <c r="D319" s="6">
        <v>908.0</v>
      </c>
      <c r="E319" s="7">
        <f t="shared" si="1"/>
        <v>0.6629955947</v>
      </c>
      <c r="F319" s="7">
        <f t="shared" si="2"/>
        <v>0.4857881273</v>
      </c>
      <c r="G319" s="7">
        <f t="shared" si="3"/>
        <v>0.3220753884</v>
      </c>
      <c r="H319" s="6">
        <v>3758.0</v>
      </c>
      <c r="I319" s="6">
        <v>1805.4444912672043</v>
      </c>
      <c r="J319" s="6">
        <v>5088.0</v>
      </c>
      <c r="K319" s="7">
        <f t="shared" si="4"/>
        <v>0.7386006289</v>
      </c>
      <c r="L319" s="7">
        <f t="shared" si="5"/>
        <v>0.4804269535</v>
      </c>
      <c r="M319" s="7">
        <f t="shared" si="6"/>
        <v>0.35484365</v>
      </c>
      <c r="N319" s="7">
        <f t="shared" si="7"/>
        <v>1.101740968</v>
      </c>
      <c r="O319" s="8"/>
      <c r="P319" s="8"/>
      <c r="Q319" s="8"/>
      <c r="R319" s="8"/>
      <c r="S319" s="8"/>
      <c r="T319" s="8"/>
      <c r="U319" s="11"/>
      <c r="V319" s="11"/>
      <c r="W319" s="11"/>
      <c r="X319" s="8"/>
      <c r="Y319" s="8"/>
      <c r="Z319" s="8"/>
      <c r="AA319" s="11"/>
      <c r="AB319" s="11"/>
      <c r="AC319" s="11"/>
      <c r="AD319" s="11"/>
    </row>
    <row r="320" ht="15.75" customHeight="1">
      <c r="A320" s="6">
        <v>80501.0</v>
      </c>
      <c r="B320" s="6">
        <v>2092.0</v>
      </c>
      <c r="C320" s="6">
        <v>964.2222490310669</v>
      </c>
      <c r="D320" s="6">
        <v>3052.0</v>
      </c>
      <c r="E320" s="7">
        <f t="shared" si="1"/>
        <v>0.6854521625</v>
      </c>
      <c r="F320" s="7">
        <f t="shared" si="2"/>
        <v>0.4609092969</v>
      </c>
      <c r="G320" s="7">
        <f t="shared" si="3"/>
        <v>0.3159312743</v>
      </c>
      <c r="H320" s="6">
        <v>10532.0</v>
      </c>
      <c r="I320" s="6">
        <v>4940.889014035463</v>
      </c>
      <c r="J320" s="6">
        <v>15665.0</v>
      </c>
      <c r="K320" s="7">
        <f t="shared" si="4"/>
        <v>0.6723268433</v>
      </c>
      <c r="L320" s="7">
        <f t="shared" si="5"/>
        <v>0.4691311255</v>
      </c>
      <c r="M320" s="7">
        <f t="shared" si="6"/>
        <v>0.3154094487</v>
      </c>
      <c r="N320" s="7">
        <f t="shared" si="7"/>
        <v>0.9983482941</v>
      </c>
      <c r="O320" s="8"/>
      <c r="P320" s="8"/>
      <c r="Q320" s="8"/>
      <c r="R320" s="8"/>
      <c r="S320" s="8"/>
      <c r="T320" s="8"/>
      <c r="U320" s="11"/>
      <c r="V320" s="11"/>
      <c r="W320" s="11"/>
      <c r="X320" s="8"/>
      <c r="Y320" s="8"/>
      <c r="Z320" s="8"/>
      <c r="AA320" s="11"/>
      <c r="AB320" s="11"/>
      <c r="AC320" s="11"/>
      <c r="AD320" s="11"/>
    </row>
    <row r="321" ht="15.75" customHeight="1">
      <c r="A321" s="6">
        <v>80601.0</v>
      </c>
      <c r="B321" s="6">
        <v>294.0</v>
      </c>
      <c r="C321" s="6">
        <v>141.44444838166237</v>
      </c>
      <c r="D321" s="6">
        <v>477.0</v>
      </c>
      <c r="E321" s="7">
        <f t="shared" si="1"/>
        <v>0.6163522013</v>
      </c>
      <c r="F321" s="7">
        <f t="shared" si="2"/>
        <v>0.4811035659</v>
      </c>
      <c r="G321" s="7">
        <f t="shared" si="3"/>
        <v>0.2965292419</v>
      </c>
      <c r="H321" s="6">
        <v>2190.0</v>
      </c>
      <c r="I321" s="6">
        <v>1066.7778050601482</v>
      </c>
      <c r="J321" s="6">
        <v>3251.0</v>
      </c>
      <c r="K321" s="7">
        <f t="shared" si="4"/>
        <v>0.6736388803</v>
      </c>
      <c r="L321" s="7">
        <f t="shared" si="5"/>
        <v>0.487113153</v>
      </c>
      <c r="M321" s="7">
        <f t="shared" si="6"/>
        <v>0.328138359</v>
      </c>
      <c r="N321" s="7">
        <f t="shared" si="7"/>
        <v>1.106596965</v>
      </c>
      <c r="O321" s="8"/>
      <c r="P321" s="8"/>
      <c r="Q321" s="8"/>
      <c r="R321" s="8"/>
      <c r="S321" s="8"/>
      <c r="T321" s="8"/>
      <c r="U321" s="11"/>
      <c r="V321" s="11"/>
      <c r="W321" s="11"/>
      <c r="X321" s="8"/>
      <c r="Y321" s="8"/>
      <c r="Z321" s="8"/>
      <c r="AA321" s="11"/>
      <c r="AB321" s="11"/>
      <c r="AC321" s="11"/>
      <c r="AD321" s="11"/>
    </row>
    <row r="322" ht="15.75" customHeight="1">
      <c r="A322" s="6">
        <v>80602.0</v>
      </c>
      <c r="B322" s="6">
        <v>834.0</v>
      </c>
      <c r="C322" s="6">
        <v>377.55556577444077</v>
      </c>
      <c r="D322" s="6">
        <v>1504.0</v>
      </c>
      <c r="E322" s="7">
        <f t="shared" si="1"/>
        <v>0.5545212766</v>
      </c>
      <c r="F322" s="7">
        <f t="shared" si="2"/>
        <v>0.4527045153</v>
      </c>
      <c r="G322" s="7">
        <f t="shared" si="3"/>
        <v>0.2510342858</v>
      </c>
      <c r="H322" s="6">
        <v>5289.0</v>
      </c>
      <c r="I322" s="6">
        <v>2286.8889461159706</v>
      </c>
      <c r="J322" s="6">
        <v>10288.0</v>
      </c>
      <c r="K322" s="7">
        <f t="shared" si="4"/>
        <v>0.5140940902</v>
      </c>
      <c r="L322" s="7">
        <f t="shared" si="5"/>
        <v>0.4323858851</v>
      </c>
      <c r="M322" s="7">
        <f t="shared" si="6"/>
        <v>0.2222870282</v>
      </c>
      <c r="N322" s="7">
        <f t="shared" si="7"/>
        <v>0.8854847358</v>
      </c>
      <c r="O322" s="8"/>
      <c r="P322" s="8"/>
      <c r="Q322" s="8"/>
      <c r="R322" s="8"/>
      <c r="S322" s="8"/>
      <c r="T322" s="8"/>
      <c r="U322" s="11"/>
      <c r="V322" s="11"/>
      <c r="W322" s="11"/>
      <c r="X322" s="8"/>
      <c r="Y322" s="8"/>
      <c r="Z322" s="8"/>
      <c r="AA322" s="11"/>
      <c r="AB322" s="11"/>
      <c r="AC322" s="11"/>
      <c r="AD322" s="11"/>
    </row>
    <row r="323" ht="15.75" customHeight="1">
      <c r="A323" s="6">
        <v>80701.0</v>
      </c>
      <c r="B323" s="6">
        <v>575.0</v>
      </c>
      <c r="C323" s="6">
        <v>249.88889518380165</v>
      </c>
      <c r="D323" s="6">
        <v>1266.0</v>
      </c>
      <c r="E323" s="7">
        <f t="shared" si="1"/>
        <v>0.4541864139</v>
      </c>
      <c r="F323" s="7">
        <f t="shared" si="2"/>
        <v>0.4345893829</v>
      </c>
      <c r="G323" s="7">
        <f t="shared" si="3"/>
        <v>0.1973845934</v>
      </c>
      <c r="H323" s="6">
        <v>2926.0</v>
      </c>
      <c r="I323" s="6">
        <v>1232.2222528457642</v>
      </c>
      <c r="J323" s="6">
        <v>5252.0</v>
      </c>
      <c r="K323" s="7">
        <f t="shared" si="4"/>
        <v>0.5571210967</v>
      </c>
      <c r="L323" s="7">
        <f t="shared" si="5"/>
        <v>0.4211285895</v>
      </c>
      <c r="M323" s="7">
        <f t="shared" si="6"/>
        <v>0.2346196216</v>
      </c>
      <c r="N323" s="7">
        <f t="shared" si="7"/>
        <v>1.188642019</v>
      </c>
      <c r="O323" s="8"/>
      <c r="P323" s="8"/>
      <c r="Q323" s="8"/>
      <c r="R323" s="8"/>
      <c r="S323" s="8"/>
      <c r="T323" s="8"/>
      <c r="U323" s="11"/>
      <c r="V323" s="11"/>
      <c r="W323" s="11"/>
      <c r="X323" s="8"/>
      <c r="Y323" s="8"/>
      <c r="Z323" s="8"/>
      <c r="AA323" s="11"/>
      <c r="AB323" s="11"/>
      <c r="AC323" s="11"/>
      <c r="AD323" s="11"/>
    </row>
    <row r="324" ht="15.75" customHeight="1">
      <c r="A324" s="6">
        <v>80702.0</v>
      </c>
      <c r="B324" s="6">
        <v>410.0</v>
      </c>
      <c r="C324" s="6">
        <v>167.44444876909256</v>
      </c>
      <c r="D324" s="6">
        <v>886.0</v>
      </c>
      <c r="E324" s="7">
        <f t="shared" si="1"/>
        <v>0.4627539503</v>
      </c>
      <c r="F324" s="7">
        <f t="shared" si="2"/>
        <v>0.4084010946</v>
      </c>
      <c r="G324" s="7">
        <f t="shared" si="3"/>
        <v>0.1889892198</v>
      </c>
      <c r="H324" s="6">
        <v>1767.0</v>
      </c>
      <c r="I324" s="6">
        <v>756.2222412526608</v>
      </c>
      <c r="J324" s="6">
        <v>3878.0</v>
      </c>
      <c r="K324" s="7">
        <f t="shared" si="4"/>
        <v>0.4556472408</v>
      </c>
      <c r="L324" s="7">
        <f t="shared" si="5"/>
        <v>0.4279695763</v>
      </c>
      <c r="M324" s="7">
        <f t="shared" si="6"/>
        <v>0.1950031566</v>
      </c>
      <c r="N324" s="7">
        <f t="shared" si="7"/>
        <v>1.031821586</v>
      </c>
      <c r="O324" s="8"/>
      <c r="P324" s="8"/>
      <c r="Q324" s="8"/>
      <c r="R324" s="8"/>
      <c r="S324" s="8"/>
      <c r="T324" s="8"/>
      <c r="U324" s="11"/>
      <c r="V324" s="11"/>
      <c r="W324" s="11"/>
      <c r="X324" s="8"/>
      <c r="Y324" s="8"/>
      <c r="Z324" s="8"/>
      <c r="AA324" s="11"/>
      <c r="AB324" s="11"/>
      <c r="AC324" s="11"/>
      <c r="AD324" s="11"/>
    </row>
    <row r="325" ht="15.75" customHeight="1">
      <c r="A325" s="6">
        <v>80703.0</v>
      </c>
      <c r="B325" s="6">
        <v>46.0</v>
      </c>
      <c r="C325" s="6">
        <v>22.555556297302246</v>
      </c>
      <c r="D325" s="6">
        <v>107.0</v>
      </c>
      <c r="E325" s="7">
        <f t="shared" si="1"/>
        <v>0.4299065421</v>
      </c>
      <c r="F325" s="7">
        <f t="shared" si="2"/>
        <v>0.4903381804</v>
      </c>
      <c r="G325" s="7">
        <f t="shared" si="3"/>
        <v>0.2107995916</v>
      </c>
      <c r="H325" s="6">
        <v>362.0</v>
      </c>
      <c r="I325" s="6">
        <v>154.77778175473213</v>
      </c>
      <c r="J325" s="6">
        <v>728.0</v>
      </c>
      <c r="K325" s="7">
        <f t="shared" si="4"/>
        <v>0.4972527473</v>
      </c>
      <c r="L325" s="7">
        <f t="shared" si="5"/>
        <v>0.427562933</v>
      </c>
      <c r="M325" s="7">
        <f t="shared" si="6"/>
        <v>0.2126068431</v>
      </c>
      <c r="N325" s="7">
        <f t="shared" si="7"/>
        <v>1.008573316</v>
      </c>
      <c r="O325" s="8"/>
      <c r="P325" s="8"/>
      <c r="Q325" s="8"/>
      <c r="R325" s="8"/>
      <c r="S325" s="8"/>
      <c r="T325" s="8"/>
      <c r="U325" s="11"/>
      <c r="V325" s="11"/>
      <c r="W325" s="11"/>
      <c r="X325" s="8"/>
      <c r="Y325" s="8"/>
      <c r="Z325" s="8"/>
      <c r="AA325" s="11"/>
      <c r="AB325" s="11"/>
      <c r="AC325" s="11"/>
      <c r="AD325" s="11"/>
    </row>
    <row r="326" ht="15.75" customHeight="1">
      <c r="A326" s="6">
        <v>80801.0</v>
      </c>
      <c r="B326" s="6">
        <v>1408.0</v>
      </c>
      <c r="C326" s="6">
        <v>603.4444594979286</v>
      </c>
      <c r="D326" s="6">
        <v>2540.0</v>
      </c>
      <c r="E326" s="7">
        <f t="shared" si="1"/>
        <v>0.5543307087</v>
      </c>
      <c r="F326" s="7">
        <f t="shared" si="2"/>
        <v>0.4285827127</v>
      </c>
      <c r="G326" s="7">
        <f t="shared" si="3"/>
        <v>0.2375765589</v>
      </c>
      <c r="H326" s="6">
        <v>5065.0</v>
      </c>
      <c r="I326" s="6">
        <v>2179.888942718506</v>
      </c>
      <c r="J326" s="6">
        <v>8513.0</v>
      </c>
      <c r="K326" s="7">
        <f t="shared" si="4"/>
        <v>0.5949723952</v>
      </c>
      <c r="L326" s="7">
        <f t="shared" si="5"/>
        <v>0.430382812</v>
      </c>
      <c r="M326" s="7">
        <f t="shared" si="6"/>
        <v>0.2560658925</v>
      </c>
      <c r="N326" s="7">
        <f t="shared" si="7"/>
        <v>1.077824739</v>
      </c>
      <c r="O326" s="8"/>
      <c r="P326" s="8"/>
      <c r="Q326" s="8"/>
      <c r="R326" s="8"/>
      <c r="S326" s="8"/>
      <c r="T326" s="8"/>
      <c r="U326" s="11"/>
      <c r="V326" s="11"/>
      <c r="W326" s="11"/>
      <c r="X326" s="8"/>
      <c r="Y326" s="8"/>
      <c r="Z326" s="8"/>
      <c r="AA326" s="11"/>
      <c r="AB326" s="11"/>
      <c r="AC326" s="11"/>
      <c r="AD326" s="11"/>
    </row>
    <row r="327" ht="15.75" customHeight="1">
      <c r="A327" s="6">
        <v>80802.0</v>
      </c>
      <c r="B327" s="6">
        <v>391.0</v>
      </c>
      <c r="C327" s="6">
        <v>163.00000321865082</v>
      </c>
      <c r="D327" s="6">
        <v>933.0</v>
      </c>
      <c r="E327" s="7">
        <f t="shared" si="1"/>
        <v>0.4190782422</v>
      </c>
      <c r="F327" s="7">
        <f t="shared" si="2"/>
        <v>0.4168798036</v>
      </c>
      <c r="G327" s="7">
        <f t="shared" si="3"/>
        <v>0.1747052553</v>
      </c>
      <c r="H327" s="6">
        <v>2313.0</v>
      </c>
      <c r="I327" s="6">
        <v>966.4444680809975</v>
      </c>
      <c r="J327" s="6">
        <v>4531.0</v>
      </c>
      <c r="K327" s="7">
        <f t="shared" si="4"/>
        <v>0.510483337</v>
      </c>
      <c r="L327" s="7">
        <f t="shared" si="5"/>
        <v>0.4178315902</v>
      </c>
      <c r="M327" s="7">
        <f t="shared" si="6"/>
        <v>0.2132960645</v>
      </c>
      <c r="N327" s="7">
        <f t="shared" si="7"/>
        <v>1.220890946</v>
      </c>
      <c r="O327" s="8"/>
      <c r="P327" s="8"/>
      <c r="Q327" s="8"/>
      <c r="R327" s="8"/>
      <c r="S327" s="8"/>
      <c r="T327" s="8"/>
      <c r="U327" s="11"/>
      <c r="V327" s="11"/>
      <c r="W327" s="11"/>
      <c r="X327" s="8"/>
      <c r="Y327" s="8"/>
      <c r="Z327" s="8"/>
      <c r="AA327" s="11"/>
      <c r="AB327" s="11"/>
      <c r="AC327" s="11"/>
      <c r="AD327" s="11"/>
    </row>
    <row r="328" ht="15.75" customHeight="1">
      <c r="A328" s="6">
        <v>80803.0</v>
      </c>
      <c r="B328" s="6">
        <v>462.0</v>
      </c>
      <c r="C328" s="6">
        <v>192.33333784341812</v>
      </c>
      <c r="D328" s="6">
        <v>854.0</v>
      </c>
      <c r="E328" s="7">
        <f t="shared" si="1"/>
        <v>0.5409836066</v>
      </c>
      <c r="F328" s="7">
        <f t="shared" si="2"/>
        <v>0.4163059261</v>
      </c>
      <c r="G328" s="7">
        <f t="shared" si="3"/>
        <v>0.2252146813</v>
      </c>
      <c r="H328" s="6">
        <v>1629.0</v>
      </c>
      <c r="I328" s="6">
        <v>719.1111308932304</v>
      </c>
      <c r="J328" s="6">
        <v>3155.0</v>
      </c>
      <c r="K328" s="7">
        <f t="shared" si="4"/>
        <v>0.5163232964</v>
      </c>
      <c r="L328" s="7">
        <f t="shared" si="5"/>
        <v>0.441443297</v>
      </c>
      <c r="M328" s="7">
        <f t="shared" si="6"/>
        <v>0.2279274583</v>
      </c>
      <c r="N328" s="7">
        <f t="shared" si="7"/>
        <v>1.012045294</v>
      </c>
      <c r="O328" s="8"/>
      <c r="P328" s="8"/>
      <c r="Q328" s="8"/>
      <c r="R328" s="8"/>
      <c r="S328" s="8"/>
      <c r="T328" s="8"/>
      <c r="U328" s="11"/>
      <c r="V328" s="11"/>
      <c r="W328" s="11"/>
      <c r="X328" s="8"/>
      <c r="Y328" s="8"/>
      <c r="Z328" s="8"/>
      <c r="AA328" s="11"/>
      <c r="AB328" s="11"/>
      <c r="AC328" s="11"/>
      <c r="AD328" s="11"/>
    </row>
    <row r="329" ht="15.75" customHeight="1">
      <c r="A329" s="6">
        <v>80901.0</v>
      </c>
      <c r="B329" s="6">
        <v>307.0</v>
      </c>
      <c r="C329" s="6">
        <v>146.2222258746624</v>
      </c>
      <c r="D329" s="6">
        <v>343.0</v>
      </c>
      <c r="E329" s="7">
        <f t="shared" si="1"/>
        <v>0.8950437318</v>
      </c>
      <c r="F329" s="7">
        <f t="shared" si="2"/>
        <v>0.4762938954</v>
      </c>
      <c r="G329" s="7">
        <f t="shared" si="3"/>
        <v>0.4263038655</v>
      </c>
      <c r="H329" s="6">
        <v>2478.0</v>
      </c>
      <c r="I329" s="6">
        <v>1305.222254961729</v>
      </c>
      <c r="J329" s="6">
        <v>2809.0</v>
      </c>
      <c r="K329" s="7">
        <f t="shared" si="4"/>
        <v>0.8821644713</v>
      </c>
      <c r="L329" s="7">
        <f t="shared" si="5"/>
        <v>0.5267240738</v>
      </c>
      <c r="M329" s="7">
        <f t="shared" si="6"/>
        <v>0.4646572641</v>
      </c>
      <c r="N329" s="7">
        <f t="shared" si="7"/>
        <v>1.089967279</v>
      </c>
      <c r="O329" s="8"/>
      <c r="P329" s="8"/>
      <c r="Q329" s="8"/>
      <c r="R329" s="8"/>
      <c r="S329" s="8"/>
      <c r="T329" s="8"/>
      <c r="U329" s="11"/>
      <c r="V329" s="11"/>
      <c r="W329" s="11"/>
      <c r="X329" s="8"/>
      <c r="Y329" s="8"/>
      <c r="Z329" s="8"/>
      <c r="AA329" s="11"/>
      <c r="AB329" s="11"/>
      <c r="AC329" s="11"/>
      <c r="AD329" s="11"/>
    </row>
    <row r="330" ht="15.75" customHeight="1">
      <c r="A330" s="6">
        <v>90101.0</v>
      </c>
      <c r="B330" s="6">
        <v>881.0</v>
      </c>
      <c r="C330" s="6">
        <v>368.11112055182457</v>
      </c>
      <c r="D330" s="6">
        <v>3920.0</v>
      </c>
      <c r="E330" s="7">
        <f t="shared" si="1"/>
        <v>0.224744898</v>
      </c>
      <c r="F330" s="7">
        <f t="shared" si="2"/>
        <v>0.417833281</v>
      </c>
      <c r="G330" s="7">
        <f t="shared" si="3"/>
        <v>0.0939058981</v>
      </c>
      <c r="H330" s="6">
        <v>10946.0</v>
      </c>
      <c r="I330" s="6">
        <v>4533.111223578453</v>
      </c>
      <c r="J330" s="6">
        <v>39696.0</v>
      </c>
      <c r="K330" s="7">
        <f t="shared" si="4"/>
        <v>0.2757456671</v>
      </c>
      <c r="L330" s="7">
        <f t="shared" si="5"/>
        <v>0.414134042</v>
      </c>
      <c r="M330" s="7">
        <f t="shared" si="6"/>
        <v>0.1141956677</v>
      </c>
      <c r="N330" s="7">
        <f t="shared" si="7"/>
        <v>1.216064912</v>
      </c>
      <c r="O330" s="8"/>
      <c r="P330" s="8"/>
      <c r="Q330" s="8"/>
      <c r="R330" s="8"/>
      <c r="S330" s="8"/>
      <c r="T330" s="8"/>
      <c r="U330" s="11"/>
      <c r="V330" s="11"/>
      <c r="W330" s="11"/>
      <c r="X330" s="8"/>
      <c r="Y330" s="8"/>
      <c r="Z330" s="8"/>
      <c r="AA330" s="11"/>
      <c r="AB330" s="11"/>
      <c r="AC330" s="11"/>
      <c r="AD330" s="11"/>
    </row>
    <row r="331" ht="15.75" customHeight="1">
      <c r="A331" s="6">
        <v>90102.0</v>
      </c>
      <c r="B331" s="6">
        <v>295.0</v>
      </c>
      <c r="C331" s="6">
        <v>115.22222453355789</v>
      </c>
      <c r="D331" s="6">
        <v>948.0</v>
      </c>
      <c r="E331" s="7">
        <f t="shared" si="1"/>
        <v>0.3111814346</v>
      </c>
      <c r="F331" s="7">
        <f t="shared" si="2"/>
        <v>0.390583812</v>
      </c>
      <c r="G331" s="7">
        <f t="shared" si="3"/>
        <v>0.1215424309</v>
      </c>
      <c r="H331" s="6">
        <v>2706.0</v>
      </c>
      <c r="I331" s="6">
        <v>1163.7778072953224</v>
      </c>
      <c r="J331" s="6">
        <v>6705.0</v>
      </c>
      <c r="K331" s="7">
        <f t="shared" si="4"/>
        <v>0.4035794183</v>
      </c>
      <c r="L331" s="7">
        <f t="shared" si="5"/>
        <v>0.4300730995</v>
      </c>
      <c r="M331" s="7">
        <f t="shared" si="6"/>
        <v>0.1735686513</v>
      </c>
      <c r="N331" s="7">
        <f t="shared" si="7"/>
        <v>1.428049859</v>
      </c>
      <c r="O331" s="8"/>
      <c r="P331" s="8"/>
      <c r="Q331" s="8"/>
      <c r="R331" s="8"/>
      <c r="S331" s="8"/>
      <c r="T331" s="8"/>
      <c r="U331" s="11"/>
      <c r="V331" s="11"/>
      <c r="W331" s="11"/>
      <c r="X331" s="8"/>
      <c r="Y331" s="8"/>
      <c r="Z331" s="8"/>
      <c r="AA331" s="11"/>
      <c r="AB331" s="11"/>
      <c r="AC331" s="11"/>
      <c r="AD331" s="11"/>
    </row>
    <row r="332" ht="15.75" customHeight="1">
      <c r="A332" s="6">
        <v>90103.0</v>
      </c>
      <c r="B332" s="6">
        <v>164.0</v>
      </c>
      <c r="C332" s="6">
        <v>86.55555754899979</v>
      </c>
      <c r="D332" s="6">
        <v>227.0</v>
      </c>
      <c r="E332" s="7">
        <f t="shared" si="1"/>
        <v>0.7224669604</v>
      </c>
      <c r="F332" s="7">
        <f t="shared" si="2"/>
        <v>0.5277777899</v>
      </c>
      <c r="G332" s="7">
        <f t="shared" si="3"/>
        <v>0.3813020156</v>
      </c>
      <c r="H332" s="6">
        <v>1409.0</v>
      </c>
      <c r="I332" s="6">
        <v>659.1111285090446</v>
      </c>
      <c r="J332" s="6">
        <v>1831.0</v>
      </c>
      <c r="K332" s="7">
        <f t="shared" si="4"/>
        <v>0.7695248498</v>
      </c>
      <c r="L332" s="7">
        <f t="shared" si="5"/>
        <v>0.4677864645</v>
      </c>
      <c r="M332" s="7">
        <f t="shared" si="6"/>
        <v>0.3599733089</v>
      </c>
      <c r="N332" s="7">
        <f t="shared" si="7"/>
        <v>0.9440634827</v>
      </c>
      <c r="O332" s="8"/>
      <c r="P332" s="8"/>
      <c r="Q332" s="8"/>
      <c r="R332" s="8"/>
      <c r="S332" s="8"/>
      <c r="T332" s="8"/>
      <c r="U332" s="11"/>
      <c r="V332" s="11"/>
      <c r="W332" s="11"/>
      <c r="X332" s="8"/>
      <c r="Y332" s="8"/>
      <c r="Z332" s="8"/>
      <c r="AA332" s="11"/>
      <c r="AB332" s="11"/>
      <c r="AC332" s="11"/>
      <c r="AD332" s="11"/>
    </row>
    <row r="333" ht="15.75" customHeight="1">
      <c r="A333" s="6">
        <v>90104.0</v>
      </c>
      <c r="B333" s="6">
        <v>237.0</v>
      </c>
      <c r="C333" s="6">
        <v>108.44444757699966</v>
      </c>
      <c r="D333" s="6">
        <v>321.0</v>
      </c>
      <c r="E333" s="7">
        <f t="shared" si="1"/>
        <v>0.738317757</v>
      </c>
      <c r="F333" s="7">
        <f t="shared" si="2"/>
        <v>0.4575715088</v>
      </c>
      <c r="G333" s="7">
        <f t="shared" si="3"/>
        <v>0.33783317</v>
      </c>
      <c r="H333" s="6">
        <v>1937.0</v>
      </c>
      <c r="I333" s="6">
        <v>916.4444697201252</v>
      </c>
      <c r="J333" s="6">
        <v>3229.0</v>
      </c>
      <c r="K333" s="7">
        <f t="shared" si="4"/>
        <v>0.5998761226</v>
      </c>
      <c r="L333" s="7">
        <f t="shared" si="5"/>
        <v>0.4731256942</v>
      </c>
      <c r="M333" s="7">
        <f t="shared" si="6"/>
        <v>0.283816807</v>
      </c>
      <c r="N333" s="7">
        <f t="shared" si="7"/>
        <v>0.8401093562</v>
      </c>
      <c r="O333" s="8"/>
      <c r="P333" s="8"/>
      <c r="Q333" s="8"/>
      <c r="R333" s="8"/>
      <c r="S333" s="8"/>
      <c r="T333" s="8"/>
      <c r="U333" s="11"/>
      <c r="V333" s="11"/>
      <c r="W333" s="11"/>
      <c r="X333" s="8"/>
      <c r="Y333" s="8"/>
      <c r="Z333" s="8"/>
      <c r="AA333" s="11"/>
      <c r="AB333" s="11"/>
      <c r="AC333" s="11"/>
      <c r="AD333" s="11"/>
    </row>
    <row r="334" ht="15.75" customHeight="1">
      <c r="A334" s="6">
        <v>90201.0</v>
      </c>
      <c r="B334" s="6">
        <v>231.0</v>
      </c>
      <c r="C334" s="6">
        <v>96.6666693687439</v>
      </c>
      <c r="D334" s="6">
        <v>622.0</v>
      </c>
      <c r="E334" s="7">
        <f t="shared" si="1"/>
        <v>0.3713826367</v>
      </c>
      <c r="F334" s="7">
        <f t="shared" si="2"/>
        <v>0.4184704302</v>
      </c>
      <c r="G334" s="7">
        <f t="shared" si="3"/>
        <v>0.1554126517</v>
      </c>
      <c r="H334" s="6">
        <v>2585.0</v>
      </c>
      <c r="I334" s="6">
        <v>1139.3333613872528</v>
      </c>
      <c r="J334" s="6">
        <v>5017.0</v>
      </c>
      <c r="K334" s="7">
        <f t="shared" si="4"/>
        <v>0.5152481563</v>
      </c>
      <c r="L334" s="7">
        <f t="shared" si="5"/>
        <v>0.4407479154</v>
      </c>
      <c r="M334" s="7">
        <f t="shared" si="6"/>
        <v>0.2270945508</v>
      </c>
      <c r="N334" s="7">
        <f t="shared" si="7"/>
        <v>1.461235931</v>
      </c>
      <c r="O334" s="8"/>
      <c r="P334" s="8"/>
      <c r="Q334" s="8"/>
      <c r="R334" s="8"/>
      <c r="S334" s="8"/>
      <c r="T334" s="8"/>
      <c r="U334" s="11"/>
      <c r="V334" s="11"/>
      <c r="W334" s="11"/>
      <c r="X334" s="8"/>
      <c r="Y334" s="8"/>
      <c r="Z334" s="8"/>
      <c r="AA334" s="11"/>
      <c r="AB334" s="11"/>
      <c r="AC334" s="11"/>
      <c r="AD334" s="11"/>
    </row>
    <row r="335" ht="15.75" customHeight="1">
      <c r="A335" s="6">
        <v>90202.0</v>
      </c>
      <c r="B335" s="6">
        <v>189.0</v>
      </c>
      <c r="C335" s="6">
        <v>97.77778032422066</v>
      </c>
      <c r="D335" s="6">
        <v>199.0</v>
      </c>
      <c r="E335" s="7">
        <f t="shared" si="1"/>
        <v>0.9497487437</v>
      </c>
      <c r="F335" s="7">
        <f t="shared" si="2"/>
        <v>0.517342753</v>
      </c>
      <c r="G335" s="7">
        <f t="shared" si="3"/>
        <v>0.4913456298</v>
      </c>
      <c r="H335" s="6">
        <v>2570.0</v>
      </c>
      <c r="I335" s="6">
        <v>1313.0000374913216</v>
      </c>
      <c r="J335" s="6">
        <v>2788.0</v>
      </c>
      <c r="K335" s="7">
        <f t="shared" si="4"/>
        <v>0.9218077475</v>
      </c>
      <c r="L335" s="7">
        <f t="shared" si="5"/>
        <v>0.5108949562</v>
      </c>
      <c r="M335" s="7">
        <f t="shared" si="6"/>
        <v>0.4709469288</v>
      </c>
      <c r="N335" s="7">
        <f t="shared" si="7"/>
        <v>0.9584840085</v>
      </c>
      <c r="O335" s="8"/>
      <c r="P335" s="8"/>
      <c r="Q335" s="8"/>
      <c r="R335" s="8"/>
      <c r="S335" s="8"/>
      <c r="T335" s="8"/>
      <c r="U335" s="11"/>
      <c r="V335" s="11"/>
      <c r="W335" s="11"/>
      <c r="X335" s="8"/>
      <c r="Y335" s="8"/>
      <c r="Z335" s="8"/>
      <c r="AA335" s="11"/>
      <c r="AB335" s="11"/>
      <c r="AC335" s="11"/>
      <c r="AD335" s="11"/>
    </row>
    <row r="336" ht="15.75" customHeight="1">
      <c r="A336" s="6">
        <v>90203.0</v>
      </c>
      <c r="B336" s="6">
        <v>407.0</v>
      </c>
      <c r="C336" s="6">
        <v>183.4444489479065</v>
      </c>
      <c r="D336" s="6">
        <v>574.0</v>
      </c>
      <c r="E336" s="7">
        <f t="shared" si="1"/>
        <v>0.7090592334</v>
      </c>
      <c r="F336" s="7">
        <f t="shared" si="2"/>
        <v>0.4507234618</v>
      </c>
      <c r="G336" s="7">
        <f t="shared" si="3"/>
        <v>0.3195896323</v>
      </c>
      <c r="H336" s="6">
        <v>3260.0</v>
      </c>
      <c r="I336" s="6">
        <v>1458.1111483871937</v>
      </c>
      <c r="J336" s="6">
        <v>4960.0</v>
      </c>
      <c r="K336" s="7">
        <f t="shared" si="4"/>
        <v>0.6572580645</v>
      </c>
      <c r="L336" s="7">
        <f t="shared" si="5"/>
        <v>0.4472733584</v>
      </c>
      <c r="M336" s="7">
        <f t="shared" si="6"/>
        <v>0.2939740219</v>
      </c>
      <c r="N336" s="7">
        <f t="shared" si="7"/>
        <v>0.919848431</v>
      </c>
      <c r="O336" s="8"/>
      <c r="P336" s="8"/>
      <c r="Q336" s="8"/>
      <c r="R336" s="8"/>
      <c r="S336" s="8"/>
      <c r="T336" s="8"/>
      <c r="U336" s="11"/>
      <c r="V336" s="11"/>
      <c r="W336" s="11"/>
      <c r="X336" s="8"/>
      <c r="Y336" s="8"/>
      <c r="Z336" s="8"/>
      <c r="AA336" s="11"/>
      <c r="AB336" s="11"/>
      <c r="AC336" s="11"/>
      <c r="AD336" s="11"/>
    </row>
    <row r="337" ht="15.75" customHeight="1">
      <c r="A337" s="6">
        <v>90301.0</v>
      </c>
      <c r="B337" s="6">
        <v>777.0</v>
      </c>
      <c r="C337" s="6">
        <v>391.0000104904175</v>
      </c>
      <c r="D337" s="6">
        <v>1122.0</v>
      </c>
      <c r="E337" s="7">
        <f t="shared" si="1"/>
        <v>0.692513369</v>
      </c>
      <c r="F337" s="7">
        <f t="shared" si="2"/>
        <v>0.5032175167</v>
      </c>
      <c r="G337" s="7">
        <f t="shared" si="3"/>
        <v>0.3484848578</v>
      </c>
      <c r="H337" s="6">
        <v>4418.0</v>
      </c>
      <c r="I337" s="6">
        <v>2145.111167103052</v>
      </c>
      <c r="J337" s="6">
        <v>6422.0</v>
      </c>
      <c r="K337" s="7">
        <f t="shared" si="4"/>
        <v>0.6879476799</v>
      </c>
      <c r="L337" s="7">
        <f t="shared" si="5"/>
        <v>0.4855389695</v>
      </c>
      <c r="M337" s="7">
        <f t="shared" si="6"/>
        <v>0.3340254075</v>
      </c>
      <c r="N337" s="7">
        <f t="shared" si="7"/>
        <v>0.9585076654</v>
      </c>
      <c r="O337" s="8"/>
      <c r="P337" s="8"/>
      <c r="Q337" s="8"/>
      <c r="R337" s="8"/>
      <c r="S337" s="8"/>
      <c r="T337" s="8"/>
      <c r="U337" s="11"/>
      <c r="V337" s="11"/>
      <c r="W337" s="11"/>
      <c r="X337" s="8"/>
      <c r="Y337" s="8"/>
      <c r="Z337" s="8"/>
      <c r="AA337" s="11"/>
      <c r="AB337" s="11"/>
      <c r="AC337" s="11"/>
      <c r="AD337" s="11"/>
    </row>
    <row r="338" ht="15.75" customHeight="1">
      <c r="A338" s="6">
        <v>90302.0</v>
      </c>
      <c r="B338" s="6">
        <v>579.0</v>
      </c>
      <c r="C338" s="6">
        <v>264.8888958096504</v>
      </c>
      <c r="D338" s="6">
        <v>723.0</v>
      </c>
      <c r="E338" s="7">
        <f t="shared" si="1"/>
        <v>0.8008298755</v>
      </c>
      <c r="F338" s="7">
        <f t="shared" si="2"/>
        <v>0.4574937751</v>
      </c>
      <c r="G338" s="7">
        <f t="shared" si="3"/>
        <v>0.366374683</v>
      </c>
      <c r="H338" s="6">
        <v>4603.0</v>
      </c>
      <c r="I338" s="6">
        <v>2165.4445004463196</v>
      </c>
      <c r="J338" s="6">
        <v>6335.0</v>
      </c>
      <c r="K338" s="7">
        <f t="shared" si="4"/>
        <v>0.7265982636</v>
      </c>
      <c r="L338" s="7">
        <f t="shared" si="5"/>
        <v>0.4704419944</v>
      </c>
      <c r="M338" s="7">
        <f t="shared" si="6"/>
        <v>0.3418223363</v>
      </c>
      <c r="N338" s="7">
        <f t="shared" si="7"/>
        <v>0.9329856897</v>
      </c>
      <c r="O338" s="8"/>
      <c r="P338" s="8"/>
      <c r="Q338" s="8"/>
      <c r="R338" s="8"/>
      <c r="S338" s="8"/>
      <c r="T338" s="8"/>
      <c r="U338" s="11"/>
      <c r="V338" s="11"/>
      <c r="W338" s="11"/>
      <c r="X338" s="8"/>
      <c r="Y338" s="8"/>
      <c r="Z338" s="8"/>
      <c r="AA338" s="11"/>
      <c r="AB338" s="11"/>
      <c r="AC338" s="11"/>
      <c r="AD338" s="11"/>
    </row>
    <row r="339" ht="15.75" customHeight="1">
      <c r="A339" s="6">
        <v>90303.0</v>
      </c>
      <c r="B339" s="6">
        <v>519.0</v>
      </c>
      <c r="C339" s="6">
        <v>285.44445183873177</v>
      </c>
      <c r="D339" s="6">
        <v>544.0</v>
      </c>
      <c r="E339" s="7">
        <f t="shared" si="1"/>
        <v>0.9540441176</v>
      </c>
      <c r="F339" s="7">
        <f t="shared" si="2"/>
        <v>0.5499893099</v>
      </c>
      <c r="G339" s="7">
        <f t="shared" si="3"/>
        <v>0.5247140659</v>
      </c>
      <c r="H339" s="6">
        <v>7235.0</v>
      </c>
      <c r="I339" s="6">
        <v>3848.777884066105</v>
      </c>
      <c r="J339" s="6">
        <v>7617.0</v>
      </c>
      <c r="K339" s="7">
        <f t="shared" si="4"/>
        <v>0.9498490219</v>
      </c>
      <c r="L339" s="7">
        <f t="shared" si="5"/>
        <v>0.5319665355</v>
      </c>
      <c r="M339" s="7">
        <f t="shared" si="6"/>
        <v>0.5052878934</v>
      </c>
      <c r="N339" s="7">
        <f t="shared" si="7"/>
        <v>0.962977603</v>
      </c>
      <c r="O339" s="8"/>
      <c r="P339" s="8"/>
      <c r="Q339" s="8"/>
      <c r="R339" s="8"/>
      <c r="S339" s="8"/>
      <c r="T339" s="8"/>
      <c r="U339" s="11"/>
      <c r="V339" s="11"/>
      <c r="W339" s="11"/>
      <c r="X339" s="8"/>
      <c r="Y339" s="8"/>
      <c r="Z339" s="8"/>
      <c r="AA339" s="11"/>
      <c r="AB339" s="11"/>
      <c r="AC339" s="11"/>
      <c r="AD339" s="11"/>
    </row>
    <row r="340" ht="15.75" customHeight="1">
      <c r="A340" s="6">
        <v>90401.0</v>
      </c>
      <c r="B340" s="6">
        <v>72.0</v>
      </c>
      <c r="C340" s="6">
        <v>31.77777850627899</v>
      </c>
      <c r="D340" s="6">
        <v>125.0</v>
      </c>
      <c r="E340" s="7">
        <f t="shared" si="1"/>
        <v>0.576</v>
      </c>
      <c r="F340" s="7">
        <f t="shared" si="2"/>
        <v>0.4413580348</v>
      </c>
      <c r="G340" s="7">
        <f t="shared" si="3"/>
        <v>0.2542222281</v>
      </c>
      <c r="H340" s="6">
        <v>1053.0</v>
      </c>
      <c r="I340" s="6">
        <v>454.11112290620804</v>
      </c>
      <c r="J340" s="6">
        <v>2058.0</v>
      </c>
      <c r="K340" s="7">
        <f t="shared" si="4"/>
        <v>0.5116618076</v>
      </c>
      <c r="L340" s="7">
        <f t="shared" si="5"/>
        <v>0.4312546276</v>
      </c>
      <c r="M340" s="7">
        <f t="shared" si="6"/>
        <v>0.2206565223</v>
      </c>
      <c r="N340" s="7">
        <f t="shared" si="7"/>
        <v>0.8679670696</v>
      </c>
      <c r="O340" s="8"/>
      <c r="P340" s="8"/>
      <c r="Q340" s="8"/>
      <c r="R340" s="8"/>
      <c r="S340" s="8"/>
      <c r="T340" s="8"/>
      <c r="U340" s="11"/>
      <c r="V340" s="11"/>
      <c r="W340" s="11"/>
      <c r="X340" s="8"/>
      <c r="Y340" s="8"/>
      <c r="Z340" s="8"/>
      <c r="AA340" s="11"/>
      <c r="AB340" s="11"/>
      <c r="AC340" s="11"/>
      <c r="AD340" s="11"/>
    </row>
    <row r="341" ht="15.75" customHeight="1">
      <c r="A341" s="6">
        <v>90402.0</v>
      </c>
      <c r="B341" s="6">
        <v>61.0</v>
      </c>
      <c r="C341" s="6">
        <v>27.00000074505806</v>
      </c>
      <c r="D341" s="6">
        <v>100.0</v>
      </c>
      <c r="E341" s="7">
        <f t="shared" si="1"/>
        <v>0.61</v>
      </c>
      <c r="F341" s="7">
        <f t="shared" si="2"/>
        <v>0.442622963</v>
      </c>
      <c r="G341" s="7">
        <f t="shared" si="3"/>
        <v>0.2700000075</v>
      </c>
      <c r="H341" s="6">
        <v>1046.0</v>
      </c>
      <c r="I341" s="6">
        <v>476.66667994856834</v>
      </c>
      <c r="J341" s="6">
        <v>1518.0</v>
      </c>
      <c r="K341" s="7">
        <f t="shared" si="4"/>
        <v>0.6890645586</v>
      </c>
      <c r="L341" s="7">
        <f t="shared" si="5"/>
        <v>0.4557042829</v>
      </c>
      <c r="M341" s="7">
        <f t="shared" si="6"/>
        <v>0.3140096706</v>
      </c>
      <c r="N341" s="7">
        <f t="shared" si="7"/>
        <v>1.162998748</v>
      </c>
      <c r="O341" s="8"/>
      <c r="P341" s="8"/>
      <c r="Q341" s="8"/>
      <c r="R341" s="8"/>
      <c r="S341" s="8"/>
      <c r="T341" s="8"/>
      <c r="U341" s="11"/>
      <c r="V341" s="11"/>
      <c r="W341" s="11"/>
      <c r="X341" s="8"/>
      <c r="Y341" s="8"/>
      <c r="Z341" s="8"/>
      <c r="AA341" s="11"/>
      <c r="AB341" s="11"/>
      <c r="AC341" s="11"/>
      <c r="AD341" s="11"/>
    </row>
    <row r="342" ht="15.75" customHeight="1">
      <c r="A342" s="6">
        <v>90501.0</v>
      </c>
      <c r="B342" s="6">
        <v>105.0</v>
      </c>
      <c r="C342" s="6">
        <v>46.00000134110451</v>
      </c>
      <c r="D342" s="6">
        <v>137.0</v>
      </c>
      <c r="E342" s="7">
        <f t="shared" si="1"/>
        <v>0.7664233577</v>
      </c>
      <c r="F342" s="7">
        <f t="shared" si="2"/>
        <v>0.4380952509</v>
      </c>
      <c r="G342" s="7">
        <f t="shared" si="3"/>
        <v>0.3357664331</v>
      </c>
      <c r="H342" s="6">
        <v>1266.0</v>
      </c>
      <c r="I342" s="6">
        <v>563.8889041543007</v>
      </c>
      <c r="J342" s="6">
        <v>1640.0</v>
      </c>
      <c r="K342" s="7">
        <f t="shared" si="4"/>
        <v>0.7719512195</v>
      </c>
      <c r="L342" s="7">
        <f t="shared" si="5"/>
        <v>0.4454098769</v>
      </c>
      <c r="M342" s="7">
        <f t="shared" si="6"/>
        <v>0.3438346977</v>
      </c>
      <c r="N342" s="7">
        <f t="shared" si="7"/>
        <v>1.024029396</v>
      </c>
      <c r="O342" s="8"/>
      <c r="P342" s="8"/>
      <c r="Q342" s="8"/>
      <c r="R342" s="8"/>
      <c r="S342" s="8"/>
      <c r="T342" s="8"/>
      <c r="U342" s="11"/>
      <c r="V342" s="11"/>
      <c r="W342" s="11"/>
      <c r="X342" s="8"/>
      <c r="Y342" s="8"/>
      <c r="Z342" s="8"/>
      <c r="AA342" s="11"/>
      <c r="AB342" s="11"/>
      <c r="AC342" s="11"/>
      <c r="AD342" s="11"/>
    </row>
    <row r="343" ht="15.75" customHeight="1">
      <c r="A343" s="6">
        <v>90502.0</v>
      </c>
      <c r="B343" s="6">
        <v>180.0</v>
      </c>
      <c r="C343" s="6">
        <v>86.66666913032532</v>
      </c>
      <c r="D343" s="6">
        <v>228.0</v>
      </c>
      <c r="E343" s="7">
        <f t="shared" si="1"/>
        <v>0.7894736842</v>
      </c>
      <c r="F343" s="7">
        <f t="shared" si="2"/>
        <v>0.4814814952</v>
      </c>
      <c r="G343" s="7">
        <f t="shared" si="3"/>
        <v>0.3801169699</v>
      </c>
      <c r="H343" s="6">
        <v>2015.0</v>
      </c>
      <c r="I343" s="6">
        <v>944.8889135718346</v>
      </c>
      <c r="J343" s="6">
        <v>2559.0</v>
      </c>
      <c r="K343" s="7">
        <f t="shared" si="4"/>
        <v>0.7874169597</v>
      </c>
      <c r="L343" s="7">
        <f t="shared" si="5"/>
        <v>0.4689275005</v>
      </c>
      <c r="M343" s="7">
        <f t="shared" si="6"/>
        <v>0.3692414668</v>
      </c>
      <c r="N343" s="7">
        <f t="shared" si="7"/>
        <v>0.971389062</v>
      </c>
      <c r="O343" s="8"/>
      <c r="P343" s="8"/>
      <c r="Q343" s="8"/>
      <c r="R343" s="8"/>
      <c r="S343" s="8"/>
      <c r="T343" s="8"/>
      <c r="U343" s="11"/>
      <c r="V343" s="11"/>
      <c r="W343" s="11"/>
      <c r="X343" s="8"/>
      <c r="Y343" s="8"/>
      <c r="Z343" s="8"/>
      <c r="AA343" s="11"/>
      <c r="AB343" s="11"/>
      <c r="AC343" s="11"/>
      <c r="AD343" s="11"/>
    </row>
    <row r="344" ht="15.75" customHeight="1">
      <c r="A344" s="6">
        <v>90503.0</v>
      </c>
      <c r="B344" s="6">
        <v>91.0</v>
      </c>
      <c r="C344" s="6">
        <v>45.00000137090683</v>
      </c>
      <c r="D344" s="6">
        <v>108.0</v>
      </c>
      <c r="E344" s="7">
        <f t="shared" si="1"/>
        <v>0.8425925926</v>
      </c>
      <c r="F344" s="7">
        <f t="shared" si="2"/>
        <v>0.4945055096</v>
      </c>
      <c r="G344" s="7">
        <f t="shared" si="3"/>
        <v>0.4166666794</v>
      </c>
      <c r="H344" s="6">
        <v>1476.0</v>
      </c>
      <c r="I344" s="6">
        <v>689.7777956724167</v>
      </c>
      <c r="J344" s="6">
        <v>1861.0</v>
      </c>
      <c r="K344" s="7">
        <f t="shared" si="4"/>
        <v>0.7931219774</v>
      </c>
      <c r="L344" s="7">
        <f t="shared" si="5"/>
        <v>0.4673291299</v>
      </c>
      <c r="M344" s="7">
        <f t="shared" si="6"/>
        <v>0.3706490036</v>
      </c>
      <c r="N344" s="7">
        <f t="shared" si="7"/>
        <v>0.8895575815</v>
      </c>
      <c r="O344" s="8"/>
      <c r="P344" s="8"/>
      <c r="Q344" s="8"/>
      <c r="R344" s="8"/>
      <c r="S344" s="8"/>
      <c r="T344" s="8"/>
      <c r="U344" s="11"/>
      <c r="V344" s="11"/>
      <c r="W344" s="11"/>
      <c r="X344" s="8"/>
      <c r="Y344" s="8"/>
      <c r="Z344" s="8"/>
      <c r="AA344" s="11"/>
      <c r="AB344" s="11"/>
      <c r="AC344" s="11"/>
      <c r="AD344" s="11"/>
    </row>
    <row r="345" ht="15.75" customHeight="1">
      <c r="A345" s="8">
        <v>10.0</v>
      </c>
      <c r="B345" s="14">
        <f t="shared" ref="B345:D345" si="15">SUM(B246:B248)</f>
        <v>4273</v>
      </c>
      <c r="C345" s="14">
        <f t="shared" si="15"/>
        <v>1801.111158</v>
      </c>
      <c r="D345" s="14">
        <f t="shared" si="15"/>
        <v>19985</v>
      </c>
      <c r="E345" s="7">
        <f t="shared" si="1"/>
        <v>0.2138103578</v>
      </c>
      <c r="F345" s="7">
        <f t="shared" si="2"/>
        <v>0.421509749</v>
      </c>
      <c r="G345" s="7">
        <f t="shared" si="3"/>
        <v>0.09012315024</v>
      </c>
      <c r="H345" s="14">
        <f t="shared" ref="H345:J345" si="16">SUM(H246:H248)</f>
        <v>22514</v>
      </c>
      <c r="I345" s="14">
        <f t="shared" si="16"/>
        <v>9386.666909</v>
      </c>
      <c r="J345" s="14">
        <f t="shared" si="16"/>
        <v>118985</v>
      </c>
      <c r="K345" s="7">
        <f t="shared" si="4"/>
        <v>0.1892171282</v>
      </c>
      <c r="L345" s="7">
        <f t="shared" si="5"/>
        <v>0.4169257755</v>
      </c>
      <c r="M345" s="7">
        <f t="shared" si="6"/>
        <v>0.07888949791</v>
      </c>
      <c r="N345" s="7">
        <f t="shared" si="7"/>
        <v>0.8753522008</v>
      </c>
      <c r="O345" s="8"/>
      <c r="P345" s="8"/>
      <c r="Q345" s="8"/>
      <c r="R345" s="8"/>
      <c r="S345" s="8"/>
      <c r="T345" s="8"/>
      <c r="U345" s="11"/>
      <c r="V345" s="11"/>
      <c r="W345" s="11"/>
      <c r="X345" s="8"/>
      <c r="Y345" s="8"/>
      <c r="Z345" s="8"/>
      <c r="AA345" s="11"/>
      <c r="AB345" s="11"/>
      <c r="AC345" s="11"/>
      <c r="AD345" s="11"/>
    </row>
    <row r="346" ht="15.75" customHeight="1">
      <c r="A346" s="8">
        <v>11.0</v>
      </c>
      <c r="B346" s="14">
        <f t="shared" ref="B346:D346" si="17">SUM(B2:B344)</f>
        <v>497587</v>
      </c>
      <c r="C346" s="14">
        <f t="shared" si="17"/>
        <v>221397.4502</v>
      </c>
      <c r="D346" s="14">
        <f t="shared" si="17"/>
        <v>1628738</v>
      </c>
      <c r="E346" s="7">
        <f t="shared" si="1"/>
        <v>0.30550463</v>
      </c>
      <c r="F346" s="7">
        <f t="shared" si="2"/>
        <v>0.4449421914</v>
      </c>
      <c r="G346" s="7">
        <f t="shared" si="3"/>
        <v>0.1359318995</v>
      </c>
      <c r="H346" s="14">
        <f t="shared" ref="H346:J346" si="18">SUM(H2:H344)</f>
        <v>2463786</v>
      </c>
      <c r="I346" s="14">
        <f t="shared" si="18"/>
        <v>1088714.695</v>
      </c>
      <c r="J346" s="14">
        <f t="shared" si="18"/>
        <v>8198351</v>
      </c>
      <c r="K346" s="7">
        <f t="shared" si="4"/>
        <v>0.3005221416</v>
      </c>
      <c r="L346" s="7">
        <f t="shared" si="5"/>
        <v>0.4418868743</v>
      </c>
      <c r="M346" s="7">
        <f t="shared" si="6"/>
        <v>0.1327967898</v>
      </c>
      <c r="N346" s="7">
        <f t="shared" si="7"/>
        <v>0.9769361737</v>
      </c>
      <c r="O346" s="8"/>
      <c r="P346" s="8"/>
      <c r="Q346" s="8"/>
      <c r="R346" s="8"/>
      <c r="S346" s="8"/>
      <c r="T346" s="8"/>
      <c r="U346" s="11"/>
      <c r="V346" s="11"/>
      <c r="W346" s="11"/>
      <c r="X346" s="8"/>
      <c r="Y346" s="8"/>
      <c r="Z346" s="8"/>
      <c r="AA346" s="11"/>
      <c r="AB346" s="11"/>
      <c r="AC346" s="11"/>
      <c r="AD346" s="11"/>
    </row>
    <row r="347" ht="15.75" customHeight="1">
      <c r="A347" s="8"/>
      <c r="B347" s="8"/>
      <c r="C347" s="8"/>
      <c r="D347" s="8"/>
      <c r="E347" s="11"/>
      <c r="F347" s="11"/>
      <c r="G347" s="11"/>
      <c r="H347" s="8"/>
      <c r="I347" s="8"/>
      <c r="J347" s="8"/>
      <c r="K347" s="11"/>
      <c r="L347" s="11"/>
      <c r="M347" s="11"/>
      <c r="N347" s="11"/>
      <c r="O347" s="8"/>
      <c r="P347" s="8"/>
      <c r="Q347" s="8"/>
      <c r="R347" s="8"/>
      <c r="S347" s="8"/>
      <c r="T347" s="8"/>
      <c r="U347" s="11"/>
      <c r="V347" s="11"/>
      <c r="W347" s="11"/>
      <c r="X347" s="8"/>
      <c r="Y347" s="8"/>
      <c r="Z347" s="8"/>
      <c r="AA347" s="11"/>
      <c r="AB347" s="11"/>
      <c r="AC347" s="11"/>
      <c r="AD347" s="11"/>
    </row>
    <row r="348" ht="15.75" customHeight="1">
      <c r="A348" s="8"/>
      <c r="B348" s="8"/>
      <c r="C348" s="8"/>
      <c r="D348" s="8"/>
      <c r="E348" s="11"/>
      <c r="F348" s="11"/>
      <c r="G348" s="11"/>
      <c r="H348" s="8"/>
      <c r="I348" s="8"/>
      <c r="J348" s="8"/>
      <c r="K348" s="11"/>
      <c r="L348" s="11"/>
      <c r="M348" s="11"/>
      <c r="N348" s="11"/>
      <c r="O348" s="8"/>
      <c r="P348" s="8"/>
      <c r="Q348" s="8"/>
      <c r="R348" s="8"/>
      <c r="S348" s="8"/>
      <c r="T348" s="8"/>
      <c r="U348" s="11"/>
      <c r="V348" s="11"/>
      <c r="W348" s="11"/>
      <c r="X348" s="8"/>
      <c r="Y348" s="8"/>
      <c r="Z348" s="8"/>
      <c r="AA348" s="11"/>
      <c r="AB348" s="11"/>
      <c r="AC348" s="11"/>
      <c r="AD348" s="11"/>
    </row>
    <row r="349" ht="15.75" customHeight="1">
      <c r="A349" s="8"/>
      <c r="B349" s="8"/>
      <c r="C349" s="8"/>
      <c r="D349" s="8"/>
      <c r="E349" s="11"/>
      <c r="F349" s="11"/>
      <c r="G349" s="11"/>
      <c r="H349" s="8"/>
      <c r="I349" s="8"/>
      <c r="J349" s="8"/>
      <c r="K349" s="11"/>
      <c r="L349" s="11"/>
      <c r="M349" s="11"/>
      <c r="N349" s="11"/>
      <c r="O349" s="8"/>
      <c r="P349" s="8"/>
      <c r="Q349" s="8"/>
      <c r="R349" s="8"/>
      <c r="S349" s="8"/>
      <c r="T349" s="8"/>
      <c r="U349" s="11"/>
      <c r="V349" s="11"/>
      <c r="W349" s="11"/>
      <c r="X349" s="8"/>
      <c r="Y349" s="8"/>
      <c r="Z349" s="8"/>
      <c r="AA349" s="11"/>
      <c r="AB349" s="11"/>
      <c r="AC349" s="11"/>
      <c r="AD349" s="11"/>
    </row>
    <row r="350" ht="15.75" customHeight="1">
      <c r="A350" s="8"/>
      <c r="B350" s="8"/>
      <c r="C350" s="8"/>
      <c r="D350" s="8"/>
      <c r="E350" s="11"/>
      <c r="F350" s="11"/>
      <c r="G350" s="11"/>
      <c r="H350" s="8"/>
      <c r="I350" s="8"/>
      <c r="J350" s="8"/>
      <c r="K350" s="11"/>
      <c r="L350" s="11"/>
      <c r="M350" s="11"/>
      <c r="N350" s="11"/>
      <c r="O350" s="8"/>
      <c r="P350" s="8"/>
      <c r="Q350" s="8"/>
      <c r="R350" s="8"/>
      <c r="S350" s="8"/>
      <c r="T350" s="8"/>
      <c r="U350" s="11"/>
      <c r="V350" s="11"/>
      <c r="W350" s="11"/>
      <c r="X350" s="8"/>
      <c r="Y350" s="8"/>
      <c r="Z350" s="8"/>
      <c r="AA350" s="11"/>
      <c r="AB350" s="11"/>
      <c r="AC350" s="11"/>
      <c r="AD350" s="11"/>
    </row>
    <row r="351" ht="15.75" customHeight="1">
      <c r="A351" s="8"/>
      <c r="B351" s="8"/>
      <c r="C351" s="8"/>
      <c r="D351" s="8"/>
      <c r="E351" s="11"/>
      <c r="F351" s="11"/>
      <c r="G351" s="11"/>
      <c r="H351" s="8"/>
      <c r="I351" s="8"/>
      <c r="J351" s="8"/>
      <c r="K351" s="11"/>
      <c r="L351" s="11"/>
      <c r="M351" s="11"/>
      <c r="N351" s="11"/>
      <c r="O351" s="8"/>
      <c r="P351" s="8"/>
      <c r="Q351" s="8"/>
      <c r="R351" s="8"/>
      <c r="S351" s="8"/>
      <c r="T351" s="8"/>
      <c r="U351" s="11"/>
      <c r="V351" s="11"/>
      <c r="W351" s="11"/>
      <c r="X351" s="8"/>
      <c r="Y351" s="8"/>
      <c r="Z351" s="8"/>
      <c r="AA351" s="11"/>
      <c r="AB351" s="11"/>
      <c r="AC351" s="11"/>
      <c r="AD351" s="11"/>
    </row>
    <row r="352" ht="15.75" customHeight="1">
      <c r="A352" s="8"/>
      <c r="B352" s="8"/>
      <c r="C352" s="8"/>
      <c r="D352" s="8"/>
      <c r="E352" s="11"/>
      <c r="F352" s="11"/>
      <c r="G352" s="11"/>
      <c r="H352" s="8"/>
      <c r="I352" s="8"/>
      <c r="J352" s="8"/>
      <c r="K352" s="11"/>
      <c r="L352" s="11"/>
      <c r="M352" s="11"/>
      <c r="N352" s="11"/>
      <c r="O352" s="8"/>
      <c r="P352" s="8"/>
      <c r="Q352" s="8"/>
      <c r="R352" s="8"/>
      <c r="S352" s="8"/>
      <c r="T352" s="8"/>
      <c r="U352" s="11"/>
      <c r="V352" s="11"/>
      <c r="W352" s="11"/>
      <c r="X352" s="8"/>
      <c r="Y352" s="8"/>
      <c r="Z352" s="8"/>
      <c r="AA352" s="11"/>
      <c r="AB352" s="11"/>
      <c r="AC352" s="11"/>
      <c r="AD352" s="11"/>
    </row>
    <row r="353" ht="15.75" customHeight="1">
      <c r="A353" s="8"/>
      <c r="B353" s="8"/>
      <c r="C353" s="8"/>
      <c r="D353" s="8"/>
      <c r="E353" s="11"/>
      <c r="F353" s="11"/>
      <c r="G353" s="11"/>
      <c r="H353" s="8"/>
      <c r="I353" s="8"/>
      <c r="J353" s="8"/>
      <c r="K353" s="11"/>
      <c r="L353" s="11"/>
      <c r="M353" s="11"/>
      <c r="N353" s="11"/>
      <c r="O353" s="8"/>
      <c r="P353" s="8"/>
      <c r="Q353" s="8"/>
      <c r="R353" s="8"/>
      <c r="S353" s="8"/>
      <c r="T353" s="8"/>
      <c r="U353" s="11"/>
      <c r="V353" s="11"/>
      <c r="W353" s="11"/>
      <c r="X353" s="8"/>
      <c r="Y353" s="8"/>
      <c r="Z353" s="8"/>
      <c r="AA353" s="11"/>
      <c r="AB353" s="11"/>
      <c r="AC353" s="11"/>
      <c r="AD353" s="11"/>
    </row>
    <row r="354" ht="15.75" customHeight="1">
      <c r="A354" s="8"/>
      <c r="B354" s="8"/>
      <c r="C354" s="8"/>
      <c r="D354" s="8"/>
      <c r="E354" s="11"/>
      <c r="F354" s="11"/>
      <c r="G354" s="11"/>
      <c r="H354" s="8"/>
      <c r="I354" s="8"/>
      <c r="J354" s="8"/>
      <c r="K354" s="11"/>
      <c r="L354" s="11"/>
      <c r="M354" s="11"/>
      <c r="N354" s="11"/>
      <c r="O354" s="8"/>
      <c r="P354" s="8"/>
      <c r="Q354" s="8"/>
      <c r="R354" s="8"/>
      <c r="S354" s="8"/>
      <c r="T354" s="8"/>
      <c r="U354" s="11"/>
      <c r="V354" s="11"/>
      <c r="W354" s="11"/>
      <c r="X354" s="8"/>
      <c r="Y354" s="8"/>
      <c r="Z354" s="8"/>
      <c r="AA354" s="11"/>
      <c r="AB354" s="11"/>
      <c r="AC354" s="11"/>
      <c r="AD354" s="11"/>
    </row>
    <row r="355" ht="15.75" customHeight="1">
      <c r="A355" s="8"/>
      <c r="B355" s="8"/>
      <c r="C355" s="8"/>
      <c r="D355" s="8"/>
      <c r="E355" s="11"/>
      <c r="F355" s="11"/>
      <c r="G355" s="11"/>
      <c r="H355" s="8"/>
      <c r="I355" s="8"/>
      <c r="J355" s="8"/>
      <c r="K355" s="11"/>
      <c r="L355" s="11"/>
      <c r="M355" s="11"/>
      <c r="N355" s="11"/>
      <c r="O355" s="8"/>
      <c r="P355" s="8"/>
      <c r="Q355" s="8"/>
      <c r="R355" s="8"/>
      <c r="S355" s="8"/>
      <c r="T355" s="8"/>
      <c r="U355" s="11"/>
      <c r="V355" s="11"/>
      <c r="W355" s="11"/>
      <c r="X355" s="8"/>
      <c r="Y355" s="8"/>
      <c r="Z355" s="8"/>
      <c r="AA355" s="11"/>
      <c r="AB355" s="11"/>
      <c r="AC355" s="11"/>
      <c r="AD355" s="11"/>
    </row>
    <row r="356" ht="15.75" customHeight="1">
      <c r="A356" s="8"/>
      <c r="B356" s="8"/>
      <c r="C356" s="8"/>
      <c r="D356" s="8"/>
      <c r="E356" s="11"/>
      <c r="F356" s="11"/>
      <c r="G356" s="11"/>
      <c r="H356" s="8"/>
      <c r="I356" s="8"/>
      <c r="J356" s="8"/>
      <c r="K356" s="11"/>
      <c r="L356" s="11"/>
      <c r="M356" s="11"/>
      <c r="N356" s="11"/>
      <c r="O356" s="8"/>
      <c r="P356" s="8"/>
      <c r="Q356" s="8"/>
      <c r="R356" s="8"/>
      <c r="S356" s="8"/>
      <c r="T356" s="8"/>
      <c r="U356" s="11"/>
      <c r="V356" s="11"/>
      <c r="W356" s="11"/>
      <c r="X356" s="8"/>
      <c r="Y356" s="8"/>
      <c r="Z356" s="8"/>
      <c r="AA356" s="11"/>
      <c r="AB356" s="11"/>
      <c r="AC356" s="11"/>
      <c r="AD356" s="11"/>
    </row>
    <row r="357" ht="15.75" customHeight="1">
      <c r="A357" s="8"/>
      <c r="B357" s="8"/>
      <c r="C357" s="8"/>
      <c r="D357" s="8"/>
      <c r="E357" s="11"/>
      <c r="F357" s="11"/>
      <c r="G357" s="11"/>
      <c r="H357" s="8"/>
      <c r="I357" s="8"/>
      <c r="J357" s="8"/>
      <c r="K357" s="11"/>
      <c r="L357" s="11"/>
      <c r="M357" s="11"/>
      <c r="N357" s="11"/>
      <c r="O357" s="8"/>
      <c r="P357" s="8"/>
      <c r="Q357" s="8"/>
      <c r="R357" s="8"/>
      <c r="S357" s="8"/>
      <c r="T357" s="8"/>
      <c r="U357" s="11"/>
      <c r="V357" s="11"/>
      <c r="W357" s="11"/>
      <c r="X357" s="8"/>
      <c r="Y357" s="8"/>
      <c r="Z357" s="8"/>
      <c r="AA357" s="11"/>
      <c r="AB357" s="11"/>
      <c r="AC357" s="11"/>
      <c r="AD357" s="11"/>
    </row>
    <row r="358" ht="15.75" customHeight="1">
      <c r="A358" s="8"/>
      <c r="B358" s="8"/>
      <c r="C358" s="8"/>
      <c r="D358" s="8"/>
      <c r="E358" s="11"/>
      <c r="F358" s="11"/>
      <c r="G358" s="11"/>
      <c r="H358" s="8"/>
      <c r="I358" s="8"/>
      <c r="J358" s="8"/>
      <c r="K358" s="11"/>
      <c r="L358" s="11"/>
      <c r="M358" s="11"/>
      <c r="N358" s="11"/>
      <c r="O358" s="8"/>
      <c r="P358" s="8"/>
      <c r="Q358" s="8"/>
      <c r="R358" s="8"/>
      <c r="S358" s="8"/>
      <c r="T358" s="8"/>
      <c r="U358" s="11"/>
      <c r="V358" s="11"/>
      <c r="W358" s="11"/>
      <c r="X358" s="8"/>
      <c r="Y358" s="8"/>
      <c r="Z358" s="8"/>
      <c r="AA358" s="11"/>
      <c r="AB358" s="11"/>
      <c r="AC358" s="11"/>
      <c r="AD358" s="11"/>
    </row>
    <row r="359" ht="15.75" customHeight="1">
      <c r="A359" s="8"/>
      <c r="B359" s="8"/>
      <c r="C359" s="8"/>
      <c r="D359" s="8"/>
      <c r="E359" s="11"/>
      <c r="F359" s="11"/>
      <c r="G359" s="11"/>
      <c r="H359" s="8"/>
      <c r="I359" s="8"/>
      <c r="J359" s="8"/>
      <c r="K359" s="11"/>
      <c r="L359" s="11"/>
      <c r="M359" s="11"/>
      <c r="N359" s="11"/>
      <c r="O359" s="8"/>
      <c r="P359" s="8"/>
      <c r="Q359" s="8"/>
      <c r="R359" s="8"/>
      <c r="S359" s="8"/>
      <c r="T359" s="8"/>
      <c r="U359" s="11"/>
      <c r="V359" s="11"/>
      <c r="W359" s="11"/>
      <c r="X359" s="8"/>
      <c r="Y359" s="8"/>
      <c r="Z359" s="8"/>
      <c r="AA359" s="11"/>
      <c r="AB359" s="11"/>
      <c r="AC359" s="11"/>
      <c r="AD359" s="11"/>
    </row>
    <row r="360" ht="15.75" customHeight="1">
      <c r="A360" s="8"/>
      <c r="B360" s="8"/>
      <c r="C360" s="8"/>
      <c r="D360" s="8"/>
      <c r="E360" s="11"/>
      <c r="F360" s="11"/>
      <c r="G360" s="11"/>
      <c r="H360" s="8"/>
      <c r="I360" s="8"/>
      <c r="J360" s="8"/>
      <c r="K360" s="11"/>
      <c r="L360" s="11"/>
      <c r="M360" s="11"/>
      <c r="N360" s="11"/>
      <c r="O360" s="8"/>
      <c r="P360" s="8"/>
      <c r="Q360" s="8"/>
      <c r="R360" s="8"/>
      <c r="S360" s="8"/>
      <c r="T360" s="8"/>
      <c r="U360" s="11"/>
      <c r="V360" s="11"/>
      <c r="W360" s="11"/>
      <c r="X360" s="8"/>
      <c r="Y360" s="8"/>
      <c r="Z360" s="8"/>
      <c r="AA360" s="11"/>
      <c r="AB360" s="11"/>
      <c r="AC360" s="11"/>
      <c r="AD360" s="11"/>
    </row>
    <row r="361" ht="15.75" customHeight="1">
      <c r="A361" s="8"/>
      <c r="B361" s="8"/>
      <c r="C361" s="8"/>
      <c r="D361" s="8"/>
      <c r="E361" s="11"/>
      <c r="F361" s="11"/>
      <c r="G361" s="11"/>
      <c r="H361" s="8"/>
      <c r="I361" s="8"/>
      <c r="J361" s="8"/>
      <c r="K361" s="11"/>
      <c r="L361" s="11"/>
      <c r="M361" s="11"/>
      <c r="N361" s="11"/>
      <c r="O361" s="8"/>
      <c r="P361" s="8"/>
      <c r="Q361" s="8"/>
      <c r="R361" s="8"/>
      <c r="S361" s="8"/>
      <c r="T361" s="8"/>
      <c r="U361" s="11"/>
      <c r="V361" s="11"/>
      <c r="W361" s="11"/>
      <c r="X361" s="8"/>
      <c r="Y361" s="8"/>
      <c r="Z361" s="8"/>
      <c r="AA361" s="11"/>
      <c r="AB361" s="11"/>
      <c r="AC361" s="11"/>
      <c r="AD361" s="11"/>
    </row>
    <row r="362" ht="15.75" customHeight="1">
      <c r="A362" s="8"/>
      <c r="B362" s="8"/>
      <c r="C362" s="8"/>
      <c r="D362" s="8"/>
      <c r="E362" s="11"/>
      <c r="F362" s="11"/>
      <c r="G362" s="11"/>
      <c r="H362" s="8"/>
      <c r="I362" s="8"/>
      <c r="J362" s="8"/>
      <c r="K362" s="11"/>
      <c r="L362" s="11"/>
      <c r="M362" s="11"/>
      <c r="N362" s="11"/>
      <c r="O362" s="8"/>
      <c r="P362" s="8"/>
      <c r="Q362" s="8"/>
      <c r="R362" s="8"/>
      <c r="S362" s="8"/>
      <c r="T362" s="8"/>
      <c r="U362" s="11"/>
      <c r="V362" s="11"/>
      <c r="W362" s="11"/>
      <c r="X362" s="8"/>
      <c r="Y362" s="8"/>
      <c r="Z362" s="8"/>
      <c r="AA362" s="11"/>
      <c r="AB362" s="11"/>
      <c r="AC362" s="11"/>
      <c r="AD362" s="11"/>
    </row>
    <row r="363" ht="15.75" customHeight="1">
      <c r="A363" s="8"/>
      <c r="B363" s="8"/>
      <c r="C363" s="8"/>
      <c r="D363" s="8"/>
      <c r="E363" s="11"/>
      <c r="F363" s="11"/>
      <c r="G363" s="11"/>
      <c r="H363" s="8"/>
      <c r="I363" s="8"/>
      <c r="J363" s="8"/>
      <c r="K363" s="11"/>
      <c r="L363" s="11"/>
      <c r="M363" s="11"/>
      <c r="N363" s="11"/>
      <c r="O363" s="8"/>
      <c r="P363" s="8"/>
      <c r="Q363" s="8"/>
      <c r="R363" s="8"/>
      <c r="S363" s="8"/>
      <c r="T363" s="8"/>
      <c r="U363" s="11"/>
      <c r="V363" s="11"/>
      <c r="W363" s="11"/>
      <c r="X363" s="8"/>
      <c r="Y363" s="8"/>
      <c r="Z363" s="8"/>
      <c r="AA363" s="11"/>
      <c r="AB363" s="11"/>
      <c r="AC363" s="11"/>
      <c r="AD363" s="11"/>
    </row>
    <row r="364" ht="15.75" customHeight="1">
      <c r="A364" s="8"/>
      <c r="B364" s="8"/>
      <c r="C364" s="8"/>
      <c r="D364" s="8"/>
      <c r="E364" s="11"/>
      <c r="F364" s="11"/>
      <c r="G364" s="11"/>
      <c r="H364" s="8"/>
      <c r="I364" s="8"/>
      <c r="J364" s="8"/>
      <c r="K364" s="11"/>
      <c r="L364" s="11"/>
      <c r="M364" s="11"/>
      <c r="N364" s="11"/>
      <c r="O364" s="8"/>
      <c r="P364" s="8"/>
      <c r="Q364" s="8"/>
      <c r="R364" s="8"/>
      <c r="S364" s="8"/>
      <c r="T364" s="8"/>
      <c r="U364" s="11"/>
      <c r="V364" s="11"/>
      <c r="W364" s="11"/>
      <c r="X364" s="8"/>
      <c r="Y364" s="8"/>
      <c r="Z364" s="8"/>
      <c r="AA364" s="11"/>
      <c r="AB364" s="11"/>
      <c r="AC364" s="11"/>
      <c r="AD364" s="11"/>
    </row>
    <row r="365" ht="15.75" customHeight="1">
      <c r="A365" s="8"/>
      <c r="B365" s="8"/>
      <c r="C365" s="8"/>
      <c r="D365" s="8"/>
      <c r="E365" s="11"/>
      <c r="F365" s="11"/>
      <c r="G365" s="11"/>
      <c r="H365" s="8"/>
      <c r="I365" s="8"/>
      <c r="J365" s="8"/>
      <c r="K365" s="11"/>
      <c r="L365" s="11"/>
      <c r="M365" s="11"/>
      <c r="N365" s="11"/>
      <c r="O365" s="8"/>
      <c r="P365" s="8"/>
      <c r="Q365" s="8"/>
      <c r="R365" s="8"/>
      <c r="S365" s="8"/>
      <c r="T365" s="8"/>
      <c r="U365" s="11"/>
      <c r="V365" s="11"/>
      <c r="W365" s="11"/>
      <c r="X365" s="8"/>
      <c r="Y365" s="8"/>
      <c r="Z365" s="8"/>
      <c r="AA365" s="11"/>
      <c r="AB365" s="11"/>
      <c r="AC365" s="11"/>
      <c r="AD365" s="11"/>
    </row>
    <row r="366" ht="15.75" customHeight="1">
      <c r="A366" s="8"/>
      <c r="B366" s="8"/>
      <c r="C366" s="8"/>
      <c r="D366" s="8"/>
      <c r="E366" s="11"/>
      <c r="F366" s="11"/>
      <c r="G366" s="11"/>
      <c r="H366" s="8"/>
      <c r="I366" s="8"/>
      <c r="J366" s="8"/>
      <c r="K366" s="11"/>
      <c r="L366" s="11"/>
      <c r="M366" s="11"/>
      <c r="N366" s="11"/>
      <c r="O366" s="8"/>
      <c r="P366" s="8"/>
      <c r="Q366" s="8"/>
      <c r="R366" s="8"/>
      <c r="S366" s="8"/>
      <c r="T366" s="8"/>
      <c r="U366" s="11"/>
      <c r="V366" s="11"/>
      <c r="W366" s="11"/>
      <c r="X366" s="8"/>
      <c r="Y366" s="8"/>
      <c r="Z366" s="8"/>
      <c r="AA366" s="11"/>
      <c r="AB366" s="11"/>
      <c r="AC366" s="11"/>
      <c r="AD366" s="11"/>
    </row>
    <row r="367" ht="15.75" customHeight="1">
      <c r="A367" s="8"/>
      <c r="B367" s="8"/>
      <c r="C367" s="8"/>
      <c r="D367" s="8"/>
      <c r="E367" s="11"/>
      <c r="F367" s="11"/>
      <c r="G367" s="11"/>
      <c r="H367" s="8"/>
      <c r="I367" s="8"/>
      <c r="J367" s="8"/>
      <c r="K367" s="11"/>
      <c r="L367" s="11"/>
      <c r="M367" s="11"/>
      <c r="N367" s="11"/>
      <c r="O367" s="8"/>
      <c r="P367" s="8"/>
      <c r="Q367" s="8"/>
      <c r="R367" s="8"/>
      <c r="S367" s="8"/>
      <c r="T367" s="8"/>
      <c r="U367" s="11"/>
      <c r="V367" s="11"/>
      <c r="W367" s="11"/>
      <c r="X367" s="8"/>
      <c r="Y367" s="8"/>
      <c r="Z367" s="8"/>
      <c r="AA367" s="11"/>
      <c r="AB367" s="11"/>
      <c r="AC367" s="11"/>
      <c r="AD367" s="11"/>
    </row>
    <row r="368" ht="15.75" customHeight="1">
      <c r="A368" s="8"/>
      <c r="B368" s="8"/>
      <c r="C368" s="8"/>
      <c r="D368" s="8"/>
      <c r="E368" s="11"/>
      <c r="F368" s="11"/>
      <c r="G368" s="11"/>
      <c r="H368" s="8"/>
      <c r="I368" s="8"/>
      <c r="J368" s="8"/>
      <c r="K368" s="11"/>
      <c r="L368" s="11"/>
      <c r="M368" s="11"/>
      <c r="N368" s="11"/>
      <c r="O368" s="8"/>
      <c r="P368" s="8"/>
      <c r="Q368" s="8"/>
      <c r="R368" s="8"/>
      <c r="S368" s="8"/>
      <c r="T368" s="8"/>
      <c r="U368" s="11"/>
      <c r="V368" s="11"/>
      <c r="W368" s="11"/>
      <c r="X368" s="8"/>
      <c r="Y368" s="8"/>
      <c r="Z368" s="8"/>
      <c r="AA368" s="11"/>
      <c r="AB368" s="11"/>
      <c r="AC368" s="11"/>
      <c r="AD368" s="11"/>
    </row>
    <row r="369" ht="15.75" customHeight="1">
      <c r="A369" s="8"/>
      <c r="B369" s="8"/>
      <c r="C369" s="8"/>
      <c r="D369" s="8"/>
      <c r="E369" s="11"/>
      <c r="F369" s="11"/>
      <c r="G369" s="11"/>
      <c r="H369" s="8"/>
      <c r="I369" s="8"/>
      <c r="J369" s="8"/>
      <c r="K369" s="11"/>
      <c r="L369" s="11"/>
      <c r="M369" s="11"/>
      <c r="N369" s="11"/>
      <c r="O369" s="8"/>
      <c r="P369" s="8"/>
      <c r="Q369" s="8"/>
      <c r="R369" s="8"/>
      <c r="S369" s="8"/>
      <c r="T369" s="8"/>
      <c r="U369" s="11"/>
      <c r="V369" s="11"/>
      <c r="W369" s="11"/>
      <c r="X369" s="8"/>
      <c r="Y369" s="8"/>
      <c r="Z369" s="8"/>
      <c r="AA369" s="11"/>
      <c r="AB369" s="11"/>
      <c r="AC369" s="11"/>
      <c r="AD369" s="11"/>
    </row>
    <row r="370" ht="15.75" customHeight="1">
      <c r="A370" s="8"/>
      <c r="B370" s="8"/>
      <c r="C370" s="8"/>
      <c r="D370" s="8"/>
      <c r="E370" s="11"/>
      <c r="F370" s="11"/>
      <c r="G370" s="11"/>
      <c r="H370" s="8"/>
      <c r="I370" s="8"/>
      <c r="J370" s="8"/>
      <c r="K370" s="11"/>
      <c r="L370" s="11"/>
      <c r="M370" s="11"/>
      <c r="N370" s="11"/>
      <c r="O370" s="8"/>
      <c r="P370" s="8"/>
      <c r="Q370" s="8"/>
      <c r="R370" s="8"/>
      <c r="S370" s="8"/>
      <c r="T370" s="8"/>
      <c r="U370" s="11"/>
      <c r="V370" s="11"/>
      <c r="W370" s="11"/>
      <c r="X370" s="8"/>
      <c r="Y370" s="8"/>
      <c r="Z370" s="8"/>
      <c r="AA370" s="11"/>
      <c r="AB370" s="11"/>
      <c r="AC370" s="11"/>
      <c r="AD370" s="11"/>
    </row>
    <row r="371" ht="15.75" customHeight="1">
      <c r="A371" s="8"/>
      <c r="B371" s="8"/>
      <c r="C371" s="8"/>
      <c r="D371" s="8"/>
      <c r="E371" s="11"/>
      <c r="F371" s="11"/>
      <c r="G371" s="11"/>
      <c r="H371" s="8"/>
      <c r="I371" s="8"/>
      <c r="J371" s="8"/>
      <c r="K371" s="11"/>
      <c r="L371" s="11"/>
      <c r="M371" s="11"/>
      <c r="N371" s="11"/>
      <c r="O371" s="8"/>
      <c r="P371" s="8"/>
      <c r="Q371" s="8"/>
      <c r="R371" s="8"/>
      <c r="S371" s="8"/>
      <c r="T371" s="8"/>
      <c r="U371" s="11"/>
      <c r="V371" s="11"/>
      <c r="W371" s="11"/>
      <c r="X371" s="8"/>
      <c r="Y371" s="8"/>
      <c r="Z371" s="8"/>
      <c r="AA371" s="11"/>
      <c r="AB371" s="11"/>
      <c r="AC371" s="11"/>
      <c r="AD371" s="11"/>
    </row>
    <row r="372" ht="15.75" customHeight="1">
      <c r="A372" s="8"/>
      <c r="B372" s="8"/>
      <c r="C372" s="8"/>
      <c r="D372" s="8"/>
      <c r="E372" s="11"/>
      <c r="F372" s="11"/>
      <c r="G372" s="11"/>
      <c r="H372" s="8"/>
      <c r="I372" s="8"/>
      <c r="J372" s="8"/>
      <c r="K372" s="11"/>
      <c r="L372" s="11"/>
      <c r="M372" s="11"/>
      <c r="N372" s="11"/>
      <c r="O372" s="8"/>
      <c r="P372" s="8"/>
      <c r="Q372" s="8"/>
      <c r="R372" s="8"/>
      <c r="S372" s="8"/>
      <c r="T372" s="8"/>
      <c r="U372" s="11"/>
      <c r="V372" s="11"/>
      <c r="W372" s="11"/>
      <c r="X372" s="8"/>
      <c r="Y372" s="8"/>
      <c r="Z372" s="8"/>
      <c r="AA372" s="11"/>
      <c r="AB372" s="11"/>
      <c r="AC372" s="11"/>
      <c r="AD372" s="11"/>
    </row>
    <row r="373" ht="15.75" customHeight="1">
      <c r="A373" s="8"/>
      <c r="B373" s="8"/>
      <c r="C373" s="8"/>
      <c r="D373" s="8"/>
      <c r="E373" s="11"/>
      <c r="F373" s="11"/>
      <c r="G373" s="11"/>
      <c r="H373" s="8"/>
      <c r="I373" s="8"/>
      <c r="J373" s="8"/>
      <c r="K373" s="11"/>
      <c r="L373" s="11"/>
      <c r="M373" s="11"/>
      <c r="N373" s="11"/>
      <c r="O373" s="8"/>
      <c r="P373" s="8"/>
      <c r="Q373" s="8"/>
      <c r="R373" s="8"/>
      <c r="S373" s="8"/>
      <c r="T373" s="8"/>
      <c r="U373" s="11"/>
      <c r="V373" s="11"/>
      <c r="W373" s="11"/>
      <c r="X373" s="8"/>
      <c r="Y373" s="8"/>
      <c r="Z373" s="8"/>
      <c r="AA373" s="11"/>
      <c r="AB373" s="11"/>
      <c r="AC373" s="11"/>
      <c r="AD373" s="11"/>
    </row>
    <row r="374" ht="15.75" customHeight="1">
      <c r="A374" s="8"/>
      <c r="B374" s="8"/>
      <c r="C374" s="8"/>
      <c r="D374" s="8"/>
      <c r="E374" s="11"/>
      <c r="F374" s="11"/>
      <c r="G374" s="11"/>
      <c r="H374" s="8"/>
      <c r="I374" s="8"/>
      <c r="J374" s="8"/>
      <c r="K374" s="11"/>
      <c r="L374" s="11"/>
      <c r="M374" s="11"/>
      <c r="N374" s="11"/>
      <c r="O374" s="8"/>
      <c r="P374" s="8"/>
      <c r="Q374" s="8"/>
      <c r="R374" s="8"/>
      <c r="S374" s="8"/>
      <c r="T374" s="8"/>
      <c r="U374" s="11"/>
      <c r="V374" s="11"/>
      <c r="W374" s="11"/>
      <c r="X374" s="8"/>
      <c r="Y374" s="8"/>
      <c r="Z374" s="8"/>
      <c r="AA374" s="11"/>
      <c r="AB374" s="11"/>
      <c r="AC374" s="11"/>
      <c r="AD374" s="11"/>
    </row>
    <row r="375" ht="15.75" customHeight="1">
      <c r="A375" s="8"/>
      <c r="B375" s="8"/>
      <c r="C375" s="8"/>
      <c r="D375" s="8"/>
      <c r="E375" s="11"/>
      <c r="F375" s="11"/>
      <c r="G375" s="11"/>
      <c r="H375" s="8"/>
      <c r="I375" s="8"/>
      <c r="J375" s="8"/>
      <c r="K375" s="11"/>
      <c r="L375" s="11"/>
      <c r="M375" s="11"/>
      <c r="N375" s="11"/>
      <c r="O375" s="8"/>
      <c r="P375" s="8"/>
      <c r="Q375" s="8"/>
      <c r="R375" s="8"/>
      <c r="S375" s="8"/>
      <c r="T375" s="8"/>
      <c r="U375" s="11"/>
      <c r="V375" s="11"/>
      <c r="W375" s="11"/>
      <c r="X375" s="8"/>
      <c r="Y375" s="8"/>
      <c r="Z375" s="8"/>
      <c r="AA375" s="11"/>
      <c r="AB375" s="11"/>
      <c r="AC375" s="11"/>
      <c r="AD375" s="11"/>
    </row>
    <row r="376" ht="15.75" customHeight="1">
      <c r="A376" s="8"/>
      <c r="B376" s="8"/>
      <c r="C376" s="8"/>
      <c r="D376" s="8"/>
      <c r="E376" s="11"/>
      <c r="F376" s="11"/>
      <c r="G376" s="11"/>
      <c r="H376" s="8"/>
      <c r="I376" s="8"/>
      <c r="J376" s="8"/>
      <c r="K376" s="11"/>
      <c r="L376" s="11"/>
      <c r="M376" s="11"/>
      <c r="N376" s="11"/>
      <c r="O376" s="8"/>
      <c r="P376" s="8"/>
      <c r="Q376" s="8"/>
      <c r="R376" s="8"/>
      <c r="S376" s="8"/>
      <c r="T376" s="8"/>
      <c r="U376" s="11"/>
      <c r="V376" s="11"/>
      <c r="W376" s="11"/>
      <c r="X376" s="8"/>
      <c r="Y376" s="8"/>
      <c r="Z376" s="8"/>
      <c r="AA376" s="11"/>
      <c r="AB376" s="11"/>
      <c r="AC376" s="11"/>
      <c r="AD376" s="11"/>
    </row>
    <row r="377" ht="15.75" customHeight="1">
      <c r="A377" s="8"/>
      <c r="B377" s="8"/>
      <c r="C377" s="8"/>
      <c r="D377" s="8"/>
      <c r="E377" s="11"/>
      <c r="F377" s="11"/>
      <c r="G377" s="11"/>
      <c r="H377" s="8"/>
      <c r="I377" s="8"/>
      <c r="J377" s="8"/>
      <c r="K377" s="11"/>
      <c r="L377" s="11"/>
      <c r="M377" s="11"/>
      <c r="N377" s="11"/>
      <c r="O377" s="8"/>
      <c r="P377" s="8"/>
      <c r="Q377" s="8"/>
      <c r="R377" s="8"/>
      <c r="S377" s="8"/>
      <c r="T377" s="8"/>
      <c r="U377" s="11"/>
      <c r="V377" s="11"/>
      <c r="W377" s="11"/>
      <c r="X377" s="8"/>
      <c r="Y377" s="8"/>
      <c r="Z377" s="8"/>
      <c r="AA377" s="11"/>
      <c r="AB377" s="11"/>
      <c r="AC377" s="11"/>
      <c r="AD377" s="11"/>
    </row>
    <row r="378" ht="15.75" customHeight="1">
      <c r="A378" s="8"/>
      <c r="B378" s="8"/>
      <c r="C378" s="8"/>
      <c r="D378" s="8"/>
      <c r="E378" s="11"/>
      <c r="F378" s="11"/>
      <c r="G378" s="11"/>
      <c r="H378" s="8"/>
      <c r="I378" s="8"/>
      <c r="J378" s="8"/>
      <c r="K378" s="11"/>
      <c r="L378" s="11"/>
      <c r="M378" s="11"/>
      <c r="N378" s="11"/>
      <c r="O378" s="8"/>
      <c r="P378" s="8"/>
      <c r="Q378" s="8"/>
      <c r="R378" s="8"/>
      <c r="S378" s="8"/>
      <c r="T378" s="8"/>
      <c r="U378" s="11"/>
      <c r="V378" s="11"/>
      <c r="W378" s="11"/>
      <c r="X378" s="8"/>
      <c r="Y378" s="8"/>
      <c r="Z378" s="8"/>
      <c r="AA378" s="11"/>
      <c r="AB378" s="11"/>
      <c r="AC378" s="11"/>
      <c r="AD378" s="11"/>
    </row>
    <row r="379" ht="15.75" customHeight="1">
      <c r="A379" s="8"/>
      <c r="B379" s="8"/>
      <c r="C379" s="8"/>
      <c r="D379" s="8"/>
      <c r="E379" s="11"/>
      <c r="F379" s="11"/>
      <c r="G379" s="11"/>
      <c r="H379" s="8"/>
      <c r="I379" s="8"/>
      <c r="J379" s="8"/>
      <c r="K379" s="11"/>
      <c r="L379" s="11"/>
      <c r="M379" s="11"/>
      <c r="N379" s="11"/>
      <c r="O379" s="8"/>
      <c r="P379" s="8"/>
      <c r="Q379" s="8"/>
      <c r="R379" s="8"/>
      <c r="S379" s="8"/>
      <c r="T379" s="8"/>
      <c r="U379" s="11"/>
      <c r="V379" s="11"/>
      <c r="W379" s="11"/>
      <c r="X379" s="8"/>
      <c r="Y379" s="8"/>
      <c r="Z379" s="8"/>
      <c r="AA379" s="11"/>
      <c r="AB379" s="11"/>
      <c r="AC379" s="11"/>
      <c r="AD379" s="11"/>
    </row>
    <row r="380" ht="15.75" customHeight="1">
      <c r="A380" s="8"/>
      <c r="B380" s="8"/>
      <c r="C380" s="8"/>
      <c r="D380" s="8"/>
      <c r="E380" s="11"/>
      <c r="F380" s="11"/>
      <c r="G380" s="11"/>
      <c r="H380" s="8"/>
      <c r="I380" s="8"/>
      <c r="J380" s="8"/>
      <c r="K380" s="11"/>
      <c r="L380" s="11"/>
      <c r="M380" s="11"/>
      <c r="N380" s="11"/>
      <c r="O380" s="8"/>
      <c r="P380" s="8"/>
      <c r="Q380" s="8"/>
      <c r="R380" s="8"/>
      <c r="S380" s="8"/>
      <c r="T380" s="8"/>
      <c r="U380" s="11"/>
      <c r="V380" s="11"/>
      <c r="W380" s="11"/>
      <c r="X380" s="8"/>
      <c r="Y380" s="8"/>
      <c r="Z380" s="8"/>
      <c r="AA380" s="11"/>
      <c r="AB380" s="11"/>
      <c r="AC380" s="11"/>
      <c r="AD380" s="11"/>
    </row>
    <row r="381" ht="15.75" customHeight="1">
      <c r="A381" s="8"/>
      <c r="B381" s="8"/>
      <c r="C381" s="8"/>
      <c r="D381" s="8"/>
      <c r="E381" s="11"/>
      <c r="F381" s="11"/>
      <c r="G381" s="11"/>
      <c r="H381" s="8"/>
      <c r="I381" s="8"/>
      <c r="J381" s="8"/>
      <c r="K381" s="11"/>
      <c r="L381" s="11"/>
      <c r="M381" s="11"/>
      <c r="N381" s="11"/>
      <c r="O381" s="8"/>
      <c r="P381" s="8"/>
      <c r="Q381" s="8"/>
      <c r="R381" s="8"/>
      <c r="S381" s="8"/>
      <c r="T381" s="8"/>
      <c r="U381" s="11"/>
      <c r="V381" s="11"/>
      <c r="W381" s="11"/>
      <c r="X381" s="8"/>
      <c r="Y381" s="8"/>
      <c r="Z381" s="8"/>
      <c r="AA381" s="11"/>
      <c r="AB381" s="11"/>
      <c r="AC381" s="11"/>
      <c r="AD381" s="11"/>
    </row>
    <row r="382" ht="15.75" customHeight="1">
      <c r="A382" s="8"/>
      <c r="B382" s="8"/>
      <c r="C382" s="8"/>
      <c r="D382" s="8"/>
      <c r="E382" s="11"/>
      <c r="F382" s="11"/>
      <c r="G382" s="11"/>
      <c r="H382" s="8"/>
      <c r="I382" s="8"/>
      <c r="J382" s="8"/>
      <c r="K382" s="11"/>
      <c r="L382" s="11"/>
      <c r="M382" s="11"/>
      <c r="N382" s="11"/>
      <c r="O382" s="8"/>
      <c r="P382" s="8"/>
      <c r="Q382" s="8"/>
      <c r="R382" s="8"/>
      <c r="S382" s="8"/>
      <c r="T382" s="8"/>
      <c r="U382" s="11"/>
      <c r="V382" s="11"/>
      <c r="W382" s="11"/>
      <c r="X382" s="8"/>
      <c r="Y382" s="8"/>
      <c r="Z382" s="8"/>
      <c r="AA382" s="11"/>
      <c r="AB382" s="11"/>
      <c r="AC382" s="11"/>
      <c r="AD382" s="11"/>
    </row>
    <row r="383" ht="15.75" customHeight="1">
      <c r="A383" s="8"/>
      <c r="B383" s="8"/>
      <c r="C383" s="8"/>
      <c r="D383" s="8"/>
      <c r="E383" s="11"/>
      <c r="F383" s="11"/>
      <c r="G383" s="11"/>
      <c r="H383" s="8"/>
      <c r="I383" s="8"/>
      <c r="J383" s="8"/>
      <c r="K383" s="11"/>
      <c r="L383" s="11"/>
      <c r="M383" s="11"/>
      <c r="N383" s="11"/>
      <c r="O383" s="8"/>
      <c r="P383" s="8"/>
      <c r="Q383" s="8"/>
      <c r="R383" s="8"/>
      <c r="S383" s="8"/>
      <c r="T383" s="8"/>
      <c r="U383" s="11"/>
      <c r="V383" s="11"/>
      <c r="W383" s="11"/>
      <c r="X383" s="8"/>
      <c r="Y383" s="8"/>
      <c r="Z383" s="8"/>
      <c r="AA383" s="11"/>
      <c r="AB383" s="11"/>
      <c r="AC383" s="11"/>
      <c r="AD383" s="11"/>
    </row>
    <row r="384" ht="15.75" customHeight="1">
      <c r="A384" s="8"/>
      <c r="B384" s="8"/>
      <c r="C384" s="8"/>
      <c r="D384" s="8"/>
      <c r="E384" s="11"/>
      <c r="F384" s="11"/>
      <c r="G384" s="11"/>
      <c r="H384" s="8"/>
      <c r="I384" s="8"/>
      <c r="J384" s="8"/>
      <c r="K384" s="11"/>
      <c r="L384" s="11"/>
      <c r="M384" s="11"/>
      <c r="N384" s="11"/>
      <c r="O384" s="8"/>
      <c r="P384" s="8"/>
      <c r="Q384" s="8"/>
      <c r="R384" s="8"/>
      <c r="S384" s="8"/>
      <c r="T384" s="8"/>
      <c r="U384" s="11"/>
      <c r="V384" s="11"/>
      <c r="W384" s="11"/>
      <c r="X384" s="8"/>
      <c r="Y384" s="8"/>
      <c r="Z384" s="8"/>
      <c r="AA384" s="11"/>
      <c r="AB384" s="11"/>
      <c r="AC384" s="11"/>
      <c r="AD384" s="11"/>
    </row>
    <row r="385" ht="15.75" customHeight="1">
      <c r="A385" s="8"/>
      <c r="B385" s="8"/>
      <c r="C385" s="8"/>
      <c r="D385" s="8"/>
      <c r="E385" s="11"/>
      <c r="F385" s="11"/>
      <c r="G385" s="11"/>
      <c r="H385" s="8"/>
      <c r="I385" s="8"/>
      <c r="J385" s="8"/>
      <c r="K385" s="11"/>
      <c r="L385" s="11"/>
      <c r="M385" s="11"/>
      <c r="N385" s="11"/>
      <c r="O385" s="8"/>
      <c r="P385" s="8"/>
      <c r="Q385" s="8"/>
      <c r="R385" s="8"/>
      <c r="S385" s="8"/>
      <c r="T385" s="8"/>
      <c r="U385" s="11"/>
      <c r="V385" s="11"/>
      <c r="W385" s="11"/>
      <c r="X385" s="8"/>
      <c r="Y385" s="8"/>
      <c r="Z385" s="8"/>
      <c r="AA385" s="11"/>
      <c r="AB385" s="11"/>
      <c r="AC385" s="11"/>
      <c r="AD385" s="11"/>
    </row>
    <row r="386" ht="15.75" customHeight="1">
      <c r="A386" s="8"/>
      <c r="B386" s="8"/>
      <c r="C386" s="8"/>
      <c r="D386" s="8"/>
      <c r="E386" s="11"/>
      <c r="F386" s="11"/>
      <c r="G386" s="11"/>
      <c r="H386" s="8"/>
      <c r="I386" s="8"/>
      <c r="J386" s="8"/>
      <c r="K386" s="11"/>
      <c r="L386" s="11"/>
      <c r="M386" s="11"/>
      <c r="N386" s="11"/>
      <c r="O386" s="8"/>
      <c r="P386" s="8"/>
      <c r="Q386" s="8"/>
      <c r="R386" s="8"/>
      <c r="S386" s="8"/>
      <c r="T386" s="8"/>
      <c r="U386" s="11"/>
      <c r="V386" s="11"/>
      <c r="W386" s="11"/>
      <c r="X386" s="8"/>
      <c r="Y386" s="8"/>
      <c r="Z386" s="8"/>
      <c r="AA386" s="11"/>
      <c r="AB386" s="11"/>
      <c r="AC386" s="11"/>
      <c r="AD386" s="11"/>
    </row>
    <row r="387" ht="15.75" customHeight="1">
      <c r="A387" s="8"/>
      <c r="B387" s="8"/>
      <c r="C387" s="8"/>
      <c r="D387" s="8"/>
      <c r="E387" s="11"/>
      <c r="F387" s="11"/>
      <c r="G387" s="11"/>
      <c r="H387" s="8"/>
      <c r="I387" s="8"/>
      <c r="J387" s="8"/>
      <c r="K387" s="11"/>
      <c r="L387" s="11"/>
      <c r="M387" s="11"/>
      <c r="N387" s="11"/>
      <c r="O387" s="8"/>
      <c r="P387" s="8"/>
      <c r="Q387" s="8"/>
      <c r="R387" s="8"/>
      <c r="S387" s="8"/>
      <c r="T387" s="8"/>
      <c r="U387" s="11"/>
      <c r="V387" s="11"/>
      <c r="W387" s="11"/>
      <c r="X387" s="8"/>
      <c r="Y387" s="8"/>
      <c r="Z387" s="8"/>
      <c r="AA387" s="11"/>
      <c r="AB387" s="11"/>
      <c r="AC387" s="11"/>
      <c r="AD387" s="11"/>
    </row>
    <row r="388" ht="15.75" customHeight="1">
      <c r="A388" s="8"/>
      <c r="B388" s="8"/>
      <c r="C388" s="8"/>
      <c r="D388" s="8"/>
      <c r="E388" s="11"/>
      <c r="F388" s="11"/>
      <c r="G388" s="11"/>
      <c r="H388" s="8"/>
      <c r="I388" s="8"/>
      <c r="J388" s="8"/>
      <c r="K388" s="11"/>
      <c r="L388" s="11"/>
      <c r="M388" s="11"/>
      <c r="N388" s="11"/>
      <c r="O388" s="8"/>
      <c r="P388" s="8"/>
      <c r="Q388" s="8"/>
      <c r="R388" s="8"/>
      <c r="S388" s="8"/>
      <c r="T388" s="8"/>
      <c r="U388" s="11"/>
      <c r="V388" s="11"/>
      <c r="W388" s="11"/>
      <c r="X388" s="8"/>
      <c r="Y388" s="8"/>
      <c r="Z388" s="8"/>
      <c r="AA388" s="11"/>
      <c r="AB388" s="11"/>
      <c r="AC388" s="11"/>
      <c r="AD388" s="11"/>
    </row>
    <row r="389" ht="15.75" customHeight="1">
      <c r="A389" s="8"/>
      <c r="B389" s="8"/>
      <c r="C389" s="8"/>
      <c r="D389" s="8"/>
      <c r="E389" s="11"/>
      <c r="F389" s="11"/>
      <c r="G389" s="11"/>
      <c r="H389" s="8"/>
      <c r="I389" s="8"/>
      <c r="J389" s="8"/>
      <c r="K389" s="11"/>
      <c r="L389" s="11"/>
      <c r="M389" s="11"/>
      <c r="N389" s="11"/>
      <c r="O389" s="8"/>
      <c r="P389" s="8"/>
      <c r="Q389" s="8"/>
      <c r="R389" s="8"/>
      <c r="S389" s="8"/>
      <c r="T389" s="8"/>
      <c r="U389" s="11"/>
      <c r="V389" s="11"/>
      <c r="W389" s="11"/>
      <c r="X389" s="8"/>
      <c r="Y389" s="8"/>
      <c r="Z389" s="8"/>
      <c r="AA389" s="11"/>
      <c r="AB389" s="11"/>
      <c r="AC389" s="11"/>
      <c r="AD389" s="11"/>
    </row>
    <row r="390" ht="15.75" customHeight="1">
      <c r="A390" s="8"/>
      <c r="B390" s="8"/>
      <c r="C390" s="8"/>
      <c r="D390" s="8"/>
      <c r="E390" s="11"/>
      <c r="F390" s="11"/>
      <c r="G390" s="11"/>
      <c r="H390" s="8"/>
      <c r="I390" s="8"/>
      <c r="J390" s="8"/>
      <c r="K390" s="11"/>
      <c r="L390" s="11"/>
      <c r="M390" s="11"/>
      <c r="N390" s="11"/>
      <c r="O390" s="8"/>
      <c r="P390" s="8"/>
      <c r="Q390" s="8"/>
      <c r="R390" s="8"/>
      <c r="S390" s="8"/>
      <c r="T390" s="8"/>
      <c r="U390" s="11"/>
      <c r="V390" s="11"/>
      <c r="W390" s="11"/>
      <c r="X390" s="8"/>
      <c r="Y390" s="8"/>
      <c r="Z390" s="8"/>
      <c r="AA390" s="11"/>
      <c r="AB390" s="11"/>
      <c r="AC390" s="11"/>
      <c r="AD390" s="11"/>
    </row>
    <row r="391" ht="15.75" customHeight="1">
      <c r="A391" s="8"/>
      <c r="B391" s="8"/>
      <c r="C391" s="8"/>
      <c r="D391" s="8"/>
      <c r="E391" s="11"/>
      <c r="F391" s="11"/>
      <c r="G391" s="11"/>
      <c r="H391" s="8"/>
      <c r="I391" s="8"/>
      <c r="J391" s="8"/>
      <c r="K391" s="11"/>
      <c r="L391" s="11"/>
      <c r="M391" s="11"/>
      <c r="N391" s="11"/>
      <c r="O391" s="8"/>
      <c r="P391" s="8"/>
      <c r="Q391" s="8"/>
      <c r="R391" s="8"/>
      <c r="S391" s="8"/>
      <c r="T391" s="8"/>
      <c r="U391" s="11"/>
      <c r="V391" s="11"/>
      <c r="W391" s="11"/>
      <c r="X391" s="8"/>
      <c r="Y391" s="8"/>
      <c r="Z391" s="8"/>
      <c r="AA391" s="11"/>
      <c r="AB391" s="11"/>
      <c r="AC391" s="11"/>
      <c r="AD391" s="11"/>
    </row>
    <row r="392" ht="15.75" customHeight="1">
      <c r="A392" s="8"/>
      <c r="B392" s="8"/>
      <c r="C392" s="8"/>
      <c r="D392" s="8"/>
      <c r="E392" s="11"/>
      <c r="F392" s="11"/>
      <c r="G392" s="11"/>
      <c r="H392" s="8"/>
      <c r="I392" s="8"/>
      <c r="J392" s="8"/>
      <c r="K392" s="11"/>
      <c r="L392" s="11"/>
      <c r="M392" s="11"/>
      <c r="N392" s="11"/>
      <c r="O392" s="8"/>
      <c r="P392" s="8"/>
      <c r="Q392" s="8"/>
      <c r="R392" s="8"/>
      <c r="S392" s="8"/>
      <c r="T392" s="8"/>
      <c r="U392" s="11"/>
      <c r="V392" s="11"/>
      <c r="W392" s="11"/>
      <c r="X392" s="8"/>
      <c r="Y392" s="8"/>
      <c r="Z392" s="8"/>
      <c r="AA392" s="11"/>
      <c r="AB392" s="11"/>
      <c r="AC392" s="11"/>
      <c r="AD392" s="11"/>
    </row>
    <row r="393" ht="15.75" customHeight="1">
      <c r="A393" s="8"/>
      <c r="B393" s="8"/>
      <c r="C393" s="8"/>
      <c r="D393" s="8"/>
      <c r="E393" s="11"/>
      <c r="F393" s="11"/>
      <c r="G393" s="11"/>
      <c r="H393" s="8"/>
      <c r="I393" s="8"/>
      <c r="J393" s="8"/>
      <c r="K393" s="11"/>
      <c r="L393" s="11"/>
      <c r="M393" s="11"/>
      <c r="N393" s="11"/>
      <c r="O393" s="8"/>
      <c r="P393" s="8"/>
      <c r="Q393" s="8"/>
      <c r="R393" s="8"/>
      <c r="S393" s="8"/>
      <c r="T393" s="8"/>
      <c r="U393" s="11"/>
      <c r="V393" s="11"/>
      <c r="W393" s="11"/>
      <c r="X393" s="8"/>
      <c r="Y393" s="8"/>
      <c r="Z393" s="8"/>
      <c r="AA393" s="11"/>
      <c r="AB393" s="11"/>
      <c r="AC393" s="11"/>
      <c r="AD393" s="11"/>
    </row>
    <row r="394" ht="15.75" customHeight="1">
      <c r="A394" s="8"/>
      <c r="B394" s="8"/>
      <c r="C394" s="8"/>
      <c r="D394" s="8"/>
      <c r="E394" s="11"/>
      <c r="F394" s="11"/>
      <c r="G394" s="11"/>
      <c r="H394" s="8"/>
      <c r="I394" s="8"/>
      <c r="J394" s="8"/>
      <c r="K394" s="11"/>
      <c r="L394" s="11"/>
      <c r="M394" s="11"/>
      <c r="N394" s="11"/>
      <c r="O394" s="8"/>
      <c r="P394" s="8"/>
      <c r="Q394" s="8"/>
      <c r="R394" s="8"/>
      <c r="S394" s="8"/>
      <c r="T394" s="8"/>
      <c r="U394" s="11"/>
      <c r="V394" s="11"/>
      <c r="W394" s="11"/>
      <c r="X394" s="8"/>
      <c r="Y394" s="8"/>
      <c r="Z394" s="8"/>
      <c r="AA394" s="11"/>
      <c r="AB394" s="11"/>
      <c r="AC394" s="11"/>
      <c r="AD394" s="11"/>
    </row>
    <row r="395" ht="15.75" customHeight="1">
      <c r="A395" s="8"/>
      <c r="B395" s="8"/>
      <c r="C395" s="8"/>
      <c r="D395" s="8"/>
      <c r="E395" s="11"/>
      <c r="F395" s="11"/>
      <c r="G395" s="11"/>
      <c r="H395" s="8"/>
      <c r="I395" s="8"/>
      <c r="J395" s="8"/>
      <c r="K395" s="11"/>
      <c r="L395" s="11"/>
      <c r="M395" s="11"/>
      <c r="N395" s="11"/>
      <c r="O395" s="8"/>
      <c r="P395" s="8"/>
      <c r="Q395" s="8"/>
      <c r="R395" s="8"/>
      <c r="S395" s="8"/>
      <c r="T395" s="8"/>
      <c r="U395" s="11"/>
      <c r="V395" s="11"/>
      <c r="W395" s="11"/>
      <c r="X395" s="8"/>
      <c r="Y395" s="8"/>
      <c r="Z395" s="8"/>
      <c r="AA395" s="11"/>
      <c r="AB395" s="11"/>
      <c r="AC395" s="11"/>
      <c r="AD395" s="11"/>
    </row>
    <row r="396" ht="15.75" customHeight="1">
      <c r="A396" s="8"/>
      <c r="B396" s="8"/>
      <c r="C396" s="8"/>
      <c r="D396" s="8"/>
      <c r="E396" s="11"/>
      <c r="F396" s="11"/>
      <c r="G396" s="11"/>
      <c r="H396" s="8"/>
      <c r="I396" s="8"/>
      <c r="J396" s="8"/>
      <c r="K396" s="11"/>
      <c r="L396" s="11"/>
      <c r="M396" s="11"/>
      <c r="N396" s="11"/>
      <c r="O396" s="8"/>
      <c r="P396" s="8"/>
      <c r="Q396" s="8"/>
      <c r="R396" s="8"/>
      <c r="S396" s="8"/>
      <c r="T396" s="8"/>
      <c r="U396" s="11"/>
      <c r="V396" s="11"/>
      <c r="W396" s="11"/>
      <c r="X396" s="8"/>
      <c r="Y396" s="8"/>
      <c r="Z396" s="8"/>
      <c r="AA396" s="11"/>
      <c r="AB396" s="11"/>
      <c r="AC396" s="11"/>
      <c r="AD396" s="11"/>
    </row>
    <row r="397" ht="15.75" customHeight="1">
      <c r="A397" s="8"/>
      <c r="B397" s="8"/>
      <c r="C397" s="8"/>
      <c r="D397" s="8"/>
      <c r="E397" s="11"/>
      <c r="F397" s="11"/>
      <c r="G397" s="11"/>
      <c r="H397" s="8"/>
      <c r="I397" s="8"/>
      <c r="J397" s="8"/>
      <c r="K397" s="11"/>
      <c r="L397" s="11"/>
      <c r="M397" s="11"/>
      <c r="N397" s="11"/>
      <c r="O397" s="8"/>
      <c r="P397" s="8"/>
      <c r="Q397" s="8"/>
      <c r="R397" s="8"/>
      <c r="S397" s="8"/>
      <c r="T397" s="8"/>
      <c r="U397" s="11"/>
      <c r="V397" s="11"/>
      <c r="W397" s="11"/>
      <c r="X397" s="8"/>
      <c r="Y397" s="8"/>
      <c r="Z397" s="8"/>
      <c r="AA397" s="11"/>
      <c r="AB397" s="11"/>
      <c r="AC397" s="11"/>
      <c r="AD397" s="11"/>
    </row>
    <row r="398" ht="15.75" customHeight="1">
      <c r="A398" s="8"/>
      <c r="B398" s="8"/>
      <c r="C398" s="8"/>
      <c r="D398" s="8"/>
      <c r="E398" s="11"/>
      <c r="F398" s="11"/>
      <c r="G398" s="11"/>
      <c r="H398" s="8"/>
      <c r="I398" s="8"/>
      <c r="J398" s="8"/>
      <c r="K398" s="11"/>
      <c r="L398" s="11"/>
      <c r="M398" s="11"/>
      <c r="N398" s="11"/>
      <c r="O398" s="8"/>
      <c r="P398" s="8"/>
      <c r="Q398" s="8"/>
      <c r="R398" s="8"/>
      <c r="S398" s="8"/>
      <c r="T398" s="8"/>
      <c r="U398" s="11"/>
      <c r="V398" s="11"/>
      <c r="W398" s="11"/>
      <c r="X398" s="8"/>
      <c r="Y398" s="8"/>
      <c r="Z398" s="8"/>
      <c r="AA398" s="11"/>
      <c r="AB398" s="11"/>
      <c r="AC398" s="11"/>
      <c r="AD398" s="11"/>
    </row>
    <row r="399" ht="15.75" customHeight="1">
      <c r="A399" s="8"/>
      <c r="B399" s="8"/>
      <c r="C399" s="8"/>
      <c r="D399" s="8"/>
      <c r="E399" s="11"/>
      <c r="F399" s="11"/>
      <c r="G399" s="11"/>
      <c r="H399" s="8"/>
      <c r="I399" s="8"/>
      <c r="J399" s="8"/>
      <c r="K399" s="11"/>
      <c r="L399" s="11"/>
      <c r="M399" s="11"/>
      <c r="N399" s="11"/>
      <c r="O399" s="8"/>
      <c r="P399" s="8"/>
      <c r="Q399" s="8"/>
      <c r="R399" s="8"/>
      <c r="S399" s="8"/>
      <c r="T399" s="8"/>
      <c r="U399" s="11"/>
      <c r="V399" s="11"/>
      <c r="W399" s="11"/>
      <c r="X399" s="8"/>
      <c r="Y399" s="8"/>
      <c r="Z399" s="8"/>
      <c r="AA399" s="11"/>
      <c r="AB399" s="11"/>
      <c r="AC399" s="11"/>
      <c r="AD399" s="11"/>
    </row>
    <row r="400" ht="15.75" customHeight="1">
      <c r="A400" s="8"/>
      <c r="B400" s="8"/>
      <c r="C400" s="8"/>
      <c r="D400" s="8"/>
      <c r="E400" s="11"/>
      <c r="F400" s="11"/>
      <c r="G400" s="11"/>
      <c r="H400" s="8"/>
      <c r="I400" s="8"/>
      <c r="J400" s="8"/>
      <c r="K400" s="11"/>
      <c r="L400" s="11"/>
      <c r="M400" s="11"/>
      <c r="N400" s="11"/>
      <c r="O400" s="8"/>
      <c r="P400" s="8"/>
      <c r="Q400" s="8"/>
      <c r="R400" s="8"/>
      <c r="S400" s="8"/>
      <c r="T400" s="8"/>
      <c r="U400" s="11"/>
      <c r="V400" s="11"/>
      <c r="W400" s="11"/>
      <c r="X400" s="8"/>
      <c r="Y400" s="8"/>
      <c r="Z400" s="8"/>
      <c r="AA400" s="11"/>
      <c r="AB400" s="11"/>
      <c r="AC400" s="11"/>
      <c r="AD400" s="11"/>
    </row>
    <row r="401" ht="15.75" customHeight="1">
      <c r="A401" s="8"/>
      <c r="B401" s="8"/>
      <c r="C401" s="8"/>
      <c r="D401" s="8"/>
      <c r="E401" s="11"/>
      <c r="F401" s="11"/>
      <c r="G401" s="11"/>
      <c r="H401" s="8"/>
      <c r="I401" s="8"/>
      <c r="J401" s="8"/>
      <c r="K401" s="11"/>
      <c r="L401" s="11"/>
      <c r="M401" s="11"/>
      <c r="N401" s="11"/>
      <c r="O401" s="8"/>
      <c r="P401" s="8"/>
      <c r="Q401" s="8"/>
      <c r="R401" s="8"/>
      <c r="S401" s="8"/>
      <c r="T401" s="8"/>
      <c r="U401" s="11"/>
      <c r="V401" s="11"/>
      <c r="W401" s="11"/>
      <c r="X401" s="8"/>
      <c r="Y401" s="8"/>
      <c r="Z401" s="8"/>
      <c r="AA401" s="11"/>
      <c r="AB401" s="11"/>
      <c r="AC401" s="11"/>
      <c r="AD401" s="11"/>
    </row>
    <row r="402" ht="15.75" customHeight="1">
      <c r="A402" s="8"/>
      <c r="B402" s="8"/>
      <c r="C402" s="8"/>
      <c r="D402" s="8"/>
      <c r="E402" s="11"/>
      <c r="F402" s="11"/>
      <c r="G402" s="11"/>
      <c r="H402" s="8"/>
      <c r="I402" s="8"/>
      <c r="J402" s="8"/>
      <c r="K402" s="11"/>
      <c r="L402" s="11"/>
      <c r="M402" s="11"/>
      <c r="N402" s="11"/>
      <c r="O402" s="8"/>
      <c r="P402" s="8"/>
      <c r="Q402" s="8"/>
      <c r="R402" s="8"/>
      <c r="S402" s="8"/>
      <c r="T402" s="8"/>
      <c r="U402" s="11"/>
      <c r="V402" s="11"/>
      <c r="W402" s="11"/>
      <c r="X402" s="8"/>
      <c r="Y402" s="8"/>
      <c r="Z402" s="8"/>
      <c r="AA402" s="11"/>
      <c r="AB402" s="11"/>
      <c r="AC402" s="11"/>
      <c r="AD402" s="11"/>
    </row>
    <row r="403" ht="15.75" customHeight="1">
      <c r="A403" s="8"/>
      <c r="B403" s="8"/>
      <c r="C403" s="8"/>
      <c r="D403" s="8"/>
      <c r="E403" s="11"/>
      <c r="F403" s="11"/>
      <c r="G403" s="11"/>
      <c r="H403" s="8"/>
      <c r="I403" s="8"/>
      <c r="J403" s="8"/>
      <c r="K403" s="11"/>
      <c r="L403" s="11"/>
      <c r="M403" s="11"/>
      <c r="N403" s="11"/>
      <c r="O403" s="8"/>
      <c r="P403" s="8"/>
      <c r="Q403" s="8"/>
      <c r="R403" s="8"/>
      <c r="S403" s="8"/>
      <c r="T403" s="8"/>
      <c r="U403" s="11"/>
      <c r="V403" s="11"/>
      <c r="W403" s="11"/>
      <c r="X403" s="8"/>
      <c r="Y403" s="8"/>
      <c r="Z403" s="8"/>
      <c r="AA403" s="11"/>
      <c r="AB403" s="11"/>
      <c r="AC403" s="11"/>
      <c r="AD403" s="11"/>
    </row>
    <row r="404" ht="15.75" customHeight="1">
      <c r="A404" s="8"/>
      <c r="B404" s="8"/>
      <c r="C404" s="8"/>
      <c r="D404" s="8"/>
      <c r="E404" s="11"/>
      <c r="F404" s="11"/>
      <c r="G404" s="11"/>
      <c r="H404" s="8"/>
      <c r="I404" s="8"/>
      <c r="J404" s="8"/>
      <c r="K404" s="11"/>
      <c r="L404" s="11"/>
      <c r="M404" s="11"/>
      <c r="N404" s="11"/>
      <c r="O404" s="8"/>
      <c r="P404" s="8"/>
      <c r="Q404" s="8"/>
      <c r="R404" s="8"/>
      <c r="S404" s="8"/>
      <c r="T404" s="8"/>
      <c r="U404" s="11"/>
      <c r="V404" s="11"/>
      <c r="W404" s="11"/>
      <c r="X404" s="8"/>
      <c r="Y404" s="8"/>
      <c r="Z404" s="8"/>
      <c r="AA404" s="11"/>
      <c r="AB404" s="11"/>
      <c r="AC404" s="11"/>
      <c r="AD404" s="11"/>
    </row>
    <row r="405" ht="15.75" customHeight="1">
      <c r="A405" s="8"/>
      <c r="B405" s="8"/>
      <c r="C405" s="8"/>
      <c r="D405" s="8"/>
      <c r="E405" s="11"/>
      <c r="F405" s="11"/>
      <c r="G405" s="11"/>
      <c r="H405" s="8"/>
      <c r="I405" s="8"/>
      <c r="J405" s="8"/>
      <c r="K405" s="11"/>
      <c r="L405" s="11"/>
      <c r="M405" s="11"/>
      <c r="N405" s="11"/>
      <c r="O405" s="8"/>
      <c r="P405" s="8"/>
      <c r="Q405" s="8"/>
      <c r="R405" s="8"/>
      <c r="S405" s="8"/>
      <c r="T405" s="8"/>
      <c r="U405" s="11"/>
      <c r="V405" s="11"/>
      <c r="W405" s="11"/>
      <c r="X405" s="8"/>
      <c r="Y405" s="8"/>
      <c r="Z405" s="8"/>
      <c r="AA405" s="11"/>
      <c r="AB405" s="11"/>
      <c r="AC405" s="11"/>
      <c r="AD405" s="11"/>
    </row>
    <row r="406" ht="15.75" customHeight="1">
      <c r="A406" s="8"/>
      <c r="B406" s="8"/>
      <c r="C406" s="8"/>
      <c r="D406" s="8"/>
      <c r="E406" s="11"/>
      <c r="F406" s="11"/>
      <c r="G406" s="11"/>
      <c r="H406" s="8"/>
      <c r="I406" s="8"/>
      <c r="J406" s="8"/>
      <c r="K406" s="11"/>
      <c r="L406" s="11"/>
      <c r="M406" s="11"/>
      <c r="N406" s="11"/>
      <c r="O406" s="8"/>
      <c r="P406" s="8"/>
      <c r="Q406" s="8"/>
      <c r="R406" s="8"/>
      <c r="S406" s="8"/>
      <c r="T406" s="8"/>
      <c r="U406" s="11"/>
      <c r="V406" s="11"/>
      <c r="W406" s="11"/>
      <c r="X406" s="8"/>
      <c r="Y406" s="8"/>
      <c r="Z406" s="8"/>
      <c r="AA406" s="11"/>
      <c r="AB406" s="11"/>
      <c r="AC406" s="11"/>
      <c r="AD406" s="11"/>
    </row>
    <row r="407" ht="15.75" customHeight="1">
      <c r="A407" s="8"/>
      <c r="B407" s="8"/>
      <c r="C407" s="8"/>
      <c r="D407" s="8"/>
      <c r="E407" s="11"/>
      <c r="F407" s="11"/>
      <c r="G407" s="11"/>
      <c r="H407" s="8"/>
      <c r="I407" s="8"/>
      <c r="J407" s="8"/>
      <c r="K407" s="11"/>
      <c r="L407" s="11"/>
      <c r="M407" s="11"/>
      <c r="N407" s="11"/>
      <c r="O407" s="8"/>
      <c r="P407" s="8"/>
      <c r="Q407" s="8"/>
      <c r="R407" s="8"/>
      <c r="S407" s="8"/>
      <c r="T407" s="8"/>
      <c r="U407" s="11"/>
      <c r="V407" s="11"/>
      <c r="W407" s="11"/>
      <c r="X407" s="8"/>
      <c r="Y407" s="8"/>
      <c r="Z407" s="8"/>
      <c r="AA407" s="11"/>
      <c r="AB407" s="11"/>
      <c r="AC407" s="11"/>
      <c r="AD407" s="11"/>
    </row>
    <row r="408" ht="15.75" customHeight="1">
      <c r="A408" s="8"/>
      <c r="B408" s="8"/>
      <c r="C408" s="8"/>
      <c r="D408" s="8"/>
      <c r="E408" s="11"/>
      <c r="F408" s="11"/>
      <c r="G408" s="11"/>
      <c r="H408" s="8"/>
      <c r="I408" s="8"/>
      <c r="J408" s="8"/>
      <c r="K408" s="11"/>
      <c r="L408" s="11"/>
      <c r="M408" s="11"/>
      <c r="N408" s="11"/>
      <c r="O408" s="8"/>
      <c r="P408" s="8"/>
      <c r="Q408" s="8"/>
      <c r="R408" s="8"/>
      <c r="S408" s="8"/>
      <c r="T408" s="8"/>
      <c r="U408" s="11"/>
      <c r="V408" s="11"/>
      <c r="W408" s="11"/>
      <c r="X408" s="8"/>
      <c r="Y408" s="8"/>
      <c r="Z408" s="8"/>
      <c r="AA408" s="11"/>
      <c r="AB408" s="11"/>
      <c r="AC408" s="11"/>
      <c r="AD408" s="11"/>
    </row>
    <row r="409" ht="15.75" customHeight="1">
      <c r="A409" s="8"/>
      <c r="B409" s="8"/>
      <c r="C409" s="8"/>
      <c r="D409" s="8"/>
      <c r="E409" s="11"/>
      <c r="F409" s="11"/>
      <c r="G409" s="11"/>
      <c r="H409" s="8"/>
      <c r="I409" s="8"/>
      <c r="J409" s="8"/>
      <c r="K409" s="11"/>
      <c r="L409" s="11"/>
      <c r="M409" s="11"/>
      <c r="N409" s="11"/>
      <c r="O409" s="8"/>
      <c r="P409" s="8"/>
      <c r="Q409" s="8"/>
      <c r="R409" s="8"/>
      <c r="S409" s="8"/>
      <c r="T409" s="8"/>
      <c r="U409" s="11"/>
      <c r="V409" s="11"/>
      <c r="W409" s="11"/>
      <c r="X409" s="8"/>
      <c r="Y409" s="8"/>
      <c r="Z409" s="8"/>
      <c r="AA409" s="11"/>
      <c r="AB409" s="11"/>
      <c r="AC409" s="11"/>
      <c r="AD409" s="11"/>
    </row>
    <row r="410" ht="15.75" customHeight="1">
      <c r="A410" s="8"/>
      <c r="B410" s="8"/>
      <c r="C410" s="8"/>
      <c r="D410" s="8"/>
      <c r="E410" s="11"/>
      <c r="F410" s="11"/>
      <c r="G410" s="11"/>
      <c r="H410" s="8"/>
      <c r="I410" s="8"/>
      <c r="J410" s="8"/>
      <c r="K410" s="11"/>
      <c r="L410" s="11"/>
      <c r="M410" s="11"/>
      <c r="N410" s="11"/>
      <c r="O410" s="8"/>
      <c r="P410" s="8"/>
      <c r="Q410" s="8"/>
      <c r="R410" s="8"/>
      <c r="S410" s="8"/>
      <c r="T410" s="8"/>
      <c r="U410" s="11"/>
      <c r="V410" s="11"/>
      <c r="W410" s="11"/>
      <c r="X410" s="8"/>
      <c r="Y410" s="8"/>
      <c r="Z410" s="8"/>
      <c r="AA410" s="11"/>
      <c r="AB410" s="11"/>
      <c r="AC410" s="11"/>
      <c r="AD410" s="11"/>
    </row>
    <row r="411" ht="15.75" customHeight="1">
      <c r="A411" s="8"/>
      <c r="B411" s="8"/>
      <c r="C411" s="8"/>
      <c r="D411" s="8"/>
      <c r="E411" s="11"/>
      <c r="F411" s="11"/>
      <c r="G411" s="11"/>
      <c r="H411" s="8"/>
      <c r="I411" s="8"/>
      <c r="J411" s="8"/>
      <c r="K411" s="11"/>
      <c r="L411" s="11"/>
      <c r="M411" s="11"/>
      <c r="N411" s="11"/>
      <c r="O411" s="8"/>
      <c r="P411" s="8"/>
      <c r="Q411" s="8"/>
      <c r="R411" s="8"/>
      <c r="S411" s="8"/>
      <c r="T411" s="8"/>
      <c r="U411" s="11"/>
      <c r="V411" s="11"/>
      <c r="W411" s="11"/>
      <c r="X411" s="8"/>
      <c r="Y411" s="8"/>
      <c r="Z411" s="8"/>
      <c r="AA411" s="11"/>
      <c r="AB411" s="11"/>
      <c r="AC411" s="11"/>
      <c r="AD411" s="11"/>
    </row>
    <row r="412" ht="15.75" customHeight="1">
      <c r="A412" s="8"/>
      <c r="B412" s="8"/>
      <c r="C412" s="8"/>
      <c r="D412" s="8"/>
      <c r="E412" s="11"/>
      <c r="F412" s="11"/>
      <c r="G412" s="11"/>
      <c r="H412" s="8"/>
      <c r="I412" s="8"/>
      <c r="J412" s="8"/>
      <c r="K412" s="11"/>
      <c r="L412" s="11"/>
      <c r="M412" s="11"/>
      <c r="N412" s="11"/>
      <c r="O412" s="8"/>
      <c r="P412" s="8"/>
      <c r="Q412" s="8"/>
      <c r="R412" s="8"/>
      <c r="S412" s="8"/>
      <c r="T412" s="8"/>
      <c r="U412" s="11"/>
      <c r="V412" s="11"/>
      <c r="W412" s="11"/>
      <c r="X412" s="8"/>
      <c r="Y412" s="8"/>
      <c r="Z412" s="8"/>
      <c r="AA412" s="11"/>
      <c r="AB412" s="11"/>
      <c r="AC412" s="11"/>
      <c r="AD412" s="11"/>
    </row>
    <row r="413" ht="15.75" customHeight="1">
      <c r="A413" s="8"/>
      <c r="B413" s="8"/>
      <c r="C413" s="8"/>
      <c r="D413" s="8"/>
      <c r="E413" s="11"/>
      <c r="F413" s="11"/>
      <c r="G413" s="11"/>
      <c r="H413" s="8"/>
      <c r="I413" s="8"/>
      <c r="J413" s="8"/>
      <c r="K413" s="11"/>
      <c r="L413" s="11"/>
      <c r="M413" s="11"/>
      <c r="N413" s="11"/>
      <c r="O413" s="8"/>
      <c r="P413" s="8"/>
      <c r="Q413" s="8"/>
      <c r="R413" s="8"/>
      <c r="S413" s="8"/>
      <c r="T413" s="8"/>
      <c r="U413" s="11"/>
      <c r="V413" s="11"/>
      <c r="W413" s="11"/>
      <c r="X413" s="8"/>
      <c r="Y413" s="8"/>
      <c r="Z413" s="8"/>
      <c r="AA413" s="11"/>
      <c r="AB413" s="11"/>
      <c r="AC413" s="11"/>
      <c r="AD413" s="11"/>
    </row>
    <row r="414" ht="15.75" customHeight="1">
      <c r="A414" s="8"/>
      <c r="B414" s="8"/>
      <c r="C414" s="8"/>
      <c r="D414" s="8"/>
      <c r="E414" s="11"/>
      <c r="F414" s="11"/>
      <c r="G414" s="11"/>
      <c r="H414" s="8"/>
      <c r="I414" s="8"/>
      <c r="J414" s="8"/>
      <c r="K414" s="11"/>
      <c r="L414" s="11"/>
      <c r="M414" s="11"/>
      <c r="N414" s="11"/>
      <c r="O414" s="8"/>
      <c r="P414" s="8"/>
      <c r="Q414" s="8"/>
      <c r="R414" s="8"/>
      <c r="S414" s="8"/>
      <c r="T414" s="8"/>
      <c r="U414" s="11"/>
      <c r="V414" s="11"/>
      <c r="W414" s="11"/>
      <c r="X414" s="8"/>
      <c r="Y414" s="8"/>
      <c r="Z414" s="8"/>
      <c r="AA414" s="11"/>
      <c r="AB414" s="11"/>
      <c r="AC414" s="11"/>
      <c r="AD414" s="11"/>
    </row>
    <row r="415" ht="15.75" customHeight="1">
      <c r="A415" s="8"/>
      <c r="B415" s="8"/>
      <c r="C415" s="8"/>
      <c r="D415" s="8"/>
      <c r="E415" s="11"/>
      <c r="F415" s="11"/>
      <c r="G415" s="11"/>
      <c r="H415" s="8"/>
      <c r="I415" s="8"/>
      <c r="J415" s="8"/>
      <c r="K415" s="11"/>
      <c r="L415" s="11"/>
      <c r="M415" s="11"/>
      <c r="N415" s="11"/>
      <c r="O415" s="8"/>
      <c r="P415" s="8"/>
      <c r="Q415" s="8"/>
      <c r="R415" s="8"/>
      <c r="S415" s="8"/>
      <c r="T415" s="8"/>
      <c r="U415" s="11"/>
      <c r="V415" s="11"/>
      <c r="W415" s="11"/>
      <c r="X415" s="8"/>
      <c r="Y415" s="8"/>
      <c r="Z415" s="8"/>
      <c r="AA415" s="11"/>
      <c r="AB415" s="11"/>
      <c r="AC415" s="11"/>
      <c r="AD415" s="11"/>
    </row>
    <row r="416" ht="15.75" customHeight="1">
      <c r="A416" s="8"/>
      <c r="B416" s="8"/>
      <c r="C416" s="8"/>
      <c r="D416" s="8"/>
      <c r="E416" s="11"/>
      <c r="F416" s="11"/>
      <c r="G416" s="11"/>
      <c r="H416" s="8"/>
      <c r="I416" s="8"/>
      <c r="J416" s="8"/>
      <c r="K416" s="11"/>
      <c r="L416" s="11"/>
      <c r="M416" s="11"/>
      <c r="N416" s="11"/>
      <c r="O416" s="8"/>
      <c r="P416" s="8"/>
      <c r="Q416" s="8"/>
      <c r="R416" s="8"/>
      <c r="S416" s="8"/>
      <c r="T416" s="8"/>
      <c r="U416" s="11"/>
      <c r="V416" s="11"/>
      <c r="W416" s="11"/>
      <c r="X416" s="8"/>
      <c r="Y416" s="8"/>
      <c r="Z416" s="8"/>
      <c r="AA416" s="11"/>
      <c r="AB416" s="11"/>
      <c r="AC416" s="11"/>
      <c r="AD416" s="11"/>
    </row>
    <row r="417" ht="15.75" customHeight="1">
      <c r="A417" s="8"/>
      <c r="B417" s="8"/>
      <c r="C417" s="8"/>
      <c r="D417" s="8"/>
      <c r="E417" s="11"/>
      <c r="F417" s="11"/>
      <c r="G417" s="11"/>
      <c r="H417" s="8"/>
      <c r="I417" s="8"/>
      <c r="J417" s="8"/>
      <c r="K417" s="11"/>
      <c r="L417" s="11"/>
      <c r="M417" s="11"/>
      <c r="N417" s="11"/>
      <c r="O417" s="8"/>
      <c r="P417" s="8"/>
      <c r="Q417" s="8"/>
      <c r="R417" s="8"/>
      <c r="S417" s="8"/>
      <c r="T417" s="8"/>
      <c r="U417" s="11"/>
      <c r="V417" s="11"/>
      <c r="W417" s="11"/>
      <c r="X417" s="8"/>
      <c r="Y417" s="8"/>
      <c r="Z417" s="8"/>
      <c r="AA417" s="11"/>
      <c r="AB417" s="11"/>
      <c r="AC417" s="11"/>
      <c r="AD417" s="11"/>
    </row>
    <row r="418" ht="15.75" customHeight="1">
      <c r="A418" s="8"/>
      <c r="B418" s="8"/>
      <c r="C418" s="8"/>
      <c r="D418" s="8"/>
      <c r="E418" s="11"/>
      <c r="F418" s="11"/>
      <c r="G418" s="11"/>
      <c r="H418" s="8"/>
      <c r="I418" s="8"/>
      <c r="J418" s="8"/>
      <c r="K418" s="11"/>
      <c r="L418" s="11"/>
      <c r="M418" s="11"/>
      <c r="N418" s="11"/>
      <c r="O418" s="8"/>
      <c r="P418" s="8"/>
      <c r="Q418" s="8"/>
      <c r="R418" s="8"/>
      <c r="S418" s="8"/>
      <c r="T418" s="8"/>
      <c r="U418" s="11"/>
      <c r="V418" s="11"/>
      <c r="W418" s="11"/>
      <c r="X418" s="8"/>
      <c r="Y418" s="8"/>
      <c r="Z418" s="8"/>
      <c r="AA418" s="11"/>
      <c r="AB418" s="11"/>
      <c r="AC418" s="11"/>
      <c r="AD418" s="11"/>
    </row>
    <row r="419" ht="15.75" customHeight="1">
      <c r="A419" s="8"/>
      <c r="B419" s="8"/>
      <c r="C419" s="8"/>
      <c r="D419" s="8"/>
      <c r="E419" s="11"/>
      <c r="F419" s="11"/>
      <c r="G419" s="11"/>
      <c r="H419" s="8"/>
      <c r="I419" s="8"/>
      <c r="J419" s="8"/>
      <c r="K419" s="11"/>
      <c r="L419" s="11"/>
      <c r="M419" s="11"/>
      <c r="N419" s="11"/>
      <c r="O419" s="8"/>
      <c r="P419" s="8"/>
      <c r="Q419" s="8"/>
      <c r="R419" s="8"/>
      <c r="S419" s="8"/>
      <c r="T419" s="8"/>
      <c r="U419" s="11"/>
      <c r="V419" s="11"/>
      <c r="W419" s="11"/>
      <c r="X419" s="8"/>
      <c r="Y419" s="8"/>
      <c r="Z419" s="8"/>
      <c r="AA419" s="11"/>
      <c r="AB419" s="11"/>
      <c r="AC419" s="11"/>
      <c r="AD419" s="11"/>
    </row>
    <row r="420" ht="15.75" customHeight="1">
      <c r="A420" s="8"/>
      <c r="B420" s="8"/>
      <c r="C420" s="8"/>
      <c r="D420" s="8"/>
      <c r="E420" s="11"/>
      <c r="F420" s="11"/>
      <c r="G420" s="11"/>
      <c r="H420" s="8"/>
      <c r="I420" s="8"/>
      <c r="J420" s="8"/>
      <c r="K420" s="11"/>
      <c r="L420" s="11"/>
      <c r="M420" s="11"/>
      <c r="N420" s="11"/>
      <c r="O420" s="8"/>
      <c r="P420" s="8"/>
      <c r="Q420" s="8"/>
      <c r="R420" s="8"/>
      <c r="S420" s="8"/>
      <c r="T420" s="8"/>
      <c r="U420" s="11"/>
      <c r="V420" s="11"/>
      <c r="W420" s="11"/>
      <c r="X420" s="8"/>
      <c r="Y420" s="8"/>
      <c r="Z420" s="8"/>
      <c r="AA420" s="11"/>
      <c r="AB420" s="11"/>
      <c r="AC420" s="11"/>
      <c r="AD420" s="11"/>
    </row>
    <row r="421" ht="15.75" customHeight="1">
      <c r="A421" s="8"/>
      <c r="B421" s="8"/>
      <c r="C421" s="8"/>
      <c r="D421" s="8"/>
      <c r="E421" s="11"/>
      <c r="F421" s="11"/>
      <c r="G421" s="11"/>
      <c r="H421" s="8"/>
      <c r="I421" s="8"/>
      <c r="J421" s="8"/>
      <c r="K421" s="11"/>
      <c r="L421" s="11"/>
      <c r="M421" s="11"/>
      <c r="N421" s="11"/>
      <c r="O421" s="8"/>
      <c r="P421" s="8"/>
      <c r="Q421" s="8"/>
      <c r="R421" s="8"/>
      <c r="S421" s="8"/>
      <c r="T421" s="8"/>
      <c r="U421" s="11"/>
      <c r="V421" s="11"/>
      <c r="W421" s="11"/>
      <c r="X421" s="8"/>
      <c r="Y421" s="8"/>
      <c r="Z421" s="8"/>
      <c r="AA421" s="11"/>
      <c r="AB421" s="11"/>
      <c r="AC421" s="11"/>
      <c r="AD421" s="11"/>
    </row>
    <row r="422" ht="15.75" customHeight="1">
      <c r="A422" s="8"/>
      <c r="B422" s="8"/>
      <c r="C422" s="8"/>
      <c r="D422" s="8"/>
      <c r="E422" s="11"/>
      <c r="F422" s="11"/>
      <c r="G422" s="11"/>
      <c r="H422" s="8"/>
      <c r="I422" s="8"/>
      <c r="J422" s="8"/>
      <c r="K422" s="11"/>
      <c r="L422" s="11"/>
      <c r="M422" s="11"/>
      <c r="N422" s="11"/>
      <c r="O422" s="8"/>
      <c r="P422" s="8"/>
      <c r="Q422" s="8"/>
      <c r="R422" s="8"/>
      <c r="S422" s="8"/>
      <c r="T422" s="8"/>
      <c r="U422" s="11"/>
      <c r="V422" s="11"/>
      <c r="W422" s="11"/>
      <c r="X422" s="8"/>
      <c r="Y422" s="8"/>
      <c r="Z422" s="8"/>
      <c r="AA422" s="11"/>
      <c r="AB422" s="11"/>
      <c r="AC422" s="11"/>
      <c r="AD422" s="11"/>
    </row>
    <row r="423" ht="15.75" customHeight="1">
      <c r="A423" s="8"/>
      <c r="B423" s="8"/>
      <c r="C423" s="8"/>
      <c r="D423" s="8"/>
      <c r="E423" s="11"/>
      <c r="F423" s="11"/>
      <c r="G423" s="11"/>
      <c r="H423" s="8"/>
      <c r="I423" s="8"/>
      <c r="J423" s="8"/>
      <c r="K423" s="11"/>
      <c r="L423" s="11"/>
      <c r="M423" s="11"/>
      <c r="N423" s="11"/>
      <c r="O423" s="8"/>
      <c r="P423" s="8"/>
      <c r="Q423" s="8"/>
      <c r="R423" s="8"/>
      <c r="S423" s="8"/>
      <c r="T423" s="8"/>
      <c r="U423" s="11"/>
      <c r="V423" s="11"/>
      <c r="W423" s="11"/>
      <c r="X423" s="8"/>
      <c r="Y423" s="8"/>
      <c r="Z423" s="8"/>
      <c r="AA423" s="11"/>
      <c r="AB423" s="11"/>
      <c r="AC423" s="11"/>
      <c r="AD423" s="11"/>
    </row>
    <row r="424" ht="15.75" customHeight="1">
      <c r="A424" s="8"/>
      <c r="B424" s="8"/>
      <c r="C424" s="8"/>
      <c r="D424" s="8"/>
      <c r="E424" s="11"/>
      <c r="F424" s="11"/>
      <c r="G424" s="11"/>
      <c r="H424" s="8"/>
      <c r="I424" s="8"/>
      <c r="J424" s="8"/>
      <c r="K424" s="11"/>
      <c r="L424" s="11"/>
      <c r="M424" s="11"/>
      <c r="N424" s="11"/>
      <c r="O424" s="8"/>
      <c r="P424" s="8"/>
      <c r="Q424" s="8"/>
      <c r="R424" s="8"/>
      <c r="S424" s="8"/>
      <c r="T424" s="8"/>
      <c r="U424" s="11"/>
      <c r="V424" s="11"/>
      <c r="W424" s="11"/>
      <c r="X424" s="8"/>
      <c r="Y424" s="8"/>
      <c r="Z424" s="8"/>
      <c r="AA424" s="11"/>
      <c r="AB424" s="11"/>
      <c r="AC424" s="11"/>
      <c r="AD424" s="11"/>
    </row>
    <row r="425" ht="15.75" customHeight="1">
      <c r="A425" s="8"/>
      <c r="B425" s="8"/>
      <c r="C425" s="8"/>
      <c r="D425" s="8"/>
      <c r="E425" s="11"/>
      <c r="F425" s="11"/>
      <c r="G425" s="11"/>
      <c r="H425" s="8"/>
      <c r="I425" s="8"/>
      <c r="J425" s="8"/>
      <c r="K425" s="11"/>
      <c r="L425" s="11"/>
      <c r="M425" s="11"/>
      <c r="N425" s="11"/>
      <c r="O425" s="8"/>
      <c r="P425" s="8"/>
      <c r="Q425" s="8"/>
      <c r="R425" s="8"/>
      <c r="S425" s="8"/>
      <c r="T425" s="8"/>
      <c r="U425" s="11"/>
      <c r="V425" s="11"/>
      <c r="W425" s="11"/>
      <c r="X425" s="8"/>
      <c r="Y425" s="8"/>
      <c r="Z425" s="8"/>
      <c r="AA425" s="11"/>
      <c r="AB425" s="11"/>
      <c r="AC425" s="11"/>
      <c r="AD425" s="11"/>
    </row>
    <row r="426" ht="15.75" customHeight="1">
      <c r="A426" s="8"/>
      <c r="B426" s="8"/>
      <c r="C426" s="8"/>
      <c r="D426" s="8"/>
      <c r="E426" s="11"/>
      <c r="F426" s="11"/>
      <c r="G426" s="11"/>
      <c r="H426" s="8"/>
      <c r="I426" s="8"/>
      <c r="J426" s="8"/>
      <c r="K426" s="11"/>
      <c r="L426" s="11"/>
      <c r="M426" s="11"/>
      <c r="N426" s="11"/>
      <c r="O426" s="8"/>
      <c r="P426" s="8"/>
      <c r="Q426" s="8"/>
      <c r="R426" s="8"/>
      <c r="S426" s="8"/>
      <c r="T426" s="8"/>
      <c r="U426" s="11"/>
      <c r="V426" s="11"/>
      <c r="W426" s="11"/>
      <c r="X426" s="8"/>
      <c r="Y426" s="8"/>
      <c r="Z426" s="8"/>
      <c r="AA426" s="11"/>
      <c r="AB426" s="11"/>
      <c r="AC426" s="11"/>
      <c r="AD426" s="11"/>
    </row>
    <row r="427" ht="15.75" customHeight="1">
      <c r="A427" s="8"/>
      <c r="B427" s="8"/>
      <c r="C427" s="8"/>
      <c r="D427" s="8"/>
      <c r="E427" s="11"/>
      <c r="F427" s="11"/>
      <c r="G427" s="11"/>
      <c r="H427" s="8"/>
      <c r="I427" s="8"/>
      <c r="J427" s="8"/>
      <c r="K427" s="11"/>
      <c r="L427" s="11"/>
      <c r="M427" s="11"/>
      <c r="N427" s="11"/>
      <c r="O427" s="8"/>
      <c r="P427" s="8"/>
      <c r="Q427" s="8"/>
      <c r="R427" s="8"/>
      <c r="S427" s="8"/>
      <c r="T427" s="8"/>
      <c r="U427" s="11"/>
      <c r="V427" s="11"/>
      <c r="W427" s="11"/>
      <c r="X427" s="8"/>
      <c r="Y427" s="8"/>
      <c r="Z427" s="8"/>
      <c r="AA427" s="11"/>
      <c r="AB427" s="11"/>
      <c r="AC427" s="11"/>
      <c r="AD427" s="11"/>
    </row>
    <row r="428" ht="15.75" customHeight="1">
      <c r="A428" s="8"/>
      <c r="B428" s="8"/>
      <c r="C428" s="8"/>
      <c r="D428" s="8"/>
      <c r="E428" s="11"/>
      <c r="F428" s="11"/>
      <c r="G428" s="11"/>
      <c r="H428" s="8"/>
      <c r="I428" s="8"/>
      <c r="J428" s="8"/>
      <c r="K428" s="11"/>
      <c r="L428" s="11"/>
      <c r="M428" s="11"/>
      <c r="N428" s="11"/>
      <c r="O428" s="8"/>
      <c r="P428" s="8"/>
      <c r="Q428" s="8"/>
      <c r="R428" s="8"/>
      <c r="S428" s="8"/>
      <c r="T428" s="8"/>
      <c r="U428" s="11"/>
      <c r="V428" s="11"/>
      <c r="W428" s="11"/>
      <c r="X428" s="8"/>
      <c r="Y428" s="8"/>
      <c r="Z428" s="8"/>
      <c r="AA428" s="11"/>
      <c r="AB428" s="11"/>
      <c r="AC428" s="11"/>
      <c r="AD428" s="11"/>
    </row>
    <row r="429" ht="15.75" customHeight="1">
      <c r="A429" s="8"/>
      <c r="B429" s="8"/>
      <c r="C429" s="8"/>
      <c r="D429" s="8"/>
      <c r="E429" s="11"/>
      <c r="F429" s="11"/>
      <c r="G429" s="11"/>
      <c r="H429" s="8"/>
      <c r="I429" s="8"/>
      <c r="J429" s="8"/>
      <c r="K429" s="11"/>
      <c r="L429" s="11"/>
      <c r="M429" s="11"/>
      <c r="N429" s="11"/>
      <c r="O429" s="8"/>
      <c r="P429" s="8"/>
      <c r="Q429" s="8"/>
      <c r="R429" s="8"/>
      <c r="S429" s="8"/>
      <c r="T429" s="8"/>
      <c r="U429" s="11"/>
      <c r="V429" s="11"/>
      <c r="W429" s="11"/>
      <c r="X429" s="8"/>
      <c r="Y429" s="8"/>
      <c r="Z429" s="8"/>
      <c r="AA429" s="11"/>
      <c r="AB429" s="11"/>
      <c r="AC429" s="11"/>
      <c r="AD429" s="11"/>
    </row>
    <row r="430" ht="15.75" customHeight="1">
      <c r="A430" s="8"/>
      <c r="B430" s="8"/>
      <c r="C430" s="8"/>
      <c r="D430" s="8"/>
      <c r="E430" s="11"/>
      <c r="F430" s="11"/>
      <c r="G430" s="11"/>
      <c r="H430" s="8"/>
      <c r="I430" s="8"/>
      <c r="J430" s="8"/>
      <c r="K430" s="11"/>
      <c r="L430" s="11"/>
      <c r="M430" s="11"/>
      <c r="N430" s="11"/>
      <c r="O430" s="8"/>
      <c r="P430" s="8"/>
      <c r="Q430" s="8"/>
      <c r="R430" s="8"/>
      <c r="S430" s="8"/>
      <c r="T430" s="8"/>
      <c r="U430" s="11"/>
      <c r="V430" s="11"/>
      <c r="W430" s="11"/>
      <c r="X430" s="8"/>
      <c r="Y430" s="8"/>
      <c r="Z430" s="8"/>
      <c r="AA430" s="11"/>
      <c r="AB430" s="11"/>
      <c r="AC430" s="11"/>
      <c r="AD430" s="11"/>
    </row>
    <row r="431" ht="15.75" customHeight="1">
      <c r="A431" s="8"/>
      <c r="B431" s="8"/>
      <c r="C431" s="8"/>
      <c r="D431" s="8"/>
      <c r="E431" s="11"/>
      <c r="F431" s="11"/>
      <c r="G431" s="11"/>
      <c r="H431" s="8"/>
      <c r="I431" s="8"/>
      <c r="J431" s="8"/>
      <c r="K431" s="11"/>
      <c r="L431" s="11"/>
      <c r="M431" s="11"/>
      <c r="N431" s="11"/>
      <c r="O431" s="8"/>
      <c r="P431" s="8"/>
      <c r="Q431" s="8"/>
      <c r="R431" s="8"/>
      <c r="S431" s="8"/>
      <c r="T431" s="8"/>
      <c r="U431" s="11"/>
      <c r="V431" s="11"/>
      <c r="W431" s="11"/>
      <c r="X431" s="8"/>
      <c r="Y431" s="8"/>
      <c r="Z431" s="8"/>
      <c r="AA431" s="11"/>
      <c r="AB431" s="11"/>
      <c r="AC431" s="11"/>
      <c r="AD431" s="11"/>
    </row>
    <row r="432" ht="15.75" customHeight="1">
      <c r="A432" s="8"/>
      <c r="B432" s="8"/>
      <c r="C432" s="8"/>
      <c r="D432" s="8"/>
      <c r="E432" s="11"/>
      <c r="F432" s="11"/>
      <c r="G432" s="11"/>
      <c r="H432" s="8"/>
      <c r="I432" s="8"/>
      <c r="J432" s="8"/>
      <c r="K432" s="11"/>
      <c r="L432" s="11"/>
      <c r="M432" s="11"/>
      <c r="N432" s="11"/>
      <c r="O432" s="8"/>
      <c r="P432" s="8"/>
      <c r="Q432" s="8"/>
      <c r="R432" s="8"/>
      <c r="S432" s="8"/>
      <c r="T432" s="8"/>
      <c r="U432" s="11"/>
      <c r="V432" s="11"/>
      <c r="W432" s="11"/>
      <c r="X432" s="8"/>
      <c r="Y432" s="8"/>
      <c r="Z432" s="8"/>
      <c r="AA432" s="11"/>
      <c r="AB432" s="11"/>
      <c r="AC432" s="11"/>
      <c r="AD432" s="11"/>
    </row>
    <row r="433" ht="15.75" customHeight="1">
      <c r="A433" s="8"/>
      <c r="B433" s="8"/>
      <c r="C433" s="8"/>
      <c r="D433" s="8"/>
      <c r="E433" s="11"/>
      <c r="F433" s="11"/>
      <c r="G433" s="11"/>
      <c r="H433" s="8"/>
      <c r="I433" s="8"/>
      <c r="J433" s="8"/>
      <c r="K433" s="11"/>
      <c r="L433" s="11"/>
      <c r="M433" s="11"/>
      <c r="N433" s="11"/>
      <c r="O433" s="8"/>
      <c r="P433" s="8"/>
      <c r="Q433" s="8"/>
      <c r="R433" s="8"/>
      <c r="S433" s="8"/>
      <c r="T433" s="8"/>
      <c r="U433" s="11"/>
      <c r="V433" s="11"/>
      <c r="W433" s="11"/>
      <c r="X433" s="8"/>
      <c r="Y433" s="8"/>
      <c r="Z433" s="8"/>
      <c r="AA433" s="11"/>
      <c r="AB433" s="11"/>
      <c r="AC433" s="11"/>
      <c r="AD433" s="11"/>
    </row>
    <row r="434" ht="15.75" customHeight="1">
      <c r="A434" s="8"/>
      <c r="B434" s="8"/>
      <c r="C434" s="8"/>
      <c r="D434" s="8"/>
      <c r="E434" s="11"/>
      <c r="F434" s="11"/>
      <c r="G434" s="11"/>
      <c r="H434" s="8"/>
      <c r="I434" s="8"/>
      <c r="J434" s="8"/>
      <c r="K434" s="11"/>
      <c r="L434" s="11"/>
      <c r="M434" s="11"/>
      <c r="N434" s="11"/>
      <c r="O434" s="8"/>
      <c r="P434" s="8"/>
      <c r="Q434" s="8"/>
      <c r="R434" s="8"/>
      <c r="S434" s="8"/>
      <c r="T434" s="8"/>
      <c r="U434" s="11"/>
      <c r="V434" s="11"/>
      <c r="W434" s="11"/>
      <c r="X434" s="8"/>
      <c r="Y434" s="8"/>
      <c r="Z434" s="8"/>
      <c r="AA434" s="11"/>
      <c r="AB434" s="11"/>
      <c r="AC434" s="11"/>
      <c r="AD434" s="11"/>
    </row>
    <row r="435" ht="15.75" customHeight="1">
      <c r="A435" s="8"/>
      <c r="B435" s="8"/>
      <c r="C435" s="8"/>
      <c r="D435" s="8"/>
      <c r="E435" s="11"/>
      <c r="F435" s="11"/>
      <c r="G435" s="11"/>
      <c r="H435" s="8"/>
      <c r="I435" s="8"/>
      <c r="J435" s="8"/>
      <c r="K435" s="11"/>
      <c r="L435" s="11"/>
      <c r="M435" s="11"/>
      <c r="N435" s="11"/>
      <c r="O435" s="8"/>
      <c r="P435" s="8"/>
      <c r="Q435" s="8"/>
      <c r="R435" s="8"/>
      <c r="S435" s="8"/>
      <c r="T435" s="8"/>
      <c r="U435" s="11"/>
      <c r="V435" s="11"/>
      <c r="W435" s="11"/>
      <c r="X435" s="8"/>
      <c r="Y435" s="8"/>
      <c r="Z435" s="8"/>
      <c r="AA435" s="11"/>
      <c r="AB435" s="11"/>
      <c r="AC435" s="11"/>
      <c r="AD435" s="11"/>
    </row>
    <row r="436" ht="15.75" customHeight="1">
      <c r="A436" s="8"/>
      <c r="B436" s="8"/>
      <c r="C436" s="8"/>
      <c r="D436" s="8"/>
      <c r="E436" s="11"/>
      <c r="F436" s="11"/>
      <c r="G436" s="11"/>
      <c r="H436" s="8"/>
      <c r="I436" s="8"/>
      <c r="J436" s="8"/>
      <c r="K436" s="11"/>
      <c r="L436" s="11"/>
      <c r="M436" s="11"/>
      <c r="N436" s="11"/>
      <c r="O436" s="8"/>
      <c r="P436" s="8"/>
      <c r="Q436" s="8"/>
      <c r="R436" s="8"/>
      <c r="S436" s="8"/>
      <c r="T436" s="8"/>
      <c r="U436" s="11"/>
      <c r="V436" s="11"/>
      <c r="W436" s="11"/>
      <c r="X436" s="8"/>
      <c r="Y436" s="8"/>
      <c r="Z436" s="8"/>
      <c r="AA436" s="11"/>
      <c r="AB436" s="11"/>
      <c r="AC436" s="11"/>
      <c r="AD436" s="11"/>
    </row>
    <row r="437" ht="15.75" customHeight="1">
      <c r="A437" s="8"/>
      <c r="B437" s="8"/>
      <c r="C437" s="8"/>
      <c r="D437" s="8"/>
      <c r="E437" s="11"/>
      <c r="F437" s="11"/>
      <c r="G437" s="11"/>
      <c r="H437" s="8"/>
      <c r="I437" s="8"/>
      <c r="J437" s="8"/>
      <c r="K437" s="11"/>
      <c r="L437" s="11"/>
      <c r="M437" s="11"/>
      <c r="N437" s="11"/>
      <c r="O437" s="8"/>
      <c r="P437" s="8"/>
      <c r="Q437" s="8"/>
      <c r="R437" s="8"/>
      <c r="S437" s="8"/>
      <c r="T437" s="8"/>
      <c r="U437" s="11"/>
      <c r="V437" s="11"/>
      <c r="W437" s="11"/>
      <c r="X437" s="8"/>
      <c r="Y437" s="8"/>
      <c r="Z437" s="8"/>
      <c r="AA437" s="11"/>
      <c r="AB437" s="11"/>
      <c r="AC437" s="11"/>
      <c r="AD437" s="11"/>
    </row>
    <row r="438" ht="15.75" customHeight="1">
      <c r="A438" s="8"/>
      <c r="B438" s="8"/>
      <c r="C438" s="8"/>
      <c r="D438" s="8"/>
      <c r="E438" s="11"/>
      <c r="F438" s="11"/>
      <c r="G438" s="11"/>
      <c r="H438" s="8"/>
      <c r="I438" s="8"/>
      <c r="J438" s="8"/>
      <c r="K438" s="11"/>
      <c r="L438" s="11"/>
      <c r="M438" s="11"/>
      <c r="N438" s="11"/>
      <c r="O438" s="8"/>
      <c r="P438" s="8"/>
      <c r="Q438" s="8"/>
      <c r="R438" s="8"/>
      <c r="S438" s="8"/>
      <c r="T438" s="8"/>
      <c r="U438" s="11"/>
      <c r="V438" s="11"/>
      <c r="W438" s="11"/>
      <c r="X438" s="8"/>
      <c r="Y438" s="8"/>
      <c r="Z438" s="8"/>
      <c r="AA438" s="11"/>
      <c r="AB438" s="11"/>
      <c r="AC438" s="11"/>
      <c r="AD438" s="11"/>
    </row>
    <row r="439" ht="15.75" customHeight="1">
      <c r="A439" s="8"/>
      <c r="B439" s="8"/>
      <c r="C439" s="8"/>
      <c r="D439" s="8"/>
      <c r="E439" s="11"/>
      <c r="F439" s="11"/>
      <c r="G439" s="11"/>
      <c r="H439" s="8"/>
      <c r="I439" s="8"/>
      <c r="J439" s="8"/>
      <c r="K439" s="11"/>
      <c r="L439" s="11"/>
      <c r="M439" s="11"/>
      <c r="N439" s="11"/>
      <c r="O439" s="8"/>
      <c r="P439" s="8"/>
      <c r="Q439" s="8"/>
      <c r="R439" s="8"/>
      <c r="S439" s="8"/>
      <c r="T439" s="8"/>
      <c r="U439" s="11"/>
      <c r="V439" s="11"/>
      <c r="W439" s="11"/>
      <c r="X439" s="8"/>
      <c r="Y439" s="8"/>
      <c r="Z439" s="8"/>
      <c r="AA439" s="11"/>
      <c r="AB439" s="11"/>
      <c r="AC439" s="11"/>
      <c r="AD439" s="11"/>
    </row>
    <row r="440" ht="15.75" customHeight="1">
      <c r="A440" s="8"/>
      <c r="B440" s="8"/>
      <c r="C440" s="8"/>
      <c r="D440" s="8"/>
      <c r="E440" s="11"/>
      <c r="F440" s="11"/>
      <c r="G440" s="11"/>
      <c r="H440" s="8"/>
      <c r="I440" s="8"/>
      <c r="J440" s="8"/>
      <c r="K440" s="11"/>
      <c r="L440" s="11"/>
      <c r="M440" s="11"/>
      <c r="N440" s="11"/>
      <c r="O440" s="8"/>
      <c r="P440" s="8"/>
      <c r="Q440" s="8"/>
      <c r="R440" s="8"/>
      <c r="S440" s="8"/>
      <c r="T440" s="8"/>
      <c r="U440" s="11"/>
      <c r="V440" s="11"/>
      <c r="W440" s="11"/>
      <c r="X440" s="8"/>
      <c r="Y440" s="8"/>
      <c r="Z440" s="8"/>
      <c r="AA440" s="11"/>
      <c r="AB440" s="11"/>
      <c r="AC440" s="11"/>
      <c r="AD440" s="11"/>
    </row>
    <row r="441" ht="15.75" customHeight="1">
      <c r="A441" s="8"/>
      <c r="B441" s="8"/>
      <c r="C441" s="8"/>
      <c r="D441" s="8"/>
      <c r="E441" s="11"/>
      <c r="F441" s="11"/>
      <c r="G441" s="11"/>
      <c r="H441" s="8"/>
      <c r="I441" s="8"/>
      <c r="J441" s="8"/>
      <c r="K441" s="11"/>
      <c r="L441" s="11"/>
      <c r="M441" s="11"/>
      <c r="N441" s="11"/>
      <c r="O441" s="8"/>
      <c r="P441" s="8"/>
      <c r="Q441" s="8"/>
      <c r="R441" s="8"/>
      <c r="S441" s="8"/>
      <c r="T441" s="8"/>
      <c r="U441" s="11"/>
      <c r="V441" s="11"/>
      <c r="W441" s="11"/>
      <c r="X441" s="8"/>
      <c r="Y441" s="8"/>
      <c r="Z441" s="8"/>
      <c r="AA441" s="11"/>
      <c r="AB441" s="11"/>
      <c r="AC441" s="11"/>
      <c r="AD441" s="11"/>
    </row>
    <row r="442" ht="15.75" customHeight="1">
      <c r="A442" s="8"/>
      <c r="B442" s="8"/>
      <c r="C442" s="8"/>
      <c r="D442" s="8"/>
      <c r="E442" s="11"/>
      <c r="F442" s="11"/>
      <c r="G442" s="11"/>
      <c r="H442" s="8"/>
      <c r="I442" s="8"/>
      <c r="J442" s="8"/>
      <c r="K442" s="11"/>
      <c r="L442" s="11"/>
      <c r="M442" s="11"/>
      <c r="N442" s="11"/>
      <c r="O442" s="8"/>
      <c r="P442" s="8"/>
      <c r="Q442" s="8"/>
      <c r="R442" s="8"/>
      <c r="S442" s="8"/>
      <c r="T442" s="8"/>
      <c r="U442" s="11"/>
      <c r="V442" s="11"/>
      <c r="W442" s="11"/>
      <c r="X442" s="8"/>
      <c r="Y442" s="8"/>
      <c r="Z442" s="8"/>
      <c r="AA442" s="11"/>
      <c r="AB442" s="11"/>
      <c r="AC442" s="11"/>
      <c r="AD442" s="11"/>
    </row>
    <row r="443" ht="15.75" customHeight="1">
      <c r="A443" s="8"/>
      <c r="B443" s="8"/>
      <c r="C443" s="8"/>
      <c r="D443" s="8"/>
      <c r="E443" s="11"/>
      <c r="F443" s="11"/>
      <c r="G443" s="11"/>
      <c r="H443" s="8"/>
      <c r="I443" s="8"/>
      <c r="J443" s="8"/>
      <c r="K443" s="11"/>
      <c r="L443" s="11"/>
      <c r="M443" s="11"/>
      <c r="N443" s="11"/>
      <c r="O443" s="8"/>
      <c r="P443" s="8"/>
      <c r="Q443" s="8"/>
      <c r="R443" s="8"/>
      <c r="S443" s="8"/>
      <c r="T443" s="8"/>
      <c r="U443" s="11"/>
      <c r="V443" s="11"/>
      <c r="W443" s="11"/>
      <c r="X443" s="8"/>
      <c r="Y443" s="8"/>
      <c r="Z443" s="8"/>
      <c r="AA443" s="11"/>
      <c r="AB443" s="11"/>
      <c r="AC443" s="11"/>
      <c r="AD443" s="11"/>
    </row>
    <row r="444" ht="15.75" customHeight="1">
      <c r="A444" s="8"/>
      <c r="B444" s="8"/>
      <c r="C444" s="8"/>
      <c r="D444" s="8"/>
      <c r="E444" s="11"/>
      <c r="F444" s="11"/>
      <c r="G444" s="11"/>
      <c r="H444" s="8"/>
      <c r="I444" s="8"/>
      <c r="J444" s="8"/>
      <c r="K444" s="11"/>
      <c r="L444" s="11"/>
      <c r="M444" s="11"/>
      <c r="N444" s="11"/>
      <c r="O444" s="8"/>
      <c r="P444" s="8"/>
      <c r="Q444" s="8"/>
      <c r="R444" s="8"/>
      <c r="S444" s="8"/>
      <c r="T444" s="8"/>
      <c r="U444" s="11"/>
      <c r="V444" s="11"/>
      <c r="W444" s="11"/>
      <c r="X444" s="8"/>
      <c r="Y444" s="8"/>
      <c r="Z444" s="8"/>
      <c r="AA444" s="11"/>
      <c r="AB444" s="11"/>
      <c r="AC444" s="11"/>
      <c r="AD444" s="11"/>
    </row>
    <row r="445" ht="15.75" customHeight="1">
      <c r="A445" s="8"/>
      <c r="B445" s="8"/>
      <c r="C445" s="8"/>
      <c r="D445" s="8"/>
      <c r="E445" s="11"/>
      <c r="F445" s="11"/>
      <c r="G445" s="11"/>
      <c r="H445" s="8"/>
      <c r="I445" s="8"/>
      <c r="J445" s="8"/>
      <c r="K445" s="11"/>
      <c r="L445" s="11"/>
      <c r="M445" s="11"/>
      <c r="N445" s="11"/>
      <c r="O445" s="8"/>
      <c r="P445" s="8"/>
      <c r="Q445" s="8"/>
      <c r="R445" s="8"/>
      <c r="S445" s="8"/>
      <c r="T445" s="8"/>
      <c r="U445" s="11"/>
      <c r="V445" s="11"/>
      <c r="W445" s="11"/>
      <c r="X445" s="8"/>
      <c r="Y445" s="8"/>
      <c r="Z445" s="8"/>
      <c r="AA445" s="11"/>
      <c r="AB445" s="11"/>
      <c r="AC445" s="11"/>
      <c r="AD445" s="11"/>
    </row>
    <row r="446" ht="15.75" customHeight="1">
      <c r="A446" s="8"/>
      <c r="B446" s="8"/>
      <c r="C446" s="8"/>
      <c r="D446" s="8"/>
      <c r="E446" s="11"/>
      <c r="F446" s="11"/>
      <c r="G446" s="11"/>
      <c r="H446" s="8"/>
      <c r="I446" s="8"/>
      <c r="J446" s="8"/>
      <c r="K446" s="11"/>
      <c r="L446" s="11"/>
      <c r="M446" s="11"/>
      <c r="N446" s="11"/>
      <c r="O446" s="8"/>
      <c r="P446" s="8"/>
      <c r="Q446" s="8"/>
      <c r="R446" s="8"/>
      <c r="S446" s="8"/>
      <c r="T446" s="8"/>
      <c r="U446" s="11"/>
      <c r="V446" s="11"/>
      <c r="W446" s="11"/>
      <c r="X446" s="8"/>
      <c r="Y446" s="8"/>
      <c r="Z446" s="8"/>
      <c r="AA446" s="11"/>
      <c r="AB446" s="11"/>
      <c r="AC446" s="11"/>
      <c r="AD446" s="11"/>
    </row>
    <row r="447" ht="15.75" customHeight="1">
      <c r="A447" s="8"/>
      <c r="B447" s="8"/>
      <c r="C447" s="8"/>
      <c r="D447" s="8"/>
      <c r="E447" s="11"/>
      <c r="F447" s="11"/>
      <c r="G447" s="11"/>
      <c r="H447" s="8"/>
      <c r="I447" s="8"/>
      <c r="J447" s="8"/>
      <c r="K447" s="11"/>
      <c r="L447" s="11"/>
      <c r="M447" s="11"/>
      <c r="N447" s="11"/>
      <c r="O447" s="8"/>
      <c r="P447" s="8"/>
      <c r="Q447" s="8"/>
      <c r="R447" s="8"/>
      <c r="S447" s="8"/>
      <c r="T447" s="8"/>
      <c r="U447" s="11"/>
      <c r="V447" s="11"/>
      <c r="W447" s="11"/>
      <c r="X447" s="8"/>
      <c r="Y447" s="8"/>
      <c r="Z447" s="8"/>
      <c r="AA447" s="11"/>
      <c r="AB447" s="11"/>
      <c r="AC447" s="11"/>
      <c r="AD447" s="11"/>
    </row>
    <row r="448" ht="15.75" customHeight="1">
      <c r="A448" s="8"/>
      <c r="B448" s="8"/>
      <c r="C448" s="8"/>
      <c r="D448" s="8"/>
      <c r="E448" s="11"/>
      <c r="F448" s="11"/>
      <c r="G448" s="11"/>
      <c r="H448" s="8"/>
      <c r="I448" s="8"/>
      <c r="J448" s="8"/>
      <c r="K448" s="11"/>
      <c r="L448" s="11"/>
      <c r="M448" s="11"/>
      <c r="N448" s="11"/>
      <c r="O448" s="8"/>
      <c r="P448" s="8"/>
      <c r="Q448" s="8"/>
      <c r="R448" s="8"/>
      <c r="S448" s="8"/>
      <c r="T448" s="8"/>
      <c r="U448" s="11"/>
      <c r="V448" s="11"/>
      <c r="W448" s="11"/>
      <c r="X448" s="8"/>
      <c r="Y448" s="8"/>
      <c r="Z448" s="8"/>
      <c r="AA448" s="11"/>
      <c r="AB448" s="11"/>
      <c r="AC448" s="11"/>
      <c r="AD448" s="11"/>
    </row>
    <row r="449" ht="15.75" customHeight="1">
      <c r="A449" s="8"/>
      <c r="B449" s="8"/>
      <c r="C449" s="8"/>
      <c r="D449" s="8"/>
      <c r="E449" s="11"/>
      <c r="F449" s="11"/>
      <c r="G449" s="11"/>
      <c r="H449" s="8"/>
      <c r="I449" s="8"/>
      <c r="J449" s="8"/>
      <c r="K449" s="11"/>
      <c r="L449" s="11"/>
      <c r="M449" s="11"/>
      <c r="N449" s="11"/>
      <c r="O449" s="8"/>
      <c r="P449" s="8"/>
      <c r="Q449" s="8"/>
      <c r="R449" s="8"/>
      <c r="S449" s="8"/>
      <c r="T449" s="8"/>
      <c r="U449" s="11"/>
      <c r="V449" s="11"/>
      <c r="W449" s="11"/>
      <c r="X449" s="8"/>
      <c r="Y449" s="8"/>
      <c r="Z449" s="8"/>
      <c r="AA449" s="11"/>
      <c r="AB449" s="11"/>
      <c r="AC449" s="11"/>
      <c r="AD449" s="11"/>
    </row>
    <row r="450" ht="15.75" customHeight="1">
      <c r="A450" s="8"/>
      <c r="B450" s="8"/>
      <c r="C450" s="8"/>
      <c r="D450" s="8"/>
      <c r="E450" s="11"/>
      <c r="F450" s="11"/>
      <c r="G450" s="11"/>
      <c r="H450" s="8"/>
      <c r="I450" s="8"/>
      <c r="J450" s="8"/>
      <c r="K450" s="11"/>
      <c r="L450" s="11"/>
      <c r="M450" s="11"/>
      <c r="N450" s="11"/>
      <c r="O450" s="8"/>
      <c r="P450" s="8"/>
      <c r="Q450" s="8"/>
      <c r="R450" s="8"/>
      <c r="S450" s="8"/>
      <c r="T450" s="8"/>
      <c r="U450" s="11"/>
      <c r="V450" s="11"/>
      <c r="W450" s="11"/>
      <c r="X450" s="8"/>
      <c r="Y450" s="8"/>
      <c r="Z450" s="8"/>
      <c r="AA450" s="11"/>
      <c r="AB450" s="11"/>
      <c r="AC450" s="11"/>
      <c r="AD450" s="11"/>
    </row>
    <row r="451" ht="15.75" customHeight="1">
      <c r="A451" s="8"/>
      <c r="B451" s="8"/>
      <c r="C451" s="8"/>
      <c r="D451" s="8"/>
      <c r="E451" s="11"/>
      <c r="F451" s="11"/>
      <c r="G451" s="11"/>
      <c r="H451" s="8"/>
      <c r="I451" s="8"/>
      <c r="J451" s="8"/>
      <c r="K451" s="11"/>
      <c r="L451" s="11"/>
      <c r="M451" s="11"/>
      <c r="N451" s="11"/>
      <c r="O451" s="8"/>
      <c r="P451" s="8"/>
      <c r="Q451" s="8"/>
      <c r="R451" s="8"/>
      <c r="S451" s="8"/>
      <c r="T451" s="8"/>
      <c r="U451" s="11"/>
      <c r="V451" s="11"/>
      <c r="W451" s="11"/>
      <c r="X451" s="8"/>
      <c r="Y451" s="8"/>
      <c r="Z451" s="8"/>
      <c r="AA451" s="11"/>
      <c r="AB451" s="11"/>
      <c r="AC451" s="11"/>
      <c r="AD451" s="11"/>
    </row>
    <row r="452" ht="15.75" customHeight="1">
      <c r="A452" s="8"/>
      <c r="B452" s="8"/>
      <c r="C452" s="8"/>
      <c r="D452" s="8"/>
      <c r="E452" s="11"/>
      <c r="F452" s="11"/>
      <c r="G452" s="11"/>
      <c r="H452" s="8"/>
      <c r="I452" s="8"/>
      <c r="J452" s="8"/>
      <c r="K452" s="11"/>
      <c r="L452" s="11"/>
      <c r="M452" s="11"/>
      <c r="N452" s="11"/>
      <c r="O452" s="8"/>
      <c r="P452" s="8"/>
      <c r="Q452" s="8"/>
      <c r="R452" s="8"/>
      <c r="S452" s="8"/>
      <c r="T452" s="8"/>
      <c r="U452" s="11"/>
      <c r="V452" s="11"/>
      <c r="W452" s="11"/>
      <c r="X452" s="8"/>
      <c r="Y452" s="8"/>
      <c r="Z452" s="8"/>
      <c r="AA452" s="11"/>
      <c r="AB452" s="11"/>
      <c r="AC452" s="11"/>
      <c r="AD452" s="11"/>
    </row>
    <row r="453" ht="15.75" customHeight="1">
      <c r="A453" s="8"/>
      <c r="B453" s="8"/>
      <c r="C453" s="8"/>
      <c r="D453" s="8"/>
      <c r="E453" s="11"/>
      <c r="F453" s="11"/>
      <c r="G453" s="11"/>
      <c r="H453" s="8"/>
      <c r="I453" s="8"/>
      <c r="J453" s="8"/>
      <c r="K453" s="11"/>
      <c r="L453" s="11"/>
      <c r="M453" s="11"/>
      <c r="N453" s="11"/>
      <c r="O453" s="8"/>
      <c r="P453" s="8"/>
      <c r="Q453" s="8"/>
      <c r="R453" s="8"/>
      <c r="S453" s="8"/>
      <c r="T453" s="8"/>
      <c r="U453" s="11"/>
      <c r="V453" s="11"/>
      <c r="W453" s="11"/>
      <c r="X453" s="8"/>
      <c r="Y453" s="8"/>
      <c r="Z453" s="8"/>
      <c r="AA453" s="11"/>
      <c r="AB453" s="11"/>
      <c r="AC453" s="11"/>
      <c r="AD453" s="11"/>
    </row>
    <row r="454" ht="15.75" customHeight="1">
      <c r="A454" s="8"/>
      <c r="B454" s="8"/>
      <c r="C454" s="8"/>
      <c r="D454" s="8"/>
      <c r="E454" s="11"/>
      <c r="F454" s="11"/>
      <c r="G454" s="11"/>
      <c r="H454" s="8"/>
      <c r="I454" s="8"/>
      <c r="J454" s="8"/>
      <c r="K454" s="11"/>
      <c r="L454" s="11"/>
      <c r="M454" s="11"/>
      <c r="N454" s="11"/>
      <c r="O454" s="8"/>
      <c r="P454" s="8"/>
      <c r="Q454" s="8"/>
      <c r="R454" s="8"/>
      <c r="S454" s="8"/>
      <c r="T454" s="8"/>
      <c r="U454" s="11"/>
      <c r="V454" s="11"/>
      <c r="W454" s="11"/>
      <c r="X454" s="8"/>
      <c r="Y454" s="8"/>
      <c r="Z454" s="8"/>
      <c r="AA454" s="11"/>
      <c r="AB454" s="11"/>
      <c r="AC454" s="11"/>
      <c r="AD454" s="11"/>
    </row>
    <row r="455" ht="15.75" customHeight="1">
      <c r="A455" s="8"/>
      <c r="B455" s="8"/>
      <c r="C455" s="8"/>
      <c r="D455" s="8"/>
      <c r="E455" s="11"/>
      <c r="F455" s="11"/>
      <c r="G455" s="11"/>
      <c r="H455" s="8"/>
      <c r="I455" s="8"/>
      <c r="J455" s="8"/>
      <c r="K455" s="11"/>
      <c r="L455" s="11"/>
      <c r="M455" s="11"/>
      <c r="N455" s="11"/>
      <c r="O455" s="8"/>
      <c r="P455" s="8"/>
      <c r="Q455" s="8"/>
      <c r="R455" s="8"/>
      <c r="S455" s="8"/>
      <c r="T455" s="8"/>
      <c r="U455" s="11"/>
      <c r="V455" s="11"/>
      <c r="W455" s="11"/>
      <c r="X455" s="8"/>
      <c r="Y455" s="8"/>
      <c r="Z455" s="8"/>
      <c r="AA455" s="11"/>
      <c r="AB455" s="11"/>
      <c r="AC455" s="11"/>
      <c r="AD455" s="11"/>
    </row>
    <row r="456" ht="15.75" customHeight="1">
      <c r="A456" s="8"/>
      <c r="B456" s="8"/>
      <c r="C456" s="8"/>
      <c r="D456" s="8"/>
      <c r="E456" s="11"/>
      <c r="F456" s="11"/>
      <c r="G456" s="11"/>
      <c r="H456" s="8"/>
      <c r="I456" s="8"/>
      <c r="J456" s="8"/>
      <c r="K456" s="11"/>
      <c r="L456" s="11"/>
      <c r="M456" s="11"/>
      <c r="N456" s="11"/>
      <c r="O456" s="8"/>
      <c r="P456" s="8"/>
      <c r="Q456" s="8"/>
      <c r="R456" s="8"/>
      <c r="S456" s="8"/>
      <c r="T456" s="8"/>
      <c r="U456" s="11"/>
      <c r="V456" s="11"/>
      <c r="W456" s="11"/>
      <c r="X456" s="8"/>
      <c r="Y456" s="8"/>
      <c r="Z456" s="8"/>
      <c r="AA456" s="11"/>
      <c r="AB456" s="11"/>
      <c r="AC456" s="11"/>
      <c r="AD456" s="11"/>
    </row>
    <row r="457" ht="15.75" customHeight="1">
      <c r="A457" s="8"/>
      <c r="B457" s="8"/>
      <c r="C457" s="8"/>
      <c r="D457" s="8"/>
      <c r="E457" s="11"/>
      <c r="F457" s="11"/>
      <c r="G457" s="11"/>
      <c r="H457" s="8"/>
      <c r="I457" s="8"/>
      <c r="J457" s="8"/>
      <c r="K457" s="11"/>
      <c r="L457" s="11"/>
      <c r="M457" s="11"/>
      <c r="N457" s="11"/>
      <c r="O457" s="8"/>
      <c r="P457" s="8"/>
      <c r="Q457" s="8"/>
      <c r="R457" s="8"/>
      <c r="S457" s="8"/>
      <c r="T457" s="8"/>
      <c r="U457" s="11"/>
      <c r="V457" s="11"/>
      <c r="W457" s="11"/>
      <c r="X457" s="8"/>
      <c r="Y457" s="8"/>
      <c r="Z457" s="8"/>
      <c r="AA457" s="11"/>
      <c r="AB457" s="11"/>
      <c r="AC457" s="11"/>
      <c r="AD457" s="11"/>
    </row>
    <row r="458" ht="15.75" customHeight="1">
      <c r="A458" s="8"/>
      <c r="B458" s="8"/>
      <c r="C458" s="8"/>
      <c r="D458" s="8"/>
      <c r="E458" s="11"/>
      <c r="F458" s="11"/>
      <c r="G458" s="11"/>
      <c r="H458" s="8"/>
      <c r="I458" s="8"/>
      <c r="J458" s="8"/>
      <c r="K458" s="11"/>
      <c r="L458" s="11"/>
      <c r="M458" s="11"/>
      <c r="N458" s="11"/>
      <c r="O458" s="8"/>
      <c r="P458" s="8"/>
      <c r="Q458" s="8"/>
      <c r="R458" s="8"/>
      <c r="S458" s="8"/>
      <c r="T458" s="8"/>
      <c r="U458" s="11"/>
      <c r="V458" s="11"/>
      <c r="W458" s="11"/>
      <c r="X458" s="8"/>
      <c r="Y458" s="8"/>
      <c r="Z458" s="8"/>
      <c r="AA458" s="11"/>
      <c r="AB458" s="11"/>
      <c r="AC458" s="11"/>
      <c r="AD458" s="11"/>
    </row>
    <row r="459" ht="15.75" customHeight="1">
      <c r="A459" s="8"/>
      <c r="B459" s="8"/>
      <c r="C459" s="8"/>
      <c r="D459" s="8"/>
      <c r="E459" s="11"/>
      <c r="F459" s="11"/>
      <c r="G459" s="11"/>
      <c r="H459" s="8"/>
      <c r="I459" s="8"/>
      <c r="J459" s="8"/>
      <c r="K459" s="11"/>
      <c r="L459" s="11"/>
      <c r="M459" s="11"/>
      <c r="N459" s="11"/>
      <c r="O459" s="8"/>
      <c r="P459" s="8"/>
      <c r="Q459" s="8"/>
      <c r="R459" s="8"/>
      <c r="S459" s="8"/>
      <c r="T459" s="8"/>
      <c r="U459" s="11"/>
      <c r="V459" s="11"/>
      <c r="W459" s="11"/>
      <c r="X459" s="8"/>
      <c r="Y459" s="8"/>
      <c r="Z459" s="8"/>
      <c r="AA459" s="11"/>
      <c r="AB459" s="11"/>
      <c r="AC459" s="11"/>
      <c r="AD459" s="11"/>
    </row>
    <row r="460" ht="15.75" customHeight="1">
      <c r="A460" s="8"/>
      <c r="B460" s="8"/>
      <c r="C460" s="8"/>
      <c r="D460" s="8"/>
      <c r="E460" s="11"/>
      <c r="F460" s="11"/>
      <c r="G460" s="11"/>
      <c r="H460" s="8"/>
      <c r="I460" s="8"/>
      <c r="J460" s="8"/>
      <c r="K460" s="11"/>
      <c r="L460" s="11"/>
      <c r="M460" s="11"/>
      <c r="N460" s="11"/>
      <c r="O460" s="8"/>
      <c r="P460" s="8"/>
      <c r="Q460" s="8"/>
      <c r="R460" s="8"/>
      <c r="S460" s="8"/>
      <c r="T460" s="8"/>
      <c r="U460" s="11"/>
      <c r="V460" s="11"/>
      <c r="W460" s="11"/>
      <c r="X460" s="8"/>
      <c r="Y460" s="8"/>
      <c r="Z460" s="8"/>
      <c r="AA460" s="11"/>
      <c r="AB460" s="11"/>
      <c r="AC460" s="11"/>
      <c r="AD460" s="11"/>
    </row>
    <row r="461" ht="15.75" customHeight="1">
      <c r="A461" s="8"/>
      <c r="B461" s="8"/>
      <c r="C461" s="8"/>
      <c r="D461" s="8"/>
      <c r="E461" s="11"/>
      <c r="F461" s="11"/>
      <c r="G461" s="11"/>
      <c r="H461" s="8"/>
      <c r="I461" s="8"/>
      <c r="J461" s="8"/>
      <c r="K461" s="11"/>
      <c r="L461" s="11"/>
      <c r="M461" s="11"/>
      <c r="N461" s="11"/>
      <c r="O461" s="8"/>
      <c r="P461" s="8"/>
      <c r="Q461" s="8"/>
      <c r="R461" s="8"/>
      <c r="S461" s="8"/>
      <c r="T461" s="8"/>
      <c r="U461" s="11"/>
      <c r="V461" s="11"/>
      <c r="W461" s="11"/>
      <c r="X461" s="8"/>
      <c r="Y461" s="8"/>
      <c r="Z461" s="8"/>
      <c r="AA461" s="11"/>
      <c r="AB461" s="11"/>
      <c r="AC461" s="11"/>
      <c r="AD461" s="11"/>
    </row>
    <row r="462" ht="15.75" customHeight="1">
      <c r="A462" s="8"/>
      <c r="B462" s="8"/>
      <c r="C462" s="8"/>
      <c r="D462" s="8"/>
      <c r="E462" s="11"/>
      <c r="F462" s="11"/>
      <c r="G462" s="11"/>
      <c r="H462" s="8"/>
      <c r="I462" s="8"/>
      <c r="J462" s="8"/>
      <c r="K462" s="11"/>
      <c r="L462" s="11"/>
      <c r="M462" s="11"/>
      <c r="N462" s="11"/>
      <c r="O462" s="8"/>
      <c r="P462" s="8"/>
      <c r="Q462" s="8"/>
      <c r="R462" s="8"/>
      <c r="S462" s="8"/>
      <c r="T462" s="8"/>
      <c r="U462" s="11"/>
      <c r="V462" s="11"/>
      <c r="W462" s="11"/>
      <c r="X462" s="8"/>
      <c r="Y462" s="8"/>
      <c r="Z462" s="8"/>
      <c r="AA462" s="11"/>
      <c r="AB462" s="11"/>
      <c r="AC462" s="11"/>
      <c r="AD462" s="11"/>
    </row>
    <row r="463" ht="15.75" customHeight="1">
      <c r="A463" s="8"/>
      <c r="B463" s="8"/>
      <c r="C463" s="8"/>
      <c r="D463" s="8"/>
      <c r="E463" s="11"/>
      <c r="F463" s="11"/>
      <c r="G463" s="11"/>
      <c r="H463" s="8"/>
      <c r="I463" s="8"/>
      <c r="J463" s="8"/>
      <c r="K463" s="11"/>
      <c r="L463" s="11"/>
      <c r="M463" s="11"/>
      <c r="N463" s="11"/>
      <c r="O463" s="8"/>
      <c r="P463" s="8"/>
      <c r="Q463" s="8"/>
      <c r="R463" s="8"/>
      <c r="S463" s="8"/>
      <c r="T463" s="8"/>
      <c r="U463" s="11"/>
      <c r="V463" s="11"/>
      <c r="W463" s="11"/>
      <c r="X463" s="8"/>
      <c r="Y463" s="8"/>
      <c r="Z463" s="8"/>
      <c r="AA463" s="11"/>
      <c r="AB463" s="11"/>
      <c r="AC463" s="11"/>
      <c r="AD463" s="11"/>
    </row>
    <row r="464" ht="15.75" customHeight="1">
      <c r="A464" s="8"/>
      <c r="B464" s="8"/>
      <c r="C464" s="8"/>
      <c r="D464" s="8"/>
      <c r="E464" s="11"/>
      <c r="F464" s="11"/>
      <c r="G464" s="11"/>
      <c r="H464" s="8"/>
      <c r="I464" s="8"/>
      <c r="J464" s="8"/>
      <c r="K464" s="11"/>
      <c r="L464" s="11"/>
      <c r="M464" s="11"/>
      <c r="N464" s="11"/>
      <c r="O464" s="8"/>
      <c r="P464" s="8"/>
      <c r="Q464" s="8"/>
      <c r="R464" s="8"/>
      <c r="S464" s="8"/>
      <c r="T464" s="8"/>
      <c r="U464" s="11"/>
      <c r="V464" s="11"/>
      <c r="W464" s="11"/>
      <c r="X464" s="8"/>
      <c r="Y464" s="8"/>
      <c r="Z464" s="8"/>
      <c r="AA464" s="11"/>
      <c r="AB464" s="11"/>
      <c r="AC464" s="11"/>
      <c r="AD464" s="11"/>
    </row>
    <row r="465" ht="15.75" customHeight="1">
      <c r="A465" s="8"/>
      <c r="B465" s="8"/>
      <c r="C465" s="8"/>
      <c r="D465" s="8"/>
      <c r="E465" s="11"/>
      <c r="F465" s="11"/>
      <c r="G465" s="11"/>
      <c r="H465" s="8"/>
      <c r="I465" s="8"/>
      <c r="J465" s="8"/>
      <c r="K465" s="11"/>
      <c r="L465" s="11"/>
      <c r="M465" s="11"/>
      <c r="N465" s="11"/>
      <c r="O465" s="8"/>
      <c r="P465" s="8"/>
      <c r="Q465" s="8"/>
      <c r="R465" s="8"/>
      <c r="S465" s="8"/>
      <c r="T465" s="8"/>
      <c r="U465" s="11"/>
      <c r="V465" s="11"/>
      <c r="W465" s="11"/>
      <c r="X465" s="8"/>
      <c r="Y465" s="8"/>
      <c r="Z465" s="8"/>
      <c r="AA465" s="11"/>
      <c r="AB465" s="11"/>
      <c r="AC465" s="11"/>
      <c r="AD465" s="11"/>
    </row>
    <row r="466" ht="15.75" customHeight="1">
      <c r="A466" s="8"/>
      <c r="B466" s="8"/>
      <c r="C466" s="8"/>
      <c r="D466" s="8"/>
      <c r="E466" s="11"/>
      <c r="F466" s="11"/>
      <c r="G466" s="11"/>
      <c r="H466" s="8"/>
      <c r="I466" s="8"/>
      <c r="J466" s="8"/>
      <c r="K466" s="11"/>
      <c r="L466" s="11"/>
      <c r="M466" s="11"/>
      <c r="N466" s="11"/>
      <c r="O466" s="8"/>
      <c r="P466" s="8"/>
      <c r="Q466" s="8"/>
      <c r="R466" s="8"/>
      <c r="S466" s="8"/>
      <c r="T466" s="8"/>
      <c r="U466" s="11"/>
      <c r="V466" s="11"/>
      <c r="W466" s="11"/>
      <c r="X466" s="8"/>
      <c r="Y466" s="8"/>
      <c r="Z466" s="8"/>
      <c r="AA466" s="11"/>
      <c r="AB466" s="11"/>
      <c r="AC466" s="11"/>
      <c r="AD466" s="11"/>
    </row>
    <row r="467" ht="15.75" customHeight="1">
      <c r="A467" s="8"/>
      <c r="B467" s="8"/>
      <c r="C467" s="8"/>
      <c r="D467" s="8"/>
      <c r="E467" s="11"/>
      <c r="F467" s="11"/>
      <c r="G467" s="11"/>
      <c r="H467" s="8"/>
      <c r="I467" s="8"/>
      <c r="J467" s="8"/>
      <c r="K467" s="11"/>
      <c r="L467" s="11"/>
      <c r="M467" s="11"/>
      <c r="N467" s="11"/>
      <c r="O467" s="8"/>
      <c r="P467" s="8"/>
      <c r="Q467" s="8"/>
      <c r="R467" s="8"/>
      <c r="S467" s="8"/>
      <c r="T467" s="8"/>
      <c r="U467" s="11"/>
      <c r="V467" s="11"/>
      <c r="W467" s="11"/>
      <c r="X467" s="8"/>
      <c r="Y467" s="8"/>
      <c r="Z467" s="8"/>
      <c r="AA467" s="11"/>
      <c r="AB467" s="11"/>
      <c r="AC467" s="11"/>
      <c r="AD467" s="11"/>
    </row>
    <row r="468" ht="15.75" customHeight="1">
      <c r="A468" s="8"/>
      <c r="B468" s="8"/>
      <c r="C468" s="8"/>
      <c r="D468" s="8"/>
      <c r="E468" s="11"/>
      <c r="F468" s="11"/>
      <c r="G468" s="11"/>
      <c r="H468" s="8"/>
      <c r="I468" s="8"/>
      <c r="J468" s="8"/>
      <c r="K468" s="11"/>
      <c r="L468" s="11"/>
      <c r="M468" s="11"/>
      <c r="N468" s="11"/>
      <c r="O468" s="8"/>
      <c r="P468" s="8"/>
      <c r="Q468" s="8"/>
      <c r="R468" s="8"/>
      <c r="S468" s="8"/>
      <c r="T468" s="8"/>
      <c r="U468" s="11"/>
      <c r="V468" s="11"/>
      <c r="W468" s="11"/>
      <c r="X468" s="8"/>
      <c r="Y468" s="8"/>
      <c r="Z468" s="8"/>
      <c r="AA468" s="11"/>
      <c r="AB468" s="11"/>
      <c r="AC468" s="11"/>
      <c r="AD468" s="11"/>
    </row>
    <row r="469" ht="15.75" customHeight="1">
      <c r="A469" s="8"/>
      <c r="B469" s="8"/>
      <c r="C469" s="8"/>
      <c r="D469" s="8"/>
      <c r="E469" s="11"/>
      <c r="F469" s="11"/>
      <c r="G469" s="11"/>
      <c r="H469" s="8"/>
      <c r="I469" s="8"/>
      <c r="J469" s="8"/>
      <c r="K469" s="11"/>
      <c r="L469" s="11"/>
      <c r="M469" s="11"/>
      <c r="N469" s="11"/>
      <c r="O469" s="8"/>
      <c r="P469" s="8"/>
      <c r="Q469" s="8"/>
      <c r="R469" s="8"/>
      <c r="S469" s="8"/>
      <c r="T469" s="8"/>
      <c r="U469" s="11"/>
      <c r="V469" s="11"/>
      <c r="W469" s="11"/>
      <c r="X469" s="8"/>
      <c r="Y469" s="8"/>
      <c r="Z469" s="8"/>
      <c r="AA469" s="11"/>
      <c r="AB469" s="11"/>
      <c r="AC469" s="11"/>
      <c r="AD469" s="11"/>
    </row>
    <row r="470" ht="15.75" customHeight="1">
      <c r="A470" s="8"/>
      <c r="B470" s="8"/>
      <c r="C470" s="8"/>
      <c r="D470" s="8"/>
      <c r="E470" s="11"/>
      <c r="F470" s="11"/>
      <c r="G470" s="11"/>
      <c r="H470" s="8"/>
      <c r="I470" s="8"/>
      <c r="J470" s="8"/>
      <c r="K470" s="11"/>
      <c r="L470" s="11"/>
      <c r="M470" s="11"/>
      <c r="N470" s="11"/>
      <c r="O470" s="8"/>
      <c r="P470" s="8"/>
      <c r="Q470" s="8"/>
      <c r="R470" s="8"/>
      <c r="S470" s="8"/>
      <c r="T470" s="8"/>
      <c r="U470" s="11"/>
      <c r="V470" s="11"/>
      <c r="W470" s="11"/>
      <c r="X470" s="8"/>
      <c r="Y470" s="8"/>
      <c r="Z470" s="8"/>
      <c r="AA470" s="11"/>
      <c r="AB470" s="11"/>
      <c r="AC470" s="11"/>
      <c r="AD470" s="11"/>
    </row>
    <row r="471" ht="15.75" customHeight="1">
      <c r="A471" s="8"/>
      <c r="B471" s="8"/>
      <c r="C471" s="8"/>
      <c r="D471" s="8"/>
      <c r="E471" s="11"/>
      <c r="F471" s="11"/>
      <c r="G471" s="11"/>
      <c r="H471" s="8"/>
      <c r="I471" s="8"/>
      <c r="J471" s="8"/>
      <c r="K471" s="11"/>
      <c r="L471" s="11"/>
      <c r="M471" s="11"/>
      <c r="N471" s="11"/>
      <c r="O471" s="8"/>
      <c r="P471" s="8"/>
      <c r="Q471" s="8"/>
      <c r="R471" s="8"/>
      <c r="S471" s="8"/>
      <c r="T471" s="8"/>
      <c r="U471" s="11"/>
      <c r="V471" s="11"/>
      <c r="W471" s="11"/>
      <c r="X471" s="8"/>
      <c r="Y471" s="8"/>
      <c r="Z471" s="8"/>
      <c r="AA471" s="11"/>
      <c r="AB471" s="11"/>
      <c r="AC471" s="11"/>
      <c r="AD471" s="11"/>
    </row>
    <row r="472" ht="15.75" customHeight="1">
      <c r="A472" s="8"/>
      <c r="B472" s="8"/>
      <c r="C472" s="8"/>
      <c r="D472" s="8"/>
      <c r="E472" s="11"/>
      <c r="F472" s="11"/>
      <c r="G472" s="11"/>
      <c r="H472" s="8"/>
      <c r="I472" s="8"/>
      <c r="J472" s="8"/>
      <c r="K472" s="11"/>
      <c r="L472" s="11"/>
      <c r="M472" s="11"/>
      <c r="N472" s="11"/>
      <c r="O472" s="8"/>
      <c r="P472" s="8"/>
      <c r="Q472" s="8"/>
      <c r="R472" s="8"/>
      <c r="S472" s="8"/>
      <c r="T472" s="8"/>
      <c r="U472" s="11"/>
      <c r="V472" s="11"/>
      <c r="W472" s="11"/>
      <c r="X472" s="8"/>
      <c r="Y472" s="8"/>
      <c r="Z472" s="8"/>
      <c r="AA472" s="11"/>
      <c r="AB472" s="11"/>
      <c r="AC472" s="11"/>
      <c r="AD472" s="11"/>
    </row>
    <row r="473" ht="15.75" customHeight="1">
      <c r="A473" s="8"/>
      <c r="B473" s="8"/>
      <c r="C473" s="8"/>
      <c r="D473" s="8"/>
      <c r="E473" s="11"/>
      <c r="F473" s="11"/>
      <c r="G473" s="11"/>
      <c r="H473" s="8"/>
      <c r="I473" s="8"/>
      <c r="J473" s="8"/>
      <c r="K473" s="11"/>
      <c r="L473" s="11"/>
      <c r="M473" s="11"/>
      <c r="N473" s="11"/>
      <c r="O473" s="8"/>
      <c r="P473" s="8"/>
      <c r="Q473" s="8"/>
      <c r="R473" s="8"/>
      <c r="S473" s="8"/>
      <c r="T473" s="8"/>
      <c r="U473" s="11"/>
      <c r="V473" s="11"/>
      <c r="W473" s="11"/>
      <c r="X473" s="8"/>
      <c r="Y473" s="8"/>
      <c r="Z473" s="8"/>
      <c r="AA473" s="11"/>
      <c r="AB473" s="11"/>
      <c r="AC473" s="11"/>
      <c r="AD473" s="11"/>
    </row>
    <row r="474" ht="15.75" customHeight="1">
      <c r="A474" s="8"/>
      <c r="B474" s="8"/>
      <c r="C474" s="8"/>
      <c r="D474" s="8"/>
      <c r="E474" s="11"/>
      <c r="F474" s="11"/>
      <c r="G474" s="11"/>
      <c r="H474" s="8"/>
      <c r="I474" s="8"/>
      <c r="J474" s="8"/>
      <c r="K474" s="11"/>
      <c r="L474" s="11"/>
      <c r="M474" s="11"/>
      <c r="N474" s="11"/>
      <c r="O474" s="8"/>
      <c r="P474" s="8"/>
      <c r="Q474" s="8"/>
      <c r="R474" s="8"/>
      <c r="S474" s="8"/>
      <c r="T474" s="8"/>
      <c r="U474" s="11"/>
      <c r="V474" s="11"/>
      <c r="W474" s="11"/>
      <c r="X474" s="8"/>
      <c r="Y474" s="8"/>
      <c r="Z474" s="8"/>
      <c r="AA474" s="11"/>
      <c r="AB474" s="11"/>
      <c r="AC474" s="11"/>
      <c r="AD474" s="11"/>
    </row>
    <row r="475" ht="15.75" customHeight="1">
      <c r="A475" s="8"/>
      <c r="B475" s="8"/>
      <c r="C475" s="8"/>
      <c r="D475" s="8"/>
      <c r="E475" s="11"/>
      <c r="F475" s="11"/>
      <c r="G475" s="11"/>
      <c r="H475" s="8"/>
      <c r="I475" s="8"/>
      <c r="J475" s="8"/>
      <c r="K475" s="11"/>
      <c r="L475" s="11"/>
      <c r="M475" s="11"/>
      <c r="N475" s="11"/>
      <c r="O475" s="8"/>
      <c r="P475" s="8"/>
      <c r="Q475" s="8"/>
      <c r="R475" s="8"/>
      <c r="S475" s="8"/>
      <c r="T475" s="8"/>
      <c r="U475" s="11"/>
      <c r="V475" s="11"/>
      <c r="W475" s="11"/>
      <c r="X475" s="8"/>
      <c r="Y475" s="8"/>
      <c r="Z475" s="8"/>
      <c r="AA475" s="11"/>
      <c r="AB475" s="11"/>
      <c r="AC475" s="11"/>
      <c r="AD475" s="11"/>
    </row>
    <row r="476" ht="15.75" customHeight="1">
      <c r="A476" s="8"/>
      <c r="B476" s="8"/>
      <c r="C476" s="8"/>
      <c r="D476" s="8"/>
      <c r="E476" s="11"/>
      <c r="F476" s="11"/>
      <c r="G476" s="11"/>
      <c r="H476" s="8"/>
      <c r="I476" s="8"/>
      <c r="J476" s="8"/>
      <c r="K476" s="11"/>
      <c r="L476" s="11"/>
      <c r="M476" s="11"/>
      <c r="N476" s="11"/>
      <c r="O476" s="8"/>
      <c r="P476" s="8"/>
      <c r="Q476" s="8"/>
      <c r="R476" s="8"/>
      <c r="S476" s="8"/>
      <c r="T476" s="8"/>
      <c r="U476" s="11"/>
      <c r="V476" s="11"/>
      <c r="W476" s="11"/>
      <c r="X476" s="8"/>
      <c r="Y476" s="8"/>
      <c r="Z476" s="8"/>
      <c r="AA476" s="11"/>
      <c r="AB476" s="11"/>
      <c r="AC476" s="11"/>
      <c r="AD476" s="11"/>
    </row>
    <row r="477" ht="15.75" customHeight="1">
      <c r="A477" s="8"/>
      <c r="B477" s="8"/>
      <c r="C477" s="8"/>
      <c r="D477" s="8"/>
      <c r="E477" s="11"/>
      <c r="F477" s="11"/>
      <c r="G477" s="11"/>
      <c r="H477" s="8"/>
      <c r="I477" s="8"/>
      <c r="J477" s="8"/>
      <c r="K477" s="11"/>
      <c r="L477" s="11"/>
      <c r="M477" s="11"/>
      <c r="N477" s="11"/>
      <c r="O477" s="8"/>
      <c r="P477" s="8"/>
      <c r="Q477" s="8"/>
      <c r="R477" s="8"/>
      <c r="S477" s="8"/>
      <c r="T477" s="8"/>
      <c r="U477" s="11"/>
      <c r="V477" s="11"/>
      <c r="W477" s="11"/>
      <c r="X477" s="8"/>
      <c r="Y477" s="8"/>
      <c r="Z477" s="8"/>
      <c r="AA477" s="11"/>
      <c r="AB477" s="11"/>
      <c r="AC477" s="11"/>
      <c r="AD477" s="11"/>
    </row>
    <row r="478" ht="15.75" customHeight="1">
      <c r="A478" s="8"/>
      <c r="B478" s="8"/>
      <c r="C478" s="8"/>
      <c r="D478" s="8"/>
      <c r="E478" s="11"/>
      <c r="F478" s="11"/>
      <c r="G478" s="11"/>
      <c r="H478" s="8"/>
      <c r="I478" s="8"/>
      <c r="J478" s="8"/>
      <c r="K478" s="11"/>
      <c r="L478" s="11"/>
      <c r="M478" s="11"/>
      <c r="N478" s="11"/>
      <c r="O478" s="8"/>
      <c r="P478" s="8"/>
      <c r="Q478" s="8"/>
      <c r="R478" s="8"/>
      <c r="S478" s="8"/>
      <c r="T478" s="8"/>
      <c r="U478" s="11"/>
      <c r="V478" s="11"/>
      <c r="W478" s="11"/>
      <c r="X478" s="8"/>
      <c r="Y478" s="8"/>
      <c r="Z478" s="8"/>
      <c r="AA478" s="11"/>
      <c r="AB478" s="11"/>
      <c r="AC478" s="11"/>
      <c r="AD478" s="11"/>
    </row>
    <row r="479" ht="15.75" customHeight="1">
      <c r="A479" s="8"/>
      <c r="B479" s="8"/>
      <c r="C479" s="8"/>
      <c r="D479" s="8"/>
      <c r="E479" s="11"/>
      <c r="F479" s="11"/>
      <c r="G479" s="11"/>
      <c r="H479" s="8"/>
      <c r="I479" s="8"/>
      <c r="J479" s="8"/>
      <c r="K479" s="11"/>
      <c r="L479" s="11"/>
      <c r="M479" s="11"/>
      <c r="N479" s="11"/>
      <c r="O479" s="8"/>
      <c r="P479" s="8"/>
      <c r="Q479" s="8"/>
      <c r="R479" s="8"/>
      <c r="S479" s="8"/>
      <c r="T479" s="8"/>
      <c r="U479" s="11"/>
      <c r="V479" s="11"/>
      <c r="W479" s="11"/>
      <c r="X479" s="8"/>
      <c r="Y479" s="8"/>
      <c r="Z479" s="8"/>
      <c r="AA479" s="11"/>
      <c r="AB479" s="11"/>
      <c r="AC479" s="11"/>
      <c r="AD479" s="11"/>
    </row>
    <row r="480" ht="15.75" customHeight="1">
      <c r="A480" s="8"/>
      <c r="B480" s="8"/>
      <c r="C480" s="8"/>
      <c r="D480" s="8"/>
      <c r="E480" s="11"/>
      <c r="F480" s="11"/>
      <c r="G480" s="11"/>
      <c r="H480" s="8"/>
      <c r="I480" s="8"/>
      <c r="J480" s="8"/>
      <c r="K480" s="11"/>
      <c r="L480" s="11"/>
      <c r="M480" s="11"/>
      <c r="N480" s="11"/>
      <c r="O480" s="8"/>
      <c r="P480" s="8"/>
      <c r="Q480" s="8"/>
      <c r="R480" s="8"/>
      <c r="S480" s="8"/>
      <c r="T480" s="8"/>
      <c r="U480" s="11"/>
      <c r="V480" s="11"/>
      <c r="W480" s="11"/>
      <c r="X480" s="8"/>
      <c r="Y480" s="8"/>
      <c r="Z480" s="8"/>
      <c r="AA480" s="11"/>
      <c r="AB480" s="11"/>
      <c r="AC480" s="11"/>
      <c r="AD480" s="11"/>
    </row>
    <row r="481" ht="15.75" customHeight="1">
      <c r="A481" s="8"/>
      <c r="B481" s="8"/>
      <c r="C481" s="8"/>
      <c r="D481" s="8"/>
      <c r="E481" s="11"/>
      <c r="F481" s="11"/>
      <c r="G481" s="11"/>
      <c r="H481" s="8"/>
      <c r="I481" s="8"/>
      <c r="J481" s="8"/>
      <c r="K481" s="11"/>
      <c r="L481" s="11"/>
      <c r="M481" s="11"/>
      <c r="N481" s="11"/>
      <c r="O481" s="8"/>
      <c r="P481" s="8"/>
      <c r="Q481" s="8"/>
      <c r="R481" s="8"/>
      <c r="S481" s="8"/>
      <c r="T481" s="8"/>
      <c r="U481" s="11"/>
      <c r="V481" s="11"/>
      <c r="W481" s="11"/>
      <c r="X481" s="8"/>
      <c r="Y481" s="8"/>
      <c r="Z481" s="8"/>
      <c r="AA481" s="11"/>
      <c r="AB481" s="11"/>
      <c r="AC481" s="11"/>
      <c r="AD481" s="11"/>
    </row>
    <row r="482" ht="15.75" customHeight="1">
      <c r="A482" s="8"/>
      <c r="B482" s="8"/>
      <c r="C482" s="8"/>
      <c r="D482" s="8"/>
      <c r="E482" s="11"/>
      <c r="F482" s="11"/>
      <c r="G482" s="11"/>
      <c r="H482" s="8"/>
      <c r="I482" s="8"/>
      <c r="J482" s="8"/>
      <c r="K482" s="11"/>
      <c r="L482" s="11"/>
      <c r="M482" s="11"/>
      <c r="N482" s="11"/>
      <c r="O482" s="8"/>
      <c r="P482" s="8"/>
      <c r="Q482" s="8"/>
      <c r="R482" s="8"/>
      <c r="S482" s="8"/>
      <c r="T482" s="8"/>
      <c r="U482" s="11"/>
      <c r="V482" s="11"/>
      <c r="W482" s="11"/>
      <c r="X482" s="8"/>
      <c r="Y482" s="8"/>
      <c r="Z482" s="8"/>
      <c r="AA482" s="11"/>
      <c r="AB482" s="11"/>
      <c r="AC482" s="11"/>
      <c r="AD482" s="11"/>
    </row>
    <row r="483" ht="15.75" customHeight="1">
      <c r="A483" s="8"/>
      <c r="B483" s="8"/>
      <c r="C483" s="8"/>
      <c r="D483" s="8"/>
      <c r="E483" s="11"/>
      <c r="F483" s="11"/>
      <c r="G483" s="11"/>
      <c r="H483" s="8"/>
      <c r="I483" s="8"/>
      <c r="J483" s="8"/>
      <c r="K483" s="11"/>
      <c r="L483" s="11"/>
      <c r="M483" s="11"/>
      <c r="N483" s="11"/>
      <c r="O483" s="8"/>
      <c r="P483" s="8"/>
      <c r="Q483" s="8"/>
      <c r="R483" s="8"/>
      <c r="S483" s="8"/>
      <c r="T483" s="8"/>
      <c r="U483" s="11"/>
      <c r="V483" s="11"/>
      <c r="W483" s="11"/>
      <c r="X483" s="8"/>
      <c r="Y483" s="8"/>
      <c r="Z483" s="8"/>
      <c r="AA483" s="11"/>
      <c r="AB483" s="11"/>
      <c r="AC483" s="11"/>
      <c r="AD483" s="11"/>
    </row>
    <row r="484" ht="15.75" customHeight="1">
      <c r="A484" s="8"/>
      <c r="B484" s="8"/>
      <c r="C484" s="8"/>
      <c r="D484" s="8"/>
      <c r="E484" s="11"/>
      <c r="F484" s="11"/>
      <c r="G484" s="11"/>
      <c r="H484" s="8"/>
      <c r="I484" s="8"/>
      <c r="J484" s="8"/>
      <c r="K484" s="11"/>
      <c r="L484" s="11"/>
      <c r="M484" s="11"/>
      <c r="N484" s="11"/>
      <c r="O484" s="8"/>
      <c r="P484" s="8"/>
      <c r="Q484" s="8"/>
      <c r="R484" s="8"/>
      <c r="S484" s="8"/>
      <c r="T484" s="8"/>
      <c r="U484" s="11"/>
      <c r="V484" s="11"/>
      <c r="W484" s="11"/>
      <c r="X484" s="8"/>
      <c r="Y484" s="8"/>
      <c r="Z484" s="8"/>
      <c r="AA484" s="11"/>
      <c r="AB484" s="11"/>
      <c r="AC484" s="11"/>
      <c r="AD484" s="11"/>
    </row>
    <row r="485" ht="15.75" customHeight="1">
      <c r="A485" s="8"/>
      <c r="B485" s="8"/>
      <c r="C485" s="8"/>
      <c r="D485" s="8"/>
      <c r="E485" s="11"/>
      <c r="F485" s="11"/>
      <c r="G485" s="11"/>
      <c r="H485" s="8"/>
      <c r="I485" s="8"/>
      <c r="J485" s="8"/>
      <c r="K485" s="11"/>
      <c r="L485" s="11"/>
      <c r="M485" s="11"/>
      <c r="N485" s="11"/>
      <c r="O485" s="8"/>
      <c r="P485" s="8"/>
      <c r="Q485" s="8"/>
      <c r="R485" s="8"/>
      <c r="S485" s="8"/>
      <c r="T485" s="8"/>
      <c r="U485" s="11"/>
      <c r="V485" s="11"/>
      <c r="W485" s="11"/>
      <c r="X485" s="8"/>
      <c r="Y485" s="8"/>
      <c r="Z485" s="8"/>
      <c r="AA485" s="11"/>
      <c r="AB485" s="11"/>
      <c r="AC485" s="11"/>
      <c r="AD485" s="11"/>
    </row>
    <row r="486" ht="15.75" customHeight="1">
      <c r="A486" s="8"/>
      <c r="B486" s="8"/>
      <c r="C486" s="8"/>
      <c r="D486" s="8"/>
      <c r="E486" s="11"/>
      <c r="F486" s="11"/>
      <c r="G486" s="11"/>
      <c r="H486" s="8"/>
      <c r="I486" s="8"/>
      <c r="J486" s="8"/>
      <c r="K486" s="11"/>
      <c r="L486" s="11"/>
      <c r="M486" s="11"/>
      <c r="N486" s="11"/>
      <c r="O486" s="8"/>
      <c r="P486" s="8"/>
      <c r="Q486" s="8"/>
      <c r="R486" s="8"/>
      <c r="S486" s="8"/>
      <c r="T486" s="8"/>
      <c r="U486" s="11"/>
      <c r="V486" s="11"/>
      <c r="W486" s="11"/>
      <c r="X486" s="8"/>
      <c r="Y486" s="8"/>
      <c r="Z486" s="8"/>
      <c r="AA486" s="11"/>
      <c r="AB486" s="11"/>
      <c r="AC486" s="11"/>
      <c r="AD486" s="11"/>
    </row>
    <row r="487" ht="15.75" customHeight="1">
      <c r="A487" s="8"/>
      <c r="B487" s="8"/>
      <c r="C487" s="8"/>
      <c r="D487" s="8"/>
      <c r="E487" s="11"/>
      <c r="F487" s="11"/>
      <c r="G487" s="11"/>
      <c r="H487" s="8"/>
      <c r="I487" s="8"/>
      <c r="J487" s="8"/>
      <c r="K487" s="11"/>
      <c r="L487" s="11"/>
      <c r="M487" s="11"/>
      <c r="N487" s="11"/>
      <c r="O487" s="8"/>
      <c r="P487" s="8"/>
      <c r="Q487" s="8"/>
      <c r="R487" s="8"/>
      <c r="S487" s="8"/>
      <c r="T487" s="8"/>
      <c r="U487" s="11"/>
      <c r="V487" s="11"/>
      <c r="W487" s="11"/>
      <c r="X487" s="8"/>
      <c r="Y487" s="8"/>
      <c r="Z487" s="8"/>
      <c r="AA487" s="11"/>
      <c r="AB487" s="11"/>
      <c r="AC487" s="11"/>
      <c r="AD487" s="11"/>
    </row>
    <row r="488" ht="15.75" customHeight="1">
      <c r="A488" s="8"/>
      <c r="B488" s="8"/>
      <c r="C488" s="8"/>
      <c r="D488" s="8"/>
      <c r="E488" s="11"/>
      <c r="F488" s="11"/>
      <c r="G488" s="11"/>
      <c r="H488" s="8"/>
      <c r="I488" s="8"/>
      <c r="J488" s="8"/>
      <c r="K488" s="11"/>
      <c r="L488" s="11"/>
      <c r="M488" s="11"/>
      <c r="N488" s="11"/>
      <c r="O488" s="8"/>
      <c r="P488" s="8"/>
      <c r="Q488" s="8"/>
      <c r="R488" s="8"/>
      <c r="S488" s="8"/>
      <c r="T488" s="8"/>
      <c r="U488" s="11"/>
      <c r="V488" s="11"/>
      <c r="W488" s="11"/>
      <c r="X488" s="8"/>
      <c r="Y488" s="8"/>
      <c r="Z488" s="8"/>
      <c r="AA488" s="11"/>
      <c r="AB488" s="11"/>
      <c r="AC488" s="11"/>
      <c r="AD488" s="11"/>
    </row>
    <row r="489" ht="15.75" customHeight="1">
      <c r="A489" s="8"/>
      <c r="B489" s="8"/>
      <c r="C489" s="8"/>
      <c r="D489" s="8"/>
      <c r="E489" s="11"/>
      <c r="F489" s="11"/>
      <c r="G489" s="11"/>
      <c r="H489" s="8"/>
      <c r="I489" s="8"/>
      <c r="J489" s="8"/>
      <c r="K489" s="11"/>
      <c r="L489" s="11"/>
      <c r="M489" s="11"/>
      <c r="N489" s="11"/>
      <c r="O489" s="8"/>
      <c r="P489" s="8"/>
      <c r="Q489" s="8"/>
      <c r="R489" s="8"/>
      <c r="S489" s="8"/>
      <c r="T489" s="8"/>
      <c r="U489" s="11"/>
      <c r="V489" s="11"/>
      <c r="W489" s="11"/>
      <c r="X489" s="8"/>
      <c r="Y489" s="8"/>
      <c r="Z489" s="8"/>
      <c r="AA489" s="11"/>
      <c r="AB489" s="11"/>
      <c r="AC489" s="11"/>
      <c r="AD489" s="11"/>
    </row>
    <row r="490" ht="15.75" customHeight="1">
      <c r="A490" s="8"/>
      <c r="B490" s="8"/>
      <c r="C490" s="8"/>
      <c r="D490" s="8"/>
      <c r="E490" s="11"/>
      <c r="F490" s="11"/>
      <c r="G490" s="11"/>
      <c r="H490" s="8"/>
      <c r="I490" s="8"/>
      <c r="J490" s="8"/>
      <c r="K490" s="11"/>
      <c r="L490" s="11"/>
      <c r="M490" s="11"/>
      <c r="N490" s="11"/>
      <c r="O490" s="8"/>
      <c r="P490" s="8"/>
      <c r="Q490" s="8"/>
      <c r="R490" s="8"/>
      <c r="S490" s="8"/>
      <c r="T490" s="8"/>
      <c r="U490" s="11"/>
      <c r="V490" s="11"/>
      <c r="W490" s="11"/>
      <c r="X490" s="8"/>
      <c r="Y490" s="8"/>
      <c r="Z490" s="8"/>
      <c r="AA490" s="11"/>
      <c r="AB490" s="11"/>
      <c r="AC490" s="11"/>
      <c r="AD490" s="11"/>
    </row>
    <row r="491" ht="15.75" customHeight="1">
      <c r="A491" s="8"/>
      <c r="B491" s="8"/>
      <c r="C491" s="8"/>
      <c r="D491" s="8"/>
      <c r="E491" s="11"/>
      <c r="F491" s="11"/>
      <c r="G491" s="11"/>
      <c r="H491" s="8"/>
      <c r="I491" s="8"/>
      <c r="J491" s="8"/>
      <c r="K491" s="11"/>
      <c r="L491" s="11"/>
      <c r="M491" s="11"/>
      <c r="N491" s="11"/>
      <c r="O491" s="8"/>
      <c r="P491" s="8"/>
      <c r="Q491" s="8"/>
      <c r="R491" s="8"/>
      <c r="S491" s="8"/>
      <c r="T491" s="8"/>
      <c r="U491" s="11"/>
      <c r="V491" s="11"/>
      <c r="W491" s="11"/>
      <c r="X491" s="8"/>
      <c r="Y491" s="8"/>
      <c r="Z491" s="8"/>
      <c r="AA491" s="11"/>
      <c r="AB491" s="11"/>
      <c r="AC491" s="11"/>
      <c r="AD491" s="11"/>
    </row>
    <row r="492" ht="15.75" customHeight="1">
      <c r="A492" s="8"/>
      <c r="B492" s="8"/>
      <c r="C492" s="8"/>
      <c r="D492" s="8"/>
      <c r="E492" s="11"/>
      <c r="F492" s="11"/>
      <c r="G492" s="11"/>
      <c r="H492" s="8"/>
      <c r="I492" s="8"/>
      <c r="J492" s="8"/>
      <c r="K492" s="11"/>
      <c r="L492" s="11"/>
      <c r="M492" s="11"/>
      <c r="N492" s="11"/>
      <c r="O492" s="8"/>
      <c r="P492" s="8"/>
      <c r="Q492" s="8"/>
      <c r="R492" s="8"/>
      <c r="S492" s="8"/>
      <c r="T492" s="8"/>
      <c r="U492" s="11"/>
      <c r="V492" s="11"/>
      <c r="W492" s="11"/>
      <c r="X492" s="8"/>
      <c r="Y492" s="8"/>
      <c r="Z492" s="8"/>
      <c r="AA492" s="11"/>
      <c r="AB492" s="11"/>
      <c r="AC492" s="11"/>
      <c r="AD492" s="11"/>
    </row>
    <row r="493" ht="15.75" customHeight="1">
      <c r="A493" s="8"/>
      <c r="B493" s="8"/>
      <c r="C493" s="8"/>
      <c r="D493" s="8"/>
      <c r="E493" s="11"/>
      <c r="F493" s="11"/>
      <c r="G493" s="11"/>
      <c r="H493" s="8"/>
      <c r="I493" s="8"/>
      <c r="J493" s="8"/>
      <c r="K493" s="11"/>
      <c r="L493" s="11"/>
      <c r="M493" s="11"/>
      <c r="N493" s="11"/>
      <c r="O493" s="8"/>
      <c r="P493" s="8"/>
      <c r="Q493" s="8"/>
      <c r="R493" s="8"/>
      <c r="S493" s="8"/>
      <c r="T493" s="8"/>
      <c r="U493" s="11"/>
      <c r="V493" s="11"/>
      <c r="W493" s="11"/>
      <c r="X493" s="8"/>
      <c r="Y493" s="8"/>
      <c r="Z493" s="8"/>
      <c r="AA493" s="11"/>
      <c r="AB493" s="11"/>
      <c r="AC493" s="11"/>
      <c r="AD493" s="11"/>
    </row>
    <row r="494" ht="15.75" customHeight="1">
      <c r="A494" s="8"/>
      <c r="B494" s="8"/>
      <c r="C494" s="8"/>
      <c r="D494" s="8"/>
      <c r="E494" s="11"/>
      <c r="F494" s="11"/>
      <c r="G494" s="11"/>
      <c r="H494" s="8"/>
      <c r="I494" s="8"/>
      <c r="J494" s="8"/>
      <c r="K494" s="11"/>
      <c r="L494" s="11"/>
      <c r="M494" s="11"/>
      <c r="N494" s="11"/>
      <c r="O494" s="8"/>
      <c r="P494" s="8"/>
      <c r="Q494" s="8"/>
      <c r="R494" s="8"/>
      <c r="S494" s="8"/>
      <c r="T494" s="8"/>
      <c r="U494" s="11"/>
      <c r="V494" s="11"/>
      <c r="W494" s="11"/>
      <c r="X494" s="8"/>
      <c r="Y494" s="8"/>
      <c r="Z494" s="8"/>
      <c r="AA494" s="11"/>
      <c r="AB494" s="11"/>
      <c r="AC494" s="11"/>
      <c r="AD494" s="11"/>
    </row>
    <row r="495" ht="15.75" customHeight="1">
      <c r="A495" s="8"/>
      <c r="B495" s="8"/>
      <c r="C495" s="8"/>
      <c r="D495" s="8"/>
      <c r="E495" s="11"/>
      <c r="F495" s="11"/>
      <c r="G495" s="11"/>
      <c r="H495" s="8"/>
      <c r="I495" s="8"/>
      <c r="J495" s="8"/>
      <c r="K495" s="11"/>
      <c r="L495" s="11"/>
      <c r="M495" s="11"/>
      <c r="N495" s="11"/>
      <c r="O495" s="8"/>
      <c r="P495" s="8"/>
      <c r="Q495" s="8"/>
      <c r="R495" s="8"/>
      <c r="S495" s="8"/>
      <c r="T495" s="8"/>
      <c r="U495" s="11"/>
      <c r="V495" s="11"/>
      <c r="W495" s="11"/>
      <c r="X495" s="8"/>
      <c r="Y495" s="8"/>
      <c r="Z495" s="8"/>
      <c r="AA495" s="11"/>
      <c r="AB495" s="11"/>
      <c r="AC495" s="11"/>
      <c r="AD495" s="11"/>
    </row>
    <row r="496" ht="15.75" customHeight="1">
      <c r="A496" s="8"/>
      <c r="B496" s="8"/>
      <c r="C496" s="8"/>
      <c r="D496" s="8"/>
      <c r="E496" s="11"/>
      <c r="F496" s="11"/>
      <c r="G496" s="11"/>
      <c r="H496" s="8"/>
      <c r="I496" s="8"/>
      <c r="J496" s="8"/>
      <c r="K496" s="11"/>
      <c r="L496" s="11"/>
      <c r="M496" s="11"/>
      <c r="N496" s="11"/>
      <c r="O496" s="8"/>
      <c r="P496" s="8"/>
      <c r="Q496" s="8"/>
      <c r="R496" s="8"/>
      <c r="S496" s="8"/>
      <c r="T496" s="8"/>
      <c r="U496" s="11"/>
      <c r="V496" s="11"/>
      <c r="W496" s="11"/>
      <c r="X496" s="8"/>
      <c r="Y496" s="8"/>
      <c r="Z496" s="8"/>
      <c r="AA496" s="11"/>
      <c r="AB496" s="11"/>
      <c r="AC496" s="11"/>
      <c r="AD496" s="11"/>
    </row>
    <row r="497" ht="15.75" customHeight="1">
      <c r="A497" s="8"/>
      <c r="B497" s="8"/>
      <c r="C497" s="8"/>
      <c r="D497" s="8"/>
      <c r="E497" s="11"/>
      <c r="F497" s="11"/>
      <c r="G497" s="11"/>
      <c r="H497" s="8"/>
      <c r="I497" s="8"/>
      <c r="J497" s="8"/>
      <c r="K497" s="11"/>
      <c r="L497" s="11"/>
      <c r="M497" s="11"/>
      <c r="N497" s="11"/>
      <c r="O497" s="8"/>
      <c r="P497" s="8"/>
      <c r="Q497" s="8"/>
      <c r="R497" s="8"/>
      <c r="S497" s="8"/>
      <c r="T497" s="8"/>
      <c r="U497" s="11"/>
      <c r="V497" s="11"/>
      <c r="W497" s="11"/>
      <c r="X497" s="8"/>
      <c r="Y497" s="8"/>
      <c r="Z497" s="8"/>
      <c r="AA497" s="11"/>
      <c r="AB497" s="11"/>
      <c r="AC497" s="11"/>
      <c r="AD497" s="11"/>
    </row>
    <row r="498" ht="15.75" customHeight="1">
      <c r="A498" s="8"/>
      <c r="B498" s="8"/>
      <c r="C498" s="8"/>
      <c r="D498" s="8"/>
      <c r="E498" s="11"/>
      <c r="F498" s="11"/>
      <c r="G498" s="11"/>
      <c r="H498" s="8"/>
      <c r="I498" s="8"/>
      <c r="J498" s="8"/>
      <c r="K498" s="11"/>
      <c r="L498" s="11"/>
      <c r="M498" s="11"/>
      <c r="N498" s="11"/>
      <c r="O498" s="8"/>
      <c r="P498" s="8"/>
      <c r="Q498" s="8"/>
      <c r="R498" s="8"/>
      <c r="S498" s="8"/>
      <c r="T498" s="8"/>
      <c r="U498" s="11"/>
      <c r="V498" s="11"/>
      <c r="W498" s="11"/>
      <c r="X498" s="8"/>
      <c r="Y498" s="8"/>
      <c r="Z498" s="8"/>
      <c r="AA498" s="11"/>
      <c r="AB498" s="11"/>
      <c r="AC498" s="11"/>
      <c r="AD498" s="11"/>
    </row>
    <row r="499" ht="15.75" customHeight="1">
      <c r="A499" s="8"/>
      <c r="B499" s="8"/>
      <c r="C499" s="8"/>
      <c r="D499" s="8"/>
      <c r="E499" s="11"/>
      <c r="F499" s="11"/>
      <c r="G499" s="11"/>
      <c r="H499" s="8"/>
      <c r="I499" s="8"/>
      <c r="J499" s="8"/>
      <c r="K499" s="11"/>
      <c r="L499" s="11"/>
      <c r="M499" s="11"/>
      <c r="N499" s="11"/>
      <c r="O499" s="8"/>
      <c r="P499" s="8"/>
      <c r="Q499" s="8"/>
      <c r="R499" s="8"/>
      <c r="S499" s="8"/>
      <c r="T499" s="8"/>
      <c r="U499" s="11"/>
      <c r="V499" s="11"/>
      <c r="W499" s="11"/>
      <c r="X499" s="8"/>
      <c r="Y499" s="8"/>
      <c r="Z499" s="8"/>
      <c r="AA499" s="11"/>
      <c r="AB499" s="11"/>
      <c r="AC499" s="11"/>
      <c r="AD499" s="11"/>
    </row>
    <row r="500" ht="15.75" customHeight="1">
      <c r="A500" s="8"/>
      <c r="B500" s="8"/>
      <c r="C500" s="8"/>
      <c r="D500" s="8"/>
      <c r="E500" s="11"/>
      <c r="F500" s="11"/>
      <c r="G500" s="11"/>
      <c r="H500" s="8"/>
      <c r="I500" s="8"/>
      <c r="J500" s="8"/>
      <c r="K500" s="11"/>
      <c r="L500" s="11"/>
      <c r="M500" s="11"/>
      <c r="N500" s="11"/>
      <c r="O500" s="8"/>
      <c r="P500" s="8"/>
      <c r="Q500" s="8"/>
      <c r="R500" s="8"/>
      <c r="S500" s="8"/>
      <c r="T500" s="8"/>
      <c r="U500" s="11"/>
      <c r="V500" s="11"/>
      <c r="W500" s="11"/>
      <c r="X500" s="8"/>
      <c r="Y500" s="8"/>
      <c r="Z500" s="8"/>
      <c r="AA500" s="11"/>
      <c r="AB500" s="11"/>
      <c r="AC500" s="11"/>
      <c r="AD500" s="11"/>
    </row>
    <row r="501" ht="15.75" customHeight="1">
      <c r="A501" s="8"/>
      <c r="B501" s="8"/>
      <c r="C501" s="8"/>
      <c r="D501" s="8"/>
      <c r="E501" s="11"/>
      <c r="F501" s="11"/>
      <c r="G501" s="11"/>
      <c r="H501" s="8"/>
      <c r="I501" s="8"/>
      <c r="J501" s="8"/>
      <c r="K501" s="11"/>
      <c r="L501" s="11"/>
      <c r="M501" s="11"/>
      <c r="N501" s="11"/>
      <c r="O501" s="8"/>
      <c r="P501" s="8"/>
      <c r="Q501" s="8"/>
      <c r="R501" s="8"/>
      <c r="S501" s="8"/>
      <c r="T501" s="8"/>
      <c r="U501" s="11"/>
      <c r="V501" s="11"/>
      <c r="W501" s="11"/>
      <c r="X501" s="8"/>
      <c r="Y501" s="8"/>
      <c r="Z501" s="8"/>
      <c r="AA501" s="11"/>
      <c r="AB501" s="11"/>
      <c r="AC501" s="11"/>
      <c r="AD501" s="11"/>
    </row>
    <row r="502" ht="15.75" customHeight="1">
      <c r="A502" s="8"/>
      <c r="B502" s="8"/>
      <c r="C502" s="8"/>
      <c r="D502" s="8"/>
      <c r="E502" s="11"/>
      <c r="F502" s="11"/>
      <c r="G502" s="11"/>
      <c r="H502" s="8"/>
      <c r="I502" s="8"/>
      <c r="J502" s="8"/>
      <c r="K502" s="11"/>
      <c r="L502" s="11"/>
      <c r="M502" s="11"/>
      <c r="N502" s="11"/>
      <c r="O502" s="8"/>
      <c r="P502" s="8"/>
      <c r="Q502" s="8"/>
      <c r="R502" s="8"/>
      <c r="S502" s="8"/>
      <c r="T502" s="8"/>
      <c r="U502" s="11"/>
      <c r="V502" s="11"/>
      <c r="W502" s="11"/>
      <c r="X502" s="8"/>
      <c r="Y502" s="8"/>
      <c r="Z502" s="8"/>
      <c r="AA502" s="11"/>
      <c r="AB502" s="11"/>
      <c r="AC502" s="11"/>
      <c r="AD502" s="11"/>
    </row>
    <row r="503" ht="15.75" customHeight="1">
      <c r="A503" s="8"/>
      <c r="B503" s="8"/>
      <c r="C503" s="8"/>
      <c r="D503" s="8"/>
      <c r="E503" s="11"/>
      <c r="F503" s="11"/>
      <c r="G503" s="11"/>
      <c r="H503" s="8"/>
      <c r="I503" s="8"/>
      <c r="J503" s="8"/>
      <c r="K503" s="11"/>
      <c r="L503" s="11"/>
      <c r="M503" s="11"/>
      <c r="N503" s="11"/>
      <c r="O503" s="8"/>
      <c r="P503" s="8"/>
      <c r="Q503" s="8"/>
      <c r="R503" s="8"/>
      <c r="S503" s="8"/>
      <c r="T503" s="8"/>
      <c r="U503" s="11"/>
      <c r="V503" s="11"/>
      <c r="W503" s="11"/>
      <c r="X503" s="8"/>
      <c r="Y503" s="8"/>
      <c r="Z503" s="8"/>
      <c r="AA503" s="11"/>
      <c r="AB503" s="11"/>
      <c r="AC503" s="11"/>
      <c r="AD503" s="11"/>
    </row>
    <row r="504" ht="15.75" customHeight="1">
      <c r="A504" s="8"/>
      <c r="B504" s="8"/>
      <c r="C504" s="8"/>
      <c r="D504" s="8"/>
      <c r="E504" s="11"/>
      <c r="F504" s="11"/>
      <c r="G504" s="11"/>
      <c r="H504" s="8"/>
      <c r="I504" s="8"/>
      <c r="J504" s="8"/>
      <c r="K504" s="11"/>
      <c r="L504" s="11"/>
      <c r="M504" s="11"/>
      <c r="N504" s="11"/>
      <c r="O504" s="8"/>
      <c r="P504" s="8"/>
      <c r="Q504" s="8"/>
      <c r="R504" s="8"/>
      <c r="S504" s="8"/>
      <c r="T504" s="8"/>
      <c r="U504" s="11"/>
      <c r="V504" s="11"/>
      <c r="W504" s="11"/>
      <c r="X504" s="8"/>
      <c r="Y504" s="8"/>
      <c r="Z504" s="8"/>
      <c r="AA504" s="11"/>
      <c r="AB504" s="11"/>
      <c r="AC504" s="11"/>
      <c r="AD504" s="11"/>
    </row>
    <row r="505" ht="15.75" customHeight="1">
      <c r="A505" s="8"/>
      <c r="B505" s="8"/>
      <c r="C505" s="8"/>
      <c r="D505" s="8"/>
      <c r="E505" s="11"/>
      <c r="F505" s="11"/>
      <c r="G505" s="11"/>
      <c r="H505" s="8"/>
      <c r="I505" s="8"/>
      <c r="J505" s="8"/>
      <c r="K505" s="11"/>
      <c r="L505" s="11"/>
      <c r="M505" s="11"/>
      <c r="N505" s="11"/>
      <c r="O505" s="8"/>
      <c r="P505" s="8"/>
      <c r="Q505" s="8"/>
      <c r="R505" s="8"/>
      <c r="S505" s="8"/>
      <c r="T505" s="8"/>
      <c r="U505" s="11"/>
      <c r="V505" s="11"/>
      <c r="W505" s="11"/>
      <c r="X505" s="8"/>
      <c r="Y505" s="8"/>
      <c r="Z505" s="8"/>
      <c r="AA505" s="11"/>
      <c r="AB505" s="11"/>
      <c r="AC505" s="11"/>
      <c r="AD505" s="11"/>
    </row>
    <row r="506" ht="15.75" customHeight="1">
      <c r="A506" s="8"/>
      <c r="B506" s="8"/>
      <c r="C506" s="8"/>
      <c r="D506" s="8"/>
      <c r="E506" s="11"/>
      <c r="F506" s="11"/>
      <c r="G506" s="11"/>
      <c r="H506" s="8"/>
      <c r="I506" s="8"/>
      <c r="J506" s="8"/>
      <c r="K506" s="11"/>
      <c r="L506" s="11"/>
      <c r="M506" s="11"/>
      <c r="N506" s="11"/>
      <c r="O506" s="8"/>
      <c r="P506" s="8"/>
      <c r="Q506" s="8"/>
      <c r="R506" s="8"/>
      <c r="S506" s="8"/>
      <c r="T506" s="8"/>
      <c r="U506" s="11"/>
      <c r="V506" s="11"/>
      <c r="W506" s="11"/>
      <c r="X506" s="8"/>
      <c r="Y506" s="8"/>
      <c r="Z506" s="8"/>
      <c r="AA506" s="11"/>
      <c r="AB506" s="11"/>
      <c r="AC506" s="11"/>
      <c r="AD506" s="11"/>
    </row>
    <row r="507" ht="15.75" customHeight="1">
      <c r="A507" s="8"/>
      <c r="B507" s="8"/>
      <c r="C507" s="8"/>
      <c r="D507" s="8"/>
      <c r="E507" s="11"/>
      <c r="F507" s="11"/>
      <c r="G507" s="11"/>
      <c r="H507" s="8"/>
      <c r="I507" s="8"/>
      <c r="J507" s="8"/>
      <c r="K507" s="11"/>
      <c r="L507" s="11"/>
      <c r="M507" s="11"/>
      <c r="N507" s="11"/>
      <c r="O507" s="8"/>
      <c r="P507" s="8"/>
      <c r="Q507" s="8"/>
      <c r="R507" s="8"/>
      <c r="S507" s="8"/>
      <c r="T507" s="8"/>
      <c r="U507" s="11"/>
      <c r="V507" s="11"/>
      <c r="W507" s="11"/>
      <c r="X507" s="8"/>
      <c r="Y507" s="8"/>
      <c r="Z507" s="8"/>
      <c r="AA507" s="11"/>
      <c r="AB507" s="11"/>
      <c r="AC507" s="11"/>
      <c r="AD507" s="11"/>
    </row>
    <row r="508" ht="15.75" customHeight="1">
      <c r="A508" s="8"/>
      <c r="B508" s="8"/>
      <c r="C508" s="8"/>
      <c r="D508" s="8"/>
      <c r="E508" s="11"/>
      <c r="F508" s="11"/>
      <c r="G508" s="11"/>
      <c r="H508" s="8"/>
      <c r="I508" s="8"/>
      <c r="J508" s="8"/>
      <c r="K508" s="11"/>
      <c r="L508" s="11"/>
      <c r="M508" s="11"/>
      <c r="N508" s="11"/>
      <c r="O508" s="8"/>
      <c r="P508" s="8"/>
      <c r="Q508" s="8"/>
      <c r="R508" s="8"/>
      <c r="S508" s="8"/>
      <c r="T508" s="8"/>
      <c r="U508" s="11"/>
      <c r="V508" s="11"/>
      <c r="W508" s="11"/>
      <c r="X508" s="8"/>
      <c r="Y508" s="8"/>
      <c r="Z508" s="8"/>
      <c r="AA508" s="11"/>
      <c r="AB508" s="11"/>
      <c r="AC508" s="11"/>
      <c r="AD508" s="11"/>
    </row>
    <row r="509" ht="15.75" customHeight="1">
      <c r="A509" s="8"/>
      <c r="B509" s="8"/>
      <c r="C509" s="8"/>
      <c r="D509" s="8"/>
      <c r="E509" s="11"/>
      <c r="F509" s="11"/>
      <c r="G509" s="11"/>
      <c r="H509" s="8"/>
      <c r="I509" s="8"/>
      <c r="J509" s="8"/>
      <c r="K509" s="11"/>
      <c r="L509" s="11"/>
      <c r="M509" s="11"/>
      <c r="N509" s="11"/>
      <c r="O509" s="8"/>
      <c r="P509" s="8"/>
      <c r="Q509" s="8"/>
      <c r="R509" s="8"/>
      <c r="S509" s="8"/>
      <c r="T509" s="8"/>
      <c r="U509" s="11"/>
      <c r="V509" s="11"/>
      <c r="W509" s="11"/>
      <c r="X509" s="8"/>
      <c r="Y509" s="8"/>
      <c r="Z509" s="8"/>
      <c r="AA509" s="11"/>
      <c r="AB509" s="11"/>
      <c r="AC509" s="11"/>
      <c r="AD509" s="11"/>
    </row>
    <row r="510" ht="15.75" customHeight="1">
      <c r="A510" s="8"/>
      <c r="B510" s="8"/>
      <c r="C510" s="8"/>
      <c r="D510" s="8"/>
      <c r="E510" s="11"/>
      <c r="F510" s="11"/>
      <c r="G510" s="11"/>
      <c r="H510" s="8"/>
      <c r="I510" s="8"/>
      <c r="J510" s="8"/>
      <c r="K510" s="11"/>
      <c r="L510" s="11"/>
      <c r="M510" s="11"/>
      <c r="N510" s="11"/>
      <c r="O510" s="8"/>
      <c r="P510" s="8"/>
      <c r="Q510" s="8"/>
      <c r="R510" s="8"/>
      <c r="S510" s="8"/>
      <c r="T510" s="8"/>
      <c r="U510" s="11"/>
      <c r="V510" s="11"/>
      <c r="W510" s="11"/>
      <c r="X510" s="8"/>
      <c r="Y510" s="8"/>
      <c r="Z510" s="8"/>
      <c r="AA510" s="11"/>
      <c r="AB510" s="11"/>
      <c r="AC510" s="11"/>
      <c r="AD510" s="11"/>
    </row>
    <row r="511" ht="15.75" customHeight="1">
      <c r="A511" s="8"/>
      <c r="B511" s="8"/>
      <c r="C511" s="8"/>
      <c r="D511" s="8"/>
      <c r="E511" s="11"/>
      <c r="F511" s="11"/>
      <c r="G511" s="11"/>
      <c r="H511" s="8"/>
      <c r="I511" s="8"/>
      <c r="J511" s="8"/>
      <c r="K511" s="11"/>
      <c r="L511" s="11"/>
      <c r="M511" s="11"/>
      <c r="N511" s="11"/>
      <c r="O511" s="8"/>
      <c r="P511" s="8"/>
      <c r="Q511" s="8"/>
      <c r="R511" s="8"/>
      <c r="S511" s="8"/>
      <c r="T511" s="8"/>
      <c r="U511" s="11"/>
      <c r="V511" s="11"/>
      <c r="W511" s="11"/>
      <c r="X511" s="8"/>
      <c r="Y511" s="8"/>
      <c r="Z511" s="8"/>
      <c r="AA511" s="11"/>
      <c r="AB511" s="11"/>
      <c r="AC511" s="11"/>
      <c r="AD511" s="11"/>
    </row>
    <row r="512" ht="15.75" customHeight="1">
      <c r="A512" s="8"/>
      <c r="B512" s="8"/>
      <c r="C512" s="8"/>
      <c r="D512" s="8"/>
      <c r="E512" s="11"/>
      <c r="F512" s="11"/>
      <c r="G512" s="11"/>
      <c r="H512" s="8"/>
      <c r="I512" s="8"/>
      <c r="J512" s="8"/>
      <c r="K512" s="11"/>
      <c r="L512" s="11"/>
      <c r="M512" s="11"/>
      <c r="N512" s="11"/>
      <c r="O512" s="8"/>
      <c r="P512" s="8"/>
      <c r="Q512" s="8"/>
      <c r="R512" s="8"/>
      <c r="S512" s="8"/>
      <c r="T512" s="8"/>
      <c r="U512" s="11"/>
      <c r="V512" s="11"/>
      <c r="W512" s="11"/>
      <c r="X512" s="8"/>
      <c r="Y512" s="8"/>
      <c r="Z512" s="8"/>
      <c r="AA512" s="11"/>
      <c r="AB512" s="11"/>
      <c r="AC512" s="11"/>
      <c r="AD512" s="11"/>
    </row>
    <row r="513" ht="15.75" customHeight="1">
      <c r="A513" s="8"/>
      <c r="B513" s="8"/>
      <c r="C513" s="8"/>
      <c r="D513" s="8"/>
      <c r="E513" s="11"/>
      <c r="F513" s="11"/>
      <c r="G513" s="11"/>
      <c r="H513" s="8"/>
      <c r="I513" s="8"/>
      <c r="J513" s="8"/>
      <c r="K513" s="11"/>
      <c r="L513" s="11"/>
      <c r="M513" s="11"/>
      <c r="N513" s="11"/>
      <c r="O513" s="8"/>
      <c r="P513" s="8"/>
      <c r="Q513" s="8"/>
      <c r="R513" s="8"/>
      <c r="S513" s="8"/>
      <c r="T513" s="8"/>
      <c r="U513" s="11"/>
      <c r="V513" s="11"/>
      <c r="W513" s="11"/>
      <c r="X513" s="8"/>
      <c r="Y513" s="8"/>
      <c r="Z513" s="8"/>
      <c r="AA513" s="11"/>
      <c r="AB513" s="11"/>
      <c r="AC513" s="11"/>
      <c r="AD513" s="11"/>
    </row>
    <row r="514" ht="15.75" customHeight="1">
      <c r="A514" s="8"/>
      <c r="B514" s="8"/>
      <c r="C514" s="8"/>
      <c r="D514" s="8"/>
      <c r="E514" s="11"/>
      <c r="F514" s="11"/>
      <c r="G514" s="11"/>
      <c r="H514" s="8"/>
      <c r="I514" s="8"/>
      <c r="J514" s="8"/>
      <c r="K514" s="11"/>
      <c r="L514" s="11"/>
      <c r="M514" s="11"/>
      <c r="N514" s="11"/>
      <c r="O514" s="8"/>
      <c r="P514" s="8"/>
      <c r="Q514" s="8"/>
      <c r="R514" s="8"/>
      <c r="S514" s="8"/>
      <c r="T514" s="8"/>
      <c r="U514" s="11"/>
      <c r="V514" s="11"/>
      <c r="W514" s="11"/>
      <c r="X514" s="8"/>
      <c r="Y514" s="8"/>
      <c r="Z514" s="8"/>
      <c r="AA514" s="11"/>
      <c r="AB514" s="11"/>
      <c r="AC514" s="11"/>
      <c r="AD514" s="11"/>
    </row>
    <row r="515" ht="15.75" customHeight="1">
      <c r="A515" s="8"/>
      <c r="B515" s="8"/>
      <c r="C515" s="8"/>
      <c r="D515" s="8"/>
      <c r="E515" s="11"/>
      <c r="F515" s="11"/>
      <c r="G515" s="11"/>
      <c r="H515" s="8"/>
      <c r="I515" s="8"/>
      <c r="J515" s="8"/>
      <c r="K515" s="11"/>
      <c r="L515" s="11"/>
      <c r="M515" s="11"/>
      <c r="N515" s="11"/>
      <c r="O515" s="8"/>
      <c r="P515" s="8"/>
      <c r="Q515" s="8"/>
      <c r="R515" s="8"/>
      <c r="S515" s="8"/>
      <c r="T515" s="8"/>
      <c r="U515" s="11"/>
      <c r="V515" s="11"/>
      <c r="W515" s="11"/>
      <c r="X515" s="8"/>
      <c r="Y515" s="8"/>
      <c r="Z515" s="8"/>
      <c r="AA515" s="11"/>
      <c r="AB515" s="11"/>
      <c r="AC515" s="11"/>
      <c r="AD515" s="11"/>
    </row>
    <row r="516" ht="15.75" customHeight="1">
      <c r="A516" s="8"/>
      <c r="B516" s="8"/>
      <c r="C516" s="8"/>
      <c r="D516" s="8"/>
      <c r="E516" s="11"/>
      <c r="F516" s="11"/>
      <c r="G516" s="11"/>
      <c r="H516" s="8"/>
      <c r="I516" s="8"/>
      <c r="J516" s="8"/>
      <c r="K516" s="11"/>
      <c r="L516" s="11"/>
      <c r="M516" s="11"/>
      <c r="N516" s="11"/>
      <c r="O516" s="8"/>
      <c r="P516" s="8"/>
      <c r="Q516" s="8"/>
      <c r="R516" s="8"/>
      <c r="S516" s="8"/>
      <c r="T516" s="8"/>
      <c r="U516" s="11"/>
      <c r="V516" s="11"/>
      <c r="W516" s="11"/>
      <c r="X516" s="8"/>
      <c r="Y516" s="8"/>
      <c r="Z516" s="8"/>
      <c r="AA516" s="11"/>
      <c r="AB516" s="11"/>
      <c r="AC516" s="11"/>
      <c r="AD516" s="11"/>
    </row>
    <row r="517" ht="15.75" customHeight="1">
      <c r="A517" s="8"/>
      <c r="B517" s="8"/>
      <c r="C517" s="8"/>
      <c r="D517" s="8"/>
      <c r="E517" s="11"/>
      <c r="F517" s="11"/>
      <c r="G517" s="11"/>
      <c r="H517" s="8"/>
      <c r="I517" s="8"/>
      <c r="J517" s="8"/>
      <c r="K517" s="11"/>
      <c r="L517" s="11"/>
      <c r="M517" s="11"/>
      <c r="N517" s="11"/>
      <c r="O517" s="8"/>
      <c r="P517" s="8"/>
      <c r="Q517" s="8"/>
      <c r="R517" s="8"/>
      <c r="S517" s="8"/>
      <c r="T517" s="8"/>
      <c r="U517" s="11"/>
      <c r="V517" s="11"/>
      <c r="W517" s="11"/>
      <c r="X517" s="8"/>
      <c r="Y517" s="8"/>
      <c r="Z517" s="8"/>
      <c r="AA517" s="11"/>
      <c r="AB517" s="11"/>
      <c r="AC517" s="11"/>
      <c r="AD517" s="11"/>
    </row>
    <row r="518" ht="15.75" customHeight="1">
      <c r="A518" s="8"/>
      <c r="B518" s="8"/>
      <c r="C518" s="8"/>
      <c r="D518" s="8"/>
      <c r="E518" s="11"/>
      <c r="F518" s="11"/>
      <c r="G518" s="11"/>
      <c r="H518" s="8"/>
      <c r="I518" s="8"/>
      <c r="J518" s="8"/>
      <c r="K518" s="11"/>
      <c r="L518" s="11"/>
      <c r="M518" s="11"/>
      <c r="N518" s="11"/>
      <c r="O518" s="8"/>
      <c r="P518" s="8"/>
      <c r="Q518" s="8"/>
      <c r="R518" s="8"/>
      <c r="S518" s="8"/>
      <c r="T518" s="8"/>
      <c r="U518" s="11"/>
      <c r="V518" s="11"/>
      <c r="W518" s="11"/>
      <c r="X518" s="8"/>
      <c r="Y518" s="8"/>
      <c r="Z518" s="8"/>
      <c r="AA518" s="11"/>
      <c r="AB518" s="11"/>
      <c r="AC518" s="11"/>
      <c r="AD518" s="11"/>
    </row>
    <row r="519" ht="15.75" customHeight="1">
      <c r="A519" s="8"/>
      <c r="B519" s="8"/>
      <c r="C519" s="8"/>
      <c r="D519" s="8"/>
      <c r="E519" s="11"/>
      <c r="F519" s="11"/>
      <c r="G519" s="11"/>
      <c r="H519" s="8"/>
      <c r="I519" s="8"/>
      <c r="J519" s="8"/>
      <c r="K519" s="11"/>
      <c r="L519" s="11"/>
      <c r="M519" s="11"/>
      <c r="N519" s="11"/>
      <c r="O519" s="8"/>
      <c r="P519" s="8"/>
      <c r="Q519" s="8"/>
      <c r="R519" s="8"/>
      <c r="S519" s="8"/>
      <c r="T519" s="8"/>
      <c r="U519" s="11"/>
      <c r="V519" s="11"/>
      <c r="W519" s="11"/>
      <c r="X519" s="8"/>
      <c r="Y519" s="8"/>
      <c r="Z519" s="8"/>
      <c r="AA519" s="11"/>
      <c r="AB519" s="11"/>
      <c r="AC519" s="11"/>
      <c r="AD519" s="11"/>
    </row>
    <row r="520" ht="15.75" customHeight="1">
      <c r="A520" s="8"/>
      <c r="B520" s="8"/>
      <c r="C520" s="8"/>
      <c r="D520" s="8"/>
      <c r="E520" s="11"/>
      <c r="F520" s="11"/>
      <c r="G520" s="11"/>
      <c r="H520" s="8"/>
      <c r="I520" s="8"/>
      <c r="J520" s="8"/>
      <c r="K520" s="11"/>
      <c r="L520" s="11"/>
      <c r="M520" s="11"/>
      <c r="N520" s="11"/>
      <c r="O520" s="8"/>
      <c r="P520" s="8"/>
      <c r="Q520" s="8"/>
      <c r="R520" s="8"/>
      <c r="S520" s="8"/>
      <c r="T520" s="8"/>
      <c r="U520" s="11"/>
      <c r="V520" s="11"/>
      <c r="W520" s="11"/>
      <c r="X520" s="8"/>
      <c r="Y520" s="8"/>
      <c r="Z520" s="8"/>
      <c r="AA520" s="11"/>
      <c r="AB520" s="11"/>
      <c r="AC520" s="11"/>
      <c r="AD520" s="11"/>
    </row>
    <row r="521" ht="15.75" customHeight="1">
      <c r="A521" s="8"/>
      <c r="B521" s="8"/>
      <c r="C521" s="8"/>
      <c r="D521" s="8"/>
      <c r="E521" s="11"/>
      <c r="F521" s="11"/>
      <c r="G521" s="11"/>
      <c r="H521" s="8"/>
      <c r="I521" s="8"/>
      <c r="J521" s="8"/>
      <c r="K521" s="11"/>
      <c r="L521" s="11"/>
      <c r="M521" s="11"/>
      <c r="N521" s="11"/>
      <c r="O521" s="8"/>
      <c r="P521" s="8"/>
      <c r="Q521" s="8"/>
      <c r="R521" s="8"/>
      <c r="S521" s="8"/>
      <c r="T521" s="8"/>
      <c r="U521" s="11"/>
      <c r="V521" s="11"/>
      <c r="W521" s="11"/>
      <c r="X521" s="8"/>
      <c r="Y521" s="8"/>
      <c r="Z521" s="8"/>
      <c r="AA521" s="11"/>
      <c r="AB521" s="11"/>
      <c r="AC521" s="11"/>
      <c r="AD521" s="11"/>
    </row>
    <row r="522" ht="15.75" customHeight="1">
      <c r="A522" s="8"/>
      <c r="B522" s="8"/>
      <c r="C522" s="8"/>
      <c r="D522" s="8"/>
      <c r="E522" s="11"/>
      <c r="F522" s="11"/>
      <c r="G522" s="11"/>
      <c r="H522" s="8"/>
      <c r="I522" s="8"/>
      <c r="J522" s="8"/>
      <c r="K522" s="11"/>
      <c r="L522" s="11"/>
      <c r="M522" s="11"/>
      <c r="N522" s="11"/>
      <c r="O522" s="8"/>
      <c r="P522" s="8"/>
      <c r="Q522" s="8"/>
      <c r="R522" s="8"/>
      <c r="S522" s="8"/>
      <c r="T522" s="8"/>
      <c r="U522" s="11"/>
      <c r="V522" s="11"/>
      <c r="W522" s="11"/>
      <c r="X522" s="8"/>
      <c r="Y522" s="8"/>
      <c r="Z522" s="8"/>
      <c r="AA522" s="11"/>
      <c r="AB522" s="11"/>
      <c r="AC522" s="11"/>
      <c r="AD522" s="11"/>
    </row>
    <row r="523" ht="15.75" customHeight="1">
      <c r="A523" s="8"/>
      <c r="B523" s="8"/>
      <c r="C523" s="8"/>
      <c r="D523" s="8"/>
      <c r="E523" s="11"/>
      <c r="F523" s="11"/>
      <c r="G523" s="11"/>
      <c r="H523" s="8"/>
      <c r="I523" s="8"/>
      <c r="J523" s="8"/>
      <c r="K523" s="11"/>
      <c r="L523" s="11"/>
      <c r="M523" s="11"/>
      <c r="N523" s="11"/>
      <c r="O523" s="8"/>
      <c r="P523" s="8"/>
      <c r="Q523" s="8"/>
      <c r="R523" s="8"/>
      <c r="S523" s="8"/>
      <c r="T523" s="8"/>
      <c r="U523" s="11"/>
      <c r="V523" s="11"/>
      <c r="W523" s="11"/>
      <c r="X523" s="8"/>
      <c r="Y523" s="8"/>
      <c r="Z523" s="8"/>
      <c r="AA523" s="11"/>
      <c r="AB523" s="11"/>
      <c r="AC523" s="11"/>
      <c r="AD523" s="11"/>
    </row>
    <row r="524" ht="15.75" customHeight="1">
      <c r="A524" s="8"/>
      <c r="B524" s="8"/>
      <c r="C524" s="8"/>
      <c r="D524" s="8"/>
      <c r="E524" s="11"/>
      <c r="F524" s="11"/>
      <c r="G524" s="11"/>
      <c r="H524" s="8"/>
      <c r="I524" s="8"/>
      <c r="J524" s="8"/>
      <c r="K524" s="11"/>
      <c r="L524" s="11"/>
      <c r="M524" s="11"/>
      <c r="N524" s="11"/>
      <c r="O524" s="8"/>
      <c r="P524" s="8"/>
      <c r="Q524" s="8"/>
      <c r="R524" s="8"/>
      <c r="S524" s="8"/>
      <c r="T524" s="8"/>
      <c r="U524" s="11"/>
      <c r="V524" s="11"/>
      <c r="W524" s="11"/>
      <c r="X524" s="8"/>
      <c r="Y524" s="8"/>
      <c r="Z524" s="8"/>
      <c r="AA524" s="11"/>
      <c r="AB524" s="11"/>
      <c r="AC524" s="11"/>
      <c r="AD524" s="11"/>
    </row>
    <row r="525" ht="15.75" customHeight="1">
      <c r="A525" s="8"/>
      <c r="B525" s="8"/>
      <c r="C525" s="8"/>
      <c r="D525" s="8"/>
      <c r="E525" s="11"/>
      <c r="F525" s="11"/>
      <c r="G525" s="11"/>
      <c r="H525" s="8"/>
      <c r="I525" s="8"/>
      <c r="J525" s="8"/>
      <c r="K525" s="11"/>
      <c r="L525" s="11"/>
      <c r="M525" s="11"/>
      <c r="N525" s="11"/>
      <c r="O525" s="8"/>
      <c r="P525" s="8"/>
      <c r="Q525" s="8"/>
      <c r="R525" s="8"/>
      <c r="S525" s="8"/>
      <c r="T525" s="8"/>
      <c r="U525" s="11"/>
      <c r="V525" s="11"/>
      <c r="W525" s="11"/>
      <c r="X525" s="8"/>
      <c r="Y525" s="8"/>
      <c r="Z525" s="8"/>
      <c r="AA525" s="11"/>
      <c r="AB525" s="11"/>
      <c r="AC525" s="11"/>
      <c r="AD525" s="11"/>
    </row>
    <row r="526" ht="15.75" customHeight="1">
      <c r="A526" s="8"/>
      <c r="B526" s="8"/>
      <c r="C526" s="8"/>
      <c r="D526" s="8"/>
      <c r="E526" s="11"/>
      <c r="F526" s="11"/>
      <c r="G526" s="11"/>
      <c r="H526" s="8"/>
      <c r="I526" s="8"/>
      <c r="J526" s="8"/>
      <c r="K526" s="11"/>
      <c r="L526" s="11"/>
      <c r="M526" s="11"/>
      <c r="N526" s="11"/>
      <c r="O526" s="8"/>
      <c r="P526" s="8"/>
      <c r="Q526" s="8"/>
      <c r="R526" s="8"/>
      <c r="S526" s="8"/>
      <c r="T526" s="8"/>
      <c r="U526" s="11"/>
      <c r="V526" s="11"/>
      <c r="W526" s="11"/>
      <c r="X526" s="8"/>
      <c r="Y526" s="8"/>
      <c r="Z526" s="8"/>
      <c r="AA526" s="11"/>
      <c r="AB526" s="11"/>
      <c r="AC526" s="11"/>
      <c r="AD526" s="11"/>
    </row>
    <row r="527" ht="15.75" customHeight="1">
      <c r="A527" s="8"/>
      <c r="B527" s="8"/>
      <c r="C527" s="8"/>
      <c r="D527" s="8"/>
      <c r="E527" s="11"/>
      <c r="F527" s="11"/>
      <c r="G527" s="11"/>
      <c r="H527" s="8"/>
      <c r="I527" s="8"/>
      <c r="J527" s="8"/>
      <c r="K527" s="11"/>
      <c r="L527" s="11"/>
      <c r="M527" s="11"/>
      <c r="N527" s="11"/>
      <c r="O527" s="8"/>
      <c r="P527" s="8"/>
      <c r="Q527" s="8"/>
      <c r="R527" s="8"/>
      <c r="S527" s="8"/>
      <c r="T527" s="8"/>
      <c r="U527" s="11"/>
      <c r="V527" s="11"/>
      <c r="W527" s="11"/>
      <c r="X527" s="8"/>
      <c r="Y527" s="8"/>
      <c r="Z527" s="8"/>
      <c r="AA527" s="11"/>
      <c r="AB527" s="11"/>
      <c r="AC527" s="11"/>
      <c r="AD527" s="11"/>
    </row>
    <row r="528" ht="15.75" customHeight="1">
      <c r="A528" s="8"/>
      <c r="B528" s="8"/>
      <c r="C528" s="8"/>
      <c r="D528" s="8"/>
      <c r="E528" s="11"/>
      <c r="F528" s="11"/>
      <c r="G528" s="11"/>
      <c r="H528" s="8"/>
      <c r="I528" s="8"/>
      <c r="J528" s="8"/>
      <c r="K528" s="11"/>
      <c r="L528" s="11"/>
      <c r="M528" s="11"/>
      <c r="N528" s="11"/>
      <c r="O528" s="8"/>
      <c r="P528" s="8"/>
      <c r="Q528" s="8"/>
      <c r="R528" s="8"/>
      <c r="S528" s="8"/>
      <c r="T528" s="8"/>
      <c r="U528" s="11"/>
      <c r="V528" s="11"/>
      <c r="W528" s="11"/>
      <c r="X528" s="8"/>
      <c r="Y528" s="8"/>
      <c r="Z528" s="8"/>
      <c r="AA528" s="11"/>
      <c r="AB528" s="11"/>
      <c r="AC528" s="11"/>
      <c r="AD528" s="11"/>
    </row>
    <row r="529" ht="15.75" customHeight="1">
      <c r="A529" s="8"/>
      <c r="B529" s="8"/>
      <c r="C529" s="8"/>
      <c r="D529" s="8"/>
      <c r="E529" s="11"/>
      <c r="F529" s="11"/>
      <c r="G529" s="11"/>
      <c r="H529" s="8"/>
      <c r="I529" s="8"/>
      <c r="J529" s="8"/>
      <c r="K529" s="11"/>
      <c r="L529" s="11"/>
      <c r="M529" s="11"/>
      <c r="N529" s="11"/>
      <c r="O529" s="8"/>
      <c r="P529" s="8"/>
      <c r="Q529" s="8"/>
      <c r="R529" s="8"/>
      <c r="S529" s="8"/>
      <c r="T529" s="8"/>
      <c r="U529" s="11"/>
      <c r="V529" s="11"/>
      <c r="W529" s="11"/>
      <c r="X529" s="8"/>
      <c r="Y529" s="8"/>
      <c r="Z529" s="8"/>
      <c r="AA529" s="11"/>
      <c r="AB529" s="11"/>
      <c r="AC529" s="11"/>
      <c r="AD529" s="11"/>
    </row>
    <row r="530" ht="15.75" customHeight="1">
      <c r="A530" s="8"/>
      <c r="B530" s="8"/>
      <c r="C530" s="8"/>
      <c r="D530" s="8"/>
      <c r="E530" s="11"/>
      <c r="F530" s="11"/>
      <c r="G530" s="11"/>
      <c r="H530" s="8"/>
      <c r="I530" s="8"/>
      <c r="J530" s="8"/>
      <c r="K530" s="11"/>
      <c r="L530" s="11"/>
      <c r="M530" s="11"/>
      <c r="N530" s="11"/>
      <c r="O530" s="8"/>
      <c r="P530" s="8"/>
      <c r="Q530" s="8"/>
      <c r="R530" s="8"/>
      <c r="S530" s="8"/>
      <c r="T530" s="8"/>
      <c r="U530" s="11"/>
      <c r="V530" s="11"/>
      <c r="W530" s="11"/>
      <c r="X530" s="8"/>
      <c r="Y530" s="8"/>
      <c r="Z530" s="8"/>
      <c r="AA530" s="11"/>
      <c r="AB530" s="11"/>
      <c r="AC530" s="11"/>
      <c r="AD530" s="11"/>
    </row>
    <row r="531" ht="15.75" customHeight="1">
      <c r="A531" s="8"/>
      <c r="B531" s="8"/>
      <c r="C531" s="8"/>
      <c r="D531" s="8"/>
      <c r="E531" s="11"/>
      <c r="F531" s="11"/>
      <c r="G531" s="11"/>
      <c r="H531" s="8"/>
      <c r="I531" s="8"/>
      <c r="J531" s="8"/>
      <c r="K531" s="11"/>
      <c r="L531" s="11"/>
      <c r="M531" s="11"/>
      <c r="N531" s="11"/>
      <c r="O531" s="8"/>
      <c r="P531" s="8"/>
      <c r="Q531" s="8"/>
      <c r="R531" s="8"/>
      <c r="S531" s="8"/>
      <c r="T531" s="8"/>
      <c r="U531" s="11"/>
      <c r="V531" s="11"/>
      <c r="W531" s="11"/>
      <c r="X531" s="8"/>
      <c r="Y531" s="8"/>
      <c r="Z531" s="8"/>
      <c r="AA531" s="11"/>
      <c r="AB531" s="11"/>
      <c r="AC531" s="11"/>
      <c r="AD531" s="11"/>
    </row>
    <row r="532" ht="15.75" customHeight="1">
      <c r="A532" s="8"/>
      <c r="B532" s="8"/>
      <c r="C532" s="8"/>
      <c r="D532" s="8"/>
      <c r="E532" s="11"/>
      <c r="F532" s="11"/>
      <c r="G532" s="11"/>
      <c r="H532" s="8"/>
      <c r="I532" s="8"/>
      <c r="J532" s="8"/>
      <c r="K532" s="11"/>
      <c r="L532" s="11"/>
      <c r="M532" s="11"/>
      <c r="N532" s="11"/>
      <c r="O532" s="8"/>
      <c r="P532" s="8"/>
      <c r="Q532" s="8"/>
      <c r="R532" s="8"/>
      <c r="S532" s="8"/>
      <c r="T532" s="8"/>
      <c r="U532" s="11"/>
      <c r="V532" s="11"/>
      <c r="W532" s="11"/>
      <c r="X532" s="8"/>
      <c r="Y532" s="8"/>
      <c r="Z532" s="8"/>
      <c r="AA532" s="11"/>
      <c r="AB532" s="11"/>
      <c r="AC532" s="11"/>
      <c r="AD532" s="11"/>
    </row>
    <row r="533" ht="15.75" customHeight="1">
      <c r="A533" s="8"/>
      <c r="B533" s="8"/>
      <c r="C533" s="8"/>
      <c r="D533" s="8"/>
      <c r="E533" s="11"/>
      <c r="F533" s="11"/>
      <c r="G533" s="11"/>
      <c r="H533" s="8"/>
      <c r="I533" s="8"/>
      <c r="J533" s="8"/>
      <c r="K533" s="11"/>
      <c r="L533" s="11"/>
      <c r="M533" s="11"/>
      <c r="N533" s="11"/>
      <c r="O533" s="8"/>
      <c r="P533" s="8"/>
      <c r="Q533" s="8"/>
      <c r="R533" s="8"/>
      <c r="S533" s="8"/>
      <c r="T533" s="8"/>
      <c r="U533" s="11"/>
      <c r="V533" s="11"/>
      <c r="W533" s="11"/>
      <c r="X533" s="8"/>
      <c r="Y533" s="8"/>
      <c r="Z533" s="8"/>
      <c r="AA533" s="11"/>
      <c r="AB533" s="11"/>
      <c r="AC533" s="11"/>
      <c r="AD533" s="11"/>
    </row>
    <row r="534" ht="15.75" customHeight="1">
      <c r="A534" s="8"/>
      <c r="B534" s="8"/>
      <c r="C534" s="8"/>
      <c r="D534" s="8"/>
      <c r="E534" s="11"/>
      <c r="F534" s="11"/>
      <c r="G534" s="11"/>
      <c r="H534" s="8"/>
      <c r="I534" s="8"/>
      <c r="J534" s="8"/>
      <c r="K534" s="11"/>
      <c r="L534" s="11"/>
      <c r="M534" s="11"/>
      <c r="N534" s="11"/>
      <c r="O534" s="8"/>
      <c r="P534" s="8"/>
      <c r="Q534" s="8"/>
      <c r="R534" s="8"/>
      <c r="S534" s="8"/>
      <c r="T534" s="8"/>
      <c r="U534" s="11"/>
      <c r="V534" s="11"/>
      <c r="W534" s="11"/>
      <c r="X534" s="8"/>
      <c r="Y534" s="8"/>
      <c r="Z534" s="8"/>
      <c r="AA534" s="11"/>
      <c r="AB534" s="11"/>
      <c r="AC534" s="11"/>
      <c r="AD534" s="11"/>
    </row>
    <row r="535" ht="15.75" customHeight="1">
      <c r="A535" s="8"/>
      <c r="B535" s="8"/>
      <c r="C535" s="8"/>
      <c r="D535" s="8"/>
      <c r="E535" s="11"/>
      <c r="F535" s="11"/>
      <c r="G535" s="11"/>
      <c r="H535" s="8"/>
      <c r="I535" s="8"/>
      <c r="J535" s="8"/>
      <c r="K535" s="11"/>
      <c r="L535" s="11"/>
      <c r="M535" s="11"/>
      <c r="N535" s="11"/>
      <c r="O535" s="8"/>
      <c r="P535" s="8"/>
      <c r="Q535" s="8"/>
      <c r="R535" s="8"/>
      <c r="S535" s="8"/>
      <c r="T535" s="8"/>
      <c r="U535" s="11"/>
      <c r="V535" s="11"/>
      <c r="W535" s="11"/>
      <c r="X535" s="8"/>
      <c r="Y535" s="8"/>
      <c r="Z535" s="8"/>
      <c r="AA535" s="11"/>
      <c r="AB535" s="11"/>
      <c r="AC535" s="11"/>
      <c r="AD535" s="11"/>
    </row>
    <row r="536" ht="15.75" customHeight="1">
      <c r="A536" s="8"/>
      <c r="B536" s="8"/>
      <c r="C536" s="8"/>
      <c r="D536" s="8"/>
      <c r="E536" s="11"/>
      <c r="F536" s="11"/>
      <c r="G536" s="11"/>
      <c r="H536" s="8"/>
      <c r="I536" s="8"/>
      <c r="J536" s="8"/>
      <c r="K536" s="11"/>
      <c r="L536" s="11"/>
      <c r="M536" s="11"/>
      <c r="N536" s="11"/>
      <c r="O536" s="8"/>
      <c r="P536" s="8"/>
      <c r="Q536" s="8"/>
      <c r="R536" s="8"/>
      <c r="S536" s="8"/>
      <c r="T536" s="8"/>
      <c r="U536" s="11"/>
      <c r="V536" s="11"/>
      <c r="W536" s="11"/>
      <c r="X536" s="8"/>
      <c r="Y536" s="8"/>
      <c r="Z536" s="8"/>
      <c r="AA536" s="11"/>
      <c r="AB536" s="11"/>
      <c r="AC536" s="11"/>
      <c r="AD536" s="11"/>
    </row>
    <row r="537" ht="15.75" customHeight="1">
      <c r="A537" s="8"/>
      <c r="B537" s="8"/>
      <c r="C537" s="8"/>
      <c r="D537" s="8"/>
      <c r="E537" s="11"/>
      <c r="F537" s="11"/>
      <c r="G537" s="11"/>
      <c r="H537" s="8"/>
      <c r="I537" s="8"/>
      <c r="J537" s="8"/>
      <c r="K537" s="11"/>
      <c r="L537" s="11"/>
      <c r="M537" s="11"/>
      <c r="N537" s="11"/>
      <c r="O537" s="8"/>
      <c r="P537" s="8"/>
      <c r="Q537" s="8"/>
      <c r="R537" s="8"/>
      <c r="S537" s="8"/>
      <c r="T537" s="8"/>
      <c r="U537" s="11"/>
      <c r="V537" s="11"/>
      <c r="W537" s="11"/>
      <c r="X537" s="8"/>
      <c r="Y537" s="8"/>
      <c r="Z537" s="8"/>
      <c r="AA537" s="11"/>
      <c r="AB537" s="11"/>
      <c r="AC537" s="11"/>
      <c r="AD537" s="11"/>
    </row>
    <row r="538" ht="15.75" customHeight="1">
      <c r="A538" s="8"/>
      <c r="B538" s="8"/>
      <c r="C538" s="8"/>
      <c r="D538" s="8"/>
      <c r="E538" s="11"/>
      <c r="F538" s="11"/>
      <c r="G538" s="11"/>
      <c r="H538" s="8"/>
      <c r="I538" s="8"/>
      <c r="J538" s="8"/>
      <c r="K538" s="11"/>
      <c r="L538" s="11"/>
      <c r="M538" s="11"/>
      <c r="N538" s="11"/>
      <c r="O538" s="8"/>
      <c r="P538" s="8"/>
      <c r="Q538" s="8"/>
      <c r="R538" s="8"/>
      <c r="S538" s="8"/>
      <c r="T538" s="8"/>
      <c r="U538" s="11"/>
      <c r="V538" s="11"/>
      <c r="W538" s="11"/>
      <c r="X538" s="8"/>
      <c r="Y538" s="8"/>
      <c r="Z538" s="8"/>
      <c r="AA538" s="11"/>
      <c r="AB538" s="11"/>
      <c r="AC538" s="11"/>
      <c r="AD538" s="11"/>
    </row>
    <row r="539" ht="15.75" customHeight="1">
      <c r="A539" s="8"/>
      <c r="B539" s="8"/>
      <c r="C539" s="8"/>
      <c r="D539" s="8"/>
      <c r="E539" s="11"/>
      <c r="F539" s="11"/>
      <c r="G539" s="11"/>
      <c r="H539" s="8"/>
      <c r="I539" s="8"/>
      <c r="J539" s="8"/>
      <c r="K539" s="11"/>
      <c r="L539" s="11"/>
      <c r="M539" s="11"/>
      <c r="N539" s="11"/>
      <c r="O539" s="8"/>
      <c r="P539" s="8"/>
      <c r="Q539" s="8"/>
      <c r="R539" s="8"/>
      <c r="S539" s="8"/>
      <c r="T539" s="8"/>
      <c r="U539" s="11"/>
      <c r="V539" s="11"/>
      <c r="W539" s="11"/>
      <c r="X539" s="8"/>
      <c r="Y539" s="8"/>
      <c r="Z539" s="8"/>
      <c r="AA539" s="11"/>
      <c r="AB539" s="11"/>
      <c r="AC539" s="11"/>
      <c r="AD539" s="11"/>
    </row>
    <row r="540" ht="15.75" customHeight="1">
      <c r="A540" s="8"/>
      <c r="B540" s="8"/>
      <c r="C540" s="8"/>
      <c r="D540" s="8"/>
      <c r="E540" s="11"/>
      <c r="F540" s="11"/>
      <c r="G540" s="11"/>
      <c r="H540" s="8"/>
      <c r="I540" s="8"/>
      <c r="J540" s="8"/>
      <c r="K540" s="11"/>
      <c r="L540" s="11"/>
      <c r="M540" s="11"/>
      <c r="N540" s="11"/>
      <c r="O540" s="8"/>
      <c r="P540" s="8"/>
      <c r="Q540" s="8"/>
      <c r="R540" s="8"/>
      <c r="S540" s="8"/>
      <c r="T540" s="8"/>
      <c r="U540" s="11"/>
      <c r="V540" s="11"/>
      <c r="W540" s="11"/>
      <c r="X540" s="8"/>
      <c r="Y540" s="8"/>
      <c r="Z540" s="8"/>
      <c r="AA540" s="11"/>
      <c r="AB540" s="11"/>
      <c r="AC540" s="11"/>
      <c r="AD540" s="11"/>
    </row>
    <row r="541" ht="15.75" customHeight="1">
      <c r="E541" s="15"/>
      <c r="F541" s="15"/>
      <c r="G541" s="15"/>
      <c r="K541" s="15"/>
      <c r="L541" s="15"/>
      <c r="M541" s="15"/>
      <c r="N541" s="15"/>
      <c r="U541" s="15"/>
      <c r="V541" s="15"/>
      <c r="W541" s="15"/>
      <c r="AA541" s="15"/>
      <c r="AB541" s="15"/>
      <c r="AC541" s="15"/>
      <c r="AD541" s="15"/>
    </row>
    <row r="542" ht="15.75" customHeight="1">
      <c r="E542" s="15"/>
      <c r="F542" s="15"/>
      <c r="G542" s="15"/>
      <c r="K542" s="15"/>
      <c r="L542" s="15"/>
      <c r="M542" s="15"/>
      <c r="N542" s="15"/>
      <c r="U542" s="15"/>
      <c r="V542" s="15"/>
      <c r="W542" s="15"/>
      <c r="AA542" s="15"/>
      <c r="AB542" s="15"/>
      <c r="AC542" s="15"/>
      <c r="AD542" s="15"/>
    </row>
    <row r="543" ht="15.75" customHeight="1">
      <c r="E543" s="15"/>
      <c r="F543" s="15"/>
      <c r="G543" s="15"/>
      <c r="K543" s="15"/>
      <c r="L543" s="15"/>
      <c r="M543" s="15"/>
      <c r="N543" s="15"/>
      <c r="U543" s="15"/>
      <c r="V543" s="15"/>
      <c r="W543" s="15"/>
      <c r="AA543" s="15"/>
      <c r="AB543" s="15"/>
      <c r="AC543" s="15"/>
      <c r="AD543" s="15"/>
    </row>
    <row r="544" ht="15.75" customHeight="1">
      <c r="E544" s="15"/>
      <c r="F544" s="15"/>
      <c r="G544" s="15"/>
      <c r="K544" s="15"/>
      <c r="L544" s="15"/>
      <c r="M544" s="15"/>
      <c r="N544" s="15"/>
      <c r="U544" s="15"/>
      <c r="V544" s="15"/>
      <c r="W544" s="15"/>
      <c r="AA544" s="15"/>
      <c r="AB544" s="15"/>
      <c r="AC544" s="15"/>
      <c r="AD544" s="15"/>
    </row>
    <row r="545" ht="15.75" customHeight="1">
      <c r="E545" s="15"/>
      <c r="F545" s="15"/>
      <c r="G545" s="15"/>
      <c r="K545" s="15"/>
      <c r="L545" s="15"/>
      <c r="M545" s="15"/>
      <c r="N545" s="15"/>
      <c r="U545" s="15"/>
      <c r="V545" s="15"/>
      <c r="W545" s="15"/>
      <c r="AA545" s="15"/>
      <c r="AB545" s="15"/>
      <c r="AC545" s="15"/>
      <c r="AD545" s="15"/>
    </row>
    <row r="546" ht="15.75" customHeight="1">
      <c r="E546" s="15"/>
      <c r="F546" s="15"/>
      <c r="G546" s="15"/>
      <c r="K546" s="15"/>
      <c r="L546" s="15"/>
      <c r="M546" s="15"/>
      <c r="N546" s="15"/>
      <c r="U546" s="15"/>
      <c r="V546" s="15"/>
      <c r="W546" s="15"/>
      <c r="AA546" s="15"/>
      <c r="AB546" s="15"/>
      <c r="AC546" s="15"/>
      <c r="AD546" s="15"/>
    </row>
    <row r="547" ht="15.75" customHeight="1">
      <c r="E547" s="15"/>
      <c r="F547" s="15"/>
      <c r="G547" s="15"/>
      <c r="K547" s="15"/>
      <c r="L547" s="15"/>
      <c r="M547" s="15"/>
      <c r="N547" s="15"/>
      <c r="U547" s="15"/>
      <c r="V547" s="15"/>
      <c r="W547" s="15"/>
      <c r="AA547" s="15"/>
      <c r="AB547" s="15"/>
      <c r="AC547" s="15"/>
      <c r="AD547" s="15"/>
    </row>
    <row r="548" ht="15.75" customHeight="1">
      <c r="E548" s="15"/>
      <c r="F548" s="15"/>
      <c r="G548" s="15"/>
      <c r="K548" s="15"/>
      <c r="L548" s="15"/>
      <c r="M548" s="15"/>
      <c r="N548" s="15"/>
      <c r="U548" s="15"/>
      <c r="V548" s="15"/>
      <c r="W548" s="15"/>
      <c r="AA548" s="15"/>
      <c r="AB548" s="15"/>
      <c r="AC548" s="15"/>
      <c r="AD548" s="15"/>
    </row>
    <row r="549" ht="15.75" customHeight="1">
      <c r="E549" s="15"/>
      <c r="F549" s="15"/>
      <c r="G549" s="15"/>
      <c r="K549" s="15"/>
      <c r="L549" s="15"/>
      <c r="M549" s="15"/>
      <c r="N549" s="15"/>
      <c r="U549" s="15"/>
      <c r="V549" s="15"/>
      <c r="W549" s="15"/>
      <c r="AA549" s="15"/>
      <c r="AB549" s="15"/>
      <c r="AC549" s="15"/>
      <c r="AD549" s="15"/>
    </row>
    <row r="550" ht="15.75" customHeight="1">
      <c r="E550" s="15"/>
      <c r="F550" s="15"/>
      <c r="G550" s="15"/>
      <c r="K550" s="15"/>
      <c r="L550" s="15"/>
      <c r="M550" s="15"/>
      <c r="N550" s="15"/>
      <c r="U550" s="15"/>
      <c r="V550" s="15"/>
      <c r="W550" s="15"/>
      <c r="AA550" s="15"/>
      <c r="AB550" s="15"/>
      <c r="AC550" s="15"/>
      <c r="AD550" s="15"/>
    </row>
    <row r="551" ht="15.75" customHeight="1">
      <c r="E551" s="15"/>
      <c r="F551" s="15"/>
      <c r="G551" s="15"/>
      <c r="K551" s="15"/>
      <c r="L551" s="15"/>
      <c r="M551" s="15"/>
      <c r="N551" s="15"/>
      <c r="U551" s="15"/>
      <c r="V551" s="15"/>
      <c r="W551" s="15"/>
      <c r="AA551" s="15"/>
      <c r="AB551" s="15"/>
      <c r="AC551" s="15"/>
      <c r="AD551" s="15"/>
    </row>
    <row r="552" ht="15.75" customHeight="1">
      <c r="E552" s="15"/>
      <c r="F552" s="15"/>
      <c r="G552" s="15"/>
      <c r="K552" s="15"/>
      <c r="L552" s="15"/>
      <c r="M552" s="15"/>
      <c r="N552" s="15"/>
      <c r="U552" s="15"/>
      <c r="V552" s="15"/>
      <c r="W552" s="15"/>
      <c r="AA552" s="15"/>
      <c r="AB552" s="15"/>
      <c r="AC552" s="15"/>
      <c r="AD552" s="15"/>
    </row>
    <row r="553" ht="15.75" customHeight="1">
      <c r="E553" s="15"/>
      <c r="F553" s="15"/>
      <c r="G553" s="15"/>
      <c r="K553" s="15"/>
      <c r="L553" s="15"/>
      <c r="M553" s="15"/>
      <c r="N553" s="15"/>
      <c r="U553" s="15"/>
      <c r="V553" s="15"/>
      <c r="W553" s="15"/>
      <c r="AA553" s="15"/>
      <c r="AB553" s="15"/>
      <c r="AC553" s="15"/>
      <c r="AD553" s="15"/>
    </row>
    <row r="554" ht="15.75" customHeight="1">
      <c r="E554" s="15"/>
      <c r="F554" s="15"/>
      <c r="G554" s="15"/>
      <c r="K554" s="15"/>
      <c r="L554" s="15"/>
      <c r="M554" s="15"/>
      <c r="N554" s="15"/>
      <c r="U554" s="15"/>
      <c r="V554" s="15"/>
      <c r="W554" s="15"/>
      <c r="AA554" s="15"/>
      <c r="AB554" s="15"/>
      <c r="AC554" s="15"/>
      <c r="AD554" s="15"/>
    </row>
    <row r="555" ht="15.75" customHeight="1">
      <c r="E555" s="15"/>
      <c r="F555" s="15"/>
      <c r="G555" s="15"/>
      <c r="K555" s="15"/>
      <c r="L555" s="15"/>
      <c r="M555" s="15"/>
      <c r="N555" s="15"/>
      <c r="U555" s="15"/>
      <c r="V555" s="15"/>
      <c r="W555" s="15"/>
      <c r="AA555" s="15"/>
      <c r="AB555" s="15"/>
      <c r="AC555" s="15"/>
      <c r="AD555" s="15"/>
    </row>
    <row r="556" ht="15.75" customHeight="1">
      <c r="E556" s="15"/>
      <c r="F556" s="15"/>
      <c r="G556" s="15"/>
      <c r="K556" s="15"/>
      <c r="L556" s="15"/>
      <c r="M556" s="15"/>
      <c r="N556" s="15"/>
      <c r="U556" s="15"/>
      <c r="V556" s="15"/>
      <c r="W556" s="15"/>
      <c r="AA556" s="15"/>
      <c r="AB556" s="15"/>
      <c r="AC556" s="15"/>
      <c r="AD556" s="15"/>
    </row>
    <row r="557" ht="15.75" customHeight="1">
      <c r="E557" s="15"/>
      <c r="F557" s="15"/>
      <c r="G557" s="15"/>
      <c r="K557" s="15"/>
      <c r="L557" s="15"/>
      <c r="M557" s="15"/>
      <c r="N557" s="15"/>
      <c r="U557" s="15"/>
      <c r="V557" s="15"/>
      <c r="W557" s="15"/>
      <c r="AA557" s="15"/>
      <c r="AB557" s="15"/>
      <c r="AC557" s="15"/>
      <c r="AD557" s="15"/>
    </row>
    <row r="558" ht="15.75" customHeight="1">
      <c r="E558" s="15"/>
      <c r="F558" s="15"/>
      <c r="G558" s="15"/>
      <c r="K558" s="15"/>
      <c r="L558" s="15"/>
      <c r="M558" s="15"/>
      <c r="N558" s="15"/>
      <c r="U558" s="15"/>
      <c r="V558" s="15"/>
      <c r="W558" s="15"/>
      <c r="AA558" s="15"/>
      <c r="AB558" s="15"/>
      <c r="AC558" s="15"/>
      <c r="AD558" s="15"/>
    </row>
    <row r="559" ht="15.75" customHeight="1">
      <c r="E559" s="15"/>
      <c r="F559" s="15"/>
      <c r="G559" s="15"/>
      <c r="K559" s="15"/>
      <c r="L559" s="15"/>
      <c r="M559" s="15"/>
      <c r="N559" s="15"/>
      <c r="U559" s="15"/>
      <c r="V559" s="15"/>
      <c r="W559" s="15"/>
      <c r="AA559" s="15"/>
      <c r="AB559" s="15"/>
      <c r="AC559" s="15"/>
      <c r="AD559" s="15"/>
    </row>
    <row r="560" ht="15.75" customHeight="1">
      <c r="E560" s="15"/>
      <c r="F560" s="15"/>
      <c r="G560" s="15"/>
      <c r="K560" s="15"/>
      <c r="L560" s="15"/>
      <c r="M560" s="15"/>
      <c r="N560" s="15"/>
      <c r="U560" s="15"/>
      <c r="V560" s="15"/>
      <c r="W560" s="15"/>
      <c r="AA560" s="15"/>
      <c r="AB560" s="15"/>
      <c r="AC560" s="15"/>
      <c r="AD560" s="15"/>
    </row>
    <row r="561" ht="15.75" customHeight="1">
      <c r="E561" s="15"/>
      <c r="F561" s="15"/>
      <c r="G561" s="15"/>
      <c r="K561" s="15"/>
      <c r="L561" s="15"/>
      <c r="M561" s="15"/>
      <c r="N561" s="15"/>
      <c r="U561" s="15"/>
      <c r="V561" s="15"/>
      <c r="W561" s="15"/>
      <c r="AA561" s="15"/>
      <c r="AB561" s="15"/>
      <c r="AC561" s="15"/>
      <c r="AD561" s="15"/>
    </row>
    <row r="562" ht="15.75" customHeight="1">
      <c r="E562" s="15"/>
      <c r="F562" s="15"/>
      <c r="G562" s="15"/>
      <c r="K562" s="15"/>
      <c r="L562" s="15"/>
      <c r="M562" s="15"/>
      <c r="N562" s="15"/>
      <c r="U562" s="15"/>
      <c r="V562" s="15"/>
      <c r="W562" s="15"/>
      <c r="AA562" s="15"/>
      <c r="AB562" s="15"/>
      <c r="AC562" s="15"/>
      <c r="AD562" s="15"/>
    </row>
    <row r="563" ht="15.75" customHeight="1">
      <c r="E563" s="15"/>
      <c r="F563" s="15"/>
      <c r="G563" s="15"/>
      <c r="K563" s="15"/>
      <c r="L563" s="15"/>
      <c r="M563" s="15"/>
      <c r="N563" s="15"/>
      <c r="U563" s="15"/>
      <c r="V563" s="15"/>
      <c r="W563" s="15"/>
      <c r="AA563" s="15"/>
      <c r="AB563" s="15"/>
      <c r="AC563" s="15"/>
      <c r="AD563" s="15"/>
    </row>
    <row r="564" ht="15.75" customHeight="1">
      <c r="E564" s="15"/>
      <c r="F564" s="15"/>
      <c r="G564" s="15"/>
      <c r="K564" s="15"/>
      <c r="L564" s="15"/>
      <c r="M564" s="15"/>
      <c r="N564" s="15"/>
      <c r="U564" s="15"/>
      <c r="V564" s="15"/>
      <c r="W564" s="15"/>
      <c r="AA564" s="15"/>
      <c r="AB564" s="15"/>
      <c r="AC564" s="15"/>
      <c r="AD564" s="15"/>
    </row>
    <row r="565" ht="15.75" customHeight="1">
      <c r="E565" s="15"/>
      <c r="F565" s="15"/>
      <c r="G565" s="15"/>
      <c r="K565" s="15"/>
      <c r="L565" s="15"/>
      <c r="M565" s="15"/>
      <c r="N565" s="15"/>
      <c r="U565" s="15"/>
      <c r="V565" s="15"/>
      <c r="W565" s="15"/>
      <c r="AA565" s="15"/>
      <c r="AB565" s="15"/>
      <c r="AC565" s="15"/>
      <c r="AD565" s="15"/>
    </row>
    <row r="566" ht="15.75" customHeight="1">
      <c r="E566" s="15"/>
      <c r="F566" s="15"/>
      <c r="G566" s="15"/>
      <c r="K566" s="15"/>
      <c r="L566" s="15"/>
      <c r="M566" s="15"/>
      <c r="N566" s="15"/>
      <c r="U566" s="15"/>
      <c r="V566" s="15"/>
      <c r="W566" s="15"/>
      <c r="AA566" s="15"/>
      <c r="AB566" s="15"/>
      <c r="AC566" s="15"/>
      <c r="AD566" s="15"/>
    </row>
    <row r="567" ht="15.75" customHeight="1">
      <c r="E567" s="15"/>
      <c r="F567" s="15"/>
      <c r="G567" s="15"/>
      <c r="K567" s="15"/>
      <c r="L567" s="15"/>
      <c r="M567" s="15"/>
      <c r="N567" s="15"/>
      <c r="U567" s="15"/>
      <c r="V567" s="15"/>
      <c r="W567" s="15"/>
      <c r="AA567" s="15"/>
      <c r="AB567" s="15"/>
      <c r="AC567" s="15"/>
      <c r="AD567" s="15"/>
    </row>
    <row r="568" ht="15.75" customHeight="1">
      <c r="E568" s="15"/>
      <c r="F568" s="15"/>
      <c r="G568" s="15"/>
      <c r="K568" s="15"/>
      <c r="L568" s="15"/>
      <c r="M568" s="15"/>
      <c r="N568" s="15"/>
      <c r="U568" s="15"/>
      <c r="V568" s="15"/>
      <c r="W568" s="15"/>
      <c r="AA568" s="15"/>
      <c r="AB568" s="15"/>
      <c r="AC568" s="15"/>
      <c r="AD568" s="15"/>
    </row>
    <row r="569" ht="15.75" customHeight="1">
      <c r="E569" s="15"/>
      <c r="F569" s="15"/>
      <c r="G569" s="15"/>
      <c r="K569" s="15"/>
      <c r="L569" s="15"/>
      <c r="M569" s="15"/>
      <c r="N569" s="15"/>
      <c r="U569" s="15"/>
      <c r="V569" s="15"/>
      <c r="W569" s="15"/>
      <c r="AA569" s="15"/>
      <c r="AB569" s="15"/>
      <c r="AC569" s="15"/>
      <c r="AD569" s="15"/>
    </row>
    <row r="570" ht="15.75" customHeight="1">
      <c r="E570" s="15"/>
      <c r="F570" s="15"/>
      <c r="G570" s="15"/>
      <c r="K570" s="15"/>
      <c r="L570" s="15"/>
      <c r="M570" s="15"/>
      <c r="N570" s="15"/>
      <c r="U570" s="15"/>
      <c r="V570" s="15"/>
      <c r="W570" s="15"/>
      <c r="AA570" s="15"/>
      <c r="AB570" s="15"/>
      <c r="AC570" s="15"/>
      <c r="AD570" s="15"/>
    </row>
    <row r="571" ht="15.75" customHeight="1">
      <c r="E571" s="15"/>
      <c r="F571" s="15"/>
      <c r="G571" s="15"/>
      <c r="K571" s="15"/>
      <c r="L571" s="15"/>
      <c r="M571" s="15"/>
      <c r="N571" s="15"/>
      <c r="U571" s="15"/>
      <c r="V571" s="15"/>
      <c r="W571" s="15"/>
      <c r="AA571" s="15"/>
      <c r="AB571" s="15"/>
      <c r="AC571" s="15"/>
      <c r="AD571" s="15"/>
    </row>
    <row r="572" ht="15.75" customHeight="1">
      <c r="E572" s="15"/>
      <c r="F572" s="15"/>
      <c r="G572" s="15"/>
      <c r="K572" s="15"/>
      <c r="L572" s="15"/>
      <c r="M572" s="15"/>
      <c r="N572" s="15"/>
      <c r="U572" s="15"/>
      <c r="V572" s="15"/>
      <c r="W572" s="15"/>
      <c r="AA572" s="15"/>
      <c r="AB572" s="15"/>
      <c r="AC572" s="15"/>
      <c r="AD572" s="15"/>
    </row>
    <row r="573" ht="15.75" customHeight="1">
      <c r="E573" s="15"/>
      <c r="F573" s="15"/>
      <c r="G573" s="15"/>
      <c r="K573" s="15"/>
      <c r="L573" s="15"/>
      <c r="M573" s="15"/>
      <c r="N573" s="15"/>
      <c r="U573" s="15"/>
      <c r="V573" s="15"/>
      <c r="W573" s="15"/>
      <c r="AA573" s="15"/>
      <c r="AB573" s="15"/>
      <c r="AC573" s="15"/>
      <c r="AD573" s="15"/>
    </row>
    <row r="574" ht="15.75" customHeight="1">
      <c r="E574" s="15"/>
      <c r="F574" s="15"/>
      <c r="G574" s="15"/>
      <c r="K574" s="15"/>
      <c r="L574" s="15"/>
      <c r="M574" s="15"/>
      <c r="N574" s="15"/>
      <c r="U574" s="15"/>
      <c r="V574" s="15"/>
      <c r="W574" s="15"/>
      <c r="AA574" s="15"/>
      <c r="AB574" s="15"/>
      <c r="AC574" s="15"/>
      <c r="AD574" s="15"/>
    </row>
    <row r="575" ht="15.75" customHeight="1">
      <c r="E575" s="15"/>
      <c r="F575" s="15"/>
      <c r="G575" s="15"/>
      <c r="K575" s="15"/>
      <c r="L575" s="15"/>
      <c r="M575" s="15"/>
      <c r="N575" s="15"/>
      <c r="U575" s="15"/>
      <c r="V575" s="15"/>
      <c r="W575" s="15"/>
      <c r="AA575" s="15"/>
      <c r="AB575" s="15"/>
      <c r="AC575" s="15"/>
      <c r="AD575" s="15"/>
    </row>
    <row r="576" ht="15.75" customHeight="1">
      <c r="E576" s="15"/>
      <c r="F576" s="15"/>
      <c r="G576" s="15"/>
      <c r="K576" s="15"/>
      <c r="L576" s="15"/>
      <c r="M576" s="15"/>
      <c r="N576" s="15"/>
      <c r="U576" s="15"/>
      <c r="V576" s="15"/>
      <c r="W576" s="15"/>
      <c r="AA576" s="15"/>
      <c r="AB576" s="15"/>
      <c r="AC576" s="15"/>
      <c r="AD576" s="15"/>
    </row>
    <row r="577" ht="15.75" customHeight="1">
      <c r="E577" s="15"/>
      <c r="F577" s="15"/>
      <c r="G577" s="15"/>
      <c r="K577" s="15"/>
      <c r="L577" s="15"/>
      <c r="M577" s="15"/>
      <c r="N577" s="15"/>
      <c r="U577" s="15"/>
      <c r="V577" s="15"/>
      <c r="W577" s="15"/>
      <c r="AA577" s="15"/>
      <c r="AB577" s="15"/>
      <c r="AC577" s="15"/>
      <c r="AD577" s="15"/>
    </row>
    <row r="578" ht="15.75" customHeight="1">
      <c r="E578" s="15"/>
      <c r="F578" s="15"/>
      <c r="G578" s="15"/>
      <c r="K578" s="15"/>
      <c r="L578" s="15"/>
      <c r="M578" s="15"/>
      <c r="N578" s="15"/>
      <c r="U578" s="15"/>
      <c r="V578" s="15"/>
      <c r="W578" s="15"/>
      <c r="AA578" s="15"/>
      <c r="AB578" s="15"/>
      <c r="AC578" s="15"/>
      <c r="AD578" s="15"/>
    </row>
    <row r="579" ht="15.75" customHeight="1">
      <c r="E579" s="15"/>
      <c r="F579" s="15"/>
      <c r="G579" s="15"/>
      <c r="K579" s="15"/>
      <c r="L579" s="15"/>
      <c r="M579" s="15"/>
      <c r="N579" s="15"/>
      <c r="U579" s="15"/>
      <c r="V579" s="15"/>
      <c r="W579" s="15"/>
      <c r="AA579" s="15"/>
      <c r="AB579" s="15"/>
      <c r="AC579" s="15"/>
      <c r="AD579" s="15"/>
    </row>
    <row r="580" ht="15.75" customHeight="1">
      <c r="E580" s="15"/>
      <c r="F580" s="15"/>
      <c r="G580" s="15"/>
      <c r="K580" s="15"/>
      <c r="L580" s="15"/>
      <c r="M580" s="15"/>
      <c r="N580" s="15"/>
      <c r="U580" s="15"/>
      <c r="V580" s="15"/>
      <c r="W580" s="15"/>
      <c r="AA580" s="15"/>
      <c r="AB580" s="15"/>
      <c r="AC580" s="15"/>
      <c r="AD580" s="15"/>
    </row>
    <row r="581" ht="15.75" customHeight="1">
      <c r="E581" s="15"/>
      <c r="F581" s="15"/>
      <c r="G581" s="15"/>
      <c r="K581" s="15"/>
      <c r="L581" s="15"/>
      <c r="M581" s="15"/>
      <c r="N581" s="15"/>
      <c r="U581" s="15"/>
      <c r="V581" s="15"/>
      <c r="W581" s="15"/>
      <c r="AA581" s="15"/>
      <c r="AB581" s="15"/>
      <c r="AC581" s="15"/>
      <c r="AD581" s="15"/>
    </row>
    <row r="582" ht="15.75" customHeight="1">
      <c r="E582" s="15"/>
      <c r="F582" s="15"/>
      <c r="G582" s="15"/>
      <c r="K582" s="15"/>
      <c r="L582" s="15"/>
      <c r="M582" s="15"/>
      <c r="N582" s="15"/>
      <c r="U582" s="15"/>
      <c r="V582" s="15"/>
      <c r="W582" s="15"/>
      <c r="AA582" s="15"/>
      <c r="AB582" s="15"/>
      <c r="AC582" s="15"/>
      <c r="AD582" s="15"/>
    </row>
    <row r="583" ht="15.75" customHeight="1">
      <c r="E583" s="15"/>
      <c r="F583" s="15"/>
      <c r="G583" s="15"/>
      <c r="K583" s="15"/>
      <c r="L583" s="15"/>
      <c r="M583" s="15"/>
      <c r="N583" s="15"/>
      <c r="U583" s="15"/>
      <c r="V583" s="15"/>
      <c r="W583" s="15"/>
      <c r="AA583" s="15"/>
      <c r="AB583" s="15"/>
      <c r="AC583" s="15"/>
      <c r="AD583" s="15"/>
    </row>
    <row r="584" ht="15.75" customHeight="1">
      <c r="E584" s="15"/>
      <c r="F584" s="15"/>
      <c r="G584" s="15"/>
      <c r="K584" s="15"/>
      <c r="L584" s="15"/>
      <c r="M584" s="15"/>
      <c r="N584" s="15"/>
      <c r="U584" s="15"/>
      <c r="V584" s="15"/>
      <c r="W584" s="15"/>
      <c r="AA584" s="15"/>
      <c r="AB584" s="15"/>
      <c r="AC584" s="15"/>
      <c r="AD584" s="15"/>
    </row>
    <row r="585" ht="15.75" customHeight="1">
      <c r="E585" s="15"/>
      <c r="F585" s="15"/>
      <c r="G585" s="15"/>
      <c r="K585" s="15"/>
      <c r="L585" s="15"/>
      <c r="M585" s="15"/>
      <c r="N585" s="15"/>
      <c r="U585" s="15"/>
      <c r="V585" s="15"/>
      <c r="W585" s="15"/>
      <c r="AA585" s="15"/>
      <c r="AB585" s="15"/>
      <c r="AC585" s="15"/>
      <c r="AD585" s="15"/>
    </row>
    <row r="586" ht="15.75" customHeight="1">
      <c r="E586" s="15"/>
      <c r="F586" s="15"/>
      <c r="G586" s="15"/>
      <c r="K586" s="15"/>
      <c r="L586" s="15"/>
      <c r="M586" s="15"/>
      <c r="N586" s="15"/>
      <c r="U586" s="15"/>
      <c r="V586" s="15"/>
      <c r="W586" s="15"/>
      <c r="AA586" s="15"/>
      <c r="AB586" s="15"/>
      <c r="AC586" s="15"/>
      <c r="AD586" s="15"/>
    </row>
    <row r="587" ht="15.75" customHeight="1">
      <c r="E587" s="15"/>
      <c r="F587" s="15"/>
      <c r="G587" s="15"/>
      <c r="K587" s="15"/>
      <c r="L587" s="15"/>
      <c r="M587" s="15"/>
      <c r="N587" s="15"/>
      <c r="U587" s="15"/>
      <c r="V587" s="15"/>
      <c r="W587" s="15"/>
      <c r="AA587" s="15"/>
      <c r="AB587" s="15"/>
      <c r="AC587" s="15"/>
      <c r="AD587" s="15"/>
    </row>
    <row r="588" ht="15.75" customHeight="1">
      <c r="E588" s="15"/>
      <c r="F588" s="15"/>
      <c r="G588" s="15"/>
      <c r="K588" s="15"/>
      <c r="L588" s="15"/>
      <c r="M588" s="15"/>
      <c r="N588" s="15"/>
      <c r="U588" s="15"/>
      <c r="V588" s="15"/>
      <c r="W588" s="15"/>
      <c r="AA588" s="15"/>
      <c r="AB588" s="15"/>
      <c r="AC588" s="15"/>
      <c r="AD588" s="15"/>
    </row>
    <row r="589" ht="15.75" customHeight="1">
      <c r="E589" s="15"/>
      <c r="F589" s="15"/>
      <c r="G589" s="15"/>
      <c r="K589" s="15"/>
      <c r="L589" s="15"/>
      <c r="M589" s="15"/>
      <c r="N589" s="15"/>
      <c r="U589" s="15"/>
      <c r="V589" s="15"/>
      <c r="W589" s="15"/>
      <c r="AA589" s="15"/>
      <c r="AB589" s="15"/>
      <c r="AC589" s="15"/>
      <c r="AD589" s="15"/>
    </row>
    <row r="590" ht="15.75" customHeight="1">
      <c r="E590" s="15"/>
      <c r="F590" s="15"/>
      <c r="G590" s="15"/>
      <c r="K590" s="15"/>
      <c r="L590" s="15"/>
      <c r="M590" s="15"/>
      <c r="N590" s="15"/>
      <c r="U590" s="15"/>
      <c r="V590" s="15"/>
      <c r="W590" s="15"/>
      <c r="AA590" s="15"/>
      <c r="AB590" s="15"/>
      <c r="AC590" s="15"/>
      <c r="AD590" s="15"/>
    </row>
    <row r="591" ht="15.75" customHeight="1">
      <c r="E591" s="15"/>
      <c r="F591" s="15"/>
      <c r="G591" s="15"/>
      <c r="K591" s="15"/>
      <c r="L591" s="15"/>
      <c r="M591" s="15"/>
      <c r="N591" s="15"/>
      <c r="U591" s="15"/>
      <c r="V591" s="15"/>
      <c r="W591" s="15"/>
      <c r="AA591" s="15"/>
      <c r="AB591" s="15"/>
      <c r="AC591" s="15"/>
      <c r="AD591" s="15"/>
    </row>
    <row r="592" ht="15.75" customHeight="1">
      <c r="E592" s="15"/>
      <c r="F592" s="15"/>
      <c r="G592" s="15"/>
      <c r="K592" s="15"/>
      <c r="L592" s="15"/>
      <c r="M592" s="15"/>
      <c r="N592" s="15"/>
      <c r="U592" s="15"/>
      <c r="V592" s="15"/>
      <c r="W592" s="15"/>
      <c r="AA592" s="15"/>
      <c r="AB592" s="15"/>
      <c r="AC592" s="15"/>
      <c r="AD592" s="15"/>
    </row>
    <row r="593" ht="15.75" customHeight="1">
      <c r="E593" s="15"/>
      <c r="F593" s="15"/>
      <c r="G593" s="15"/>
      <c r="K593" s="15"/>
      <c r="L593" s="15"/>
      <c r="M593" s="15"/>
      <c r="N593" s="15"/>
      <c r="U593" s="15"/>
      <c r="V593" s="15"/>
      <c r="W593" s="15"/>
      <c r="AA593" s="15"/>
      <c r="AB593" s="15"/>
      <c r="AC593" s="15"/>
      <c r="AD593" s="15"/>
    </row>
    <row r="594" ht="15.75" customHeight="1">
      <c r="E594" s="15"/>
      <c r="F594" s="15"/>
      <c r="G594" s="15"/>
      <c r="K594" s="15"/>
      <c r="L594" s="15"/>
      <c r="M594" s="15"/>
      <c r="N594" s="15"/>
      <c r="U594" s="15"/>
      <c r="V594" s="15"/>
      <c r="W594" s="15"/>
      <c r="AA594" s="15"/>
      <c r="AB594" s="15"/>
      <c r="AC594" s="15"/>
      <c r="AD594" s="15"/>
    </row>
    <row r="595" ht="15.75" customHeight="1">
      <c r="E595" s="15"/>
      <c r="F595" s="15"/>
      <c r="G595" s="15"/>
      <c r="K595" s="15"/>
      <c r="L595" s="15"/>
      <c r="M595" s="15"/>
      <c r="N595" s="15"/>
      <c r="U595" s="15"/>
      <c r="V595" s="15"/>
      <c r="W595" s="15"/>
      <c r="AA595" s="15"/>
      <c r="AB595" s="15"/>
      <c r="AC595" s="15"/>
      <c r="AD595" s="15"/>
    </row>
    <row r="596" ht="15.75" customHeight="1">
      <c r="E596" s="15"/>
      <c r="F596" s="15"/>
      <c r="G596" s="15"/>
      <c r="K596" s="15"/>
      <c r="L596" s="15"/>
      <c r="M596" s="15"/>
      <c r="N596" s="15"/>
      <c r="U596" s="15"/>
      <c r="V596" s="15"/>
      <c r="W596" s="15"/>
      <c r="AA596" s="15"/>
      <c r="AB596" s="15"/>
      <c r="AC596" s="15"/>
      <c r="AD596" s="15"/>
    </row>
    <row r="597" ht="15.75" customHeight="1">
      <c r="E597" s="15"/>
      <c r="F597" s="15"/>
      <c r="G597" s="15"/>
      <c r="K597" s="15"/>
      <c r="L597" s="15"/>
      <c r="M597" s="15"/>
      <c r="N597" s="15"/>
      <c r="U597" s="15"/>
      <c r="V597" s="15"/>
      <c r="W597" s="15"/>
      <c r="AA597" s="15"/>
      <c r="AB597" s="15"/>
      <c r="AC597" s="15"/>
      <c r="AD597" s="15"/>
    </row>
    <row r="598" ht="15.75" customHeight="1">
      <c r="E598" s="15"/>
      <c r="F598" s="15"/>
      <c r="G598" s="15"/>
      <c r="K598" s="15"/>
      <c r="L598" s="15"/>
      <c r="M598" s="15"/>
      <c r="N598" s="15"/>
      <c r="U598" s="15"/>
      <c r="V598" s="15"/>
      <c r="W598" s="15"/>
      <c r="AA598" s="15"/>
      <c r="AB598" s="15"/>
      <c r="AC598" s="15"/>
      <c r="AD598" s="15"/>
    </row>
    <row r="599" ht="15.75" customHeight="1">
      <c r="E599" s="15"/>
      <c r="F599" s="15"/>
      <c r="G599" s="15"/>
      <c r="K599" s="15"/>
      <c r="L599" s="15"/>
      <c r="M599" s="15"/>
      <c r="N599" s="15"/>
      <c r="U599" s="15"/>
      <c r="V599" s="15"/>
      <c r="W599" s="15"/>
      <c r="AA599" s="15"/>
      <c r="AB599" s="15"/>
      <c r="AC599" s="15"/>
      <c r="AD599" s="15"/>
    </row>
    <row r="600" ht="15.75" customHeight="1">
      <c r="E600" s="15"/>
      <c r="F600" s="15"/>
      <c r="G600" s="15"/>
      <c r="K600" s="15"/>
      <c r="L600" s="15"/>
      <c r="M600" s="15"/>
      <c r="N600" s="15"/>
      <c r="U600" s="15"/>
      <c r="V600" s="15"/>
      <c r="W600" s="15"/>
      <c r="AA600" s="15"/>
      <c r="AB600" s="15"/>
      <c r="AC600" s="15"/>
      <c r="AD600" s="15"/>
    </row>
    <row r="601" ht="15.75" customHeight="1">
      <c r="E601" s="15"/>
      <c r="F601" s="15"/>
      <c r="G601" s="15"/>
      <c r="K601" s="15"/>
      <c r="L601" s="15"/>
      <c r="M601" s="15"/>
      <c r="N601" s="15"/>
      <c r="U601" s="15"/>
      <c r="V601" s="15"/>
      <c r="W601" s="15"/>
      <c r="AA601" s="15"/>
      <c r="AB601" s="15"/>
      <c r="AC601" s="15"/>
      <c r="AD601" s="15"/>
    </row>
    <row r="602" ht="15.75" customHeight="1">
      <c r="E602" s="15"/>
      <c r="F602" s="15"/>
      <c r="G602" s="15"/>
      <c r="K602" s="15"/>
      <c r="L602" s="15"/>
      <c r="M602" s="15"/>
      <c r="N602" s="15"/>
      <c r="U602" s="15"/>
      <c r="V602" s="15"/>
      <c r="W602" s="15"/>
      <c r="AA602" s="15"/>
      <c r="AB602" s="15"/>
      <c r="AC602" s="15"/>
      <c r="AD602" s="15"/>
    </row>
    <row r="603" ht="15.75" customHeight="1">
      <c r="E603" s="15"/>
      <c r="F603" s="15"/>
      <c r="G603" s="15"/>
      <c r="K603" s="15"/>
      <c r="L603" s="15"/>
      <c r="M603" s="15"/>
      <c r="N603" s="15"/>
      <c r="U603" s="15"/>
      <c r="V603" s="15"/>
      <c r="W603" s="15"/>
      <c r="AA603" s="15"/>
      <c r="AB603" s="15"/>
      <c r="AC603" s="15"/>
      <c r="AD603" s="15"/>
    </row>
    <row r="604" ht="15.75" customHeight="1">
      <c r="E604" s="15"/>
      <c r="F604" s="15"/>
      <c r="G604" s="15"/>
      <c r="K604" s="15"/>
      <c r="L604" s="15"/>
      <c r="M604" s="15"/>
      <c r="N604" s="15"/>
      <c r="U604" s="15"/>
      <c r="V604" s="15"/>
      <c r="W604" s="15"/>
      <c r="AA604" s="15"/>
      <c r="AB604" s="15"/>
      <c r="AC604" s="15"/>
      <c r="AD604" s="15"/>
    </row>
    <row r="605" ht="15.75" customHeight="1">
      <c r="E605" s="15"/>
      <c r="F605" s="15"/>
      <c r="G605" s="15"/>
      <c r="K605" s="15"/>
      <c r="L605" s="15"/>
      <c r="M605" s="15"/>
      <c r="N605" s="15"/>
      <c r="U605" s="15"/>
      <c r="V605" s="15"/>
      <c r="W605" s="15"/>
      <c r="AA605" s="15"/>
      <c r="AB605" s="15"/>
      <c r="AC605" s="15"/>
      <c r="AD605" s="15"/>
    </row>
    <row r="606" ht="15.75" customHeight="1">
      <c r="E606" s="15"/>
      <c r="F606" s="15"/>
      <c r="G606" s="15"/>
      <c r="K606" s="15"/>
      <c r="L606" s="15"/>
      <c r="M606" s="15"/>
      <c r="N606" s="15"/>
      <c r="U606" s="15"/>
      <c r="V606" s="15"/>
      <c r="W606" s="15"/>
      <c r="AA606" s="15"/>
      <c r="AB606" s="15"/>
      <c r="AC606" s="15"/>
      <c r="AD606" s="15"/>
    </row>
    <row r="607" ht="15.75" customHeight="1">
      <c r="E607" s="15"/>
      <c r="F607" s="15"/>
      <c r="G607" s="15"/>
      <c r="K607" s="15"/>
      <c r="L607" s="15"/>
      <c r="M607" s="15"/>
      <c r="N607" s="15"/>
      <c r="U607" s="15"/>
      <c r="V607" s="15"/>
      <c r="W607" s="15"/>
      <c r="AA607" s="15"/>
      <c r="AB607" s="15"/>
      <c r="AC607" s="15"/>
      <c r="AD607" s="15"/>
    </row>
    <row r="608" ht="15.75" customHeight="1">
      <c r="E608" s="15"/>
      <c r="F608" s="15"/>
      <c r="G608" s="15"/>
      <c r="K608" s="15"/>
      <c r="L608" s="15"/>
      <c r="M608" s="15"/>
      <c r="N608" s="15"/>
      <c r="U608" s="15"/>
      <c r="V608" s="15"/>
      <c r="W608" s="15"/>
      <c r="AA608" s="15"/>
      <c r="AB608" s="15"/>
      <c r="AC608" s="15"/>
      <c r="AD608" s="15"/>
    </row>
    <row r="609" ht="15.75" customHeight="1">
      <c r="E609" s="15"/>
      <c r="F609" s="15"/>
      <c r="G609" s="15"/>
      <c r="K609" s="15"/>
      <c r="L609" s="15"/>
      <c r="M609" s="15"/>
      <c r="N609" s="15"/>
      <c r="U609" s="15"/>
      <c r="V609" s="15"/>
      <c r="W609" s="15"/>
      <c r="AA609" s="15"/>
      <c r="AB609" s="15"/>
      <c r="AC609" s="15"/>
      <c r="AD609" s="15"/>
    </row>
    <row r="610" ht="15.75" customHeight="1">
      <c r="E610" s="15"/>
      <c r="F610" s="15"/>
      <c r="G610" s="15"/>
      <c r="K610" s="15"/>
      <c r="L610" s="15"/>
      <c r="M610" s="15"/>
      <c r="N610" s="15"/>
      <c r="U610" s="15"/>
      <c r="V610" s="15"/>
      <c r="W610" s="15"/>
      <c r="AA610" s="15"/>
      <c r="AB610" s="15"/>
      <c r="AC610" s="15"/>
      <c r="AD610" s="15"/>
    </row>
    <row r="611" ht="15.75" customHeight="1">
      <c r="E611" s="15"/>
      <c r="F611" s="15"/>
      <c r="G611" s="15"/>
      <c r="K611" s="15"/>
      <c r="L611" s="15"/>
      <c r="M611" s="15"/>
      <c r="N611" s="15"/>
      <c r="U611" s="15"/>
      <c r="V611" s="15"/>
      <c r="W611" s="15"/>
      <c r="AA611" s="15"/>
      <c r="AB611" s="15"/>
      <c r="AC611" s="15"/>
      <c r="AD611" s="15"/>
    </row>
    <row r="612" ht="15.75" customHeight="1">
      <c r="E612" s="15"/>
      <c r="F612" s="15"/>
      <c r="G612" s="15"/>
      <c r="K612" s="15"/>
      <c r="L612" s="15"/>
      <c r="M612" s="15"/>
      <c r="N612" s="15"/>
      <c r="U612" s="15"/>
      <c r="V612" s="15"/>
      <c r="W612" s="15"/>
      <c r="AA612" s="15"/>
      <c r="AB612" s="15"/>
      <c r="AC612" s="15"/>
      <c r="AD612" s="15"/>
    </row>
    <row r="613" ht="15.75" customHeight="1">
      <c r="E613" s="15"/>
      <c r="F613" s="15"/>
      <c r="G613" s="15"/>
      <c r="K613" s="15"/>
      <c r="L613" s="15"/>
      <c r="M613" s="15"/>
      <c r="N613" s="15"/>
      <c r="U613" s="15"/>
      <c r="V613" s="15"/>
      <c r="W613" s="15"/>
      <c r="AA613" s="15"/>
      <c r="AB613" s="15"/>
      <c r="AC613" s="15"/>
      <c r="AD613" s="15"/>
    </row>
    <row r="614" ht="15.75" customHeight="1">
      <c r="E614" s="15"/>
      <c r="F614" s="15"/>
      <c r="G614" s="15"/>
      <c r="K614" s="15"/>
      <c r="L614" s="15"/>
      <c r="M614" s="15"/>
      <c r="N614" s="15"/>
      <c r="U614" s="15"/>
      <c r="V614" s="15"/>
      <c r="W614" s="15"/>
      <c r="AA614" s="15"/>
      <c r="AB614" s="15"/>
      <c r="AC614" s="15"/>
      <c r="AD614" s="15"/>
    </row>
    <row r="615" ht="15.75" customHeight="1">
      <c r="E615" s="15"/>
      <c r="F615" s="15"/>
      <c r="G615" s="15"/>
      <c r="K615" s="15"/>
      <c r="L615" s="15"/>
      <c r="M615" s="15"/>
      <c r="N615" s="15"/>
      <c r="U615" s="15"/>
      <c r="V615" s="15"/>
      <c r="W615" s="15"/>
      <c r="AA615" s="15"/>
      <c r="AB615" s="15"/>
      <c r="AC615" s="15"/>
      <c r="AD615" s="15"/>
    </row>
    <row r="616" ht="15.75" customHeight="1">
      <c r="E616" s="15"/>
      <c r="F616" s="15"/>
      <c r="G616" s="15"/>
      <c r="K616" s="15"/>
      <c r="L616" s="15"/>
      <c r="M616" s="15"/>
      <c r="N616" s="15"/>
      <c r="U616" s="15"/>
      <c r="V616" s="15"/>
      <c r="W616" s="15"/>
      <c r="AA616" s="15"/>
      <c r="AB616" s="15"/>
      <c r="AC616" s="15"/>
      <c r="AD616" s="15"/>
    </row>
    <row r="617" ht="15.75" customHeight="1">
      <c r="E617" s="15"/>
      <c r="F617" s="15"/>
      <c r="G617" s="15"/>
      <c r="K617" s="15"/>
      <c r="L617" s="15"/>
      <c r="M617" s="15"/>
      <c r="N617" s="15"/>
      <c r="U617" s="15"/>
      <c r="V617" s="15"/>
      <c r="W617" s="15"/>
      <c r="AA617" s="15"/>
      <c r="AB617" s="15"/>
      <c r="AC617" s="15"/>
      <c r="AD617" s="15"/>
    </row>
    <row r="618" ht="15.75" customHeight="1">
      <c r="E618" s="15"/>
      <c r="F618" s="15"/>
      <c r="G618" s="15"/>
      <c r="K618" s="15"/>
      <c r="L618" s="15"/>
      <c r="M618" s="15"/>
      <c r="N618" s="15"/>
      <c r="U618" s="15"/>
      <c r="V618" s="15"/>
      <c r="W618" s="15"/>
      <c r="AA618" s="15"/>
      <c r="AB618" s="15"/>
      <c r="AC618" s="15"/>
      <c r="AD618" s="15"/>
    </row>
    <row r="619" ht="15.75" customHeight="1">
      <c r="E619" s="15"/>
      <c r="F619" s="15"/>
      <c r="G619" s="15"/>
      <c r="K619" s="15"/>
      <c r="L619" s="15"/>
      <c r="M619" s="15"/>
      <c r="N619" s="15"/>
      <c r="U619" s="15"/>
      <c r="V619" s="15"/>
      <c r="W619" s="15"/>
      <c r="AA619" s="15"/>
      <c r="AB619" s="15"/>
      <c r="AC619" s="15"/>
      <c r="AD619" s="15"/>
    </row>
    <row r="620" ht="15.75" customHeight="1">
      <c r="E620" s="15"/>
      <c r="F620" s="15"/>
      <c r="G620" s="15"/>
      <c r="K620" s="15"/>
      <c r="L620" s="15"/>
      <c r="M620" s="15"/>
      <c r="N620" s="15"/>
      <c r="U620" s="15"/>
      <c r="V620" s="15"/>
      <c r="W620" s="15"/>
      <c r="AA620" s="15"/>
      <c r="AB620" s="15"/>
      <c r="AC620" s="15"/>
      <c r="AD620" s="15"/>
    </row>
    <row r="621" ht="15.75" customHeight="1">
      <c r="E621" s="15"/>
      <c r="F621" s="15"/>
      <c r="G621" s="15"/>
      <c r="K621" s="15"/>
      <c r="L621" s="15"/>
      <c r="M621" s="15"/>
      <c r="N621" s="15"/>
      <c r="U621" s="15"/>
      <c r="V621" s="15"/>
      <c r="W621" s="15"/>
      <c r="AA621" s="15"/>
      <c r="AB621" s="15"/>
      <c r="AC621" s="15"/>
      <c r="AD621" s="15"/>
    </row>
    <row r="622" ht="15.75" customHeight="1">
      <c r="E622" s="15"/>
      <c r="F622" s="15"/>
      <c r="G622" s="15"/>
      <c r="K622" s="15"/>
      <c r="L622" s="15"/>
      <c r="M622" s="15"/>
      <c r="N622" s="15"/>
      <c r="U622" s="15"/>
      <c r="V622" s="15"/>
      <c r="W622" s="15"/>
      <c r="AA622" s="15"/>
      <c r="AB622" s="15"/>
      <c r="AC622" s="15"/>
      <c r="AD622" s="15"/>
    </row>
    <row r="623" ht="15.75" customHeight="1">
      <c r="E623" s="15"/>
      <c r="F623" s="15"/>
      <c r="G623" s="15"/>
      <c r="K623" s="15"/>
      <c r="L623" s="15"/>
      <c r="M623" s="15"/>
      <c r="N623" s="15"/>
      <c r="U623" s="15"/>
      <c r="V623" s="15"/>
      <c r="W623" s="15"/>
      <c r="AA623" s="15"/>
      <c r="AB623" s="15"/>
      <c r="AC623" s="15"/>
      <c r="AD623" s="15"/>
    </row>
    <row r="624" ht="15.75" customHeight="1">
      <c r="E624" s="15"/>
      <c r="F624" s="15"/>
      <c r="G624" s="15"/>
      <c r="K624" s="15"/>
      <c r="L624" s="15"/>
      <c r="M624" s="15"/>
      <c r="N624" s="15"/>
      <c r="U624" s="15"/>
      <c r="V624" s="15"/>
      <c r="W624" s="15"/>
      <c r="AA624" s="15"/>
      <c r="AB624" s="15"/>
      <c r="AC624" s="15"/>
      <c r="AD624" s="15"/>
    </row>
    <row r="625" ht="15.75" customHeight="1">
      <c r="E625" s="15"/>
      <c r="F625" s="15"/>
      <c r="G625" s="15"/>
      <c r="K625" s="15"/>
      <c r="L625" s="15"/>
      <c r="M625" s="15"/>
      <c r="N625" s="15"/>
      <c r="U625" s="15"/>
      <c r="V625" s="15"/>
      <c r="W625" s="15"/>
      <c r="AA625" s="15"/>
      <c r="AB625" s="15"/>
      <c r="AC625" s="15"/>
      <c r="AD625" s="15"/>
    </row>
    <row r="626" ht="15.75" customHeight="1">
      <c r="E626" s="15"/>
      <c r="F626" s="15"/>
      <c r="G626" s="15"/>
      <c r="K626" s="15"/>
      <c r="L626" s="15"/>
      <c r="M626" s="15"/>
      <c r="N626" s="15"/>
      <c r="U626" s="15"/>
      <c r="V626" s="15"/>
      <c r="W626" s="15"/>
      <c r="AA626" s="15"/>
      <c r="AB626" s="15"/>
      <c r="AC626" s="15"/>
      <c r="AD626" s="15"/>
    </row>
    <row r="627" ht="15.75" customHeight="1">
      <c r="E627" s="15"/>
      <c r="F627" s="15"/>
      <c r="G627" s="15"/>
      <c r="K627" s="15"/>
      <c r="L627" s="15"/>
      <c r="M627" s="15"/>
      <c r="N627" s="15"/>
      <c r="U627" s="15"/>
      <c r="V627" s="15"/>
      <c r="W627" s="15"/>
      <c r="AA627" s="15"/>
      <c r="AB627" s="15"/>
      <c r="AC627" s="15"/>
      <c r="AD627" s="15"/>
    </row>
    <row r="628" ht="15.75" customHeight="1">
      <c r="E628" s="15"/>
      <c r="F628" s="15"/>
      <c r="G628" s="15"/>
      <c r="K628" s="15"/>
      <c r="L628" s="15"/>
      <c r="M628" s="15"/>
      <c r="N628" s="15"/>
      <c r="U628" s="15"/>
      <c r="V628" s="15"/>
      <c r="W628" s="15"/>
      <c r="AA628" s="15"/>
      <c r="AB628" s="15"/>
      <c r="AC628" s="15"/>
      <c r="AD628" s="15"/>
    </row>
    <row r="629" ht="15.75" customHeight="1">
      <c r="E629" s="15"/>
      <c r="F629" s="15"/>
      <c r="G629" s="15"/>
      <c r="K629" s="15"/>
      <c r="L629" s="15"/>
      <c r="M629" s="15"/>
      <c r="N629" s="15"/>
      <c r="U629" s="15"/>
      <c r="V629" s="15"/>
      <c r="W629" s="15"/>
      <c r="AA629" s="15"/>
      <c r="AB629" s="15"/>
      <c r="AC629" s="15"/>
      <c r="AD629" s="15"/>
    </row>
    <row r="630" ht="15.75" customHeight="1">
      <c r="E630" s="15"/>
      <c r="F630" s="15"/>
      <c r="G630" s="15"/>
      <c r="K630" s="15"/>
      <c r="L630" s="15"/>
      <c r="M630" s="15"/>
      <c r="N630" s="15"/>
      <c r="U630" s="15"/>
      <c r="V630" s="15"/>
      <c r="W630" s="15"/>
      <c r="AA630" s="15"/>
      <c r="AB630" s="15"/>
      <c r="AC630" s="15"/>
      <c r="AD630" s="15"/>
    </row>
    <row r="631" ht="15.75" customHeight="1">
      <c r="E631" s="15"/>
      <c r="F631" s="15"/>
      <c r="G631" s="15"/>
      <c r="K631" s="15"/>
      <c r="L631" s="15"/>
      <c r="M631" s="15"/>
      <c r="N631" s="15"/>
      <c r="U631" s="15"/>
      <c r="V631" s="15"/>
      <c r="W631" s="15"/>
      <c r="AA631" s="15"/>
      <c r="AB631" s="15"/>
      <c r="AC631" s="15"/>
      <c r="AD631" s="15"/>
    </row>
    <row r="632" ht="15.75" customHeight="1">
      <c r="E632" s="15"/>
      <c r="F632" s="15"/>
      <c r="G632" s="15"/>
      <c r="K632" s="15"/>
      <c r="L632" s="15"/>
      <c r="M632" s="15"/>
      <c r="N632" s="15"/>
      <c r="U632" s="15"/>
      <c r="V632" s="15"/>
      <c r="W632" s="15"/>
      <c r="AA632" s="15"/>
      <c r="AB632" s="15"/>
      <c r="AC632" s="15"/>
      <c r="AD632" s="15"/>
    </row>
    <row r="633" ht="15.75" customHeight="1">
      <c r="E633" s="15"/>
      <c r="F633" s="15"/>
      <c r="G633" s="15"/>
      <c r="K633" s="15"/>
      <c r="L633" s="15"/>
      <c r="M633" s="15"/>
      <c r="N633" s="15"/>
      <c r="U633" s="15"/>
      <c r="V633" s="15"/>
      <c r="W633" s="15"/>
      <c r="AA633" s="15"/>
      <c r="AB633" s="15"/>
      <c r="AC633" s="15"/>
      <c r="AD633" s="15"/>
    </row>
    <row r="634" ht="15.75" customHeight="1">
      <c r="E634" s="15"/>
      <c r="F634" s="15"/>
      <c r="G634" s="15"/>
      <c r="K634" s="15"/>
      <c r="L634" s="15"/>
      <c r="M634" s="15"/>
      <c r="N634" s="15"/>
      <c r="U634" s="15"/>
      <c r="V634" s="15"/>
      <c r="W634" s="15"/>
      <c r="AA634" s="15"/>
      <c r="AB634" s="15"/>
      <c r="AC634" s="15"/>
      <c r="AD634" s="15"/>
    </row>
    <row r="635" ht="15.75" customHeight="1">
      <c r="E635" s="15"/>
      <c r="F635" s="15"/>
      <c r="G635" s="15"/>
      <c r="K635" s="15"/>
      <c r="L635" s="15"/>
      <c r="M635" s="15"/>
      <c r="N635" s="15"/>
      <c r="U635" s="15"/>
      <c r="V635" s="15"/>
      <c r="W635" s="15"/>
      <c r="AA635" s="15"/>
      <c r="AB635" s="15"/>
      <c r="AC635" s="15"/>
      <c r="AD635" s="15"/>
    </row>
    <row r="636" ht="15.75" customHeight="1">
      <c r="E636" s="15"/>
      <c r="F636" s="15"/>
      <c r="G636" s="15"/>
      <c r="K636" s="15"/>
      <c r="L636" s="15"/>
      <c r="M636" s="15"/>
      <c r="N636" s="15"/>
      <c r="U636" s="15"/>
      <c r="V636" s="15"/>
      <c r="W636" s="15"/>
      <c r="AA636" s="15"/>
      <c r="AB636" s="15"/>
      <c r="AC636" s="15"/>
      <c r="AD636" s="15"/>
    </row>
    <row r="637" ht="15.75" customHeight="1">
      <c r="E637" s="15"/>
      <c r="F637" s="15"/>
      <c r="G637" s="15"/>
      <c r="K637" s="15"/>
      <c r="L637" s="15"/>
      <c r="M637" s="15"/>
      <c r="N637" s="15"/>
      <c r="U637" s="15"/>
      <c r="V637" s="15"/>
      <c r="W637" s="15"/>
      <c r="AA637" s="15"/>
      <c r="AB637" s="15"/>
      <c r="AC637" s="15"/>
      <c r="AD637" s="15"/>
    </row>
    <row r="638" ht="15.75" customHeight="1">
      <c r="E638" s="15"/>
      <c r="F638" s="15"/>
      <c r="G638" s="15"/>
      <c r="K638" s="15"/>
      <c r="L638" s="15"/>
      <c r="M638" s="15"/>
      <c r="N638" s="15"/>
      <c r="U638" s="15"/>
      <c r="V638" s="15"/>
      <c r="W638" s="15"/>
      <c r="AA638" s="15"/>
      <c r="AB638" s="15"/>
      <c r="AC638" s="15"/>
      <c r="AD638" s="15"/>
    </row>
    <row r="639" ht="15.75" customHeight="1">
      <c r="E639" s="15"/>
      <c r="F639" s="15"/>
      <c r="G639" s="15"/>
      <c r="K639" s="15"/>
      <c r="L639" s="15"/>
      <c r="M639" s="15"/>
      <c r="N639" s="15"/>
      <c r="U639" s="15"/>
      <c r="V639" s="15"/>
      <c r="W639" s="15"/>
      <c r="AA639" s="15"/>
      <c r="AB639" s="15"/>
      <c r="AC639" s="15"/>
      <c r="AD639" s="15"/>
    </row>
    <row r="640" ht="15.75" customHeight="1">
      <c r="E640" s="15"/>
      <c r="F640" s="15"/>
      <c r="G640" s="15"/>
      <c r="K640" s="15"/>
      <c r="L640" s="15"/>
      <c r="M640" s="15"/>
      <c r="N640" s="15"/>
      <c r="U640" s="15"/>
      <c r="V640" s="15"/>
      <c r="W640" s="15"/>
      <c r="AA640" s="15"/>
      <c r="AB640" s="15"/>
      <c r="AC640" s="15"/>
      <c r="AD640" s="15"/>
    </row>
    <row r="641" ht="15.75" customHeight="1">
      <c r="E641" s="15"/>
      <c r="F641" s="15"/>
      <c r="G641" s="15"/>
      <c r="K641" s="15"/>
      <c r="L641" s="15"/>
      <c r="M641" s="15"/>
      <c r="N641" s="15"/>
      <c r="U641" s="15"/>
      <c r="V641" s="15"/>
      <c r="W641" s="15"/>
      <c r="AA641" s="15"/>
      <c r="AB641" s="15"/>
      <c r="AC641" s="15"/>
      <c r="AD641" s="15"/>
    </row>
    <row r="642" ht="15.75" customHeight="1">
      <c r="E642" s="15"/>
      <c r="F642" s="15"/>
      <c r="G642" s="15"/>
      <c r="K642" s="15"/>
      <c r="L642" s="15"/>
      <c r="M642" s="15"/>
      <c r="N642" s="15"/>
      <c r="U642" s="15"/>
      <c r="V642" s="15"/>
      <c r="W642" s="15"/>
      <c r="AA642" s="15"/>
      <c r="AB642" s="15"/>
      <c r="AC642" s="15"/>
      <c r="AD642" s="15"/>
    </row>
    <row r="643" ht="15.75" customHeight="1">
      <c r="E643" s="15"/>
      <c r="F643" s="15"/>
      <c r="G643" s="15"/>
      <c r="K643" s="15"/>
      <c r="L643" s="15"/>
      <c r="M643" s="15"/>
      <c r="N643" s="15"/>
      <c r="U643" s="15"/>
      <c r="V643" s="15"/>
      <c r="W643" s="15"/>
      <c r="AA643" s="15"/>
      <c r="AB643" s="15"/>
      <c r="AC643" s="15"/>
      <c r="AD643" s="15"/>
    </row>
    <row r="644" ht="15.75" customHeight="1">
      <c r="E644" s="15"/>
      <c r="F644" s="15"/>
      <c r="G644" s="15"/>
      <c r="K644" s="15"/>
      <c r="L644" s="15"/>
      <c r="M644" s="15"/>
      <c r="N644" s="15"/>
      <c r="U644" s="15"/>
      <c r="V644" s="15"/>
      <c r="W644" s="15"/>
      <c r="AA644" s="15"/>
      <c r="AB644" s="15"/>
      <c r="AC644" s="15"/>
      <c r="AD644" s="15"/>
    </row>
    <row r="645" ht="15.75" customHeight="1">
      <c r="E645" s="15"/>
      <c r="F645" s="15"/>
      <c r="G645" s="15"/>
      <c r="K645" s="15"/>
      <c r="L645" s="15"/>
      <c r="M645" s="15"/>
      <c r="N645" s="15"/>
      <c r="U645" s="15"/>
      <c r="V645" s="15"/>
      <c r="W645" s="15"/>
      <c r="AA645" s="15"/>
      <c r="AB645" s="15"/>
      <c r="AC645" s="15"/>
      <c r="AD645" s="15"/>
    </row>
    <row r="646" ht="15.75" customHeight="1">
      <c r="E646" s="15"/>
      <c r="F646" s="15"/>
      <c r="G646" s="15"/>
      <c r="K646" s="15"/>
      <c r="L646" s="15"/>
      <c r="M646" s="15"/>
      <c r="N646" s="15"/>
      <c r="U646" s="15"/>
      <c r="V646" s="15"/>
      <c r="W646" s="15"/>
      <c r="AA646" s="15"/>
      <c r="AB646" s="15"/>
      <c r="AC646" s="15"/>
      <c r="AD646" s="15"/>
    </row>
    <row r="647" ht="15.75" customHeight="1">
      <c r="E647" s="15"/>
      <c r="F647" s="15"/>
      <c r="G647" s="15"/>
      <c r="K647" s="15"/>
      <c r="L647" s="15"/>
      <c r="M647" s="15"/>
      <c r="N647" s="15"/>
      <c r="U647" s="15"/>
      <c r="V647" s="15"/>
      <c r="W647" s="15"/>
      <c r="AA647" s="15"/>
      <c r="AB647" s="15"/>
      <c r="AC647" s="15"/>
      <c r="AD647" s="15"/>
    </row>
    <row r="648" ht="15.75" customHeight="1">
      <c r="E648" s="15"/>
      <c r="F648" s="15"/>
      <c r="G648" s="15"/>
      <c r="K648" s="15"/>
      <c r="L648" s="15"/>
      <c r="M648" s="15"/>
      <c r="N648" s="15"/>
      <c r="U648" s="15"/>
      <c r="V648" s="15"/>
      <c r="W648" s="15"/>
      <c r="AA648" s="15"/>
      <c r="AB648" s="15"/>
      <c r="AC648" s="15"/>
      <c r="AD648" s="15"/>
    </row>
    <row r="649" ht="15.75" customHeight="1">
      <c r="E649" s="15"/>
      <c r="F649" s="15"/>
      <c r="G649" s="15"/>
      <c r="K649" s="15"/>
      <c r="L649" s="15"/>
      <c r="M649" s="15"/>
      <c r="N649" s="15"/>
      <c r="U649" s="15"/>
      <c r="V649" s="15"/>
      <c r="W649" s="15"/>
      <c r="AA649" s="15"/>
      <c r="AB649" s="15"/>
      <c r="AC649" s="15"/>
      <c r="AD649" s="15"/>
    </row>
    <row r="650" ht="15.75" customHeight="1">
      <c r="E650" s="15"/>
      <c r="F650" s="15"/>
      <c r="G650" s="15"/>
      <c r="K650" s="15"/>
      <c r="L650" s="15"/>
      <c r="M650" s="15"/>
      <c r="N650" s="15"/>
      <c r="U650" s="15"/>
      <c r="V650" s="15"/>
      <c r="W650" s="15"/>
      <c r="AA650" s="15"/>
      <c r="AB650" s="15"/>
      <c r="AC650" s="15"/>
      <c r="AD650" s="15"/>
    </row>
    <row r="651" ht="15.75" customHeight="1">
      <c r="E651" s="15"/>
      <c r="F651" s="15"/>
      <c r="G651" s="15"/>
      <c r="K651" s="15"/>
      <c r="L651" s="15"/>
      <c r="M651" s="15"/>
      <c r="N651" s="15"/>
      <c r="U651" s="15"/>
      <c r="V651" s="15"/>
      <c r="W651" s="15"/>
      <c r="AA651" s="15"/>
      <c r="AB651" s="15"/>
      <c r="AC651" s="15"/>
      <c r="AD651" s="15"/>
    </row>
    <row r="652" ht="15.75" customHeight="1">
      <c r="E652" s="15"/>
      <c r="F652" s="15"/>
      <c r="G652" s="15"/>
      <c r="K652" s="15"/>
      <c r="L652" s="15"/>
      <c r="M652" s="15"/>
      <c r="N652" s="15"/>
      <c r="U652" s="15"/>
      <c r="V652" s="15"/>
      <c r="W652" s="15"/>
      <c r="AA652" s="15"/>
      <c r="AB652" s="15"/>
      <c r="AC652" s="15"/>
      <c r="AD652" s="15"/>
    </row>
    <row r="653" ht="15.75" customHeight="1">
      <c r="E653" s="15"/>
      <c r="F653" s="15"/>
      <c r="G653" s="15"/>
      <c r="K653" s="15"/>
      <c r="L653" s="15"/>
      <c r="M653" s="15"/>
      <c r="N653" s="15"/>
      <c r="U653" s="15"/>
      <c r="V653" s="15"/>
      <c r="W653" s="15"/>
      <c r="AA653" s="15"/>
      <c r="AB653" s="15"/>
      <c r="AC653" s="15"/>
      <c r="AD653" s="15"/>
    </row>
    <row r="654" ht="15.75" customHeight="1">
      <c r="E654" s="15"/>
      <c r="F654" s="15"/>
      <c r="G654" s="15"/>
      <c r="K654" s="15"/>
      <c r="L654" s="15"/>
      <c r="M654" s="15"/>
      <c r="N654" s="15"/>
      <c r="U654" s="15"/>
      <c r="V654" s="15"/>
      <c r="W654" s="15"/>
      <c r="AA654" s="15"/>
      <c r="AB654" s="15"/>
      <c r="AC654" s="15"/>
      <c r="AD654" s="15"/>
    </row>
    <row r="655" ht="15.75" customHeight="1">
      <c r="E655" s="15"/>
      <c r="F655" s="15"/>
      <c r="G655" s="15"/>
      <c r="K655" s="15"/>
      <c r="L655" s="15"/>
      <c r="M655" s="15"/>
      <c r="N655" s="15"/>
      <c r="U655" s="15"/>
      <c r="V655" s="15"/>
      <c r="W655" s="15"/>
      <c r="AA655" s="15"/>
      <c r="AB655" s="15"/>
      <c r="AC655" s="15"/>
      <c r="AD655" s="15"/>
    </row>
    <row r="656" ht="15.75" customHeight="1">
      <c r="E656" s="15"/>
      <c r="F656" s="15"/>
      <c r="G656" s="15"/>
      <c r="K656" s="15"/>
      <c r="L656" s="15"/>
      <c r="M656" s="15"/>
      <c r="N656" s="15"/>
      <c r="U656" s="15"/>
      <c r="V656" s="15"/>
      <c r="W656" s="15"/>
      <c r="AA656" s="15"/>
      <c r="AB656" s="15"/>
      <c r="AC656" s="15"/>
      <c r="AD656" s="15"/>
    </row>
    <row r="657" ht="15.75" customHeight="1">
      <c r="E657" s="15"/>
      <c r="F657" s="15"/>
      <c r="G657" s="15"/>
      <c r="K657" s="15"/>
      <c r="L657" s="15"/>
      <c r="M657" s="15"/>
      <c r="N657" s="15"/>
      <c r="U657" s="15"/>
      <c r="V657" s="15"/>
      <c r="W657" s="15"/>
      <c r="AA657" s="15"/>
      <c r="AB657" s="15"/>
      <c r="AC657" s="15"/>
      <c r="AD657" s="15"/>
    </row>
    <row r="658" ht="15.75" customHeight="1">
      <c r="E658" s="15"/>
      <c r="F658" s="15"/>
      <c r="G658" s="15"/>
      <c r="K658" s="15"/>
      <c r="L658" s="15"/>
      <c r="M658" s="15"/>
      <c r="N658" s="15"/>
      <c r="U658" s="15"/>
      <c r="V658" s="15"/>
      <c r="W658" s="15"/>
      <c r="AA658" s="15"/>
      <c r="AB658" s="15"/>
      <c r="AC658" s="15"/>
      <c r="AD658" s="15"/>
    </row>
    <row r="659" ht="15.75" customHeight="1">
      <c r="E659" s="15"/>
      <c r="F659" s="15"/>
      <c r="G659" s="15"/>
      <c r="K659" s="15"/>
      <c r="L659" s="15"/>
      <c r="M659" s="15"/>
      <c r="N659" s="15"/>
      <c r="U659" s="15"/>
      <c r="V659" s="15"/>
      <c r="W659" s="15"/>
      <c r="AA659" s="15"/>
      <c r="AB659" s="15"/>
      <c r="AC659" s="15"/>
      <c r="AD659" s="15"/>
    </row>
    <row r="660" ht="15.75" customHeight="1">
      <c r="E660" s="15"/>
      <c r="F660" s="15"/>
      <c r="G660" s="15"/>
      <c r="K660" s="15"/>
      <c r="L660" s="15"/>
      <c r="M660" s="15"/>
      <c r="N660" s="15"/>
      <c r="U660" s="15"/>
      <c r="V660" s="15"/>
      <c r="W660" s="15"/>
      <c r="AA660" s="15"/>
      <c r="AB660" s="15"/>
      <c r="AC660" s="15"/>
      <c r="AD660" s="15"/>
    </row>
    <row r="661" ht="15.75" customHeight="1">
      <c r="E661" s="15"/>
      <c r="F661" s="15"/>
      <c r="G661" s="15"/>
      <c r="K661" s="15"/>
      <c r="L661" s="15"/>
      <c r="M661" s="15"/>
      <c r="N661" s="15"/>
      <c r="U661" s="15"/>
      <c r="V661" s="15"/>
      <c r="W661" s="15"/>
      <c r="AA661" s="15"/>
      <c r="AB661" s="15"/>
      <c r="AC661" s="15"/>
      <c r="AD661" s="15"/>
    </row>
    <row r="662" ht="15.75" customHeight="1">
      <c r="E662" s="15"/>
      <c r="F662" s="15"/>
      <c r="G662" s="15"/>
      <c r="K662" s="15"/>
      <c r="L662" s="15"/>
      <c r="M662" s="15"/>
      <c r="N662" s="15"/>
      <c r="U662" s="15"/>
      <c r="V662" s="15"/>
      <c r="W662" s="15"/>
      <c r="AA662" s="15"/>
      <c r="AB662" s="15"/>
      <c r="AC662" s="15"/>
      <c r="AD662" s="15"/>
    </row>
    <row r="663" ht="15.75" customHeight="1">
      <c r="E663" s="15"/>
      <c r="F663" s="15"/>
      <c r="G663" s="15"/>
      <c r="K663" s="15"/>
      <c r="L663" s="15"/>
      <c r="M663" s="15"/>
      <c r="N663" s="15"/>
      <c r="U663" s="15"/>
      <c r="V663" s="15"/>
      <c r="W663" s="15"/>
      <c r="AA663" s="15"/>
      <c r="AB663" s="15"/>
      <c r="AC663" s="15"/>
      <c r="AD663" s="15"/>
    </row>
    <row r="664" ht="15.75" customHeight="1">
      <c r="E664" s="15"/>
      <c r="F664" s="15"/>
      <c r="G664" s="15"/>
      <c r="K664" s="15"/>
      <c r="L664" s="15"/>
      <c r="M664" s="15"/>
      <c r="N664" s="15"/>
      <c r="U664" s="15"/>
      <c r="V664" s="15"/>
      <c r="W664" s="15"/>
      <c r="AA664" s="15"/>
      <c r="AB664" s="15"/>
      <c r="AC664" s="15"/>
      <c r="AD664" s="15"/>
    </row>
    <row r="665" ht="15.75" customHeight="1">
      <c r="E665" s="15"/>
      <c r="F665" s="15"/>
      <c r="G665" s="15"/>
      <c r="K665" s="15"/>
      <c r="L665" s="15"/>
      <c r="M665" s="15"/>
      <c r="N665" s="15"/>
      <c r="U665" s="15"/>
      <c r="V665" s="15"/>
      <c r="W665" s="15"/>
      <c r="AA665" s="15"/>
      <c r="AB665" s="15"/>
      <c r="AC665" s="15"/>
      <c r="AD665" s="15"/>
    </row>
    <row r="666" ht="15.75" customHeight="1">
      <c r="E666" s="15"/>
      <c r="F666" s="15"/>
      <c r="G666" s="15"/>
      <c r="K666" s="15"/>
      <c r="L666" s="15"/>
      <c r="M666" s="15"/>
      <c r="N666" s="15"/>
      <c r="U666" s="15"/>
      <c r="V666" s="15"/>
      <c r="W666" s="15"/>
      <c r="AA666" s="15"/>
      <c r="AB666" s="15"/>
      <c r="AC666" s="15"/>
      <c r="AD666" s="15"/>
    </row>
    <row r="667" ht="15.75" customHeight="1">
      <c r="E667" s="15"/>
      <c r="F667" s="15"/>
      <c r="G667" s="15"/>
      <c r="K667" s="15"/>
      <c r="L667" s="15"/>
      <c r="M667" s="15"/>
      <c r="N667" s="15"/>
      <c r="U667" s="15"/>
      <c r="V667" s="15"/>
      <c r="W667" s="15"/>
      <c r="AA667" s="15"/>
      <c r="AB667" s="15"/>
      <c r="AC667" s="15"/>
      <c r="AD667" s="15"/>
    </row>
    <row r="668" ht="15.75" customHeight="1">
      <c r="E668" s="15"/>
      <c r="F668" s="15"/>
      <c r="G668" s="15"/>
      <c r="K668" s="15"/>
      <c r="L668" s="15"/>
      <c r="M668" s="15"/>
      <c r="N668" s="15"/>
      <c r="U668" s="15"/>
      <c r="V668" s="15"/>
      <c r="W668" s="15"/>
      <c r="AA668" s="15"/>
      <c r="AB668" s="15"/>
      <c r="AC668" s="15"/>
      <c r="AD668" s="15"/>
    </row>
    <row r="669" ht="15.75" customHeight="1">
      <c r="E669" s="15"/>
      <c r="F669" s="15"/>
      <c r="G669" s="15"/>
      <c r="K669" s="15"/>
      <c r="L669" s="15"/>
      <c r="M669" s="15"/>
      <c r="N669" s="15"/>
      <c r="U669" s="15"/>
      <c r="V669" s="15"/>
      <c r="W669" s="15"/>
      <c r="AA669" s="15"/>
      <c r="AB669" s="15"/>
      <c r="AC669" s="15"/>
      <c r="AD669" s="15"/>
    </row>
    <row r="670" ht="15.75" customHeight="1">
      <c r="E670" s="15"/>
      <c r="F670" s="15"/>
      <c r="G670" s="15"/>
      <c r="K670" s="15"/>
      <c r="L670" s="15"/>
      <c r="M670" s="15"/>
      <c r="N670" s="15"/>
      <c r="U670" s="15"/>
      <c r="V670" s="15"/>
      <c r="W670" s="15"/>
      <c r="AA670" s="15"/>
      <c r="AB670" s="15"/>
      <c r="AC670" s="15"/>
      <c r="AD670" s="15"/>
    </row>
    <row r="671" ht="15.75" customHeight="1">
      <c r="E671" s="15"/>
      <c r="F671" s="15"/>
      <c r="G671" s="15"/>
      <c r="K671" s="15"/>
      <c r="L671" s="15"/>
      <c r="M671" s="15"/>
      <c r="N671" s="15"/>
      <c r="U671" s="15"/>
      <c r="V671" s="15"/>
      <c r="W671" s="15"/>
      <c r="AA671" s="15"/>
      <c r="AB671" s="15"/>
      <c r="AC671" s="15"/>
      <c r="AD671" s="15"/>
    </row>
    <row r="672" ht="15.75" customHeight="1">
      <c r="E672" s="15"/>
      <c r="F672" s="15"/>
      <c r="G672" s="15"/>
      <c r="K672" s="15"/>
      <c r="L672" s="15"/>
      <c r="M672" s="15"/>
      <c r="N672" s="15"/>
      <c r="U672" s="15"/>
      <c r="V672" s="15"/>
      <c r="W672" s="15"/>
      <c r="AA672" s="15"/>
      <c r="AB672" s="15"/>
      <c r="AC672" s="15"/>
      <c r="AD672" s="15"/>
    </row>
    <row r="673" ht="15.75" customHeight="1">
      <c r="E673" s="15"/>
      <c r="F673" s="15"/>
      <c r="G673" s="15"/>
      <c r="K673" s="15"/>
      <c r="L673" s="15"/>
      <c r="M673" s="15"/>
      <c r="N673" s="15"/>
      <c r="U673" s="15"/>
      <c r="V673" s="15"/>
      <c r="W673" s="15"/>
      <c r="AA673" s="15"/>
      <c r="AB673" s="15"/>
      <c r="AC673" s="15"/>
      <c r="AD673" s="15"/>
    </row>
    <row r="674" ht="15.75" customHeight="1">
      <c r="E674" s="15"/>
      <c r="F674" s="15"/>
      <c r="G674" s="15"/>
      <c r="K674" s="15"/>
      <c r="L674" s="15"/>
      <c r="M674" s="15"/>
      <c r="N674" s="15"/>
      <c r="U674" s="15"/>
      <c r="V674" s="15"/>
      <c r="W674" s="15"/>
      <c r="AA674" s="15"/>
      <c r="AB674" s="15"/>
      <c r="AC674" s="15"/>
      <c r="AD674" s="15"/>
    </row>
    <row r="675" ht="15.75" customHeight="1">
      <c r="E675" s="15"/>
      <c r="F675" s="15"/>
      <c r="G675" s="15"/>
      <c r="K675" s="15"/>
      <c r="L675" s="15"/>
      <c r="M675" s="15"/>
      <c r="N675" s="15"/>
      <c r="U675" s="15"/>
      <c r="V675" s="15"/>
      <c r="W675" s="15"/>
      <c r="AA675" s="15"/>
      <c r="AB675" s="15"/>
      <c r="AC675" s="15"/>
      <c r="AD675" s="15"/>
    </row>
    <row r="676" ht="15.75" customHeight="1">
      <c r="E676" s="15"/>
      <c r="F676" s="15"/>
      <c r="G676" s="15"/>
      <c r="K676" s="15"/>
      <c r="L676" s="15"/>
      <c r="M676" s="15"/>
      <c r="N676" s="15"/>
      <c r="U676" s="15"/>
      <c r="V676" s="15"/>
      <c r="W676" s="15"/>
      <c r="AA676" s="15"/>
      <c r="AB676" s="15"/>
      <c r="AC676" s="15"/>
      <c r="AD676" s="15"/>
    </row>
    <row r="677" ht="15.75" customHeight="1">
      <c r="E677" s="15"/>
      <c r="F677" s="15"/>
      <c r="G677" s="15"/>
      <c r="K677" s="15"/>
      <c r="L677" s="15"/>
      <c r="M677" s="15"/>
      <c r="N677" s="15"/>
      <c r="U677" s="15"/>
      <c r="V677" s="15"/>
      <c r="W677" s="15"/>
      <c r="AA677" s="15"/>
      <c r="AB677" s="15"/>
      <c r="AC677" s="15"/>
      <c r="AD677" s="15"/>
    </row>
    <row r="678" ht="15.75" customHeight="1">
      <c r="E678" s="15"/>
      <c r="F678" s="15"/>
      <c r="G678" s="15"/>
      <c r="K678" s="15"/>
      <c r="L678" s="15"/>
      <c r="M678" s="15"/>
      <c r="N678" s="15"/>
      <c r="U678" s="15"/>
      <c r="V678" s="15"/>
      <c r="W678" s="15"/>
      <c r="AA678" s="15"/>
      <c r="AB678" s="15"/>
      <c r="AC678" s="15"/>
      <c r="AD678" s="15"/>
    </row>
    <row r="679" ht="15.75" customHeight="1">
      <c r="E679" s="15"/>
      <c r="F679" s="15"/>
      <c r="G679" s="15"/>
      <c r="K679" s="15"/>
      <c r="L679" s="15"/>
      <c r="M679" s="15"/>
      <c r="N679" s="15"/>
      <c r="U679" s="15"/>
      <c r="V679" s="15"/>
      <c r="W679" s="15"/>
      <c r="AA679" s="15"/>
      <c r="AB679" s="15"/>
      <c r="AC679" s="15"/>
      <c r="AD679" s="15"/>
    </row>
    <row r="680" ht="15.75" customHeight="1">
      <c r="E680" s="15"/>
      <c r="F680" s="15"/>
      <c r="G680" s="15"/>
      <c r="K680" s="15"/>
      <c r="L680" s="15"/>
      <c r="M680" s="15"/>
      <c r="N680" s="15"/>
      <c r="U680" s="15"/>
      <c r="V680" s="15"/>
      <c r="W680" s="15"/>
      <c r="AA680" s="15"/>
      <c r="AB680" s="15"/>
      <c r="AC680" s="15"/>
      <c r="AD680" s="15"/>
    </row>
    <row r="681" ht="15.75" customHeight="1">
      <c r="E681" s="15"/>
      <c r="F681" s="15"/>
      <c r="G681" s="15"/>
      <c r="K681" s="15"/>
      <c r="L681" s="15"/>
      <c r="M681" s="15"/>
      <c r="N681" s="15"/>
      <c r="U681" s="15"/>
      <c r="V681" s="15"/>
      <c r="W681" s="15"/>
      <c r="AA681" s="15"/>
      <c r="AB681" s="15"/>
      <c r="AC681" s="15"/>
      <c r="AD681" s="15"/>
    </row>
    <row r="682" ht="15.75" customHeight="1">
      <c r="E682" s="15"/>
      <c r="F682" s="15"/>
      <c r="G682" s="15"/>
      <c r="K682" s="15"/>
      <c r="L682" s="15"/>
      <c r="M682" s="15"/>
      <c r="N682" s="15"/>
      <c r="U682" s="15"/>
      <c r="V682" s="15"/>
      <c r="W682" s="15"/>
      <c r="AA682" s="15"/>
      <c r="AB682" s="15"/>
      <c r="AC682" s="15"/>
      <c r="AD682" s="15"/>
    </row>
    <row r="683" ht="15.75" customHeight="1">
      <c r="E683" s="15"/>
      <c r="F683" s="15"/>
      <c r="G683" s="15"/>
      <c r="K683" s="15"/>
      <c r="L683" s="15"/>
      <c r="M683" s="15"/>
      <c r="N683" s="15"/>
      <c r="U683" s="15"/>
      <c r="V683" s="15"/>
      <c r="W683" s="15"/>
      <c r="AA683" s="15"/>
      <c r="AB683" s="15"/>
      <c r="AC683" s="15"/>
      <c r="AD683" s="15"/>
    </row>
    <row r="684" ht="15.75" customHeight="1">
      <c r="E684" s="15"/>
      <c r="F684" s="15"/>
      <c r="G684" s="15"/>
      <c r="K684" s="15"/>
      <c r="L684" s="15"/>
      <c r="M684" s="15"/>
      <c r="N684" s="15"/>
      <c r="U684" s="15"/>
      <c r="V684" s="15"/>
      <c r="W684" s="15"/>
      <c r="AA684" s="15"/>
      <c r="AB684" s="15"/>
      <c r="AC684" s="15"/>
      <c r="AD684" s="15"/>
    </row>
    <row r="685" ht="15.75" customHeight="1">
      <c r="E685" s="15"/>
      <c r="F685" s="15"/>
      <c r="G685" s="15"/>
      <c r="K685" s="15"/>
      <c r="L685" s="15"/>
      <c r="M685" s="15"/>
      <c r="N685" s="15"/>
      <c r="U685" s="15"/>
      <c r="V685" s="15"/>
      <c r="W685" s="15"/>
      <c r="AA685" s="15"/>
      <c r="AB685" s="15"/>
      <c r="AC685" s="15"/>
      <c r="AD685" s="15"/>
    </row>
    <row r="686" ht="15.75" customHeight="1">
      <c r="E686" s="15"/>
      <c r="F686" s="15"/>
      <c r="G686" s="15"/>
      <c r="K686" s="15"/>
      <c r="L686" s="15"/>
      <c r="M686" s="15"/>
      <c r="N686" s="15"/>
      <c r="U686" s="15"/>
      <c r="V686" s="15"/>
      <c r="W686" s="15"/>
      <c r="AA686" s="15"/>
      <c r="AB686" s="15"/>
      <c r="AC686" s="15"/>
      <c r="AD686" s="15"/>
    </row>
    <row r="687" ht="15.75" customHeight="1">
      <c r="E687" s="15"/>
      <c r="F687" s="15"/>
      <c r="G687" s="15"/>
      <c r="K687" s="15"/>
      <c r="L687" s="15"/>
      <c r="M687" s="15"/>
      <c r="N687" s="15"/>
      <c r="U687" s="15"/>
      <c r="V687" s="15"/>
      <c r="W687" s="15"/>
      <c r="AA687" s="15"/>
      <c r="AB687" s="15"/>
      <c r="AC687" s="15"/>
      <c r="AD687" s="15"/>
    </row>
    <row r="688" ht="15.75" customHeight="1">
      <c r="E688" s="15"/>
      <c r="F688" s="15"/>
      <c r="G688" s="15"/>
      <c r="K688" s="15"/>
      <c r="L688" s="15"/>
      <c r="M688" s="15"/>
      <c r="N688" s="15"/>
      <c r="U688" s="15"/>
      <c r="V688" s="15"/>
      <c r="W688" s="15"/>
      <c r="AA688" s="15"/>
      <c r="AB688" s="15"/>
      <c r="AC688" s="15"/>
      <c r="AD688" s="15"/>
    </row>
    <row r="689" ht="15.75" customHeight="1">
      <c r="E689" s="15"/>
      <c r="F689" s="15"/>
      <c r="G689" s="15"/>
      <c r="K689" s="15"/>
      <c r="L689" s="15"/>
      <c r="M689" s="15"/>
      <c r="N689" s="15"/>
      <c r="U689" s="15"/>
      <c r="V689" s="15"/>
      <c r="W689" s="15"/>
      <c r="AA689" s="15"/>
      <c r="AB689" s="15"/>
      <c r="AC689" s="15"/>
      <c r="AD689" s="15"/>
    </row>
    <row r="690" ht="15.75" customHeight="1">
      <c r="E690" s="15"/>
      <c r="F690" s="15"/>
      <c r="G690" s="15"/>
      <c r="K690" s="15"/>
      <c r="L690" s="15"/>
      <c r="M690" s="15"/>
      <c r="N690" s="15"/>
      <c r="U690" s="15"/>
      <c r="V690" s="15"/>
      <c r="W690" s="15"/>
      <c r="AA690" s="15"/>
      <c r="AB690" s="15"/>
      <c r="AC690" s="15"/>
      <c r="AD690" s="15"/>
    </row>
    <row r="691" ht="15.75" customHeight="1">
      <c r="E691" s="15"/>
      <c r="F691" s="15"/>
      <c r="G691" s="15"/>
      <c r="K691" s="15"/>
      <c r="L691" s="15"/>
      <c r="M691" s="15"/>
      <c r="N691" s="15"/>
      <c r="U691" s="15"/>
      <c r="V691" s="15"/>
      <c r="W691" s="15"/>
      <c r="AA691" s="15"/>
      <c r="AB691" s="15"/>
      <c r="AC691" s="15"/>
      <c r="AD691" s="15"/>
    </row>
    <row r="692" ht="15.75" customHeight="1">
      <c r="E692" s="15"/>
      <c r="F692" s="15"/>
      <c r="G692" s="15"/>
      <c r="K692" s="15"/>
      <c r="L692" s="15"/>
      <c r="M692" s="15"/>
      <c r="N692" s="15"/>
      <c r="U692" s="15"/>
      <c r="V692" s="15"/>
      <c r="W692" s="15"/>
      <c r="AA692" s="15"/>
      <c r="AB692" s="15"/>
      <c r="AC692" s="15"/>
      <c r="AD692" s="15"/>
    </row>
    <row r="693" ht="15.75" customHeight="1">
      <c r="E693" s="15"/>
      <c r="F693" s="15"/>
      <c r="G693" s="15"/>
      <c r="K693" s="15"/>
      <c r="L693" s="15"/>
      <c r="M693" s="15"/>
      <c r="N693" s="15"/>
      <c r="U693" s="15"/>
      <c r="V693" s="15"/>
      <c r="W693" s="15"/>
      <c r="AA693" s="15"/>
      <c r="AB693" s="15"/>
      <c r="AC693" s="15"/>
      <c r="AD693" s="15"/>
    </row>
    <row r="694" ht="15.75" customHeight="1">
      <c r="E694" s="15"/>
      <c r="F694" s="15"/>
      <c r="G694" s="15"/>
      <c r="K694" s="15"/>
      <c r="L694" s="15"/>
      <c r="M694" s="15"/>
      <c r="N694" s="15"/>
      <c r="U694" s="15"/>
      <c r="V694" s="15"/>
      <c r="W694" s="15"/>
      <c r="AA694" s="15"/>
      <c r="AB694" s="15"/>
      <c r="AC694" s="15"/>
      <c r="AD694" s="15"/>
    </row>
    <row r="695" ht="15.75" customHeight="1">
      <c r="E695" s="15"/>
      <c r="F695" s="15"/>
      <c r="G695" s="15"/>
      <c r="K695" s="15"/>
      <c r="L695" s="15"/>
      <c r="M695" s="15"/>
      <c r="N695" s="15"/>
      <c r="U695" s="15"/>
      <c r="V695" s="15"/>
      <c r="W695" s="15"/>
      <c r="AA695" s="15"/>
      <c r="AB695" s="15"/>
      <c r="AC695" s="15"/>
      <c r="AD695" s="15"/>
    </row>
    <row r="696" ht="15.75" customHeight="1">
      <c r="E696" s="15"/>
      <c r="F696" s="15"/>
      <c r="G696" s="15"/>
      <c r="K696" s="15"/>
      <c r="L696" s="15"/>
      <c r="M696" s="15"/>
      <c r="N696" s="15"/>
      <c r="U696" s="15"/>
      <c r="V696" s="15"/>
      <c r="W696" s="15"/>
      <c r="AA696" s="15"/>
      <c r="AB696" s="15"/>
      <c r="AC696" s="15"/>
      <c r="AD696" s="15"/>
    </row>
    <row r="697" ht="15.75" customHeight="1">
      <c r="E697" s="15"/>
      <c r="F697" s="15"/>
      <c r="G697" s="15"/>
      <c r="K697" s="15"/>
      <c r="L697" s="15"/>
      <c r="M697" s="15"/>
      <c r="N697" s="15"/>
      <c r="U697" s="15"/>
      <c r="V697" s="15"/>
      <c r="W697" s="15"/>
      <c r="AA697" s="15"/>
      <c r="AB697" s="15"/>
      <c r="AC697" s="15"/>
      <c r="AD697" s="15"/>
    </row>
    <row r="698" ht="15.75" customHeight="1">
      <c r="E698" s="15"/>
      <c r="F698" s="15"/>
      <c r="G698" s="15"/>
      <c r="K698" s="15"/>
      <c r="L698" s="15"/>
      <c r="M698" s="15"/>
      <c r="N698" s="15"/>
      <c r="U698" s="15"/>
      <c r="V698" s="15"/>
      <c r="W698" s="15"/>
      <c r="AA698" s="15"/>
      <c r="AB698" s="15"/>
      <c r="AC698" s="15"/>
      <c r="AD698" s="15"/>
    </row>
    <row r="699" ht="15.75" customHeight="1">
      <c r="E699" s="15"/>
      <c r="F699" s="15"/>
      <c r="G699" s="15"/>
      <c r="K699" s="15"/>
      <c r="L699" s="15"/>
      <c r="M699" s="15"/>
      <c r="N699" s="15"/>
      <c r="U699" s="15"/>
      <c r="V699" s="15"/>
      <c r="W699" s="15"/>
      <c r="AA699" s="15"/>
      <c r="AB699" s="15"/>
      <c r="AC699" s="15"/>
      <c r="AD699" s="15"/>
    </row>
    <row r="700" ht="15.75" customHeight="1">
      <c r="E700" s="15"/>
      <c r="F700" s="15"/>
      <c r="G700" s="15"/>
      <c r="K700" s="15"/>
      <c r="L700" s="15"/>
      <c r="M700" s="15"/>
      <c r="N700" s="15"/>
      <c r="U700" s="15"/>
      <c r="V700" s="15"/>
      <c r="W700" s="15"/>
      <c r="AA700" s="15"/>
      <c r="AB700" s="15"/>
      <c r="AC700" s="15"/>
      <c r="AD700" s="15"/>
    </row>
    <row r="701" ht="15.75" customHeight="1">
      <c r="E701" s="15"/>
      <c r="F701" s="15"/>
      <c r="G701" s="15"/>
      <c r="K701" s="15"/>
      <c r="L701" s="15"/>
      <c r="M701" s="15"/>
      <c r="N701" s="15"/>
      <c r="U701" s="15"/>
      <c r="V701" s="15"/>
      <c r="W701" s="15"/>
      <c r="AA701" s="15"/>
      <c r="AB701" s="15"/>
      <c r="AC701" s="15"/>
      <c r="AD701" s="15"/>
    </row>
    <row r="702" ht="15.75" customHeight="1">
      <c r="E702" s="15"/>
      <c r="F702" s="15"/>
      <c r="G702" s="15"/>
      <c r="K702" s="15"/>
      <c r="L702" s="15"/>
      <c r="M702" s="15"/>
      <c r="N702" s="15"/>
      <c r="U702" s="15"/>
      <c r="V702" s="15"/>
      <c r="W702" s="15"/>
      <c r="AA702" s="15"/>
      <c r="AB702" s="15"/>
      <c r="AC702" s="15"/>
      <c r="AD702" s="15"/>
    </row>
    <row r="703" ht="15.75" customHeight="1">
      <c r="E703" s="15"/>
      <c r="F703" s="15"/>
      <c r="G703" s="15"/>
      <c r="K703" s="15"/>
      <c r="L703" s="15"/>
      <c r="M703" s="15"/>
      <c r="N703" s="15"/>
      <c r="U703" s="15"/>
      <c r="V703" s="15"/>
      <c r="W703" s="15"/>
      <c r="AA703" s="15"/>
      <c r="AB703" s="15"/>
      <c r="AC703" s="15"/>
      <c r="AD703" s="15"/>
    </row>
    <row r="704" ht="15.75" customHeight="1">
      <c r="E704" s="15"/>
      <c r="F704" s="15"/>
      <c r="G704" s="15"/>
      <c r="K704" s="15"/>
      <c r="L704" s="15"/>
      <c r="M704" s="15"/>
      <c r="N704" s="15"/>
      <c r="U704" s="15"/>
      <c r="V704" s="15"/>
      <c r="W704" s="15"/>
      <c r="AA704" s="15"/>
      <c r="AB704" s="15"/>
      <c r="AC704" s="15"/>
      <c r="AD704" s="15"/>
    </row>
    <row r="705" ht="15.75" customHeight="1">
      <c r="E705" s="15"/>
      <c r="F705" s="15"/>
      <c r="G705" s="15"/>
      <c r="K705" s="15"/>
      <c r="L705" s="15"/>
      <c r="M705" s="15"/>
      <c r="N705" s="15"/>
      <c r="U705" s="15"/>
      <c r="V705" s="15"/>
      <c r="W705" s="15"/>
      <c r="AA705" s="15"/>
      <c r="AB705" s="15"/>
      <c r="AC705" s="15"/>
      <c r="AD705" s="15"/>
    </row>
    <row r="706" ht="15.75" customHeight="1">
      <c r="E706" s="15"/>
      <c r="F706" s="15"/>
      <c r="G706" s="15"/>
      <c r="K706" s="15"/>
      <c r="L706" s="15"/>
      <c r="M706" s="15"/>
      <c r="N706" s="15"/>
      <c r="U706" s="15"/>
      <c r="V706" s="15"/>
      <c r="W706" s="15"/>
      <c r="AA706" s="15"/>
      <c r="AB706" s="15"/>
      <c r="AC706" s="15"/>
      <c r="AD706" s="15"/>
    </row>
    <row r="707" ht="15.75" customHeight="1">
      <c r="E707" s="15"/>
      <c r="F707" s="15"/>
      <c r="G707" s="15"/>
      <c r="K707" s="15"/>
      <c r="L707" s="15"/>
      <c r="M707" s="15"/>
      <c r="N707" s="15"/>
      <c r="U707" s="15"/>
      <c r="V707" s="15"/>
      <c r="W707" s="15"/>
      <c r="AA707" s="15"/>
      <c r="AB707" s="15"/>
      <c r="AC707" s="15"/>
      <c r="AD707" s="15"/>
    </row>
    <row r="708" ht="15.75" customHeight="1">
      <c r="E708" s="15"/>
      <c r="F708" s="15"/>
      <c r="G708" s="15"/>
      <c r="K708" s="15"/>
      <c r="L708" s="15"/>
      <c r="M708" s="15"/>
      <c r="N708" s="15"/>
      <c r="U708" s="15"/>
      <c r="V708" s="15"/>
      <c r="W708" s="15"/>
      <c r="AA708" s="15"/>
      <c r="AB708" s="15"/>
      <c r="AC708" s="15"/>
      <c r="AD708" s="15"/>
    </row>
    <row r="709" ht="15.75" customHeight="1">
      <c r="E709" s="15"/>
      <c r="F709" s="15"/>
      <c r="G709" s="15"/>
      <c r="K709" s="15"/>
      <c r="L709" s="15"/>
      <c r="M709" s="15"/>
      <c r="N709" s="15"/>
      <c r="U709" s="15"/>
      <c r="V709" s="15"/>
      <c r="W709" s="15"/>
      <c r="AA709" s="15"/>
      <c r="AB709" s="15"/>
      <c r="AC709" s="15"/>
      <c r="AD709" s="15"/>
    </row>
    <row r="710" ht="15.75" customHeight="1">
      <c r="E710" s="15"/>
      <c r="F710" s="15"/>
      <c r="G710" s="15"/>
      <c r="K710" s="15"/>
      <c r="L710" s="15"/>
      <c r="M710" s="15"/>
      <c r="N710" s="15"/>
      <c r="U710" s="15"/>
      <c r="V710" s="15"/>
      <c r="W710" s="15"/>
      <c r="AA710" s="15"/>
      <c r="AB710" s="15"/>
      <c r="AC710" s="15"/>
      <c r="AD710" s="15"/>
    </row>
    <row r="711" ht="15.75" customHeight="1">
      <c r="E711" s="15"/>
      <c r="F711" s="15"/>
      <c r="G711" s="15"/>
      <c r="K711" s="15"/>
      <c r="L711" s="15"/>
      <c r="M711" s="15"/>
      <c r="N711" s="15"/>
      <c r="U711" s="15"/>
      <c r="V711" s="15"/>
      <c r="W711" s="15"/>
      <c r="AA711" s="15"/>
      <c r="AB711" s="15"/>
      <c r="AC711" s="15"/>
      <c r="AD711" s="15"/>
    </row>
    <row r="712" ht="15.75" customHeight="1">
      <c r="E712" s="15"/>
      <c r="F712" s="15"/>
      <c r="G712" s="15"/>
      <c r="K712" s="15"/>
      <c r="L712" s="15"/>
      <c r="M712" s="15"/>
      <c r="N712" s="15"/>
      <c r="U712" s="15"/>
      <c r="V712" s="15"/>
      <c r="W712" s="15"/>
      <c r="AA712" s="15"/>
      <c r="AB712" s="15"/>
      <c r="AC712" s="15"/>
      <c r="AD712" s="15"/>
    </row>
    <row r="713" ht="15.75" customHeight="1">
      <c r="E713" s="15"/>
      <c r="F713" s="15"/>
      <c r="G713" s="15"/>
      <c r="K713" s="15"/>
      <c r="L713" s="15"/>
      <c r="M713" s="15"/>
      <c r="N713" s="15"/>
      <c r="U713" s="15"/>
      <c r="V713" s="15"/>
      <c r="W713" s="15"/>
      <c r="AA713" s="15"/>
      <c r="AB713" s="15"/>
      <c r="AC713" s="15"/>
      <c r="AD713" s="15"/>
    </row>
    <row r="714" ht="15.75" customHeight="1">
      <c r="E714" s="15"/>
      <c r="F714" s="15"/>
      <c r="G714" s="15"/>
      <c r="K714" s="15"/>
      <c r="L714" s="15"/>
      <c r="M714" s="15"/>
      <c r="N714" s="15"/>
      <c r="U714" s="15"/>
      <c r="V714" s="15"/>
      <c r="W714" s="15"/>
      <c r="AA714" s="15"/>
      <c r="AB714" s="15"/>
      <c r="AC714" s="15"/>
      <c r="AD714" s="15"/>
    </row>
    <row r="715" ht="15.75" customHeight="1">
      <c r="E715" s="15"/>
      <c r="F715" s="15"/>
      <c r="G715" s="15"/>
      <c r="K715" s="15"/>
      <c r="L715" s="15"/>
      <c r="M715" s="15"/>
      <c r="N715" s="15"/>
      <c r="U715" s="15"/>
      <c r="V715" s="15"/>
      <c r="W715" s="15"/>
      <c r="AA715" s="15"/>
      <c r="AB715" s="15"/>
      <c r="AC715" s="15"/>
      <c r="AD715" s="15"/>
    </row>
    <row r="716" ht="15.75" customHeight="1">
      <c r="E716" s="15"/>
      <c r="F716" s="15"/>
      <c r="G716" s="15"/>
      <c r="K716" s="15"/>
      <c r="L716" s="15"/>
      <c r="M716" s="15"/>
      <c r="N716" s="15"/>
      <c r="U716" s="15"/>
      <c r="V716" s="15"/>
      <c r="W716" s="15"/>
      <c r="AA716" s="15"/>
      <c r="AB716" s="15"/>
      <c r="AC716" s="15"/>
      <c r="AD716" s="15"/>
    </row>
    <row r="717" ht="15.75" customHeight="1">
      <c r="E717" s="15"/>
      <c r="F717" s="15"/>
      <c r="G717" s="15"/>
      <c r="K717" s="15"/>
      <c r="L717" s="15"/>
      <c r="M717" s="15"/>
      <c r="N717" s="15"/>
      <c r="U717" s="15"/>
      <c r="V717" s="15"/>
      <c r="W717" s="15"/>
      <c r="AA717" s="15"/>
      <c r="AB717" s="15"/>
      <c r="AC717" s="15"/>
      <c r="AD717" s="15"/>
    </row>
    <row r="718" ht="15.75" customHeight="1">
      <c r="E718" s="15"/>
      <c r="F718" s="15"/>
      <c r="G718" s="15"/>
      <c r="K718" s="15"/>
      <c r="L718" s="15"/>
      <c r="M718" s="15"/>
      <c r="N718" s="15"/>
      <c r="U718" s="15"/>
      <c r="V718" s="15"/>
      <c r="W718" s="15"/>
      <c r="AA718" s="15"/>
      <c r="AB718" s="15"/>
      <c r="AC718" s="15"/>
      <c r="AD718" s="15"/>
    </row>
    <row r="719" ht="15.75" customHeight="1">
      <c r="E719" s="15"/>
      <c r="F719" s="15"/>
      <c r="G719" s="15"/>
      <c r="K719" s="15"/>
      <c r="L719" s="15"/>
      <c r="M719" s="15"/>
      <c r="N719" s="15"/>
      <c r="U719" s="15"/>
      <c r="V719" s="15"/>
      <c r="W719" s="15"/>
      <c r="AA719" s="15"/>
      <c r="AB719" s="15"/>
      <c r="AC719" s="15"/>
      <c r="AD719" s="15"/>
    </row>
    <row r="720" ht="15.75" customHeight="1">
      <c r="E720" s="15"/>
      <c r="F720" s="15"/>
      <c r="G720" s="15"/>
      <c r="K720" s="15"/>
      <c r="L720" s="15"/>
      <c r="M720" s="15"/>
      <c r="N720" s="15"/>
      <c r="U720" s="15"/>
      <c r="V720" s="15"/>
      <c r="W720" s="15"/>
      <c r="AA720" s="15"/>
      <c r="AB720" s="15"/>
      <c r="AC720" s="15"/>
      <c r="AD720" s="15"/>
    </row>
    <row r="721" ht="15.75" customHeight="1">
      <c r="E721" s="15"/>
      <c r="F721" s="15"/>
      <c r="G721" s="15"/>
      <c r="K721" s="15"/>
      <c r="L721" s="15"/>
      <c r="M721" s="15"/>
      <c r="N721" s="15"/>
      <c r="U721" s="15"/>
      <c r="V721" s="15"/>
      <c r="W721" s="15"/>
      <c r="AA721" s="15"/>
      <c r="AB721" s="15"/>
      <c r="AC721" s="15"/>
      <c r="AD721" s="15"/>
    </row>
    <row r="722" ht="15.75" customHeight="1">
      <c r="E722" s="15"/>
      <c r="F722" s="15"/>
      <c r="G722" s="15"/>
      <c r="K722" s="15"/>
      <c r="L722" s="15"/>
      <c r="M722" s="15"/>
      <c r="N722" s="15"/>
      <c r="U722" s="15"/>
      <c r="V722" s="15"/>
      <c r="W722" s="15"/>
      <c r="AA722" s="15"/>
      <c r="AB722" s="15"/>
      <c r="AC722" s="15"/>
      <c r="AD722" s="15"/>
    </row>
    <row r="723" ht="15.75" customHeight="1">
      <c r="E723" s="15"/>
      <c r="F723" s="15"/>
      <c r="G723" s="15"/>
      <c r="K723" s="15"/>
      <c r="L723" s="15"/>
      <c r="M723" s="15"/>
      <c r="N723" s="15"/>
      <c r="U723" s="15"/>
      <c r="V723" s="15"/>
      <c r="W723" s="15"/>
      <c r="AA723" s="15"/>
      <c r="AB723" s="15"/>
      <c r="AC723" s="15"/>
      <c r="AD723" s="15"/>
    </row>
    <row r="724" ht="15.75" customHeight="1">
      <c r="E724" s="15"/>
      <c r="F724" s="15"/>
      <c r="G724" s="15"/>
      <c r="K724" s="15"/>
      <c r="L724" s="15"/>
      <c r="M724" s="15"/>
      <c r="N724" s="15"/>
      <c r="U724" s="15"/>
      <c r="V724" s="15"/>
      <c r="W724" s="15"/>
      <c r="AA724" s="15"/>
      <c r="AB724" s="15"/>
      <c r="AC724" s="15"/>
      <c r="AD724" s="15"/>
    </row>
    <row r="725" ht="15.75" customHeight="1">
      <c r="E725" s="15"/>
      <c r="F725" s="15"/>
      <c r="G725" s="15"/>
      <c r="K725" s="15"/>
      <c r="L725" s="15"/>
      <c r="M725" s="15"/>
      <c r="N725" s="15"/>
      <c r="U725" s="15"/>
      <c r="V725" s="15"/>
      <c r="W725" s="15"/>
      <c r="AA725" s="15"/>
      <c r="AB725" s="15"/>
      <c r="AC725" s="15"/>
      <c r="AD725" s="15"/>
    </row>
    <row r="726" ht="15.75" customHeight="1">
      <c r="E726" s="15"/>
      <c r="F726" s="15"/>
      <c r="G726" s="15"/>
      <c r="K726" s="15"/>
      <c r="L726" s="15"/>
      <c r="M726" s="15"/>
      <c r="N726" s="15"/>
      <c r="U726" s="15"/>
      <c r="V726" s="15"/>
      <c r="W726" s="15"/>
      <c r="AA726" s="15"/>
      <c r="AB726" s="15"/>
      <c r="AC726" s="15"/>
      <c r="AD726" s="15"/>
    </row>
    <row r="727" ht="15.75" customHeight="1">
      <c r="E727" s="15"/>
      <c r="F727" s="15"/>
      <c r="G727" s="15"/>
      <c r="K727" s="15"/>
      <c r="L727" s="15"/>
      <c r="M727" s="15"/>
      <c r="N727" s="15"/>
      <c r="U727" s="15"/>
      <c r="V727" s="15"/>
      <c r="W727" s="15"/>
      <c r="AA727" s="15"/>
      <c r="AB727" s="15"/>
      <c r="AC727" s="15"/>
      <c r="AD727" s="15"/>
    </row>
    <row r="728" ht="15.75" customHeight="1">
      <c r="E728" s="15"/>
      <c r="F728" s="15"/>
      <c r="G728" s="15"/>
      <c r="K728" s="15"/>
      <c r="L728" s="15"/>
      <c r="M728" s="15"/>
      <c r="N728" s="15"/>
      <c r="U728" s="15"/>
      <c r="V728" s="15"/>
      <c r="W728" s="15"/>
      <c r="AA728" s="15"/>
      <c r="AB728" s="15"/>
      <c r="AC728" s="15"/>
      <c r="AD728" s="15"/>
    </row>
    <row r="729" ht="15.75" customHeight="1">
      <c r="E729" s="15"/>
      <c r="F729" s="15"/>
      <c r="G729" s="15"/>
      <c r="K729" s="15"/>
      <c r="L729" s="15"/>
      <c r="M729" s="15"/>
      <c r="N729" s="15"/>
      <c r="U729" s="15"/>
      <c r="V729" s="15"/>
      <c r="W729" s="15"/>
      <c r="AA729" s="15"/>
      <c r="AB729" s="15"/>
      <c r="AC729" s="15"/>
      <c r="AD729" s="15"/>
    </row>
    <row r="730" ht="15.75" customHeight="1">
      <c r="E730" s="15"/>
      <c r="F730" s="15"/>
      <c r="G730" s="15"/>
      <c r="K730" s="15"/>
      <c r="L730" s="15"/>
      <c r="M730" s="15"/>
      <c r="N730" s="15"/>
      <c r="U730" s="15"/>
      <c r="V730" s="15"/>
      <c r="W730" s="15"/>
      <c r="AA730" s="15"/>
      <c r="AB730" s="15"/>
      <c r="AC730" s="15"/>
      <c r="AD730" s="15"/>
    </row>
    <row r="731" ht="15.75" customHeight="1">
      <c r="E731" s="15"/>
      <c r="F731" s="15"/>
      <c r="G731" s="15"/>
      <c r="K731" s="15"/>
      <c r="L731" s="15"/>
      <c r="M731" s="15"/>
      <c r="N731" s="15"/>
      <c r="U731" s="15"/>
      <c r="V731" s="15"/>
      <c r="W731" s="15"/>
      <c r="AA731" s="15"/>
      <c r="AB731" s="15"/>
      <c r="AC731" s="15"/>
      <c r="AD731" s="15"/>
    </row>
    <row r="732" ht="15.75" customHeight="1">
      <c r="E732" s="15"/>
      <c r="F732" s="15"/>
      <c r="G732" s="15"/>
      <c r="K732" s="15"/>
      <c r="L732" s="15"/>
      <c r="M732" s="15"/>
      <c r="N732" s="15"/>
      <c r="U732" s="15"/>
      <c r="V732" s="15"/>
      <c r="W732" s="15"/>
      <c r="AA732" s="15"/>
      <c r="AB732" s="15"/>
      <c r="AC732" s="15"/>
      <c r="AD732" s="15"/>
    </row>
    <row r="733" ht="15.75" customHeight="1">
      <c r="E733" s="15"/>
      <c r="F733" s="15"/>
      <c r="G733" s="15"/>
      <c r="K733" s="15"/>
      <c r="L733" s="15"/>
      <c r="M733" s="15"/>
      <c r="N733" s="15"/>
      <c r="U733" s="15"/>
      <c r="V733" s="15"/>
      <c r="W733" s="15"/>
      <c r="AA733" s="15"/>
      <c r="AB733" s="15"/>
      <c r="AC733" s="15"/>
      <c r="AD733" s="15"/>
    </row>
    <row r="734" ht="15.75" customHeight="1">
      <c r="E734" s="15"/>
      <c r="F734" s="15"/>
      <c r="G734" s="15"/>
      <c r="K734" s="15"/>
      <c r="L734" s="15"/>
      <c r="M734" s="15"/>
      <c r="N734" s="15"/>
      <c r="U734" s="15"/>
      <c r="V734" s="15"/>
      <c r="W734" s="15"/>
      <c r="AA734" s="15"/>
      <c r="AB734" s="15"/>
      <c r="AC734" s="15"/>
      <c r="AD734" s="15"/>
    </row>
    <row r="735" ht="15.75" customHeight="1">
      <c r="E735" s="15"/>
      <c r="F735" s="15"/>
      <c r="G735" s="15"/>
      <c r="K735" s="15"/>
      <c r="L735" s="15"/>
      <c r="M735" s="15"/>
      <c r="N735" s="15"/>
      <c r="U735" s="15"/>
      <c r="V735" s="15"/>
      <c r="W735" s="15"/>
      <c r="AA735" s="15"/>
      <c r="AB735" s="15"/>
      <c r="AC735" s="15"/>
      <c r="AD735" s="15"/>
    </row>
    <row r="736" ht="15.75" customHeight="1">
      <c r="E736" s="15"/>
      <c r="F736" s="15"/>
      <c r="G736" s="15"/>
      <c r="K736" s="15"/>
      <c r="L736" s="15"/>
      <c r="M736" s="15"/>
      <c r="N736" s="15"/>
      <c r="U736" s="15"/>
      <c r="V736" s="15"/>
      <c r="W736" s="15"/>
      <c r="AA736" s="15"/>
      <c r="AB736" s="15"/>
      <c r="AC736" s="15"/>
      <c r="AD736" s="15"/>
    </row>
    <row r="737" ht="15.75" customHeight="1">
      <c r="E737" s="15"/>
      <c r="F737" s="15"/>
      <c r="G737" s="15"/>
      <c r="K737" s="15"/>
      <c r="L737" s="15"/>
      <c r="M737" s="15"/>
      <c r="N737" s="15"/>
      <c r="U737" s="15"/>
      <c r="V737" s="15"/>
      <c r="W737" s="15"/>
      <c r="AA737" s="15"/>
      <c r="AB737" s="15"/>
      <c r="AC737" s="15"/>
      <c r="AD737" s="15"/>
    </row>
    <row r="738" ht="15.75" customHeight="1">
      <c r="E738" s="15"/>
      <c r="F738" s="15"/>
      <c r="G738" s="15"/>
      <c r="K738" s="15"/>
      <c r="L738" s="15"/>
      <c r="M738" s="15"/>
      <c r="N738" s="15"/>
      <c r="U738" s="15"/>
      <c r="V738" s="15"/>
      <c r="W738" s="15"/>
      <c r="AA738" s="15"/>
      <c r="AB738" s="15"/>
      <c r="AC738" s="15"/>
      <c r="AD738" s="15"/>
    </row>
    <row r="739" ht="15.75" customHeight="1">
      <c r="E739" s="15"/>
      <c r="F739" s="15"/>
      <c r="G739" s="15"/>
      <c r="K739" s="15"/>
      <c r="L739" s="15"/>
      <c r="M739" s="15"/>
      <c r="N739" s="15"/>
      <c r="U739" s="15"/>
      <c r="V739" s="15"/>
      <c r="W739" s="15"/>
      <c r="AA739" s="15"/>
      <c r="AB739" s="15"/>
      <c r="AC739" s="15"/>
      <c r="AD739" s="15"/>
    </row>
    <row r="740" ht="15.75" customHeight="1">
      <c r="E740" s="15"/>
      <c r="F740" s="15"/>
      <c r="G740" s="15"/>
      <c r="K740" s="15"/>
      <c r="L740" s="15"/>
      <c r="M740" s="15"/>
      <c r="N740" s="15"/>
      <c r="U740" s="15"/>
      <c r="V740" s="15"/>
      <c r="W740" s="15"/>
      <c r="AA740" s="15"/>
      <c r="AB740" s="15"/>
      <c r="AC740" s="15"/>
      <c r="AD740" s="15"/>
    </row>
    <row r="741" ht="15.75" customHeight="1">
      <c r="E741" s="15"/>
      <c r="F741" s="15"/>
      <c r="G741" s="15"/>
      <c r="K741" s="15"/>
      <c r="L741" s="15"/>
      <c r="M741" s="15"/>
      <c r="N741" s="15"/>
      <c r="U741" s="15"/>
      <c r="V741" s="15"/>
      <c r="W741" s="15"/>
      <c r="AA741" s="15"/>
      <c r="AB741" s="15"/>
      <c r="AC741" s="15"/>
      <c r="AD741" s="15"/>
    </row>
    <row r="742" ht="15.75" customHeight="1">
      <c r="E742" s="15"/>
      <c r="F742" s="15"/>
      <c r="G742" s="15"/>
      <c r="K742" s="15"/>
      <c r="L742" s="15"/>
      <c r="M742" s="15"/>
      <c r="N742" s="15"/>
      <c r="U742" s="15"/>
      <c r="V742" s="15"/>
      <c r="W742" s="15"/>
      <c r="AA742" s="15"/>
      <c r="AB742" s="15"/>
      <c r="AC742" s="15"/>
      <c r="AD742" s="15"/>
    </row>
    <row r="743" ht="15.75" customHeight="1">
      <c r="E743" s="15"/>
      <c r="F743" s="15"/>
      <c r="G743" s="15"/>
      <c r="K743" s="15"/>
      <c r="L743" s="15"/>
      <c r="M743" s="15"/>
      <c r="N743" s="15"/>
      <c r="U743" s="15"/>
      <c r="V743" s="15"/>
      <c r="W743" s="15"/>
      <c r="AA743" s="15"/>
      <c r="AB743" s="15"/>
      <c r="AC743" s="15"/>
      <c r="AD743" s="15"/>
    </row>
    <row r="744" ht="15.75" customHeight="1">
      <c r="E744" s="15"/>
      <c r="F744" s="15"/>
      <c r="G744" s="15"/>
      <c r="K744" s="15"/>
      <c r="L744" s="15"/>
      <c r="M744" s="15"/>
      <c r="N744" s="15"/>
      <c r="U744" s="15"/>
      <c r="V744" s="15"/>
      <c r="W744" s="15"/>
      <c r="AA744" s="15"/>
      <c r="AB744" s="15"/>
      <c r="AC744" s="15"/>
      <c r="AD744" s="15"/>
    </row>
    <row r="745" ht="15.75" customHeight="1">
      <c r="E745" s="15"/>
      <c r="F745" s="15"/>
      <c r="G745" s="15"/>
      <c r="K745" s="15"/>
      <c r="L745" s="15"/>
      <c r="M745" s="15"/>
      <c r="N745" s="15"/>
      <c r="U745" s="15"/>
      <c r="V745" s="15"/>
      <c r="W745" s="15"/>
      <c r="AA745" s="15"/>
      <c r="AB745" s="15"/>
      <c r="AC745" s="15"/>
      <c r="AD745" s="15"/>
    </row>
    <row r="746" ht="15.75" customHeight="1">
      <c r="E746" s="15"/>
      <c r="F746" s="15"/>
      <c r="G746" s="15"/>
      <c r="K746" s="15"/>
      <c r="L746" s="15"/>
      <c r="M746" s="15"/>
      <c r="N746" s="15"/>
      <c r="U746" s="15"/>
      <c r="V746" s="15"/>
      <c r="W746" s="15"/>
      <c r="AA746" s="15"/>
      <c r="AB746" s="15"/>
      <c r="AC746" s="15"/>
      <c r="AD746" s="15"/>
    </row>
    <row r="747" ht="15.75" customHeight="1">
      <c r="E747" s="15"/>
      <c r="F747" s="15"/>
      <c r="G747" s="15"/>
      <c r="K747" s="15"/>
      <c r="L747" s="15"/>
      <c r="M747" s="15"/>
      <c r="N747" s="15"/>
      <c r="U747" s="15"/>
      <c r="V747" s="15"/>
      <c r="W747" s="15"/>
      <c r="AA747" s="15"/>
      <c r="AB747" s="15"/>
      <c r="AC747" s="15"/>
      <c r="AD747" s="15"/>
    </row>
    <row r="748" ht="15.75" customHeight="1">
      <c r="E748" s="15"/>
      <c r="F748" s="15"/>
      <c r="G748" s="15"/>
      <c r="K748" s="15"/>
      <c r="L748" s="15"/>
      <c r="M748" s="15"/>
      <c r="N748" s="15"/>
      <c r="U748" s="15"/>
      <c r="V748" s="15"/>
      <c r="W748" s="15"/>
      <c r="AA748" s="15"/>
      <c r="AB748" s="15"/>
      <c r="AC748" s="15"/>
      <c r="AD748" s="15"/>
    </row>
    <row r="749" ht="15.75" customHeight="1">
      <c r="E749" s="15"/>
      <c r="F749" s="15"/>
      <c r="G749" s="15"/>
      <c r="K749" s="15"/>
      <c r="L749" s="15"/>
      <c r="M749" s="15"/>
      <c r="N749" s="15"/>
      <c r="U749" s="15"/>
      <c r="V749" s="15"/>
      <c r="W749" s="15"/>
      <c r="AA749" s="15"/>
      <c r="AB749" s="15"/>
      <c r="AC749" s="15"/>
      <c r="AD749" s="15"/>
    </row>
    <row r="750" ht="15.75" customHeight="1">
      <c r="E750" s="15"/>
      <c r="F750" s="15"/>
      <c r="G750" s="15"/>
      <c r="K750" s="15"/>
      <c r="L750" s="15"/>
      <c r="M750" s="15"/>
      <c r="N750" s="15"/>
      <c r="U750" s="15"/>
      <c r="V750" s="15"/>
      <c r="W750" s="15"/>
      <c r="AA750" s="15"/>
      <c r="AB750" s="15"/>
      <c r="AC750" s="15"/>
      <c r="AD750" s="15"/>
    </row>
    <row r="751" ht="15.75" customHeight="1">
      <c r="E751" s="15"/>
      <c r="F751" s="15"/>
      <c r="G751" s="15"/>
      <c r="K751" s="15"/>
      <c r="L751" s="15"/>
      <c r="M751" s="15"/>
      <c r="N751" s="15"/>
      <c r="U751" s="15"/>
      <c r="V751" s="15"/>
      <c r="W751" s="15"/>
      <c r="AA751" s="15"/>
      <c r="AB751" s="15"/>
      <c r="AC751" s="15"/>
      <c r="AD751" s="15"/>
    </row>
    <row r="752" ht="15.75" customHeight="1">
      <c r="E752" s="15"/>
      <c r="F752" s="15"/>
      <c r="G752" s="15"/>
      <c r="K752" s="15"/>
      <c r="L752" s="15"/>
      <c r="M752" s="15"/>
      <c r="N752" s="15"/>
      <c r="U752" s="15"/>
      <c r="V752" s="15"/>
      <c r="W752" s="15"/>
      <c r="AA752" s="15"/>
      <c r="AB752" s="15"/>
      <c r="AC752" s="15"/>
      <c r="AD752" s="15"/>
    </row>
    <row r="753" ht="15.75" customHeight="1">
      <c r="E753" s="15"/>
      <c r="F753" s="15"/>
      <c r="G753" s="15"/>
      <c r="K753" s="15"/>
      <c r="L753" s="15"/>
      <c r="M753" s="15"/>
      <c r="N753" s="15"/>
      <c r="U753" s="15"/>
      <c r="V753" s="15"/>
      <c r="W753" s="15"/>
      <c r="AA753" s="15"/>
      <c r="AB753" s="15"/>
      <c r="AC753" s="15"/>
      <c r="AD753" s="15"/>
    </row>
    <row r="754" ht="15.75" customHeight="1">
      <c r="E754" s="15"/>
      <c r="F754" s="15"/>
      <c r="G754" s="15"/>
      <c r="K754" s="15"/>
      <c r="L754" s="15"/>
      <c r="M754" s="15"/>
      <c r="N754" s="15"/>
      <c r="U754" s="15"/>
      <c r="V754" s="15"/>
      <c r="W754" s="15"/>
      <c r="AA754" s="15"/>
      <c r="AB754" s="15"/>
      <c r="AC754" s="15"/>
      <c r="AD754" s="15"/>
    </row>
    <row r="755" ht="15.75" customHeight="1">
      <c r="E755" s="15"/>
      <c r="F755" s="15"/>
      <c r="G755" s="15"/>
      <c r="K755" s="15"/>
      <c r="L755" s="15"/>
      <c r="M755" s="15"/>
      <c r="N755" s="15"/>
      <c r="U755" s="15"/>
      <c r="V755" s="15"/>
      <c r="W755" s="15"/>
      <c r="AA755" s="15"/>
      <c r="AB755" s="15"/>
      <c r="AC755" s="15"/>
      <c r="AD755" s="15"/>
    </row>
    <row r="756" ht="15.75" customHeight="1">
      <c r="E756" s="15"/>
      <c r="F756" s="15"/>
      <c r="G756" s="15"/>
      <c r="K756" s="15"/>
      <c r="L756" s="15"/>
      <c r="M756" s="15"/>
      <c r="N756" s="15"/>
      <c r="U756" s="15"/>
      <c r="V756" s="15"/>
      <c r="W756" s="15"/>
      <c r="AA756" s="15"/>
      <c r="AB756" s="15"/>
      <c r="AC756" s="15"/>
      <c r="AD756" s="15"/>
    </row>
    <row r="757" ht="15.75" customHeight="1">
      <c r="E757" s="15"/>
      <c r="F757" s="15"/>
      <c r="G757" s="15"/>
      <c r="K757" s="15"/>
      <c r="L757" s="15"/>
      <c r="M757" s="15"/>
      <c r="N757" s="15"/>
      <c r="U757" s="15"/>
      <c r="V757" s="15"/>
      <c r="W757" s="15"/>
      <c r="AA757" s="15"/>
      <c r="AB757" s="15"/>
      <c r="AC757" s="15"/>
      <c r="AD757" s="15"/>
    </row>
    <row r="758" ht="15.75" customHeight="1">
      <c r="E758" s="15"/>
      <c r="F758" s="15"/>
      <c r="G758" s="15"/>
      <c r="K758" s="15"/>
      <c r="L758" s="15"/>
      <c r="M758" s="15"/>
      <c r="N758" s="15"/>
      <c r="U758" s="15"/>
      <c r="V758" s="15"/>
      <c r="W758" s="15"/>
      <c r="AA758" s="15"/>
      <c r="AB758" s="15"/>
      <c r="AC758" s="15"/>
      <c r="AD758" s="15"/>
    </row>
    <row r="759" ht="15.75" customHeight="1">
      <c r="E759" s="15"/>
      <c r="F759" s="15"/>
      <c r="G759" s="15"/>
      <c r="K759" s="15"/>
      <c r="L759" s="15"/>
      <c r="M759" s="15"/>
      <c r="N759" s="15"/>
      <c r="U759" s="15"/>
      <c r="V759" s="15"/>
      <c r="W759" s="15"/>
      <c r="AA759" s="15"/>
      <c r="AB759" s="15"/>
      <c r="AC759" s="15"/>
      <c r="AD759" s="15"/>
    </row>
    <row r="760" ht="15.75" customHeight="1">
      <c r="E760" s="15"/>
      <c r="F760" s="15"/>
      <c r="G760" s="15"/>
      <c r="K760" s="15"/>
      <c r="L760" s="15"/>
      <c r="M760" s="15"/>
      <c r="N760" s="15"/>
      <c r="U760" s="15"/>
      <c r="V760" s="15"/>
      <c r="W760" s="15"/>
      <c r="AA760" s="15"/>
      <c r="AB760" s="15"/>
      <c r="AC760" s="15"/>
      <c r="AD760" s="15"/>
    </row>
    <row r="761" ht="15.75" customHeight="1">
      <c r="E761" s="15"/>
      <c r="F761" s="15"/>
      <c r="G761" s="15"/>
      <c r="K761" s="15"/>
      <c r="L761" s="15"/>
      <c r="M761" s="15"/>
      <c r="N761" s="15"/>
      <c r="U761" s="15"/>
      <c r="V761" s="15"/>
      <c r="W761" s="15"/>
      <c r="AA761" s="15"/>
      <c r="AB761" s="15"/>
      <c r="AC761" s="15"/>
      <c r="AD761" s="15"/>
    </row>
    <row r="762" ht="15.75" customHeight="1">
      <c r="E762" s="15"/>
      <c r="F762" s="15"/>
      <c r="G762" s="15"/>
      <c r="K762" s="15"/>
      <c r="L762" s="15"/>
      <c r="M762" s="15"/>
      <c r="N762" s="15"/>
      <c r="U762" s="15"/>
      <c r="V762" s="15"/>
      <c r="W762" s="15"/>
      <c r="AA762" s="15"/>
      <c r="AB762" s="15"/>
      <c r="AC762" s="15"/>
      <c r="AD762" s="15"/>
    </row>
    <row r="763" ht="15.75" customHeight="1">
      <c r="E763" s="15"/>
      <c r="F763" s="15"/>
      <c r="G763" s="15"/>
      <c r="K763" s="15"/>
      <c r="L763" s="15"/>
      <c r="M763" s="15"/>
      <c r="N763" s="15"/>
      <c r="U763" s="15"/>
      <c r="V763" s="15"/>
      <c r="W763" s="15"/>
      <c r="AA763" s="15"/>
      <c r="AB763" s="15"/>
      <c r="AC763" s="15"/>
      <c r="AD763" s="15"/>
    </row>
    <row r="764" ht="15.75" customHeight="1">
      <c r="E764" s="15"/>
      <c r="F764" s="15"/>
      <c r="G764" s="15"/>
      <c r="K764" s="15"/>
      <c r="L764" s="15"/>
      <c r="M764" s="15"/>
      <c r="N764" s="15"/>
      <c r="U764" s="15"/>
      <c r="V764" s="15"/>
      <c r="W764" s="15"/>
      <c r="AA764" s="15"/>
      <c r="AB764" s="15"/>
      <c r="AC764" s="15"/>
      <c r="AD764" s="15"/>
    </row>
    <row r="765" ht="15.75" customHeight="1">
      <c r="E765" s="15"/>
      <c r="F765" s="15"/>
      <c r="G765" s="15"/>
      <c r="K765" s="15"/>
      <c r="L765" s="15"/>
      <c r="M765" s="15"/>
      <c r="N765" s="15"/>
      <c r="U765" s="15"/>
      <c r="V765" s="15"/>
      <c r="W765" s="15"/>
      <c r="AA765" s="15"/>
      <c r="AB765" s="15"/>
      <c r="AC765" s="15"/>
      <c r="AD765" s="15"/>
    </row>
    <row r="766" ht="15.75" customHeight="1">
      <c r="E766" s="15"/>
      <c r="F766" s="15"/>
      <c r="G766" s="15"/>
      <c r="K766" s="15"/>
      <c r="L766" s="15"/>
      <c r="M766" s="15"/>
      <c r="N766" s="15"/>
      <c r="U766" s="15"/>
      <c r="V766" s="15"/>
      <c r="W766" s="15"/>
      <c r="AA766" s="15"/>
      <c r="AB766" s="15"/>
      <c r="AC766" s="15"/>
      <c r="AD766" s="15"/>
    </row>
    <row r="767" ht="15.75" customHeight="1">
      <c r="E767" s="15"/>
      <c r="F767" s="15"/>
      <c r="G767" s="15"/>
      <c r="K767" s="15"/>
      <c r="L767" s="15"/>
      <c r="M767" s="15"/>
      <c r="N767" s="15"/>
      <c r="U767" s="15"/>
      <c r="V767" s="15"/>
      <c r="W767" s="15"/>
      <c r="AA767" s="15"/>
      <c r="AB767" s="15"/>
      <c r="AC767" s="15"/>
      <c r="AD767" s="15"/>
    </row>
    <row r="768" ht="15.75" customHeight="1">
      <c r="E768" s="15"/>
      <c r="F768" s="15"/>
      <c r="G768" s="15"/>
      <c r="K768" s="15"/>
      <c r="L768" s="15"/>
      <c r="M768" s="15"/>
      <c r="N768" s="15"/>
      <c r="U768" s="15"/>
      <c r="V768" s="15"/>
      <c r="W768" s="15"/>
      <c r="AA768" s="15"/>
      <c r="AB768" s="15"/>
      <c r="AC768" s="15"/>
      <c r="AD768" s="15"/>
    </row>
    <row r="769" ht="15.75" customHeight="1">
      <c r="E769" s="15"/>
      <c r="F769" s="15"/>
      <c r="G769" s="15"/>
      <c r="K769" s="15"/>
      <c r="L769" s="15"/>
      <c r="M769" s="15"/>
      <c r="N769" s="15"/>
      <c r="U769" s="15"/>
      <c r="V769" s="15"/>
      <c r="W769" s="15"/>
      <c r="AA769" s="15"/>
      <c r="AB769" s="15"/>
      <c r="AC769" s="15"/>
      <c r="AD769" s="15"/>
    </row>
    <row r="770" ht="15.75" customHeight="1">
      <c r="E770" s="15"/>
      <c r="F770" s="15"/>
      <c r="G770" s="15"/>
      <c r="K770" s="15"/>
      <c r="L770" s="15"/>
      <c r="M770" s="15"/>
      <c r="N770" s="15"/>
      <c r="U770" s="15"/>
      <c r="V770" s="15"/>
      <c r="W770" s="15"/>
      <c r="AA770" s="15"/>
      <c r="AB770" s="15"/>
      <c r="AC770" s="15"/>
      <c r="AD770" s="15"/>
    </row>
    <row r="771" ht="15.75" customHeight="1">
      <c r="E771" s="15"/>
      <c r="F771" s="15"/>
      <c r="G771" s="15"/>
      <c r="K771" s="15"/>
      <c r="L771" s="15"/>
      <c r="M771" s="15"/>
      <c r="N771" s="15"/>
      <c r="U771" s="15"/>
      <c r="V771" s="15"/>
      <c r="W771" s="15"/>
      <c r="AA771" s="15"/>
      <c r="AB771" s="15"/>
      <c r="AC771" s="15"/>
      <c r="AD771" s="15"/>
    </row>
    <row r="772" ht="15.75" customHeight="1">
      <c r="E772" s="15"/>
      <c r="F772" s="15"/>
      <c r="G772" s="15"/>
      <c r="K772" s="15"/>
      <c r="L772" s="15"/>
      <c r="M772" s="15"/>
      <c r="N772" s="15"/>
      <c r="U772" s="15"/>
      <c r="V772" s="15"/>
      <c r="W772" s="15"/>
      <c r="AA772" s="15"/>
      <c r="AB772" s="15"/>
      <c r="AC772" s="15"/>
      <c r="AD772" s="15"/>
    </row>
    <row r="773" ht="15.75" customHeight="1">
      <c r="E773" s="15"/>
      <c r="F773" s="15"/>
      <c r="G773" s="15"/>
      <c r="K773" s="15"/>
      <c r="L773" s="15"/>
      <c r="M773" s="15"/>
      <c r="N773" s="15"/>
      <c r="U773" s="15"/>
      <c r="V773" s="15"/>
      <c r="W773" s="15"/>
      <c r="AA773" s="15"/>
      <c r="AB773" s="15"/>
      <c r="AC773" s="15"/>
      <c r="AD773" s="15"/>
    </row>
    <row r="774" ht="15.75" customHeight="1">
      <c r="E774" s="15"/>
      <c r="F774" s="15"/>
      <c r="G774" s="15"/>
      <c r="K774" s="15"/>
      <c r="L774" s="15"/>
      <c r="M774" s="15"/>
      <c r="N774" s="15"/>
      <c r="U774" s="15"/>
      <c r="V774" s="15"/>
      <c r="W774" s="15"/>
      <c r="AA774" s="15"/>
      <c r="AB774" s="15"/>
      <c r="AC774" s="15"/>
      <c r="AD774" s="15"/>
    </row>
    <row r="775" ht="15.75" customHeight="1">
      <c r="E775" s="15"/>
      <c r="F775" s="15"/>
      <c r="G775" s="15"/>
      <c r="K775" s="15"/>
      <c r="L775" s="15"/>
      <c r="M775" s="15"/>
      <c r="N775" s="15"/>
      <c r="U775" s="15"/>
      <c r="V775" s="15"/>
      <c r="W775" s="15"/>
      <c r="AA775" s="15"/>
      <c r="AB775" s="15"/>
      <c r="AC775" s="15"/>
      <c r="AD775" s="15"/>
    </row>
    <row r="776" ht="15.75" customHeight="1">
      <c r="E776" s="15"/>
      <c r="F776" s="15"/>
      <c r="G776" s="15"/>
      <c r="K776" s="15"/>
      <c r="L776" s="15"/>
      <c r="M776" s="15"/>
      <c r="N776" s="15"/>
      <c r="U776" s="15"/>
      <c r="V776" s="15"/>
      <c r="W776" s="15"/>
      <c r="AA776" s="15"/>
      <c r="AB776" s="15"/>
      <c r="AC776" s="15"/>
      <c r="AD776" s="15"/>
    </row>
    <row r="777" ht="15.75" customHeight="1">
      <c r="E777" s="15"/>
      <c r="F777" s="15"/>
      <c r="G777" s="15"/>
      <c r="K777" s="15"/>
      <c r="L777" s="15"/>
      <c r="M777" s="15"/>
      <c r="N777" s="15"/>
      <c r="U777" s="15"/>
      <c r="V777" s="15"/>
      <c r="W777" s="15"/>
      <c r="AA777" s="15"/>
      <c r="AB777" s="15"/>
      <c r="AC777" s="15"/>
      <c r="AD777" s="15"/>
    </row>
    <row r="778" ht="15.75" customHeight="1">
      <c r="E778" s="15"/>
      <c r="F778" s="15"/>
      <c r="G778" s="15"/>
      <c r="K778" s="15"/>
      <c r="L778" s="15"/>
      <c r="M778" s="15"/>
      <c r="N778" s="15"/>
      <c r="U778" s="15"/>
      <c r="V778" s="15"/>
      <c r="W778" s="15"/>
      <c r="AA778" s="15"/>
      <c r="AB778" s="15"/>
      <c r="AC778" s="15"/>
      <c r="AD778" s="15"/>
    </row>
    <row r="779" ht="15.75" customHeight="1">
      <c r="E779" s="15"/>
      <c r="F779" s="15"/>
      <c r="G779" s="15"/>
      <c r="K779" s="15"/>
      <c r="L779" s="15"/>
      <c r="M779" s="15"/>
      <c r="N779" s="15"/>
      <c r="U779" s="15"/>
      <c r="V779" s="15"/>
      <c r="W779" s="15"/>
      <c r="AA779" s="15"/>
      <c r="AB779" s="15"/>
      <c r="AC779" s="15"/>
      <c r="AD779" s="15"/>
    </row>
    <row r="780" ht="15.75" customHeight="1">
      <c r="E780" s="15"/>
      <c r="F780" s="15"/>
      <c r="G780" s="15"/>
      <c r="K780" s="15"/>
      <c r="L780" s="15"/>
      <c r="M780" s="15"/>
      <c r="N780" s="15"/>
      <c r="U780" s="15"/>
      <c r="V780" s="15"/>
      <c r="W780" s="15"/>
      <c r="AA780" s="15"/>
      <c r="AB780" s="15"/>
      <c r="AC780" s="15"/>
      <c r="AD780" s="15"/>
    </row>
    <row r="781" ht="15.75" customHeight="1">
      <c r="E781" s="15"/>
      <c r="F781" s="15"/>
      <c r="G781" s="15"/>
      <c r="K781" s="15"/>
      <c r="L781" s="15"/>
      <c r="M781" s="15"/>
      <c r="N781" s="15"/>
      <c r="U781" s="15"/>
      <c r="V781" s="15"/>
      <c r="W781" s="15"/>
      <c r="AA781" s="15"/>
      <c r="AB781" s="15"/>
      <c r="AC781" s="15"/>
      <c r="AD781" s="15"/>
    </row>
    <row r="782" ht="15.75" customHeight="1">
      <c r="E782" s="15"/>
      <c r="F782" s="15"/>
      <c r="G782" s="15"/>
      <c r="K782" s="15"/>
      <c r="L782" s="15"/>
      <c r="M782" s="15"/>
      <c r="N782" s="15"/>
      <c r="U782" s="15"/>
      <c r="V782" s="15"/>
      <c r="W782" s="15"/>
      <c r="AA782" s="15"/>
      <c r="AB782" s="15"/>
      <c r="AC782" s="15"/>
      <c r="AD782" s="15"/>
    </row>
    <row r="783" ht="15.75" customHeight="1">
      <c r="E783" s="15"/>
      <c r="F783" s="15"/>
      <c r="G783" s="15"/>
      <c r="K783" s="15"/>
      <c r="L783" s="15"/>
      <c r="M783" s="15"/>
      <c r="N783" s="15"/>
      <c r="U783" s="15"/>
      <c r="V783" s="15"/>
      <c r="W783" s="15"/>
      <c r="AA783" s="15"/>
      <c r="AB783" s="15"/>
      <c r="AC783" s="15"/>
      <c r="AD783" s="15"/>
    </row>
    <row r="784" ht="15.75" customHeight="1">
      <c r="E784" s="15"/>
      <c r="F784" s="15"/>
      <c r="G784" s="15"/>
      <c r="K784" s="15"/>
      <c r="L784" s="15"/>
      <c r="M784" s="15"/>
      <c r="N784" s="15"/>
      <c r="U784" s="15"/>
      <c r="V784" s="15"/>
      <c r="W784" s="15"/>
      <c r="AA784" s="15"/>
      <c r="AB784" s="15"/>
      <c r="AC784" s="15"/>
      <c r="AD784" s="15"/>
    </row>
    <row r="785" ht="15.75" customHeight="1">
      <c r="E785" s="15"/>
      <c r="F785" s="15"/>
      <c r="G785" s="15"/>
      <c r="K785" s="15"/>
      <c r="L785" s="15"/>
      <c r="M785" s="15"/>
      <c r="N785" s="15"/>
      <c r="U785" s="15"/>
      <c r="V785" s="15"/>
      <c r="W785" s="15"/>
      <c r="AA785" s="15"/>
      <c r="AB785" s="15"/>
      <c r="AC785" s="15"/>
      <c r="AD785" s="15"/>
    </row>
    <row r="786" ht="15.75" customHeight="1">
      <c r="E786" s="15"/>
      <c r="F786" s="15"/>
      <c r="G786" s="15"/>
      <c r="K786" s="15"/>
      <c r="L786" s="15"/>
      <c r="M786" s="15"/>
      <c r="N786" s="15"/>
      <c r="U786" s="15"/>
      <c r="V786" s="15"/>
      <c r="W786" s="15"/>
      <c r="AA786" s="15"/>
      <c r="AB786" s="15"/>
      <c r="AC786" s="15"/>
      <c r="AD786" s="15"/>
    </row>
    <row r="787" ht="15.75" customHeight="1">
      <c r="E787" s="15"/>
      <c r="F787" s="15"/>
      <c r="G787" s="15"/>
      <c r="K787" s="15"/>
      <c r="L787" s="15"/>
      <c r="M787" s="15"/>
      <c r="N787" s="15"/>
      <c r="U787" s="15"/>
      <c r="V787" s="15"/>
      <c r="W787" s="15"/>
      <c r="AA787" s="15"/>
      <c r="AB787" s="15"/>
      <c r="AC787" s="15"/>
      <c r="AD787" s="15"/>
    </row>
    <row r="788" ht="15.75" customHeight="1">
      <c r="E788" s="15"/>
      <c r="F788" s="15"/>
      <c r="G788" s="15"/>
      <c r="K788" s="15"/>
      <c r="L788" s="15"/>
      <c r="M788" s="15"/>
      <c r="N788" s="15"/>
      <c r="U788" s="15"/>
      <c r="V788" s="15"/>
      <c r="W788" s="15"/>
      <c r="AA788" s="15"/>
      <c r="AB788" s="15"/>
      <c r="AC788" s="15"/>
      <c r="AD788" s="15"/>
    </row>
    <row r="789" ht="15.75" customHeight="1">
      <c r="E789" s="15"/>
      <c r="F789" s="15"/>
      <c r="G789" s="15"/>
      <c r="K789" s="15"/>
      <c r="L789" s="15"/>
      <c r="M789" s="15"/>
      <c r="N789" s="15"/>
      <c r="U789" s="15"/>
      <c r="V789" s="15"/>
      <c r="W789" s="15"/>
      <c r="AA789" s="15"/>
      <c r="AB789" s="15"/>
      <c r="AC789" s="15"/>
      <c r="AD789" s="15"/>
    </row>
    <row r="790" ht="15.75" customHeight="1">
      <c r="E790" s="15"/>
      <c r="F790" s="15"/>
      <c r="G790" s="15"/>
      <c r="K790" s="15"/>
      <c r="L790" s="15"/>
      <c r="M790" s="15"/>
      <c r="N790" s="15"/>
      <c r="U790" s="15"/>
      <c r="V790" s="15"/>
      <c r="W790" s="15"/>
      <c r="AA790" s="15"/>
      <c r="AB790" s="15"/>
      <c r="AC790" s="15"/>
      <c r="AD790" s="15"/>
    </row>
    <row r="791" ht="15.75" customHeight="1">
      <c r="E791" s="15"/>
      <c r="F791" s="15"/>
      <c r="G791" s="15"/>
      <c r="K791" s="15"/>
      <c r="L791" s="15"/>
      <c r="M791" s="15"/>
      <c r="N791" s="15"/>
      <c r="U791" s="15"/>
      <c r="V791" s="15"/>
      <c r="W791" s="15"/>
      <c r="AA791" s="15"/>
      <c r="AB791" s="15"/>
      <c r="AC791" s="15"/>
      <c r="AD791" s="15"/>
    </row>
    <row r="792" ht="15.75" customHeight="1">
      <c r="E792" s="15"/>
      <c r="F792" s="15"/>
      <c r="G792" s="15"/>
      <c r="K792" s="15"/>
      <c r="L792" s="15"/>
      <c r="M792" s="15"/>
      <c r="N792" s="15"/>
      <c r="U792" s="15"/>
      <c r="V792" s="15"/>
      <c r="W792" s="15"/>
      <c r="AA792" s="15"/>
      <c r="AB792" s="15"/>
      <c r="AC792" s="15"/>
      <c r="AD792" s="15"/>
    </row>
    <row r="793" ht="15.75" customHeight="1">
      <c r="E793" s="15"/>
      <c r="F793" s="15"/>
      <c r="G793" s="15"/>
      <c r="K793" s="15"/>
      <c r="L793" s="15"/>
      <c r="M793" s="15"/>
      <c r="N793" s="15"/>
      <c r="U793" s="15"/>
      <c r="V793" s="15"/>
      <c r="W793" s="15"/>
      <c r="AA793" s="15"/>
      <c r="AB793" s="15"/>
      <c r="AC793" s="15"/>
      <c r="AD793" s="15"/>
    </row>
    <row r="794" ht="15.75" customHeight="1">
      <c r="E794" s="15"/>
      <c r="F794" s="15"/>
      <c r="G794" s="15"/>
      <c r="K794" s="15"/>
      <c r="L794" s="15"/>
      <c r="M794" s="15"/>
      <c r="N794" s="15"/>
      <c r="U794" s="15"/>
      <c r="V794" s="15"/>
      <c r="W794" s="15"/>
      <c r="AA794" s="15"/>
      <c r="AB794" s="15"/>
      <c r="AC794" s="15"/>
      <c r="AD794" s="15"/>
    </row>
    <row r="795" ht="15.75" customHeight="1">
      <c r="E795" s="15"/>
      <c r="F795" s="15"/>
      <c r="G795" s="15"/>
      <c r="K795" s="15"/>
      <c r="L795" s="15"/>
      <c r="M795" s="15"/>
      <c r="N795" s="15"/>
      <c r="U795" s="15"/>
      <c r="V795" s="15"/>
      <c r="W795" s="15"/>
      <c r="AA795" s="15"/>
      <c r="AB795" s="15"/>
      <c r="AC795" s="15"/>
      <c r="AD795" s="15"/>
    </row>
    <row r="796" ht="15.75" customHeight="1">
      <c r="E796" s="15"/>
      <c r="F796" s="15"/>
      <c r="G796" s="15"/>
      <c r="K796" s="15"/>
      <c r="L796" s="15"/>
      <c r="M796" s="15"/>
      <c r="N796" s="15"/>
      <c r="U796" s="15"/>
      <c r="V796" s="15"/>
      <c r="W796" s="15"/>
      <c r="AA796" s="15"/>
      <c r="AB796" s="15"/>
      <c r="AC796" s="15"/>
      <c r="AD796" s="15"/>
    </row>
    <row r="797" ht="15.75" customHeight="1">
      <c r="E797" s="15"/>
      <c r="F797" s="15"/>
      <c r="G797" s="15"/>
      <c r="K797" s="15"/>
      <c r="L797" s="15"/>
      <c r="M797" s="15"/>
      <c r="N797" s="15"/>
      <c r="U797" s="15"/>
      <c r="V797" s="15"/>
      <c r="W797" s="15"/>
      <c r="AA797" s="15"/>
      <c r="AB797" s="15"/>
      <c r="AC797" s="15"/>
      <c r="AD797" s="15"/>
    </row>
    <row r="798" ht="15.75" customHeight="1">
      <c r="E798" s="15"/>
      <c r="F798" s="15"/>
      <c r="G798" s="15"/>
      <c r="K798" s="15"/>
      <c r="L798" s="15"/>
      <c r="M798" s="15"/>
      <c r="N798" s="15"/>
      <c r="U798" s="15"/>
      <c r="V798" s="15"/>
      <c r="W798" s="15"/>
      <c r="AA798" s="15"/>
      <c r="AB798" s="15"/>
      <c r="AC798" s="15"/>
      <c r="AD798" s="15"/>
    </row>
    <row r="799" ht="15.75" customHeight="1">
      <c r="E799" s="15"/>
      <c r="F799" s="15"/>
      <c r="G799" s="15"/>
      <c r="K799" s="15"/>
      <c r="L799" s="15"/>
      <c r="M799" s="15"/>
      <c r="N799" s="15"/>
      <c r="U799" s="15"/>
      <c r="V799" s="15"/>
      <c r="W799" s="15"/>
      <c r="AA799" s="15"/>
      <c r="AB799" s="15"/>
      <c r="AC799" s="15"/>
      <c r="AD799" s="15"/>
    </row>
    <row r="800" ht="15.75" customHeight="1">
      <c r="E800" s="15"/>
      <c r="F800" s="15"/>
      <c r="G800" s="15"/>
      <c r="K800" s="15"/>
      <c r="L800" s="15"/>
      <c r="M800" s="15"/>
      <c r="N800" s="15"/>
      <c r="U800" s="15"/>
      <c r="V800" s="15"/>
      <c r="W800" s="15"/>
      <c r="AA800" s="15"/>
      <c r="AB800" s="15"/>
      <c r="AC800" s="15"/>
      <c r="AD800" s="15"/>
    </row>
    <row r="801" ht="15.75" customHeight="1">
      <c r="E801" s="15"/>
      <c r="F801" s="15"/>
      <c r="G801" s="15"/>
      <c r="K801" s="15"/>
      <c r="L801" s="15"/>
      <c r="M801" s="15"/>
      <c r="N801" s="15"/>
      <c r="U801" s="15"/>
      <c r="V801" s="15"/>
      <c r="W801" s="15"/>
      <c r="AA801" s="15"/>
      <c r="AB801" s="15"/>
      <c r="AC801" s="15"/>
      <c r="AD801" s="15"/>
    </row>
    <row r="802" ht="15.75" customHeight="1">
      <c r="E802" s="15"/>
      <c r="F802" s="15"/>
      <c r="G802" s="15"/>
      <c r="K802" s="15"/>
      <c r="L802" s="15"/>
      <c r="M802" s="15"/>
      <c r="N802" s="15"/>
      <c r="U802" s="15"/>
      <c r="V802" s="15"/>
      <c r="W802" s="15"/>
      <c r="AA802" s="15"/>
      <c r="AB802" s="15"/>
      <c r="AC802" s="15"/>
      <c r="AD802" s="15"/>
    </row>
    <row r="803" ht="15.75" customHeight="1">
      <c r="E803" s="15"/>
      <c r="F803" s="15"/>
      <c r="G803" s="15"/>
      <c r="K803" s="15"/>
      <c r="L803" s="15"/>
      <c r="M803" s="15"/>
      <c r="N803" s="15"/>
      <c r="U803" s="15"/>
      <c r="V803" s="15"/>
      <c r="W803" s="15"/>
      <c r="AA803" s="15"/>
      <c r="AB803" s="15"/>
      <c r="AC803" s="15"/>
      <c r="AD803" s="15"/>
    </row>
    <row r="804" ht="15.75" customHeight="1">
      <c r="E804" s="15"/>
      <c r="F804" s="15"/>
      <c r="G804" s="15"/>
      <c r="K804" s="15"/>
      <c r="L804" s="15"/>
      <c r="M804" s="15"/>
      <c r="N804" s="15"/>
      <c r="U804" s="15"/>
      <c r="V804" s="15"/>
      <c r="W804" s="15"/>
      <c r="AA804" s="15"/>
      <c r="AB804" s="15"/>
      <c r="AC804" s="15"/>
      <c r="AD804" s="15"/>
    </row>
    <row r="805" ht="15.75" customHeight="1">
      <c r="E805" s="15"/>
      <c r="F805" s="15"/>
      <c r="G805" s="15"/>
      <c r="K805" s="15"/>
      <c r="L805" s="15"/>
      <c r="M805" s="15"/>
      <c r="N805" s="15"/>
      <c r="U805" s="15"/>
      <c r="V805" s="15"/>
      <c r="W805" s="15"/>
      <c r="AA805" s="15"/>
      <c r="AB805" s="15"/>
      <c r="AC805" s="15"/>
      <c r="AD805" s="15"/>
    </row>
    <row r="806" ht="15.75" customHeight="1">
      <c r="E806" s="15"/>
      <c r="F806" s="15"/>
      <c r="G806" s="15"/>
      <c r="K806" s="15"/>
      <c r="L806" s="15"/>
      <c r="M806" s="15"/>
      <c r="N806" s="15"/>
      <c r="U806" s="15"/>
      <c r="V806" s="15"/>
      <c r="W806" s="15"/>
      <c r="AA806" s="15"/>
      <c r="AB806" s="15"/>
      <c r="AC806" s="15"/>
      <c r="AD806" s="15"/>
    </row>
    <row r="807" ht="15.75" customHeight="1">
      <c r="E807" s="15"/>
      <c r="F807" s="15"/>
      <c r="G807" s="15"/>
      <c r="K807" s="15"/>
      <c r="L807" s="15"/>
      <c r="M807" s="15"/>
      <c r="N807" s="15"/>
      <c r="U807" s="15"/>
      <c r="V807" s="15"/>
      <c r="W807" s="15"/>
      <c r="AA807" s="15"/>
      <c r="AB807" s="15"/>
      <c r="AC807" s="15"/>
      <c r="AD807" s="15"/>
    </row>
    <row r="808" ht="15.75" customHeight="1">
      <c r="E808" s="15"/>
      <c r="F808" s="15"/>
      <c r="G808" s="15"/>
      <c r="K808" s="15"/>
      <c r="L808" s="15"/>
      <c r="M808" s="15"/>
      <c r="N808" s="15"/>
      <c r="U808" s="15"/>
      <c r="V808" s="15"/>
      <c r="W808" s="15"/>
      <c r="AA808" s="15"/>
      <c r="AB808" s="15"/>
      <c r="AC808" s="15"/>
      <c r="AD808" s="15"/>
    </row>
    <row r="809" ht="15.75" customHeight="1">
      <c r="E809" s="15"/>
      <c r="F809" s="15"/>
      <c r="G809" s="15"/>
      <c r="K809" s="15"/>
      <c r="L809" s="15"/>
      <c r="M809" s="15"/>
      <c r="N809" s="15"/>
      <c r="U809" s="15"/>
      <c r="V809" s="15"/>
      <c r="W809" s="15"/>
      <c r="AA809" s="15"/>
      <c r="AB809" s="15"/>
      <c r="AC809" s="15"/>
      <c r="AD809" s="15"/>
    </row>
    <row r="810" ht="15.75" customHeight="1">
      <c r="E810" s="15"/>
      <c r="F810" s="15"/>
      <c r="G810" s="15"/>
      <c r="K810" s="15"/>
      <c r="L810" s="15"/>
      <c r="M810" s="15"/>
      <c r="N810" s="15"/>
      <c r="U810" s="15"/>
      <c r="V810" s="15"/>
      <c r="W810" s="15"/>
      <c r="AA810" s="15"/>
      <c r="AB810" s="15"/>
      <c r="AC810" s="15"/>
      <c r="AD810" s="15"/>
    </row>
    <row r="811" ht="15.75" customHeight="1">
      <c r="E811" s="15"/>
      <c r="F811" s="15"/>
      <c r="G811" s="15"/>
      <c r="K811" s="15"/>
      <c r="L811" s="15"/>
      <c r="M811" s="15"/>
      <c r="N811" s="15"/>
      <c r="U811" s="15"/>
      <c r="V811" s="15"/>
      <c r="W811" s="15"/>
      <c r="AA811" s="15"/>
      <c r="AB811" s="15"/>
      <c r="AC811" s="15"/>
      <c r="AD811" s="15"/>
    </row>
    <row r="812" ht="15.75" customHeight="1">
      <c r="E812" s="15"/>
      <c r="F812" s="15"/>
      <c r="G812" s="15"/>
      <c r="K812" s="15"/>
      <c r="L812" s="15"/>
      <c r="M812" s="15"/>
      <c r="N812" s="15"/>
      <c r="U812" s="15"/>
      <c r="V812" s="15"/>
      <c r="W812" s="15"/>
      <c r="AA812" s="15"/>
      <c r="AB812" s="15"/>
      <c r="AC812" s="15"/>
      <c r="AD812" s="15"/>
    </row>
    <row r="813" ht="15.75" customHeight="1">
      <c r="E813" s="15"/>
      <c r="F813" s="15"/>
      <c r="G813" s="15"/>
      <c r="K813" s="15"/>
      <c r="L813" s="15"/>
      <c r="M813" s="15"/>
      <c r="N813" s="15"/>
      <c r="U813" s="15"/>
      <c r="V813" s="15"/>
      <c r="W813" s="15"/>
      <c r="AA813" s="15"/>
      <c r="AB813" s="15"/>
      <c r="AC813" s="15"/>
      <c r="AD813" s="15"/>
    </row>
    <row r="814" ht="15.75" customHeight="1">
      <c r="E814" s="15"/>
      <c r="F814" s="15"/>
      <c r="G814" s="15"/>
      <c r="K814" s="15"/>
      <c r="L814" s="15"/>
      <c r="M814" s="15"/>
      <c r="N814" s="15"/>
      <c r="U814" s="15"/>
      <c r="V814" s="15"/>
      <c r="W814" s="15"/>
      <c r="AA814" s="15"/>
      <c r="AB814" s="15"/>
      <c r="AC814" s="15"/>
      <c r="AD814" s="15"/>
    </row>
    <row r="815" ht="15.75" customHeight="1">
      <c r="E815" s="15"/>
      <c r="F815" s="15"/>
      <c r="G815" s="15"/>
      <c r="K815" s="15"/>
      <c r="L815" s="15"/>
      <c r="M815" s="15"/>
      <c r="N815" s="15"/>
      <c r="U815" s="15"/>
      <c r="V815" s="15"/>
      <c r="W815" s="15"/>
      <c r="AA815" s="15"/>
      <c r="AB815" s="15"/>
      <c r="AC815" s="15"/>
      <c r="AD815" s="15"/>
    </row>
    <row r="816" ht="15.75" customHeight="1">
      <c r="E816" s="15"/>
      <c r="F816" s="15"/>
      <c r="G816" s="15"/>
      <c r="K816" s="15"/>
      <c r="L816" s="15"/>
      <c r="M816" s="15"/>
      <c r="N816" s="15"/>
      <c r="U816" s="15"/>
      <c r="V816" s="15"/>
      <c r="W816" s="15"/>
      <c r="AA816" s="15"/>
      <c r="AB816" s="15"/>
      <c r="AC816" s="15"/>
      <c r="AD816" s="15"/>
    </row>
    <row r="817" ht="15.75" customHeight="1">
      <c r="E817" s="15"/>
      <c r="F817" s="15"/>
      <c r="G817" s="15"/>
      <c r="K817" s="15"/>
      <c r="L817" s="15"/>
      <c r="M817" s="15"/>
      <c r="N817" s="15"/>
      <c r="U817" s="15"/>
      <c r="V817" s="15"/>
      <c r="W817" s="15"/>
      <c r="AA817" s="15"/>
      <c r="AB817" s="15"/>
      <c r="AC817" s="15"/>
      <c r="AD817" s="15"/>
    </row>
    <row r="818" ht="15.75" customHeight="1">
      <c r="E818" s="15"/>
      <c r="F818" s="15"/>
      <c r="G818" s="15"/>
      <c r="K818" s="15"/>
      <c r="L818" s="15"/>
      <c r="M818" s="15"/>
      <c r="N818" s="15"/>
      <c r="U818" s="15"/>
      <c r="V818" s="15"/>
      <c r="W818" s="15"/>
      <c r="AA818" s="15"/>
      <c r="AB818" s="15"/>
      <c r="AC818" s="15"/>
      <c r="AD818" s="15"/>
    </row>
    <row r="819" ht="15.75" customHeight="1">
      <c r="E819" s="15"/>
      <c r="F819" s="15"/>
      <c r="G819" s="15"/>
      <c r="K819" s="15"/>
      <c r="L819" s="15"/>
      <c r="M819" s="15"/>
      <c r="N819" s="15"/>
      <c r="U819" s="15"/>
      <c r="V819" s="15"/>
      <c r="W819" s="15"/>
      <c r="AA819" s="15"/>
      <c r="AB819" s="15"/>
      <c r="AC819" s="15"/>
      <c r="AD819" s="15"/>
    </row>
    <row r="820" ht="15.75" customHeight="1">
      <c r="E820" s="15"/>
      <c r="F820" s="15"/>
      <c r="G820" s="15"/>
      <c r="K820" s="15"/>
      <c r="L820" s="15"/>
      <c r="M820" s="15"/>
      <c r="N820" s="15"/>
      <c r="U820" s="15"/>
      <c r="V820" s="15"/>
      <c r="W820" s="15"/>
      <c r="AA820" s="15"/>
      <c r="AB820" s="15"/>
      <c r="AC820" s="15"/>
      <c r="AD820" s="15"/>
    </row>
    <row r="821" ht="15.75" customHeight="1">
      <c r="E821" s="15"/>
      <c r="F821" s="15"/>
      <c r="G821" s="15"/>
      <c r="K821" s="15"/>
      <c r="L821" s="15"/>
      <c r="M821" s="15"/>
      <c r="N821" s="15"/>
      <c r="U821" s="15"/>
      <c r="V821" s="15"/>
      <c r="W821" s="15"/>
      <c r="AA821" s="15"/>
      <c r="AB821" s="15"/>
      <c r="AC821" s="15"/>
      <c r="AD821" s="15"/>
    </row>
    <row r="822" ht="15.75" customHeight="1">
      <c r="E822" s="15"/>
      <c r="F822" s="15"/>
      <c r="G822" s="15"/>
      <c r="K822" s="15"/>
      <c r="L822" s="15"/>
      <c r="M822" s="15"/>
      <c r="N822" s="15"/>
      <c r="U822" s="15"/>
      <c r="V822" s="15"/>
      <c r="W822" s="15"/>
      <c r="AA822" s="15"/>
      <c r="AB822" s="15"/>
      <c r="AC822" s="15"/>
      <c r="AD822" s="15"/>
    </row>
    <row r="823" ht="15.75" customHeight="1">
      <c r="E823" s="15"/>
      <c r="F823" s="15"/>
      <c r="G823" s="15"/>
      <c r="K823" s="15"/>
      <c r="L823" s="15"/>
      <c r="M823" s="15"/>
      <c r="N823" s="15"/>
      <c r="U823" s="15"/>
      <c r="V823" s="15"/>
      <c r="W823" s="15"/>
      <c r="AA823" s="15"/>
      <c r="AB823" s="15"/>
      <c r="AC823" s="15"/>
      <c r="AD823" s="15"/>
    </row>
    <row r="824" ht="15.75" customHeight="1">
      <c r="E824" s="15"/>
      <c r="F824" s="15"/>
      <c r="G824" s="15"/>
      <c r="K824" s="15"/>
      <c r="L824" s="15"/>
      <c r="M824" s="15"/>
      <c r="N824" s="15"/>
      <c r="U824" s="15"/>
      <c r="V824" s="15"/>
      <c r="W824" s="15"/>
      <c r="AA824" s="15"/>
      <c r="AB824" s="15"/>
      <c r="AC824" s="15"/>
      <c r="AD824" s="15"/>
    </row>
    <row r="825" ht="15.75" customHeight="1">
      <c r="E825" s="15"/>
      <c r="F825" s="15"/>
      <c r="G825" s="15"/>
      <c r="K825" s="15"/>
      <c r="L825" s="15"/>
      <c r="M825" s="15"/>
      <c r="N825" s="15"/>
      <c r="U825" s="15"/>
      <c r="V825" s="15"/>
      <c r="W825" s="15"/>
      <c r="AA825" s="15"/>
      <c r="AB825" s="15"/>
      <c r="AC825" s="15"/>
      <c r="AD825" s="15"/>
    </row>
    <row r="826" ht="15.75" customHeight="1">
      <c r="E826" s="15"/>
      <c r="F826" s="15"/>
      <c r="G826" s="15"/>
      <c r="K826" s="15"/>
      <c r="L826" s="15"/>
      <c r="M826" s="15"/>
      <c r="N826" s="15"/>
      <c r="U826" s="15"/>
      <c r="V826" s="15"/>
      <c r="W826" s="15"/>
      <c r="AA826" s="15"/>
      <c r="AB826" s="15"/>
      <c r="AC826" s="15"/>
      <c r="AD826" s="15"/>
    </row>
    <row r="827" ht="15.75" customHeight="1">
      <c r="E827" s="15"/>
      <c r="F827" s="15"/>
      <c r="G827" s="15"/>
      <c r="K827" s="15"/>
      <c r="L827" s="15"/>
      <c r="M827" s="15"/>
      <c r="N827" s="15"/>
      <c r="U827" s="15"/>
      <c r="V827" s="15"/>
      <c r="W827" s="15"/>
      <c r="AA827" s="15"/>
      <c r="AB827" s="15"/>
      <c r="AC827" s="15"/>
      <c r="AD827" s="15"/>
    </row>
    <row r="828" ht="15.75" customHeight="1">
      <c r="E828" s="15"/>
      <c r="F828" s="15"/>
      <c r="G828" s="15"/>
      <c r="K828" s="15"/>
      <c r="L828" s="15"/>
      <c r="M828" s="15"/>
      <c r="N828" s="15"/>
      <c r="U828" s="15"/>
      <c r="V828" s="15"/>
      <c r="W828" s="15"/>
      <c r="AA828" s="15"/>
      <c r="AB828" s="15"/>
      <c r="AC828" s="15"/>
      <c r="AD828" s="15"/>
    </row>
    <row r="829" ht="15.75" customHeight="1">
      <c r="E829" s="15"/>
      <c r="F829" s="15"/>
      <c r="G829" s="15"/>
      <c r="K829" s="15"/>
      <c r="L829" s="15"/>
      <c r="M829" s="15"/>
      <c r="N829" s="15"/>
      <c r="U829" s="15"/>
      <c r="V829" s="15"/>
      <c r="W829" s="15"/>
      <c r="AA829" s="15"/>
      <c r="AB829" s="15"/>
      <c r="AC829" s="15"/>
      <c r="AD829" s="15"/>
    </row>
    <row r="830" ht="15.75" customHeight="1">
      <c r="E830" s="15"/>
      <c r="F830" s="15"/>
      <c r="G830" s="15"/>
      <c r="K830" s="15"/>
      <c r="L830" s="15"/>
      <c r="M830" s="15"/>
      <c r="N830" s="15"/>
      <c r="U830" s="15"/>
      <c r="V830" s="15"/>
      <c r="W830" s="15"/>
      <c r="AA830" s="15"/>
      <c r="AB830" s="15"/>
      <c r="AC830" s="15"/>
      <c r="AD830" s="15"/>
    </row>
    <row r="831" ht="15.75" customHeight="1">
      <c r="E831" s="15"/>
      <c r="F831" s="15"/>
      <c r="G831" s="15"/>
      <c r="K831" s="15"/>
      <c r="L831" s="15"/>
      <c r="M831" s="15"/>
      <c r="N831" s="15"/>
      <c r="U831" s="15"/>
      <c r="V831" s="15"/>
      <c r="W831" s="15"/>
      <c r="AA831" s="15"/>
      <c r="AB831" s="15"/>
      <c r="AC831" s="15"/>
      <c r="AD831" s="15"/>
    </row>
    <row r="832" ht="15.75" customHeight="1">
      <c r="E832" s="15"/>
      <c r="F832" s="15"/>
      <c r="G832" s="15"/>
      <c r="K832" s="15"/>
      <c r="L832" s="15"/>
      <c r="M832" s="15"/>
      <c r="N832" s="15"/>
      <c r="U832" s="15"/>
      <c r="V832" s="15"/>
      <c r="W832" s="15"/>
      <c r="AA832" s="15"/>
      <c r="AB832" s="15"/>
      <c r="AC832" s="15"/>
      <c r="AD832" s="15"/>
    </row>
    <row r="833" ht="15.75" customHeight="1">
      <c r="E833" s="15"/>
      <c r="F833" s="15"/>
      <c r="G833" s="15"/>
      <c r="K833" s="15"/>
      <c r="L833" s="15"/>
      <c r="M833" s="15"/>
      <c r="N833" s="15"/>
      <c r="U833" s="15"/>
      <c r="V833" s="15"/>
      <c r="W833" s="15"/>
      <c r="AA833" s="15"/>
      <c r="AB833" s="15"/>
      <c r="AC833" s="15"/>
      <c r="AD833" s="15"/>
    </row>
    <row r="834" ht="15.75" customHeight="1">
      <c r="E834" s="15"/>
      <c r="F834" s="15"/>
      <c r="G834" s="15"/>
      <c r="K834" s="15"/>
      <c r="L834" s="15"/>
      <c r="M834" s="15"/>
      <c r="N834" s="15"/>
      <c r="U834" s="15"/>
      <c r="V834" s="15"/>
      <c r="W834" s="15"/>
      <c r="AA834" s="15"/>
      <c r="AB834" s="15"/>
      <c r="AC834" s="15"/>
      <c r="AD834" s="15"/>
    </row>
    <row r="835" ht="15.75" customHeight="1">
      <c r="E835" s="15"/>
      <c r="F835" s="15"/>
      <c r="G835" s="15"/>
      <c r="K835" s="15"/>
      <c r="L835" s="15"/>
      <c r="M835" s="15"/>
      <c r="N835" s="15"/>
      <c r="U835" s="15"/>
      <c r="V835" s="15"/>
      <c r="W835" s="15"/>
      <c r="AA835" s="15"/>
      <c r="AB835" s="15"/>
      <c r="AC835" s="15"/>
      <c r="AD835" s="15"/>
    </row>
    <row r="836" ht="15.75" customHeight="1">
      <c r="E836" s="15"/>
      <c r="F836" s="15"/>
      <c r="G836" s="15"/>
      <c r="K836" s="15"/>
      <c r="L836" s="15"/>
      <c r="M836" s="15"/>
      <c r="N836" s="15"/>
      <c r="U836" s="15"/>
      <c r="V836" s="15"/>
      <c r="W836" s="15"/>
      <c r="AA836" s="15"/>
      <c r="AB836" s="15"/>
      <c r="AC836" s="15"/>
      <c r="AD836" s="15"/>
    </row>
    <row r="837" ht="15.75" customHeight="1">
      <c r="E837" s="15"/>
      <c r="F837" s="15"/>
      <c r="G837" s="15"/>
      <c r="K837" s="15"/>
      <c r="L837" s="15"/>
      <c r="M837" s="15"/>
      <c r="N837" s="15"/>
      <c r="U837" s="15"/>
      <c r="V837" s="15"/>
      <c r="W837" s="15"/>
      <c r="AA837" s="15"/>
      <c r="AB837" s="15"/>
      <c r="AC837" s="15"/>
      <c r="AD837" s="15"/>
    </row>
    <row r="838" ht="15.75" customHeight="1">
      <c r="E838" s="15"/>
      <c r="F838" s="15"/>
      <c r="G838" s="15"/>
      <c r="K838" s="15"/>
      <c r="L838" s="15"/>
      <c r="M838" s="15"/>
      <c r="N838" s="15"/>
      <c r="U838" s="15"/>
      <c r="V838" s="15"/>
      <c r="W838" s="15"/>
      <c r="AA838" s="15"/>
      <c r="AB838" s="15"/>
      <c r="AC838" s="15"/>
      <c r="AD838" s="15"/>
    </row>
    <row r="839" ht="15.75" customHeight="1">
      <c r="E839" s="15"/>
      <c r="F839" s="15"/>
      <c r="G839" s="15"/>
      <c r="K839" s="15"/>
      <c r="L839" s="15"/>
      <c r="M839" s="15"/>
      <c r="N839" s="15"/>
      <c r="U839" s="15"/>
      <c r="V839" s="15"/>
      <c r="W839" s="15"/>
      <c r="AA839" s="15"/>
      <c r="AB839" s="15"/>
      <c r="AC839" s="15"/>
      <c r="AD839" s="15"/>
    </row>
    <row r="840" ht="15.75" customHeight="1">
      <c r="E840" s="15"/>
      <c r="F840" s="15"/>
      <c r="G840" s="15"/>
      <c r="K840" s="15"/>
      <c r="L840" s="15"/>
      <c r="M840" s="15"/>
      <c r="N840" s="15"/>
      <c r="U840" s="15"/>
      <c r="V840" s="15"/>
      <c r="W840" s="15"/>
      <c r="AA840" s="15"/>
      <c r="AB840" s="15"/>
      <c r="AC840" s="15"/>
      <c r="AD840" s="15"/>
    </row>
    <row r="841" ht="15.75" customHeight="1">
      <c r="E841" s="15"/>
      <c r="F841" s="15"/>
      <c r="G841" s="15"/>
      <c r="K841" s="15"/>
      <c r="L841" s="15"/>
      <c r="M841" s="15"/>
      <c r="N841" s="15"/>
      <c r="U841" s="15"/>
      <c r="V841" s="15"/>
      <c r="W841" s="15"/>
      <c r="AA841" s="15"/>
      <c r="AB841" s="15"/>
      <c r="AC841" s="15"/>
      <c r="AD841" s="15"/>
    </row>
    <row r="842" ht="15.75" customHeight="1">
      <c r="E842" s="15"/>
      <c r="F842" s="15"/>
      <c r="G842" s="15"/>
      <c r="K842" s="15"/>
      <c r="L842" s="15"/>
      <c r="M842" s="15"/>
      <c r="N842" s="15"/>
      <c r="U842" s="15"/>
      <c r="V842" s="15"/>
      <c r="W842" s="15"/>
      <c r="AA842" s="15"/>
      <c r="AB842" s="15"/>
      <c r="AC842" s="15"/>
      <c r="AD842" s="15"/>
    </row>
    <row r="843" ht="15.75" customHeight="1">
      <c r="E843" s="15"/>
      <c r="F843" s="15"/>
      <c r="G843" s="15"/>
      <c r="K843" s="15"/>
      <c r="L843" s="15"/>
      <c r="M843" s="15"/>
      <c r="N843" s="15"/>
      <c r="U843" s="15"/>
      <c r="V843" s="15"/>
      <c r="W843" s="15"/>
      <c r="AA843" s="15"/>
      <c r="AB843" s="15"/>
      <c r="AC843" s="15"/>
      <c r="AD843" s="15"/>
    </row>
    <row r="844" ht="15.75" customHeight="1">
      <c r="E844" s="15"/>
      <c r="F844" s="15"/>
      <c r="G844" s="15"/>
      <c r="K844" s="15"/>
      <c r="L844" s="15"/>
      <c r="M844" s="15"/>
      <c r="N844" s="15"/>
      <c r="U844" s="15"/>
      <c r="V844" s="15"/>
      <c r="W844" s="15"/>
      <c r="AA844" s="15"/>
      <c r="AB844" s="15"/>
      <c r="AC844" s="15"/>
      <c r="AD844" s="15"/>
    </row>
    <row r="845" ht="15.75" customHeight="1">
      <c r="E845" s="15"/>
      <c r="F845" s="15"/>
      <c r="G845" s="15"/>
      <c r="K845" s="15"/>
      <c r="L845" s="15"/>
      <c r="M845" s="15"/>
      <c r="N845" s="15"/>
      <c r="U845" s="15"/>
      <c r="V845" s="15"/>
      <c r="W845" s="15"/>
      <c r="AA845" s="15"/>
      <c r="AB845" s="15"/>
      <c r="AC845" s="15"/>
      <c r="AD845" s="15"/>
    </row>
    <row r="846" ht="15.75" customHeight="1">
      <c r="E846" s="15"/>
      <c r="F846" s="15"/>
      <c r="G846" s="15"/>
      <c r="K846" s="15"/>
      <c r="L846" s="15"/>
      <c r="M846" s="15"/>
      <c r="N846" s="15"/>
      <c r="U846" s="15"/>
      <c r="V846" s="15"/>
      <c r="W846" s="15"/>
      <c r="AA846" s="15"/>
      <c r="AB846" s="15"/>
      <c r="AC846" s="15"/>
      <c r="AD846" s="15"/>
    </row>
    <row r="847" ht="15.75" customHeight="1">
      <c r="E847" s="15"/>
      <c r="F847" s="15"/>
      <c r="G847" s="15"/>
      <c r="K847" s="15"/>
      <c r="L847" s="15"/>
      <c r="M847" s="15"/>
      <c r="N847" s="15"/>
      <c r="U847" s="15"/>
      <c r="V847" s="15"/>
      <c r="W847" s="15"/>
      <c r="AA847" s="15"/>
      <c r="AB847" s="15"/>
      <c r="AC847" s="15"/>
      <c r="AD847" s="15"/>
    </row>
    <row r="848" ht="15.75" customHeight="1">
      <c r="E848" s="15"/>
      <c r="F848" s="15"/>
      <c r="G848" s="15"/>
      <c r="K848" s="15"/>
      <c r="L848" s="15"/>
      <c r="M848" s="15"/>
      <c r="N848" s="15"/>
      <c r="U848" s="15"/>
      <c r="V848" s="15"/>
      <c r="W848" s="15"/>
      <c r="AA848" s="15"/>
      <c r="AB848" s="15"/>
      <c r="AC848" s="15"/>
      <c r="AD848" s="15"/>
    </row>
    <row r="849" ht="15.75" customHeight="1">
      <c r="E849" s="15"/>
      <c r="F849" s="15"/>
      <c r="G849" s="15"/>
      <c r="K849" s="15"/>
      <c r="L849" s="15"/>
      <c r="M849" s="15"/>
      <c r="N849" s="15"/>
      <c r="U849" s="15"/>
      <c r="V849" s="15"/>
      <c r="W849" s="15"/>
      <c r="AA849" s="15"/>
      <c r="AB849" s="15"/>
      <c r="AC849" s="15"/>
      <c r="AD849" s="15"/>
    </row>
    <row r="850" ht="15.75" customHeight="1">
      <c r="E850" s="15"/>
      <c r="F850" s="15"/>
      <c r="G850" s="15"/>
      <c r="K850" s="15"/>
      <c r="L850" s="15"/>
      <c r="M850" s="15"/>
      <c r="N850" s="15"/>
      <c r="U850" s="15"/>
      <c r="V850" s="15"/>
      <c r="W850" s="15"/>
      <c r="AA850" s="15"/>
      <c r="AB850" s="15"/>
      <c r="AC850" s="15"/>
      <c r="AD850" s="15"/>
    </row>
    <row r="851" ht="15.75" customHeight="1">
      <c r="E851" s="15"/>
      <c r="F851" s="15"/>
      <c r="G851" s="15"/>
      <c r="K851" s="15"/>
      <c r="L851" s="15"/>
      <c r="M851" s="15"/>
      <c r="N851" s="15"/>
      <c r="U851" s="15"/>
      <c r="V851" s="15"/>
      <c r="W851" s="15"/>
      <c r="AA851" s="15"/>
      <c r="AB851" s="15"/>
      <c r="AC851" s="15"/>
      <c r="AD851" s="15"/>
    </row>
    <row r="852" ht="15.75" customHeight="1">
      <c r="E852" s="15"/>
      <c r="F852" s="15"/>
      <c r="G852" s="15"/>
      <c r="K852" s="15"/>
      <c r="L852" s="15"/>
      <c r="M852" s="15"/>
      <c r="N852" s="15"/>
      <c r="U852" s="15"/>
      <c r="V852" s="15"/>
      <c r="W852" s="15"/>
      <c r="AA852" s="15"/>
      <c r="AB852" s="15"/>
      <c r="AC852" s="15"/>
      <c r="AD852" s="15"/>
    </row>
    <row r="853" ht="15.75" customHeight="1">
      <c r="E853" s="15"/>
      <c r="F853" s="15"/>
      <c r="G853" s="15"/>
      <c r="K853" s="15"/>
      <c r="L853" s="15"/>
      <c r="M853" s="15"/>
      <c r="N853" s="15"/>
      <c r="U853" s="15"/>
      <c r="V853" s="15"/>
      <c r="W853" s="15"/>
      <c r="AA853" s="15"/>
      <c r="AB853" s="15"/>
      <c r="AC853" s="15"/>
      <c r="AD853" s="15"/>
    </row>
    <row r="854" ht="15.75" customHeight="1">
      <c r="E854" s="15"/>
      <c r="F854" s="15"/>
      <c r="G854" s="15"/>
      <c r="K854" s="15"/>
      <c r="L854" s="15"/>
      <c r="M854" s="15"/>
      <c r="N854" s="15"/>
      <c r="U854" s="15"/>
      <c r="V854" s="15"/>
      <c r="W854" s="15"/>
      <c r="AA854" s="15"/>
      <c r="AB854" s="15"/>
      <c r="AC854" s="15"/>
      <c r="AD854" s="15"/>
    </row>
    <row r="855" ht="15.75" customHeight="1">
      <c r="E855" s="15"/>
      <c r="F855" s="15"/>
      <c r="G855" s="15"/>
      <c r="K855" s="15"/>
      <c r="L855" s="15"/>
      <c r="M855" s="15"/>
      <c r="N855" s="15"/>
      <c r="U855" s="15"/>
      <c r="V855" s="15"/>
      <c r="W855" s="15"/>
      <c r="AA855" s="15"/>
      <c r="AB855" s="15"/>
      <c r="AC855" s="15"/>
      <c r="AD855" s="15"/>
    </row>
    <row r="856" ht="15.75" customHeight="1">
      <c r="E856" s="15"/>
      <c r="F856" s="15"/>
      <c r="G856" s="15"/>
      <c r="K856" s="15"/>
      <c r="L856" s="15"/>
      <c r="M856" s="15"/>
      <c r="N856" s="15"/>
      <c r="U856" s="15"/>
      <c r="V856" s="15"/>
      <c r="W856" s="15"/>
      <c r="AA856" s="15"/>
      <c r="AB856" s="15"/>
      <c r="AC856" s="15"/>
      <c r="AD856" s="15"/>
    </row>
    <row r="857" ht="15.75" customHeight="1">
      <c r="E857" s="15"/>
      <c r="F857" s="15"/>
      <c r="G857" s="15"/>
      <c r="K857" s="15"/>
      <c r="L857" s="15"/>
      <c r="M857" s="15"/>
      <c r="N857" s="15"/>
      <c r="U857" s="15"/>
      <c r="V857" s="15"/>
      <c r="W857" s="15"/>
      <c r="AA857" s="15"/>
      <c r="AB857" s="15"/>
      <c r="AC857" s="15"/>
      <c r="AD857" s="15"/>
    </row>
    <row r="858" ht="15.75" customHeight="1">
      <c r="E858" s="15"/>
      <c r="F858" s="15"/>
      <c r="G858" s="15"/>
      <c r="K858" s="15"/>
      <c r="L858" s="15"/>
      <c r="M858" s="15"/>
      <c r="N858" s="15"/>
      <c r="U858" s="15"/>
      <c r="V858" s="15"/>
      <c r="W858" s="15"/>
      <c r="AA858" s="15"/>
      <c r="AB858" s="15"/>
      <c r="AC858" s="15"/>
      <c r="AD858" s="15"/>
    </row>
    <row r="859" ht="15.75" customHeight="1">
      <c r="E859" s="15"/>
      <c r="F859" s="15"/>
      <c r="G859" s="15"/>
      <c r="K859" s="15"/>
      <c r="L859" s="15"/>
      <c r="M859" s="15"/>
      <c r="N859" s="15"/>
      <c r="U859" s="15"/>
      <c r="V859" s="15"/>
      <c r="W859" s="15"/>
      <c r="AA859" s="15"/>
      <c r="AB859" s="15"/>
      <c r="AC859" s="15"/>
      <c r="AD859" s="15"/>
    </row>
    <row r="860" ht="15.75" customHeight="1">
      <c r="E860" s="15"/>
      <c r="F860" s="15"/>
      <c r="G860" s="15"/>
      <c r="K860" s="15"/>
      <c r="L860" s="15"/>
      <c r="M860" s="15"/>
      <c r="N860" s="15"/>
      <c r="U860" s="15"/>
      <c r="V860" s="15"/>
      <c r="W860" s="15"/>
      <c r="AA860" s="15"/>
      <c r="AB860" s="15"/>
      <c r="AC860" s="15"/>
      <c r="AD860" s="15"/>
    </row>
    <row r="861" ht="15.75" customHeight="1">
      <c r="E861" s="15"/>
      <c r="F861" s="15"/>
      <c r="G861" s="15"/>
      <c r="K861" s="15"/>
      <c r="L861" s="15"/>
      <c r="M861" s="15"/>
      <c r="N861" s="15"/>
      <c r="U861" s="15"/>
      <c r="V861" s="15"/>
      <c r="W861" s="15"/>
      <c r="AA861" s="15"/>
      <c r="AB861" s="15"/>
      <c r="AC861" s="15"/>
      <c r="AD861" s="15"/>
    </row>
    <row r="862" ht="15.75" customHeight="1">
      <c r="E862" s="15"/>
      <c r="F862" s="15"/>
      <c r="G862" s="15"/>
      <c r="K862" s="15"/>
      <c r="L862" s="15"/>
      <c r="M862" s="15"/>
      <c r="N862" s="15"/>
      <c r="U862" s="15"/>
      <c r="V862" s="15"/>
      <c r="W862" s="15"/>
      <c r="AA862" s="15"/>
      <c r="AB862" s="15"/>
      <c r="AC862" s="15"/>
      <c r="AD862" s="15"/>
    </row>
    <row r="863" ht="15.75" customHeight="1">
      <c r="E863" s="15"/>
      <c r="F863" s="15"/>
      <c r="G863" s="15"/>
      <c r="K863" s="15"/>
      <c r="L863" s="15"/>
      <c r="M863" s="15"/>
      <c r="N863" s="15"/>
      <c r="U863" s="15"/>
      <c r="V863" s="15"/>
      <c r="W863" s="15"/>
      <c r="AA863" s="15"/>
      <c r="AB863" s="15"/>
      <c r="AC863" s="15"/>
      <c r="AD863" s="15"/>
    </row>
    <row r="864" ht="15.75" customHeight="1">
      <c r="E864" s="15"/>
      <c r="F864" s="15"/>
      <c r="G864" s="15"/>
      <c r="K864" s="15"/>
      <c r="L864" s="15"/>
      <c r="M864" s="15"/>
      <c r="N864" s="15"/>
      <c r="U864" s="15"/>
      <c r="V864" s="15"/>
      <c r="W864" s="15"/>
      <c r="AA864" s="15"/>
      <c r="AB864" s="15"/>
      <c r="AC864" s="15"/>
      <c r="AD864" s="15"/>
    </row>
    <row r="865" ht="15.75" customHeight="1">
      <c r="E865" s="15"/>
      <c r="F865" s="15"/>
      <c r="G865" s="15"/>
      <c r="K865" s="15"/>
      <c r="L865" s="15"/>
      <c r="M865" s="15"/>
      <c r="N865" s="15"/>
      <c r="U865" s="15"/>
      <c r="V865" s="15"/>
      <c r="W865" s="15"/>
      <c r="AA865" s="15"/>
      <c r="AB865" s="15"/>
      <c r="AC865" s="15"/>
      <c r="AD865" s="15"/>
    </row>
    <row r="866" ht="15.75" customHeight="1">
      <c r="E866" s="15"/>
      <c r="F866" s="15"/>
      <c r="G866" s="15"/>
      <c r="K866" s="15"/>
      <c r="L866" s="15"/>
      <c r="M866" s="15"/>
      <c r="N866" s="15"/>
      <c r="U866" s="15"/>
      <c r="V866" s="15"/>
      <c r="W866" s="15"/>
      <c r="AA866" s="15"/>
      <c r="AB866" s="15"/>
      <c r="AC866" s="15"/>
      <c r="AD866" s="15"/>
    </row>
    <row r="867" ht="15.75" customHeight="1">
      <c r="E867" s="15"/>
      <c r="F867" s="15"/>
      <c r="G867" s="15"/>
      <c r="K867" s="15"/>
      <c r="L867" s="15"/>
      <c r="M867" s="15"/>
      <c r="N867" s="15"/>
      <c r="U867" s="15"/>
      <c r="V867" s="15"/>
      <c r="W867" s="15"/>
      <c r="AA867" s="15"/>
      <c r="AB867" s="15"/>
      <c r="AC867" s="15"/>
      <c r="AD867" s="15"/>
    </row>
    <row r="868" ht="15.75" customHeight="1">
      <c r="E868" s="15"/>
      <c r="F868" s="15"/>
      <c r="G868" s="15"/>
      <c r="K868" s="15"/>
      <c r="L868" s="15"/>
      <c r="M868" s="15"/>
      <c r="N868" s="15"/>
      <c r="U868" s="15"/>
      <c r="V868" s="15"/>
      <c r="W868" s="15"/>
      <c r="AA868" s="15"/>
      <c r="AB868" s="15"/>
      <c r="AC868" s="15"/>
      <c r="AD868" s="15"/>
    </row>
    <row r="869" ht="15.75" customHeight="1">
      <c r="E869" s="15"/>
      <c r="F869" s="15"/>
      <c r="G869" s="15"/>
      <c r="K869" s="15"/>
      <c r="L869" s="15"/>
      <c r="M869" s="15"/>
      <c r="N869" s="15"/>
      <c r="U869" s="15"/>
      <c r="V869" s="15"/>
      <c r="W869" s="15"/>
      <c r="AA869" s="15"/>
      <c r="AB869" s="15"/>
      <c r="AC869" s="15"/>
      <c r="AD869" s="15"/>
    </row>
    <row r="870" ht="15.75" customHeight="1">
      <c r="E870" s="15"/>
      <c r="F870" s="15"/>
      <c r="G870" s="15"/>
      <c r="K870" s="15"/>
      <c r="L870" s="15"/>
      <c r="M870" s="15"/>
      <c r="N870" s="15"/>
      <c r="U870" s="15"/>
      <c r="V870" s="15"/>
      <c r="W870" s="15"/>
      <c r="AA870" s="15"/>
      <c r="AB870" s="15"/>
      <c r="AC870" s="15"/>
      <c r="AD870" s="15"/>
    </row>
    <row r="871" ht="15.75" customHeight="1">
      <c r="E871" s="15"/>
      <c r="F871" s="15"/>
      <c r="G871" s="15"/>
      <c r="K871" s="15"/>
      <c r="L871" s="15"/>
      <c r="M871" s="15"/>
      <c r="N871" s="15"/>
      <c r="U871" s="15"/>
      <c r="V871" s="15"/>
      <c r="W871" s="15"/>
      <c r="AA871" s="15"/>
      <c r="AB871" s="15"/>
      <c r="AC871" s="15"/>
      <c r="AD871" s="15"/>
    </row>
    <row r="872" ht="15.75" customHeight="1">
      <c r="E872" s="15"/>
      <c r="F872" s="15"/>
      <c r="G872" s="15"/>
      <c r="K872" s="15"/>
      <c r="L872" s="15"/>
      <c r="M872" s="15"/>
      <c r="N872" s="15"/>
      <c r="U872" s="15"/>
      <c r="V872" s="15"/>
      <c r="W872" s="15"/>
      <c r="AA872" s="15"/>
      <c r="AB872" s="15"/>
      <c r="AC872" s="15"/>
      <c r="AD872" s="15"/>
    </row>
    <row r="873" ht="15.75" customHeight="1">
      <c r="E873" s="15"/>
      <c r="F873" s="15"/>
      <c r="G873" s="15"/>
      <c r="K873" s="15"/>
      <c r="L873" s="15"/>
      <c r="M873" s="15"/>
      <c r="N873" s="15"/>
      <c r="U873" s="15"/>
      <c r="V873" s="15"/>
      <c r="W873" s="15"/>
      <c r="AA873" s="15"/>
      <c r="AB873" s="15"/>
      <c r="AC873" s="15"/>
      <c r="AD873" s="15"/>
    </row>
    <row r="874" ht="15.75" customHeight="1">
      <c r="E874" s="15"/>
      <c r="F874" s="15"/>
      <c r="G874" s="15"/>
      <c r="K874" s="15"/>
      <c r="L874" s="15"/>
      <c r="M874" s="15"/>
      <c r="N874" s="15"/>
      <c r="U874" s="15"/>
      <c r="V874" s="15"/>
      <c r="W874" s="15"/>
      <c r="AA874" s="15"/>
      <c r="AB874" s="15"/>
      <c r="AC874" s="15"/>
      <c r="AD874" s="15"/>
    </row>
    <row r="875" ht="15.75" customHeight="1">
      <c r="E875" s="15"/>
      <c r="F875" s="15"/>
      <c r="G875" s="15"/>
      <c r="K875" s="15"/>
      <c r="L875" s="15"/>
      <c r="M875" s="15"/>
      <c r="N875" s="15"/>
      <c r="U875" s="15"/>
      <c r="V875" s="15"/>
      <c r="W875" s="15"/>
      <c r="AA875" s="15"/>
      <c r="AB875" s="15"/>
      <c r="AC875" s="15"/>
      <c r="AD875" s="15"/>
    </row>
    <row r="876" ht="15.75" customHeight="1">
      <c r="E876" s="15"/>
      <c r="F876" s="15"/>
      <c r="G876" s="15"/>
      <c r="K876" s="15"/>
      <c r="L876" s="15"/>
      <c r="M876" s="15"/>
      <c r="N876" s="15"/>
      <c r="U876" s="15"/>
      <c r="V876" s="15"/>
      <c r="W876" s="15"/>
      <c r="AA876" s="15"/>
      <c r="AB876" s="15"/>
      <c r="AC876" s="15"/>
      <c r="AD876" s="15"/>
    </row>
    <row r="877" ht="15.75" customHeight="1">
      <c r="E877" s="15"/>
      <c r="F877" s="15"/>
      <c r="G877" s="15"/>
      <c r="K877" s="15"/>
      <c r="L877" s="15"/>
      <c r="M877" s="15"/>
      <c r="N877" s="15"/>
      <c r="U877" s="15"/>
      <c r="V877" s="15"/>
      <c r="W877" s="15"/>
      <c r="AA877" s="15"/>
      <c r="AB877" s="15"/>
      <c r="AC877" s="15"/>
      <c r="AD877" s="15"/>
    </row>
    <row r="878" ht="15.75" customHeight="1">
      <c r="E878" s="15"/>
      <c r="F878" s="15"/>
      <c r="G878" s="15"/>
      <c r="K878" s="15"/>
      <c r="L878" s="15"/>
      <c r="M878" s="15"/>
      <c r="N878" s="15"/>
      <c r="U878" s="15"/>
      <c r="V878" s="15"/>
      <c r="W878" s="15"/>
      <c r="AA878" s="15"/>
      <c r="AB878" s="15"/>
      <c r="AC878" s="15"/>
      <c r="AD878" s="15"/>
    </row>
    <row r="879" ht="15.75" customHeight="1">
      <c r="E879" s="15"/>
      <c r="F879" s="15"/>
      <c r="G879" s="15"/>
      <c r="K879" s="15"/>
      <c r="L879" s="15"/>
      <c r="M879" s="15"/>
      <c r="N879" s="15"/>
      <c r="U879" s="15"/>
      <c r="V879" s="15"/>
      <c r="W879" s="15"/>
      <c r="AA879" s="15"/>
      <c r="AB879" s="15"/>
      <c r="AC879" s="15"/>
      <c r="AD879" s="15"/>
    </row>
    <row r="880" ht="15.75" customHeight="1">
      <c r="E880" s="15"/>
      <c r="F880" s="15"/>
      <c r="G880" s="15"/>
      <c r="K880" s="15"/>
      <c r="L880" s="15"/>
      <c r="M880" s="15"/>
      <c r="N880" s="15"/>
      <c r="U880" s="15"/>
      <c r="V880" s="15"/>
      <c r="W880" s="15"/>
      <c r="AA880" s="15"/>
      <c r="AB880" s="15"/>
      <c r="AC880" s="15"/>
      <c r="AD880" s="15"/>
    </row>
    <row r="881" ht="15.75" customHeight="1">
      <c r="E881" s="15"/>
      <c r="F881" s="15"/>
      <c r="G881" s="15"/>
      <c r="K881" s="15"/>
      <c r="L881" s="15"/>
      <c r="M881" s="15"/>
      <c r="N881" s="15"/>
      <c r="U881" s="15"/>
      <c r="V881" s="15"/>
      <c r="W881" s="15"/>
      <c r="AA881" s="15"/>
      <c r="AB881" s="15"/>
      <c r="AC881" s="15"/>
      <c r="AD881" s="15"/>
    </row>
    <row r="882" ht="15.75" customHeight="1">
      <c r="E882" s="15"/>
      <c r="F882" s="15"/>
      <c r="G882" s="15"/>
      <c r="K882" s="15"/>
      <c r="L882" s="15"/>
      <c r="M882" s="15"/>
      <c r="N882" s="15"/>
      <c r="U882" s="15"/>
      <c r="V882" s="15"/>
      <c r="W882" s="15"/>
      <c r="AA882" s="15"/>
      <c r="AB882" s="15"/>
      <c r="AC882" s="15"/>
      <c r="AD882" s="15"/>
    </row>
    <row r="883" ht="15.75" customHeight="1">
      <c r="E883" s="15"/>
      <c r="F883" s="15"/>
      <c r="G883" s="15"/>
      <c r="K883" s="15"/>
      <c r="L883" s="15"/>
      <c r="M883" s="15"/>
      <c r="N883" s="15"/>
      <c r="U883" s="15"/>
      <c r="V883" s="15"/>
      <c r="W883" s="15"/>
      <c r="AA883" s="15"/>
      <c r="AB883" s="15"/>
      <c r="AC883" s="15"/>
      <c r="AD883" s="15"/>
    </row>
    <row r="884" ht="15.75" customHeight="1">
      <c r="E884" s="15"/>
      <c r="F884" s="15"/>
      <c r="G884" s="15"/>
      <c r="K884" s="15"/>
      <c r="L884" s="15"/>
      <c r="M884" s="15"/>
      <c r="N884" s="15"/>
      <c r="U884" s="15"/>
      <c r="V884" s="15"/>
      <c r="W884" s="15"/>
      <c r="AA884" s="15"/>
      <c r="AB884" s="15"/>
      <c r="AC884" s="15"/>
      <c r="AD884" s="15"/>
    </row>
    <row r="885" ht="15.75" customHeight="1">
      <c r="E885" s="15"/>
      <c r="F885" s="15"/>
      <c r="G885" s="15"/>
      <c r="K885" s="15"/>
      <c r="L885" s="15"/>
      <c r="M885" s="15"/>
      <c r="N885" s="15"/>
      <c r="U885" s="15"/>
      <c r="V885" s="15"/>
      <c r="W885" s="15"/>
      <c r="AA885" s="15"/>
      <c r="AB885" s="15"/>
      <c r="AC885" s="15"/>
      <c r="AD885" s="15"/>
    </row>
    <row r="886" ht="15.75" customHeight="1">
      <c r="E886" s="15"/>
      <c r="F886" s="15"/>
      <c r="G886" s="15"/>
      <c r="K886" s="15"/>
      <c r="L886" s="15"/>
      <c r="M886" s="15"/>
      <c r="N886" s="15"/>
      <c r="U886" s="15"/>
      <c r="V886" s="15"/>
      <c r="W886" s="15"/>
      <c r="AA886" s="15"/>
      <c r="AB886" s="15"/>
      <c r="AC886" s="15"/>
      <c r="AD886" s="15"/>
    </row>
    <row r="887" ht="15.75" customHeight="1">
      <c r="E887" s="15"/>
      <c r="F887" s="15"/>
      <c r="G887" s="15"/>
      <c r="K887" s="15"/>
      <c r="L887" s="15"/>
      <c r="M887" s="15"/>
      <c r="N887" s="15"/>
      <c r="U887" s="15"/>
      <c r="V887" s="15"/>
      <c r="W887" s="15"/>
      <c r="AA887" s="15"/>
      <c r="AB887" s="15"/>
      <c r="AC887" s="15"/>
      <c r="AD887" s="15"/>
    </row>
    <row r="888" ht="15.75" customHeight="1">
      <c r="E888" s="15"/>
      <c r="F888" s="15"/>
      <c r="G888" s="15"/>
      <c r="K888" s="15"/>
      <c r="L888" s="15"/>
      <c r="M888" s="15"/>
      <c r="N888" s="15"/>
      <c r="U888" s="15"/>
      <c r="V888" s="15"/>
      <c r="W888" s="15"/>
      <c r="AA888" s="15"/>
      <c r="AB888" s="15"/>
      <c r="AC888" s="15"/>
      <c r="AD888" s="15"/>
    </row>
    <row r="889" ht="15.75" customHeight="1">
      <c r="E889" s="15"/>
      <c r="F889" s="15"/>
      <c r="G889" s="15"/>
      <c r="K889" s="15"/>
      <c r="L889" s="15"/>
      <c r="M889" s="15"/>
      <c r="N889" s="15"/>
      <c r="U889" s="15"/>
      <c r="V889" s="15"/>
      <c r="W889" s="15"/>
      <c r="AA889" s="15"/>
      <c r="AB889" s="15"/>
      <c r="AC889" s="15"/>
      <c r="AD889" s="15"/>
    </row>
    <row r="890" ht="15.75" customHeight="1">
      <c r="E890" s="15"/>
      <c r="F890" s="15"/>
      <c r="G890" s="15"/>
      <c r="K890" s="15"/>
      <c r="L890" s="15"/>
      <c r="M890" s="15"/>
      <c r="N890" s="15"/>
      <c r="U890" s="15"/>
      <c r="V890" s="15"/>
      <c r="W890" s="15"/>
      <c r="AA890" s="15"/>
      <c r="AB890" s="15"/>
      <c r="AC890" s="15"/>
      <c r="AD890" s="15"/>
    </row>
    <row r="891" ht="15.75" customHeight="1">
      <c r="E891" s="15"/>
      <c r="F891" s="15"/>
      <c r="G891" s="15"/>
      <c r="K891" s="15"/>
      <c r="L891" s="15"/>
      <c r="M891" s="15"/>
      <c r="N891" s="15"/>
      <c r="U891" s="15"/>
      <c r="V891" s="15"/>
      <c r="W891" s="15"/>
      <c r="AA891" s="15"/>
      <c r="AB891" s="15"/>
      <c r="AC891" s="15"/>
      <c r="AD891" s="15"/>
    </row>
    <row r="892" ht="15.75" customHeight="1">
      <c r="E892" s="15"/>
      <c r="F892" s="15"/>
      <c r="G892" s="15"/>
      <c r="K892" s="15"/>
      <c r="L892" s="15"/>
      <c r="M892" s="15"/>
      <c r="N892" s="15"/>
      <c r="U892" s="15"/>
      <c r="V892" s="15"/>
      <c r="W892" s="15"/>
      <c r="AA892" s="15"/>
      <c r="AB892" s="15"/>
      <c r="AC892" s="15"/>
      <c r="AD892" s="15"/>
    </row>
    <row r="893" ht="15.75" customHeight="1">
      <c r="E893" s="15"/>
      <c r="F893" s="15"/>
      <c r="G893" s="15"/>
      <c r="K893" s="15"/>
      <c r="L893" s="15"/>
      <c r="M893" s="15"/>
      <c r="N893" s="15"/>
      <c r="U893" s="15"/>
      <c r="V893" s="15"/>
      <c r="W893" s="15"/>
      <c r="AA893" s="15"/>
      <c r="AB893" s="15"/>
      <c r="AC893" s="15"/>
      <c r="AD893" s="15"/>
    </row>
    <row r="894" ht="15.75" customHeight="1">
      <c r="E894" s="15"/>
      <c r="F894" s="15"/>
      <c r="G894" s="15"/>
      <c r="K894" s="15"/>
      <c r="L894" s="15"/>
      <c r="M894" s="15"/>
      <c r="N894" s="15"/>
      <c r="U894" s="15"/>
      <c r="V894" s="15"/>
      <c r="W894" s="15"/>
      <c r="AA894" s="15"/>
      <c r="AB894" s="15"/>
      <c r="AC894" s="15"/>
      <c r="AD894" s="15"/>
    </row>
    <row r="895" ht="15.75" customHeight="1">
      <c r="E895" s="15"/>
      <c r="F895" s="15"/>
      <c r="G895" s="15"/>
      <c r="K895" s="15"/>
      <c r="L895" s="15"/>
      <c r="M895" s="15"/>
      <c r="N895" s="15"/>
      <c r="U895" s="15"/>
      <c r="V895" s="15"/>
      <c r="W895" s="15"/>
      <c r="AA895" s="15"/>
      <c r="AB895" s="15"/>
      <c r="AC895" s="15"/>
      <c r="AD895" s="15"/>
    </row>
    <row r="896" ht="15.75" customHeight="1">
      <c r="E896" s="15"/>
      <c r="F896" s="15"/>
      <c r="G896" s="15"/>
      <c r="K896" s="15"/>
      <c r="L896" s="15"/>
      <c r="M896" s="15"/>
      <c r="N896" s="15"/>
      <c r="U896" s="15"/>
      <c r="V896" s="15"/>
      <c r="W896" s="15"/>
      <c r="AA896" s="15"/>
      <c r="AB896" s="15"/>
      <c r="AC896" s="15"/>
      <c r="AD896" s="15"/>
    </row>
    <row r="897" ht="15.75" customHeight="1">
      <c r="E897" s="15"/>
      <c r="F897" s="15"/>
      <c r="G897" s="15"/>
      <c r="K897" s="15"/>
      <c r="L897" s="15"/>
      <c r="M897" s="15"/>
      <c r="N897" s="15"/>
      <c r="U897" s="15"/>
      <c r="V897" s="15"/>
      <c r="W897" s="15"/>
      <c r="AA897" s="15"/>
      <c r="AB897" s="15"/>
      <c r="AC897" s="15"/>
      <c r="AD897" s="15"/>
    </row>
    <row r="898" ht="15.75" customHeight="1">
      <c r="E898" s="15"/>
      <c r="F898" s="15"/>
      <c r="G898" s="15"/>
      <c r="K898" s="15"/>
      <c r="L898" s="15"/>
      <c r="M898" s="15"/>
      <c r="N898" s="15"/>
      <c r="U898" s="15"/>
      <c r="V898" s="15"/>
      <c r="W898" s="15"/>
      <c r="AA898" s="15"/>
      <c r="AB898" s="15"/>
      <c r="AC898" s="15"/>
      <c r="AD898" s="15"/>
    </row>
    <row r="899" ht="15.75" customHeight="1">
      <c r="E899" s="15"/>
      <c r="F899" s="15"/>
      <c r="G899" s="15"/>
      <c r="K899" s="15"/>
      <c r="L899" s="15"/>
      <c r="M899" s="15"/>
      <c r="N899" s="15"/>
      <c r="U899" s="15"/>
      <c r="V899" s="15"/>
      <c r="W899" s="15"/>
      <c r="AA899" s="15"/>
      <c r="AB899" s="15"/>
      <c r="AC899" s="15"/>
      <c r="AD899" s="15"/>
    </row>
    <row r="900" ht="15.75" customHeight="1">
      <c r="E900" s="15"/>
      <c r="F900" s="15"/>
      <c r="G900" s="15"/>
      <c r="K900" s="15"/>
      <c r="L900" s="15"/>
      <c r="M900" s="15"/>
      <c r="N900" s="15"/>
      <c r="U900" s="15"/>
      <c r="V900" s="15"/>
      <c r="W900" s="15"/>
      <c r="AA900" s="15"/>
      <c r="AB900" s="15"/>
      <c r="AC900" s="15"/>
      <c r="AD900" s="15"/>
    </row>
    <row r="901" ht="15.75" customHeight="1">
      <c r="E901" s="15"/>
      <c r="F901" s="15"/>
      <c r="G901" s="15"/>
      <c r="K901" s="15"/>
      <c r="L901" s="15"/>
      <c r="M901" s="15"/>
      <c r="N901" s="15"/>
      <c r="U901" s="15"/>
      <c r="V901" s="15"/>
      <c r="W901" s="15"/>
      <c r="AA901" s="15"/>
      <c r="AB901" s="15"/>
      <c r="AC901" s="15"/>
      <c r="AD901" s="15"/>
    </row>
    <row r="902" ht="15.75" customHeight="1">
      <c r="E902" s="15"/>
      <c r="F902" s="15"/>
      <c r="G902" s="15"/>
      <c r="K902" s="15"/>
      <c r="L902" s="15"/>
      <c r="M902" s="15"/>
      <c r="N902" s="15"/>
      <c r="U902" s="15"/>
      <c r="V902" s="15"/>
      <c r="W902" s="15"/>
      <c r="AA902" s="15"/>
      <c r="AB902" s="15"/>
      <c r="AC902" s="15"/>
      <c r="AD902" s="15"/>
    </row>
    <row r="903" ht="15.75" customHeight="1">
      <c r="E903" s="15"/>
      <c r="F903" s="15"/>
      <c r="G903" s="15"/>
      <c r="K903" s="15"/>
      <c r="L903" s="15"/>
      <c r="M903" s="15"/>
      <c r="N903" s="15"/>
      <c r="U903" s="15"/>
      <c r="V903" s="15"/>
      <c r="W903" s="15"/>
      <c r="AA903" s="15"/>
      <c r="AB903" s="15"/>
      <c r="AC903" s="15"/>
      <c r="AD903" s="15"/>
    </row>
    <row r="904" ht="15.75" customHeight="1">
      <c r="E904" s="15"/>
      <c r="F904" s="15"/>
      <c r="G904" s="15"/>
      <c r="K904" s="15"/>
      <c r="L904" s="15"/>
      <c r="M904" s="15"/>
      <c r="N904" s="15"/>
      <c r="U904" s="15"/>
      <c r="V904" s="15"/>
      <c r="W904" s="15"/>
      <c r="AA904" s="15"/>
      <c r="AB904" s="15"/>
      <c r="AC904" s="15"/>
      <c r="AD904" s="15"/>
    </row>
    <row r="905" ht="15.75" customHeight="1">
      <c r="E905" s="15"/>
      <c r="F905" s="15"/>
      <c r="G905" s="15"/>
      <c r="K905" s="15"/>
      <c r="L905" s="15"/>
      <c r="M905" s="15"/>
      <c r="N905" s="15"/>
      <c r="U905" s="15"/>
      <c r="V905" s="15"/>
      <c r="W905" s="15"/>
      <c r="AA905" s="15"/>
      <c r="AB905" s="15"/>
      <c r="AC905" s="15"/>
      <c r="AD905" s="15"/>
    </row>
    <row r="906" ht="15.75" customHeight="1">
      <c r="E906" s="15"/>
      <c r="F906" s="15"/>
      <c r="G906" s="15"/>
      <c r="K906" s="15"/>
      <c r="L906" s="15"/>
      <c r="M906" s="15"/>
      <c r="N906" s="15"/>
      <c r="U906" s="15"/>
      <c r="V906" s="15"/>
      <c r="W906" s="15"/>
      <c r="AA906" s="15"/>
      <c r="AB906" s="15"/>
      <c r="AC906" s="15"/>
      <c r="AD906" s="15"/>
    </row>
    <row r="907" ht="15.75" customHeight="1">
      <c r="E907" s="15"/>
      <c r="F907" s="15"/>
      <c r="G907" s="15"/>
      <c r="K907" s="15"/>
      <c r="L907" s="15"/>
      <c r="M907" s="15"/>
      <c r="N907" s="15"/>
      <c r="U907" s="15"/>
      <c r="V907" s="15"/>
      <c r="W907" s="15"/>
      <c r="AA907" s="15"/>
      <c r="AB907" s="15"/>
      <c r="AC907" s="15"/>
      <c r="AD907" s="15"/>
    </row>
    <row r="908" ht="15.75" customHeight="1">
      <c r="E908" s="15"/>
      <c r="F908" s="15"/>
      <c r="G908" s="15"/>
      <c r="K908" s="15"/>
      <c r="L908" s="15"/>
      <c r="M908" s="15"/>
      <c r="N908" s="15"/>
      <c r="U908" s="15"/>
      <c r="V908" s="15"/>
      <c r="W908" s="15"/>
      <c r="AA908" s="15"/>
      <c r="AB908" s="15"/>
      <c r="AC908" s="15"/>
      <c r="AD908" s="15"/>
    </row>
    <row r="909" ht="15.75" customHeight="1">
      <c r="E909" s="15"/>
      <c r="F909" s="15"/>
      <c r="G909" s="15"/>
      <c r="K909" s="15"/>
      <c r="L909" s="15"/>
      <c r="M909" s="15"/>
      <c r="N909" s="15"/>
      <c r="U909" s="15"/>
      <c r="V909" s="15"/>
      <c r="W909" s="15"/>
      <c r="AA909" s="15"/>
      <c r="AB909" s="15"/>
      <c r="AC909" s="15"/>
      <c r="AD909" s="15"/>
    </row>
    <row r="910" ht="15.75" customHeight="1">
      <c r="E910" s="15"/>
      <c r="F910" s="15"/>
      <c r="G910" s="15"/>
      <c r="K910" s="15"/>
      <c r="L910" s="15"/>
      <c r="M910" s="15"/>
      <c r="N910" s="15"/>
      <c r="U910" s="15"/>
      <c r="V910" s="15"/>
      <c r="W910" s="15"/>
      <c r="AA910" s="15"/>
      <c r="AB910" s="15"/>
      <c r="AC910" s="15"/>
      <c r="AD910" s="15"/>
    </row>
    <row r="911" ht="15.75" customHeight="1">
      <c r="E911" s="15"/>
      <c r="F911" s="15"/>
      <c r="G911" s="15"/>
      <c r="K911" s="15"/>
      <c r="L911" s="15"/>
      <c r="M911" s="15"/>
      <c r="N911" s="15"/>
      <c r="U911" s="15"/>
      <c r="V911" s="15"/>
      <c r="W911" s="15"/>
      <c r="AA911" s="15"/>
      <c r="AB911" s="15"/>
      <c r="AC911" s="15"/>
      <c r="AD911" s="15"/>
    </row>
    <row r="912" ht="15.75" customHeight="1">
      <c r="E912" s="15"/>
      <c r="F912" s="15"/>
      <c r="G912" s="15"/>
      <c r="K912" s="15"/>
      <c r="L912" s="15"/>
      <c r="M912" s="15"/>
      <c r="N912" s="15"/>
      <c r="U912" s="15"/>
      <c r="V912" s="15"/>
      <c r="W912" s="15"/>
      <c r="AA912" s="15"/>
      <c r="AB912" s="15"/>
      <c r="AC912" s="15"/>
      <c r="AD912" s="15"/>
    </row>
    <row r="913" ht="15.75" customHeight="1">
      <c r="E913" s="15"/>
      <c r="F913" s="15"/>
      <c r="G913" s="15"/>
      <c r="K913" s="15"/>
      <c r="L913" s="15"/>
      <c r="M913" s="15"/>
      <c r="N913" s="15"/>
      <c r="U913" s="15"/>
      <c r="V913" s="15"/>
      <c r="W913" s="15"/>
      <c r="AA913" s="15"/>
      <c r="AB913" s="15"/>
      <c r="AC913" s="15"/>
      <c r="AD913" s="15"/>
    </row>
    <row r="914" ht="15.75" customHeight="1">
      <c r="E914" s="15"/>
      <c r="F914" s="15"/>
      <c r="G914" s="15"/>
      <c r="K914" s="15"/>
      <c r="L914" s="15"/>
      <c r="M914" s="15"/>
      <c r="N914" s="15"/>
      <c r="U914" s="15"/>
      <c r="V914" s="15"/>
      <c r="W914" s="15"/>
      <c r="AA914" s="15"/>
      <c r="AB914" s="15"/>
      <c r="AC914" s="15"/>
      <c r="AD914" s="15"/>
    </row>
    <row r="915" ht="15.75" customHeight="1">
      <c r="E915" s="15"/>
      <c r="F915" s="15"/>
      <c r="G915" s="15"/>
      <c r="K915" s="15"/>
      <c r="L915" s="15"/>
      <c r="M915" s="15"/>
      <c r="N915" s="15"/>
      <c r="U915" s="15"/>
      <c r="V915" s="15"/>
      <c r="W915" s="15"/>
      <c r="AA915" s="15"/>
      <c r="AB915" s="15"/>
      <c r="AC915" s="15"/>
      <c r="AD915" s="15"/>
    </row>
    <row r="916" ht="15.75" customHeight="1">
      <c r="E916" s="15"/>
      <c r="F916" s="15"/>
      <c r="G916" s="15"/>
      <c r="K916" s="15"/>
      <c r="L916" s="15"/>
      <c r="M916" s="15"/>
      <c r="N916" s="15"/>
      <c r="U916" s="15"/>
      <c r="V916" s="15"/>
      <c r="W916" s="15"/>
      <c r="AA916" s="15"/>
      <c r="AB916" s="15"/>
      <c r="AC916" s="15"/>
      <c r="AD916" s="15"/>
    </row>
    <row r="917" ht="15.75" customHeight="1">
      <c r="E917" s="15"/>
      <c r="F917" s="15"/>
      <c r="G917" s="15"/>
      <c r="K917" s="15"/>
      <c r="L917" s="15"/>
      <c r="M917" s="15"/>
      <c r="N917" s="15"/>
      <c r="U917" s="15"/>
      <c r="V917" s="15"/>
      <c r="W917" s="15"/>
      <c r="AA917" s="15"/>
      <c r="AB917" s="15"/>
      <c r="AC917" s="15"/>
      <c r="AD917" s="15"/>
    </row>
    <row r="918" ht="15.75" customHeight="1">
      <c r="E918" s="15"/>
      <c r="F918" s="15"/>
      <c r="G918" s="15"/>
      <c r="K918" s="15"/>
      <c r="L918" s="15"/>
      <c r="M918" s="15"/>
      <c r="N918" s="15"/>
      <c r="U918" s="15"/>
      <c r="V918" s="15"/>
      <c r="W918" s="15"/>
      <c r="AA918" s="15"/>
      <c r="AB918" s="15"/>
      <c r="AC918" s="15"/>
      <c r="AD918" s="15"/>
    </row>
    <row r="919" ht="15.75" customHeight="1">
      <c r="E919" s="15"/>
      <c r="F919" s="15"/>
      <c r="G919" s="15"/>
      <c r="K919" s="15"/>
      <c r="L919" s="15"/>
      <c r="M919" s="15"/>
      <c r="N919" s="15"/>
      <c r="U919" s="15"/>
      <c r="V919" s="15"/>
      <c r="W919" s="15"/>
      <c r="AA919" s="15"/>
      <c r="AB919" s="15"/>
      <c r="AC919" s="15"/>
      <c r="AD919" s="15"/>
    </row>
    <row r="920" ht="15.75" customHeight="1">
      <c r="E920" s="15"/>
      <c r="F920" s="15"/>
      <c r="G920" s="15"/>
      <c r="K920" s="15"/>
      <c r="L920" s="15"/>
      <c r="M920" s="15"/>
      <c r="N920" s="15"/>
      <c r="U920" s="15"/>
      <c r="V920" s="15"/>
      <c r="W920" s="15"/>
      <c r="AA920" s="15"/>
      <c r="AB920" s="15"/>
      <c r="AC920" s="15"/>
      <c r="AD920" s="15"/>
    </row>
    <row r="921" ht="15.75" customHeight="1">
      <c r="E921" s="15"/>
      <c r="F921" s="15"/>
      <c r="G921" s="15"/>
      <c r="K921" s="15"/>
      <c r="L921" s="15"/>
      <c r="M921" s="15"/>
      <c r="N921" s="15"/>
      <c r="U921" s="15"/>
      <c r="V921" s="15"/>
      <c r="W921" s="15"/>
      <c r="AA921" s="15"/>
      <c r="AB921" s="15"/>
      <c r="AC921" s="15"/>
      <c r="AD921" s="15"/>
    </row>
    <row r="922" ht="15.75" customHeight="1">
      <c r="E922" s="15"/>
      <c r="F922" s="15"/>
      <c r="G922" s="15"/>
      <c r="K922" s="15"/>
      <c r="L922" s="15"/>
      <c r="M922" s="15"/>
      <c r="N922" s="15"/>
      <c r="U922" s="15"/>
      <c r="V922" s="15"/>
      <c r="W922" s="15"/>
      <c r="AA922" s="15"/>
      <c r="AB922" s="15"/>
      <c r="AC922" s="15"/>
      <c r="AD922" s="15"/>
    </row>
    <row r="923" ht="15.75" customHeight="1">
      <c r="E923" s="15"/>
      <c r="F923" s="15"/>
      <c r="G923" s="15"/>
      <c r="K923" s="15"/>
      <c r="L923" s="15"/>
      <c r="M923" s="15"/>
      <c r="N923" s="15"/>
      <c r="U923" s="15"/>
      <c r="V923" s="15"/>
      <c r="W923" s="15"/>
      <c r="AA923" s="15"/>
      <c r="AB923" s="15"/>
      <c r="AC923" s="15"/>
      <c r="AD923" s="15"/>
    </row>
    <row r="924" ht="15.75" customHeight="1">
      <c r="E924" s="15"/>
      <c r="F924" s="15"/>
      <c r="G924" s="15"/>
      <c r="K924" s="15"/>
      <c r="L924" s="15"/>
      <c r="M924" s="15"/>
      <c r="N924" s="15"/>
      <c r="U924" s="15"/>
      <c r="V924" s="15"/>
      <c r="W924" s="15"/>
      <c r="AA924" s="15"/>
      <c r="AB924" s="15"/>
      <c r="AC924" s="15"/>
      <c r="AD924" s="15"/>
    </row>
    <row r="925" ht="15.75" customHeight="1">
      <c r="E925" s="15"/>
      <c r="F925" s="15"/>
      <c r="G925" s="15"/>
      <c r="K925" s="15"/>
      <c r="L925" s="15"/>
      <c r="M925" s="15"/>
      <c r="N925" s="15"/>
      <c r="U925" s="15"/>
      <c r="V925" s="15"/>
      <c r="W925" s="15"/>
      <c r="AA925" s="15"/>
      <c r="AB925" s="15"/>
      <c r="AC925" s="15"/>
      <c r="AD925" s="15"/>
    </row>
    <row r="926" ht="15.75" customHeight="1">
      <c r="E926" s="15"/>
      <c r="F926" s="15"/>
      <c r="G926" s="15"/>
      <c r="K926" s="15"/>
      <c r="L926" s="15"/>
      <c r="M926" s="15"/>
      <c r="N926" s="15"/>
      <c r="U926" s="15"/>
      <c r="V926" s="15"/>
      <c r="W926" s="15"/>
      <c r="AA926" s="15"/>
      <c r="AB926" s="15"/>
      <c r="AC926" s="15"/>
      <c r="AD926" s="15"/>
    </row>
    <row r="927" ht="15.75" customHeight="1">
      <c r="E927" s="15"/>
      <c r="F927" s="15"/>
      <c r="G927" s="15"/>
      <c r="K927" s="15"/>
      <c r="L927" s="15"/>
      <c r="M927" s="15"/>
      <c r="N927" s="15"/>
      <c r="U927" s="15"/>
      <c r="V927" s="15"/>
      <c r="W927" s="15"/>
      <c r="AA927" s="15"/>
      <c r="AB927" s="15"/>
      <c r="AC927" s="15"/>
      <c r="AD927" s="15"/>
    </row>
    <row r="928" ht="15.75" customHeight="1">
      <c r="E928" s="15"/>
      <c r="F928" s="15"/>
      <c r="G928" s="15"/>
      <c r="K928" s="15"/>
      <c r="L928" s="15"/>
      <c r="M928" s="15"/>
      <c r="N928" s="15"/>
      <c r="U928" s="15"/>
      <c r="V928" s="15"/>
      <c r="W928" s="15"/>
      <c r="AA928" s="15"/>
      <c r="AB928" s="15"/>
      <c r="AC928" s="15"/>
      <c r="AD928" s="15"/>
    </row>
    <row r="929" ht="15.75" customHeight="1">
      <c r="E929" s="15"/>
      <c r="F929" s="15"/>
      <c r="G929" s="15"/>
      <c r="K929" s="15"/>
      <c r="L929" s="15"/>
      <c r="M929" s="15"/>
      <c r="N929" s="15"/>
      <c r="U929" s="15"/>
      <c r="V929" s="15"/>
      <c r="W929" s="15"/>
      <c r="AA929" s="15"/>
      <c r="AB929" s="15"/>
      <c r="AC929" s="15"/>
      <c r="AD929" s="15"/>
    </row>
    <row r="930" ht="15.75" customHeight="1">
      <c r="E930" s="15"/>
      <c r="F930" s="15"/>
      <c r="G930" s="15"/>
      <c r="K930" s="15"/>
      <c r="L930" s="15"/>
      <c r="M930" s="15"/>
      <c r="N930" s="15"/>
      <c r="U930" s="15"/>
      <c r="V930" s="15"/>
      <c r="W930" s="15"/>
      <c r="AA930" s="15"/>
      <c r="AB930" s="15"/>
      <c r="AC930" s="15"/>
      <c r="AD930" s="15"/>
    </row>
    <row r="931" ht="15.75" customHeight="1">
      <c r="E931" s="15"/>
      <c r="F931" s="15"/>
      <c r="G931" s="15"/>
      <c r="K931" s="15"/>
      <c r="L931" s="15"/>
      <c r="M931" s="15"/>
      <c r="N931" s="15"/>
      <c r="U931" s="15"/>
      <c r="V931" s="15"/>
      <c r="W931" s="15"/>
      <c r="AA931" s="15"/>
      <c r="AB931" s="15"/>
      <c r="AC931" s="15"/>
      <c r="AD931" s="15"/>
    </row>
    <row r="932" ht="15.75" customHeight="1">
      <c r="E932" s="15"/>
      <c r="F932" s="15"/>
      <c r="G932" s="15"/>
      <c r="K932" s="15"/>
      <c r="L932" s="15"/>
      <c r="M932" s="15"/>
      <c r="N932" s="15"/>
      <c r="U932" s="15"/>
      <c r="V932" s="15"/>
      <c r="W932" s="15"/>
      <c r="AA932" s="15"/>
      <c r="AB932" s="15"/>
      <c r="AC932" s="15"/>
      <c r="AD932" s="15"/>
    </row>
    <row r="933" ht="15.75" customHeight="1">
      <c r="E933" s="15"/>
      <c r="F933" s="15"/>
      <c r="G933" s="15"/>
      <c r="K933" s="15"/>
      <c r="L933" s="15"/>
      <c r="M933" s="15"/>
      <c r="N933" s="15"/>
      <c r="U933" s="15"/>
      <c r="V933" s="15"/>
      <c r="W933" s="15"/>
      <c r="AA933" s="15"/>
      <c r="AB933" s="15"/>
      <c r="AC933" s="15"/>
      <c r="AD933" s="15"/>
    </row>
    <row r="934" ht="15.75" customHeight="1">
      <c r="E934" s="15"/>
      <c r="F934" s="15"/>
      <c r="G934" s="15"/>
      <c r="K934" s="15"/>
      <c r="L934" s="15"/>
      <c r="M934" s="15"/>
      <c r="N934" s="15"/>
      <c r="U934" s="15"/>
      <c r="V934" s="15"/>
      <c r="W934" s="15"/>
      <c r="AA934" s="15"/>
      <c r="AB934" s="15"/>
      <c r="AC934" s="15"/>
      <c r="AD934" s="15"/>
    </row>
    <row r="935" ht="15.75" customHeight="1">
      <c r="E935" s="15"/>
      <c r="F935" s="15"/>
      <c r="G935" s="15"/>
      <c r="K935" s="15"/>
      <c r="L935" s="15"/>
      <c r="M935" s="15"/>
      <c r="N935" s="15"/>
      <c r="U935" s="15"/>
      <c r="V935" s="15"/>
      <c r="W935" s="15"/>
      <c r="AA935" s="15"/>
      <c r="AB935" s="15"/>
      <c r="AC935" s="15"/>
      <c r="AD935" s="15"/>
    </row>
    <row r="936" ht="15.75" customHeight="1">
      <c r="E936" s="15"/>
      <c r="F936" s="15"/>
      <c r="G936" s="15"/>
      <c r="K936" s="15"/>
      <c r="L936" s="15"/>
      <c r="M936" s="15"/>
      <c r="N936" s="15"/>
      <c r="U936" s="15"/>
      <c r="V936" s="15"/>
      <c r="W936" s="15"/>
      <c r="AA936" s="15"/>
      <c r="AB936" s="15"/>
      <c r="AC936" s="15"/>
      <c r="AD936" s="15"/>
    </row>
    <row r="937" ht="15.75" customHeight="1">
      <c r="E937" s="15"/>
      <c r="F937" s="15"/>
      <c r="G937" s="15"/>
      <c r="K937" s="15"/>
      <c r="L937" s="15"/>
      <c r="M937" s="15"/>
      <c r="N937" s="15"/>
      <c r="U937" s="15"/>
      <c r="V937" s="15"/>
      <c r="W937" s="15"/>
      <c r="AA937" s="15"/>
      <c r="AB937" s="15"/>
      <c r="AC937" s="15"/>
      <c r="AD937" s="15"/>
    </row>
    <row r="938" ht="15.75" customHeight="1">
      <c r="E938" s="15"/>
      <c r="F938" s="15"/>
      <c r="G938" s="15"/>
      <c r="K938" s="15"/>
      <c r="L938" s="15"/>
      <c r="M938" s="15"/>
      <c r="N938" s="15"/>
      <c r="U938" s="15"/>
      <c r="V938" s="15"/>
      <c r="W938" s="15"/>
      <c r="AA938" s="15"/>
      <c r="AB938" s="15"/>
      <c r="AC938" s="15"/>
      <c r="AD938" s="15"/>
    </row>
    <row r="939" ht="15.75" customHeight="1">
      <c r="E939" s="15"/>
      <c r="F939" s="15"/>
      <c r="G939" s="15"/>
      <c r="K939" s="15"/>
      <c r="L939" s="15"/>
      <c r="M939" s="15"/>
      <c r="N939" s="15"/>
      <c r="U939" s="15"/>
      <c r="V939" s="15"/>
      <c r="W939" s="15"/>
      <c r="AA939" s="15"/>
      <c r="AB939" s="15"/>
      <c r="AC939" s="15"/>
      <c r="AD939" s="15"/>
    </row>
    <row r="940" ht="15.75" customHeight="1">
      <c r="E940" s="15"/>
      <c r="F940" s="15"/>
      <c r="G940" s="15"/>
      <c r="K940" s="15"/>
      <c r="L940" s="15"/>
      <c r="M940" s="15"/>
      <c r="N940" s="15"/>
      <c r="U940" s="15"/>
      <c r="V940" s="15"/>
      <c r="W940" s="15"/>
      <c r="AA940" s="15"/>
      <c r="AB940" s="15"/>
      <c r="AC940" s="15"/>
      <c r="AD940" s="15"/>
    </row>
    <row r="941" ht="15.75" customHeight="1">
      <c r="E941" s="15"/>
      <c r="F941" s="15"/>
      <c r="G941" s="15"/>
      <c r="K941" s="15"/>
      <c r="L941" s="15"/>
      <c r="M941" s="15"/>
      <c r="N941" s="15"/>
      <c r="U941" s="15"/>
      <c r="V941" s="15"/>
      <c r="W941" s="15"/>
      <c r="AA941" s="15"/>
      <c r="AB941" s="15"/>
      <c r="AC941" s="15"/>
      <c r="AD941" s="15"/>
    </row>
    <row r="942" ht="15.75" customHeight="1">
      <c r="E942" s="15"/>
      <c r="F942" s="15"/>
      <c r="G942" s="15"/>
      <c r="K942" s="15"/>
      <c r="L942" s="15"/>
      <c r="M942" s="15"/>
      <c r="N942" s="15"/>
      <c r="U942" s="15"/>
      <c r="V942" s="15"/>
      <c r="W942" s="15"/>
      <c r="AA942" s="15"/>
      <c r="AB942" s="15"/>
      <c r="AC942" s="15"/>
      <c r="AD942" s="15"/>
    </row>
    <row r="943" ht="15.75" customHeight="1">
      <c r="E943" s="15"/>
      <c r="F943" s="15"/>
      <c r="G943" s="15"/>
      <c r="K943" s="15"/>
      <c r="L943" s="15"/>
      <c r="M943" s="15"/>
      <c r="N943" s="15"/>
      <c r="U943" s="15"/>
      <c r="V943" s="15"/>
      <c r="W943" s="15"/>
      <c r="AA943" s="15"/>
      <c r="AB943" s="15"/>
      <c r="AC943" s="15"/>
      <c r="AD943" s="15"/>
    </row>
    <row r="944" ht="15.75" customHeight="1">
      <c r="E944" s="15"/>
      <c r="F944" s="15"/>
      <c r="G944" s="15"/>
      <c r="K944" s="15"/>
      <c r="L944" s="15"/>
      <c r="M944" s="15"/>
      <c r="N944" s="15"/>
      <c r="U944" s="15"/>
      <c r="V944" s="15"/>
      <c r="W944" s="15"/>
      <c r="AA944" s="15"/>
      <c r="AB944" s="15"/>
      <c r="AC944" s="15"/>
      <c r="AD944" s="15"/>
    </row>
    <row r="945" ht="15.75" customHeight="1">
      <c r="E945" s="15"/>
      <c r="F945" s="15"/>
      <c r="G945" s="15"/>
      <c r="K945" s="15"/>
      <c r="L945" s="15"/>
      <c r="M945" s="15"/>
      <c r="N945" s="15"/>
      <c r="U945" s="15"/>
      <c r="V945" s="15"/>
      <c r="W945" s="15"/>
      <c r="AA945" s="15"/>
      <c r="AB945" s="15"/>
      <c r="AC945" s="15"/>
      <c r="AD945" s="15"/>
    </row>
    <row r="946" ht="15.75" customHeight="1">
      <c r="E946" s="15"/>
      <c r="F946" s="15"/>
      <c r="G946" s="15"/>
      <c r="K946" s="15"/>
      <c r="L946" s="15"/>
      <c r="M946" s="15"/>
      <c r="N946" s="15"/>
      <c r="U946" s="15"/>
      <c r="V946" s="15"/>
      <c r="W946" s="15"/>
      <c r="AA946" s="15"/>
      <c r="AB946" s="15"/>
      <c r="AC946" s="15"/>
      <c r="AD946" s="15"/>
    </row>
    <row r="947" ht="15.75" customHeight="1">
      <c r="E947" s="15"/>
      <c r="F947" s="15"/>
      <c r="G947" s="15"/>
      <c r="K947" s="15"/>
      <c r="L947" s="15"/>
      <c r="M947" s="15"/>
      <c r="N947" s="15"/>
      <c r="U947" s="15"/>
      <c r="V947" s="15"/>
      <c r="W947" s="15"/>
      <c r="AA947" s="15"/>
      <c r="AB947" s="15"/>
      <c r="AC947" s="15"/>
      <c r="AD947" s="15"/>
    </row>
    <row r="948" ht="15.75" customHeight="1">
      <c r="E948" s="15"/>
      <c r="F948" s="15"/>
      <c r="G948" s="15"/>
      <c r="K948" s="15"/>
      <c r="L948" s="15"/>
      <c r="M948" s="15"/>
      <c r="N948" s="15"/>
      <c r="U948" s="15"/>
      <c r="V948" s="15"/>
      <c r="W948" s="15"/>
      <c r="AA948" s="15"/>
      <c r="AB948" s="15"/>
      <c r="AC948" s="15"/>
      <c r="AD948" s="15"/>
    </row>
    <row r="949" ht="15.75" customHeight="1">
      <c r="E949" s="15"/>
      <c r="F949" s="15"/>
      <c r="G949" s="15"/>
      <c r="K949" s="15"/>
      <c r="L949" s="15"/>
      <c r="M949" s="15"/>
      <c r="N949" s="15"/>
      <c r="U949" s="15"/>
      <c r="V949" s="15"/>
      <c r="W949" s="15"/>
      <c r="AA949" s="15"/>
      <c r="AB949" s="15"/>
      <c r="AC949" s="15"/>
      <c r="AD949" s="15"/>
    </row>
    <row r="950" ht="15.75" customHeight="1">
      <c r="E950" s="15"/>
      <c r="F950" s="15"/>
      <c r="G950" s="15"/>
      <c r="K950" s="15"/>
      <c r="L950" s="15"/>
      <c r="M950" s="15"/>
      <c r="N950" s="15"/>
      <c r="U950" s="15"/>
      <c r="V950" s="15"/>
      <c r="W950" s="15"/>
      <c r="AA950" s="15"/>
      <c r="AB950" s="15"/>
      <c r="AC950" s="15"/>
      <c r="AD950" s="15"/>
    </row>
    <row r="951" ht="15.75" customHeight="1">
      <c r="E951" s="15"/>
      <c r="F951" s="15"/>
      <c r="G951" s="15"/>
      <c r="K951" s="15"/>
      <c r="L951" s="15"/>
      <c r="M951" s="15"/>
      <c r="N951" s="15"/>
      <c r="U951" s="15"/>
      <c r="V951" s="15"/>
      <c r="W951" s="15"/>
      <c r="AA951" s="15"/>
      <c r="AB951" s="15"/>
      <c r="AC951" s="15"/>
      <c r="AD951" s="15"/>
    </row>
    <row r="952" ht="15.75" customHeight="1">
      <c r="E952" s="15"/>
      <c r="F952" s="15"/>
      <c r="G952" s="15"/>
      <c r="K952" s="15"/>
      <c r="L952" s="15"/>
      <c r="M952" s="15"/>
      <c r="N952" s="15"/>
      <c r="U952" s="15"/>
      <c r="V952" s="15"/>
      <c r="W952" s="15"/>
      <c r="AA952" s="15"/>
      <c r="AB952" s="15"/>
      <c r="AC952" s="15"/>
      <c r="AD952" s="15"/>
    </row>
    <row r="953" ht="15.75" customHeight="1">
      <c r="E953" s="15"/>
      <c r="F953" s="15"/>
      <c r="G953" s="15"/>
      <c r="K953" s="15"/>
      <c r="L953" s="15"/>
      <c r="M953" s="15"/>
      <c r="N953" s="15"/>
      <c r="U953" s="15"/>
      <c r="V953" s="15"/>
      <c r="W953" s="15"/>
      <c r="AA953" s="15"/>
      <c r="AB953" s="15"/>
      <c r="AC953" s="15"/>
      <c r="AD953" s="15"/>
    </row>
    <row r="954" ht="15.75" customHeight="1">
      <c r="E954" s="15"/>
      <c r="F954" s="15"/>
      <c r="G954" s="15"/>
      <c r="K954" s="15"/>
      <c r="L954" s="15"/>
      <c r="M954" s="15"/>
      <c r="N954" s="15"/>
      <c r="U954" s="15"/>
      <c r="V954" s="15"/>
      <c r="W954" s="15"/>
      <c r="AA954" s="15"/>
      <c r="AB954" s="15"/>
      <c r="AC954" s="15"/>
      <c r="AD954" s="15"/>
    </row>
    <row r="955" ht="15.75" customHeight="1">
      <c r="E955" s="15"/>
      <c r="F955" s="15"/>
      <c r="G955" s="15"/>
      <c r="K955" s="15"/>
      <c r="L955" s="15"/>
      <c r="M955" s="15"/>
      <c r="N955" s="15"/>
      <c r="U955" s="15"/>
      <c r="V955" s="15"/>
      <c r="W955" s="15"/>
      <c r="AA955" s="15"/>
      <c r="AB955" s="15"/>
      <c r="AC955" s="15"/>
      <c r="AD955" s="15"/>
    </row>
    <row r="956" ht="15.75" customHeight="1">
      <c r="E956" s="15"/>
      <c r="F956" s="15"/>
      <c r="G956" s="15"/>
      <c r="K956" s="15"/>
      <c r="L956" s="15"/>
      <c r="M956" s="15"/>
      <c r="N956" s="15"/>
      <c r="U956" s="15"/>
      <c r="V956" s="15"/>
      <c r="W956" s="15"/>
      <c r="AA956" s="15"/>
      <c r="AB956" s="15"/>
      <c r="AC956" s="15"/>
      <c r="AD956" s="15"/>
    </row>
    <row r="957" ht="15.75" customHeight="1">
      <c r="E957" s="15"/>
      <c r="F957" s="15"/>
      <c r="G957" s="15"/>
      <c r="K957" s="15"/>
      <c r="L957" s="15"/>
      <c r="M957" s="15"/>
      <c r="N957" s="15"/>
      <c r="U957" s="15"/>
      <c r="V957" s="15"/>
      <c r="W957" s="15"/>
      <c r="AA957" s="15"/>
      <c r="AB957" s="15"/>
      <c r="AC957" s="15"/>
      <c r="AD957" s="15"/>
    </row>
    <row r="958" ht="15.75" customHeight="1">
      <c r="E958" s="15"/>
      <c r="F958" s="15"/>
      <c r="G958" s="15"/>
      <c r="K958" s="15"/>
      <c r="L958" s="15"/>
      <c r="M958" s="15"/>
      <c r="N958" s="15"/>
      <c r="U958" s="15"/>
      <c r="V958" s="15"/>
      <c r="W958" s="15"/>
      <c r="AA958" s="15"/>
      <c r="AB958" s="15"/>
      <c r="AC958" s="15"/>
      <c r="AD958" s="15"/>
    </row>
    <row r="959" ht="15.75" customHeight="1">
      <c r="E959" s="15"/>
      <c r="F959" s="15"/>
      <c r="G959" s="15"/>
      <c r="K959" s="15"/>
      <c r="L959" s="15"/>
      <c r="M959" s="15"/>
      <c r="N959" s="15"/>
      <c r="U959" s="15"/>
      <c r="V959" s="15"/>
      <c r="W959" s="15"/>
      <c r="AA959" s="15"/>
      <c r="AB959" s="15"/>
      <c r="AC959" s="15"/>
      <c r="AD959" s="15"/>
    </row>
    <row r="960" ht="15.75" customHeight="1">
      <c r="E960" s="15"/>
      <c r="F960" s="15"/>
      <c r="G960" s="15"/>
      <c r="K960" s="15"/>
      <c r="L960" s="15"/>
      <c r="M960" s="15"/>
      <c r="N960" s="15"/>
      <c r="U960" s="15"/>
      <c r="V960" s="15"/>
      <c r="W960" s="15"/>
      <c r="AA960" s="15"/>
      <c r="AB960" s="15"/>
      <c r="AC960" s="15"/>
      <c r="AD960" s="15"/>
    </row>
    <row r="961" ht="15.75" customHeight="1">
      <c r="E961" s="15"/>
      <c r="F961" s="15"/>
      <c r="G961" s="15"/>
      <c r="K961" s="15"/>
      <c r="L961" s="15"/>
      <c r="M961" s="15"/>
      <c r="N961" s="15"/>
      <c r="U961" s="15"/>
      <c r="V961" s="15"/>
      <c r="W961" s="15"/>
      <c r="AA961" s="15"/>
      <c r="AB961" s="15"/>
      <c r="AC961" s="15"/>
      <c r="AD961" s="15"/>
    </row>
    <row r="962" ht="15.75" customHeight="1">
      <c r="E962" s="15"/>
      <c r="F962" s="15"/>
      <c r="G962" s="15"/>
      <c r="K962" s="15"/>
      <c r="L962" s="15"/>
      <c r="M962" s="15"/>
      <c r="N962" s="15"/>
      <c r="U962" s="15"/>
      <c r="V962" s="15"/>
      <c r="W962" s="15"/>
      <c r="AA962" s="15"/>
      <c r="AB962" s="15"/>
      <c r="AC962" s="15"/>
      <c r="AD962" s="15"/>
    </row>
    <row r="963" ht="15.75" customHeight="1">
      <c r="E963" s="15"/>
      <c r="F963" s="15"/>
      <c r="G963" s="15"/>
      <c r="K963" s="15"/>
      <c r="L963" s="15"/>
      <c r="M963" s="15"/>
      <c r="N963" s="15"/>
      <c r="U963" s="15"/>
      <c r="V963" s="15"/>
      <c r="W963" s="15"/>
      <c r="AA963" s="15"/>
      <c r="AB963" s="15"/>
      <c r="AC963" s="15"/>
      <c r="AD963" s="15"/>
    </row>
    <row r="964" ht="15.75" customHeight="1">
      <c r="E964" s="15"/>
      <c r="F964" s="15"/>
      <c r="G964" s="15"/>
      <c r="K964" s="15"/>
      <c r="L964" s="15"/>
      <c r="M964" s="15"/>
      <c r="N964" s="15"/>
      <c r="U964" s="15"/>
      <c r="V964" s="15"/>
      <c r="W964" s="15"/>
      <c r="AA964" s="15"/>
      <c r="AB964" s="15"/>
      <c r="AC964" s="15"/>
      <c r="AD964" s="15"/>
    </row>
    <row r="965" ht="15.75" customHeight="1">
      <c r="E965" s="15"/>
      <c r="F965" s="15"/>
      <c r="G965" s="15"/>
      <c r="K965" s="15"/>
      <c r="L965" s="15"/>
      <c r="M965" s="15"/>
      <c r="N965" s="15"/>
      <c r="U965" s="15"/>
      <c r="V965" s="15"/>
      <c r="W965" s="15"/>
      <c r="AA965" s="15"/>
      <c r="AB965" s="15"/>
      <c r="AC965" s="15"/>
      <c r="AD965" s="15"/>
    </row>
    <row r="966" ht="15.75" customHeight="1">
      <c r="E966" s="15"/>
      <c r="F966" s="15"/>
      <c r="G966" s="15"/>
      <c r="K966" s="15"/>
      <c r="L966" s="15"/>
      <c r="M966" s="15"/>
      <c r="N966" s="15"/>
      <c r="U966" s="15"/>
      <c r="V966" s="15"/>
      <c r="W966" s="15"/>
      <c r="AA966" s="15"/>
      <c r="AB966" s="15"/>
      <c r="AC966" s="15"/>
      <c r="AD966" s="15"/>
    </row>
    <row r="967" ht="15.75" customHeight="1">
      <c r="E967" s="15"/>
      <c r="F967" s="15"/>
      <c r="G967" s="15"/>
      <c r="K967" s="15"/>
      <c r="L967" s="15"/>
      <c r="M967" s="15"/>
      <c r="N967" s="15"/>
      <c r="U967" s="15"/>
      <c r="V967" s="15"/>
      <c r="W967" s="15"/>
      <c r="AA967" s="15"/>
      <c r="AB967" s="15"/>
      <c r="AC967" s="15"/>
      <c r="AD967" s="15"/>
    </row>
    <row r="968" ht="15.75" customHeight="1">
      <c r="E968" s="15"/>
      <c r="F968" s="15"/>
      <c r="G968" s="15"/>
      <c r="K968" s="15"/>
      <c r="L968" s="15"/>
      <c r="M968" s="15"/>
      <c r="N968" s="15"/>
      <c r="U968" s="15"/>
      <c r="V968" s="15"/>
      <c r="W968" s="15"/>
      <c r="AA968" s="15"/>
      <c r="AB968" s="15"/>
      <c r="AC968" s="15"/>
      <c r="AD968" s="15"/>
    </row>
    <row r="969" ht="15.75" customHeight="1">
      <c r="E969" s="15"/>
      <c r="F969" s="15"/>
      <c r="G969" s="15"/>
      <c r="K969" s="15"/>
      <c r="L969" s="15"/>
      <c r="M969" s="15"/>
      <c r="N969" s="15"/>
      <c r="U969" s="15"/>
      <c r="V969" s="15"/>
      <c r="W969" s="15"/>
      <c r="AA969" s="15"/>
      <c r="AB969" s="15"/>
      <c r="AC969" s="15"/>
      <c r="AD969" s="15"/>
    </row>
    <row r="970" ht="15.75" customHeight="1">
      <c r="E970" s="15"/>
      <c r="F970" s="15"/>
      <c r="G970" s="15"/>
      <c r="K970" s="15"/>
      <c r="L970" s="15"/>
      <c r="M970" s="15"/>
      <c r="N970" s="15"/>
      <c r="U970" s="15"/>
      <c r="V970" s="15"/>
      <c r="W970" s="15"/>
      <c r="AA970" s="15"/>
      <c r="AB970" s="15"/>
      <c r="AC970" s="15"/>
      <c r="AD970" s="15"/>
    </row>
    <row r="971" ht="15.75" customHeight="1">
      <c r="E971" s="15"/>
      <c r="F971" s="15"/>
      <c r="G971" s="15"/>
      <c r="K971" s="15"/>
      <c r="L971" s="15"/>
      <c r="M971" s="15"/>
      <c r="N971" s="15"/>
      <c r="U971" s="15"/>
      <c r="V971" s="15"/>
      <c r="W971" s="15"/>
      <c r="AA971" s="15"/>
      <c r="AB971" s="15"/>
      <c r="AC971" s="15"/>
      <c r="AD971" s="15"/>
    </row>
    <row r="972" ht="15.75" customHeight="1">
      <c r="E972" s="15"/>
      <c r="F972" s="15"/>
      <c r="G972" s="15"/>
      <c r="K972" s="15"/>
      <c r="L972" s="15"/>
      <c r="M972" s="15"/>
      <c r="N972" s="15"/>
      <c r="U972" s="15"/>
      <c r="V972" s="15"/>
      <c r="W972" s="15"/>
      <c r="AA972" s="15"/>
      <c r="AB972" s="15"/>
      <c r="AC972" s="15"/>
      <c r="AD972" s="15"/>
    </row>
    <row r="973" ht="15.75" customHeight="1">
      <c r="E973" s="15"/>
      <c r="F973" s="15"/>
      <c r="G973" s="15"/>
      <c r="K973" s="15"/>
      <c r="L973" s="15"/>
      <c r="M973" s="15"/>
      <c r="N973" s="15"/>
      <c r="U973" s="15"/>
      <c r="V973" s="15"/>
      <c r="W973" s="15"/>
      <c r="AA973" s="15"/>
      <c r="AB973" s="15"/>
      <c r="AC973" s="15"/>
      <c r="AD973" s="15"/>
    </row>
    <row r="974" ht="15.75" customHeight="1">
      <c r="E974" s="15"/>
      <c r="F974" s="15"/>
      <c r="G974" s="15"/>
      <c r="K974" s="15"/>
      <c r="L974" s="15"/>
      <c r="M974" s="15"/>
      <c r="N974" s="15"/>
      <c r="U974" s="15"/>
      <c r="V974" s="15"/>
      <c r="W974" s="15"/>
      <c r="AA974" s="15"/>
      <c r="AB974" s="15"/>
      <c r="AC974" s="15"/>
      <c r="AD974" s="15"/>
    </row>
    <row r="975" ht="15.75" customHeight="1">
      <c r="E975" s="15"/>
      <c r="F975" s="15"/>
      <c r="G975" s="15"/>
      <c r="K975" s="15"/>
      <c r="L975" s="15"/>
      <c r="M975" s="15"/>
      <c r="N975" s="15"/>
      <c r="U975" s="15"/>
      <c r="V975" s="15"/>
      <c r="W975" s="15"/>
      <c r="AA975" s="15"/>
      <c r="AB975" s="15"/>
      <c r="AC975" s="15"/>
      <c r="AD975" s="15"/>
    </row>
    <row r="976" ht="15.75" customHeight="1">
      <c r="E976" s="15"/>
      <c r="F976" s="15"/>
      <c r="G976" s="15"/>
      <c r="K976" s="15"/>
      <c r="L976" s="15"/>
      <c r="M976" s="15"/>
      <c r="N976" s="15"/>
      <c r="U976" s="15"/>
      <c r="V976" s="15"/>
      <c r="W976" s="15"/>
      <c r="AA976" s="15"/>
      <c r="AB976" s="15"/>
      <c r="AC976" s="15"/>
      <c r="AD976" s="15"/>
    </row>
    <row r="977" ht="15.75" customHeight="1">
      <c r="E977" s="15"/>
      <c r="F977" s="15"/>
      <c r="G977" s="15"/>
      <c r="K977" s="15"/>
      <c r="L977" s="15"/>
      <c r="M977" s="15"/>
      <c r="N977" s="15"/>
      <c r="U977" s="15"/>
      <c r="V977" s="15"/>
      <c r="W977" s="15"/>
      <c r="AA977" s="15"/>
      <c r="AB977" s="15"/>
      <c r="AC977" s="15"/>
      <c r="AD977" s="15"/>
    </row>
    <row r="978" ht="15.75" customHeight="1">
      <c r="E978" s="15"/>
      <c r="F978" s="15"/>
      <c r="G978" s="15"/>
      <c r="K978" s="15"/>
      <c r="L978" s="15"/>
      <c r="M978" s="15"/>
      <c r="N978" s="15"/>
      <c r="U978" s="15"/>
      <c r="V978" s="15"/>
      <c r="W978" s="15"/>
      <c r="AA978" s="15"/>
      <c r="AB978" s="15"/>
      <c r="AC978" s="15"/>
      <c r="AD978" s="15"/>
    </row>
    <row r="979" ht="15.75" customHeight="1">
      <c r="E979" s="15"/>
      <c r="F979" s="15"/>
      <c r="G979" s="15"/>
      <c r="K979" s="15"/>
      <c r="L979" s="15"/>
      <c r="M979" s="15"/>
      <c r="N979" s="15"/>
      <c r="U979" s="15"/>
      <c r="V979" s="15"/>
      <c r="W979" s="15"/>
      <c r="AA979" s="15"/>
      <c r="AB979" s="15"/>
      <c r="AC979" s="15"/>
      <c r="AD979" s="15"/>
    </row>
    <row r="980" ht="15.75" customHeight="1">
      <c r="E980" s="15"/>
      <c r="F980" s="15"/>
      <c r="G980" s="15"/>
      <c r="K980" s="15"/>
      <c r="L980" s="15"/>
      <c r="M980" s="15"/>
      <c r="N980" s="15"/>
      <c r="U980" s="15"/>
      <c r="V980" s="15"/>
      <c r="W980" s="15"/>
      <c r="AA980" s="15"/>
      <c r="AB980" s="15"/>
      <c r="AC980" s="15"/>
      <c r="AD980" s="15"/>
    </row>
    <row r="981" ht="15.75" customHeight="1">
      <c r="E981" s="15"/>
      <c r="F981" s="15"/>
      <c r="G981" s="15"/>
      <c r="K981" s="15"/>
      <c r="L981" s="15"/>
      <c r="M981" s="15"/>
      <c r="N981" s="15"/>
      <c r="U981" s="15"/>
      <c r="V981" s="15"/>
      <c r="W981" s="15"/>
      <c r="AA981" s="15"/>
      <c r="AB981" s="15"/>
      <c r="AC981" s="15"/>
      <c r="AD981" s="15"/>
    </row>
    <row r="982" ht="15.75" customHeight="1">
      <c r="E982" s="15"/>
      <c r="F982" s="15"/>
      <c r="G982" s="15"/>
      <c r="K982" s="15"/>
      <c r="L982" s="15"/>
      <c r="M982" s="15"/>
      <c r="N982" s="15"/>
      <c r="U982" s="15"/>
      <c r="V982" s="15"/>
      <c r="W982" s="15"/>
      <c r="AA982" s="15"/>
      <c r="AB982" s="15"/>
      <c r="AC982" s="15"/>
      <c r="AD982" s="15"/>
    </row>
    <row r="983" ht="15.75" customHeight="1">
      <c r="E983" s="15"/>
      <c r="F983" s="15"/>
      <c r="G983" s="15"/>
      <c r="K983" s="15"/>
      <c r="L983" s="15"/>
      <c r="M983" s="15"/>
      <c r="N983" s="15"/>
      <c r="U983" s="15"/>
      <c r="V983" s="15"/>
      <c r="W983" s="15"/>
      <c r="AA983" s="15"/>
      <c r="AB983" s="15"/>
      <c r="AC983" s="15"/>
      <c r="AD983" s="15"/>
    </row>
    <row r="984" ht="15.75" customHeight="1">
      <c r="E984" s="15"/>
      <c r="F984" s="15"/>
      <c r="G984" s="15"/>
      <c r="K984" s="15"/>
      <c r="L984" s="15"/>
      <c r="M984" s="15"/>
      <c r="N984" s="15"/>
      <c r="U984" s="15"/>
      <c r="V984" s="15"/>
      <c r="W984" s="15"/>
      <c r="AA984" s="15"/>
      <c r="AB984" s="15"/>
      <c r="AC984" s="15"/>
      <c r="AD984" s="15"/>
    </row>
    <row r="985" ht="15.75" customHeight="1">
      <c r="E985" s="15"/>
      <c r="F985" s="15"/>
      <c r="G985" s="15"/>
      <c r="K985" s="15"/>
      <c r="L985" s="15"/>
      <c r="M985" s="15"/>
      <c r="N985" s="15"/>
      <c r="U985" s="15"/>
      <c r="V985" s="15"/>
      <c r="W985" s="15"/>
      <c r="AA985" s="15"/>
      <c r="AB985" s="15"/>
      <c r="AC985" s="15"/>
      <c r="AD985" s="15"/>
    </row>
    <row r="986" ht="15.75" customHeight="1">
      <c r="E986" s="15"/>
      <c r="F986" s="15"/>
      <c r="G986" s="15"/>
      <c r="K986" s="15"/>
      <c r="L986" s="15"/>
      <c r="M986" s="15"/>
      <c r="N986" s="15"/>
      <c r="U986" s="15"/>
      <c r="V986" s="15"/>
      <c r="W986" s="15"/>
      <c r="AA986" s="15"/>
      <c r="AB986" s="15"/>
      <c r="AC986" s="15"/>
      <c r="AD986" s="15"/>
    </row>
    <row r="987" ht="15.75" customHeight="1">
      <c r="E987" s="15"/>
      <c r="F987" s="15"/>
      <c r="G987" s="15"/>
      <c r="K987" s="15"/>
      <c r="L987" s="15"/>
      <c r="M987" s="15"/>
      <c r="N987" s="15"/>
      <c r="U987" s="15"/>
      <c r="V987" s="15"/>
      <c r="W987" s="15"/>
      <c r="AA987" s="15"/>
      <c r="AB987" s="15"/>
      <c r="AC987" s="15"/>
      <c r="AD987" s="15"/>
    </row>
    <row r="988" ht="15.75" customHeight="1">
      <c r="E988" s="15"/>
      <c r="F988" s="15"/>
      <c r="G988" s="15"/>
      <c r="K988" s="15"/>
      <c r="L988" s="15"/>
      <c r="M988" s="15"/>
      <c r="N988" s="15"/>
      <c r="U988" s="15"/>
      <c r="V988" s="15"/>
      <c r="W988" s="15"/>
      <c r="AA988" s="15"/>
      <c r="AB988" s="15"/>
      <c r="AC988" s="15"/>
      <c r="AD988" s="15"/>
    </row>
    <row r="989" ht="15.75" customHeight="1">
      <c r="E989" s="15"/>
      <c r="F989" s="15"/>
      <c r="G989" s="15"/>
      <c r="K989" s="15"/>
      <c r="L989" s="15"/>
      <c r="M989" s="15"/>
      <c r="N989" s="15"/>
      <c r="U989" s="15"/>
      <c r="V989" s="15"/>
      <c r="W989" s="15"/>
      <c r="AA989" s="15"/>
      <c r="AB989" s="15"/>
      <c r="AC989" s="15"/>
      <c r="AD989" s="15"/>
    </row>
    <row r="990" ht="15.75" customHeight="1">
      <c r="E990" s="15"/>
      <c r="F990" s="15"/>
      <c r="G990" s="15"/>
      <c r="K990" s="15"/>
      <c r="L990" s="15"/>
      <c r="M990" s="15"/>
      <c r="N990" s="15"/>
      <c r="U990" s="15"/>
      <c r="V990" s="15"/>
      <c r="W990" s="15"/>
      <c r="AA990" s="15"/>
      <c r="AB990" s="15"/>
      <c r="AC990" s="15"/>
      <c r="AD990" s="15"/>
    </row>
    <row r="991" ht="15.75" customHeight="1">
      <c r="E991" s="15"/>
      <c r="F991" s="15"/>
      <c r="G991" s="15"/>
      <c r="K991" s="15"/>
      <c r="L991" s="15"/>
      <c r="M991" s="15"/>
      <c r="N991" s="15"/>
      <c r="U991" s="15"/>
      <c r="V991" s="15"/>
      <c r="W991" s="15"/>
      <c r="AA991" s="15"/>
      <c r="AB991" s="15"/>
      <c r="AC991" s="15"/>
      <c r="AD991" s="15"/>
    </row>
    <row r="992" ht="15.75" customHeight="1">
      <c r="E992" s="15"/>
      <c r="F992" s="15"/>
      <c r="G992" s="15"/>
      <c r="K992" s="15"/>
      <c r="L992" s="15"/>
      <c r="M992" s="15"/>
      <c r="N992" s="15"/>
      <c r="U992" s="15"/>
      <c r="V992" s="15"/>
      <c r="W992" s="15"/>
      <c r="AA992" s="15"/>
      <c r="AB992" s="15"/>
      <c r="AC992" s="15"/>
      <c r="AD992" s="15"/>
    </row>
    <row r="993" ht="15.75" customHeight="1">
      <c r="E993" s="15"/>
      <c r="F993" s="15"/>
      <c r="G993" s="15"/>
      <c r="K993" s="15"/>
      <c r="L993" s="15"/>
      <c r="M993" s="15"/>
      <c r="N993" s="15"/>
      <c r="U993" s="15"/>
      <c r="V993" s="15"/>
      <c r="W993" s="15"/>
      <c r="AA993" s="15"/>
      <c r="AB993" s="15"/>
      <c r="AC993" s="15"/>
      <c r="AD993" s="15"/>
    </row>
    <row r="994" ht="15.75" customHeight="1">
      <c r="E994" s="15"/>
      <c r="F994" s="15"/>
      <c r="G994" s="15"/>
      <c r="K994" s="15"/>
      <c r="L994" s="15"/>
      <c r="M994" s="15"/>
      <c r="N994" s="15"/>
      <c r="U994" s="15"/>
      <c r="V994" s="15"/>
      <c r="W994" s="15"/>
      <c r="AA994" s="15"/>
      <c r="AB994" s="15"/>
      <c r="AC994" s="15"/>
      <c r="AD994" s="15"/>
    </row>
    <row r="995" ht="15.75" customHeight="1">
      <c r="E995" s="15"/>
      <c r="F995" s="15"/>
      <c r="G995" s="15"/>
      <c r="K995" s="15"/>
      <c r="L995" s="15"/>
      <c r="M995" s="15"/>
      <c r="N995" s="15"/>
      <c r="U995" s="15"/>
      <c r="V995" s="15"/>
      <c r="W995" s="15"/>
      <c r="AA995" s="15"/>
      <c r="AB995" s="15"/>
      <c r="AC995" s="15"/>
      <c r="AD995" s="15"/>
    </row>
    <row r="996" ht="15.75" customHeight="1">
      <c r="E996" s="15"/>
      <c r="F996" s="15"/>
      <c r="G996" s="15"/>
      <c r="K996" s="15"/>
      <c r="L996" s="15"/>
      <c r="M996" s="15"/>
      <c r="N996" s="15"/>
      <c r="U996" s="15"/>
      <c r="V996" s="15"/>
      <c r="W996" s="15"/>
      <c r="AA996" s="15"/>
      <c r="AB996" s="15"/>
      <c r="AC996" s="15"/>
      <c r="AD996" s="15"/>
    </row>
    <row r="997" ht="15.75" customHeight="1">
      <c r="E997" s="15"/>
      <c r="F997" s="15"/>
      <c r="G997" s="15"/>
      <c r="K997" s="15"/>
      <c r="L997" s="15"/>
      <c r="M997" s="15"/>
      <c r="N997" s="15"/>
      <c r="U997" s="15"/>
      <c r="V997" s="15"/>
      <c r="W997" s="15"/>
      <c r="AA997" s="15"/>
      <c r="AB997" s="15"/>
      <c r="AC997" s="15"/>
      <c r="AD997" s="15"/>
    </row>
    <row r="998" ht="15.75" customHeight="1">
      <c r="E998" s="15"/>
      <c r="F998" s="15"/>
      <c r="G998" s="15"/>
      <c r="K998" s="15"/>
      <c r="L998" s="15"/>
      <c r="M998" s="15"/>
      <c r="N998" s="15"/>
      <c r="U998" s="15"/>
      <c r="V998" s="15"/>
      <c r="W998" s="15"/>
      <c r="AA998" s="15"/>
      <c r="AB998" s="15"/>
      <c r="AC998" s="15"/>
      <c r="AD998" s="15"/>
    </row>
    <row r="999" ht="15.75" customHeight="1">
      <c r="E999" s="15"/>
      <c r="F999" s="15"/>
      <c r="G999" s="15"/>
      <c r="K999" s="15"/>
      <c r="L999" s="15"/>
      <c r="M999" s="15"/>
      <c r="N999" s="15"/>
      <c r="U999" s="15"/>
      <c r="V999" s="15"/>
      <c r="W999" s="15"/>
      <c r="AA999" s="15"/>
      <c r="AB999" s="15"/>
      <c r="AC999" s="15"/>
      <c r="AD999" s="15"/>
    </row>
    <row r="1000" ht="15.75" customHeight="1">
      <c r="E1000" s="15"/>
      <c r="F1000" s="15"/>
      <c r="G1000" s="15"/>
      <c r="K1000" s="15"/>
      <c r="L1000" s="15"/>
      <c r="M1000" s="15"/>
      <c r="N1000" s="15"/>
      <c r="U1000" s="15"/>
      <c r="V1000" s="15"/>
      <c r="W1000" s="15"/>
      <c r="AA1000" s="15"/>
      <c r="AB1000" s="15"/>
      <c r="AC1000" s="15"/>
      <c r="AD1000" s="1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5"/>
    <col customWidth="1" min="3" max="3" width="6.13"/>
    <col customWidth="1" min="4" max="4" width="2.13"/>
    <col customWidth="1" min="5" max="5" width="2.0"/>
    <col customWidth="1" min="6" max="6" width="7.25"/>
    <col customWidth="1" min="7" max="7" width="7.75"/>
    <col customWidth="1" min="8" max="8" width="6.13"/>
    <col customWidth="1" min="11" max="12" width="11.5"/>
    <col customWidth="1" min="13" max="13" width="6.63"/>
    <col customWidth="1" min="14" max="14" width="6.13"/>
    <col customWidth="1" min="15" max="15" width="2.13"/>
    <col customWidth="1" min="16" max="16" width="2.0"/>
    <col customWidth="1" min="17" max="17" width="7.63"/>
    <col customWidth="1" min="18" max="18" width="7.75"/>
    <col customWidth="1" min="19" max="19" width="6.13"/>
  </cols>
  <sheetData>
    <row r="1" ht="15.75" customHeight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6" t="s">
        <v>34</v>
      </c>
      <c r="I1" s="1"/>
      <c r="J1" s="1"/>
      <c r="K1" s="17"/>
      <c r="L1" s="1" t="s">
        <v>27</v>
      </c>
      <c r="M1" s="1" t="s">
        <v>35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6" t="s">
        <v>34</v>
      </c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18">
        <v>10101.0</v>
      </c>
      <c r="B2" s="18">
        <v>1.0</v>
      </c>
      <c r="C2" s="18">
        <v>2842.0</v>
      </c>
      <c r="D2" s="18">
        <v>0.05113350227475166</v>
      </c>
      <c r="E2" s="18">
        <v>0.3798576891422272</v>
      </c>
      <c r="F2" s="18">
        <v>1079.5555829107761</v>
      </c>
      <c r="G2" s="18">
        <v>55580.0</v>
      </c>
      <c r="H2" s="19">
        <v>0.019423453137278557</v>
      </c>
      <c r="I2" s="8" t="s">
        <v>33</v>
      </c>
      <c r="J2" s="18">
        <f>SUM(G246:G248)</f>
        <v>29421</v>
      </c>
      <c r="K2" s="20">
        <f t="shared" ref="K2:K3" si="1">J3/J2</f>
        <v>0.05689813399</v>
      </c>
      <c r="L2" s="18">
        <v>10101.0</v>
      </c>
      <c r="M2" s="18">
        <v>0.0</v>
      </c>
      <c r="N2" s="18">
        <v>7702.0</v>
      </c>
      <c r="O2" s="18">
        <v>0.03288150951266289</v>
      </c>
      <c r="P2" s="18">
        <v>0.36911049485206604</v>
      </c>
      <c r="Q2" s="18">
        <v>2842.888961583376</v>
      </c>
      <c r="R2" s="18">
        <v>234235.0</v>
      </c>
      <c r="S2" s="19">
        <v>0.012136910110712051</v>
      </c>
      <c r="T2" s="8" t="s">
        <v>33</v>
      </c>
      <c r="U2" s="18">
        <f>SUM(R246:R248)</f>
        <v>125495</v>
      </c>
      <c r="V2" s="21">
        <f t="shared" ref="V2:V3" si="2">U3/U2</f>
        <v>0.0496991912</v>
      </c>
      <c r="W2" s="8"/>
      <c r="X2" s="8"/>
      <c r="Y2" s="8"/>
      <c r="Z2" s="8"/>
      <c r="AA2" s="8"/>
      <c r="AB2" s="8"/>
    </row>
    <row r="3" ht="15.75" customHeight="1">
      <c r="A3" s="18">
        <v>10102.0</v>
      </c>
      <c r="B3" s="18">
        <v>1.0</v>
      </c>
      <c r="C3" s="18">
        <v>285.0</v>
      </c>
      <c r="D3" s="18">
        <v>0.11318507045507431</v>
      </c>
      <c r="E3" s="18">
        <v>0.36452242732048035</v>
      </c>
      <c r="F3" s="18">
        <v>103.88889136910439</v>
      </c>
      <c r="G3" s="18">
        <v>2518.0</v>
      </c>
      <c r="H3" s="19">
        <v>0.041258495301008224</v>
      </c>
      <c r="I3" s="8" t="s">
        <v>29</v>
      </c>
      <c r="J3" s="18">
        <f>SUM(C246:C248)</f>
        <v>1674</v>
      </c>
      <c r="K3" s="20">
        <f t="shared" si="1"/>
        <v>17.94528449</v>
      </c>
      <c r="L3" s="18">
        <v>10102.0</v>
      </c>
      <c r="M3" s="18">
        <v>0.0</v>
      </c>
      <c r="N3" s="18">
        <v>417.0</v>
      </c>
      <c r="O3" s="18">
        <v>0.0645311027765274</v>
      </c>
      <c r="P3" s="18">
        <v>0.36903810501098633</v>
      </c>
      <c r="Q3" s="18">
        <v>153.8888931274414</v>
      </c>
      <c r="R3" s="18">
        <v>6462.0</v>
      </c>
      <c r="S3" s="19">
        <v>0.023814436048269272</v>
      </c>
      <c r="T3" s="8" t="s">
        <v>29</v>
      </c>
      <c r="U3" s="18">
        <f>SUM(N246:N248)</f>
        <v>6237</v>
      </c>
      <c r="V3" s="21">
        <f t="shared" si="2"/>
        <v>20.49636566</v>
      </c>
      <c r="W3" s="8"/>
      <c r="X3" s="8"/>
      <c r="Y3" s="8"/>
      <c r="Z3" s="8"/>
      <c r="AA3" s="8"/>
      <c r="AB3" s="8"/>
    </row>
    <row r="4" ht="15.75" customHeight="1">
      <c r="A4" s="18">
        <v>10103.0</v>
      </c>
      <c r="B4" s="18">
        <v>1.0</v>
      </c>
      <c r="C4" s="18">
        <v>2446.0</v>
      </c>
      <c r="D4" s="18">
        <v>0.6426694989204407</v>
      </c>
      <c r="E4" s="18">
        <v>0.42563822865486145</v>
      </c>
      <c r="F4" s="18">
        <v>1041.1111369132996</v>
      </c>
      <c r="G4" s="18">
        <v>3806.0</v>
      </c>
      <c r="H4" s="19">
        <v>0.27354469895362854</v>
      </c>
      <c r="I4" s="8" t="s">
        <v>36</v>
      </c>
      <c r="J4" s="18">
        <f>SUM(F246:H248)</f>
        <v>30040.40624</v>
      </c>
      <c r="K4" s="20">
        <f>K2*K3</f>
        <v>1.021053201</v>
      </c>
      <c r="L4" s="18">
        <v>10103.0</v>
      </c>
      <c r="M4" s="18">
        <v>0.0</v>
      </c>
      <c r="N4" s="18">
        <v>4858.0</v>
      </c>
      <c r="O4" s="18">
        <v>0.49566370248794556</v>
      </c>
      <c r="P4" s="18">
        <v>0.4100452959537506</v>
      </c>
      <c r="Q4" s="18">
        <v>1992.0000504851341</v>
      </c>
      <c r="R4" s="18">
        <v>9801.0</v>
      </c>
      <c r="S4" s="19">
        <v>0.20324456691741943</v>
      </c>
      <c r="T4" s="8" t="s">
        <v>36</v>
      </c>
      <c r="U4" s="18">
        <f>SUM(Q246:S248)</f>
        <v>127835.8326</v>
      </c>
      <c r="V4" s="21">
        <f>V3*V2</f>
        <v>1.018652796</v>
      </c>
      <c r="W4" s="8"/>
      <c r="X4" s="8"/>
      <c r="Y4" s="8"/>
      <c r="Z4" s="8"/>
      <c r="AA4" s="8"/>
      <c r="AB4" s="8"/>
    </row>
    <row r="5" ht="15.75" customHeight="1">
      <c r="A5" s="18">
        <v>10201.0</v>
      </c>
      <c r="B5" s="18">
        <v>1.0</v>
      </c>
      <c r="C5" s="18">
        <v>1090.0</v>
      </c>
      <c r="D5" s="18">
        <v>0.5192949175834656</v>
      </c>
      <c r="E5" s="18">
        <v>0.4252803325653076</v>
      </c>
      <c r="F5" s="18">
        <v>463.5555667579174</v>
      </c>
      <c r="G5" s="18">
        <v>2099.0</v>
      </c>
      <c r="H5" s="19">
        <v>0.22084590792655945</v>
      </c>
      <c r="I5" s="8"/>
      <c r="J5" s="8"/>
      <c r="K5" s="20"/>
      <c r="L5" s="18">
        <v>10201.0</v>
      </c>
      <c r="M5" s="18">
        <v>0.0</v>
      </c>
      <c r="N5" s="18">
        <v>2400.0</v>
      </c>
      <c r="O5" s="18">
        <v>0.4181184768676758</v>
      </c>
      <c r="P5" s="18">
        <v>0.4178703725337982</v>
      </c>
      <c r="Q5" s="18">
        <v>1002.8889124691486</v>
      </c>
      <c r="R5" s="18">
        <v>5740.0</v>
      </c>
      <c r="S5" s="19">
        <v>0.17471931874752045</v>
      </c>
      <c r="T5" s="8"/>
      <c r="U5" s="8"/>
      <c r="V5" s="8"/>
      <c r="W5" s="8"/>
      <c r="X5" s="8"/>
      <c r="Y5" s="8"/>
      <c r="Z5" s="8"/>
      <c r="AA5" s="8"/>
      <c r="AB5" s="8"/>
    </row>
    <row r="6" ht="15.75" customHeight="1">
      <c r="A6" s="18">
        <v>10202.0</v>
      </c>
      <c r="B6" s="18">
        <v>1.0</v>
      </c>
      <c r="C6" s="18">
        <v>1896.0</v>
      </c>
      <c r="D6" s="18">
        <v>0.44268035888671875</v>
      </c>
      <c r="E6" s="18">
        <v>0.41484999656677246</v>
      </c>
      <c r="F6" s="18">
        <v>786.5555748343468</v>
      </c>
      <c r="G6" s="18">
        <v>4283.0</v>
      </c>
      <c r="H6" s="19">
        <v>0.18364594876766205</v>
      </c>
      <c r="I6" s="8" t="s">
        <v>33</v>
      </c>
      <c r="J6" s="18">
        <f>SUM(G2:G344)</f>
        <v>2181955</v>
      </c>
      <c r="K6" s="20">
        <f t="shared" ref="K6:K7" si="3">J7/J6</f>
        <v>0.08375424791</v>
      </c>
      <c r="L6" s="18">
        <v>10202.0</v>
      </c>
      <c r="M6" s="18">
        <v>0.0</v>
      </c>
      <c r="N6" s="18">
        <v>3580.0</v>
      </c>
      <c r="O6" s="18">
        <v>0.2879665493965149</v>
      </c>
      <c r="P6" s="18">
        <v>0.3997517228126526</v>
      </c>
      <c r="Q6" s="18">
        <v>1431.1111487746239</v>
      </c>
      <c r="R6" s="18">
        <v>12432.0</v>
      </c>
      <c r="S6" s="19">
        <v>0.11511512100696564</v>
      </c>
      <c r="T6" s="8" t="s">
        <v>33</v>
      </c>
      <c r="U6" s="18">
        <f>SUM(R2:R344)</f>
        <v>8952175</v>
      </c>
      <c r="V6" s="21">
        <f t="shared" ref="V6:V7" si="4">U7/U6</f>
        <v>0.05927006565</v>
      </c>
      <c r="W6" s="8"/>
      <c r="X6" s="8"/>
      <c r="Y6" s="8"/>
      <c r="Z6" s="8"/>
      <c r="AA6" s="8"/>
      <c r="AB6" s="8"/>
    </row>
    <row r="7" ht="15.75" customHeight="1">
      <c r="A7" s="18">
        <v>10301.0</v>
      </c>
      <c r="B7" s="18">
        <v>1.0</v>
      </c>
      <c r="C7" s="18">
        <v>1058.0</v>
      </c>
      <c r="D7" s="18">
        <v>0.27487659454345703</v>
      </c>
      <c r="E7" s="18">
        <v>0.3867884874343872</v>
      </c>
      <c r="F7" s="18">
        <v>409.22223231196404</v>
      </c>
      <c r="G7" s="18">
        <v>3849.0</v>
      </c>
      <c r="H7" s="19">
        <v>0.10631909966468811</v>
      </c>
      <c r="I7" s="8" t="s">
        <v>29</v>
      </c>
      <c r="J7" s="18">
        <f>SUM(C2:C244)</f>
        <v>182748</v>
      </c>
      <c r="K7" s="20">
        <f t="shared" si="3"/>
        <v>0.3841829646</v>
      </c>
      <c r="L7" s="18">
        <v>10301.0</v>
      </c>
      <c r="M7" s="18">
        <v>0.0</v>
      </c>
      <c r="N7" s="18">
        <v>1840.0</v>
      </c>
      <c r="O7" s="18">
        <v>0.18941733241081238</v>
      </c>
      <c r="P7" s="18">
        <v>0.3813405930995941</v>
      </c>
      <c r="Q7" s="18">
        <v>701.6666846871376</v>
      </c>
      <c r="R7" s="18">
        <v>9714.0</v>
      </c>
      <c r="S7" s="19">
        <v>0.07223251461982727</v>
      </c>
      <c r="T7" s="8" t="s">
        <v>29</v>
      </c>
      <c r="U7" s="18">
        <f>SUM(N2:N244)</f>
        <v>530596</v>
      </c>
      <c r="V7" s="21">
        <f t="shared" si="4"/>
        <v>0.375759428</v>
      </c>
      <c r="W7" s="8"/>
      <c r="X7" s="8"/>
      <c r="Y7" s="8"/>
      <c r="Z7" s="8"/>
      <c r="AA7" s="8"/>
      <c r="AB7" s="8"/>
    </row>
    <row r="8" ht="15.75" customHeight="1">
      <c r="A8" s="18">
        <v>10302.0</v>
      </c>
      <c r="B8" s="18">
        <v>1.0</v>
      </c>
      <c r="C8" s="18">
        <v>1201.0</v>
      </c>
      <c r="D8" s="18">
        <v>0.41271477937698364</v>
      </c>
      <c r="E8" s="18">
        <v>0.4103987514972687</v>
      </c>
      <c r="F8" s="18">
        <v>492.88890129327774</v>
      </c>
      <c r="G8" s="18">
        <v>2910.0</v>
      </c>
      <c r="H8" s="19">
        <v>0.1693776249885559</v>
      </c>
      <c r="I8" s="8" t="s">
        <v>36</v>
      </c>
      <c r="J8" s="18">
        <f>SUM(F2:F244)</f>
        <v>70208.66841</v>
      </c>
      <c r="K8" s="20">
        <f>K6*K7</f>
        <v>0.03217695526</v>
      </c>
      <c r="L8" s="18">
        <v>10302.0</v>
      </c>
      <c r="M8" s="18">
        <v>0.0</v>
      </c>
      <c r="N8" s="18">
        <v>2826.0</v>
      </c>
      <c r="O8" s="18">
        <v>0.29539039731025696</v>
      </c>
      <c r="P8" s="18">
        <v>0.40540221333503723</v>
      </c>
      <c r="Q8" s="18">
        <v>1145.666696190834</v>
      </c>
      <c r="R8" s="18">
        <v>9567.0</v>
      </c>
      <c r="S8" s="19">
        <v>0.11975192278623581</v>
      </c>
      <c r="T8" s="8" t="s">
        <v>36</v>
      </c>
      <c r="U8" s="18">
        <f>SUM(Q2:Q244)</f>
        <v>199376.4495</v>
      </c>
      <c r="V8" s="21">
        <f>V6*V7</f>
        <v>0.02227128597</v>
      </c>
      <c r="W8" s="8"/>
      <c r="X8" s="8"/>
      <c r="Y8" s="8"/>
      <c r="Z8" s="8"/>
      <c r="AA8" s="8"/>
      <c r="AB8" s="8"/>
    </row>
    <row r="9" ht="15.75" customHeight="1">
      <c r="A9" s="18">
        <v>10303.0</v>
      </c>
      <c r="B9" s="18">
        <v>1.0</v>
      </c>
      <c r="C9" s="18">
        <v>619.0</v>
      </c>
      <c r="D9" s="18">
        <v>0.2930871248245239</v>
      </c>
      <c r="E9" s="18">
        <v>0.39005565643310547</v>
      </c>
      <c r="F9" s="18">
        <v>241.4444504380226</v>
      </c>
      <c r="G9" s="18">
        <v>2112.0</v>
      </c>
      <c r="H9" s="19">
        <v>0.1143202930688858</v>
      </c>
      <c r="I9" s="8"/>
      <c r="J9" s="8"/>
      <c r="K9" s="20"/>
      <c r="L9" s="18">
        <v>10303.0</v>
      </c>
      <c r="M9" s="18">
        <v>0.0</v>
      </c>
      <c r="N9" s="18">
        <v>1124.0</v>
      </c>
      <c r="O9" s="18">
        <v>0.16270990669727325</v>
      </c>
      <c r="P9" s="18">
        <v>0.37742191553115845</v>
      </c>
      <c r="Q9" s="18">
        <v>424.2222327888012</v>
      </c>
      <c r="R9" s="18">
        <v>6908.0</v>
      </c>
      <c r="S9" s="19">
        <v>0.06141028553247452</v>
      </c>
      <c r="T9" s="8"/>
      <c r="U9" s="8"/>
      <c r="V9" s="8"/>
      <c r="W9" s="8"/>
      <c r="X9" s="8"/>
      <c r="Y9" s="8"/>
      <c r="Z9" s="8"/>
      <c r="AA9" s="8"/>
      <c r="AB9" s="8"/>
    </row>
    <row r="10" ht="15.75" customHeight="1">
      <c r="A10" s="18">
        <v>10304.0</v>
      </c>
      <c r="B10" s="18">
        <v>1.0</v>
      </c>
      <c r="C10" s="18">
        <v>898.0</v>
      </c>
      <c r="D10" s="18">
        <v>0.3280964493751526</v>
      </c>
      <c r="E10" s="18">
        <v>0.4067062735557556</v>
      </c>
      <c r="F10" s="18">
        <v>365.2222315967083</v>
      </c>
      <c r="G10" s="18">
        <v>2737.0</v>
      </c>
      <c r="H10" s="19">
        <v>0.13343888521194458</v>
      </c>
      <c r="I10" s="8"/>
      <c r="J10" s="8"/>
      <c r="K10" s="20"/>
      <c r="L10" s="18">
        <v>10304.0</v>
      </c>
      <c r="M10" s="18">
        <v>0.0</v>
      </c>
      <c r="N10" s="18">
        <v>1590.0</v>
      </c>
      <c r="O10" s="18">
        <v>0.24886523187160492</v>
      </c>
      <c r="P10" s="18">
        <v>0.38749128580093384</v>
      </c>
      <c r="Q10" s="18">
        <v>616.1111265420914</v>
      </c>
      <c r="R10" s="18">
        <v>6389.0</v>
      </c>
      <c r="S10" s="19">
        <v>0.0964331105351448</v>
      </c>
      <c r="T10" s="8"/>
      <c r="U10" s="8"/>
      <c r="V10" s="8"/>
      <c r="W10" s="8"/>
      <c r="X10" s="8"/>
      <c r="Y10" s="8"/>
      <c r="Z10" s="8"/>
      <c r="AA10" s="8"/>
      <c r="AB10" s="8"/>
    </row>
    <row r="11" ht="15.75" customHeight="1">
      <c r="A11" s="18">
        <v>10401.0</v>
      </c>
      <c r="B11" s="18">
        <v>1.0</v>
      </c>
      <c r="C11" s="18">
        <v>540.0</v>
      </c>
      <c r="D11" s="18">
        <v>0.21853500604629517</v>
      </c>
      <c r="E11" s="18">
        <v>0.39403292536735535</v>
      </c>
      <c r="F11" s="18">
        <v>212.77778267860413</v>
      </c>
      <c r="G11" s="18">
        <v>2471.0</v>
      </c>
      <c r="H11" s="19">
        <v>0.08610998839139938</v>
      </c>
      <c r="I11" s="8"/>
      <c r="J11" s="8"/>
      <c r="K11" s="20"/>
      <c r="L11" s="18">
        <v>10401.0</v>
      </c>
      <c r="M11" s="18">
        <v>0.0</v>
      </c>
      <c r="N11" s="18">
        <v>1033.0</v>
      </c>
      <c r="O11" s="18">
        <v>0.1568240523338318</v>
      </c>
      <c r="P11" s="18">
        <v>0.3740991950035095</v>
      </c>
      <c r="Q11" s="18">
        <v>386.4444537162781</v>
      </c>
      <c r="R11" s="18">
        <v>6587.0</v>
      </c>
      <c r="S11" s="19">
        <v>0.058667752891778946</v>
      </c>
      <c r="T11" s="8"/>
      <c r="U11" s="8"/>
      <c r="V11" s="8"/>
      <c r="W11" s="8"/>
      <c r="X11" s="8"/>
      <c r="Y11" s="8"/>
      <c r="Z11" s="8"/>
      <c r="AA11" s="8"/>
      <c r="AB11" s="8"/>
    </row>
    <row r="12" ht="15.75" customHeight="1">
      <c r="A12" s="18">
        <v>10402.0</v>
      </c>
      <c r="B12" s="18">
        <v>1.0</v>
      </c>
      <c r="C12" s="18">
        <v>414.0</v>
      </c>
      <c r="D12" s="18">
        <v>0.18367347121238708</v>
      </c>
      <c r="E12" s="18">
        <v>0.3921095132827759</v>
      </c>
      <c r="F12" s="18">
        <v>162.3333371579647</v>
      </c>
      <c r="G12" s="18">
        <v>2254.0</v>
      </c>
      <c r="H12" s="19">
        <v>0.07202011346817017</v>
      </c>
      <c r="I12" s="8"/>
      <c r="J12" s="8"/>
      <c r="K12" s="20"/>
      <c r="L12" s="18">
        <v>10402.0</v>
      </c>
      <c r="M12" s="18">
        <v>0.0</v>
      </c>
      <c r="N12" s="18">
        <v>999.0</v>
      </c>
      <c r="O12" s="18">
        <v>0.161337211728096</v>
      </c>
      <c r="P12" s="18">
        <v>0.38049161434173584</v>
      </c>
      <c r="Q12" s="18">
        <v>380.1111206114292</v>
      </c>
      <c r="R12" s="18">
        <v>6192.0</v>
      </c>
      <c r="S12" s="19">
        <v>0.06138745695352554</v>
      </c>
      <c r="T12" s="8"/>
      <c r="U12" s="8"/>
      <c r="V12" s="8"/>
      <c r="W12" s="8"/>
      <c r="X12" s="8"/>
      <c r="Y12" s="8"/>
      <c r="Z12" s="8"/>
      <c r="AA12" s="8"/>
      <c r="AB12" s="8"/>
    </row>
    <row r="13" ht="15.75" customHeight="1">
      <c r="A13" s="18">
        <v>10403.0</v>
      </c>
      <c r="B13" s="18">
        <v>1.0</v>
      </c>
      <c r="C13" s="18">
        <v>850.0</v>
      </c>
      <c r="D13" s="18">
        <v>0.45045045018196106</v>
      </c>
      <c r="E13" s="18">
        <v>0.40522876381874084</v>
      </c>
      <c r="F13" s="18">
        <v>344.4444530904293</v>
      </c>
      <c r="G13" s="18">
        <v>1887.0</v>
      </c>
      <c r="H13" s="19">
        <v>0.18253548443317413</v>
      </c>
      <c r="I13" s="8"/>
      <c r="J13" s="8"/>
      <c r="K13" s="20"/>
      <c r="L13" s="18">
        <v>10403.0</v>
      </c>
      <c r="M13" s="18">
        <v>0.0</v>
      </c>
      <c r="N13" s="18">
        <v>1660.0</v>
      </c>
      <c r="O13" s="18">
        <v>0.33107298612594604</v>
      </c>
      <c r="P13" s="18">
        <v>0.405354768037796</v>
      </c>
      <c r="Q13" s="18">
        <v>672.8889054059982</v>
      </c>
      <c r="R13" s="18">
        <v>5014.0</v>
      </c>
      <c r="S13" s="19">
        <v>0.1342020183801651</v>
      </c>
      <c r="T13" s="8"/>
      <c r="U13" s="8"/>
      <c r="V13" s="8"/>
      <c r="W13" s="8"/>
      <c r="X13" s="8"/>
      <c r="Y13" s="8"/>
      <c r="Z13" s="8"/>
      <c r="AA13" s="8"/>
      <c r="AB13" s="8"/>
    </row>
    <row r="14" ht="15.75" customHeight="1">
      <c r="A14" s="18">
        <v>10404.0</v>
      </c>
      <c r="B14" s="18">
        <v>1.0</v>
      </c>
      <c r="C14" s="18">
        <v>119.0</v>
      </c>
      <c r="D14" s="18">
        <v>0.11173708736896515</v>
      </c>
      <c r="E14" s="18">
        <v>0.3632119596004486</v>
      </c>
      <c r="F14" s="18">
        <v>43.22222328186035</v>
      </c>
      <c r="G14" s="18">
        <v>1065.0</v>
      </c>
      <c r="H14" s="19">
        <v>0.040584247559309006</v>
      </c>
      <c r="I14" s="8"/>
      <c r="J14" s="8"/>
      <c r="K14" s="20"/>
      <c r="L14" s="18">
        <v>10404.0</v>
      </c>
      <c r="M14" s="18">
        <v>0.0</v>
      </c>
      <c r="N14" s="18">
        <v>227.0</v>
      </c>
      <c r="O14" s="18">
        <v>0.08435525745153427</v>
      </c>
      <c r="P14" s="18">
        <v>0.376407265663147</v>
      </c>
      <c r="Q14" s="18">
        <v>85.44444686174393</v>
      </c>
      <c r="R14" s="18">
        <v>2691.0</v>
      </c>
      <c r="S14" s="19">
        <v>0.031751930713653564</v>
      </c>
      <c r="T14" s="8"/>
      <c r="U14" s="8"/>
      <c r="V14" s="8"/>
      <c r="W14" s="8"/>
      <c r="X14" s="8"/>
      <c r="Y14" s="8"/>
      <c r="Z14" s="8"/>
      <c r="AA14" s="8"/>
      <c r="AB14" s="8"/>
    </row>
    <row r="15" ht="15.75" customHeight="1">
      <c r="A15" s="18">
        <v>10405.0</v>
      </c>
      <c r="B15" s="18">
        <v>1.0</v>
      </c>
      <c r="C15" s="18">
        <v>448.0</v>
      </c>
      <c r="D15" s="18">
        <v>0.30311232805252075</v>
      </c>
      <c r="E15" s="18">
        <v>0.3807043731212616</v>
      </c>
      <c r="F15" s="18">
        <v>170.55555975437164</v>
      </c>
      <c r="G15" s="18">
        <v>1478.0</v>
      </c>
      <c r="H15" s="19">
        <v>0.11539618670940399</v>
      </c>
      <c r="I15" s="8"/>
      <c r="J15" s="8"/>
      <c r="K15" s="20"/>
      <c r="L15" s="18">
        <v>10405.0</v>
      </c>
      <c r="M15" s="18">
        <v>0.0</v>
      </c>
      <c r="N15" s="18">
        <v>840.0</v>
      </c>
      <c r="O15" s="18">
        <v>0.20187455415725708</v>
      </c>
      <c r="P15" s="18">
        <v>0.3989418148994446</v>
      </c>
      <c r="Q15" s="18">
        <v>335.1111190021038</v>
      </c>
      <c r="R15" s="18">
        <v>4161.0</v>
      </c>
      <c r="S15" s="19">
        <v>0.08053620159626007</v>
      </c>
      <c r="T15" s="8"/>
      <c r="U15" s="8"/>
      <c r="V15" s="8"/>
      <c r="W15" s="8"/>
      <c r="X15" s="8"/>
      <c r="Y15" s="8"/>
      <c r="Z15" s="8"/>
      <c r="AA15" s="8"/>
      <c r="AB15" s="8"/>
    </row>
    <row r="16" ht="15.75" customHeight="1">
      <c r="A16" s="18">
        <v>10501.0</v>
      </c>
      <c r="B16" s="18">
        <v>1.0</v>
      </c>
      <c r="C16" s="18">
        <v>977.0</v>
      </c>
      <c r="D16" s="18">
        <v>0.1760360300540924</v>
      </c>
      <c r="E16" s="18">
        <v>0.39940863847732544</v>
      </c>
      <c r="F16" s="18">
        <v>390.22223219275475</v>
      </c>
      <c r="G16" s="18">
        <v>5550.0</v>
      </c>
      <c r="H16" s="19">
        <v>0.0703103095293045</v>
      </c>
      <c r="I16" s="8"/>
      <c r="J16" s="8"/>
      <c r="K16" s="20"/>
      <c r="L16" s="18">
        <v>10501.0</v>
      </c>
      <c r="M16" s="18">
        <v>0.0</v>
      </c>
      <c r="N16" s="18">
        <v>1715.0</v>
      </c>
      <c r="O16" s="18">
        <v>0.09211515635251999</v>
      </c>
      <c r="P16" s="18">
        <v>0.3787496089935303</v>
      </c>
      <c r="Q16" s="18">
        <v>649.5555718541145</v>
      </c>
      <c r="R16" s="18">
        <v>18618.0</v>
      </c>
      <c r="S16" s="19">
        <v>0.034888580441474915</v>
      </c>
      <c r="T16" s="8"/>
      <c r="U16" s="8"/>
      <c r="V16" s="8"/>
      <c r="W16" s="8"/>
      <c r="X16" s="8"/>
      <c r="Y16" s="8"/>
      <c r="Z16" s="8"/>
      <c r="AA16" s="8"/>
      <c r="AB16" s="8"/>
    </row>
    <row r="17" ht="15.75" customHeight="1">
      <c r="A17" s="18">
        <v>10502.0</v>
      </c>
      <c r="B17" s="18">
        <v>1.0</v>
      </c>
      <c r="C17" s="18">
        <v>433.0</v>
      </c>
      <c r="D17" s="18">
        <v>0.2508690655231476</v>
      </c>
      <c r="E17" s="18">
        <v>0.3792661130428314</v>
      </c>
      <c r="F17" s="18">
        <v>164.22222590446472</v>
      </c>
      <c r="G17" s="18">
        <v>1726.0</v>
      </c>
      <c r="H17" s="19">
        <v>0.09514613449573517</v>
      </c>
      <c r="I17" s="8"/>
      <c r="J17" s="8"/>
      <c r="K17" s="20"/>
      <c r="L17" s="18">
        <v>10502.0</v>
      </c>
      <c r="M17" s="18">
        <v>0.0</v>
      </c>
      <c r="N17" s="18">
        <v>893.0</v>
      </c>
      <c r="O17" s="18">
        <v>0.16732247173786163</v>
      </c>
      <c r="P17" s="18">
        <v>0.37538883090019226</v>
      </c>
      <c r="Q17" s="18">
        <v>335.22223049402237</v>
      </c>
      <c r="R17" s="18">
        <v>5337.0</v>
      </c>
      <c r="S17" s="19">
        <v>0.0628109872341156</v>
      </c>
      <c r="T17" s="8"/>
      <c r="U17" s="8"/>
      <c r="V17" s="8"/>
      <c r="W17" s="8"/>
      <c r="X17" s="8"/>
      <c r="Y17" s="8"/>
      <c r="Z17" s="8"/>
      <c r="AA17" s="8"/>
      <c r="AB17" s="8"/>
    </row>
    <row r="18" ht="15.75" customHeight="1">
      <c r="A18" s="18">
        <v>10601.0</v>
      </c>
      <c r="B18" s="18">
        <v>1.0</v>
      </c>
      <c r="C18" s="18">
        <v>1135.0</v>
      </c>
      <c r="D18" s="18">
        <v>0.27602139115333557</v>
      </c>
      <c r="E18" s="18">
        <v>0.38433676958084106</v>
      </c>
      <c r="F18" s="18">
        <v>436.2222330272198</v>
      </c>
      <c r="G18" s="18">
        <v>4112.0</v>
      </c>
      <c r="H18" s="19">
        <v>0.1060851663351059</v>
      </c>
      <c r="I18" s="8"/>
      <c r="J18" s="8"/>
      <c r="K18" s="20"/>
      <c r="L18" s="18">
        <v>10601.0</v>
      </c>
      <c r="M18" s="18">
        <v>0.0</v>
      </c>
      <c r="N18" s="18">
        <v>1959.0</v>
      </c>
      <c r="O18" s="18">
        <v>0.21672751009464264</v>
      </c>
      <c r="P18" s="18">
        <v>0.3850036859512329</v>
      </c>
      <c r="Q18" s="18">
        <v>754.2222415208817</v>
      </c>
      <c r="R18" s="18">
        <v>9039.0</v>
      </c>
      <c r="S18" s="19">
        <v>0.08344089239835739</v>
      </c>
      <c r="T18" s="8"/>
      <c r="U18" s="8"/>
      <c r="V18" s="8"/>
      <c r="W18" s="8"/>
      <c r="X18" s="8"/>
      <c r="Y18" s="8"/>
      <c r="Z18" s="8"/>
      <c r="AA18" s="8"/>
      <c r="AB18" s="8"/>
    </row>
    <row r="19" ht="15.75" customHeight="1">
      <c r="A19" s="18">
        <v>10602.0</v>
      </c>
      <c r="B19" s="18">
        <v>1.0</v>
      </c>
      <c r="C19" s="18">
        <v>629.0</v>
      </c>
      <c r="D19" s="18">
        <v>0.23125000298023224</v>
      </c>
      <c r="E19" s="18">
        <v>0.381204754114151</v>
      </c>
      <c r="F19" s="18">
        <v>239.7777835726738</v>
      </c>
      <c r="G19" s="18">
        <v>2720.0</v>
      </c>
      <c r="H19" s="19">
        <v>0.08815360069274902</v>
      </c>
      <c r="I19" s="8"/>
      <c r="J19" s="8"/>
      <c r="K19" s="20"/>
      <c r="L19" s="18">
        <v>10602.0</v>
      </c>
      <c r="M19" s="18">
        <v>0.0</v>
      </c>
      <c r="N19" s="18">
        <v>940.0</v>
      </c>
      <c r="O19" s="18">
        <v>0.16473887860774994</v>
      </c>
      <c r="P19" s="18">
        <v>0.374586284160614</v>
      </c>
      <c r="Q19" s="18">
        <v>352.1111197769642</v>
      </c>
      <c r="R19" s="18">
        <v>5706.0</v>
      </c>
      <c r="S19" s="19">
        <v>0.06170892342925072</v>
      </c>
      <c r="T19" s="8"/>
      <c r="U19" s="8"/>
      <c r="V19" s="8"/>
      <c r="W19" s="8"/>
      <c r="X19" s="8"/>
      <c r="Y19" s="8"/>
      <c r="Z19" s="8"/>
      <c r="AA19" s="8"/>
      <c r="AB19" s="8"/>
    </row>
    <row r="20" ht="15.75" customHeight="1">
      <c r="A20" s="18">
        <v>10701.0</v>
      </c>
      <c r="B20" s="18">
        <v>1.0</v>
      </c>
      <c r="C20" s="18">
        <v>525.0</v>
      </c>
      <c r="D20" s="18">
        <v>0.14910537004470825</v>
      </c>
      <c r="E20" s="18">
        <v>0.3762963116168976</v>
      </c>
      <c r="F20" s="18">
        <v>197.55556029081345</v>
      </c>
      <c r="G20" s="18">
        <v>3521.0</v>
      </c>
      <c r="H20" s="19">
        <v>0.05610780045390129</v>
      </c>
      <c r="I20" s="8"/>
      <c r="J20" s="8"/>
      <c r="K20" s="20"/>
      <c r="L20" s="18">
        <v>10701.0</v>
      </c>
      <c r="M20" s="18">
        <v>0.0</v>
      </c>
      <c r="N20" s="18">
        <v>1180.0</v>
      </c>
      <c r="O20" s="18">
        <v>0.10941121727228165</v>
      </c>
      <c r="P20" s="18">
        <v>0.37580037117004395</v>
      </c>
      <c r="Q20" s="18">
        <v>443.44445472955704</v>
      </c>
      <c r="R20" s="18">
        <v>10785.0</v>
      </c>
      <c r="S20" s="19">
        <v>0.041116777807474136</v>
      </c>
      <c r="T20" s="8"/>
      <c r="U20" s="8"/>
      <c r="V20" s="8"/>
      <c r="W20" s="8"/>
      <c r="X20" s="8"/>
      <c r="Y20" s="8"/>
      <c r="Z20" s="8"/>
      <c r="AA20" s="8"/>
      <c r="AB20" s="8"/>
    </row>
    <row r="21" ht="15.75" customHeight="1">
      <c r="A21" s="18">
        <v>10702.0</v>
      </c>
      <c r="B21" s="18">
        <v>1.0</v>
      </c>
      <c r="C21" s="18">
        <v>2568.0</v>
      </c>
      <c r="D21" s="18">
        <v>0.424884170293808</v>
      </c>
      <c r="E21" s="18">
        <v>0.4108688235282898</v>
      </c>
      <c r="F21" s="18">
        <v>1055.1111381351948</v>
      </c>
      <c r="G21" s="18">
        <v>6044.0</v>
      </c>
      <c r="H21" s="19">
        <v>0.1745716631412506</v>
      </c>
      <c r="I21" s="8"/>
      <c r="J21" s="8"/>
      <c r="K21" s="20"/>
      <c r="L21" s="18">
        <v>10702.0</v>
      </c>
      <c r="M21" s="18">
        <v>0.0</v>
      </c>
      <c r="N21" s="18">
        <v>5693.0</v>
      </c>
      <c r="O21" s="18">
        <v>0.2769238352775574</v>
      </c>
      <c r="P21" s="18">
        <v>0.4027363061904907</v>
      </c>
      <c r="Q21" s="18">
        <v>2292.777835994959</v>
      </c>
      <c r="R21" s="18">
        <v>20558.0</v>
      </c>
      <c r="S21" s="19">
        <v>0.11152727901935577</v>
      </c>
      <c r="T21" s="8"/>
      <c r="U21" s="8"/>
      <c r="V21" s="8"/>
      <c r="W21" s="8"/>
      <c r="X21" s="8"/>
      <c r="Y21" s="8"/>
      <c r="Z21" s="8"/>
      <c r="AA21" s="8"/>
      <c r="AB21" s="8"/>
    </row>
    <row r="22" ht="15.75" customHeight="1">
      <c r="A22" s="18">
        <v>10703.0</v>
      </c>
      <c r="B22" s="18">
        <v>1.0</v>
      </c>
      <c r="C22" s="18">
        <v>1727.0</v>
      </c>
      <c r="D22" s="18">
        <v>0.5126150250434875</v>
      </c>
      <c r="E22" s="18">
        <v>0.43575888872146606</v>
      </c>
      <c r="F22" s="18">
        <v>752.5555753707886</v>
      </c>
      <c r="G22" s="18">
        <v>3369.0</v>
      </c>
      <c r="H22" s="19">
        <v>0.2233765572309494</v>
      </c>
      <c r="I22" s="8"/>
      <c r="J22" s="8"/>
      <c r="K22" s="20"/>
      <c r="L22" s="18">
        <v>10703.0</v>
      </c>
      <c r="M22" s="18">
        <v>0.0</v>
      </c>
      <c r="N22" s="18">
        <v>5384.0</v>
      </c>
      <c r="O22" s="18">
        <v>0.42307087779045105</v>
      </c>
      <c r="P22" s="18">
        <v>0.4311540424823761</v>
      </c>
      <c r="Q22" s="18">
        <v>2321.3333916664124</v>
      </c>
      <c r="R22" s="18">
        <v>12726.0</v>
      </c>
      <c r="S22" s="19">
        <v>0.18240872025489807</v>
      </c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18">
        <v>10704.0</v>
      </c>
      <c r="B23" s="18">
        <v>1.0</v>
      </c>
      <c r="C23" s="18">
        <v>1282.0</v>
      </c>
      <c r="D23" s="18">
        <v>0.4499824643135071</v>
      </c>
      <c r="E23" s="18">
        <v>0.44193100929260254</v>
      </c>
      <c r="F23" s="18">
        <v>566.5555709898472</v>
      </c>
      <c r="G23" s="18">
        <v>2849.0</v>
      </c>
      <c r="H23" s="19">
        <v>0.19886121153831482</v>
      </c>
      <c r="I23" s="8"/>
      <c r="J23" s="8"/>
      <c r="K23" s="20"/>
      <c r="L23" s="18">
        <v>10704.0</v>
      </c>
      <c r="M23" s="18">
        <v>0.0</v>
      </c>
      <c r="N23" s="18">
        <v>3619.0</v>
      </c>
      <c r="O23" s="18">
        <v>0.31851786375045776</v>
      </c>
      <c r="P23" s="18">
        <v>0.4368303120136261</v>
      </c>
      <c r="Q23" s="18">
        <v>1580.8889292478561</v>
      </c>
      <c r="R23" s="18">
        <v>11362.0</v>
      </c>
      <c r="S23" s="19">
        <v>0.13913825154304504</v>
      </c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18">
        <v>10801.0</v>
      </c>
      <c r="B24" s="18">
        <v>1.0</v>
      </c>
      <c r="C24" s="18">
        <v>475.0</v>
      </c>
      <c r="D24" s="18">
        <v>0.18178339302539825</v>
      </c>
      <c r="E24" s="18">
        <v>0.37941521406173706</v>
      </c>
      <c r="F24" s="18">
        <v>180.22222661972046</v>
      </c>
      <c r="G24" s="18">
        <v>2613.0</v>
      </c>
      <c r="H24" s="19">
        <v>0.06897138804197311</v>
      </c>
      <c r="I24" s="8"/>
      <c r="J24" s="8"/>
      <c r="K24" s="20"/>
      <c r="L24" s="18">
        <v>10801.0</v>
      </c>
      <c r="M24" s="18">
        <v>0.0</v>
      </c>
      <c r="N24" s="18">
        <v>811.0</v>
      </c>
      <c r="O24" s="18">
        <v>0.12713591754436493</v>
      </c>
      <c r="P24" s="18">
        <v>0.3934785723686218</v>
      </c>
      <c r="Q24" s="18">
        <v>319.11111855506897</v>
      </c>
      <c r="R24" s="18">
        <v>6379.0</v>
      </c>
      <c r="S24" s="19">
        <v>0.05002525821328163</v>
      </c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8">
        <v>10901.0</v>
      </c>
      <c r="B25" s="18">
        <v>1.0</v>
      </c>
      <c r="C25" s="18">
        <v>259.0</v>
      </c>
      <c r="D25" s="18">
        <v>0.16486313939094543</v>
      </c>
      <c r="E25" s="18">
        <v>0.40111541748046875</v>
      </c>
      <c r="F25" s="18">
        <v>103.88889139890671</v>
      </c>
      <c r="G25" s="18">
        <v>1571.0</v>
      </c>
      <c r="H25" s="19">
        <v>0.06612914800643921</v>
      </c>
      <c r="I25" s="8"/>
      <c r="J25" s="8"/>
      <c r="K25" s="20"/>
      <c r="L25" s="18">
        <v>10901.0</v>
      </c>
      <c r="M25" s="18">
        <v>0.0</v>
      </c>
      <c r="N25" s="18">
        <v>457.0</v>
      </c>
      <c r="O25" s="18">
        <v>0.12275046855211258</v>
      </c>
      <c r="P25" s="18">
        <v>0.3729637861251831</v>
      </c>
      <c r="Q25" s="18">
        <v>170.44444864988327</v>
      </c>
      <c r="R25" s="18">
        <v>3723.0</v>
      </c>
      <c r="S25" s="19">
        <v>0.04578147828578949</v>
      </c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8">
        <v>10902.0</v>
      </c>
      <c r="B26" s="18">
        <v>1.0</v>
      </c>
      <c r="C26" s="18">
        <v>1151.0</v>
      </c>
      <c r="D26" s="18">
        <v>0.310661256313324</v>
      </c>
      <c r="E26" s="18">
        <v>0.4151945412158966</v>
      </c>
      <c r="F26" s="18">
        <v>477.88890114426613</v>
      </c>
      <c r="G26" s="18">
        <v>3705.0</v>
      </c>
      <c r="H26" s="19">
        <v>0.12898485362529755</v>
      </c>
      <c r="I26" s="8"/>
      <c r="J26" s="8"/>
      <c r="K26" s="20"/>
      <c r="L26" s="18">
        <v>10902.0</v>
      </c>
      <c r="M26" s="18">
        <v>0.0</v>
      </c>
      <c r="N26" s="18">
        <v>3245.0</v>
      </c>
      <c r="O26" s="18">
        <v>0.29250043630599976</v>
      </c>
      <c r="P26" s="18">
        <v>0.4023968577384949</v>
      </c>
      <c r="Q26" s="18">
        <v>1305.7778100669384</v>
      </c>
      <c r="R26" s="18">
        <v>11094.0</v>
      </c>
      <c r="S26" s="19">
        <v>0.11770125478506088</v>
      </c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18">
        <v>10903.0</v>
      </c>
      <c r="B27" s="18">
        <v>1.0</v>
      </c>
      <c r="C27" s="18">
        <v>332.0</v>
      </c>
      <c r="D27" s="18">
        <v>0.1959858387708664</v>
      </c>
      <c r="E27" s="18">
        <v>0.3872155249118805</v>
      </c>
      <c r="F27" s="18">
        <v>128.5555585026741</v>
      </c>
      <c r="G27" s="18">
        <v>1694.0</v>
      </c>
      <c r="H27" s="19">
        <v>0.07588876038789749</v>
      </c>
      <c r="I27" s="8"/>
      <c r="J27" s="8"/>
      <c r="K27" s="20"/>
      <c r="L27" s="18">
        <v>10903.0</v>
      </c>
      <c r="M27" s="18">
        <v>0.0</v>
      </c>
      <c r="N27" s="18">
        <v>403.0</v>
      </c>
      <c r="O27" s="18">
        <v>0.12267884612083435</v>
      </c>
      <c r="P27" s="18">
        <v>0.3986766040325165</v>
      </c>
      <c r="Q27" s="18">
        <v>160.6666714847088</v>
      </c>
      <c r="R27" s="18">
        <v>3285.0</v>
      </c>
      <c r="S27" s="19">
        <v>0.04890918731689453</v>
      </c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18">
        <v>11001.0</v>
      </c>
      <c r="B28" s="18">
        <v>1.0</v>
      </c>
      <c r="C28" s="18">
        <v>459.0</v>
      </c>
      <c r="D28" s="18">
        <v>0.20491071045398712</v>
      </c>
      <c r="E28" s="18">
        <v>0.39312514662742615</v>
      </c>
      <c r="F28" s="18">
        <v>180.44444811344147</v>
      </c>
      <c r="G28" s="18">
        <v>2240.0</v>
      </c>
      <c r="H28" s="19">
        <v>0.08055555075407028</v>
      </c>
      <c r="I28" s="8"/>
      <c r="J28" s="8"/>
      <c r="K28" s="20"/>
      <c r="L28" s="18">
        <v>11001.0</v>
      </c>
      <c r="M28" s="18">
        <v>0.0</v>
      </c>
      <c r="N28" s="18">
        <v>1610.0</v>
      </c>
      <c r="O28" s="18">
        <v>0.19180366396903992</v>
      </c>
      <c r="P28" s="18">
        <v>0.4138716459274292</v>
      </c>
      <c r="Q28" s="18">
        <v>666.3333506882191</v>
      </c>
      <c r="R28" s="18">
        <v>8394.0</v>
      </c>
      <c r="S28" s="19">
        <v>0.07938209921121597</v>
      </c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18">
        <v>11002.0</v>
      </c>
      <c r="B29" s="18">
        <v>1.0</v>
      </c>
      <c r="C29" s="18">
        <v>55.0</v>
      </c>
      <c r="D29" s="18">
        <v>0.1233183890581131</v>
      </c>
      <c r="E29" s="18">
        <v>0.3777777850627899</v>
      </c>
      <c r="F29" s="18">
        <v>20.777778327465057</v>
      </c>
      <c r="G29" s="18">
        <v>446.0</v>
      </c>
      <c r="H29" s="19">
        <v>0.04658694937825203</v>
      </c>
      <c r="I29" s="8"/>
      <c r="J29" s="8"/>
      <c r="K29" s="20"/>
      <c r="L29" s="18">
        <v>11002.0</v>
      </c>
      <c r="M29" s="18">
        <v>0.0</v>
      </c>
      <c r="N29" s="18">
        <v>145.0</v>
      </c>
      <c r="O29" s="18">
        <v>0.06931166350841522</v>
      </c>
      <c r="P29" s="18">
        <v>0.37088122963905334</v>
      </c>
      <c r="Q29" s="18">
        <v>53.777779310941696</v>
      </c>
      <c r="R29" s="18">
        <v>2092.0</v>
      </c>
      <c r="S29" s="19">
        <v>0.025706395506858826</v>
      </c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18">
        <v>11003.0</v>
      </c>
      <c r="B30" s="18">
        <v>1.0</v>
      </c>
      <c r="C30" s="18">
        <v>128.0</v>
      </c>
      <c r="D30" s="18">
        <v>0.0854472666978836</v>
      </c>
      <c r="E30" s="18">
        <v>0.3723958432674408</v>
      </c>
      <c r="F30" s="18">
        <v>47.6666679084301</v>
      </c>
      <c r="G30" s="18">
        <v>1498.0</v>
      </c>
      <c r="H30" s="19">
        <v>0.031820207834243774</v>
      </c>
      <c r="I30" s="8"/>
      <c r="J30" s="8"/>
      <c r="K30" s="20"/>
      <c r="L30" s="18">
        <v>11003.0</v>
      </c>
      <c r="M30" s="18">
        <v>0.0</v>
      </c>
      <c r="N30" s="18">
        <v>423.0</v>
      </c>
      <c r="O30" s="18">
        <v>0.08387864381074905</v>
      </c>
      <c r="P30" s="18">
        <v>0.37089571356773376</v>
      </c>
      <c r="Q30" s="18">
        <v>156.88889294862747</v>
      </c>
      <c r="R30" s="18">
        <v>5043.0</v>
      </c>
      <c r="S30" s="19">
        <v>0.031110228970646858</v>
      </c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18">
        <v>20101.0</v>
      </c>
      <c r="B31" s="18">
        <v>1.0</v>
      </c>
      <c r="C31" s="18">
        <v>1289.0</v>
      </c>
      <c r="D31" s="18">
        <v>0.006994676776230335</v>
      </c>
      <c r="E31" s="18">
        <v>0.36669254302978516</v>
      </c>
      <c r="F31" s="18">
        <v>472.6666789352894</v>
      </c>
      <c r="G31" s="18">
        <v>184283.0</v>
      </c>
      <c r="H31" s="19">
        <v>0.002564895898103714</v>
      </c>
      <c r="I31" s="8"/>
      <c r="J31" s="8"/>
      <c r="K31" s="20"/>
      <c r="L31" s="18">
        <v>20101.0</v>
      </c>
      <c r="M31" s="18">
        <v>0.0</v>
      </c>
      <c r="N31" s="18">
        <v>4029.0</v>
      </c>
      <c r="O31" s="18">
        <v>0.0073812431655824184</v>
      </c>
      <c r="P31" s="18">
        <v>0.3585946559906006</v>
      </c>
      <c r="Q31" s="18">
        <v>1444.7778151035309</v>
      </c>
      <c r="R31" s="18">
        <v>545843.0</v>
      </c>
      <c r="S31" s="19">
        <v>0.002646874403581023</v>
      </c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18">
        <v>20102.0</v>
      </c>
      <c r="B32" s="18">
        <v>1.0</v>
      </c>
      <c r="C32" s="18">
        <v>910.0</v>
      </c>
      <c r="D32" s="18">
        <v>0.19153861701488495</v>
      </c>
      <c r="E32" s="18">
        <v>0.37631258368492126</v>
      </c>
      <c r="F32" s="18">
        <v>342.4444533288479</v>
      </c>
      <c r="G32" s="18">
        <v>4751.0</v>
      </c>
      <c r="H32" s="19">
        <v>0.0720783919095993</v>
      </c>
      <c r="I32" s="8"/>
      <c r="J32" s="8"/>
      <c r="K32" s="20"/>
      <c r="L32" s="18">
        <v>20102.0</v>
      </c>
      <c r="M32" s="18">
        <v>0.0</v>
      </c>
      <c r="N32" s="18">
        <v>2344.0</v>
      </c>
      <c r="O32" s="18">
        <v>0.13866540789604187</v>
      </c>
      <c r="P32" s="18">
        <v>0.3692643344402313</v>
      </c>
      <c r="Q32" s="18">
        <v>865.5555772185326</v>
      </c>
      <c r="R32" s="18">
        <v>16904.0</v>
      </c>
      <c r="S32" s="19">
        <v>0.05120418965816498</v>
      </c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18">
        <v>20103.0</v>
      </c>
      <c r="B33" s="18">
        <v>1.0</v>
      </c>
      <c r="C33" s="18">
        <v>624.0</v>
      </c>
      <c r="D33" s="18">
        <v>0.11054030060768127</v>
      </c>
      <c r="E33" s="18">
        <v>0.3769586980342865</v>
      </c>
      <c r="F33" s="18">
        <v>235.22222778201103</v>
      </c>
      <c r="G33" s="18">
        <v>5645.0</v>
      </c>
      <c r="H33" s="19">
        <v>0.041669126600027084</v>
      </c>
      <c r="I33" s="8"/>
      <c r="J33" s="8"/>
      <c r="K33" s="20"/>
      <c r="L33" s="18">
        <v>20103.0</v>
      </c>
      <c r="M33" s="18">
        <v>0.0</v>
      </c>
      <c r="N33" s="18">
        <v>1060.0</v>
      </c>
      <c r="O33" s="18">
        <v>0.072054922580719</v>
      </c>
      <c r="P33" s="18">
        <v>0.35985326766967773</v>
      </c>
      <c r="Q33" s="18">
        <v>381.44445434212685</v>
      </c>
      <c r="R33" s="18">
        <v>14711.0</v>
      </c>
      <c r="S33" s="19">
        <v>0.025929199531674385</v>
      </c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18">
        <v>20104.0</v>
      </c>
      <c r="B34" s="18">
        <v>1.0</v>
      </c>
      <c r="C34" s="18">
        <v>1445.0</v>
      </c>
      <c r="D34" s="18">
        <v>0.18228837847709656</v>
      </c>
      <c r="E34" s="18">
        <v>0.36524415016174316</v>
      </c>
      <c r="F34" s="18">
        <v>527.7777907848358</v>
      </c>
      <c r="G34" s="18">
        <v>7927.0</v>
      </c>
      <c r="H34" s="19">
        <v>0.06657976657152176</v>
      </c>
      <c r="I34" s="8"/>
      <c r="J34" s="8"/>
      <c r="K34" s="20"/>
      <c r="L34" s="18">
        <v>20104.0</v>
      </c>
      <c r="M34" s="18">
        <v>0.0</v>
      </c>
      <c r="N34" s="18">
        <v>3907.0</v>
      </c>
      <c r="O34" s="18">
        <v>0.1062435433268547</v>
      </c>
      <c r="P34" s="18">
        <v>0.3570230305194855</v>
      </c>
      <c r="Q34" s="18">
        <v>1394.8889254331589</v>
      </c>
      <c r="R34" s="18">
        <v>36774.0</v>
      </c>
      <c r="S34" s="19">
        <v>0.03793139010667801</v>
      </c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18">
        <v>20105.0</v>
      </c>
      <c r="B35" s="18">
        <v>1.0</v>
      </c>
      <c r="C35" s="18">
        <v>2090.0</v>
      </c>
      <c r="D35" s="18">
        <v>0.01728958822786808</v>
      </c>
      <c r="E35" s="18">
        <v>0.3616693317890167</v>
      </c>
      <c r="F35" s="18">
        <v>755.8889079988003</v>
      </c>
      <c r="G35" s="18">
        <v>120882.0</v>
      </c>
      <c r="H35" s="19">
        <v>0.006253113970160484</v>
      </c>
      <c r="I35" s="8"/>
      <c r="J35" s="8"/>
      <c r="K35" s="20"/>
      <c r="L35" s="18">
        <v>20105.0</v>
      </c>
      <c r="M35" s="18">
        <v>0.0</v>
      </c>
      <c r="N35" s="18">
        <v>11653.0</v>
      </c>
      <c r="O35" s="18">
        <v>0.015400677919387817</v>
      </c>
      <c r="P35" s="18">
        <v>0.35600751638412476</v>
      </c>
      <c r="Q35" s="18">
        <v>4148.555663019419</v>
      </c>
      <c r="R35" s="18">
        <v>756655.0</v>
      </c>
      <c r="S35" s="19">
        <v>0.005482756998389959</v>
      </c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18">
        <v>20201.0</v>
      </c>
      <c r="B36" s="18">
        <v>1.0</v>
      </c>
      <c r="C36" s="18">
        <v>1603.0</v>
      </c>
      <c r="D36" s="18">
        <v>0.12465976923704147</v>
      </c>
      <c r="E36" s="18">
        <v>0.3681292235851288</v>
      </c>
      <c r="F36" s="18">
        <v>590.1111258864403</v>
      </c>
      <c r="G36" s="18">
        <v>12859.0</v>
      </c>
      <c r="H36" s="19">
        <v>0.04589090496301651</v>
      </c>
      <c r="I36" s="8"/>
      <c r="J36" s="8"/>
      <c r="K36" s="20"/>
      <c r="L36" s="18">
        <v>20201.0</v>
      </c>
      <c r="M36" s="18">
        <v>0.0</v>
      </c>
      <c r="N36" s="18">
        <v>2810.0</v>
      </c>
      <c r="O36" s="18">
        <v>0.08294468373060226</v>
      </c>
      <c r="P36" s="18">
        <v>0.36769476532936096</v>
      </c>
      <c r="Q36" s="18">
        <v>1033.2222487330437</v>
      </c>
      <c r="R36" s="18">
        <v>33878.0</v>
      </c>
      <c r="S36" s="19">
        <v>0.03049832582473755</v>
      </c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18">
        <v>20202.0</v>
      </c>
      <c r="B37" s="18">
        <v>1.0</v>
      </c>
      <c r="C37" s="18">
        <v>979.0</v>
      </c>
      <c r="D37" s="18">
        <v>0.1774836778640747</v>
      </c>
      <c r="E37" s="18">
        <v>0.3728294372558594</v>
      </c>
      <c r="F37" s="18">
        <v>365.000009059906</v>
      </c>
      <c r="G37" s="18">
        <v>5516.0</v>
      </c>
      <c r="H37" s="19">
        <v>0.06617113947868347</v>
      </c>
      <c r="I37" s="8"/>
      <c r="J37" s="8"/>
      <c r="K37" s="20"/>
      <c r="L37" s="18">
        <v>20202.0</v>
      </c>
      <c r="M37" s="18">
        <v>0.0</v>
      </c>
      <c r="N37" s="18">
        <v>1972.0</v>
      </c>
      <c r="O37" s="18">
        <v>0.17369858920574188</v>
      </c>
      <c r="P37" s="18">
        <v>0.3659003973007202</v>
      </c>
      <c r="Q37" s="18">
        <v>721.5555739700794</v>
      </c>
      <c r="R37" s="18">
        <v>11353.0</v>
      </c>
      <c r="S37" s="19">
        <v>0.06355638056993484</v>
      </c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18">
        <v>20203.0</v>
      </c>
      <c r="B38" s="18">
        <v>1.0</v>
      </c>
      <c r="C38" s="18">
        <v>288.0</v>
      </c>
      <c r="D38" s="18">
        <v>0.12090680003166199</v>
      </c>
      <c r="E38" s="18">
        <v>0.36998456716537476</v>
      </c>
      <c r="F38" s="18">
        <v>106.5555582344532</v>
      </c>
      <c r="G38" s="18">
        <v>2382.0</v>
      </c>
      <c r="H38" s="19">
        <v>0.04473365098237991</v>
      </c>
      <c r="I38" s="8"/>
      <c r="J38" s="8"/>
      <c r="K38" s="20"/>
      <c r="L38" s="18">
        <v>20203.0</v>
      </c>
      <c r="M38" s="18">
        <v>0.0</v>
      </c>
      <c r="N38" s="18">
        <v>385.0</v>
      </c>
      <c r="O38" s="18">
        <v>0.08542267233133316</v>
      </c>
      <c r="P38" s="18">
        <v>0.36277055740356445</v>
      </c>
      <c r="Q38" s="18">
        <v>139.66667014360428</v>
      </c>
      <c r="R38" s="18">
        <v>4507.0</v>
      </c>
      <c r="S38" s="19">
        <v>0.03098883107304573</v>
      </c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18">
        <v>20204.0</v>
      </c>
      <c r="B39" s="18">
        <v>1.0</v>
      </c>
      <c r="C39" s="18">
        <v>428.0</v>
      </c>
      <c r="D39" s="18">
        <v>0.13613231480121613</v>
      </c>
      <c r="E39" s="18">
        <v>0.3660436272621155</v>
      </c>
      <c r="F39" s="18">
        <v>156.66667047142982</v>
      </c>
      <c r="G39" s="18">
        <v>3144.0</v>
      </c>
      <c r="H39" s="19">
        <v>0.0498303659260273</v>
      </c>
      <c r="I39" s="8"/>
      <c r="J39" s="8"/>
      <c r="K39" s="20"/>
      <c r="L39" s="18">
        <v>20204.0</v>
      </c>
      <c r="M39" s="18">
        <v>0.0</v>
      </c>
      <c r="N39" s="18">
        <v>439.0</v>
      </c>
      <c r="O39" s="18">
        <v>0.08062442392110825</v>
      </c>
      <c r="P39" s="18">
        <v>0.35687169432640076</v>
      </c>
      <c r="Q39" s="18">
        <v>156.66667073965073</v>
      </c>
      <c r="R39" s="18">
        <v>5445.0</v>
      </c>
      <c r="S39" s="19">
        <v>0.028772573918104172</v>
      </c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18">
        <v>20205.0</v>
      </c>
      <c r="B40" s="18">
        <v>1.0</v>
      </c>
      <c r="C40" s="18">
        <v>314.0</v>
      </c>
      <c r="D40" s="18">
        <v>0.08785673975944519</v>
      </c>
      <c r="E40" s="18">
        <v>0.37331917881965637</v>
      </c>
      <c r="F40" s="18">
        <v>117.22222518920898</v>
      </c>
      <c r="G40" s="18">
        <v>3574.0</v>
      </c>
      <c r="H40" s="19">
        <v>0.032798606902360916</v>
      </c>
      <c r="I40" s="8"/>
      <c r="J40" s="8"/>
      <c r="K40" s="20"/>
      <c r="L40" s="18">
        <v>20205.0</v>
      </c>
      <c r="M40" s="18">
        <v>0.0</v>
      </c>
      <c r="N40" s="18">
        <v>474.0</v>
      </c>
      <c r="O40" s="18">
        <v>0.08376038074493408</v>
      </c>
      <c r="P40" s="18">
        <v>0.3677918612957001</v>
      </c>
      <c r="Q40" s="18">
        <v>174.3333376646042</v>
      </c>
      <c r="R40" s="18">
        <v>5659.0</v>
      </c>
      <c r="S40" s="19">
        <v>0.030806386843323708</v>
      </c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18">
        <v>20206.0</v>
      </c>
      <c r="B41" s="18">
        <v>1.0</v>
      </c>
      <c r="C41" s="18">
        <v>102.0</v>
      </c>
      <c r="D41" s="18">
        <v>0.06439393758773804</v>
      </c>
      <c r="E41" s="18">
        <v>0.3681917190551758</v>
      </c>
      <c r="F41" s="18">
        <v>37.55555647611618</v>
      </c>
      <c r="G41" s="18">
        <v>1584.0</v>
      </c>
      <c r="H41" s="19">
        <v>0.023709313943982124</v>
      </c>
      <c r="I41" s="8"/>
      <c r="J41" s="8"/>
      <c r="K41" s="20"/>
      <c r="L41" s="18">
        <v>20206.0</v>
      </c>
      <c r="M41" s="18">
        <v>0.0</v>
      </c>
      <c r="N41" s="18">
        <v>187.0</v>
      </c>
      <c r="O41" s="18">
        <v>0.05420289933681488</v>
      </c>
      <c r="P41" s="18">
        <v>0.3600713014602661</v>
      </c>
      <c r="Q41" s="18">
        <v>67.33333507180214</v>
      </c>
      <c r="R41" s="18">
        <v>3450.0</v>
      </c>
      <c r="S41" s="19">
        <v>0.01951690763235092</v>
      </c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18">
        <v>20301.0</v>
      </c>
      <c r="B42" s="18">
        <v>1.0</v>
      </c>
      <c r="C42" s="18">
        <v>966.0</v>
      </c>
      <c r="D42" s="18">
        <v>0.22681380808353424</v>
      </c>
      <c r="E42" s="18">
        <v>0.38244765996932983</v>
      </c>
      <c r="F42" s="18">
        <v>369.4444537460804</v>
      </c>
      <c r="G42" s="18">
        <v>4259.0</v>
      </c>
      <c r="H42" s="19">
        <v>0.08674441277980804</v>
      </c>
      <c r="I42" s="8"/>
      <c r="J42" s="8"/>
      <c r="K42" s="20"/>
      <c r="L42" s="18">
        <v>20301.0</v>
      </c>
      <c r="M42" s="18">
        <v>0.0</v>
      </c>
      <c r="N42" s="18">
        <v>2172.0</v>
      </c>
      <c r="O42" s="18">
        <v>0.24227552115917206</v>
      </c>
      <c r="P42" s="18">
        <v>0.3717004358768463</v>
      </c>
      <c r="Q42" s="18">
        <v>807.3333531022072</v>
      </c>
      <c r="R42" s="18">
        <v>8965.0</v>
      </c>
      <c r="S42" s="19">
        <v>0.09005391597747803</v>
      </c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18">
        <v>20302.0</v>
      </c>
      <c r="B43" s="18">
        <v>1.0</v>
      </c>
      <c r="C43" s="18">
        <v>968.0</v>
      </c>
      <c r="D43" s="18">
        <v>0.1462898552417755</v>
      </c>
      <c r="E43" s="18">
        <v>0.3666207492351532</v>
      </c>
      <c r="F43" s="18">
        <v>354.88889718055725</v>
      </c>
      <c r="G43" s="18">
        <v>6617.0</v>
      </c>
      <c r="H43" s="19">
        <v>0.05363289639353752</v>
      </c>
      <c r="I43" s="8"/>
      <c r="J43" s="8"/>
      <c r="K43" s="20"/>
      <c r="L43" s="18">
        <v>20302.0</v>
      </c>
      <c r="M43" s="18">
        <v>0.0</v>
      </c>
      <c r="N43" s="18">
        <v>1319.0</v>
      </c>
      <c r="O43" s="18">
        <v>0.14952953159809113</v>
      </c>
      <c r="P43" s="18">
        <v>0.36601802706718445</v>
      </c>
      <c r="Q43" s="18">
        <v>482.7777898311615</v>
      </c>
      <c r="R43" s="18">
        <v>8821.0</v>
      </c>
      <c r="S43" s="19">
        <v>0.054730504751205444</v>
      </c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18">
        <v>20303.0</v>
      </c>
      <c r="B44" s="18">
        <v>1.0</v>
      </c>
      <c r="C44" s="18">
        <v>1044.0</v>
      </c>
      <c r="D44" s="18">
        <v>0.25168755650520325</v>
      </c>
      <c r="E44" s="18">
        <v>0.37164750695228577</v>
      </c>
      <c r="F44" s="18">
        <v>388.00000938773155</v>
      </c>
      <c r="G44" s="18">
        <v>4148.0</v>
      </c>
      <c r="H44" s="19">
        <v>0.0935390517115593</v>
      </c>
      <c r="I44" s="8"/>
      <c r="J44" s="8"/>
      <c r="K44" s="20"/>
      <c r="L44" s="18">
        <v>20303.0</v>
      </c>
      <c r="M44" s="18">
        <v>0.0</v>
      </c>
      <c r="N44" s="18">
        <v>2135.0</v>
      </c>
      <c r="O44" s="18">
        <v>0.26558029651641846</v>
      </c>
      <c r="P44" s="18">
        <v>0.37298986315727234</v>
      </c>
      <c r="Q44" s="18">
        <v>796.3333521187305</v>
      </c>
      <c r="R44" s="18">
        <v>8039.0</v>
      </c>
      <c r="S44" s="19">
        <v>0.09905875474214554</v>
      </c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18">
        <v>20304.0</v>
      </c>
      <c r="B45" s="18">
        <v>1.0</v>
      </c>
      <c r="C45" s="18">
        <v>190.0</v>
      </c>
      <c r="D45" s="18">
        <v>0.10160427540540695</v>
      </c>
      <c r="E45" s="18">
        <v>0.3637427091598511</v>
      </c>
      <c r="F45" s="18">
        <v>69.111113011837</v>
      </c>
      <c r="G45" s="18">
        <v>1870.0</v>
      </c>
      <c r="H45" s="19">
        <v>0.036957815289497375</v>
      </c>
      <c r="I45" s="8"/>
      <c r="J45" s="8"/>
      <c r="K45" s="20"/>
      <c r="L45" s="18">
        <v>20304.0</v>
      </c>
      <c r="M45" s="18">
        <v>0.0</v>
      </c>
      <c r="N45" s="18">
        <v>359.0</v>
      </c>
      <c r="O45" s="18">
        <v>0.10703637450933456</v>
      </c>
      <c r="P45" s="18">
        <v>0.3559269607067108</v>
      </c>
      <c r="Q45" s="18">
        <v>127.77778097987175</v>
      </c>
      <c r="R45" s="18">
        <v>3354.0</v>
      </c>
      <c r="S45" s="19">
        <v>0.03809713199734688</v>
      </c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18">
        <v>20305.0</v>
      </c>
      <c r="B46" s="18">
        <v>1.0</v>
      </c>
      <c r="C46" s="18">
        <v>369.0</v>
      </c>
      <c r="D46" s="18">
        <v>0.3494318127632141</v>
      </c>
      <c r="E46" s="18">
        <v>0.380307137966156</v>
      </c>
      <c r="F46" s="18">
        <v>140.33333694934845</v>
      </c>
      <c r="G46" s="18">
        <v>1056.0</v>
      </c>
      <c r="H46" s="19">
        <v>0.13289141654968262</v>
      </c>
      <c r="I46" s="8"/>
      <c r="J46" s="8"/>
      <c r="K46" s="20"/>
      <c r="L46" s="18">
        <v>20305.0</v>
      </c>
      <c r="M46" s="18">
        <v>0.0</v>
      </c>
      <c r="N46" s="18">
        <v>1025.0</v>
      </c>
      <c r="O46" s="18">
        <v>0.3342027962207794</v>
      </c>
      <c r="P46" s="18">
        <v>0.3737669587135315</v>
      </c>
      <c r="Q46" s="18">
        <v>383.111120223999</v>
      </c>
      <c r="R46" s="18">
        <v>3067.0</v>
      </c>
      <c r="S46" s="19">
        <v>0.12491396069526672</v>
      </c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18">
        <v>20306.0</v>
      </c>
      <c r="B47" s="18">
        <v>1.0</v>
      </c>
      <c r="C47" s="18">
        <v>316.0</v>
      </c>
      <c r="D47" s="18">
        <v>0.20803159475326538</v>
      </c>
      <c r="E47" s="18">
        <v>0.369901567697525</v>
      </c>
      <c r="F47" s="18">
        <v>116.88889199495316</v>
      </c>
      <c r="G47" s="18">
        <v>1519.0</v>
      </c>
      <c r="H47" s="19">
        <v>0.07695121318101883</v>
      </c>
      <c r="I47" s="8"/>
      <c r="J47" s="8"/>
      <c r="K47" s="20"/>
      <c r="L47" s="18">
        <v>20306.0</v>
      </c>
      <c r="M47" s="18">
        <v>0.0</v>
      </c>
      <c r="N47" s="18">
        <v>843.0</v>
      </c>
      <c r="O47" s="18">
        <v>0.18515264987945557</v>
      </c>
      <c r="P47" s="18">
        <v>0.37129300832748413</v>
      </c>
      <c r="Q47" s="18">
        <v>313.0000079572201</v>
      </c>
      <c r="R47" s="18">
        <v>4553.0</v>
      </c>
      <c r="S47" s="19">
        <v>0.06874588131904602</v>
      </c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18">
        <v>20307.0</v>
      </c>
      <c r="B48" s="18">
        <v>1.0</v>
      </c>
      <c r="C48" s="18">
        <v>280.0</v>
      </c>
      <c r="D48" s="18">
        <v>0.1995723396539688</v>
      </c>
      <c r="E48" s="18">
        <v>0.36150795221328735</v>
      </c>
      <c r="F48" s="18">
        <v>101.22222462296486</v>
      </c>
      <c r="G48" s="18">
        <v>1403.0</v>
      </c>
      <c r="H48" s="19">
        <v>0.07214698940515518</v>
      </c>
      <c r="I48" s="8"/>
      <c r="J48" s="8"/>
      <c r="K48" s="20"/>
      <c r="L48" s="18">
        <v>20307.0</v>
      </c>
      <c r="M48" s="18">
        <v>0.0</v>
      </c>
      <c r="N48" s="18">
        <v>513.0</v>
      </c>
      <c r="O48" s="18">
        <v>0.19625096023082733</v>
      </c>
      <c r="P48" s="18">
        <v>0.3666883409023285</v>
      </c>
      <c r="Q48" s="18">
        <v>188.11111557483673</v>
      </c>
      <c r="R48" s="18">
        <v>2614.0</v>
      </c>
      <c r="S48" s="19">
        <v>0.07196293771266937</v>
      </c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18">
        <v>20308.0</v>
      </c>
      <c r="B49" s="18">
        <v>1.0</v>
      </c>
      <c r="C49" s="18">
        <v>1184.0</v>
      </c>
      <c r="D49" s="18">
        <v>0.38230544328689575</v>
      </c>
      <c r="E49" s="18">
        <v>0.36955705285072327</v>
      </c>
      <c r="F49" s="18">
        <v>437.55556586384773</v>
      </c>
      <c r="G49" s="18">
        <v>3097.0</v>
      </c>
      <c r="H49" s="19">
        <v>0.14128367602825165</v>
      </c>
      <c r="I49" s="8"/>
      <c r="J49" s="8"/>
      <c r="K49" s="20"/>
      <c r="L49" s="18">
        <v>20308.0</v>
      </c>
      <c r="M49" s="18">
        <v>0.0</v>
      </c>
      <c r="N49" s="18">
        <v>1699.0</v>
      </c>
      <c r="O49" s="18">
        <v>0.3456061780452728</v>
      </c>
      <c r="P49" s="18">
        <v>0.37198352813720703</v>
      </c>
      <c r="Q49" s="18">
        <v>632.000015348196</v>
      </c>
      <c r="R49" s="18">
        <v>4916.0</v>
      </c>
      <c r="S49" s="19">
        <v>0.12855981290340424</v>
      </c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18">
        <v>20401.0</v>
      </c>
      <c r="B50" s="18">
        <v>1.0</v>
      </c>
      <c r="C50" s="18">
        <v>1332.0</v>
      </c>
      <c r="D50" s="18">
        <v>0.2698541283607483</v>
      </c>
      <c r="E50" s="18">
        <v>0.3731231391429901</v>
      </c>
      <c r="F50" s="18">
        <v>497.0000119507313</v>
      </c>
      <c r="G50" s="18">
        <v>4936.0</v>
      </c>
      <c r="H50" s="19">
        <v>0.10068882256746292</v>
      </c>
      <c r="I50" s="8"/>
      <c r="J50" s="8"/>
      <c r="K50" s="20"/>
      <c r="L50" s="18">
        <v>20401.0</v>
      </c>
      <c r="M50" s="18">
        <v>0.0</v>
      </c>
      <c r="N50" s="18">
        <v>2151.0</v>
      </c>
      <c r="O50" s="18">
        <v>0.23815323412418365</v>
      </c>
      <c r="P50" s="18">
        <v>0.37006044387817383</v>
      </c>
      <c r="Q50" s="18">
        <v>796.0000194013119</v>
      </c>
      <c r="R50" s="18">
        <v>9032.0</v>
      </c>
      <c r="S50" s="19">
        <v>0.08813109248876572</v>
      </c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18">
        <v>20402.0</v>
      </c>
      <c r="B51" s="18">
        <v>1.0</v>
      </c>
      <c r="C51" s="18">
        <v>1206.0</v>
      </c>
      <c r="D51" s="18">
        <v>0.21871599555015564</v>
      </c>
      <c r="E51" s="18">
        <v>0.37672749161720276</v>
      </c>
      <c r="F51" s="18">
        <v>454.3333451151848</v>
      </c>
      <c r="G51" s="18">
        <v>5514.0</v>
      </c>
      <c r="H51" s="19">
        <v>0.08239632844924927</v>
      </c>
      <c r="I51" s="8"/>
      <c r="J51" s="8"/>
      <c r="K51" s="20"/>
      <c r="L51" s="18">
        <v>20402.0</v>
      </c>
      <c r="M51" s="18">
        <v>0.0</v>
      </c>
      <c r="N51" s="18">
        <v>1958.0</v>
      </c>
      <c r="O51" s="18">
        <v>0.16028159856796265</v>
      </c>
      <c r="P51" s="18">
        <v>0.3688003718852997</v>
      </c>
      <c r="Q51" s="18">
        <v>722.1111290454865</v>
      </c>
      <c r="R51" s="18">
        <v>12216.0</v>
      </c>
      <c r="S51" s="19">
        <v>0.05911191180348396</v>
      </c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18">
        <v>20403.0</v>
      </c>
      <c r="B52" s="18">
        <v>1.0</v>
      </c>
      <c r="C52" s="18">
        <v>1210.0</v>
      </c>
      <c r="D52" s="18">
        <v>0.21127989888191223</v>
      </c>
      <c r="E52" s="18">
        <v>0.36795225739479065</v>
      </c>
      <c r="F52" s="18">
        <v>445.22223365306854</v>
      </c>
      <c r="G52" s="18">
        <v>5727.0</v>
      </c>
      <c r="H52" s="19">
        <v>0.07774091511964798</v>
      </c>
      <c r="I52" s="8"/>
      <c r="J52" s="8"/>
      <c r="K52" s="20"/>
      <c r="L52" s="18">
        <v>20403.0</v>
      </c>
      <c r="M52" s="18">
        <v>0.0</v>
      </c>
      <c r="N52" s="18">
        <v>1847.0</v>
      </c>
      <c r="O52" s="18">
        <v>0.16335013508796692</v>
      </c>
      <c r="P52" s="18">
        <v>0.3631715178489685</v>
      </c>
      <c r="Q52" s="18">
        <v>670.7777947187424</v>
      </c>
      <c r="R52" s="18">
        <v>11307.0</v>
      </c>
      <c r="S52" s="19">
        <v>0.05932411551475525</v>
      </c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18">
        <v>20404.0</v>
      </c>
      <c r="B53" s="18">
        <v>1.0</v>
      </c>
      <c r="C53" s="18">
        <v>572.0</v>
      </c>
      <c r="D53" s="18">
        <v>0.3197316825389862</v>
      </c>
      <c r="E53" s="18">
        <v>0.3865579068660736</v>
      </c>
      <c r="F53" s="18">
        <v>221.1111167371273</v>
      </c>
      <c r="G53" s="18">
        <v>1789.0</v>
      </c>
      <c r="H53" s="19">
        <v>0.12359481304883957</v>
      </c>
      <c r="I53" s="8"/>
      <c r="J53" s="8"/>
      <c r="K53" s="20"/>
      <c r="L53" s="18">
        <v>20404.0</v>
      </c>
      <c r="M53" s="18">
        <v>0.0</v>
      </c>
      <c r="N53" s="18">
        <v>957.0</v>
      </c>
      <c r="O53" s="18">
        <v>0.2477990686893463</v>
      </c>
      <c r="P53" s="18">
        <v>0.38256126642227173</v>
      </c>
      <c r="Q53" s="18">
        <v>366.11112025380135</v>
      </c>
      <c r="R53" s="18">
        <v>3862.0</v>
      </c>
      <c r="S53" s="19">
        <v>0.09479832649230957</v>
      </c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18">
        <v>20405.0</v>
      </c>
      <c r="B54" s="18">
        <v>1.0</v>
      </c>
      <c r="C54" s="18">
        <v>820.0</v>
      </c>
      <c r="D54" s="18">
        <v>0.26307347416877747</v>
      </c>
      <c r="E54" s="18">
        <v>0.3764227628707886</v>
      </c>
      <c r="F54" s="18">
        <v>308.66667422652245</v>
      </c>
      <c r="G54" s="18">
        <v>3117.0</v>
      </c>
      <c r="H54" s="19">
        <v>0.09902684390544891</v>
      </c>
      <c r="I54" s="8"/>
      <c r="J54" s="8"/>
      <c r="K54" s="20"/>
      <c r="L54" s="18">
        <v>20405.0</v>
      </c>
      <c r="M54" s="18">
        <v>0.0</v>
      </c>
      <c r="N54" s="18">
        <v>1154.0</v>
      </c>
      <c r="O54" s="18">
        <v>0.20263388752937317</v>
      </c>
      <c r="P54" s="18">
        <v>0.37521663308143616</v>
      </c>
      <c r="Q54" s="18">
        <v>433.0000104904175</v>
      </c>
      <c r="R54" s="18">
        <v>5695.0</v>
      </c>
      <c r="S54" s="19">
        <v>0.07603160291910172</v>
      </c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18">
        <v>20501.0</v>
      </c>
      <c r="B55" s="18">
        <v>1.0</v>
      </c>
      <c r="C55" s="18">
        <v>896.0</v>
      </c>
      <c r="D55" s="18">
        <v>0.18068158626556396</v>
      </c>
      <c r="E55" s="18">
        <v>0.3783482313156128</v>
      </c>
      <c r="F55" s="18">
        <v>339.0000080168247</v>
      </c>
      <c r="G55" s="18">
        <v>4959.0</v>
      </c>
      <c r="H55" s="19">
        <v>0.06836055964231491</v>
      </c>
      <c r="I55" s="8"/>
      <c r="J55" s="8"/>
      <c r="K55" s="20"/>
      <c r="L55" s="18">
        <v>20501.0</v>
      </c>
      <c r="M55" s="18">
        <v>0.0</v>
      </c>
      <c r="N55" s="18">
        <v>1702.0</v>
      </c>
      <c r="O55" s="18">
        <v>0.13267850875854492</v>
      </c>
      <c r="P55" s="18">
        <v>0.3733516335487366</v>
      </c>
      <c r="Q55" s="18">
        <v>635.4444608092308</v>
      </c>
      <c r="R55" s="18">
        <v>12828.0</v>
      </c>
      <c r="S55" s="19">
        <v>0.049535736441612244</v>
      </c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18">
        <v>20502.0</v>
      </c>
      <c r="B56" s="18">
        <v>1.0</v>
      </c>
      <c r="C56" s="18">
        <v>504.0</v>
      </c>
      <c r="D56" s="18">
        <v>0.27257975935935974</v>
      </c>
      <c r="E56" s="18">
        <v>0.3906525671482086</v>
      </c>
      <c r="F56" s="18">
        <v>196.88889348506927</v>
      </c>
      <c r="G56" s="18">
        <v>1849.0</v>
      </c>
      <c r="H56" s="19">
        <v>0.10648398101329803</v>
      </c>
      <c r="I56" s="8"/>
      <c r="J56" s="8"/>
      <c r="K56" s="20"/>
      <c r="L56" s="18">
        <v>20502.0</v>
      </c>
      <c r="M56" s="18">
        <v>0.0</v>
      </c>
      <c r="N56" s="18">
        <v>1438.0</v>
      </c>
      <c r="O56" s="18">
        <v>0.20080994069576263</v>
      </c>
      <c r="P56" s="18">
        <v>0.3775305449962616</v>
      </c>
      <c r="Q56" s="18">
        <v>542.8889031112194</v>
      </c>
      <c r="R56" s="18">
        <v>7161.0</v>
      </c>
      <c r="S56" s="19">
        <v>0.07581188529729843</v>
      </c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18">
        <v>20503.0</v>
      </c>
      <c r="B57" s="18">
        <v>1.0</v>
      </c>
      <c r="C57" s="18">
        <v>330.0</v>
      </c>
      <c r="D57" s="18">
        <v>0.2899824380874634</v>
      </c>
      <c r="E57" s="18">
        <v>0.3909091055393219</v>
      </c>
      <c r="F57" s="18">
        <v>129.00000309944153</v>
      </c>
      <c r="G57" s="18">
        <v>1138.0</v>
      </c>
      <c r="H57" s="19">
        <v>0.11335677653551102</v>
      </c>
      <c r="I57" s="8"/>
      <c r="J57" s="8"/>
      <c r="K57" s="20"/>
      <c r="L57" s="18">
        <v>20503.0</v>
      </c>
      <c r="M57" s="18">
        <v>0.0</v>
      </c>
      <c r="N57" s="18">
        <v>946.0</v>
      </c>
      <c r="O57" s="18">
        <v>0.17802032828330994</v>
      </c>
      <c r="P57" s="18">
        <v>0.3758515417575836</v>
      </c>
      <c r="Q57" s="18">
        <v>355.55556496977806</v>
      </c>
      <c r="R57" s="18">
        <v>5314.0</v>
      </c>
      <c r="S57" s="19">
        <v>0.06690921634435654</v>
      </c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18">
        <v>20601.0</v>
      </c>
      <c r="B58" s="18">
        <v>1.0</v>
      </c>
      <c r="C58" s="18">
        <v>1193.0</v>
      </c>
      <c r="D58" s="18">
        <v>0.17835251986980438</v>
      </c>
      <c r="E58" s="18">
        <v>0.3701220154762268</v>
      </c>
      <c r="F58" s="18">
        <v>441.55556708574295</v>
      </c>
      <c r="G58" s="18">
        <v>6689.0</v>
      </c>
      <c r="H58" s="19">
        <v>0.0660121962428093</v>
      </c>
      <c r="I58" s="8"/>
      <c r="J58" s="8"/>
      <c r="K58" s="20"/>
      <c r="L58" s="18">
        <v>20601.0</v>
      </c>
      <c r="M58" s="18">
        <v>0.0</v>
      </c>
      <c r="N58" s="18">
        <v>3198.0</v>
      </c>
      <c r="O58" s="18">
        <v>0.13836967945098877</v>
      </c>
      <c r="P58" s="18">
        <v>0.3657841682434082</v>
      </c>
      <c r="Q58" s="18">
        <v>1169.7778072059155</v>
      </c>
      <c r="R58" s="18">
        <v>23112.0</v>
      </c>
      <c r="S58" s="19">
        <v>0.050613436847925186</v>
      </c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18">
        <v>20602.0</v>
      </c>
      <c r="B59" s="18">
        <v>1.0</v>
      </c>
      <c r="C59" s="18">
        <v>263.0</v>
      </c>
      <c r="D59" s="18">
        <v>0.10899295657873154</v>
      </c>
      <c r="E59" s="18">
        <v>0.39079004526138306</v>
      </c>
      <c r="F59" s="18">
        <v>102.77778035402298</v>
      </c>
      <c r="G59" s="18">
        <v>2413.0</v>
      </c>
      <c r="H59" s="19">
        <v>0.04259336367249489</v>
      </c>
      <c r="I59" s="8"/>
      <c r="J59" s="8"/>
      <c r="K59" s="20"/>
      <c r="L59" s="18">
        <v>20602.0</v>
      </c>
      <c r="M59" s="18">
        <v>0.0</v>
      </c>
      <c r="N59" s="18">
        <v>1725.0</v>
      </c>
      <c r="O59" s="18">
        <v>0.1265590637922287</v>
      </c>
      <c r="P59" s="18">
        <v>0.3729468584060669</v>
      </c>
      <c r="Q59" s="18">
        <v>643.3333486914635</v>
      </c>
      <c r="R59" s="18">
        <v>13630.0</v>
      </c>
      <c r="S59" s="19">
        <v>0.047199804335832596</v>
      </c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18">
        <v>20603.0</v>
      </c>
      <c r="B60" s="18">
        <v>1.0</v>
      </c>
      <c r="C60" s="18">
        <v>377.0</v>
      </c>
      <c r="D60" s="18">
        <v>0.255420058965683</v>
      </c>
      <c r="E60" s="18">
        <v>0.3801945149898529</v>
      </c>
      <c r="F60" s="18">
        <v>143.33333694934845</v>
      </c>
      <c r="G60" s="18">
        <v>1476.0</v>
      </c>
      <c r="H60" s="19">
        <v>0.09710930287837982</v>
      </c>
      <c r="I60" s="8"/>
      <c r="J60" s="8"/>
      <c r="K60" s="20"/>
      <c r="L60" s="18">
        <v>20603.0</v>
      </c>
      <c r="M60" s="18">
        <v>0.0</v>
      </c>
      <c r="N60" s="18">
        <v>1437.0</v>
      </c>
      <c r="O60" s="18">
        <v>0.1787535697221756</v>
      </c>
      <c r="P60" s="18">
        <v>0.37485504150390625</v>
      </c>
      <c r="Q60" s="18">
        <v>538.6666803359985</v>
      </c>
      <c r="R60" s="18">
        <v>8039.0</v>
      </c>
      <c r="S60" s="19">
        <v>0.0670066773891449</v>
      </c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18">
        <v>20604.0</v>
      </c>
      <c r="B61" s="18">
        <v>1.0</v>
      </c>
      <c r="C61" s="18">
        <v>278.0</v>
      </c>
      <c r="D61" s="18">
        <v>0.29956895112991333</v>
      </c>
      <c r="E61" s="18">
        <v>0.38369306921958923</v>
      </c>
      <c r="F61" s="18">
        <v>106.66666942834854</v>
      </c>
      <c r="G61" s="18">
        <v>928.0</v>
      </c>
      <c r="H61" s="19">
        <v>0.1149425283074379</v>
      </c>
      <c r="I61" s="8"/>
      <c r="J61" s="8"/>
      <c r="K61" s="20"/>
      <c r="L61" s="18">
        <v>20604.0</v>
      </c>
      <c r="M61" s="18">
        <v>0.0</v>
      </c>
      <c r="N61" s="18">
        <v>704.0</v>
      </c>
      <c r="O61" s="18">
        <v>0.21938298642635345</v>
      </c>
      <c r="P61" s="18">
        <v>0.3767361342906952</v>
      </c>
      <c r="Q61" s="18">
        <v>265.2222286760807</v>
      </c>
      <c r="R61" s="18">
        <v>3209.0</v>
      </c>
      <c r="S61" s="19">
        <v>0.08264949917793274</v>
      </c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18">
        <v>20605.0</v>
      </c>
      <c r="B62" s="18">
        <v>1.0</v>
      </c>
      <c r="C62" s="18">
        <v>248.0</v>
      </c>
      <c r="D62" s="18">
        <v>0.1954294741153717</v>
      </c>
      <c r="E62" s="18">
        <v>0.36245521903038025</v>
      </c>
      <c r="F62" s="18">
        <v>89.88889101147652</v>
      </c>
      <c r="G62" s="18">
        <v>1269.0</v>
      </c>
      <c r="H62" s="19">
        <v>0.0708344355225563</v>
      </c>
      <c r="I62" s="8"/>
      <c r="J62" s="8"/>
      <c r="K62" s="20"/>
      <c r="L62" s="18">
        <v>20605.0</v>
      </c>
      <c r="M62" s="18">
        <v>0.0</v>
      </c>
      <c r="N62" s="18">
        <v>359.0</v>
      </c>
      <c r="O62" s="18">
        <v>0.1596975028514862</v>
      </c>
      <c r="P62" s="18">
        <v>0.3868771493434906</v>
      </c>
      <c r="Q62" s="18">
        <v>138.88889175653458</v>
      </c>
      <c r="R62" s="18">
        <v>2248.0</v>
      </c>
      <c r="S62" s="19">
        <v>0.0617833137512207</v>
      </c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18">
        <v>20606.0</v>
      </c>
      <c r="B63" s="18">
        <v>1.0</v>
      </c>
      <c r="C63" s="18">
        <v>159.0</v>
      </c>
      <c r="D63" s="18">
        <v>0.12296983599662781</v>
      </c>
      <c r="E63" s="18">
        <v>0.37037038803100586</v>
      </c>
      <c r="F63" s="18">
        <v>58.88889020681381</v>
      </c>
      <c r="G63" s="18">
        <v>1293.0</v>
      </c>
      <c r="H63" s="19">
        <v>0.04554438591003418</v>
      </c>
      <c r="I63" s="8"/>
      <c r="J63" s="8"/>
      <c r="K63" s="20"/>
      <c r="L63" s="18">
        <v>20606.0</v>
      </c>
      <c r="M63" s="18">
        <v>0.0</v>
      </c>
      <c r="N63" s="18">
        <v>444.0</v>
      </c>
      <c r="O63" s="18">
        <v>0.0707118958234787</v>
      </c>
      <c r="P63" s="18">
        <v>0.3508508503437042</v>
      </c>
      <c r="Q63" s="18">
        <v>155.77778178453445</v>
      </c>
      <c r="R63" s="18">
        <v>6279.0</v>
      </c>
      <c r="S63" s="19">
        <v>0.024809328839182854</v>
      </c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18">
        <v>20607.0</v>
      </c>
      <c r="B64" s="18">
        <v>1.0</v>
      </c>
      <c r="C64" s="18">
        <v>125.0</v>
      </c>
      <c r="D64" s="18">
        <v>0.05932605639100075</v>
      </c>
      <c r="E64" s="18">
        <v>0.35733333230018616</v>
      </c>
      <c r="F64" s="18">
        <v>44.666667729616165</v>
      </c>
      <c r="G64" s="18">
        <v>2107.0</v>
      </c>
      <c r="H64" s="19">
        <v>0.02119917795062065</v>
      </c>
      <c r="I64" s="8"/>
      <c r="J64" s="8"/>
      <c r="K64" s="20"/>
      <c r="L64" s="18">
        <v>20607.0</v>
      </c>
      <c r="M64" s="18">
        <v>0.0</v>
      </c>
      <c r="N64" s="18">
        <v>1065.0</v>
      </c>
      <c r="O64" s="18">
        <v>0.059192974120378494</v>
      </c>
      <c r="P64" s="18">
        <v>0.37360459566116333</v>
      </c>
      <c r="Q64" s="18">
        <v>397.888898819685</v>
      </c>
      <c r="R64" s="18">
        <v>17992.0</v>
      </c>
      <c r="S64" s="19">
        <v>0.022114766761660576</v>
      </c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18">
        <v>20608.0</v>
      </c>
      <c r="B65" s="18">
        <v>1.0</v>
      </c>
      <c r="C65" s="18">
        <v>479.0</v>
      </c>
      <c r="D65" s="18">
        <v>0.239260733127594</v>
      </c>
      <c r="E65" s="18">
        <v>0.37740665674209595</v>
      </c>
      <c r="F65" s="18">
        <v>180.77778229117393</v>
      </c>
      <c r="G65" s="18">
        <v>2002.0</v>
      </c>
      <c r="H65" s="19">
        <v>0.090298593044281</v>
      </c>
      <c r="I65" s="8"/>
      <c r="J65" s="8"/>
      <c r="K65" s="20"/>
      <c r="L65" s="18">
        <v>20608.0</v>
      </c>
      <c r="M65" s="18">
        <v>0.0</v>
      </c>
      <c r="N65" s="18">
        <v>2370.0</v>
      </c>
      <c r="O65" s="18">
        <v>0.2165372371673584</v>
      </c>
      <c r="P65" s="18">
        <v>0.3757149577140808</v>
      </c>
      <c r="Q65" s="18">
        <v>890.4444662332535</v>
      </c>
      <c r="R65" s="18">
        <v>10945.0</v>
      </c>
      <c r="S65" s="19">
        <v>0.08135627955198288</v>
      </c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18">
        <v>20701.0</v>
      </c>
      <c r="B66" s="18">
        <v>1.0</v>
      </c>
      <c r="C66" s="18">
        <v>992.0</v>
      </c>
      <c r="D66" s="18">
        <v>0.2668101191520691</v>
      </c>
      <c r="E66" s="18">
        <v>0.41207438707351685</v>
      </c>
      <c r="F66" s="18">
        <v>408.7777889072895</v>
      </c>
      <c r="G66" s="18">
        <v>3718.0</v>
      </c>
      <c r="H66" s="19">
        <v>0.1099456176161766</v>
      </c>
      <c r="I66" s="8"/>
      <c r="J66" s="8"/>
      <c r="K66" s="20"/>
      <c r="L66" s="18">
        <v>20701.0</v>
      </c>
      <c r="M66" s="18">
        <v>0.0</v>
      </c>
      <c r="N66" s="18">
        <v>2950.0</v>
      </c>
      <c r="O66" s="18">
        <v>0.19994577765464783</v>
      </c>
      <c r="P66" s="18">
        <v>0.3987194001674652</v>
      </c>
      <c r="Q66" s="18">
        <v>1176.2222518324852</v>
      </c>
      <c r="R66" s="18">
        <v>14754.0</v>
      </c>
      <c r="S66" s="19">
        <v>0.07972226291894913</v>
      </c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18">
        <v>20702.0</v>
      </c>
      <c r="B67" s="18">
        <v>1.0</v>
      </c>
      <c r="C67" s="18">
        <v>180.0</v>
      </c>
      <c r="D67" s="18">
        <v>0.1782178282737732</v>
      </c>
      <c r="E67" s="18">
        <v>0.3808642029762268</v>
      </c>
      <c r="F67" s="18">
        <v>68.55555719137192</v>
      </c>
      <c r="G67" s="18">
        <v>1010.0</v>
      </c>
      <c r="H67" s="19">
        <v>0.06787679344415665</v>
      </c>
      <c r="I67" s="8"/>
      <c r="J67" s="8"/>
      <c r="K67" s="20"/>
      <c r="L67" s="18">
        <v>20702.0</v>
      </c>
      <c r="M67" s="18">
        <v>0.0</v>
      </c>
      <c r="N67" s="18">
        <v>1030.0</v>
      </c>
      <c r="O67" s="18">
        <v>0.13771894574165344</v>
      </c>
      <c r="P67" s="18">
        <v>0.36353829503059387</v>
      </c>
      <c r="Q67" s="18">
        <v>374.44445383548737</v>
      </c>
      <c r="R67" s="18">
        <v>7479.0</v>
      </c>
      <c r="S67" s="19">
        <v>0.050066109746694565</v>
      </c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18">
        <v>20801.0</v>
      </c>
      <c r="B68" s="18">
        <v>1.0</v>
      </c>
      <c r="C68" s="18">
        <v>1645.0</v>
      </c>
      <c r="D68" s="18">
        <v>0.08595464378595352</v>
      </c>
      <c r="E68" s="18">
        <v>0.3677811622619629</v>
      </c>
      <c r="F68" s="18">
        <v>605.0000148117542</v>
      </c>
      <c r="G68" s="18">
        <v>19138.0</v>
      </c>
      <c r="H68" s="19">
        <v>0.03161250054836273</v>
      </c>
      <c r="I68" s="8"/>
      <c r="J68" s="8"/>
      <c r="K68" s="20"/>
      <c r="L68" s="18">
        <v>20801.0</v>
      </c>
      <c r="M68" s="18">
        <v>0.0</v>
      </c>
      <c r="N68" s="18">
        <v>5004.0</v>
      </c>
      <c r="O68" s="18">
        <v>0.0544724203646183</v>
      </c>
      <c r="P68" s="18">
        <v>0.3598898649215698</v>
      </c>
      <c r="Q68" s="18">
        <v>1800.888934969902</v>
      </c>
      <c r="R68" s="18">
        <v>91863.0</v>
      </c>
      <c r="S68" s="19">
        <v>0.019604071974754333</v>
      </c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18">
        <v>20802.0</v>
      </c>
      <c r="B69" s="18">
        <v>1.0</v>
      </c>
      <c r="C69" s="18">
        <v>302.0</v>
      </c>
      <c r="D69" s="18">
        <v>0.09344059228897095</v>
      </c>
      <c r="E69" s="18">
        <v>0.36166298389434814</v>
      </c>
      <c r="F69" s="18">
        <v>109.22222504019737</v>
      </c>
      <c r="G69" s="18">
        <v>3232.0</v>
      </c>
      <c r="H69" s="19">
        <v>0.03379400447010994</v>
      </c>
      <c r="I69" s="8"/>
      <c r="J69" s="8"/>
      <c r="K69" s="20"/>
      <c r="L69" s="18">
        <v>20802.0</v>
      </c>
      <c r="M69" s="18">
        <v>0.0</v>
      </c>
      <c r="N69" s="18">
        <v>334.0</v>
      </c>
      <c r="O69" s="18">
        <v>0.06777597218751907</v>
      </c>
      <c r="P69" s="18">
        <v>0.36493679881095886</v>
      </c>
      <c r="Q69" s="18">
        <v>121.88889196515083</v>
      </c>
      <c r="R69" s="18">
        <v>4928.0</v>
      </c>
      <c r="S69" s="19">
        <v>0.024733945727348328</v>
      </c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18">
        <v>20803.0</v>
      </c>
      <c r="B70" s="18">
        <v>1.0</v>
      </c>
      <c r="C70" s="18">
        <v>860.0</v>
      </c>
      <c r="D70" s="18">
        <v>0.189845472574234</v>
      </c>
      <c r="E70" s="18">
        <v>0.38307493925094604</v>
      </c>
      <c r="F70" s="18">
        <v>329.4444524049759</v>
      </c>
      <c r="G70" s="18">
        <v>4530.0</v>
      </c>
      <c r="H70" s="19">
        <v>0.07272504270076752</v>
      </c>
      <c r="I70" s="8"/>
      <c r="J70" s="8"/>
      <c r="K70" s="20"/>
      <c r="L70" s="18">
        <v>20803.0</v>
      </c>
      <c r="M70" s="18">
        <v>0.0</v>
      </c>
      <c r="N70" s="18">
        <v>1807.0</v>
      </c>
      <c r="O70" s="18">
        <v>0.1987680196762085</v>
      </c>
      <c r="P70" s="18">
        <v>0.3908872902393341</v>
      </c>
      <c r="Q70" s="18">
        <v>706.3333503305912</v>
      </c>
      <c r="R70" s="18">
        <v>9091.0</v>
      </c>
      <c r="S70" s="19">
        <v>0.07769589126110077</v>
      </c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18">
        <v>20804.0</v>
      </c>
      <c r="B71" s="18">
        <v>1.0</v>
      </c>
      <c r="C71" s="18">
        <v>105.0</v>
      </c>
      <c r="D71" s="18">
        <v>0.05602988228201866</v>
      </c>
      <c r="E71" s="18">
        <v>0.3513227701187134</v>
      </c>
      <c r="F71" s="18">
        <v>36.88888981938362</v>
      </c>
      <c r="G71" s="18">
        <v>1874.0</v>
      </c>
      <c r="H71" s="19">
        <v>0.019684573635458946</v>
      </c>
      <c r="I71" s="8"/>
      <c r="J71" s="8"/>
      <c r="K71" s="20"/>
      <c r="L71" s="18">
        <v>20804.0</v>
      </c>
      <c r="M71" s="18">
        <v>0.0</v>
      </c>
      <c r="N71" s="18">
        <v>189.0</v>
      </c>
      <c r="O71" s="18">
        <v>0.03209373354911804</v>
      </c>
      <c r="P71" s="18">
        <v>0.3650793731212616</v>
      </c>
      <c r="Q71" s="18">
        <v>69.00000175833702</v>
      </c>
      <c r="R71" s="18">
        <v>5889.0</v>
      </c>
      <c r="S71" s="19">
        <v>0.011716759763658047</v>
      </c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18">
        <v>20805.0</v>
      </c>
      <c r="B72" s="18">
        <v>1.0</v>
      </c>
      <c r="C72" s="18">
        <v>459.0</v>
      </c>
      <c r="D72" s="18">
        <v>0.14754098653793335</v>
      </c>
      <c r="E72" s="18">
        <v>0.3691600263118744</v>
      </c>
      <c r="F72" s="18">
        <v>169.44444859027863</v>
      </c>
      <c r="G72" s="18">
        <v>3111.0</v>
      </c>
      <c r="H72" s="19">
        <v>0.054466232657432556</v>
      </c>
      <c r="I72" s="8"/>
      <c r="J72" s="8"/>
      <c r="K72" s="20"/>
      <c r="L72" s="18">
        <v>20805.0</v>
      </c>
      <c r="M72" s="18">
        <v>0.0</v>
      </c>
      <c r="N72" s="18">
        <v>762.0</v>
      </c>
      <c r="O72" s="18">
        <v>0.15998320281505585</v>
      </c>
      <c r="P72" s="18">
        <v>0.3681831657886505</v>
      </c>
      <c r="Q72" s="18">
        <v>280.55556240677834</v>
      </c>
      <c r="R72" s="18">
        <v>4763.0</v>
      </c>
      <c r="S72" s="19">
        <v>0.05890312045812607</v>
      </c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18">
        <v>20806.0</v>
      </c>
      <c r="B73" s="18">
        <v>1.0</v>
      </c>
      <c r="C73" s="18">
        <v>773.0</v>
      </c>
      <c r="D73" s="18">
        <v>0.1257319450378418</v>
      </c>
      <c r="E73" s="18">
        <v>0.36495617032051086</v>
      </c>
      <c r="F73" s="18">
        <v>282.1111184954643</v>
      </c>
      <c r="G73" s="18">
        <v>6148.0</v>
      </c>
      <c r="H73" s="19">
        <v>0.045886650681495667</v>
      </c>
      <c r="I73" s="8"/>
      <c r="J73" s="8"/>
      <c r="K73" s="20"/>
      <c r="L73" s="18">
        <v>20806.0</v>
      </c>
      <c r="M73" s="18">
        <v>0.0</v>
      </c>
      <c r="N73" s="18">
        <v>1318.0</v>
      </c>
      <c r="O73" s="18">
        <v>0.12215013802051544</v>
      </c>
      <c r="P73" s="18">
        <v>0.3686562180519104</v>
      </c>
      <c r="Q73" s="18">
        <v>485.8889009654522</v>
      </c>
      <c r="R73" s="18">
        <v>10790.0</v>
      </c>
      <c r="S73" s="19">
        <v>0.045031409710645676</v>
      </c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18">
        <v>20807.0</v>
      </c>
      <c r="B74" s="18">
        <v>1.0</v>
      </c>
      <c r="C74" s="18">
        <v>418.0</v>
      </c>
      <c r="D74" s="18">
        <v>0.12889300286769867</v>
      </c>
      <c r="E74" s="18">
        <v>0.370015949010849</v>
      </c>
      <c r="F74" s="18">
        <v>154.6666705608368</v>
      </c>
      <c r="G74" s="18">
        <v>3243.0</v>
      </c>
      <c r="H74" s="19">
        <v>0.04769246652722359</v>
      </c>
      <c r="I74" s="8"/>
      <c r="J74" s="8"/>
      <c r="K74" s="20"/>
      <c r="L74" s="18">
        <v>20807.0</v>
      </c>
      <c r="M74" s="18">
        <v>0.0</v>
      </c>
      <c r="N74" s="18">
        <v>430.0</v>
      </c>
      <c r="O74" s="18">
        <v>0.10221060365438461</v>
      </c>
      <c r="P74" s="18">
        <v>0.3578811585903168</v>
      </c>
      <c r="Q74" s="18">
        <v>153.88889253139496</v>
      </c>
      <c r="R74" s="18">
        <v>4207.0</v>
      </c>
      <c r="S74" s="19">
        <v>0.03657924756407738</v>
      </c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18">
        <v>20901.0</v>
      </c>
      <c r="B75" s="18">
        <v>1.0</v>
      </c>
      <c r="C75" s="18">
        <v>417.0</v>
      </c>
      <c r="D75" s="18">
        <v>0.1318785548210144</v>
      </c>
      <c r="E75" s="18">
        <v>0.3671729266643524</v>
      </c>
      <c r="F75" s="18">
        <v>153.11111488938332</v>
      </c>
      <c r="G75" s="18">
        <v>3162.0</v>
      </c>
      <c r="H75" s="19">
        <v>0.04842223599553108</v>
      </c>
      <c r="I75" s="8"/>
      <c r="J75" s="8"/>
      <c r="K75" s="20"/>
      <c r="L75" s="18">
        <v>20901.0</v>
      </c>
      <c r="M75" s="18">
        <v>0.0</v>
      </c>
      <c r="N75" s="18">
        <v>782.0</v>
      </c>
      <c r="O75" s="18">
        <v>0.10440587252378464</v>
      </c>
      <c r="P75" s="18">
        <v>0.36544474959373474</v>
      </c>
      <c r="Q75" s="18">
        <v>285.7777850329876</v>
      </c>
      <c r="R75" s="18">
        <v>7490.0</v>
      </c>
      <c r="S75" s="19">
        <v>0.03815457969903946</v>
      </c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18">
        <v>20902.0</v>
      </c>
      <c r="B76" s="18">
        <v>1.0</v>
      </c>
      <c r="C76" s="18">
        <v>832.0</v>
      </c>
      <c r="D76" s="18">
        <v>0.18309858441352844</v>
      </c>
      <c r="E76" s="18">
        <v>0.37232905626296997</v>
      </c>
      <c r="F76" s="18">
        <v>309.7777858376503</v>
      </c>
      <c r="G76" s="18">
        <v>4544.0</v>
      </c>
      <c r="H76" s="19">
        <v>0.06817292422056198</v>
      </c>
      <c r="I76" s="8"/>
      <c r="J76" s="8"/>
      <c r="K76" s="20"/>
      <c r="L76" s="18">
        <v>20902.0</v>
      </c>
      <c r="M76" s="18">
        <v>0.0</v>
      </c>
      <c r="N76" s="18">
        <v>1504.0</v>
      </c>
      <c r="O76" s="18">
        <v>0.1260581612586975</v>
      </c>
      <c r="P76" s="18">
        <v>0.367169052362442</v>
      </c>
      <c r="Q76" s="18">
        <v>552.222236007452</v>
      </c>
      <c r="R76" s="18">
        <v>11931.0</v>
      </c>
      <c r="S76" s="19">
        <v>0.04628465697169304</v>
      </c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18">
        <v>20903.0</v>
      </c>
      <c r="B77" s="18">
        <v>1.0</v>
      </c>
      <c r="C77" s="18">
        <v>787.0</v>
      </c>
      <c r="D77" s="18">
        <v>0.24052567780017853</v>
      </c>
      <c r="E77" s="18">
        <v>0.39418327808380127</v>
      </c>
      <c r="F77" s="18">
        <v>310.22222951054573</v>
      </c>
      <c r="G77" s="18">
        <v>3272.0</v>
      </c>
      <c r="H77" s="19">
        <v>0.09481120109558105</v>
      </c>
      <c r="I77" s="8"/>
      <c r="J77" s="8"/>
      <c r="K77" s="20"/>
      <c r="L77" s="18">
        <v>20903.0</v>
      </c>
      <c r="M77" s="18">
        <v>0.0</v>
      </c>
      <c r="N77" s="18">
        <v>2180.0</v>
      </c>
      <c r="O77" s="18">
        <v>0.243684321641922</v>
      </c>
      <c r="P77" s="18">
        <v>0.3760448694229126</v>
      </c>
      <c r="Q77" s="18">
        <v>819.7777984142303</v>
      </c>
      <c r="R77" s="18">
        <v>8946.0</v>
      </c>
      <c r="S77" s="19">
        <v>0.09163624048233032</v>
      </c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18">
        <v>20904.0</v>
      </c>
      <c r="B78" s="18">
        <v>1.0</v>
      </c>
      <c r="C78" s="18">
        <v>279.0</v>
      </c>
      <c r="D78" s="18">
        <v>0.2759643793106079</v>
      </c>
      <c r="E78" s="18">
        <v>0.3827160596847534</v>
      </c>
      <c r="F78" s="18">
        <v>106.7777803838253</v>
      </c>
      <c r="G78" s="18">
        <v>1011.0</v>
      </c>
      <c r="H78" s="19">
        <v>0.1056160032749176</v>
      </c>
      <c r="I78" s="8"/>
      <c r="J78" s="8"/>
      <c r="K78" s="20"/>
      <c r="L78" s="18">
        <v>20904.0</v>
      </c>
      <c r="M78" s="18">
        <v>0.0</v>
      </c>
      <c r="N78" s="18">
        <v>890.0</v>
      </c>
      <c r="O78" s="18">
        <v>0.21075065433979034</v>
      </c>
      <c r="P78" s="18">
        <v>0.37765294313430786</v>
      </c>
      <c r="Q78" s="18">
        <v>336.1111198961735</v>
      </c>
      <c r="R78" s="18">
        <v>4223.0</v>
      </c>
      <c r="S78" s="19">
        <v>0.07959060370922089</v>
      </c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18">
        <v>20905.0</v>
      </c>
      <c r="B79" s="18">
        <v>1.0</v>
      </c>
      <c r="C79" s="18">
        <v>609.0</v>
      </c>
      <c r="D79" s="18">
        <v>0.2046370953321457</v>
      </c>
      <c r="E79" s="18">
        <v>0.3798576891422272</v>
      </c>
      <c r="F79" s="18">
        <v>231.33333882689476</v>
      </c>
      <c r="G79" s="18">
        <v>2976.0</v>
      </c>
      <c r="H79" s="19">
        <v>0.07773297280073166</v>
      </c>
      <c r="I79" s="8"/>
      <c r="J79" s="8"/>
      <c r="K79" s="20"/>
      <c r="L79" s="18">
        <v>20905.0</v>
      </c>
      <c r="M79" s="18">
        <v>0.0</v>
      </c>
      <c r="N79" s="18">
        <v>1632.0</v>
      </c>
      <c r="O79" s="18">
        <v>0.15412220358848572</v>
      </c>
      <c r="P79" s="18">
        <v>0.3686683177947998</v>
      </c>
      <c r="Q79" s="18">
        <v>601.6666814684868</v>
      </c>
      <c r="R79" s="18">
        <v>10589.0</v>
      </c>
      <c r="S79" s="19">
        <v>0.05681997537612915</v>
      </c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18">
        <v>21001.0</v>
      </c>
      <c r="B80" s="18">
        <v>1.0</v>
      </c>
      <c r="C80" s="18">
        <v>1159.0</v>
      </c>
      <c r="D80" s="18">
        <v>0.2616843581199646</v>
      </c>
      <c r="E80" s="18">
        <v>0.3801169693470001</v>
      </c>
      <c r="F80" s="18">
        <v>440.55556559562683</v>
      </c>
      <c r="G80" s="18">
        <v>4429.0</v>
      </c>
      <c r="H80" s="19">
        <v>0.09947066754102707</v>
      </c>
      <c r="I80" s="8"/>
      <c r="J80" s="8"/>
      <c r="K80" s="20"/>
      <c r="L80" s="18">
        <v>21001.0</v>
      </c>
      <c r="M80" s="18">
        <v>0.0</v>
      </c>
      <c r="N80" s="18">
        <v>3864.0</v>
      </c>
      <c r="O80" s="18">
        <v>0.2717490792274475</v>
      </c>
      <c r="P80" s="18">
        <v>0.37569013237953186</v>
      </c>
      <c r="Q80" s="18">
        <v>1451.6667023003101</v>
      </c>
      <c r="R80" s="18">
        <v>14219.0</v>
      </c>
      <c r="S80" s="19">
        <v>0.10209345072507858</v>
      </c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18">
        <v>21002.0</v>
      </c>
      <c r="B81" s="18">
        <v>1.0</v>
      </c>
      <c r="C81" s="18">
        <v>391.0</v>
      </c>
      <c r="D81" s="18">
        <v>0.18296676874160767</v>
      </c>
      <c r="E81" s="18">
        <v>0.38562092185020447</v>
      </c>
      <c r="F81" s="18">
        <v>150.77778121829033</v>
      </c>
      <c r="G81" s="18">
        <v>2137.0</v>
      </c>
      <c r="H81" s="19">
        <v>0.07055581361055374</v>
      </c>
      <c r="I81" s="8"/>
      <c r="J81" s="8"/>
      <c r="K81" s="20"/>
      <c r="L81" s="18">
        <v>21002.0</v>
      </c>
      <c r="M81" s="18">
        <v>0.0</v>
      </c>
      <c r="N81" s="18">
        <v>1043.0</v>
      </c>
      <c r="O81" s="18">
        <v>0.13068537414073944</v>
      </c>
      <c r="P81" s="18">
        <v>0.3731756806373596</v>
      </c>
      <c r="Q81" s="18">
        <v>389.2222315967083</v>
      </c>
      <c r="R81" s="18">
        <v>7981.0</v>
      </c>
      <c r="S81" s="19">
        <v>0.048768602311611176</v>
      </c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18">
        <v>21003.0</v>
      </c>
      <c r="B82" s="18">
        <v>1.0</v>
      </c>
      <c r="C82" s="18">
        <v>259.0</v>
      </c>
      <c r="D82" s="18">
        <v>0.10693641752004623</v>
      </c>
      <c r="E82" s="18">
        <v>0.37666237354278564</v>
      </c>
      <c r="F82" s="18">
        <v>97.55555808544159</v>
      </c>
      <c r="G82" s="18">
        <v>2422.0</v>
      </c>
      <c r="H82" s="19">
        <v>0.040278926491737366</v>
      </c>
      <c r="I82" s="8"/>
      <c r="J82" s="8"/>
      <c r="K82" s="20"/>
      <c r="L82" s="18">
        <v>21003.0</v>
      </c>
      <c r="M82" s="18">
        <v>0.0</v>
      </c>
      <c r="N82" s="18">
        <v>1244.0</v>
      </c>
      <c r="O82" s="18">
        <v>0.09567758440971375</v>
      </c>
      <c r="P82" s="18">
        <v>0.36986425518989563</v>
      </c>
      <c r="Q82" s="18">
        <v>460.11112213134766</v>
      </c>
      <c r="R82" s="18">
        <v>13002.0</v>
      </c>
      <c r="S82" s="19">
        <v>0.03538771718740463</v>
      </c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18">
        <v>21004.0</v>
      </c>
      <c r="B83" s="18">
        <v>1.0</v>
      </c>
      <c r="C83" s="18">
        <v>1185.0</v>
      </c>
      <c r="D83" s="18">
        <v>0.2463105320930481</v>
      </c>
      <c r="E83" s="18">
        <v>0.37177684903144836</v>
      </c>
      <c r="F83" s="18">
        <v>440.55556684732437</v>
      </c>
      <c r="G83" s="18">
        <v>4811.0</v>
      </c>
      <c r="H83" s="19">
        <v>0.09157255291938782</v>
      </c>
      <c r="I83" s="8"/>
      <c r="J83" s="8"/>
      <c r="K83" s="20"/>
      <c r="L83" s="18">
        <v>21004.0</v>
      </c>
      <c r="M83" s="18">
        <v>0.0</v>
      </c>
      <c r="N83" s="18">
        <v>2620.0</v>
      </c>
      <c r="O83" s="18">
        <v>0.14355377852916718</v>
      </c>
      <c r="P83" s="18">
        <v>0.36751484870910645</v>
      </c>
      <c r="Q83" s="18">
        <v>962.8889130055904</v>
      </c>
      <c r="R83" s="18">
        <v>18251.0</v>
      </c>
      <c r="S83" s="19">
        <v>0.052758146077394485</v>
      </c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18">
        <v>21005.0</v>
      </c>
      <c r="B84" s="18">
        <v>1.0</v>
      </c>
      <c r="C84" s="18">
        <v>834.0</v>
      </c>
      <c r="D84" s="18">
        <v>0.3667546212673187</v>
      </c>
      <c r="E84" s="18">
        <v>0.3819611072540283</v>
      </c>
      <c r="F84" s="18">
        <v>318.55556297302246</v>
      </c>
      <c r="G84" s="18">
        <v>2274.0</v>
      </c>
      <c r="H84" s="19">
        <v>0.14008599519729614</v>
      </c>
      <c r="I84" s="8"/>
      <c r="J84" s="8"/>
      <c r="K84" s="20"/>
      <c r="L84" s="18">
        <v>21005.0</v>
      </c>
      <c r="M84" s="18">
        <v>0.0</v>
      </c>
      <c r="N84" s="18">
        <v>2790.0</v>
      </c>
      <c r="O84" s="18">
        <v>0.384827584028244</v>
      </c>
      <c r="P84" s="18">
        <v>0.3772202432155609</v>
      </c>
      <c r="Q84" s="18">
        <v>1052.4444699585438</v>
      </c>
      <c r="R84" s="18">
        <v>7250.0</v>
      </c>
      <c r="S84" s="19">
        <v>0.14516475796699524</v>
      </c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18">
        <v>21006.0</v>
      </c>
      <c r="B85" s="18">
        <v>1.0</v>
      </c>
      <c r="C85" s="18">
        <v>371.0</v>
      </c>
      <c r="D85" s="18">
        <v>0.20229007303714752</v>
      </c>
      <c r="E85" s="18">
        <v>0.39652591943740845</v>
      </c>
      <c r="F85" s="18">
        <v>147.11111387610435</v>
      </c>
      <c r="G85" s="18">
        <v>1834.0</v>
      </c>
      <c r="H85" s="19">
        <v>0.08021325618028641</v>
      </c>
      <c r="I85" s="8"/>
      <c r="J85" s="8"/>
      <c r="K85" s="20"/>
      <c r="L85" s="18">
        <v>21006.0</v>
      </c>
      <c r="M85" s="18">
        <v>0.0</v>
      </c>
      <c r="N85" s="18">
        <v>798.0</v>
      </c>
      <c r="O85" s="18">
        <v>0.13297784328460693</v>
      </c>
      <c r="P85" s="18">
        <v>0.37454748153686523</v>
      </c>
      <c r="Q85" s="18">
        <v>298.88889583945274</v>
      </c>
      <c r="R85" s="18">
        <v>6001.0</v>
      </c>
      <c r="S85" s="19">
        <v>0.049806516617536545</v>
      </c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18">
        <v>21101.0</v>
      </c>
      <c r="B86" s="18">
        <v>1.0</v>
      </c>
      <c r="C86" s="18">
        <v>251.0</v>
      </c>
      <c r="D86" s="18">
        <v>0.07445861399173737</v>
      </c>
      <c r="E86" s="18">
        <v>0.3714032769203186</v>
      </c>
      <c r="F86" s="18">
        <v>93.22222465276718</v>
      </c>
      <c r="G86" s="18">
        <v>3371.0</v>
      </c>
      <c r="H86" s="19">
        <v>0.027654172852635384</v>
      </c>
      <c r="I86" s="8"/>
      <c r="J86" s="8"/>
      <c r="K86" s="20"/>
      <c r="L86" s="18">
        <v>21101.0</v>
      </c>
      <c r="M86" s="18">
        <v>0.0</v>
      </c>
      <c r="N86" s="18">
        <v>722.0</v>
      </c>
      <c r="O86" s="18">
        <v>0.04894915223121643</v>
      </c>
      <c r="P86" s="18">
        <v>0.3601108193397522</v>
      </c>
      <c r="Q86" s="18">
        <v>260.0000071525574</v>
      </c>
      <c r="R86" s="18">
        <v>14750.0</v>
      </c>
      <c r="S86" s="19">
        <v>0.01762712001800537</v>
      </c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18">
        <v>21102.0</v>
      </c>
      <c r="B87" s="18">
        <v>1.0</v>
      </c>
      <c r="C87" s="18">
        <v>521.0</v>
      </c>
      <c r="D87" s="18">
        <v>0.13772138953208923</v>
      </c>
      <c r="E87" s="18">
        <v>0.3730006515979767</v>
      </c>
      <c r="F87" s="18">
        <v>194.33333811163902</v>
      </c>
      <c r="G87" s="18">
        <v>3783.0</v>
      </c>
      <c r="H87" s="19">
        <v>0.05137016624212265</v>
      </c>
      <c r="I87" s="8"/>
      <c r="J87" s="8"/>
      <c r="K87" s="20"/>
      <c r="L87" s="18">
        <v>21102.0</v>
      </c>
      <c r="M87" s="18">
        <v>0.0</v>
      </c>
      <c r="N87" s="18">
        <v>2157.0</v>
      </c>
      <c r="O87" s="18">
        <v>0.11807532608509064</v>
      </c>
      <c r="P87" s="18">
        <v>0.3633647561073303</v>
      </c>
      <c r="Q87" s="18">
        <v>783.7777968645096</v>
      </c>
      <c r="R87" s="18">
        <v>18268.0</v>
      </c>
      <c r="S87" s="19">
        <v>0.042904410511255264</v>
      </c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18">
        <v>21103.0</v>
      </c>
      <c r="B88" s="18">
        <v>1.0</v>
      </c>
      <c r="C88" s="18">
        <v>103.0</v>
      </c>
      <c r="D88" s="18">
        <v>0.061127595603466034</v>
      </c>
      <c r="E88" s="18">
        <v>0.3527508080005646</v>
      </c>
      <c r="F88" s="18">
        <v>36.333334267139435</v>
      </c>
      <c r="G88" s="18">
        <v>1685.0</v>
      </c>
      <c r="H88" s="19">
        <v>0.021562809124588966</v>
      </c>
      <c r="I88" s="8"/>
      <c r="J88" s="8"/>
      <c r="K88" s="20"/>
      <c r="L88" s="18">
        <v>21103.0</v>
      </c>
      <c r="M88" s="18">
        <v>0.0</v>
      </c>
      <c r="N88" s="18">
        <v>319.0</v>
      </c>
      <c r="O88" s="18">
        <v>0.05570106580853462</v>
      </c>
      <c r="P88" s="18">
        <v>0.35667017102241516</v>
      </c>
      <c r="Q88" s="18">
        <v>113.77778089046478</v>
      </c>
      <c r="R88" s="18">
        <v>5727.0</v>
      </c>
      <c r="S88" s="19">
        <v>0.019866907969117165</v>
      </c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18">
        <v>21104.0</v>
      </c>
      <c r="B89" s="18">
        <v>1.0</v>
      </c>
      <c r="C89" s="18">
        <v>733.0</v>
      </c>
      <c r="D89" s="18">
        <v>0.18421714007854462</v>
      </c>
      <c r="E89" s="18">
        <v>0.38017281889915466</v>
      </c>
      <c r="F89" s="18">
        <v>278.66667395830154</v>
      </c>
      <c r="G89" s="18">
        <v>3979.0</v>
      </c>
      <c r="H89" s="19">
        <v>0.07003434747457504</v>
      </c>
      <c r="I89" s="8"/>
      <c r="J89" s="8"/>
      <c r="K89" s="20"/>
      <c r="L89" s="18">
        <v>21104.0</v>
      </c>
      <c r="M89" s="18">
        <v>0.0</v>
      </c>
      <c r="N89" s="18">
        <v>5043.0</v>
      </c>
      <c r="O89" s="18">
        <v>0.2190418243408203</v>
      </c>
      <c r="P89" s="18">
        <v>0.3770022392272949</v>
      </c>
      <c r="Q89" s="18">
        <v>1901.2222690284252</v>
      </c>
      <c r="R89" s="18">
        <v>23023.0</v>
      </c>
      <c r="S89" s="19">
        <v>0.08257925510406494</v>
      </c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18">
        <v>21105.0</v>
      </c>
      <c r="B90" s="18">
        <v>1.0</v>
      </c>
      <c r="C90" s="18">
        <v>836.0</v>
      </c>
      <c r="D90" s="18">
        <v>0.20611439645290375</v>
      </c>
      <c r="E90" s="18">
        <v>0.3787878751754761</v>
      </c>
      <c r="F90" s="18">
        <v>316.6666737794876</v>
      </c>
      <c r="G90" s="18">
        <v>4056.0</v>
      </c>
      <c r="H90" s="19">
        <v>0.07807363569736481</v>
      </c>
      <c r="I90" s="8"/>
      <c r="J90" s="8"/>
      <c r="K90" s="20"/>
      <c r="L90" s="18">
        <v>21105.0</v>
      </c>
      <c r="M90" s="18">
        <v>0.0</v>
      </c>
      <c r="N90" s="18">
        <v>8156.0</v>
      </c>
      <c r="O90" s="18">
        <v>0.19793233275413513</v>
      </c>
      <c r="P90" s="18">
        <v>0.3775952458381653</v>
      </c>
      <c r="Q90" s="18">
        <v>3079.6667405366898</v>
      </c>
      <c r="R90" s="18">
        <v>41206.0</v>
      </c>
      <c r="S90" s="19">
        <v>0.07473830878734589</v>
      </c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18">
        <v>21201.0</v>
      </c>
      <c r="B91" s="18">
        <v>1.0</v>
      </c>
      <c r="C91" s="18">
        <v>1964.0</v>
      </c>
      <c r="D91" s="18">
        <v>0.191367045044899</v>
      </c>
      <c r="E91" s="18">
        <v>0.376782089471817</v>
      </c>
      <c r="F91" s="18">
        <v>740.0000176429749</v>
      </c>
      <c r="G91" s="18">
        <v>10263.0</v>
      </c>
      <c r="H91" s="19">
        <v>0.07210367172956467</v>
      </c>
      <c r="I91" s="8"/>
      <c r="J91" s="8"/>
      <c r="K91" s="20"/>
      <c r="L91" s="18">
        <v>21201.0</v>
      </c>
      <c r="M91" s="18">
        <v>0.0</v>
      </c>
      <c r="N91" s="18">
        <v>5669.0</v>
      </c>
      <c r="O91" s="18">
        <v>0.14405874907970428</v>
      </c>
      <c r="P91" s="18">
        <v>0.36630016565322876</v>
      </c>
      <c r="Q91" s="18">
        <v>2076.5556071400642</v>
      </c>
      <c r="R91" s="18">
        <v>39352.0</v>
      </c>
      <c r="S91" s="19">
        <v>0.05276874452829361</v>
      </c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18">
        <v>21202.0</v>
      </c>
      <c r="B92" s="18">
        <v>1.0</v>
      </c>
      <c r="C92" s="18">
        <v>1470.0</v>
      </c>
      <c r="D92" s="18">
        <v>0.16657224297523499</v>
      </c>
      <c r="E92" s="18">
        <v>0.36545729637145996</v>
      </c>
      <c r="F92" s="18">
        <v>537.2222354114056</v>
      </c>
      <c r="G92" s="18">
        <v>8825.0</v>
      </c>
      <c r="H92" s="19">
        <v>0.06087504327297211</v>
      </c>
      <c r="I92" s="8"/>
      <c r="J92" s="8"/>
      <c r="K92" s="20"/>
      <c r="L92" s="18">
        <v>21202.0</v>
      </c>
      <c r="M92" s="18">
        <v>0.0</v>
      </c>
      <c r="N92" s="18">
        <v>3522.0</v>
      </c>
      <c r="O92" s="18">
        <v>0.11860582232475281</v>
      </c>
      <c r="P92" s="18">
        <v>0.366931676864624</v>
      </c>
      <c r="Q92" s="18">
        <v>1292.33336648345</v>
      </c>
      <c r="R92" s="18">
        <v>29695.0</v>
      </c>
      <c r="S92" s="19">
        <v>0.043520234525203705</v>
      </c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18">
        <v>21203.0</v>
      </c>
      <c r="B93" s="18">
        <v>1.0</v>
      </c>
      <c r="C93" s="18">
        <v>806.0</v>
      </c>
      <c r="D93" s="18">
        <v>0.13518953323364258</v>
      </c>
      <c r="E93" s="18">
        <v>0.3694513440132141</v>
      </c>
      <c r="F93" s="18">
        <v>297.77778509259224</v>
      </c>
      <c r="G93" s="18">
        <v>5962.0</v>
      </c>
      <c r="H93" s="19">
        <v>0.049945954233407974</v>
      </c>
      <c r="I93" s="8"/>
      <c r="J93" s="8"/>
      <c r="K93" s="20"/>
      <c r="L93" s="18">
        <v>21203.0</v>
      </c>
      <c r="M93" s="18">
        <v>0.0</v>
      </c>
      <c r="N93" s="18">
        <v>1854.0</v>
      </c>
      <c r="O93" s="18">
        <v>0.12723903357982635</v>
      </c>
      <c r="P93" s="18">
        <v>0.36617523431777954</v>
      </c>
      <c r="Q93" s="18">
        <v>678.8889052569866</v>
      </c>
      <c r="R93" s="18">
        <v>14571.0</v>
      </c>
      <c r="S93" s="19">
        <v>0.046591781079769135</v>
      </c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8">
        <v>21204.0</v>
      </c>
      <c r="B94" s="18">
        <v>1.0</v>
      </c>
      <c r="C94" s="18">
        <v>490.0</v>
      </c>
      <c r="D94" s="18">
        <v>0.19647152721881866</v>
      </c>
      <c r="E94" s="18">
        <v>0.3668934404850006</v>
      </c>
      <c r="F94" s="18">
        <v>179.77778220176697</v>
      </c>
      <c r="G94" s="18">
        <v>2494.0</v>
      </c>
      <c r="H94" s="19">
        <v>0.07208411395549774</v>
      </c>
      <c r="I94" s="8"/>
      <c r="J94" s="8"/>
      <c r="K94" s="20"/>
      <c r="L94" s="18">
        <v>21204.0</v>
      </c>
      <c r="M94" s="18">
        <v>0.0</v>
      </c>
      <c r="N94" s="18">
        <v>665.0</v>
      </c>
      <c r="O94" s="18">
        <v>0.12483574450016022</v>
      </c>
      <c r="P94" s="18">
        <v>0.36340853571891785</v>
      </c>
      <c r="Q94" s="18">
        <v>241.66667267680168</v>
      </c>
      <c r="R94" s="18">
        <v>5327.0</v>
      </c>
      <c r="S94" s="19">
        <v>0.045366376638412476</v>
      </c>
      <c r="T94" s="8"/>
      <c r="U94" s="8"/>
      <c r="V94" s="8"/>
      <c r="W94" s="8"/>
      <c r="X94" s="8"/>
      <c r="Y94" s="8"/>
      <c r="Z94" s="8"/>
      <c r="AA94" s="8"/>
      <c r="AB94" s="8"/>
    </row>
    <row r="95" ht="15.75" customHeight="1">
      <c r="A95" s="18">
        <v>21301.0</v>
      </c>
      <c r="B95" s="18">
        <v>1.0</v>
      </c>
      <c r="C95" s="18">
        <v>1739.0</v>
      </c>
      <c r="D95" s="18">
        <v>0.21096688508987427</v>
      </c>
      <c r="E95" s="18">
        <v>0.37940070033073425</v>
      </c>
      <c r="F95" s="18">
        <v>659.7777936160564</v>
      </c>
      <c r="G95" s="18">
        <v>8243.0</v>
      </c>
      <c r="H95" s="19">
        <v>0.08004098385572433</v>
      </c>
      <c r="I95" s="8"/>
      <c r="J95" s="8"/>
      <c r="K95" s="20"/>
      <c r="L95" s="18">
        <v>21301.0</v>
      </c>
      <c r="M95" s="18">
        <v>0.0</v>
      </c>
      <c r="N95" s="18">
        <v>4283.0</v>
      </c>
      <c r="O95" s="18">
        <v>0.1676911562681198</v>
      </c>
      <c r="P95" s="18">
        <v>0.3785768151283264</v>
      </c>
      <c r="Q95" s="18">
        <v>1621.444484114647</v>
      </c>
      <c r="R95" s="18">
        <v>25541.0</v>
      </c>
      <c r="S95" s="19">
        <v>0.06348398327827454</v>
      </c>
      <c r="T95" s="8"/>
      <c r="U95" s="8"/>
      <c r="V95" s="8"/>
      <c r="W95" s="8"/>
      <c r="X95" s="8"/>
      <c r="Y95" s="8"/>
      <c r="Z95" s="8"/>
      <c r="AA95" s="8"/>
      <c r="AB95" s="8"/>
    </row>
    <row r="96" ht="15.75" customHeight="1">
      <c r="A96" s="18">
        <v>21302.0</v>
      </c>
      <c r="B96" s="18">
        <v>1.0</v>
      </c>
      <c r="C96" s="18">
        <v>540.0</v>
      </c>
      <c r="D96" s="18">
        <v>0.171701118350029</v>
      </c>
      <c r="E96" s="18">
        <v>0.3683127760887146</v>
      </c>
      <c r="F96" s="18">
        <v>198.8888932466507</v>
      </c>
      <c r="G96" s="18">
        <v>3145.0</v>
      </c>
      <c r="H96" s="19">
        <v>0.06323971599340439</v>
      </c>
      <c r="I96" s="8"/>
      <c r="J96" s="8"/>
      <c r="K96" s="20"/>
      <c r="L96" s="18">
        <v>21302.0</v>
      </c>
      <c r="M96" s="18">
        <v>0.0</v>
      </c>
      <c r="N96" s="18">
        <v>871.0</v>
      </c>
      <c r="O96" s="18">
        <v>0.14685550332069397</v>
      </c>
      <c r="P96" s="18">
        <v>0.3648424744606018</v>
      </c>
      <c r="Q96" s="18">
        <v>317.7777854204178</v>
      </c>
      <c r="R96" s="18">
        <v>5931.0</v>
      </c>
      <c r="S96" s="19">
        <v>0.05357912555336952</v>
      </c>
      <c r="T96" s="8"/>
      <c r="U96" s="8"/>
      <c r="V96" s="8"/>
      <c r="W96" s="8"/>
      <c r="X96" s="8"/>
      <c r="Y96" s="8"/>
      <c r="Z96" s="8"/>
      <c r="AA96" s="8"/>
      <c r="AB96" s="8"/>
    </row>
    <row r="97" ht="15.75" customHeight="1">
      <c r="A97" s="18">
        <v>21303.0</v>
      </c>
      <c r="B97" s="18">
        <v>1.0</v>
      </c>
      <c r="C97" s="18">
        <v>770.0</v>
      </c>
      <c r="D97" s="18">
        <v>0.2505694627761841</v>
      </c>
      <c r="E97" s="18">
        <v>0.3748917877674103</v>
      </c>
      <c r="F97" s="18">
        <v>288.6666736602783</v>
      </c>
      <c r="G97" s="18">
        <v>3073.0</v>
      </c>
      <c r="H97" s="19">
        <v>0.09393643587827682</v>
      </c>
      <c r="I97" s="8"/>
      <c r="J97" s="8"/>
      <c r="K97" s="20"/>
      <c r="L97" s="18">
        <v>21303.0</v>
      </c>
      <c r="M97" s="18">
        <v>0.0</v>
      </c>
      <c r="N97" s="18">
        <v>2032.0</v>
      </c>
      <c r="O97" s="18">
        <v>0.24874526262283325</v>
      </c>
      <c r="P97" s="18">
        <v>0.36608704924583435</v>
      </c>
      <c r="Q97" s="18">
        <v>743.8889074921608</v>
      </c>
      <c r="R97" s="18">
        <v>8169.0</v>
      </c>
      <c r="S97" s="19">
        <v>0.09106241911649704</v>
      </c>
      <c r="T97" s="8"/>
      <c r="U97" s="8"/>
      <c r="V97" s="8"/>
      <c r="W97" s="8"/>
      <c r="X97" s="8"/>
      <c r="Y97" s="8"/>
      <c r="Z97" s="8"/>
      <c r="AA97" s="8"/>
      <c r="AB97" s="8"/>
    </row>
    <row r="98" ht="15.75" customHeight="1">
      <c r="A98" s="18">
        <v>21304.0</v>
      </c>
      <c r="B98" s="18">
        <v>1.0</v>
      </c>
      <c r="C98" s="18">
        <v>568.0</v>
      </c>
      <c r="D98" s="18">
        <v>0.1367356777191162</v>
      </c>
      <c r="E98" s="18">
        <v>0.3658059537410736</v>
      </c>
      <c r="F98" s="18">
        <v>207.7777829170227</v>
      </c>
      <c r="G98" s="18">
        <v>4154.0</v>
      </c>
      <c r="H98" s="19">
        <v>0.05001872405409813</v>
      </c>
      <c r="I98" s="8"/>
      <c r="J98" s="8"/>
      <c r="K98" s="20"/>
      <c r="L98" s="18">
        <v>21304.0</v>
      </c>
      <c r="M98" s="18">
        <v>0.0</v>
      </c>
      <c r="N98" s="18">
        <v>1259.0</v>
      </c>
      <c r="O98" s="18">
        <v>0.113474540412426</v>
      </c>
      <c r="P98" s="18">
        <v>0.36678141355514526</v>
      </c>
      <c r="Q98" s="18">
        <v>461.77779015898705</v>
      </c>
      <c r="R98" s="18">
        <v>11095.0</v>
      </c>
      <c r="S98" s="19">
        <v>0.04162035137414932</v>
      </c>
      <c r="T98" s="8"/>
      <c r="U98" s="8"/>
      <c r="V98" s="8"/>
      <c r="W98" s="8"/>
      <c r="X98" s="8"/>
      <c r="Y98" s="8"/>
      <c r="Z98" s="8"/>
      <c r="AA98" s="8"/>
      <c r="AB98" s="8"/>
    </row>
    <row r="99" ht="15.75" customHeight="1">
      <c r="A99" s="18">
        <v>21305.0</v>
      </c>
      <c r="B99" s="18">
        <v>1.0</v>
      </c>
      <c r="C99" s="18">
        <v>823.0</v>
      </c>
      <c r="D99" s="18">
        <v>0.16612838208675385</v>
      </c>
      <c r="E99" s="18">
        <v>0.37262049317359924</v>
      </c>
      <c r="F99" s="18">
        <v>306.6666743159294</v>
      </c>
      <c r="G99" s="18">
        <v>4954.0</v>
      </c>
      <c r="H99" s="19">
        <v>0.061902839690446854</v>
      </c>
      <c r="I99" s="8"/>
      <c r="J99" s="8"/>
      <c r="K99" s="20"/>
      <c r="L99" s="18">
        <v>21305.0</v>
      </c>
      <c r="M99" s="18">
        <v>0.0</v>
      </c>
      <c r="N99" s="18">
        <v>1758.0</v>
      </c>
      <c r="O99" s="18">
        <v>0.09011687338352203</v>
      </c>
      <c r="P99" s="18">
        <v>0.3592466413974762</v>
      </c>
      <c r="Q99" s="18">
        <v>631.555571526289</v>
      </c>
      <c r="R99" s="18">
        <v>19508.0</v>
      </c>
      <c r="S99" s="19">
        <v>0.03237418457865715</v>
      </c>
      <c r="T99" s="8"/>
      <c r="U99" s="8"/>
      <c r="V99" s="8"/>
      <c r="W99" s="8"/>
      <c r="X99" s="8"/>
      <c r="Y99" s="8"/>
      <c r="Z99" s="8"/>
      <c r="AA99" s="8"/>
      <c r="AB99" s="8"/>
    </row>
    <row r="100" ht="15.75" customHeight="1">
      <c r="A100" s="18">
        <v>21306.0</v>
      </c>
      <c r="B100" s="18">
        <v>1.0</v>
      </c>
      <c r="C100" s="18">
        <v>397.0</v>
      </c>
      <c r="D100" s="18">
        <v>0.14936041831970215</v>
      </c>
      <c r="E100" s="18">
        <v>0.3697173297405243</v>
      </c>
      <c r="F100" s="18">
        <v>146.77778115868568</v>
      </c>
      <c r="G100" s="18">
        <v>2658.0</v>
      </c>
      <c r="H100" s="19">
        <v>0.055221136659383774</v>
      </c>
      <c r="I100" s="8"/>
      <c r="J100" s="8"/>
      <c r="K100" s="20"/>
      <c r="L100" s="18">
        <v>21306.0</v>
      </c>
      <c r="M100" s="18">
        <v>0.0</v>
      </c>
      <c r="N100" s="18">
        <v>1206.0</v>
      </c>
      <c r="O100" s="18">
        <v>0.12293577939271927</v>
      </c>
      <c r="P100" s="18">
        <v>0.36760643124580383</v>
      </c>
      <c r="Q100" s="18">
        <v>443.33334413170815</v>
      </c>
      <c r="R100" s="18">
        <v>9810.0</v>
      </c>
      <c r="S100" s="19">
        <v>0.04519198462367058</v>
      </c>
      <c r="T100" s="8"/>
      <c r="U100" s="8"/>
      <c r="V100" s="8"/>
      <c r="W100" s="8"/>
      <c r="X100" s="8"/>
      <c r="Y100" s="8"/>
      <c r="Z100" s="8"/>
      <c r="AA100" s="8"/>
      <c r="AB100" s="8"/>
    </row>
    <row r="101" ht="15.75" customHeight="1">
      <c r="A101" s="18">
        <v>21307.0</v>
      </c>
      <c r="B101" s="18">
        <v>1.0</v>
      </c>
      <c r="C101" s="18">
        <v>224.0</v>
      </c>
      <c r="D101" s="18">
        <v>0.12591344118118286</v>
      </c>
      <c r="E101" s="18">
        <v>0.3804563581943512</v>
      </c>
      <c r="F101" s="18">
        <v>85.22222438454628</v>
      </c>
      <c r="G101" s="18">
        <v>1779.0</v>
      </c>
      <c r="H101" s="19">
        <v>0.047904569655656815</v>
      </c>
      <c r="I101" s="8"/>
      <c r="J101" s="8"/>
      <c r="K101" s="20"/>
      <c r="L101" s="18">
        <v>21307.0</v>
      </c>
      <c r="M101" s="18">
        <v>0.0</v>
      </c>
      <c r="N101" s="18">
        <v>349.0</v>
      </c>
      <c r="O101" s="18">
        <v>0.09361588209867477</v>
      </c>
      <c r="P101" s="18">
        <v>0.37663164734840393</v>
      </c>
      <c r="Q101" s="18">
        <v>131.44444778561592</v>
      </c>
      <c r="R101" s="18">
        <v>3728.0</v>
      </c>
      <c r="S101" s="19">
        <v>0.0352587029337883</v>
      </c>
      <c r="T101" s="8"/>
      <c r="U101" s="8"/>
      <c r="V101" s="8"/>
      <c r="W101" s="8"/>
      <c r="X101" s="8"/>
      <c r="Y101" s="8"/>
      <c r="Z101" s="8"/>
      <c r="AA101" s="8"/>
      <c r="AB101" s="8"/>
    </row>
    <row r="102" ht="15.75" customHeight="1">
      <c r="A102" s="18">
        <v>21401.0</v>
      </c>
      <c r="B102" s="18">
        <v>1.0</v>
      </c>
      <c r="C102" s="18">
        <v>602.0</v>
      </c>
      <c r="D102" s="18">
        <v>0.10746162384748459</v>
      </c>
      <c r="E102" s="18">
        <v>0.3654485046863556</v>
      </c>
      <c r="F102" s="18">
        <v>220.000005453825</v>
      </c>
      <c r="G102" s="18">
        <v>5602.0</v>
      </c>
      <c r="H102" s="19">
        <v>0.03927168995141983</v>
      </c>
      <c r="I102" s="8"/>
      <c r="J102" s="8"/>
      <c r="K102" s="20"/>
      <c r="L102" s="18">
        <v>21401.0</v>
      </c>
      <c r="M102" s="18">
        <v>0.0</v>
      </c>
      <c r="N102" s="18">
        <v>2360.0</v>
      </c>
      <c r="O102" s="18">
        <v>0.11235955357551575</v>
      </c>
      <c r="P102" s="18">
        <v>0.3604990541934967</v>
      </c>
      <c r="Q102" s="18">
        <v>850.7777988016605</v>
      </c>
      <c r="R102" s="18">
        <v>21004.0</v>
      </c>
      <c r="S102" s="19">
        <v>0.04050551354885101</v>
      </c>
      <c r="T102" s="8"/>
      <c r="U102" s="8"/>
      <c r="V102" s="8"/>
      <c r="W102" s="8"/>
      <c r="X102" s="8"/>
      <c r="Y102" s="8"/>
      <c r="Z102" s="8"/>
      <c r="AA102" s="8"/>
      <c r="AB102" s="8"/>
    </row>
    <row r="103" ht="15.75" customHeight="1">
      <c r="A103" s="18">
        <v>21402.0</v>
      </c>
      <c r="B103" s="18">
        <v>1.0</v>
      </c>
      <c r="C103" s="18">
        <v>225.0</v>
      </c>
      <c r="D103" s="18">
        <v>0.05457191541790962</v>
      </c>
      <c r="E103" s="18">
        <v>0.3619753122329712</v>
      </c>
      <c r="F103" s="18">
        <v>81.44444653391838</v>
      </c>
      <c r="G103" s="18">
        <v>4123.0</v>
      </c>
      <c r="H103" s="19">
        <v>0.01975368522107601</v>
      </c>
      <c r="I103" s="8"/>
      <c r="J103" s="8"/>
      <c r="K103" s="20"/>
      <c r="L103" s="18">
        <v>21402.0</v>
      </c>
      <c r="M103" s="18">
        <v>0.0</v>
      </c>
      <c r="N103" s="18">
        <v>1046.0</v>
      </c>
      <c r="O103" s="18">
        <v>0.05563533678650856</v>
      </c>
      <c r="P103" s="18">
        <v>0.3640322983264923</v>
      </c>
      <c r="Q103" s="18">
        <v>380.7777878046036</v>
      </c>
      <c r="R103" s="18">
        <v>18801.0</v>
      </c>
      <c r="S103" s="19">
        <v>0.02025306038558483</v>
      </c>
      <c r="T103" s="8"/>
      <c r="U103" s="8"/>
      <c r="V103" s="8"/>
      <c r="W103" s="8"/>
      <c r="X103" s="8"/>
      <c r="Y103" s="8"/>
      <c r="Z103" s="8"/>
      <c r="AA103" s="8"/>
      <c r="AB103" s="8"/>
    </row>
    <row r="104" ht="15.75" customHeight="1">
      <c r="A104" s="18">
        <v>21501.0</v>
      </c>
      <c r="B104" s="18">
        <v>1.0</v>
      </c>
      <c r="C104" s="18">
        <v>384.0</v>
      </c>
      <c r="D104" s="18">
        <v>0.24742268025875092</v>
      </c>
      <c r="E104" s="18">
        <v>0.40075233578681946</v>
      </c>
      <c r="F104" s="18">
        <v>153.88889250159264</v>
      </c>
      <c r="G104" s="18">
        <v>1552.0</v>
      </c>
      <c r="H104" s="19">
        <v>0.09915521740913391</v>
      </c>
      <c r="I104" s="8"/>
      <c r="J104" s="8"/>
      <c r="K104" s="20"/>
      <c r="L104" s="18">
        <v>21501.0</v>
      </c>
      <c r="M104" s="18">
        <v>0.0</v>
      </c>
      <c r="N104" s="18">
        <v>2289.0</v>
      </c>
      <c r="O104" s="18">
        <v>0.234096959233284</v>
      </c>
      <c r="P104" s="18">
        <v>0.4013882875442505</v>
      </c>
      <c r="Q104" s="18">
        <v>918.7777999341488</v>
      </c>
      <c r="R104" s="18">
        <v>9778.0</v>
      </c>
      <c r="S104" s="19">
        <v>0.09396377950906754</v>
      </c>
      <c r="T104" s="8"/>
      <c r="U104" s="8"/>
      <c r="V104" s="8"/>
      <c r="W104" s="8"/>
      <c r="X104" s="8"/>
      <c r="Y104" s="8"/>
      <c r="Z104" s="8"/>
      <c r="AA104" s="8"/>
      <c r="AB104" s="8"/>
    </row>
    <row r="105" ht="15.75" customHeight="1">
      <c r="A105" s="18">
        <v>21502.0</v>
      </c>
      <c r="B105" s="18">
        <v>1.0</v>
      </c>
      <c r="C105" s="18">
        <v>185.0</v>
      </c>
      <c r="D105" s="18">
        <v>0.10863182693719864</v>
      </c>
      <c r="E105" s="18">
        <v>0.40360361337661743</v>
      </c>
      <c r="F105" s="18">
        <v>74.66666853427887</v>
      </c>
      <c r="G105" s="18">
        <v>1703.0</v>
      </c>
      <c r="H105" s="19">
        <v>0.04384419694542885</v>
      </c>
      <c r="I105" s="8"/>
      <c r="J105" s="8"/>
      <c r="K105" s="20"/>
      <c r="L105" s="18">
        <v>21502.0</v>
      </c>
      <c r="M105" s="18">
        <v>0.0</v>
      </c>
      <c r="N105" s="18">
        <v>749.0</v>
      </c>
      <c r="O105" s="18">
        <v>0.0943206176161766</v>
      </c>
      <c r="P105" s="18">
        <v>0.4020175039768219</v>
      </c>
      <c r="Q105" s="18">
        <v>301.1111176609993</v>
      </c>
      <c r="R105" s="18">
        <v>7941.0</v>
      </c>
      <c r="S105" s="19">
        <v>0.037918537855148315</v>
      </c>
      <c r="T105" s="8"/>
      <c r="U105" s="8"/>
      <c r="V105" s="8"/>
      <c r="W105" s="8"/>
      <c r="X105" s="8"/>
      <c r="Y105" s="8"/>
      <c r="Z105" s="8"/>
      <c r="AA105" s="8"/>
      <c r="AB105" s="8"/>
    </row>
    <row r="106" ht="15.75" customHeight="1">
      <c r="A106" s="18">
        <v>21601.0</v>
      </c>
      <c r="B106" s="18">
        <v>1.0</v>
      </c>
      <c r="C106" s="18">
        <v>878.0</v>
      </c>
      <c r="D106" s="18">
        <v>0.25530678033828735</v>
      </c>
      <c r="E106" s="18">
        <v>0.3766135275363922</v>
      </c>
      <c r="F106" s="18">
        <v>330.66667526960373</v>
      </c>
      <c r="G106" s="18">
        <v>3439.0</v>
      </c>
      <c r="H106" s="19">
        <v>0.09615198522806168</v>
      </c>
      <c r="I106" s="8"/>
      <c r="J106" s="8"/>
      <c r="K106" s="20"/>
      <c r="L106" s="18">
        <v>21601.0</v>
      </c>
      <c r="M106" s="18">
        <v>0.0</v>
      </c>
      <c r="N106" s="18">
        <v>2437.0</v>
      </c>
      <c r="O106" s="18">
        <v>0.1995905041694641</v>
      </c>
      <c r="P106" s="18">
        <v>0.396297812461853</v>
      </c>
      <c r="Q106" s="18">
        <v>965.7778021991253</v>
      </c>
      <c r="R106" s="18">
        <v>12210.0</v>
      </c>
      <c r="S106" s="19">
        <v>0.07909727841615677</v>
      </c>
      <c r="T106" s="8"/>
      <c r="U106" s="8"/>
      <c r="V106" s="8"/>
      <c r="W106" s="8"/>
      <c r="X106" s="8"/>
      <c r="Y106" s="8"/>
      <c r="Z106" s="8"/>
      <c r="AA106" s="8"/>
      <c r="AB106" s="8"/>
    </row>
    <row r="107" ht="15.75" customHeight="1">
      <c r="A107" s="18">
        <v>21602.0</v>
      </c>
      <c r="B107" s="18">
        <v>1.0</v>
      </c>
      <c r="C107" s="18">
        <v>415.0</v>
      </c>
      <c r="D107" s="18">
        <v>0.3627622425556183</v>
      </c>
      <c r="E107" s="18">
        <v>0.4230254590511322</v>
      </c>
      <c r="F107" s="18">
        <v>175.55555987358093</v>
      </c>
      <c r="G107" s="18">
        <v>1144.0</v>
      </c>
      <c r="H107" s="19">
        <v>0.1534576714038849</v>
      </c>
      <c r="I107" s="8"/>
      <c r="J107" s="8"/>
      <c r="K107" s="20"/>
      <c r="L107" s="18">
        <v>21602.0</v>
      </c>
      <c r="M107" s="18">
        <v>0.0</v>
      </c>
      <c r="N107" s="18">
        <v>1503.0</v>
      </c>
      <c r="O107" s="18">
        <v>0.27679556608200073</v>
      </c>
      <c r="P107" s="18">
        <v>0.41945740580558777</v>
      </c>
      <c r="Q107" s="18">
        <v>630.4444596469402</v>
      </c>
      <c r="R107" s="18">
        <v>5430.0</v>
      </c>
      <c r="S107" s="19">
        <v>0.11610394716262817</v>
      </c>
      <c r="T107" s="8"/>
      <c r="U107" s="8"/>
      <c r="V107" s="8"/>
      <c r="W107" s="8"/>
      <c r="X107" s="8"/>
      <c r="Y107" s="8"/>
      <c r="Z107" s="8"/>
      <c r="AA107" s="8"/>
      <c r="AB107" s="8"/>
    </row>
    <row r="108" ht="15.75" customHeight="1">
      <c r="A108" s="18">
        <v>21701.0</v>
      </c>
      <c r="B108" s="18">
        <v>1.0</v>
      </c>
      <c r="C108" s="18">
        <v>904.0</v>
      </c>
      <c r="D108" s="18">
        <v>0.1690351516008377</v>
      </c>
      <c r="E108" s="18">
        <v>0.36774829030036926</v>
      </c>
      <c r="F108" s="18">
        <v>332.4444528520107</v>
      </c>
      <c r="G108" s="18">
        <v>5348.0</v>
      </c>
      <c r="H108" s="19">
        <v>0.06216238811612129</v>
      </c>
      <c r="I108" s="8"/>
      <c r="J108" s="8"/>
      <c r="K108" s="20"/>
      <c r="L108" s="18">
        <v>21701.0</v>
      </c>
      <c r="M108" s="18">
        <v>0.0</v>
      </c>
      <c r="N108" s="18">
        <v>1167.0</v>
      </c>
      <c r="O108" s="18">
        <v>0.09833993762731552</v>
      </c>
      <c r="P108" s="18">
        <v>0.367990106344223</v>
      </c>
      <c r="Q108" s="18">
        <v>429.44445553421974</v>
      </c>
      <c r="R108" s="18">
        <v>11867.0</v>
      </c>
      <c r="S108" s="19">
        <v>0.03618812561035156</v>
      </c>
      <c r="T108" s="8"/>
      <c r="U108" s="8"/>
      <c r="V108" s="8"/>
      <c r="W108" s="8"/>
      <c r="X108" s="8"/>
      <c r="Y108" s="8"/>
      <c r="Z108" s="8"/>
      <c r="AA108" s="8"/>
      <c r="AB108" s="8"/>
    </row>
    <row r="109" ht="15.75" customHeight="1">
      <c r="A109" s="18">
        <v>21702.0</v>
      </c>
      <c r="B109" s="18">
        <v>1.0</v>
      </c>
      <c r="C109" s="18">
        <v>465.0</v>
      </c>
      <c r="D109" s="18">
        <v>0.13489991426467896</v>
      </c>
      <c r="E109" s="18">
        <v>0.36606931686401367</v>
      </c>
      <c r="F109" s="18">
        <v>170.2222266793251</v>
      </c>
      <c r="G109" s="18">
        <v>3447.0</v>
      </c>
      <c r="H109" s="19">
        <v>0.04938272014260292</v>
      </c>
      <c r="I109" s="8"/>
      <c r="J109" s="8"/>
      <c r="K109" s="20"/>
      <c r="L109" s="18">
        <v>21702.0</v>
      </c>
      <c r="M109" s="18">
        <v>0.0</v>
      </c>
      <c r="N109" s="18">
        <v>456.0</v>
      </c>
      <c r="O109" s="18">
        <v>0.08507462590932846</v>
      </c>
      <c r="P109" s="18">
        <v>0.3530701696872711</v>
      </c>
      <c r="Q109" s="18">
        <v>161.0000039935112</v>
      </c>
      <c r="R109" s="18">
        <v>5360.0</v>
      </c>
      <c r="S109" s="19">
        <v>0.03003731183707714</v>
      </c>
      <c r="T109" s="8"/>
      <c r="U109" s="8"/>
      <c r="V109" s="8"/>
      <c r="W109" s="8"/>
      <c r="X109" s="8"/>
      <c r="Y109" s="8"/>
      <c r="Z109" s="8"/>
      <c r="AA109" s="8"/>
      <c r="AB109" s="8"/>
    </row>
    <row r="110" ht="15.75" customHeight="1">
      <c r="A110" s="18">
        <v>21703.0</v>
      </c>
      <c r="B110" s="18">
        <v>1.0</v>
      </c>
      <c r="C110" s="18">
        <v>778.0</v>
      </c>
      <c r="D110" s="18">
        <v>0.29094988107681274</v>
      </c>
      <c r="E110" s="18">
        <v>0.3814624547958374</v>
      </c>
      <c r="F110" s="18">
        <v>296.77778574824333</v>
      </c>
      <c r="G110" s="18">
        <v>2674.0</v>
      </c>
      <c r="H110" s="19">
        <v>0.11098645627498627</v>
      </c>
      <c r="I110" s="8"/>
      <c r="J110" s="8"/>
      <c r="K110" s="20"/>
      <c r="L110" s="18">
        <v>21703.0</v>
      </c>
      <c r="M110" s="18">
        <v>0.0</v>
      </c>
      <c r="N110" s="18">
        <v>971.0</v>
      </c>
      <c r="O110" s="18">
        <v>0.2086825668811798</v>
      </c>
      <c r="P110" s="18">
        <v>0.37464240193367004</v>
      </c>
      <c r="Q110" s="18">
        <v>363.77778658270836</v>
      </c>
      <c r="R110" s="18">
        <v>4653.0</v>
      </c>
      <c r="S110" s="19">
        <v>0.07818134129047394</v>
      </c>
      <c r="T110" s="8"/>
      <c r="U110" s="8"/>
      <c r="V110" s="8"/>
      <c r="W110" s="8"/>
      <c r="X110" s="8"/>
      <c r="Y110" s="8"/>
      <c r="Z110" s="8"/>
      <c r="AA110" s="8"/>
      <c r="AB110" s="8"/>
    </row>
    <row r="111" ht="15.75" customHeight="1">
      <c r="A111" s="18">
        <v>21801.0</v>
      </c>
      <c r="B111" s="18">
        <v>1.0</v>
      </c>
      <c r="C111" s="18">
        <v>650.0</v>
      </c>
      <c r="D111" s="18">
        <v>0.20720434188842773</v>
      </c>
      <c r="E111" s="18">
        <v>0.373846173286438</v>
      </c>
      <c r="F111" s="18">
        <v>243.00000566244125</v>
      </c>
      <c r="G111" s="18">
        <v>3137.0</v>
      </c>
      <c r="H111" s="19">
        <v>0.07746255397796631</v>
      </c>
      <c r="I111" s="8"/>
      <c r="J111" s="8"/>
      <c r="K111" s="20"/>
      <c r="L111" s="18">
        <v>21801.0</v>
      </c>
      <c r="M111" s="18">
        <v>0.0</v>
      </c>
      <c r="N111" s="18">
        <v>1214.0</v>
      </c>
      <c r="O111" s="18">
        <v>0.2001318782567978</v>
      </c>
      <c r="P111" s="18">
        <v>0.36481788754463196</v>
      </c>
      <c r="Q111" s="18">
        <v>442.88889986276627</v>
      </c>
      <c r="R111" s="18">
        <v>6066.0</v>
      </c>
      <c r="S111" s="19">
        <v>0.07301168888807297</v>
      </c>
      <c r="T111" s="8"/>
      <c r="U111" s="8"/>
      <c r="V111" s="8"/>
      <c r="W111" s="8"/>
      <c r="X111" s="8"/>
      <c r="Y111" s="8"/>
      <c r="Z111" s="8"/>
      <c r="AA111" s="8"/>
      <c r="AB111" s="8"/>
    </row>
    <row r="112" ht="15.75" customHeight="1">
      <c r="A112" s="18">
        <v>21802.0</v>
      </c>
      <c r="B112" s="18">
        <v>1.0</v>
      </c>
      <c r="C112" s="18">
        <v>321.0</v>
      </c>
      <c r="D112" s="18">
        <v>0.15227703750133514</v>
      </c>
      <c r="E112" s="18">
        <v>0.36310142278671265</v>
      </c>
      <c r="F112" s="18">
        <v>116.55555844306946</v>
      </c>
      <c r="G112" s="18">
        <v>2108.0</v>
      </c>
      <c r="H112" s="19">
        <v>0.05529201030731201</v>
      </c>
      <c r="I112" s="8"/>
      <c r="J112" s="8"/>
      <c r="K112" s="20"/>
      <c r="L112" s="18">
        <v>21802.0</v>
      </c>
      <c r="M112" s="18">
        <v>0.0</v>
      </c>
      <c r="N112" s="18">
        <v>548.0</v>
      </c>
      <c r="O112" s="18">
        <v>0.12089124321937561</v>
      </c>
      <c r="P112" s="18">
        <v>0.3540146052837372</v>
      </c>
      <c r="Q112" s="18">
        <v>194.00000485777855</v>
      </c>
      <c r="R112" s="18">
        <v>4533.0</v>
      </c>
      <c r="S112" s="19">
        <v>0.0427972674369812</v>
      </c>
      <c r="T112" s="8"/>
      <c r="U112" s="8"/>
      <c r="V112" s="8"/>
      <c r="W112" s="8"/>
      <c r="X112" s="8"/>
      <c r="Y112" s="8"/>
      <c r="Z112" s="8"/>
      <c r="AA112" s="8"/>
      <c r="AB112" s="8"/>
    </row>
    <row r="113" ht="15.75" customHeight="1">
      <c r="A113" s="18">
        <v>21803.0</v>
      </c>
      <c r="B113" s="18">
        <v>1.0</v>
      </c>
      <c r="C113" s="18">
        <v>139.0</v>
      </c>
      <c r="D113" s="18">
        <v>0.24173912405967712</v>
      </c>
      <c r="E113" s="18">
        <v>0.37090328335762024</v>
      </c>
      <c r="F113" s="18">
        <v>51.555556923151016</v>
      </c>
      <c r="G113" s="18">
        <v>575.0</v>
      </c>
      <c r="H113" s="19">
        <v>0.08966183662414551</v>
      </c>
      <c r="I113" s="8"/>
      <c r="J113" s="8"/>
      <c r="K113" s="20"/>
      <c r="L113" s="18">
        <v>21803.0</v>
      </c>
      <c r="M113" s="18">
        <v>0.0</v>
      </c>
      <c r="N113" s="18">
        <v>370.0</v>
      </c>
      <c r="O113" s="18">
        <v>0.2511880397796631</v>
      </c>
      <c r="P113" s="18">
        <v>0.3540540635585785</v>
      </c>
      <c r="Q113" s="18">
        <v>131.00000354647636</v>
      </c>
      <c r="R113" s="18">
        <v>1473.0</v>
      </c>
      <c r="S113" s="19">
        <v>0.08893414586782455</v>
      </c>
      <c r="T113" s="8"/>
      <c r="U113" s="8"/>
      <c r="V113" s="8"/>
      <c r="W113" s="8"/>
      <c r="X113" s="8"/>
      <c r="Y113" s="8"/>
      <c r="Z113" s="8"/>
      <c r="AA113" s="8"/>
      <c r="AB113" s="8"/>
    </row>
    <row r="114" ht="15.75" customHeight="1">
      <c r="A114" s="18">
        <v>21901.0</v>
      </c>
      <c r="B114" s="18">
        <v>1.0</v>
      </c>
      <c r="C114" s="18">
        <v>385.0</v>
      </c>
      <c r="D114" s="18">
        <v>0.16102048754692078</v>
      </c>
      <c r="E114" s="18">
        <v>0.37344878911972046</v>
      </c>
      <c r="F114" s="18">
        <v>143.7777813076973</v>
      </c>
      <c r="G114" s="18">
        <v>2391.0</v>
      </c>
      <c r="H114" s="19">
        <v>0.06013290584087372</v>
      </c>
      <c r="I114" s="8"/>
      <c r="J114" s="8"/>
      <c r="K114" s="20"/>
      <c r="L114" s="18">
        <v>21901.0</v>
      </c>
      <c r="M114" s="18">
        <v>0.0</v>
      </c>
      <c r="N114" s="18">
        <v>695.0</v>
      </c>
      <c r="O114" s="18">
        <v>0.15856719017028809</v>
      </c>
      <c r="P114" s="18">
        <v>0.363709032535553</v>
      </c>
      <c r="Q114" s="18">
        <v>252.77778407931328</v>
      </c>
      <c r="R114" s="18">
        <v>4383.0</v>
      </c>
      <c r="S114" s="19">
        <v>0.05767231807112694</v>
      </c>
      <c r="T114" s="8"/>
      <c r="U114" s="8"/>
      <c r="V114" s="8"/>
      <c r="W114" s="8"/>
      <c r="X114" s="8"/>
      <c r="Y114" s="8"/>
      <c r="Z114" s="8"/>
      <c r="AA114" s="8"/>
      <c r="AB114" s="8"/>
    </row>
    <row r="115" ht="15.75" customHeight="1">
      <c r="A115" s="18">
        <v>21902.0</v>
      </c>
      <c r="B115" s="18">
        <v>1.0</v>
      </c>
      <c r="C115" s="18">
        <v>158.0</v>
      </c>
      <c r="D115" s="18">
        <v>0.1779279261827469</v>
      </c>
      <c r="E115" s="18">
        <v>0.3945147693157196</v>
      </c>
      <c r="F115" s="18">
        <v>62.33333495259285</v>
      </c>
      <c r="G115" s="18">
        <v>888.0</v>
      </c>
      <c r="H115" s="19">
        <v>0.07019519805908203</v>
      </c>
      <c r="I115" s="8"/>
      <c r="J115" s="8"/>
      <c r="K115" s="20"/>
      <c r="L115" s="18">
        <v>21902.0</v>
      </c>
      <c r="M115" s="18">
        <v>0.0</v>
      </c>
      <c r="N115" s="18">
        <v>753.0</v>
      </c>
      <c r="O115" s="18">
        <v>0.16932763159275055</v>
      </c>
      <c r="P115" s="18">
        <v>0.3708130419254303</v>
      </c>
      <c r="Q115" s="18">
        <v>279.2222285568714</v>
      </c>
      <c r="R115" s="18">
        <v>4447.0</v>
      </c>
      <c r="S115" s="19">
        <v>0.06278889626264572</v>
      </c>
      <c r="T115" s="8"/>
      <c r="U115" s="8"/>
      <c r="V115" s="8"/>
      <c r="W115" s="8"/>
      <c r="X115" s="8"/>
      <c r="Y115" s="8"/>
      <c r="Z115" s="8"/>
      <c r="AA115" s="8"/>
      <c r="AB115" s="8"/>
    </row>
    <row r="116" ht="15.75" customHeight="1">
      <c r="A116" s="18">
        <v>22001.0</v>
      </c>
      <c r="B116" s="18">
        <v>1.0</v>
      </c>
      <c r="C116" s="18">
        <v>1320.0</v>
      </c>
      <c r="D116" s="18">
        <v>0.1251896768808365</v>
      </c>
      <c r="E116" s="18">
        <v>0.3788720667362213</v>
      </c>
      <c r="F116" s="18">
        <v>500.1111236214638</v>
      </c>
      <c r="G116" s="18">
        <v>10544.0</v>
      </c>
      <c r="H116" s="19">
        <v>0.04743087291717529</v>
      </c>
      <c r="I116" s="8"/>
      <c r="J116" s="8"/>
      <c r="K116" s="20"/>
      <c r="L116" s="18">
        <v>22001.0</v>
      </c>
      <c r="M116" s="18">
        <v>0.0</v>
      </c>
      <c r="N116" s="18">
        <v>5585.0</v>
      </c>
      <c r="O116" s="18">
        <v>0.11772517114877701</v>
      </c>
      <c r="P116" s="18">
        <v>0.3732418417930603</v>
      </c>
      <c r="Q116" s="18">
        <v>2084.5556075572968</v>
      </c>
      <c r="R116" s="18">
        <v>47441.0</v>
      </c>
      <c r="S116" s="19">
        <v>0.04393995925784111</v>
      </c>
      <c r="T116" s="8"/>
      <c r="U116" s="8"/>
      <c r="V116" s="8"/>
      <c r="W116" s="8"/>
      <c r="X116" s="8"/>
      <c r="Y116" s="8"/>
      <c r="Z116" s="8"/>
      <c r="AA116" s="8"/>
      <c r="AB116" s="8"/>
    </row>
    <row r="117" ht="15.75" customHeight="1">
      <c r="A117" s="18">
        <v>22002.0</v>
      </c>
      <c r="B117" s="18">
        <v>1.0</v>
      </c>
      <c r="C117" s="18">
        <v>417.0</v>
      </c>
      <c r="D117" s="18">
        <v>0.22861842811107635</v>
      </c>
      <c r="E117" s="18">
        <v>0.3783639967441559</v>
      </c>
      <c r="F117" s="18">
        <v>157.77778163552284</v>
      </c>
      <c r="G117" s="18">
        <v>1824.0</v>
      </c>
      <c r="H117" s="19">
        <v>0.08650097995996475</v>
      </c>
      <c r="I117" s="8"/>
      <c r="J117" s="8"/>
      <c r="K117" s="20"/>
      <c r="L117" s="18">
        <v>22002.0</v>
      </c>
      <c r="M117" s="18">
        <v>0.0</v>
      </c>
      <c r="N117" s="18">
        <v>2069.0</v>
      </c>
      <c r="O117" s="18">
        <v>0.2402740716934204</v>
      </c>
      <c r="P117" s="18">
        <v>0.375328928232193</v>
      </c>
      <c r="Q117" s="18">
        <v>776.5555752813816</v>
      </c>
      <c r="R117" s="18">
        <v>8611.0</v>
      </c>
      <c r="S117" s="19">
        <v>0.09018181264400482</v>
      </c>
      <c r="T117" s="8"/>
      <c r="U117" s="8"/>
      <c r="V117" s="8"/>
      <c r="W117" s="8"/>
      <c r="X117" s="8"/>
      <c r="Y117" s="8"/>
      <c r="Z117" s="8"/>
      <c r="AA117" s="8"/>
      <c r="AB117" s="8"/>
    </row>
    <row r="118" ht="15.75" customHeight="1">
      <c r="A118" s="18">
        <v>30101.0</v>
      </c>
      <c r="B118" s="18">
        <v>1.0</v>
      </c>
      <c r="C118" s="18">
        <v>5810.0</v>
      </c>
      <c r="D118" s="18">
        <v>0.04053950309753418</v>
      </c>
      <c r="E118" s="18">
        <v>0.3567221462726593</v>
      </c>
      <c r="F118" s="18">
        <v>2072.5556094944477</v>
      </c>
      <c r="G118" s="18">
        <v>143317.0</v>
      </c>
      <c r="H118" s="19">
        <v>0.014461338520050049</v>
      </c>
      <c r="I118" s="8"/>
      <c r="J118" s="8"/>
      <c r="K118" s="20"/>
      <c r="L118" s="18">
        <v>30101.0</v>
      </c>
      <c r="M118" s="18">
        <v>0.0</v>
      </c>
      <c r="N118" s="18">
        <v>33339.0</v>
      </c>
      <c r="O118" s="18">
        <v>0.06551986932754517</v>
      </c>
      <c r="P118" s="18">
        <v>0.35596948862075806</v>
      </c>
      <c r="Q118" s="18">
        <v>11867.666975706816</v>
      </c>
      <c r="R118" s="18">
        <v>508838.0</v>
      </c>
      <c r="S118" s="19">
        <v>0.023323073983192444</v>
      </c>
      <c r="T118" s="8"/>
      <c r="U118" s="8"/>
      <c r="V118" s="8"/>
      <c r="W118" s="8"/>
      <c r="X118" s="8"/>
      <c r="Y118" s="8"/>
      <c r="Z118" s="8"/>
      <c r="AA118" s="8"/>
      <c r="AB118" s="8"/>
    </row>
    <row r="119" ht="15.75" customHeight="1">
      <c r="A119" s="18">
        <v>30201.0</v>
      </c>
      <c r="B119" s="18">
        <v>1.0</v>
      </c>
      <c r="C119" s="18">
        <v>1449.0</v>
      </c>
      <c r="D119" s="18">
        <v>0.24952642619609833</v>
      </c>
      <c r="E119" s="18">
        <v>0.3928379714488983</v>
      </c>
      <c r="F119" s="18">
        <v>569.2222359776497</v>
      </c>
      <c r="G119" s="18">
        <v>5807.0</v>
      </c>
      <c r="H119" s="19">
        <v>0.09802345186471939</v>
      </c>
      <c r="I119" s="8"/>
      <c r="J119" s="8"/>
      <c r="K119" s="20"/>
      <c r="L119" s="18">
        <v>30201.0</v>
      </c>
      <c r="M119" s="18">
        <v>0.0</v>
      </c>
      <c r="N119" s="18">
        <v>3039.0</v>
      </c>
      <c r="O119" s="18">
        <v>0.17777128517627716</v>
      </c>
      <c r="P119" s="18">
        <v>0.39069870114326477</v>
      </c>
      <c r="Q119" s="18">
        <v>1187.3333635628223</v>
      </c>
      <c r="R119" s="18">
        <v>17095.0</v>
      </c>
      <c r="S119" s="19">
        <v>0.06945501267910004</v>
      </c>
      <c r="T119" s="8"/>
      <c r="U119" s="8"/>
      <c r="V119" s="8"/>
      <c r="W119" s="8"/>
      <c r="X119" s="8"/>
      <c r="Y119" s="8"/>
      <c r="Z119" s="8"/>
      <c r="AA119" s="8"/>
      <c r="AB119" s="8"/>
    </row>
    <row r="120" ht="15.75" customHeight="1">
      <c r="A120" s="18">
        <v>30202.0</v>
      </c>
      <c r="B120" s="18">
        <v>1.0</v>
      </c>
      <c r="C120" s="18">
        <v>282.0</v>
      </c>
      <c r="D120" s="18">
        <v>0.1457364410161972</v>
      </c>
      <c r="E120" s="18">
        <v>0.37549251317977905</v>
      </c>
      <c r="F120" s="18">
        <v>105.88889160752296</v>
      </c>
      <c r="G120" s="18">
        <v>1935.0</v>
      </c>
      <c r="H120" s="19">
        <v>0.05472294241189957</v>
      </c>
      <c r="I120" s="8"/>
      <c r="J120" s="8"/>
      <c r="K120" s="20"/>
      <c r="L120" s="18">
        <v>30202.0</v>
      </c>
      <c r="M120" s="18">
        <v>0.0</v>
      </c>
      <c r="N120" s="18">
        <v>687.0</v>
      </c>
      <c r="O120" s="18">
        <v>0.15338245034217834</v>
      </c>
      <c r="P120" s="18">
        <v>0.375384122133255</v>
      </c>
      <c r="Q120" s="18">
        <v>257.88889506459236</v>
      </c>
      <c r="R120" s="18">
        <v>4479.0</v>
      </c>
      <c r="S120" s="19">
        <v>0.05757733806967735</v>
      </c>
      <c r="T120" s="8"/>
      <c r="U120" s="8"/>
      <c r="V120" s="8"/>
      <c r="W120" s="8"/>
      <c r="X120" s="8"/>
      <c r="Y120" s="8"/>
      <c r="Z120" s="8"/>
      <c r="AA120" s="8"/>
      <c r="AB120" s="8"/>
    </row>
    <row r="121" ht="15.75" customHeight="1">
      <c r="A121" s="18">
        <v>30203.0</v>
      </c>
      <c r="B121" s="18">
        <v>1.0</v>
      </c>
      <c r="C121" s="18">
        <v>168.0</v>
      </c>
      <c r="D121" s="18">
        <v>0.11898016929626465</v>
      </c>
      <c r="E121" s="18">
        <v>0.38227513432502747</v>
      </c>
      <c r="F121" s="18">
        <v>64.22222366929054</v>
      </c>
      <c r="G121" s="18">
        <v>1412.0</v>
      </c>
      <c r="H121" s="19">
        <v>0.04548316076397896</v>
      </c>
      <c r="I121" s="8"/>
      <c r="J121" s="8"/>
      <c r="K121" s="20"/>
      <c r="L121" s="18">
        <v>30203.0</v>
      </c>
      <c r="M121" s="18">
        <v>0.0</v>
      </c>
      <c r="N121" s="18">
        <v>470.0</v>
      </c>
      <c r="O121" s="18">
        <v>0.0892518013715744</v>
      </c>
      <c r="P121" s="18">
        <v>0.37683215737342834</v>
      </c>
      <c r="Q121" s="18">
        <v>177.11111542582512</v>
      </c>
      <c r="R121" s="18">
        <v>5266.0</v>
      </c>
      <c r="S121" s="19">
        <v>0.033632948994636536</v>
      </c>
      <c r="T121" s="8"/>
      <c r="U121" s="8"/>
      <c r="V121" s="8"/>
      <c r="W121" s="8"/>
      <c r="X121" s="8"/>
      <c r="Y121" s="8"/>
      <c r="Z121" s="8"/>
      <c r="AA121" s="8"/>
      <c r="AB121" s="8"/>
    </row>
    <row r="122" ht="15.75" customHeight="1">
      <c r="A122" s="18">
        <v>30301.0</v>
      </c>
      <c r="B122" s="18">
        <v>1.0</v>
      </c>
      <c r="C122" s="18">
        <v>1724.0</v>
      </c>
      <c r="D122" s="18">
        <v>0.3688489496707916</v>
      </c>
      <c r="E122" s="18">
        <v>0.39372262358665466</v>
      </c>
      <c r="F122" s="18">
        <v>678.7777950465679</v>
      </c>
      <c r="G122" s="18">
        <v>4674.0</v>
      </c>
      <c r="H122" s="19">
        <v>0.1452241688966751</v>
      </c>
      <c r="I122" s="8"/>
      <c r="J122" s="8"/>
      <c r="K122" s="20"/>
      <c r="L122" s="18">
        <v>30301.0</v>
      </c>
      <c r="M122" s="18">
        <v>0.0</v>
      </c>
      <c r="N122" s="18">
        <v>4036.0</v>
      </c>
      <c r="O122" s="18">
        <v>0.23717458546161652</v>
      </c>
      <c r="P122" s="18">
        <v>0.3897973895072937</v>
      </c>
      <c r="Q122" s="18">
        <v>1573.2222636044025</v>
      </c>
      <c r="R122" s="18">
        <v>17017.0</v>
      </c>
      <c r="S122" s="19">
        <v>0.09245003759860992</v>
      </c>
      <c r="T122" s="8"/>
      <c r="U122" s="8"/>
      <c r="V122" s="8"/>
      <c r="W122" s="8"/>
      <c r="X122" s="8"/>
      <c r="Y122" s="8"/>
      <c r="Z122" s="8"/>
      <c r="AA122" s="8"/>
      <c r="AB122" s="8"/>
    </row>
    <row r="123" ht="15.75" customHeight="1">
      <c r="A123" s="18">
        <v>30302.0</v>
      </c>
      <c r="B123" s="18">
        <v>1.0</v>
      </c>
      <c r="C123" s="18">
        <v>1268.0</v>
      </c>
      <c r="D123" s="18">
        <v>0.30679893493652344</v>
      </c>
      <c r="E123" s="18">
        <v>0.39046618342399597</v>
      </c>
      <c r="F123" s="18">
        <v>495.1111227273941</v>
      </c>
      <c r="G123" s="18">
        <v>4133.0</v>
      </c>
      <c r="H123" s="19">
        <v>0.11979460716247559</v>
      </c>
      <c r="I123" s="8"/>
      <c r="J123" s="8"/>
      <c r="K123" s="20"/>
      <c r="L123" s="18">
        <v>30302.0</v>
      </c>
      <c r="M123" s="18">
        <v>0.0</v>
      </c>
      <c r="N123" s="18">
        <v>2709.0</v>
      </c>
      <c r="O123" s="18">
        <v>0.2571672797203064</v>
      </c>
      <c r="P123" s="18">
        <v>0.3766457438468933</v>
      </c>
      <c r="Q123" s="18">
        <v>1020.3333598971367</v>
      </c>
      <c r="R123" s="18">
        <v>10534.0</v>
      </c>
      <c r="S123" s="19">
        <v>0.09686096012592316</v>
      </c>
      <c r="T123" s="8"/>
      <c r="U123" s="8"/>
      <c r="V123" s="8"/>
      <c r="W123" s="8"/>
      <c r="X123" s="8"/>
      <c r="Y123" s="8"/>
      <c r="Z123" s="8"/>
      <c r="AA123" s="8"/>
      <c r="AB123" s="8"/>
    </row>
    <row r="124" ht="15.75" customHeight="1">
      <c r="A124" s="18">
        <v>30303.0</v>
      </c>
      <c r="B124" s="18">
        <v>1.0</v>
      </c>
      <c r="C124" s="18">
        <v>1139.0</v>
      </c>
      <c r="D124" s="18">
        <v>0.3795401453971863</v>
      </c>
      <c r="E124" s="18">
        <v>0.38971808552742004</v>
      </c>
      <c r="F124" s="18">
        <v>443.88889917731285</v>
      </c>
      <c r="G124" s="18">
        <v>3001.0</v>
      </c>
      <c r="H124" s="19">
        <v>0.14791366457939148</v>
      </c>
      <c r="I124" s="8"/>
      <c r="J124" s="8"/>
      <c r="K124" s="20"/>
      <c r="L124" s="18">
        <v>30303.0</v>
      </c>
      <c r="M124" s="18">
        <v>0.0</v>
      </c>
      <c r="N124" s="18">
        <v>5980.0</v>
      </c>
      <c r="O124" s="18">
        <v>0.36174461245536804</v>
      </c>
      <c r="P124" s="18">
        <v>0.39002230763435364</v>
      </c>
      <c r="Q124" s="18">
        <v>2332.3333868980408</v>
      </c>
      <c r="R124" s="18">
        <v>16531.0</v>
      </c>
      <c r="S124" s="19">
        <v>0.14108847081661224</v>
      </c>
      <c r="T124" s="8"/>
      <c r="U124" s="8"/>
      <c r="V124" s="8"/>
      <c r="W124" s="8"/>
      <c r="X124" s="8"/>
      <c r="Y124" s="8"/>
      <c r="Z124" s="8"/>
      <c r="AA124" s="8"/>
      <c r="AB124" s="8"/>
    </row>
    <row r="125" ht="15.75" customHeight="1">
      <c r="A125" s="18">
        <v>30401.0</v>
      </c>
      <c r="B125" s="18">
        <v>1.0</v>
      </c>
      <c r="C125" s="18">
        <v>337.0</v>
      </c>
      <c r="D125" s="18">
        <v>0.12635920941829681</v>
      </c>
      <c r="E125" s="18">
        <v>0.3824596107006073</v>
      </c>
      <c r="F125" s="18">
        <v>128.88889223337173</v>
      </c>
      <c r="G125" s="18">
        <v>2667.0</v>
      </c>
      <c r="H125" s="19">
        <v>0.04832729324698448</v>
      </c>
      <c r="I125" s="8"/>
      <c r="J125" s="8"/>
      <c r="K125" s="20"/>
      <c r="L125" s="18">
        <v>30401.0</v>
      </c>
      <c r="M125" s="18">
        <v>0.0</v>
      </c>
      <c r="N125" s="18">
        <v>1448.0</v>
      </c>
      <c r="O125" s="18">
        <v>0.17914140224456787</v>
      </c>
      <c r="P125" s="18">
        <v>0.3862799406051636</v>
      </c>
      <c r="Q125" s="18">
        <v>559.3333474397659</v>
      </c>
      <c r="R125" s="18">
        <v>8083.0</v>
      </c>
      <c r="S125" s="19">
        <v>0.06919872760772705</v>
      </c>
      <c r="T125" s="8"/>
      <c r="U125" s="8"/>
      <c r="V125" s="8"/>
      <c r="W125" s="8"/>
      <c r="X125" s="8"/>
      <c r="Y125" s="8"/>
      <c r="Z125" s="8"/>
      <c r="AA125" s="8"/>
      <c r="AB125" s="8"/>
    </row>
    <row r="126" ht="15.75" customHeight="1">
      <c r="A126" s="18">
        <v>30402.0</v>
      </c>
      <c r="B126" s="18">
        <v>1.0</v>
      </c>
      <c r="C126" s="18">
        <v>621.0</v>
      </c>
      <c r="D126" s="18">
        <v>0.31993818283081055</v>
      </c>
      <c r="E126" s="18">
        <v>0.39094650745391846</v>
      </c>
      <c r="F126" s="18">
        <v>242.77778375148773</v>
      </c>
      <c r="G126" s="18">
        <v>1941.0</v>
      </c>
      <c r="H126" s="19">
        <v>0.1250787079334259</v>
      </c>
      <c r="I126" s="8"/>
      <c r="J126" s="8"/>
      <c r="K126" s="20"/>
      <c r="L126" s="18">
        <v>30402.0</v>
      </c>
      <c r="M126" s="18">
        <v>0.0</v>
      </c>
      <c r="N126" s="18">
        <v>1356.0</v>
      </c>
      <c r="O126" s="18">
        <v>0.2529378831386566</v>
      </c>
      <c r="P126" s="18">
        <v>0.3695509731769562</v>
      </c>
      <c r="Q126" s="18">
        <v>501.1111236810684</v>
      </c>
      <c r="R126" s="18">
        <v>5361.0</v>
      </c>
      <c r="S126" s="19">
        <v>0.09347344189882278</v>
      </c>
      <c r="T126" s="8"/>
      <c r="U126" s="8"/>
      <c r="V126" s="8"/>
      <c r="W126" s="8"/>
      <c r="X126" s="8"/>
      <c r="Y126" s="8"/>
      <c r="Z126" s="8"/>
      <c r="AA126" s="8"/>
      <c r="AB126" s="8"/>
    </row>
    <row r="127" ht="15.75" customHeight="1">
      <c r="A127" s="18">
        <v>30403.0</v>
      </c>
      <c r="B127" s="18">
        <v>1.0</v>
      </c>
      <c r="C127" s="18">
        <v>1046.0</v>
      </c>
      <c r="D127" s="18">
        <v>0.2242710143327713</v>
      </c>
      <c r="E127" s="18">
        <v>0.36690038442611694</v>
      </c>
      <c r="F127" s="18">
        <v>383.77778792381287</v>
      </c>
      <c r="G127" s="18">
        <v>4664.0</v>
      </c>
      <c r="H127" s="19">
        <v>0.08228512108325958</v>
      </c>
      <c r="I127" s="8"/>
      <c r="J127" s="8"/>
      <c r="K127" s="20"/>
      <c r="L127" s="18">
        <v>30403.0</v>
      </c>
      <c r="M127" s="18">
        <v>0.0</v>
      </c>
      <c r="N127" s="18">
        <v>8333.0</v>
      </c>
      <c r="O127" s="18">
        <v>0.3393053412437439</v>
      </c>
      <c r="P127" s="18">
        <v>0.36573463678359985</v>
      </c>
      <c r="Q127" s="18">
        <v>3047.666744709015</v>
      </c>
      <c r="R127" s="18">
        <v>24559.0</v>
      </c>
      <c r="S127" s="19">
        <v>0.12409571558237076</v>
      </c>
      <c r="T127" s="8"/>
      <c r="U127" s="8"/>
      <c r="V127" s="8"/>
      <c r="W127" s="8"/>
      <c r="X127" s="8"/>
      <c r="Y127" s="8"/>
      <c r="Z127" s="8"/>
      <c r="AA127" s="8"/>
      <c r="AB127" s="8"/>
    </row>
    <row r="128" ht="15.75" customHeight="1">
      <c r="A128" s="18">
        <v>30404.0</v>
      </c>
      <c r="B128" s="18">
        <v>1.0</v>
      </c>
      <c r="C128" s="18">
        <v>517.0</v>
      </c>
      <c r="D128" s="18">
        <v>0.3671875</v>
      </c>
      <c r="E128" s="18">
        <v>0.39071568846702576</v>
      </c>
      <c r="F128" s="18">
        <v>202.0000051856041</v>
      </c>
      <c r="G128" s="18">
        <v>1408.0</v>
      </c>
      <c r="H128" s="19">
        <v>0.14346592128276825</v>
      </c>
      <c r="I128" s="8"/>
      <c r="J128" s="8"/>
      <c r="K128" s="20"/>
      <c r="L128" s="18">
        <v>30404.0</v>
      </c>
      <c r="M128" s="18">
        <v>0.0</v>
      </c>
      <c r="N128" s="18">
        <v>1128.0</v>
      </c>
      <c r="O128" s="18">
        <v>0.31587791442871094</v>
      </c>
      <c r="P128" s="18">
        <v>0.38100868463516235</v>
      </c>
      <c r="Q128" s="18">
        <v>429.77778831124306</v>
      </c>
      <c r="R128" s="18">
        <v>3571.0</v>
      </c>
      <c r="S128" s="19">
        <v>0.12035223096609116</v>
      </c>
      <c r="T128" s="8"/>
      <c r="U128" s="8"/>
      <c r="V128" s="8"/>
      <c r="W128" s="8"/>
      <c r="X128" s="8"/>
      <c r="Y128" s="8"/>
      <c r="Z128" s="8"/>
      <c r="AA128" s="8"/>
      <c r="AB128" s="8"/>
    </row>
    <row r="129" ht="15.75" customHeight="1">
      <c r="A129" s="18">
        <v>30501.0</v>
      </c>
      <c r="B129" s="18">
        <v>1.0</v>
      </c>
      <c r="C129" s="18">
        <v>276.0</v>
      </c>
      <c r="D129" s="18">
        <v>0.08908973634243011</v>
      </c>
      <c r="E129" s="18">
        <v>0.39573270082473755</v>
      </c>
      <c r="F129" s="18">
        <v>109.2222250699997</v>
      </c>
      <c r="G129" s="18">
        <v>3098.0</v>
      </c>
      <c r="H129" s="19">
        <v>0.03525572270154953</v>
      </c>
      <c r="I129" s="8"/>
      <c r="J129" s="8"/>
      <c r="K129" s="20"/>
      <c r="L129" s="18">
        <v>30501.0</v>
      </c>
      <c r="M129" s="18">
        <v>0.0</v>
      </c>
      <c r="N129" s="18">
        <v>492.0</v>
      </c>
      <c r="O129" s="18">
        <v>0.06185567006468773</v>
      </c>
      <c r="P129" s="18">
        <v>0.3669828474521637</v>
      </c>
      <c r="Q129" s="18">
        <v>180.55556020140648</v>
      </c>
      <c r="R129" s="18">
        <v>7954.0</v>
      </c>
      <c r="S129" s="19">
        <v>0.02269997075200081</v>
      </c>
      <c r="T129" s="8"/>
      <c r="U129" s="8"/>
      <c r="V129" s="8"/>
      <c r="W129" s="8"/>
      <c r="X129" s="8"/>
      <c r="Y129" s="8"/>
      <c r="Z129" s="8"/>
      <c r="AA129" s="8"/>
      <c r="AB129" s="8"/>
    </row>
    <row r="130" ht="15.75" customHeight="1">
      <c r="A130" s="18">
        <v>30502.0</v>
      </c>
      <c r="B130" s="18">
        <v>1.0</v>
      </c>
      <c r="C130" s="18">
        <v>640.0</v>
      </c>
      <c r="D130" s="18">
        <v>0.24446141719818115</v>
      </c>
      <c r="E130" s="18">
        <v>0.378472238779068</v>
      </c>
      <c r="F130" s="18">
        <v>242.2222277224064</v>
      </c>
      <c r="G130" s="18">
        <v>2618.0</v>
      </c>
      <c r="H130" s="19">
        <v>0.09252186119556427</v>
      </c>
      <c r="I130" s="8"/>
      <c r="J130" s="8"/>
      <c r="K130" s="20"/>
      <c r="L130" s="18">
        <v>30502.0</v>
      </c>
      <c r="M130" s="18">
        <v>0.0</v>
      </c>
      <c r="N130" s="18">
        <v>813.0</v>
      </c>
      <c r="O130" s="18">
        <v>0.1448165327310562</v>
      </c>
      <c r="P130" s="18">
        <v>0.3721470534801483</v>
      </c>
      <c r="Q130" s="18">
        <v>302.55556267499924</v>
      </c>
      <c r="R130" s="18">
        <v>5614.0</v>
      </c>
      <c r="S130" s="19">
        <v>0.05389304459095001</v>
      </c>
      <c r="T130" s="8"/>
      <c r="U130" s="8"/>
      <c r="V130" s="8"/>
      <c r="W130" s="8"/>
      <c r="X130" s="8"/>
      <c r="Y130" s="8"/>
      <c r="Z130" s="8"/>
      <c r="AA130" s="8"/>
      <c r="AB130" s="8"/>
    </row>
    <row r="131" ht="15.75" customHeight="1">
      <c r="A131" s="18">
        <v>30601.0</v>
      </c>
      <c r="B131" s="18">
        <v>1.0</v>
      </c>
      <c r="C131" s="18">
        <v>1032.0</v>
      </c>
      <c r="D131" s="18">
        <v>0.5405972003936768</v>
      </c>
      <c r="E131" s="18">
        <v>0.4080534279346466</v>
      </c>
      <c r="F131" s="18">
        <v>421.11112239956856</v>
      </c>
      <c r="G131" s="18">
        <v>1909.0</v>
      </c>
      <c r="H131" s="19">
        <v>0.22059254348278046</v>
      </c>
      <c r="I131" s="8"/>
      <c r="J131" s="8"/>
      <c r="K131" s="20"/>
      <c r="L131" s="18">
        <v>30601.0</v>
      </c>
      <c r="M131" s="18">
        <v>0.0</v>
      </c>
      <c r="N131" s="18">
        <v>3130.0</v>
      </c>
      <c r="O131" s="18">
        <v>0.3604329824447632</v>
      </c>
      <c r="P131" s="18">
        <v>0.39155131578445435</v>
      </c>
      <c r="Q131" s="18">
        <v>1225.5555859804153</v>
      </c>
      <c r="R131" s="18">
        <v>8684.0</v>
      </c>
      <c r="S131" s="19">
        <v>0.14112800359725952</v>
      </c>
      <c r="T131" s="8"/>
      <c r="U131" s="8"/>
      <c r="V131" s="8"/>
      <c r="W131" s="8"/>
      <c r="X131" s="8"/>
      <c r="Y131" s="8"/>
      <c r="Z131" s="8"/>
      <c r="AA131" s="8"/>
      <c r="AB131" s="8"/>
    </row>
    <row r="132" ht="15.75" customHeight="1">
      <c r="A132" s="18">
        <v>30602.0</v>
      </c>
      <c r="B132" s="18">
        <v>1.0</v>
      </c>
      <c r="C132" s="18">
        <v>823.0</v>
      </c>
      <c r="D132" s="18">
        <v>0.2928825616836548</v>
      </c>
      <c r="E132" s="18">
        <v>0.3754556477069855</v>
      </c>
      <c r="F132" s="18">
        <v>309.00000762939453</v>
      </c>
      <c r="G132" s="18">
        <v>2810.0</v>
      </c>
      <c r="H132" s="19">
        <v>0.10996441543102264</v>
      </c>
      <c r="I132" s="8"/>
      <c r="J132" s="8"/>
      <c r="K132" s="20"/>
      <c r="L132" s="18">
        <v>30602.0</v>
      </c>
      <c r="M132" s="18">
        <v>0.0</v>
      </c>
      <c r="N132" s="18">
        <v>1573.0</v>
      </c>
      <c r="O132" s="18">
        <v>0.1994927078485489</v>
      </c>
      <c r="P132" s="18">
        <v>0.3711238205432892</v>
      </c>
      <c r="Q132" s="18">
        <v>583.7777927517891</v>
      </c>
      <c r="R132" s="18">
        <v>7885.0</v>
      </c>
      <c r="S132" s="19">
        <v>0.07403649389743805</v>
      </c>
      <c r="T132" s="8"/>
      <c r="U132" s="8"/>
      <c r="V132" s="8"/>
      <c r="W132" s="8"/>
      <c r="X132" s="8"/>
      <c r="Y132" s="8"/>
      <c r="Z132" s="8"/>
      <c r="AA132" s="8"/>
      <c r="AB132" s="8"/>
    </row>
    <row r="133" ht="15.75" customHeight="1">
      <c r="A133" s="18">
        <v>30701.0</v>
      </c>
      <c r="B133" s="18">
        <v>1.0</v>
      </c>
      <c r="C133" s="18">
        <v>691.0</v>
      </c>
      <c r="D133" s="18">
        <v>0.15580609440803528</v>
      </c>
      <c r="E133" s="18">
        <v>0.385753333568573</v>
      </c>
      <c r="F133" s="18">
        <v>266.55556228756905</v>
      </c>
      <c r="G133" s="18">
        <v>4435.0</v>
      </c>
      <c r="H133" s="19">
        <v>0.06010271981358528</v>
      </c>
      <c r="I133" s="8"/>
      <c r="J133" s="8"/>
      <c r="K133" s="20"/>
      <c r="L133" s="18">
        <v>30701.0</v>
      </c>
      <c r="M133" s="18">
        <v>0.0</v>
      </c>
      <c r="N133" s="18">
        <v>1708.0</v>
      </c>
      <c r="O133" s="18">
        <v>0.11506332457065582</v>
      </c>
      <c r="P133" s="18">
        <v>0.3745771646499634</v>
      </c>
      <c r="Q133" s="18">
        <v>639.777793765068</v>
      </c>
      <c r="R133" s="18">
        <v>14844.0</v>
      </c>
      <c r="S133" s="19">
        <v>0.04310009256005287</v>
      </c>
      <c r="T133" s="8"/>
      <c r="U133" s="8"/>
      <c r="V133" s="8"/>
      <c r="W133" s="8"/>
      <c r="X133" s="8"/>
      <c r="Y133" s="8"/>
      <c r="Z133" s="8"/>
      <c r="AA133" s="8"/>
      <c r="AB133" s="8"/>
    </row>
    <row r="134" ht="15.75" customHeight="1">
      <c r="A134" s="18">
        <v>30702.0</v>
      </c>
      <c r="B134" s="18">
        <v>1.0</v>
      </c>
      <c r="C134" s="18">
        <v>173.0</v>
      </c>
      <c r="D134" s="18">
        <v>0.0776829794049263</v>
      </c>
      <c r="E134" s="18">
        <v>0.3763647973537445</v>
      </c>
      <c r="F134" s="18">
        <v>65.1111124753952</v>
      </c>
      <c r="G134" s="18">
        <v>2227.0</v>
      </c>
      <c r="H134" s="19">
        <v>0.029237138107419014</v>
      </c>
      <c r="I134" s="8"/>
      <c r="J134" s="8"/>
      <c r="K134" s="20"/>
      <c r="L134" s="18">
        <v>30702.0</v>
      </c>
      <c r="M134" s="18">
        <v>0.0</v>
      </c>
      <c r="N134" s="18">
        <v>394.0</v>
      </c>
      <c r="O134" s="18">
        <v>0.07157129794359207</v>
      </c>
      <c r="P134" s="18">
        <v>0.36068812012672424</v>
      </c>
      <c r="Q134" s="18">
        <v>142.11111465096474</v>
      </c>
      <c r="R134" s="18">
        <v>5505.0</v>
      </c>
      <c r="S134" s="19">
        <v>0.02581491693854332</v>
      </c>
      <c r="T134" s="8"/>
      <c r="U134" s="8"/>
      <c r="V134" s="8"/>
      <c r="W134" s="8"/>
      <c r="X134" s="8"/>
      <c r="Y134" s="8"/>
      <c r="Z134" s="8"/>
      <c r="AA134" s="8"/>
      <c r="AB134" s="8"/>
    </row>
    <row r="135" ht="15.75" customHeight="1">
      <c r="A135" s="18">
        <v>30703.0</v>
      </c>
      <c r="B135" s="18">
        <v>1.0</v>
      </c>
      <c r="C135" s="18">
        <v>168.0</v>
      </c>
      <c r="D135" s="18">
        <v>0.22580644488334656</v>
      </c>
      <c r="E135" s="18">
        <v>0.38359788060188293</v>
      </c>
      <c r="F135" s="18">
        <v>64.44444584846497</v>
      </c>
      <c r="G135" s="18">
        <v>744.0</v>
      </c>
      <c r="H135" s="19">
        <v>0.08661887049674988</v>
      </c>
      <c r="I135" s="8"/>
      <c r="J135" s="8"/>
      <c r="K135" s="20"/>
      <c r="L135" s="18">
        <v>30703.0</v>
      </c>
      <c r="M135" s="18">
        <v>0.0</v>
      </c>
      <c r="N135" s="18">
        <v>392.0</v>
      </c>
      <c r="O135" s="18">
        <v>0.12288401275873184</v>
      </c>
      <c r="P135" s="18">
        <v>0.36961451172828674</v>
      </c>
      <c r="Q135" s="18">
        <v>144.88889241218567</v>
      </c>
      <c r="R135" s="18">
        <v>3190.0</v>
      </c>
      <c r="S135" s="19">
        <v>0.04541971534490585</v>
      </c>
      <c r="T135" s="8"/>
      <c r="U135" s="8"/>
      <c r="V135" s="8"/>
      <c r="W135" s="8"/>
      <c r="X135" s="8"/>
      <c r="Y135" s="8"/>
      <c r="Z135" s="8"/>
      <c r="AA135" s="8"/>
      <c r="AB135" s="8"/>
    </row>
    <row r="136" ht="15.75" customHeight="1">
      <c r="A136" s="18">
        <v>30801.0</v>
      </c>
      <c r="B136" s="18">
        <v>1.0</v>
      </c>
      <c r="C136" s="18">
        <v>130.0</v>
      </c>
      <c r="D136" s="18">
        <v>0.021466314792633057</v>
      </c>
      <c r="E136" s="18">
        <v>0.3589743673801422</v>
      </c>
      <c r="F136" s="18">
        <v>46.66666775941849</v>
      </c>
      <c r="G136" s="18">
        <v>6056.0</v>
      </c>
      <c r="H136" s="19">
        <v>0.007705856580287218</v>
      </c>
      <c r="I136" s="8"/>
      <c r="J136" s="8"/>
      <c r="K136" s="20"/>
      <c r="L136" s="18">
        <v>30801.0</v>
      </c>
      <c r="M136" s="18">
        <v>0.0</v>
      </c>
      <c r="N136" s="18">
        <v>313.0</v>
      </c>
      <c r="O136" s="18">
        <v>0.020830560475587845</v>
      </c>
      <c r="P136" s="18">
        <v>0.34966278076171875</v>
      </c>
      <c r="Q136" s="18">
        <v>109.44444733858109</v>
      </c>
      <c r="R136" s="18">
        <v>15026.0</v>
      </c>
      <c r="S136" s="19">
        <v>0.007283671759068966</v>
      </c>
      <c r="T136" s="8"/>
      <c r="U136" s="8"/>
      <c r="V136" s="8"/>
      <c r="W136" s="8"/>
      <c r="X136" s="8"/>
      <c r="Y136" s="8"/>
      <c r="Z136" s="8"/>
      <c r="AA136" s="8"/>
      <c r="AB136" s="8"/>
    </row>
    <row r="137" ht="15.75" customHeight="1">
      <c r="A137" s="18">
        <v>30802.0</v>
      </c>
      <c r="B137" s="18">
        <v>1.0</v>
      </c>
      <c r="C137" s="18">
        <v>208.0</v>
      </c>
      <c r="D137" s="18">
        <v>0.08469055593013763</v>
      </c>
      <c r="E137" s="18">
        <v>0.36858975887298584</v>
      </c>
      <c r="F137" s="18">
        <v>76.66666859388351</v>
      </c>
      <c r="G137" s="18">
        <v>2456.0</v>
      </c>
      <c r="H137" s="19">
        <v>0.031216071918606758</v>
      </c>
      <c r="I137" s="8"/>
      <c r="J137" s="8"/>
      <c r="K137" s="20"/>
      <c r="L137" s="18">
        <v>30802.0</v>
      </c>
      <c r="M137" s="18">
        <v>0.0</v>
      </c>
      <c r="N137" s="18">
        <v>428.0</v>
      </c>
      <c r="O137" s="18">
        <v>0.0871158167719841</v>
      </c>
      <c r="P137" s="18">
        <v>0.37045690417289734</v>
      </c>
      <c r="Q137" s="18">
        <v>158.55555975437164</v>
      </c>
      <c r="R137" s="18">
        <v>4913.0</v>
      </c>
      <c r="S137" s="19">
        <v>0.03227265551686287</v>
      </c>
      <c r="T137" s="8"/>
      <c r="U137" s="8"/>
      <c r="V137" s="8"/>
      <c r="W137" s="8"/>
      <c r="X137" s="8"/>
      <c r="Y137" s="8"/>
      <c r="Z137" s="8"/>
      <c r="AA137" s="8"/>
      <c r="AB137" s="8"/>
    </row>
    <row r="138" ht="15.75" customHeight="1">
      <c r="A138" s="18">
        <v>30803.0</v>
      </c>
      <c r="B138" s="18">
        <v>1.0</v>
      </c>
      <c r="C138" s="18">
        <v>110.0</v>
      </c>
      <c r="D138" s="18">
        <v>0.06634499132633209</v>
      </c>
      <c r="E138" s="18">
        <v>0.3818182051181793</v>
      </c>
      <c r="F138" s="18">
        <v>42.00000113248825</v>
      </c>
      <c r="G138" s="18">
        <v>1658.0</v>
      </c>
      <c r="H138" s="19">
        <v>0.025331726297736168</v>
      </c>
      <c r="I138" s="8"/>
      <c r="J138" s="8"/>
      <c r="K138" s="20"/>
      <c r="L138" s="18">
        <v>30803.0</v>
      </c>
      <c r="M138" s="18">
        <v>0.0</v>
      </c>
      <c r="N138" s="18">
        <v>1214.0</v>
      </c>
      <c r="O138" s="18">
        <v>0.20503292977809906</v>
      </c>
      <c r="P138" s="18">
        <v>0.35758742690086365</v>
      </c>
      <c r="Q138" s="18">
        <v>434.1111222207546</v>
      </c>
      <c r="R138" s="18">
        <v>5921.0</v>
      </c>
      <c r="S138" s="19">
        <v>0.07331719994544983</v>
      </c>
      <c r="T138" s="8"/>
      <c r="U138" s="8"/>
      <c r="V138" s="8"/>
      <c r="W138" s="8"/>
      <c r="X138" s="8"/>
      <c r="Y138" s="8"/>
      <c r="Z138" s="8"/>
      <c r="AA138" s="8"/>
      <c r="AB138" s="8"/>
    </row>
    <row r="139" ht="15.75" customHeight="1">
      <c r="A139" s="18">
        <v>30901.0</v>
      </c>
      <c r="B139" s="18">
        <v>1.0</v>
      </c>
      <c r="C139" s="18">
        <v>1351.0</v>
      </c>
      <c r="D139" s="18">
        <v>0.03984075412154198</v>
      </c>
      <c r="E139" s="18">
        <v>0.3594045639038086</v>
      </c>
      <c r="F139" s="18">
        <v>485.55556827783585</v>
      </c>
      <c r="G139" s="18">
        <v>33910.0</v>
      </c>
      <c r="H139" s="19">
        <v>0.014318948611617088</v>
      </c>
      <c r="I139" s="8"/>
      <c r="J139" s="8"/>
      <c r="K139" s="20"/>
      <c r="L139" s="18">
        <v>30901.0</v>
      </c>
      <c r="M139" s="18">
        <v>0.0</v>
      </c>
      <c r="N139" s="18">
        <v>5240.0</v>
      </c>
      <c r="O139" s="18">
        <v>0.040157873183488846</v>
      </c>
      <c r="P139" s="18">
        <v>0.3553859293460846</v>
      </c>
      <c r="Q139" s="18">
        <v>1862.2222715616226</v>
      </c>
      <c r="R139" s="18">
        <v>130485.0</v>
      </c>
      <c r="S139" s="19">
        <v>0.014271543361246586</v>
      </c>
      <c r="T139" s="8"/>
      <c r="U139" s="8"/>
      <c r="V139" s="8"/>
      <c r="W139" s="8"/>
      <c r="X139" s="8"/>
      <c r="Y139" s="8"/>
      <c r="Z139" s="8"/>
      <c r="AA139" s="8"/>
      <c r="AB139" s="8"/>
    </row>
    <row r="140" ht="15.75" customHeight="1">
      <c r="A140" s="18">
        <v>30902.0</v>
      </c>
      <c r="B140" s="18">
        <v>1.0</v>
      </c>
      <c r="C140" s="18">
        <v>1042.0</v>
      </c>
      <c r="D140" s="18">
        <v>0.10786749422550201</v>
      </c>
      <c r="E140" s="18">
        <v>0.3741736114025116</v>
      </c>
      <c r="F140" s="18">
        <v>389.88889867067337</v>
      </c>
      <c r="G140" s="18">
        <v>9660.0</v>
      </c>
      <c r="H140" s="19">
        <v>0.04036116972565651</v>
      </c>
      <c r="I140" s="8"/>
      <c r="J140" s="8"/>
      <c r="K140" s="20"/>
      <c r="L140" s="18">
        <v>30902.0</v>
      </c>
      <c r="M140" s="18">
        <v>0.0</v>
      </c>
      <c r="N140" s="18">
        <v>3499.0</v>
      </c>
      <c r="O140" s="18">
        <v>0.07612314075231552</v>
      </c>
      <c r="P140" s="18">
        <v>0.36362770199775696</v>
      </c>
      <c r="Q140" s="18">
        <v>1272.3333661854267</v>
      </c>
      <c r="R140" s="18">
        <v>45965.0</v>
      </c>
      <c r="S140" s="19">
        <v>0.02768048271536827</v>
      </c>
      <c r="T140" s="8"/>
      <c r="U140" s="8"/>
      <c r="V140" s="8"/>
      <c r="W140" s="8"/>
      <c r="X140" s="8"/>
      <c r="Y140" s="8"/>
      <c r="Z140" s="8"/>
      <c r="AA140" s="8"/>
      <c r="AB140" s="8"/>
    </row>
    <row r="141" ht="15.75" customHeight="1">
      <c r="A141" s="18">
        <v>30903.0</v>
      </c>
      <c r="B141" s="18">
        <v>1.0</v>
      </c>
      <c r="C141" s="18">
        <v>500.0</v>
      </c>
      <c r="D141" s="18">
        <v>0.041757140308618546</v>
      </c>
      <c r="E141" s="18">
        <v>0.3624444603919983</v>
      </c>
      <c r="F141" s="18">
        <v>181.22222661972046</v>
      </c>
      <c r="G141" s="18">
        <v>11974.0</v>
      </c>
      <c r="H141" s="19">
        <v>0.015134643763303757</v>
      </c>
      <c r="I141" s="8"/>
      <c r="J141" s="8"/>
      <c r="K141" s="20"/>
      <c r="L141" s="18">
        <v>30903.0</v>
      </c>
      <c r="M141" s="18">
        <v>0.0</v>
      </c>
      <c r="N141" s="18">
        <v>2030.0</v>
      </c>
      <c r="O141" s="18">
        <v>0.04140491038560867</v>
      </c>
      <c r="P141" s="18">
        <v>0.35889437794685364</v>
      </c>
      <c r="Q141" s="18">
        <v>728.5555740892887</v>
      </c>
      <c r="R141" s="18">
        <v>49028.0</v>
      </c>
      <c r="S141" s="19">
        <v>0.014859989285469055</v>
      </c>
      <c r="T141" s="8"/>
      <c r="U141" s="8"/>
      <c r="V141" s="8"/>
      <c r="W141" s="8"/>
      <c r="X141" s="8"/>
      <c r="Y141" s="8"/>
      <c r="Z141" s="8"/>
      <c r="AA141" s="8"/>
      <c r="AB141" s="8"/>
    </row>
    <row r="142" ht="15.75" customHeight="1">
      <c r="A142" s="18">
        <v>30904.0</v>
      </c>
      <c r="B142" s="18">
        <v>1.0</v>
      </c>
      <c r="C142" s="18">
        <v>751.0</v>
      </c>
      <c r="D142" s="18">
        <v>0.07839248329401016</v>
      </c>
      <c r="E142" s="18">
        <v>0.3608522117137909</v>
      </c>
      <c r="F142" s="18">
        <v>271.0000074505806</v>
      </c>
      <c r="G142" s="18">
        <v>9580.0</v>
      </c>
      <c r="H142" s="19">
        <v>0.02828810177743435</v>
      </c>
      <c r="I142" s="8"/>
      <c r="J142" s="8"/>
      <c r="K142" s="20"/>
      <c r="L142" s="18">
        <v>30904.0</v>
      </c>
      <c r="M142" s="18">
        <v>0.0</v>
      </c>
      <c r="N142" s="18">
        <v>2517.0</v>
      </c>
      <c r="O142" s="18">
        <v>0.05515019968152046</v>
      </c>
      <c r="P142" s="18">
        <v>0.35805413126945496</v>
      </c>
      <c r="Q142" s="18">
        <v>901.2222454845905</v>
      </c>
      <c r="R142" s="18">
        <v>45639.0</v>
      </c>
      <c r="S142" s="19">
        <v>0.019746756181120872</v>
      </c>
      <c r="T142" s="8"/>
      <c r="U142" s="8"/>
      <c r="V142" s="8"/>
      <c r="W142" s="8"/>
      <c r="X142" s="8"/>
      <c r="Y142" s="8"/>
      <c r="Z142" s="8"/>
      <c r="AA142" s="8"/>
      <c r="AB142" s="8"/>
    </row>
    <row r="143" ht="15.75" customHeight="1">
      <c r="A143" s="18">
        <v>30905.0</v>
      </c>
      <c r="B143" s="18">
        <v>1.0</v>
      </c>
      <c r="C143" s="18">
        <v>172.0</v>
      </c>
      <c r="D143" s="18">
        <v>0.012098192237317562</v>
      </c>
      <c r="E143" s="18">
        <v>0.3604651391506195</v>
      </c>
      <c r="F143" s="18">
        <v>62.0000014603138</v>
      </c>
      <c r="G143" s="18">
        <v>14217.0</v>
      </c>
      <c r="H143" s="19">
        <v>0.004360976628959179</v>
      </c>
      <c r="I143" s="8"/>
      <c r="J143" s="8"/>
      <c r="K143" s="20"/>
      <c r="L143" s="18">
        <v>30905.0</v>
      </c>
      <c r="M143" s="18">
        <v>0.0</v>
      </c>
      <c r="N143" s="18">
        <v>842.0</v>
      </c>
      <c r="O143" s="18">
        <v>0.01630929484963417</v>
      </c>
      <c r="P143" s="18">
        <v>0.3495645523071289</v>
      </c>
      <c r="Q143" s="18">
        <v>294.3333410024643</v>
      </c>
      <c r="R143" s="18">
        <v>51627.0</v>
      </c>
      <c r="S143" s="19">
        <v>0.005701151210814714</v>
      </c>
      <c r="T143" s="8"/>
      <c r="U143" s="8"/>
      <c r="V143" s="8"/>
      <c r="W143" s="8"/>
      <c r="X143" s="8"/>
      <c r="Y143" s="8"/>
      <c r="Z143" s="8"/>
      <c r="AA143" s="8"/>
      <c r="AB143" s="8"/>
    </row>
    <row r="144" ht="15.75" customHeight="1">
      <c r="A144" s="18">
        <v>31001.0</v>
      </c>
      <c r="B144" s="18">
        <v>1.0</v>
      </c>
      <c r="C144" s="18">
        <v>2245.0</v>
      </c>
      <c r="D144" s="18">
        <v>0.054434798657894135</v>
      </c>
      <c r="E144" s="18">
        <v>0.36589953303337097</v>
      </c>
      <c r="F144" s="18">
        <v>821.4444647431374</v>
      </c>
      <c r="G144" s="18">
        <v>41242.0</v>
      </c>
      <c r="H144" s="19">
        <v>0.019917666912078857</v>
      </c>
      <c r="I144" s="8"/>
      <c r="J144" s="8"/>
      <c r="K144" s="20"/>
      <c r="L144" s="18">
        <v>31001.0</v>
      </c>
      <c r="M144" s="18">
        <v>0.0</v>
      </c>
      <c r="N144" s="18">
        <v>9535.0</v>
      </c>
      <c r="O144" s="18">
        <v>0.05476706102490425</v>
      </c>
      <c r="P144" s="18">
        <v>0.35803765058517456</v>
      </c>
      <c r="Q144" s="18">
        <v>3413.8889775276184</v>
      </c>
      <c r="R144" s="18">
        <v>174101.0</v>
      </c>
      <c r="S144" s="19">
        <v>0.019608668982982635</v>
      </c>
      <c r="T144" s="8"/>
      <c r="U144" s="8"/>
      <c r="V144" s="8"/>
      <c r="W144" s="8"/>
      <c r="X144" s="8"/>
      <c r="Y144" s="8"/>
      <c r="Z144" s="8"/>
      <c r="AA144" s="8"/>
      <c r="AB144" s="8"/>
    </row>
    <row r="145" ht="15.75" customHeight="1">
      <c r="A145" s="18">
        <v>31002.0</v>
      </c>
      <c r="B145" s="18">
        <v>1.0</v>
      </c>
      <c r="C145" s="18">
        <v>501.0</v>
      </c>
      <c r="D145" s="18">
        <v>0.13947661221027374</v>
      </c>
      <c r="E145" s="18">
        <v>0.3794633150100708</v>
      </c>
      <c r="F145" s="18">
        <v>190.11111596226692</v>
      </c>
      <c r="G145" s="18">
        <v>3592.0</v>
      </c>
      <c r="H145" s="19">
        <v>0.052926257252693176</v>
      </c>
      <c r="I145" s="8"/>
      <c r="J145" s="8"/>
      <c r="K145" s="20"/>
      <c r="L145" s="18">
        <v>31002.0</v>
      </c>
      <c r="M145" s="18">
        <v>0.0</v>
      </c>
      <c r="N145" s="18">
        <v>2352.0</v>
      </c>
      <c r="O145" s="18">
        <v>0.13159514963626862</v>
      </c>
      <c r="P145" s="18">
        <v>0.36531558632850647</v>
      </c>
      <c r="Q145" s="18">
        <v>859.2222432494164</v>
      </c>
      <c r="R145" s="18">
        <v>17873.0</v>
      </c>
      <c r="S145" s="19">
        <v>0.04807375743985176</v>
      </c>
      <c r="T145" s="8"/>
      <c r="U145" s="8"/>
      <c r="V145" s="8"/>
      <c r="W145" s="8"/>
      <c r="X145" s="8"/>
      <c r="Y145" s="8"/>
      <c r="Z145" s="8"/>
      <c r="AA145" s="8"/>
      <c r="AB145" s="8"/>
    </row>
    <row r="146" ht="15.75" customHeight="1">
      <c r="A146" s="18">
        <v>31003.0</v>
      </c>
      <c r="B146" s="18">
        <v>1.0</v>
      </c>
      <c r="C146" s="18">
        <v>1868.0</v>
      </c>
      <c r="D146" s="18">
        <v>0.19619788229465485</v>
      </c>
      <c r="E146" s="18">
        <v>0.3775874376296997</v>
      </c>
      <c r="F146" s="18">
        <v>705.3333505392075</v>
      </c>
      <c r="G146" s="18">
        <v>9521.0</v>
      </c>
      <c r="H146" s="19">
        <v>0.07408185303211212</v>
      </c>
      <c r="I146" s="8"/>
      <c r="J146" s="8"/>
      <c r="K146" s="20"/>
      <c r="L146" s="18">
        <v>31003.0</v>
      </c>
      <c r="M146" s="18">
        <v>0.0</v>
      </c>
      <c r="N146" s="18">
        <v>15112.0</v>
      </c>
      <c r="O146" s="18">
        <v>0.18304042518138885</v>
      </c>
      <c r="P146" s="18">
        <v>0.37045615911483765</v>
      </c>
      <c r="Q146" s="18">
        <v>5598.333471000195</v>
      </c>
      <c r="R146" s="18">
        <v>82561.0</v>
      </c>
      <c r="S146" s="19">
        <v>0.06780844926834106</v>
      </c>
      <c r="T146" s="8"/>
      <c r="U146" s="8"/>
      <c r="V146" s="8"/>
      <c r="W146" s="8"/>
      <c r="X146" s="8"/>
      <c r="Y146" s="8"/>
      <c r="Z146" s="8"/>
      <c r="AA146" s="8"/>
      <c r="AB146" s="8"/>
    </row>
    <row r="147" ht="15.75" customHeight="1">
      <c r="A147" s="18">
        <v>31101.0</v>
      </c>
      <c r="B147" s="18">
        <v>1.0</v>
      </c>
      <c r="C147" s="18">
        <v>2459.0</v>
      </c>
      <c r="D147" s="18">
        <v>0.4752609133720398</v>
      </c>
      <c r="E147" s="18">
        <v>0.4004337787628174</v>
      </c>
      <c r="F147" s="18">
        <v>984.6666909754276</v>
      </c>
      <c r="G147" s="18">
        <v>5174.0</v>
      </c>
      <c r="H147" s="19">
        <v>0.1903105229139328</v>
      </c>
      <c r="I147" s="8"/>
      <c r="J147" s="8"/>
      <c r="K147" s="20"/>
      <c r="L147" s="18">
        <v>31101.0</v>
      </c>
      <c r="M147" s="18">
        <v>0.0</v>
      </c>
      <c r="N147" s="18">
        <v>6870.0</v>
      </c>
      <c r="O147" s="18">
        <v>0.3537590205669403</v>
      </c>
      <c r="P147" s="18">
        <v>0.38740095496177673</v>
      </c>
      <c r="Q147" s="18">
        <v>2661.4445112645626</v>
      </c>
      <c r="R147" s="18">
        <v>19420.0</v>
      </c>
      <c r="S147" s="19">
        <v>0.13704657554626465</v>
      </c>
      <c r="T147" s="8"/>
      <c r="U147" s="8"/>
      <c r="V147" s="8"/>
      <c r="W147" s="8"/>
      <c r="X147" s="8"/>
      <c r="Y147" s="8"/>
      <c r="Z147" s="8"/>
      <c r="AA147" s="8"/>
      <c r="AB147" s="8"/>
    </row>
    <row r="148" ht="15.75" customHeight="1">
      <c r="A148" s="18">
        <v>31201.0</v>
      </c>
      <c r="B148" s="18">
        <v>1.0</v>
      </c>
      <c r="C148" s="18">
        <v>685.0</v>
      </c>
      <c r="D148" s="18">
        <v>0.29399141669273376</v>
      </c>
      <c r="E148" s="18">
        <v>0.38864558935165405</v>
      </c>
      <c r="F148" s="18">
        <v>266.22222915291786</v>
      </c>
      <c r="G148" s="18">
        <v>2330.0</v>
      </c>
      <c r="H148" s="19">
        <v>0.11425846815109253</v>
      </c>
      <c r="I148" s="8"/>
      <c r="J148" s="8"/>
      <c r="K148" s="20"/>
      <c r="L148" s="18">
        <v>31201.0</v>
      </c>
      <c r="M148" s="18">
        <v>0.0</v>
      </c>
      <c r="N148" s="18">
        <v>3283.0</v>
      </c>
      <c r="O148" s="18">
        <v>0.26980605721473694</v>
      </c>
      <c r="P148" s="18">
        <v>0.37831252813339233</v>
      </c>
      <c r="Q148" s="18">
        <v>1242.0000304579735</v>
      </c>
      <c r="R148" s="18">
        <v>12168.0</v>
      </c>
      <c r="S148" s="19">
        <v>0.10207100957632065</v>
      </c>
      <c r="T148" s="8"/>
      <c r="U148" s="8"/>
      <c r="V148" s="8"/>
      <c r="W148" s="8"/>
      <c r="X148" s="8"/>
      <c r="Y148" s="8"/>
      <c r="Z148" s="8"/>
      <c r="AA148" s="8"/>
      <c r="AB148" s="8"/>
    </row>
    <row r="149" ht="15.75" customHeight="1">
      <c r="A149" s="18">
        <v>31202.0</v>
      </c>
      <c r="B149" s="18">
        <v>1.0</v>
      </c>
      <c r="C149" s="18">
        <v>615.0</v>
      </c>
      <c r="D149" s="18">
        <v>0.31619536876678467</v>
      </c>
      <c r="E149" s="18">
        <v>0.3956639766693115</v>
      </c>
      <c r="F149" s="18">
        <v>243.33333951234818</v>
      </c>
      <c r="G149" s="18">
        <v>1945.0</v>
      </c>
      <c r="H149" s="19">
        <v>0.12510712444782257</v>
      </c>
      <c r="I149" s="8"/>
      <c r="J149" s="8"/>
      <c r="K149" s="20"/>
      <c r="L149" s="18">
        <v>31202.0</v>
      </c>
      <c r="M149" s="18">
        <v>0.0</v>
      </c>
      <c r="N149" s="18">
        <v>2836.0</v>
      </c>
      <c r="O149" s="18">
        <v>0.29237112402915955</v>
      </c>
      <c r="P149" s="18">
        <v>0.3845008611679077</v>
      </c>
      <c r="Q149" s="18">
        <v>1090.4444705545902</v>
      </c>
      <c r="R149" s="18">
        <v>9700.0</v>
      </c>
      <c r="S149" s="19">
        <v>0.11241694539785385</v>
      </c>
      <c r="T149" s="8"/>
      <c r="U149" s="8"/>
      <c r="V149" s="8"/>
      <c r="W149" s="8"/>
      <c r="X149" s="8"/>
      <c r="Y149" s="8"/>
      <c r="Z149" s="8"/>
      <c r="AA149" s="8"/>
      <c r="AB149" s="8"/>
    </row>
    <row r="150" ht="15.75" customHeight="1">
      <c r="A150" s="18">
        <v>31203.0</v>
      </c>
      <c r="B150" s="18">
        <v>1.0</v>
      </c>
      <c r="C150" s="18">
        <v>497.0</v>
      </c>
      <c r="D150" s="18">
        <v>0.17549434304237366</v>
      </c>
      <c r="E150" s="18">
        <v>0.3816230893135071</v>
      </c>
      <c r="F150" s="18">
        <v>189.66667160391808</v>
      </c>
      <c r="G150" s="18">
        <v>2832.0</v>
      </c>
      <c r="H150" s="19">
        <v>0.06697269529104233</v>
      </c>
      <c r="I150" s="8"/>
      <c r="J150" s="8"/>
      <c r="K150" s="20"/>
      <c r="L150" s="18">
        <v>31203.0</v>
      </c>
      <c r="M150" s="18">
        <v>0.0</v>
      </c>
      <c r="N150" s="18">
        <v>1263.0</v>
      </c>
      <c r="O150" s="18">
        <v>0.1365848332643509</v>
      </c>
      <c r="P150" s="18">
        <v>0.375736802816391</v>
      </c>
      <c r="Q150" s="18">
        <v>474.55556735396385</v>
      </c>
      <c r="R150" s="18">
        <v>9247.0</v>
      </c>
      <c r="S150" s="19">
        <v>0.051319949328899384</v>
      </c>
      <c r="T150" s="8"/>
      <c r="U150" s="8"/>
      <c r="V150" s="8"/>
      <c r="W150" s="8"/>
      <c r="X150" s="8"/>
      <c r="Y150" s="8"/>
      <c r="Z150" s="8"/>
      <c r="AA150" s="8"/>
      <c r="AB150" s="8"/>
    </row>
    <row r="151" ht="15.75" customHeight="1">
      <c r="A151" s="18">
        <v>31204.0</v>
      </c>
      <c r="B151" s="18">
        <v>1.0</v>
      </c>
      <c r="C151" s="18">
        <v>465.0</v>
      </c>
      <c r="D151" s="18">
        <v>0.1747463345527649</v>
      </c>
      <c r="E151" s="18">
        <v>0.3722819685935974</v>
      </c>
      <c r="F151" s="18">
        <v>173.11111521720886</v>
      </c>
      <c r="G151" s="18">
        <v>2661.0</v>
      </c>
      <c r="H151" s="19">
        <v>0.06505490839481354</v>
      </c>
      <c r="I151" s="8"/>
      <c r="J151" s="8"/>
      <c r="K151" s="20"/>
      <c r="L151" s="18">
        <v>31204.0</v>
      </c>
      <c r="M151" s="18">
        <v>0.0</v>
      </c>
      <c r="N151" s="18">
        <v>3448.0</v>
      </c>
      <c r="O151" s="18">
        <v>0.14630627632141113</v>
      </c>
      <c r="P151" s="18">
        <v>0.36813613772392273</v>
      </c>
      <c r="Q151" s="18">
        <v>1269.333365648985</v>
      </c>
      <c r="R151" s="18">
        <v>23567.0</v>
      </c>
      <c r="S151" s="19">
        <v>0.0538606271147728</v>
      </c>
      <c r="T151" s="8"/>
      <c r="U151" s="8"/>
      <c r="V151" s="8"/>
      <c r="W151" s="8"/>
      <c r="X151" s="8"/>
      <c r="Y151" s="8"/>
      <c r="Z151" s="8"/>
      <c r="AA151" s="8"/>
      <c r="AB151" s="8"/>
    </row>
    <row r="152" ht="15.75" customHeight="1">
      <c r="A152" s="18">
        <v>31205.0</v>
      </c>
      <c r="B152" s="18">
        <v>1.0</v>
      </c>
      <c r="C152" s="18">
        <v>1192.0</v>
      </c>
      <c r="D152" s="18">
        <v>0.16507409512996674</v>
      </c>
      <c r="E152" s="18">
        <v>0.375</v>
      </c>
      <c r="F152" s="18">
        <v>447.0000109374523</v>
      </c>
      <c r="G152" s="18">
        <v>7221.0</v>
      </c>
      <c r="H152" s="19">
        <v>0.06190278381109238</v>
      </c>
      <c r="I152" s="8"/>
      <c r="J152" s="8"/>
      <c r="K152" s="20"/>
      <c r="L152" s="18">
        <v>31205.0</v>
      </c>
      <c r="M152" s="18">
        <v>0.0</v>
      </c>
      <c r="N152" s="18">
        <v>8028.0</v>
      </c>
      <c r="O152" s="18">
        <v>0.14302001893520355</v>
      </c>
      <c r="P152" s="18">
        <v>0.36596912145614624</v>
      </c>
      <c r="Q152" s="18">
        <v>2938.0000728070736</v>
      </c>
      <c r="R152" s="18">
        <v>56132.0</v>
      </c>
      <c r="S152" s="19">
        <v>0.05234090983867645</v>
      </c>
      <c r="T152" s="8"/>
      <c r="U152" s="8"/>
      <c r="V152" s="8"/>
      <c r="W152" s="8"/>
      <c r="X152" s="8"/>
      <c r="Y152" s="8"/>
      <c r="Z152" s="8"/>
      <c r="AA152" s="8"/>
      <c r="AB152" s="8"/>
    </row>
    <row r="153" ht="15.75" customHeight="1">
      <c r="A153" s="18">
        <v>31206.0</v>
      </c>
      <c r="B153" s="18">
        <v>1.0</v>
      </c>
      <c r="C153" s="18">
        <v>743.0</v>
      </c>
      <c r="D153" s="18">
        <v>0.17994672060012817</v>
      </c>
      <c r="E153" s="18">
        <v>0.3789442181587219</v>
      </c>
      <c r="F153" s="18">
        <v>281.55556294322014</v>
      </c>
      <c r="G153" s="18">
        <v>4129.0</v>
      </c>
      <c r="H153" s="19">
        <v>0.06818976998329163</v>
      </c>
      <c r="I153" s="8"/>
      <c r="J153" s="8"/>
      <c r="K153" s="20"/>
      <c r="L153" s="18">
        <v>31206.0</v>
      </c>
      <c r="M153" s="18">
        <v>0.0</v>
      </c>
      <c r="N153" s="18">
        <v>6037.0</v>
      </c>
      <c r="O153" s="18">
        <v>0.15100428462028503</v>
      </c>
      <c r="P153" s="18">
        <v>0.3664255738258362</v>
      </c>
      <c r="Q153" s="18">
        <v>2212.1111663281918</v>
      </c>
      <c r="R153" s="18">
        <v>39979.0</v>
      </c>
      <c r="S153" s="19">
        <v>0.05533182993531227</v>
      </c>
      <c r="T153" s="8"/>
      <c r="U153" s="8"/>
      <c r="V153" s="8"/>
      <c r="W153" s="8"/>
      <c r="X153" s="8"/>
      <c r="Y153" s="8"/>
      <c r="Z153" s="8"/>
      <c r="AA153" s="8"/>
      <c r="AB153" s="8"/>
    </row>
    <row r="154" ht="15.75" customHeight="1">
      <c r="A154" s="18">
        <v>31301.0</v>
      </c>
      <c r="B154" s="18">
        <v>1.0</v>
      </c>
      <c r="C154" s="18">
        <v>950.0</v>
      </c>
      <c r="D154" s="18">
        <v>0.23726274073123932</v>
      </c>
      <c r="E154" s="18">
        <v>0.38152047991752625</v>
      </c>
      <c r="F154" s="18">
        <v>362.44445297122</v>
      </c>
      <c r="G154" s="18">
        <v>4004.0</v>
      </c>
      <c r="H154" s="19">
        <v>0.09052059799432755</v>
      </c>
      <c r="I154" s="8"/>
      <c r="J154" s="8"/>
      <c r="K154" s="20"/>
      <c r="L154" s="18">
        <v>31301.0</v>
      </c>
      <c r="M154" s="18">
        <v>0.0</v>
      </c>
      <c r="N154" s="18">
        <v>2569.0</v>
      </c>
      <c r="O154" s="18">
        <v>0.16494381427764893</v>
      </c>
      <c r="P154" s="18">
        <v>0.3778383433818817</v>
      </c>
      <c r="Q154" s="18">
        <v>970.6666905879974</v>
      </c>
      <c r="R154" s="18">
        <v>15575.0</v>
      </c>
      <c r="S154" s="19">
        <v>0.06232209876179695</v>
      </c>
      <c r="T154" s="8"/>
      <c r="U154" s="8"/>
      <c r="V154" s="8"/>
      <c r="W154" s="8"/>
      <c r="X154" s="8"/>
      <c r="Y154" s="8"/>
      <c r="Z154" s="8"/>
      <c r="AA154" s="8"/>
      <c r="AB154" s="8"/>
    </row>
    <row r="155" ht="15.75" customHeight="1">
      <c r="A155" s="18">
        <v>31302.0</v>
      </c>
      <c r="B155" s="18">
        <v>1.0</v>
      </c>
      <c r="C155" s="18">
        <v>685.0</v>
      </c>
      <c r="D155" s="18">
        <v>0.5810008645057678</v>
      </c>
      <c r="E155" s="18">
        <v>0.42562857270240784</v>
      </c>
      <c r="F155" s="18">
        <v>291.5555630326271</v>
      </c>
      <c r="G155" s="18">
        <v>1179.0</v>
      </c>
      <c r="H155" s="19">
        <v>0.24729056656360626</v>
      </c>
      <c r="I155" s="8"/>
      <c r="J155" s="8"/>
      <c r="K155" s="20"/>
      <c r="L155" s="18">
        <v>31302.0</v>
      </c>
      <c r="M155" s="18">
        <v>0.0</v>
      </c>
      <c r="N155" s="18">
        <v>1849.0</v>
      </c>
      <c r="O155" s="18">
        <v>0.45835399627685547</v>
      </c>
      <c r="P155" s="18">
        <v>0.40532422065734863</v>
      </c>
      <c r="Q155" s="18">
        <v>749.4444644749165</v>
      </c>
      <c r="R155" s="18">
        <v>4034.0</v>
      </c>
      <c r="S155" s="19">
        <v>0.18578197062015533</v>
      </c>
      <c r="T155" s="8"/>
      <c r="U155" s="8"/>
      <c r="V155" s="8"/>
      <c r="W155" s="8"/>
      <c r="X155" s="8"/>
      <c r="Y155" s="8"/>
      <c r="Z155" s="8"/>
      <c r="AA155" s="8"/>
      <c r="AB155" s="8"/>
    </row>
    <row r="156" ht="15.75" customHeight="1">
      <c r="A156" s="18">
        <v>31303.0</v>
      </c>
      <c r="B156" s="18">
        <v>1.0</v>
      </c>
      <c r="C156" s="18">
        <v>357.0</v>
      </c>
      <c r="D156" s="18">
        <v>0.45710626244544983</v>
      </c>
      <c r="E156" s="18">
        <v>0.4092748463153839</v>
      </c>
      <c r="F156" s="18">
        <v>146.11111491918564</v>
      </c>
      <c r="G156" s="18">
        <v>781.0</v>
      </c>
      <c r="H156" s="19">
        <v>0.18708209693431854</v>
      </c>
      <c r="I156" s="8"/>
      <c r="J156" s="8"/>
      <c r="K156" s="20"/>
      <c r="L156" s="18">
        <v>31303.0</v>
      </c>
      <c r="M156" s="18">
        <v>0.0</v>
      </c>
      <c r="N156" s="18">
        <v>1004.0</v>
      </c>
      <c r="O156" s="18">
        <v>0.3708902895450592</v>
      </c>
      <c r="P156" s="18">
        <v>0.38247013092041016</v>
      </c>
      <c r="Q156" s="18">
        <v>384.00000911951065</v>
      </c>
      <c r="R156" s="18">
        <v>2707.0</v>
      </c>
      <c r="S156" s="19">
        <v>0.14185446500778198</v>
      </c>
      <c r="T156" s="8"/>
      <c r="U156" s="8"/>
      <c r="V156" s="8"/>
      <c r="W156" s="8"/>
      <c r="X156" s="8"/>
      <c r="Y156" s="8"/>
      <c r="Z156" s="8"/>
      <c r="AA156" s="8"/>
      <c r="AB156" s="8"/>
    </row>
    <row r="157" ht="15.75" customHeight="1">
      <c r="A157" s="18">
        <v>31304.0</v>
      </c>
      <c r="B157" s="18">
        <v>1.0</v>
      </c>
      <c r="C157" s="18">
        <v>991.0</v>
      </c>
      <c r="D157" s="18">
        <v>0.7265396118164062</v>
      </c>
      <c r="E157" s="18">
        <v>0.4527413547039032</v>
      </c>
      <c r="F157" s="18">
        <v>448.66667833924294</v>
      </c>
      <c r="G157" s="18">
        <v>1364.0</v>
      </c>
      <c r="H157" s="19">
        <v>0.32893452048301697</v>
      </c>
      <c r="I157" s="8"/>
      <c r="J157" s="8"/>
      <c r="K157" s="20"/>
      <c r="L157" s="18">
        <v>31304.0</v>
      </c>
      <c r="M157" s="18">
        <v>0.0</v>
      </c>
      <c r="N157" s="18">
        <v>4321.0</v>
      </c>
      <c r="O157" s="18">
        <v>0.6481176018714905</v>
      </c>
      <c r="P157" s="18">
        <v>0.44616732001304626</v>
      </c>
      <c r="Q157" s="18">
        <v>1927.888940602541</v>
      </c>
      <c r="R157" s="18">
        <v>6667.0</v>
      </c>
      <c r="S157" s="19">
        <v>0.2891688942909241</v>
      </c>
      <c r="T157" s="8"/>
      <c r="U157" s="8"/>
      <c r="V157" s="8"/>
      <c r="W157" s="8"/>
      <c r="X157" s="8"/>
      <c r="Y157" s="8"/>
      <c r="Z157" s="8"/>
      <c r="AA157" s="8"/>
      <c r="AB157" s="8"/>
    </row>
    <row r="158" ht="15.75" customHeight="1">
      <c r="A158" s="18">
        <v>31401.0</v>
      </c>
      <c r="B158" s="18">
        <v>1.0</v>
      </c>
      <c r="C158" s="18">
        <v>478.0</v>
      </c>
      <c r="D158" s="18">
        <v>0.05183819681406021</v>
      </c>
      <c r="E158" s="18">
        <v>0.3602975308895111</v>
      </c>
      <c r="F158" s="18">
        <v>172.22222676873207</v>
      </c>
      <c r="G158" s="18">
        <v>9221.0</v>
      </c>
      <c r="H158" s="19">
        <v>0.018677175045013428</v>
      </c>
      <c r="I158" s="8"/>
      <c r="J158" s="8"/>
      <c r="K158" s="20"/>
      <c r="L158" s="18">
        <v>31401.0</v>
      </c>
      <c r="M158" s="18">
        <v>0.0</v>
      </c>
      <c r="N158" s="18">
        <v>1342.0</v>
      </c>
      <c r="O158" s="18">
        <v>0.05297229066491127</v>
      </c>
      <c r="P158" s="18">
        <v>0.35924822092056274</v>
      </c>
      <c r="Q158" s="18">
        <v>482.11112359166145</v>
      </c>
      <c r="R158" s="18">
        <v>25334.0</v>
      </c>
      <c r="S158" s="19">
        <v>0.019030200317502022</v>
      </c>
      <c r="T158" s="8"/>
      <c r="U158" s="8"/>
      <c r="V158" s="8"/>
      <c r="W158" s="8"/>
      <c r="X158" s="8"/>
      <c r="Y158" s="8"/>
      <c r="Z158" s="8"/>
      <c r="AA158" s="8"/>
      <c r="AB158" s="8"/>
    </row>
    <row r="159" ht="15.75" customHeight="1">
      <c r="A159" s="18">
        <v>31402.0</v>
      </c>
      <c r="B159" s="18">
        <v>1.0</v>
      </c>
      <c r="C159" s="18">
        <v>171.0</v>
      </c>
      <c r="D159" s="18">
        <v>0.0875127911567688</v>
      </c>
      <c r="E159" s="18">
        <v>0.3736192286014557</v>
      </c>
      <c r="F159" s="18">
        <v>63.888890504837036</v>
      </c>
      <c r="G159" s="18">
        <v>1954.0</v>
      </c>
      <c r="H159" s="19">
        <v>0.03269646316766739</v>
      </c>
      <c r="I159" s="8"/>
      <c r="J159" s="8"/>
      <c r="K159" s="20"/>
      <c r="L159" s="18">
        <v>31402.0</v>
      </c>
      <c r="M159" s="18">
        <v>0.0</v>
      </c>
      <c r="N159" s="18">
        <v>477.0</v>
      </c>
      <c r="O159" s="18">
        <v>0.07199999690055847</v>
      </c>
      <c r="P159" s="18">
        <v>0.3559282720088959</v>
      </c>
      <c r="Q159" s="18">
        <v>169.7777823805809</v>
      </c>
      <c r="R159" s="18">
        <v>6625.0</v>
      </c>
      <c r="S159" s="19">
        <v>0.025626834481954575</v>
      </c>
      <c r="T159" s="8"/>
      <c r="U159" s="8"/>
      <c r="V159" s="8"/>
      <c r="W159" s="8"/>
      <c r="X159" s="8"/>
      <c r="Y159" s="8"/>
      <c r="Z159" s="8"/>
      <c r="AA159" s="8"/>
      <c r="AB159" s="8"/>
    </row>
    <row r="160" ht="15.75" customHeight="1">
      <c r="A160" s="18">
        <v>31403.0</v>
      </c>
      <c r="B160" s="18">
        <v>1.0</v>
      </c>
      <c r="C160" s="18">
        <v>198.0</v>
      </c>
      <c r="D160" s="18">
        <v>0.05971049517393112</v>
      </c>
      <c r="E160" s="18">
        <v>0.3490460216999054</v>
      </c>
      <c r="F160" s="18">
        <v>69.11111289262772</v>
      </c>
      <c r="G160" s="18">
        <v>3316.0</v>
      </c>
      <c r="H160" s="19">
        <v>0.02084171026945114</v>
      </c>
      <c r="I160" s="8"/>
      <c r="J160" s="8"/>
      <c r="K160" s="20"/>
      <c r="L160" s="18">
        <v>31403.0</v>
      </c>
      <c r="M160" s="18">
        <v>0.0</v>
      </c>
      <c r="N160" s="18">
        <v>439.0</v>
      </c>
      <c r="O160" s="18">
        <v>0.0451832041144371</v>
      </c>
      <c r="P160" s="18">
        <v>0.3659833073616028</v>
      </c>
      <c r="Q160" s="18">
        <v>160.66667073965073</v>
      </c>
      <c r="R160" s="18">
        <v>9716.0</v>
      </c>
      <c r="S160" s="19">
        <v>0.016536299139261246</v>
      </c>
      <c r="T160" s="8"/>
      <c r="U160" s="8"/>
      <c r="V160" s="8"/>
      <c r="W160" s="8"/>
      <c r="X160" s="8"/>
      <c r="Y160" s="8"/>
      <c r="Z160" s="8"/>
      <c r="AA160" s="8"/>
      <c r="AB160" s="8"/>
    </row>
    <row r="161" ht="15.75" customHeight="1">
      <c r="A161" s="18">
        <v>31404.0</v>
      </c>
      <c r="B161" s="18">
        <v>1.0</v>
      </c>
      <c r="C161" s="18">
        <v>18.0</v>
      </c>
      <c r="D161" s="18">
        <v>0.05454545468091965</v>
      </c>
      <c r="E161" s="18">
        <v>0.3395061790943146</v>
      </c>
      <c r="F161" s="18">
        <v>6.111111283302307</v>
      </c>
      <c r="G161" s="18">
        <v>330.0</v>
      </c>
      <c r="H161" s="19">
        <v>0.018518518656492233</v>
      </c>
      <c r="I161" s="8"/>
      <c r="J161" s="8"/>
      <c r="K161" s="20"/>
      <c r="L161" s="18">
        <v>31404.0</v>
      </c>
      <c r="M161" s="18">
        <v>0.0</v>
      </c>
      <c r="N161" s="18">
        <v>53.0</v>
      </c>
      <c r="O161" s="18">
        <v>0.05567226931452751</v>
      </c>
      <c r="P161" s="18">
        <v>0.39203354716300964</v>
      </c>
      <c r="Q161" s="18">
        <v>20.777778178453445</v>
      </c>
      <c r="R161" s="18">
        <v>952.0</v>
      </c>
      <c r="S161" s="19">
        <v>0.02182539738714695</v>
      </c>
      <c r="T161" s="8"/>
      <c r="U161" s="8"/>
      <c r="V161" s="8"/>
      <c r="W161" s="8"/>
      <c r="X161" s="8"/>
      <c r="Y161" s="8"/>
      <c r="Z161" s="8"/>
      <c r="AA161" s="8"/>
      <c r="AB161" s="8"/>
    </row>
    <row r="162" ht="15.75" customHeight="1">
      <c r="A162" s="18">
        <v>31405.0</v>
      </c>
      <c r="B162" s="18">
        <v>1.0</v>
      </c>
      <c r="C162" s="18">
        <v>187.0</v>
      </c>
      <c r="D162" s="18">
        <v>0.19560669362545013</v>
      </c>
      <c r="E162" s="18">
        <v>0.40819963812828064</v>
      </c>
      <c r="F162" s="18">
        <v>76.33333498239517</v>
      </c>
      <c r="G162" s="18">
        <v>956.0</v>
      </c>
      <c r="H162" s="19">
        <v>0.0798465833067894</v>
      </c>
      <c r="I162" s="8"/>
      <c r="J162" s="8"/>
      <c r="K162" s="20"/>
      <c r="L162" s="18">
        <v>31405.0</v>
      </c>
      <c r="M162" s="18">
        <v>0.0</v>
      </c>
      <c r="N162" s="18">
        <v>422.0</v>
      </c>
      <c r="O162" s="18">
        <v>0.14770738780498505</v>
      </c>
      <c r="P162" s="18">
        <v>0.3862559199333191</v>
      </c>
      <c r="Q162" s="18">
        <v>163.00000396370888</v>
      </c>
      <c r="R162" s="18">
        <v>2857.0</v>
      </c>
      <c r="S162" s="19">
        <v>0.0570528544485569</v>
      </c>
      <c r="T162" s="8"/>
      <c r="U162" s="8"/>
      <c r="V162" s="8"/>
      <c r="W162" s="8"/>
      <c r="X162" s="8"/>
      <c r="Y162" s="8"/>
      <c r="Z162" s="8"/>
      <c r="AA162" s="8"/>
      <c r="AB162" s="8"/>
    </row>
    <row r="163" ht="15.75" customHeight="1">
      <c r="A163" s="18">
        <v>31501.0</v>
      </c>
      <c r="B163" s="18">
        <v>1.0</v>
      </c>
      <c r="C163" s="18">
        <v>645.0</v>
      </c>
      <c r="D163" s="18">
        <v>0.3648189902305603</v>
      </c>
      <c r="E163" s="18">
        <v>0.37881138920783997</v>
      </c>
      <c r="F163" s="18">
        <v>244.33333948254585</v>
      </c>
      <c r="G163" s="18">
        <v>1768.0</v>
      </c>
      <c r="H163" s="19">
        <v>0.13819758594036102</v>
      </c>
      <c r="I163" s="8"/>
      <c r="J163" s="8"/>
      <c r="K163" s="20"/>
      <c r="L163" s="18">
        <v>31501.0</v>
      </c>
      <c r="M163" s="18">
        <v>0.0</v>
      </c>
      <c r="N163" s="18">
        <v>1677.0</v>
      </c>
      <c r="O163" s="18">
        <v>0.2578809857368469</v>
      </c>
      <c r="P163" s="18">
        <v>0.37288808822631836</v>
      </c>
      <c r="Q163" s="18">
        <v>625.3333484232426</v>
      </c>
      <c r="R163" s="18">
        <v>6503.0</v>
      </c>
      <c r="S163" s="19">
        <v>0.09616074711084366</v>
      </c>
      <c r="T163" s="8"/>
      <c r="U163" s="8"/>
      <c r="V163" s="8"/>
      <c r="W163" s="8"/>
      <c r="X163" s="8"/>
      <c r="Y163" s="8"/>
      <c r="Z163" s="8"/>
      <c r="AA163" s="8"/>
      <c r="AB163" s="8"/>
    </row>
    <row r="164" ht="15.75" customHeight="1">
      <c r="A164" s="18">
        <v>31601.0</v>
      </c>
      <c r="B164" s="18">
        <v>1.0</v>
      </c>
      <c r="C164" s="18">
        <v>593.0</v>
      </c>
      <c r="D164" s="18">
        <v>0.14176428318023682</v>
      </c>
      <c r="E164" s="18">
        <v>0.385609894990921</v>
      </c>
      <c r="F164" s="18">
        <v>228.66667276620865</v>
      </c>
      <c r="G164" s="18">
        <v>4183.0</v>
      </c>
      <c r="H164" s="19">
        <v>0.054665710777044296</v>
      </c>
      <c r="I164" s="8"/>
      <c r="J164" s="8"/>
      <c r="K164" s="20"/>
      <c r="L164" s="18">
        <v>31601.0</v>
      </c>
      <c r="M164" s="18">
        <v>0.0</v>
      </c>
      <c r="N164" s="18">
        <v>1611.0</v>
      </c>
      <c r="O164" s="18">
        <v>0.11310819536447525</v>
      </c>
      <c r="P164" s="18">
        <v>0.3777501881122589</v>
      </c>
      <c r="Q164" s="18">
        <v>608.5555697381496</v>
      </c>
      <c r="R164" s="18">
        <v>14243.0</v>
      </c>
      <c r="S164" s="19">
        <v>0.04272664338350296</v>
      </c>
      <c r="T164" s="8"/>
      <c r="U164" s="8"/>
      <c r="V164" s="8"/>
      <c r="W164" s="8"/>
      <c r="X164" s="8"/>
      <c r="Y164" s="8"/>
      <c r="Z164" s="8"/>
      <c r="AA164" s="8"/>
      <c r="AB164" s="8"/>
    </row>
    <row r="165" ht="15.75" customHeight="1">
      <c r="A165" s="18">
        <v>31602.0</v>
      </c>
      <c r="B165" s="18">
        <v>1.0</v>
      </c>
      <c r="C165" s="18">
        <v>271.0</v>
      </c>
      <c r="D165" s="18">
        <v>0.1003703698515892</v>
      </c>
      <c r="E165" s="18">
        <v>0.3854038715362549</v>
      </c>
      <c r="F165" s="18">
        <v>104.44444680213928</v>
      </c>
      <c r="G165" s="18">
        <v>2700.0</v>
      </c>
      <c r="H165" s="19">
        <v>0.038683127611875534</v>
      </c>
      <c r="I165" s="8"/>
      <c r="J165" s="8"/>
      <c r="K165" s="20"/>
      <c r="L165" s="18">
        <v>31602.0</v>
      </c>
      <c r="M165" s="18">
        <v>0.0</v>
      </c>
      <c r="N165" s="18">
        <v>2539.0</v>
      </c>
      <c r="O165" s="18">
        <v>0.10695930570363998</v>
      </c>
      <c r="P165" s="18">
        <v>0.3659796118736267</v>
      </c>
      <c r="Q165" s="18">
        <v>929.222245067358</v>
      </c>
      <c r="R165" s="18">
        <v>23738.0</v>
      </c>
      <c r="S165" s="19">
        <v>0.03914492577314377</v>
      </c>
      <c r="T165" s="8"/>
      <c r="U165" s="8"/>
      <c r="V165" s="8"/>
      <c r="W165" s="8"/>
      <c r="X165" s="8"/>
      <c r="Y165" s="8"/>
      <c r="Z165" s="8"/>
      <c r="AA165" s="8"/>
      <c r="AB165" s="8"/>
    </row>
    <row r="166" ht="15.75" customHeight="1">
      <c r="A166" s="18">
        <v>40101.0</v>
      </c>
      <c r="B166" s="18">
        <v>1.0</v>
      </c>
      <c r="C166" s="18">
        <v>733.0</v>
      </c>
      <c r="D166" s="18">
        <v>0.013685585930943489</v>
      </c>
      <c r="E166" s="18">
        <v>0.36743974685668945</v>
      </c>
      <c r="F166" s="18">
        <v>269.33334025740623</v>
      </c>
      <c r="G166" s="18">
        <v>53560.0</v>
      </c>
      <c r="H166" s="19">
        <v>0.0050286282785236835</v>
      </c>
      <c r="I166" s="8"/>
      <c r="J166" s="8"/>
      <c r="K166" s="20"/>
      <c r="L166" s="18">
        <v>40101.0</v>
      </c>
      <c r="M166" s="18">
        <v>0.0</v>
      </c>
      <c r="N166" s="18">
        <v>5225.0</v>
      </c>
      <c r="O166" s="18">
        <v>0.021993517875671387</v>
      </c>
      <c r="P166" s="18">
        <v>0.3619351387023926</v>
      </c>
      <c r="Q166" s="18">
        <v>1891.1111594438553</v>
      </c>
      <c r="R166" s="18">
        <v>237570.0</v>
      </c>
      <c r="S166" s="19">
        <v>0.007960227318108082</v>
      </c>
      <c r="T166" s="8"/>
      <c r="U166" s="8"/>
      <c r="V166" s="8"/>
      <c r="W166" s="8"/>
      <c r="X166" s="8"/>
      <c r="Y166" s="8"/>
      <c r="Z166" s="8"/>
      <c r="AA166" s="8"/>
      <c r="AB166" s="8"/>
    </row>
    <row r="167" ht="15.75" customHeight="1">
      <c r="A167" s="18">
        <v>40102.0</v>
      </c>
      <c r="B167" s="18">
        <v>1.0</v>
      </c>
      <c r="C167" s="18">
        <v>913.0</v>
      </c>
      <c r="D167" s="18">
        <v>0.17258979380130768</v>
      </c>
      <c r="E167" s="18">
        <v>0.35718631744384766</v>
      </c>
      <c r="F167" s="18">
        <v>326.11111918091774</v>
      </c>
      <c r="G167" s="18">
        <v>5290.0</v>
      </c>
      <c r="H167" s="19">
        <v>0.0616467110812664</v>
      </c>
      <c r="I167" s="8"/>
      <c r="J167" s="8"/>
      <c r="K167" s="20"/>
      <c r="L167" s="18">
        <v>40102.0</v>
      </c>
      <c r="M167" s="18">
        <v>0.0</v>
      </c>
      <c r="N167" s="18">
        <v>2162.0</v>
      </c>
      <c r="O167" s="18">
        <v>0.12709423899650574</v>
      </c>
      <c r="P167" s="18">
        <v>0.362216055393219</v>
      </c>
      <c r="Q167" s="18">
        <v>783.1111307144165</v>
      </c>
      <c r="R167" s="18">
        <v>17011.0</v>
      </c>
      <c r="S167" s="19">
        <v>0.04603557288646698</v>
      </c>
      <c r="T167" s="8"/>
      <c r="U167" s="8"/>
      <c r="V167" s="8"/>
      <c r="W167" s="8"/>
      <c r="X167" s="8"/>
      <c r="Y167" s="8"/>
      <c r="Z167" s="8"/>
      <c r="AA167" s="8"/>
      <c r="AB167" s="8"/>
    </row>
    <row r="168" ht="15.75" customHeight="1">
      <c r="A168" s="18">
        <v>40103.0</v>
      </c>
      <c r="B168" s="18">
        <v>1.0</v>
      </c>
      <c r="C168" s="18">
        <v>1574.0</v>
      </c>
      <c r="D168" s="18">
        <v>0.6019120216369629</v>
      </c>
      <c r="E168" s="18">
        <v>0.3774530589580536</v>
      </c>
      <c r="F168" s="18">
        <v>594.1111253798008</v>
      </c>
      <c r="G168" s="18">
        <v>2615.0</v>
      </c>
      <c r="H168" s="19">
        <v>0.22719353437423706</v>
      </c>
      <c r="I168" s="8"/>
      <c r="J168" s="8"/>
      <c r="K168" s="20"/>
      <c r="L168" s="18">
        <v>40103.0</v>
      </c>
      <c r="M168" s="18">
        <v>0.0</v>
      </c>
      <c r="N168" s="18">
        <v>3858.0</v>
      </c>
      <c r="O168" s="18">
        <v>0.5248265266418457</v>
      </c>
      <c r="P168" s="18">
        <v>0.37037038803100586</v>
      </c>
      <c r="Q168" s="18">
        <v>1428.8889237046242</v>
      </c>
      <c r="R168" s="18">
        <v>7351.0</v>
      </c>
      <c r="S168" s="19">
        <v>0.19438020884990692</v>
      </c>
      <c r="T168" s="8"/>
      <c r="U168" s="8"/>
      <c r="V168" s="8"/>
      <c r="W168" s="8"/>
      <c r="X168" s="8"/>
      <c r="Y168" s="8"/>
      <c r="Z168" s="8"/>
      <c r="AA168" s="8"/>
      <c r="AB168" s="8"/>
    </row>
    <row r="169" ht="15.75" customHeight="1">
      <c r="A169" s="18">
        <v>40104.0</v>
      </c>
      <c r="B169" s="18">
        <v>1.0</v>
      </c>
      <c r="C169" s="18">
        <v>552.0</v>
      </c>
      <c r="D169" s="18">
        <v>0.1747388392686844</v>
      </c>
      <c r="E169" s="18">
        <v>0.37962964177131653</v>
      </c>
      <c r="F169" s="18">
        <v>209.55556073784828</v>
      </c>
      <c r="G169" s="18">
        <v>3159.0</v>
      </c>
      <c r="H169" s="19">
        <v>0.06633604317903519</v>
      </c>
      <c r="I169" s="8"/>
      <c r="J169" s="8"/>
      <c r="K169" s="20"/>
      <c r="L169" s="18">
        <v>40104.0</v>
      </c>
      <c r="M169" s="18">
        <v>0.0</v>
      </c>
      <c r="N169" s="18">
        <v>1337.0</v>
      </c>
      <c r="O169" s="18">
        <v>0.1067209467291832</v>
      </c>
      <c r="P169" s="18">
        <v>0.36416521668434143</v>
      </c>
      <c r="Q169" s="18">
        <v>486.8889008164406</v>
      </c>
      <c r="R169" s="18">
        <v>12528.0</v>
      </c>
      <c r="S169" s="19">
        <v>0.03886405751109123</v>
      </c>
      <c r="T169" s="8"/>
      <c r="U169" s="8"/>
      <c r="V169" s="8"/>
      <c r="W169" s="8"/>
      <c r="X169" s="8"/>
      <c r="Y169" s="8"/>
      <c r="Z169" s="8"/>
      <c r="AA169" s="8"/>
      <c r="AB169" s="8"/>
    </row>
    <row r="170" ht="15.75" customHeight="1">
      <c r="A170" s="18">
        <v>40201.0</v>
      </c>
      <c r="B170" s="18">
        <v>1.0</v>
      </c>
      <c r="C170" s="18">
        <v>1470.0</v>
      </c>
      <c r="D170" s="18">
        <v>0.24697580933570862</v>
      </c>
      <c r="E170" s="18">
        <v>0.3776266276836395</v>
      </c>
      <c r="F170" s="18">
        <v>555.1111252009869</v>
      </c>
      <c r="G170" s="18">
        <v>5952.0</v>
      </c>
      <c r="H170" s="19">
        <v>0.093264639377594</v>
      </c>
      <c r="I170" s="8"/>
      <c r="J170" s="8"/>
      <c r="K170" s="20"/>
      <c r="L170" s="18">
        <v>40201.0</v>
      </c>
      <c r="M170" s="18">
        <v>0.0</v>
      </c>
      <c r="N170" s="18">
        <v>4746.0</v>
      </c>
      <c r="O170" s="18">
        <v>0.1638868749141693</v>
      </c>
      <c r="P170" s="18">
        <v>0.36732688546180725</v>
      </c>
      <c r="Q170" s="18">
        <v>1743.3333765268326</v>
      </c>
      <c r="R170" s="18">
        <v>28959.0</v>
      </c>
      <c r="S170" s="19">
        <v>0.060200054198503494</v>
      </c>
      <c r="T170" s="8"/>
      <c r="U170" s="8"/>
      <c r="V170" s="8"/>
      <c r="W170" s="8"/>
      <c r="X170" s="8"/>
      <c r="Y170" s="8"/>
      <c r="Z170" s="8"/>
      <c r="AA170" s="8"/>
      <c r="AB170" s="8"/>
    </row>
    <row r="171" ht="15.75" customHeight="1">
      <c r="A171" s="18">
        <v>40202.0</v>
      </c>
      <c r="B171" s="18">
        <v>1.0</v>
      </c>
      <c r="C171" s="18">
        <v>344.0</v>
      </c>
      <c r="D171" s="18">
        <v>0.2815057337284088</v>
      </c>
      <c r="E171" s="18">
        <v>0.3611111342906952</v>
      </c>
      <c r="F171" s="18">
        <v>124.22222539782524</v>
      </c>
      <c r="G171" s="18">
        <v>1222.0</v>
      </c>
      <c r="H171" s="19">
        <v>0.10165485739707947</v>
      </c>
      <c r="I171" s="8"/>
      <c r="J171" s="8"/>
      <c r="K171" s="20"/>
      <c r="L171" s="18">
        <v>40202.0</v>
      </c>
      <c r="M171" s="18">
        <v>0.0</v>
      </c>
      <c r="N171" s="18">
        <v>785.0</v>
      </c>
      <c r="O171" s="18">
        <v>0.20030620694160461</v>
      </c>
      <c r="P171" s="18">
        <v>0.35484784841537476</v>
      </c>
      <c r="Q171" s="18">
        <v>278.55556243658066</v>
      </c>
      <c r="R171" s="18">
        <v>3919.0</v>
      </c>
      <c r="S171" s="19">
        <v>0.07107822597026825</v>
      </c>
      <c r="T171" s="8"/>
      <c r="U171" s="8"/>
      <c r="V171" s="8"/>
      <c r="W171" s="8"/>
      <c r="X171" s="8"/>
      <c r="Y171" s="8"/>
      <c r="Z171" s="8"/>
      <c r="AA171" s="8"/>
      <c r="AB171" s="8"/>
    </row>
    <row r="172" ht="15.75" customHeight="1">
      <c r="A172" s="18">
        <v>40301.0</v>
      </c>
      <c r="B172" s="18">
        <v>1.0</v>
      </c>
      <c r="C172" s="18">
        <v>1630.0</v>
      </c>
      <c r="D172" s="18">
        <v>0.3554295599460602</v>
      </c>
      <c r="E172" s="18">
        <v>0.3767552971839905</v>
      </c>
      <c r="F172" s="18">
        <v>614.1111264526844</v>
      </c>
      <c r="G172" s="18">
        <v>4586.0</v>
      </c>
      <c r="H172" s="19">
        <v>0.13390997052192688</v>
      </c>
      <c r="I172" s="8"/>
      <c r="J172" s="8"/>
      <c r="K172" s="20"/>
      <c r="L172" s="18">
        <v>40301.0</v>
      </c>
      <c r="M172" s="18">
        <v>0.0</v>
      </c>
      <c r="N172" s="18">
        <v>3692.0</v>
      </c>
      <c r="O172" s="18">
        <v>0.3264945149421692</v>
      </c>
      <c r="P172" s="18">
        <v>0.3725171685218811</v>
      </c>
      <c r="Q172" s="18">
        <v>1375.33336648345</v>
      </c>
      <c r="R172" s="18">
        <v>11308.0</v>
      </c>
      <c r="S172" s="19">
        <v>0.12162481248378754</v>
      </c>
      <c r="T172" s="8"/>
      <c r="U172" s="8"/>
      <c r="V172" s="8"/>
      <c r="W172" s="8"/>
      <c r="X172" s="8"/>
      <c r="Y172" s="8"/>
      <c r="Z172" s="8"/>
      <c r="AA172" s="8"/>
      <c r="AB172" s="8"/>
    </row>
    <row r="173" ht="15.75" customHeight="1">
      <c r="A173" s="18">
        <v>40302.0</v>
      </c>
      <c r="B173" s="18">
        <v>1.0</v>
      </c>
      <c r="C173" s="18">
        <v>220.0</v>
      </c>
      <c r="D173" s="18">
        <v>0.2650602459907532</v>
      </c>
      <c r="E173" s="18">
        <v>0.35151517391204834</v>
      </c>
      <c r="F173" s="18">
        <v>77.3333352804184</v>
      </c>
      <c r="G173" s="18">
        <v>830.0</v>
      </c>
      <c r="H173" s="19">
        <v>0.09317269921302795</v>
      </c>
      <c r="I173" s="8"/>
      <c r="J173" s="8"/>
      <c r="K173" s="20"/>
      <c r="L173" s="18">
        <v>40302.0</v>
      </c>
      <c r="M173" s="18">
        <v>0.0</v>
      </c>
      <c r="N173" s="18">
        <v>453.0</v>
      </c>
      <c r="O173" s="18">
        <v>0.2714200019836426</v>
      </c>
      <c r="P173" s="18">
        <v>0.36276674270629883</v>
      </c>
      <c r="Q173" s="18">
        <v>164.33333760499954</v>
      </c>
      <c r="R173" s="18">
        <v>1669.0</v>
      </c>
      <c r="S173" s="19">
        <v>0.09846214950084686</v>
      </c>
      <c r="T173" s="8"/>
      <c r="U173" s="8"/>
      <c r="V173" s="8"/>
      <c r="W173" s="8"/>
      <c r="X173" s="8"/>
      <c r="Y173" s="8"/>
      <c r="Z173" s="8"/>
      <c r="AA173" s="8"/>
      <c r="AB173" s="8"/>
    </row>
    <row r="174" ht="15.75" customHeight="1">
      <c r="A174" s="18">
        <v>40401.0</v>
      </c>
      <c r="B174" s="18">
        <v>1.0</v>
      </c>
      <c r="C174" s="18">
        <v>488.0</v>
      </c>
      <c r="D174" s="18">
        <v>0.24696356058120728</v>
      </c>
      <c r="E174" s="18">
        <v>0.381147563457489</v>
      </c>
      <c r="F174" s="18">
        <v>186.0000044107437</v>
      </c>
      <c r="G174" s="18">
        <v>1976.0</v>
      </c>
      <c r="H174" s="19">
        <v>0.09412956237792969</v>
      </c>
      <c r="I174" s="8"/>
      <c r="J174" s="8"/>
      <c r="K174" s="20"/>
      <c r="L174" s="18">
        <v>40401.0</v>
      </c>
      <c r="M174" s="18">
        <v>0.0</v>
      </c>
      <c r="N174" s="18">
        <v>730.0</v>
      </c>
      <c r="O174" s="18">
        <v>0.1662491410970688</v>
      </c>
      <c r="P174" s="18">
        <v>0.36666667461395264</v>
      </c>
      <c r="Q174" s="18">
        <v>267.6666728258133</v>
      </c>
      <c r="R174" s="18">
        <v>4391.0</v>
      </c>
      <c r="S174" s="19">
        <v>0.06095802038908005</v>
      </c>
      <c r="T174" s="8"/>
      <c r="U174" s="8"/>
      <c r="V174" s="8"/>
      <c r="W174" s="8"/>
      <c r="X174" s="8"/>
      <c r="Y174" s="8"/>
      <c r="Z174" s="8"/>
      <c r="AA174" s="8"/>
      <c r="AB174" s="8"/>
    </row>
    <row r="175" ht="15.75" customHeight="1">
      <c r="A175" s="18">
        <v>40402.0</v>
      </c>
      <c r="B175" s="18">
        <v>1.0</v>
      </c>
      <c r="C175" s="18">
        <v>723.0</v>
      </c>
      <c r="D175" s="18">
        <v>0.3664470314979553</v>
      </c>
      <c r="E175" s="18">
        <v>0.3828185200691223</v>
      </c>
      <c r="F175" s="18">
        <v>276.7777845263481</v>
      </c>
      <c r="G175" s="18">
        <v>1973.0</v>
      </c>
      <c r="H175" s="19">
        <v>0.14028270542621613</v>
      </c>
      <c r="I175" s="8"/>
      <c r="J175" s="8"/>
      <c r="K175" s="20"/>
      <c r="L175" s="18">
        <v>40402.0</v>
      </c>
      <c r="M175" s="18">
        <v>0.0</v>
      </c>
      <c r="N175" s="18">
        <v>1108.0</v>
      </c>
      <c r="O175" s="18">
        <v>0.30760687589645386</v>
      </c>
      <c r="P175" s="18">
        <v>0.3695347011089325</v>
      </c>
      <c r="Q175" s="18">
        <v>409.44445407390594</v>
      </c>
      <c r="R175" s="18">
        <v>3602.0</v>
      </c>
      <c r="S175" s="19">
        <v>0.11367141455411911</v>
      </c>
      <c r="T175" s="8"/>
      <c r="U175" s="8"/>
      <c r="V175" s="8"/>
      <c r="W175" s="8"/>
      <c r="X175" s="8"/>
      <c r="Y175" s="8"/>
      <c r="Z175" s="8"/>
      <c r="AA175" s="8"/>
      <c r="AB175" s="8"/>
    </row>
    <row r="176" ht="15.75" customHeight="1">
      <c r="A176" s="18">
        <v>40501.0</v>
      </c>
      <c r="B176" s="18">
        <v>1.0</v>
      </c>
      <c r="C176" s="18">
        <v>31.0</v>
      </c>
      <c r="D176" s="18">
        <v>0.043115437030792236</v>
      </c>
      <c r="E176" s="18">
        <v>0.3584229350090027</v>
      </c>
      <c r="F176" s="18">
        <v>11.111111372709274</v>
      </c>
      <c r="G176" s="18">
        <v>719.0</v>
      </c>
      <c r="H176" s="19">
        <v>0.015453561209142208</v>
      </c>
      <c r="I176" s="8"/>
      <c r="J176" s="8"/>
      <c r="K176" s="20"/>
      <c r="L176" s="18">
        <v>40501.0</v>
      </c>
      <c r="M176" s="18">
        <v>0.0</v>
      </c>
      <c r="N176" s="18">
        <v>61.0</v>
      </c>
      <c r="O176" s="18">
        <v>0.01988266035914421</v>
      </c>
      <c r="P176" s="18">
        <v>0.3406193256378174</v>
      </c>
      <c r="Q176" s="18">
        <v>20.77777835726738</v>
      </c>
      <c r="R176" s="18">
        <v>3068.0</v>
      </c>
      <c r="S176" s="19">
        <v>0.0067724185064435005</v>
      </c>
      <c r="T176" s="8"/>
      <c r="U176" s="8"/>
      <c r="V176" s="8"/>
      <c r="W176" s="8"/>
      <c r="X176" s="8"/>
      <c r="Y176" s="8"/>
      <c r="Z176" s="8"/>
      <c r="AA176" s="8"/>
      <c r="AB176" s="8"/>
    </row>
    <row r="177" ht="15.75" customHeight="1">
      <c r="A177" s="18">
        <v>40502.0</v>
      </c>
      <c r="B177" s="18">
        <v>1.0</v>
      </c>
      <c r="C177" s="18">
        <v>203.0</v>
      </c>
      <c r="D177" s="18">
        <v>0.2029999941587448</v>
      </c>
      <c r="E177" s="18">
        <v>0.37164750695228577</v>
      </c>
      <c r="F177" s="18">
        <v>75.44444611668587</v>
      </c>
      <c r="G177" s="18">
        <v>1000.0</v>
      </c>
      <c r="H177" s="19">
        <v>0.07544444501399994</v>
      </c>
      <c r="I177" s="8"/>
      <c r="J177" s="8"/>
      <c r="K177" s="20"/>
      <c r="L177" s="18">
        <v>40502.0</v>
      </c>
      <c r="M177" s="18">
        <v>0.0</v>
      </c>
      <c r="N177" s="18">
        <v>551.0</v>
      </c>
      <c r="O177" s="18">
        <v>0.17475420236587524</v>
      </c>
      <c r="P177" s="18">
        <v>0.3680177628993988</v>
      </c>
      <c r="Q177" s="18">
        <v>202.7777829170227</v>
      </c>
      <c r="R177" s="18">
        <v>3153.0</v>
      </c>
      <c r="S177" s="19">
        <v>0.0643126517534256</v>
      </c>
      <c r="T177" s="8"/>
      <c r="U177" s="8"/>
      <c r="V177" s="8"/>
      <c r="W177" s="8"/>
      <c r="X177" s="8"/>
      <c r="Y177" s="8"/>
      <c r="Z177" s="8"/>
      <c r="AA177" s="8"/>
      <c r="AB177" s="8"/>
    </row>
    <row r="178" ht="15.75" customHeight="1">
      <c r="A178" s="18">
        <v>40503.0</v>
      </c>
      <c r="B178" s="18">
        <v>1.0</v>
      </c>
      <c r="C178" s="18">
        <v>15.0</v>
      </c>
      <c r="D178" s="18">
        <v>0.062240663915872574</v>
      </c>
      <c r="E178" s="18">
        <v>0.4444444477558136</v>
      </c>
      <c r="F178" s="18">
        <v>6.666666775941849</v>
      </c>
      <c r="G178" s="18">
        <v>241.0</v>
      </c>
      <c r="H178" s="19">
        <v>0.02766251750290394</v>
      </c>
      <c r="I178" s="8"/>
      <c r="J178" s="8"/>
      <c r="K178" s="20"/>
      <c r="L178" s="18">
        <v>40503.0</v>
      </c>
      <c r="M178" s="18">
        <v>0.0</v>
      </c>
      <c r="N178" s="18">
        <v>117.0</v>
      </c>
      <c r="O178" s="18">
        <v>0.09345047920942307</v>
      </c>
      <c r="P178" s="18">
        <v>0.3808167278766632</v>
      </c>
      <c r="Q178" s="18">
        <v>44.55555668473244</v>
      </c>
      <c r="R178" s="18">
        <v>1252.0</v>
      </c>
      <c r="S178" s="19">
        <v>0.035587504506111145</v>
      </c>
      <c r="T178" s="8"/>
      <c r="U178" s="8"/>
      <c r="V178" s="8"/>
      <c r="W178" s="8"/>
      <c r="X178" s="8"/>
      <c r="Y178" s="8"/>
      <c r="Z178" s="8"/>
      <c r="AA178" s="8"/>
      <c r="AB178" s="8"/>
    </row>
    <row r="179" ht="15.75" customHeight="1">
      <c r="A179" s="18">
        <v>40504.0</v>
      </c>
      <c r="B179" s="18">
        <v>1.0</v>
      </c>
      <c r="C179" s="18">
        <v>3.0</v>
      </c>
      <c r="D179" s="18">
        <v>0.015384615398943424</v>
      </c>
      <c r="E179" s="18">
        <v>0.3333333432674408</v>
      </c>
      <c r="F179" s="18">
        <v>1.0000000298023224</v>
      </c>
      <c r="G179" s="18">
        <v>195.0</v>
      </c>
      <c r="H179" s="19">
        <v>0.0051282052882015705</v>
      </c>
      <c r="I179" s="8"/>
      <c r="J179" s="8"/>
      <c r="K179" s="20"/>
      <c r="L179" s="18">
        <v>40504.0</v>
      </c>
      <c r="M179" s="18">
        <v>0.0</v>
      </c>
      <c r="N179" s="18">
        <v>25.0</v>
      </c>
      <c r="O179" s="18">
        <v>0.036764707416296005</v>
      </c>
      <c r="P179" s="18">
        <v>0.3333333432674408</v>
      </c>
      <c r="Q179" s="18">
        <v>8.33333358168602</v>
      </c>
      <c r="R179" s="18">
        <v>680.0</v>
      </c>
      <c r="S179" s="19">
        <v>0.012254903092980385</v>
      </c>
      <c r="T179" s="8"/>
      <c r="U179" s="8"/>
      <c r="V179" s="8"/>
      <c r="W179" s="8"/>
      <c r="X179" s="8"/>
      <c r="Y179" s="8"/>
      <c r="Z179" s="8"/>
      <c r="AA179" s="8"/>
      <c r="AB179" s="8"/>
    </row>
    <row r="180" ht="15.75" customHeight="1">
      <c r="A180" s="18">
        <v>40505.0</v>
      </c>
      <c r="B180" s="18">
        <v>1.0</v>
      </c>
      <c r="C180" s="18">
        <v>56.0</v>
      </c>
      <c r="D180" s="18">
        <v>0.09061488509178162</v>
      </c>
      <c r="E180" s="18">
        <v>0.3690476417541504</v>
      </c>
      <c r="F180" s="18">
        <v>20.666667222976685</v>
      </c>
      <c r="G180" s="18">
        <v>618.0</v>
      </c>
      <c r="H180" s="19">
        <v>0.0334412083029747</v>
      </c>
      <c r="I180" s="8"/>
      <c r="J180" s="8"/>
      <c r="K180" s="20"/>
      <c r="L180" s="18">
        <v>40505.0</v>
      </c>
      <c r="M180" s="18">
        <v>0.0</v>
      </c>
      <c r="N180" s="18">
        <v>293.0</v>
      </c>
      <c r="O180" s="18">
        <v>0.09048795700073242</v>
      </c>
      <c r="P180" s="18">
        <v>0.372013658285141</v>
      </c>
      <c r="Q180" s="18">
        <v>109.00000283122063</v>
      </c>
      <c r="R180" s="18">
        <v>3238.0</v>
      </c>
      <c r="S180" s="19">
        <v>0.03366275504231453</v>
      </c>
      <c r="T180" s="8"/>
      <c r="U180" s="8"/>
      <c r="V180" s="8"/>
      <c r="W180" s="8"/>
      <c r="X180" s="8"/>
      <c r="Y180" s="8"/>
      <c r="Z180" s="8"/>
      <c r="AA180" s="8"/>
      <c r="AB180" s="8"/>
    </row>
    <row r="181" ht="15.75" customHeight="1">
      <c r="A181" s="18">
        <v>40601.0</v>
      </c>
      <c r="B181" s="18">
        <v>1.0</v>
      </c>
      <c r="C181" s="18">
        <v>409.0</v>
      </c>
      <c r="D181" s="18">
        <v>0.195413276553154</v>
      </c>
      <c r="E181" s="18">
        <v>0.36729151010513306</v>
      </c>
      <c r="F181" s="18">
        <v>150.22222596406937</v>
      </c>
      <c r="G181" s="18">
        <v>2093.0</v>
      </c>
      <c r="H181" s="19">
        <v>0.07177364081144333</v>
      </c>
      <c r="I181" s="8"/>
      <c r="J181" s="8"/>
      <c r="K181" s="20"/>
      <c r="L181" s="18">
        <v>40601.0</v>
      </c>
      <c r="M181" s="18">
        <v>0.0</v>
      </c>
      <c r="N181" s="18">
        <v>610.0</v>
      </c>
      <c r="O181" s="18">
        <v>0.08680802583694458</v>
      </c>
      <c r="P181" s="18">
        <v>0.3579235076904297</v>
      </c>
      <c r="Q181" s="18">
        <v>218.33333918452263</v>
      </c>
      <c r="R181" s="18">
        <v>7027.0</v>
      </c>
      <c r="S181" s="19">
        <v>0.031070632860064507</v>
      </c>
      <c r="T181" s="8"/>
      <c r="U181" s="8"/>
      <c r="V181" s="8"/>
      <c r="W181" s="8"/>
      <c r="X181" s="8"/>
      <c r="Y181" s="8"/>
      <c r="Z181" s="8"/>
      <c r="AA181" s="8"/>
      <c r="AB181" s="8"/>
    </row>
    <row r="182" ht="15.75" customHeight="1">
      <c r="A182" s="18">
        <v>40602.0</v>
      </c>
      <c r="B182" s="18">
        <v>1.0</v>
      </c>
      <c r="C182" s="18">
        <v>239.0</v>
      </c>
      <c r="D182" s="18">
        <v>0.1922767460346222</v>
      </c>
      <c r="E182" s="18">
        <v>0.375174343585968</v>
      </c>
      <c r="F182" s="18">
        <v>89.6666687130928</v>
      </c>
      <c r="G182" s="18">
        <v>1243.0</v>
      </c>
      <c r="H182" s="19">
        <v>0.07213730365037918</v>
      </c>
      <c r="I182" s="8"/>
      <c r="J182" s="8"/>
      <c r="K182" s="20"/>
      <c r="L182" s="18">
        <v>40602.0</v>
      </c>
      <c r="M182" s="18">
        <v>0.0</v>
      </c>
      <c r="N182" s="18">
        <v>294.0</v>
      </c>
      <c r="O182" s="18">
        <v>0.10027284920215607</v>
      </c>
      <c r="P182" s="18">
        <v>0.36545729637145996</v>
      </c>
      <c r="Q182" s="18">
        <v>107.4444472193718</v>
      </c>
      <c r="R182" s="18">
        <v>2932.0</v>
      </c>
      <c r="S182" s="19">
        <v>0.036645445972681046</v>
      </c>
      <c r="T182" s="8"/>
      <c r="U182" s="8"/>
      <c r="V182" s="8"/>
      <c r="W182" s="8"/>
      <c r="X182" s="8"/>
      <c r="Y182" s="8"/>
      <c r="Z182" s="8"/>
      <c r="AA182" s="8"/>
      <c r="AB182" s="8"/>
    </row>
    <row r="183" ht="15.75" customHeight="1">
      <c r="A183" s="18">
        <v>40603.0</v>
      </c>
      <c r="B183" s="18">
        <v>1.0</v>
      </c>
      <c r="C183" s="18">
        <v>88.0</v>
      </c>
      <c r="D183" s="18">
        <v>0.12188365310430527</v>
      </c>
      <c r="E183" s="18">
        <v>0.3623737394809723</v>
      </c>
      <c r="F183" s="18">
        <v>31.888889610767365</v>
      </c>
      <c r="G183" s="18">
        <v>722.0</v>
      </c>
      <c r="H183" s="19">
        <v>0.04416743665933609</v>
      </c>
      <c r="I183" s="8"/>
      <c r="J183" s="8"/>
      <c r="K183" s="20"/>
      <c r="L183" s="18">
        <v>40603.0</v>
      </c>
      <c r="M183" s="18">
        <v>0.0</v>
      </c>
      <c r="N183" s="18">
        <v>184.0</v>
      </c>
      <c r="O183" s="18">
        <v>0.06476593017578125</v>
      </c>
      <c r="P183" s="18">
        <v>0.34842994809150696</v>
      </c>
      <c r="Q183" s="18">
        <v>64.11111277341843</v>
      </c>
      <c r="R183" s="18">
        <v>2841.0</v>
      </c>
      <c r="S183" s="19">
        <v>0.02256638929247856</v>
      </c>
      <c r="T183" s="8"/>
      <c r="U183" s="8"/>
      <c r="V183" s="8"/>
      <c r="W183" s="8"/>
      <c r="X183" s="8"/>
      <c r="Y183" s="8"/>
      <c r="Z183" s="8"/>
      <c r="AA183" s="8"/>
      <c r="AB183" s="8"/>
    </row>
    <row r="184" ht="15.75" customHeight="1">
      <c r="A184" s="18">
        <v>40701.0</v>
      </c>
      <c r="B184" s="18">
        <v>1.0</v>
      </c>
      <c r="C184" s="18">
        <v>216.0</v>
      </c>
      <c r="D184" s="18">
        <v>0.07154686748981476</v>
      </c>
      <c r="E184" s="18">
        <v>0.3611111342906952</v>
      </c>
      <c r="F184" s="18">
        <v>78.00000190734863</v>
      </c>
      <c r="G184" s="18">
        <v>3019.0</v>
      </c>
      <c r="H184" s="19">
        <v>0.025836370885372162</v>
      </c>
      <c r="I184" s="8"/>
      <c r="J184" s="8"/>
      <c r="K184" s="20"/>
      <c r="L184" s="18">
        <v>40701.0</v>
      </c>
      <c r="M184" s="18">
        <v>0.0</v>
      </c>
      <c r="N184" s="18">
        <v>417.0</v>
      </c>
      <c r="O184" s="18">
        <v>0.02542993053793907</v>
      </c>
      <c r="P184" s="18">
        <v>0.3567812442779541</v>
      </c>
      <c r="Q184" s="18">
        <v>148.77778133749962</v>
      </c>
      <c r="R184" s="18">
        <v>16398.0</v>
      </c>
      <c r="S184" s="19">
        <v>0.009072922170162201</v>
      </c>
      <c r="T184" s="8"/>
      <c r="U184" s="8"/>
      <c r="V184" s="8"/>
      <c r="W184" s="8"/>
      <c r="X184" s="8"/>
      <c r="Y184" s="8"/>
      <c r="Z184" s="8"/>
      <c r="AA184" s="8"/>
      <c r="AB184" s="8"/>
    </row>
    <row r="185" ht="15.75" customHeight="1">
      <c r="A185" s="18">
        <v>40702.0</v>
      </c>
      <c r="B185" s="18">
        <v>1.0</v>
      </c>
      <c r="C185" s="18">
        <v>99.0</v>
      </c>
      <c r="D185" s="18">
        <v>0.054696131497621536</v>
      </c>
      <c r="E185" s="18">
        <v>0.3557800352573395</v>
      </c>
      <c r="F185" s="18">
        <v>35.22222313284874</v>
      </c>
      <c r="G185" s="18">
        <v>1810.0</v>
      </c>
      <c r="H185" s="19">
        <v>0.019459791481494904</v>
      </c>
      <c r="I185" s="8"/>
      <c r="J185" s="8"/>
      <c r="K185" s="20"/>
      <c r="L185" s="18">
        <v>40702.0</v>
      </c>
      <c r="M185" s="18">
        <v>0.0</v>
      </c>
      <c r="N185" s="18">
        <v>241.0</v>
      </c>
      <c r="O185" s="18">
        <v>0.056479960680007935</v>
      </c>
      <c r="P185" s="18">
        <v>0.36560627818107605</v>
      </c>
      <c r="Q185" s="18">
        <v>88.11111322045326</v>
      </c>
      <c r="R185" s="18">
        <v>4267.0</v>
      </c>
      <c r="S185" s="19">
        <v>0.02064942754805088</v>
      </c>
      <c r="T185" s="8"/>
      <c r="U185" s="8"/>
      <c r="V185" s="8"/>
      <c r="W185" s="8"/>
      <c r="X185" s="8"/>
      <c r="Y185" s="8"/>
      <c r="Z185" s="8"/>
      <c r="AA185" s="8"/>
      <c r="AB185" s="8"/>
    </row>
    <row r="186" ht="15.75" customHeight="1">
      <c r="A186" s="18">
        <v>40801.0</v>
      </c>
      <c r="B186" s="18">
        <v>1.0</v>
      </c>
      <c r="C186" s="18">
        <v>497.0</v>
      </c>
      <c r="D186" s="18">
        <v>0.13594092428684235</v>
      </c>
      <c r="E186" s="18">
        <v>0.3693270683288574</v>
      </c>
      <c r="F186" s="18">
        <v>183.5555599629879</v>
      </c>
      <c r="G186" s="18">
        <v>3656.0</v>
      </c>
      <c r="H186" s="19">
        <v>0.050206661224365234</v>
      </c>
      <c r="I186" s="8"/>
      <c r="J186" s="8"/>
      <c r="K186" s="20"/>
      <c r="L186" s="18">
        <v>40801.0</v>
      </c>
      <c r="M186" s="18">
        <v>0.0</v>
      </c>
      <c r="N186" s="18">
        <v>1866.0</v>
      </c>
      <c r="O186" s="18">
        <v>0.15296335518360138</v>
      </c>
      <c r="P186" s="18">
        <v>0.36245089769363403</v>
      </c>
      <c r="Q186" s="18">
        <v>676.3333505392075</v>
      </c>
      <c r="R186" s="18">
        <v>12199.0</v>
      </c>
      <c r="S186" s="19">
        <v>0.05544170364737511</v>
      </c>
      <c r="T186" s="8"/>
      <c r="U186" s="8"/>
      <c r="V186" s="8"/>
      <c r="W186" s="8"/>
      <c r="X186" s="8"/>
      <c r="Y186" s="8"/>
      <c r="Z186" s="8"/>
      <c r="AA186" s="8"/>
      <c r="AB186" s="8"/>
    </row>
    <row r="187" ht="15.75" customHeight="1">
      <c r="A187" s="18">
        <v>40802.0</v>
      </c>
      <c r="B187" s="18">
        <v>1.0</v>
      </c>
      <c r="C187" s="18">
        <v>182.0</v>
      </c>
      <c r="D187" s="18">
        <v>0.2397892028093338</v>
      </c>
      <c r="E187" s="18">
        <v>0.3663003742694855</v>
      </c>
      <c r="F187" s="18">
        <v>66.66666814684868</v>
      </c>
      <c r="G187" s="18">
        <v>759.0</v>
      </c>
      <c r="H187" s="19">
        <v>0.08783487230539322</v>
      </c>
      <c r="I187" s="8"/>
      <c r="J187" s="8"/>
      <c r="K187" s="20"/>
      <c r="L187" s="18">
        <v>40802.0</v>
      </c>
      <c r="M187" s="18">
        <v>0.0</v>
      </c>
      <c r="N187" s="18">
        <v>443.0</v>
      </c>
      <c r="O187" s="18">
        <v>0.1820797324180603</v>
      </c>
      <c r="P187" s="18">
        <v>0.36092302203178406</v>
      </c>
      <c r="Q187" s="18">
        <v>159.88889306783676</v>
      </c>
      <c r="R187" s="18">
        <v>2433.0</v>
      </c>
      <c r="S187" s="19">
        <v>0.06571676582098007</v>
      </c>
      <c r="T187" s="8"/>
      <c r="U187" s="8"/>
      <c r="V187" s="8"/>
      <c r="W187" s="8"/>
      <c r="X187" s="8"/>
      <c r="Y187" s="8"/>
      <c r="Z187" s="8"/>
      <c r="AA187" s="8"/>
      <c r="AB187" s="8"/>
    </row>
    <row r="188" ht="15.75" customHeight="1">
      <c r="A188" s="18">
        <v>40901.0</v>
      </c>
      <c r="B188" s="18">
        <v>1.0</v>
      </c>
      <c r="C188" s="18">
        <v>216.0</v>
      </c>
      <c r="D188" s="18">
        <v>0.09561753273010254</v>
      </c>
      <c r="E188" s="18">
        <v>0.3647119402885437</v>
      </c>
      <c r="F188" s="18">
        <v>78.77777969837189</v>
      </c>
      <c r="G188" s="18">
        <v>2259.0</v>
      </c>
      <c r="H188" s="19">
        <v>0.03487285599112511</v>
      </c>
      <c r="I188" s="8"/>
      <c r="J188" s="8"/>
      <c r="K188" s="20"/>
      <c r="L188" s="18">
        <v>40901.0</v>
      </c>
      <c r="M188" s="18">
        <v>0.0</v>
      </c>
      <c r="N188" s="18">
        <v>1165.0</v>
      </c>
      <c r="O188" s="18">
        <v>0.09379277378320694</v>
      </c>
      <c r="P188" s="18">
        <v>0.3673819899559021</v>
      </c>
      <c r="Q188" s="18">
        <v>428.0000105202198</v>
      </c>
      <c r="R188" s="18">
        <v>12421.0</v>
      </c>
      <c r="S188" s="19">
        <v>0.03445777669548988</v>
      </c>
      <c r="T188" s="8"/>
      <c r="U188" s="8"/>
      <c r="V188" s="8"/>
      <c r="W188" s="8"/>
      <c r="X188" s="8"/>
      <c r="Y188" s="8"/>
      <c r="Z188" s="8"/>
      <c r="AA188" s="8"/>
      <c r="AB188" s="8"/>
    </row>
    <row r="189" ht="15.75" customHeight="1">
      <c r="A189" s="18">
        <v>40902.0</v>
      </c>
      <c r="B189" s="18">
        <v>1.0</v>
      </c>
      <c r="C189" s="18">
        <v>73.0</v>
      </c>
      <c r="D189" s="18">
        <v>0.27137547731399536</v>
      </c>
      <c r="E189" s="18">
        <v>0.4063926935195923</v>
      </c>
      <c r="F189" s="18">
        <v>29.666667073965073</v>
      </c>
      <c r="G189" s="18">
        <v>269.0</v>
      </c>
      <c r="H189" s="19">
        <v>0.11028501391410828</v>
      </c>
      <c r="I189" s="8"/>
      <c r="J189" s="8"/>
      <c r="K189" s="20"/>
      <c r="L189" s="18">
        <v>40902.0</v>
      </c>
      <c r="M189" s="18">
        <v>0.0</v>
      </c>
      <c r="N189" s="18">
        <v>78.0</v>
      </c>
      <c r="O189" s="18">
        <v>0.07027027010917664</v>
      </c>
      <c r="P189" s="18">
        <v>0.37321937084198</v>
      </c>
      <c r="Q189" s="18">
        <v>29.11111170053482</v>
      </c>
      <c r="R189" s="18">
        <v>1110.0</v>
      </c>
      <c r="S189" s="19">
        <v>0.0262262262403965</v>
      </c>
      <c r="T189" s="8"/>
      <c r="U189" s="8"/>
      <c r="V189" s="8"/>
      <c r="W189" s="8"/>
      <c r="X189" s="8"/>
      <c r="Y189" s="8"/>
      <c r="Z189" s="8"/>
      <c r="AA189" s="8"/>
      <c r="AB189" s="8"/>
    </row>
    <row r="190" ht="15.75" customHeight="1">
      <c r="A190" s="18">
        <v>40903.0</v>
      </c>
      <c r="B190" s="18">
        <v>1.0</v>
      </c>
      <c r="C190" s="18">
        <v>66.0</v>
      </c>
      <c r="D190" s="18">
        <v>0.3113207519054413</v>
      </c>
      <c r="E190" s="18">
        <v>0.37542086839675903</v>
      </c>
      <c r="F190" s="18">
        <v>24.777778297662735</v>
      </c>
      <c r="G190" s="18">
        <v>212.0</v>
      </c>
      <c r="H190" s="19">
        <v>0.11687630414962769</v>
      </c>
      <c r="I190" s="8"/>
      <c r="J190" s="8"/>
      <c r="K190" s="20"/>
      <c r="L190" s="18">
        <v>40903.0</v>
      </c>
      <c r="M190" s="18">
        <v>0.0</v>
      </c>
      <c r="N190" s="18">
        <v>815.0</v>
      </c>
      <c r="O190" s="18">
        <v>0.38298872113227844</v>
      </c>
      <c r="P190" s="18">
        <v>0.38268575072288513</v>
      </c>
      <c r="Q190" s="18">
        <v>311.88889649510384</v>
      </c>
      <c r="R190" s="18">
        <v>2128.0</v>
      </c>
      <c r="S190" s="19">
        <v>0.146564319729805</v>
      </c>
      <c r="T190" s="8"/>
      <c r="U190" s="8"/>
      <c r="V190" s="8"/>
      <c r="W190" s="8"/>
      <c r="X190" s="8"/>
      <c r="Y190" s="8"/>
      <c r="Z190" s="8"/>
      <c r="AA190" s="8"/>
      <c r="AB190" s="8"/>
    </row>
    <row r="191" ht="15.75" customHeight="1">
      <c r="A191" s="18">
        <v>41001.0</v>
      </c>
      <c r="B191" s="18">
        <v>1.0</v>
      </c>
      <c r="C191" s="18">
        <v>1331.0</v>
      </c>
      <c r="D191" s="18">
        <v>0.3826912045478821</v>
      </c>
      <c r="E191" s="18">
        <v>0.359128475189209</v>
      </c>
      <c r="F191" s="18">
        <v>478.000011742115</v>
      </c>
      <c r="G191" s="18">
        <v>3478.0</v>
      </c>
      <c r="H191" s="19">
        <v>0.13743530213832855</v>
      </c>
      <c r="I191" s="8"/>
      <c r="J191" s="8"/>
      <c r="K191" s="20"/>
      <c r="L191" s="18">
        <v>41001.0</v>
      </c>
      <c r="M191" s="18">
        <v>0.0</v>
      </c>
      <c r="N191" s="18">
        <v>2554.0</v>
      </c>
      <c r="O191" s="18">
        <v>0.29505544900894165</v>
      </c>
      <c r="P191" s="18">
        <v>0.3626120388507843</v>
      </c>
      <c r="Q191" s="18">
        <v>926.1111342608929</v>
      </c>
      <c r="R191" s="18">
        <v>8656.0</v>
      </c>
      <c r="S191" s="19">
        <v>0.10699065774679184</v>
      </c>
      <c r="T191" s="8"/>
      <c r="U191" s="8"/>
      <c r="V191" s="8"/>
      <c r="W191" s="8"/>
      <c r="X191" s="8"/>
      <c r="Y191" s="8"/>
      <c r="Z191" s="8"/>
      <c r="AA191" s="8"/>
      <c r="AB191" s="8"/>
    </row>
    <row r="192" ht="15.75" customHeight="1">
      <c r="A192" s="18">
        <v>41101.0</v>
      </c>
      <c r="B192" s="18">
        <v>1.0</v>
      </c>
      <c r="C192" s="18">
        <v>226.0</v>
      </c>
      <c r="D192" s="18">
        <v>0.18051117658615112</v>
      </c>
      <c r="E192" s="18">
        <v>0.37856441736221313</v>
      </c>
      <c r="F192" s="18">
        <v>85.55555781722069</v>
      </c>
      <c r="G192" s="18">
        <v>1252.0</v>
      </c>
      <c r="H192" s="19">
        <v>0.06833510845899582</v>
      </c>
      <c r="I192" s="8"/>
      <c r="J192" s="8"/>
      <c r="K192" s="20"/>
      <c r="L192" s="18">
        <v>41101.0</v>
      </c>
      <c r="M192" s="18">
        <v>0.0</v>
      </c>
      <c r="N192" s="18">
        <v>411.0</v>
      </c>
      <c r="O192" s="18">
        <v>0.10090842097997665</v>
      </c>
      <c r="P192" s="18">
        <v>0.35414978861808777</v>
      </c>
      <c r="Q192" s="18">
        <v>145.55555936694145</v>
      </c>
      <c r="R192" s="18">
        <v>4073.0</v>
      </c>
      <c r="S192" s="19">
        <v>0.03573669493198395</v>
      </c>
      <c r="T192" s="8"/>
      <c r="U192" s="8"/>
      <c r="V192" s="8"/>
      <c r="W192" s="8"/>
      <c r="X192" s="8"/>
      <c r="Y192" s="8"/>
      <c r="Z192" s="8"/>
      <c r="AA192" s="8"/>
      <c r="AB192" s="8"/>
    </row>
    <row r="193" ht="15.75" customHeight="1">
      <c r="A193" s="18">
        <v>41201.0</v>
      </c>
      <c r="B193" s="18">
        <v>1.0</v>
      </c>
      <c r="C193" s="18">
        <v>787.0</v>
      </c>
      <c r="D193" s="18">
        <v>0.33907797932624817</v>
      </c>
      <c r="E193" s="18">
        <v>0.37950021028518677</v>
      </c>
      <c r="F193" s="18">
        <v>298.6666740179062</v>
      </c>
      <c r="G193" s="18">
        <v>2321.0</v>
      </c>
      <c r="H193" s="19">
        <v>0.12868016958236694</v>
      </c>
      <c r="I193" s="8"/>
      <c r="J193" s="8"/>
      <c r="K193" s="20"/>
      <c r="L193" s="18">
        <v>41201.0</v>
      </c>
      <c r="M193" s="18">
        <v>0.0</v>
      </c>
      <c r="N193" s="18">
        <v>1161.0</v>
      </c>
      <c r="O193" s="18">
        <v>0.29200202226638794</v>
      </c>
      <c r="P193" s="18">
        <v>0.3679777979850769</v>
      </c>
      <c r="Q193" s="18">
        <v>427.222232401371</v>
      </c>
      <c r="R193" s="18">
        <v>3976.0</v>
      </c>
      <c r="S193" s="19">
        <v>0.10745026171207428</v>
      </c>
      <c r="T193" s="8"/>
      <c r="U193" s="8"/>
      <c r="V193" s="8"/>
      <c r="W193" s="8"/>
      <c r="X193" s="8"/>
      <c r="Y193" s="8"/>
      <c r="Z193" s="8"/>
      <c r="AA193" s="8"/>
      <c r="AB193" s="8"/>
    </row>
    <row r="194" ht="15.75" customHeight="1">
      <c r="A194" s="18">
        <v>41202.0</v>
      </c>
      <c r="B194" s="18">
        <v>1.0</v>
      </c>
      <c r="C194" s="18">
        <v>223.0</v>
      </c>
      <c r="D194" s="18">
        <v>0.2359788417816162</v>
      </c>
      <c r="E194" s="18">
        <v>0.3692077696323395</v>
      </c>
      <c r="F194" s="18">
        <v>82.33333539962769</v>
      </c>
      <c r="G194" s="18">
        <v>945.0</v>
      </c>
      <c r="H194" s="19">
        <v>0.08712521940469742</v>
      </c>
      <c r="I194" s="8"/>
      <c r="J194" s="8"/>
      <c r="K194" s="20"/>
      <c r="L194" s="18">
        <v>41202.0</v>
      </c>
      <c r="M194" s="18">
        <v>0.0</v>
      </c>
      <c r="N194" s="18">
        <v>445.0</v>
      </c>
      <c r="O194" s="18">
        <v>0.21140141785144806</v>
      </c>
      <c r="P194" s="18">
        <v>0.35555556416511536</v>
      </c>
      <c r="Q194" s="18">
        <v>158.2222262918949</v>
      </c>
      <c r="R194" s="18">
        <v>2105.0</v>
      </c>
      <c r="S194" s="19">
        <v>0.07516495138406754</v>
      </c>
      <c r="T194" s="8"/>
      <c r="U194" s="8"/>
      <c r="V194" s="8"/>
      <c r="W194" s="8"/>
      <c r="X194" s="8"/>
      <c r="Y194" s="8"/>
      <c r="Z194" s="8"/>
      <c r="AA194" s="8"/>
      <c r="AB194" s="8"/>
    </row>
    <row r="195" ht="15.75" customHeight="1">
      <c r="A195" s="18">
        <v>41301.0</v>
      </c>
      <c r="B195" s="18">
        <v>1.0</v>
      </c>
      <c r="C195" s="18">
        <v>733.0</v>
      </c>
      <c r="D195" s="18">
        <v>0.4108744263648987</v>
      </c>
      <c r="E195" s="18">
        <v>0.3721388578414917</v>
      </c>
      <c r="F195" s="18">
        <v>272.77778455615044</v>
      </c>
      <c r="G195" s="18">
        <v>1784.0</v>
      </c>
      <c r="H195" s="19">
        <v>0.15290233492851257</v>
      </c>
      <c r="I195" s="8"/>
      <c r="J195" s="8"/>
      <c r="K195" s="20"/>
      <c r="L195" s="18">
        <v>41301.0</v>
      </c>
      <c r="M195" s="18">
        <v>0.0</v>
      </c>
      <c r="N195" s="18">
        <v>1714.0</v>
      </c>
      <c r="O195" s="18">
        <v>0.3541322350502014</v>
      </c>
      <c r="P195" s="18">
        <v>0.3717101216316223</v>
      </c>
      <c r="Q195" s="18">
        <v>637.1111271977425</v>
      </c>
      <c r="R195" s="18">
        <v>4840.0</v>
      </c>
      <c r="S195" s="19">
        <v>0.13163453340530396</v>
      </c>
      <c r="T195" s="8"/>
      <c r="U195" s="8"/>
      <c r="V195" s="8"/>
      <c r="W195" s="8"/>
      <c r="X195" s="8"/>
      <c r="Y195" s="8"/>
      <c r="Z195" s="8"/>
      <c r="AA195" s="8"/>
      <c r="AB195" s="8"/>
    </row>
    <row r="196" ht="15.75" customHeight="1">
      <c r="A196" s="18">
        <v>41401.0</v>
      </c>
      <c r="B196" s="18">
        <v>1.0</v>
      </c>
      <c r="C196" s="18">
        <v>798.0</v>
      </c>
      <c r="D196" s="18">
        <v>0.22390572726726532</v>
      </c>
      <c r="E196" s="18">
        <v>0.37607908248901367</v>
      </c>
      <c r="F196" s="18">
        <v>300.1111184358597</v>
      </c>
      <c r="G196" s="18">
        <v>3564.0</v>
      </c>
      <c r="H196" s="19">
        <v>0.08420626074075699</v>
      </c>
      <c r="I196" s="8"/>
      <c r="J196" s="8"/>
      <c r="K196" s="20"/>
      <c r="L196" s="18">
        <v>41401.0</v>
      </c>
      <c r="M196" s="18">
        <v>0.0</v>
      </c>
      <c r="N196" s="18">
        <v>1733.0</v>
      </c>
      <c r="O196" s="18">
        <v>0.1750681847333908</v>
      </c>
      <c r="P196" s="18">
        <v>0.3768673539161682</v>
      </c>
      <c r="Q196" s="18">
        <v>653.1111269593239</v>
      </c>
      <c r="R196" s="18">
        <v>9899.0</v>
      </c>
      <c r="S196" s="19">
        <v>0.06597748398780823</v>
      </c>
      <c r="T196" s="8"/>
      <c r="U196" s="8"/>
      <c r="V196" s="8"/>
      <c r="W196" s="8"/>
      <c r="X196" s="8"/>
      <c r="Y196" s="8"/>
      <c r="Z196" s="8"/>
      <c r="AA196" s="8"/>
      <c r="AB196" s="8"/>
    </row>
    <row r="197" ht="15.75" customHeight="1">
      <c r="A197" s="18">
        <v>41501.0</v>
      </c>
      <c r="B197" s="18">
        <v>1.0</v>
      </c>
      <c r="C197" s="18">
        <v>102.0</v>
      </c>
      <c r="D197" s="18">
        <v>0.43220338225364685</v>
      </c>
      <c r="E197" s="18">
        <v>0.38453158736228943</v>
      </c>
      <c r="F197" s="18">
        <v>39.222223192453384</v>
      </c>
      <c r="G197" s="18">
        <v>236.0</v>
      </c>
      <c r="H197" s="19">
        <v>0.1661958545446396</v>
      </c>
      <c r="I197" s="8"/>
      <c r="J197" s="8"/>
      <c r="K197" s="20"/>
      <c r="L197" s="18">
        <v>41501.0</v>
      </c>
      <c r="M197" s="18">
        <v>0.0</v>
      </c>
      <c r="N197" s="18">
        <v>295.0</v>
      </c>
      <c r="O197" s="18">
        <v>0.28836753964424133</v>
      </c>
      <c r="P197" s="18">
        <v>0.4030131995677948</v>
      </c>
      <c r="Q197" s="18">
        <v>118.8888920545578</v>
      </c>
      <c r="R197" s="18">
        <v>1023.0</v>
      </c>
      <c r="S197" s="19">
        <v>0.11621592193841934</v>
      </c>
      <c r="T197" s="8"/>
      <c r="U197" s="8"/>
      <c r="V197" s="8"/>
      <c r="W197" s="8"/>
      <c r="X197" s="8"/>
      <c r="Y197" s="8"/>
      <c r="Z197" s="8"/>
      <c r="AA197" s="8"/>
      <c r="AB197" s="8"/>
    </row>
    <row r="198" ht="15.75" customHeight="1">
      <c r="A198" s="18">
        <v>41502.0</v>
      </c>
      <c r="B198" s="18">
        <v>1.0</v>
      </c>
      <c r="C198" s="18">
        <v>28.0</v>
      </c>
      <c r="D198" s="18">
        <v>0.22580644488334656</v>
      </c>
      <c r="E198" s="18">
        <v>0.3730158805847168</v>
      </c>
      <c r="F198" s="18">
        <v>10.44444465637207</v>
      </c>
      <c r="G198" s="18">
        <v>124.0</v>
      </c>
      <c r="H198" s="19">
        <v>0.08422938734292984</v>
      </c>
      <c r="I198" s="8"/>
      <c r="J198" s="8"/>
      <c r="K198" s="20"/>
      <c r="L198" s="18">
        <v>41502.0</v>
      </c>
      <c r="M198" s="18">
        <v>0.0</v>
      </c>
      <c r="N198" s="18">
        <v>117.0</v>
      </c>
      <c r="O198" s="18">
        <v>0.12277019768953323</v>
      </c>
      <c r="P198" s="18">
        <v>0.36467236280441284</v>
      </c>
      <c r="Q198" s="18">
        <v>42.666667610406876</v>
      </c>
      <c r="R198" s="18">
        <v>953.0</v>
      </c>
      <c r="S198" s="19">
        <v>0.044770896434783936</v>
      </c>
      <c r="T198" s="8"/>
      <c r="U198" s="8"/>
      <c r="V198" s="8"/>
      <c r="W198" s="8"/>
      <c r="X198" s="8"/>
      <c r="Y198" s="8"/>
      <c r="Z198" s="8"/>
      <c r="AA198" s="8"/>
      <c r="AB198" s="8"/>
    </row>
    <row r="199" ht="15.75" customHeight="1">
      <c r="A199" s="18">
        <v>41503.0</v>
      </c>
      <c r="B199" s="18">
        <v>1.0</v>
      </c>
      <c r="C199" s="18">
        <v>63.0</v>
      </c>
      <c r="D199" s="18">
        <v>0.3181818127632141</v>
      </c>
      <c r="E199" s="18">
        <v>0.380952388048172</v>
      </c>
      <c r="F199" s="18">
        <v>24.000000447034836</v>
      </c>
      <c r="G199" s="18">
        <v>198.0</v>
      </c>
      <c r="H199" s="19">
        <v>0.12121212482452393</v>
      </c>
      <c r="I199" s="8"/>
      <c r="J199" s="8"/>
      <c r="K199" s="20"/>
      <c r="L199" s="18">
        <v>41503.0</v>
      </c>
      <c r="M199" s="18">
        <v>0.0</v>
      </c>
      <c r="N199" s="18">
        <v>146.0</v>
      </c>
      <c r="O199" s="18">
        <v>0.1585233509540558</v>
      </c>
      <c r="P199" s="18">
        <v>0.36225268244743347</v>
      </c>
      <c r="Q199" s="18">
        <v>52.888890236616135</v>
      </c>
      <c r="R199" s="18">
        <v>921.0</v>
      </c>
      <c r="S199" s="19">
        <v>0.05742551013827324</v>
      </c>
      <c r="T199" s="8"/>
      <c r="U199" s="8"/>
      <c r="V199" s="8"/>
      <c r="W199" s="8"/>
      <c r="X199" s="8"/>
      <c r="Y199" s="8"/>
      <c r="Z199" s="8"/>
      <c r="AA199" s="8"/>
      <c r="AB199" s="8"/>
    </row>
    <row r="200" ht="15.75" customHeight="1">
      <c r="A200" s="18">
        <v>41601.0</v>
      </c>
      <c r="B200" s="18">
        <v>1.0</v>
      </c>
      <c r="C200" s="18">
        <v>788.0</v>
      </c>
      <c r="D200" s="18">
        <v>0.34395459294319153</v>
      </c>
      <c r="E200" s="18">
        <v>0.3723914325237274</v>
      </c>
      <c r="F200" s="18">
        <v>293.4444516301155</v>
      </c>
      <c r="G200" s="18">
        <v>2291.0</v>
      </c>
      <c r="H200" s="19">
        <v>0.12808574736118317</v>
      </c>
      <c r="I200" s="8"/>
      <c r="J200" s="8"/>
      <c r="K200" s="20"/>
      <c r="L200" s="18">
        <v>41601.0</v>
      </c>
      <c r="M200" s="18">
        <v>0.0</v>
      </c>
      <c r="N200" s="18">
        <v>1095.0</v>
      </c>
      <c r="O200" s="18">
        <v>0.29666757583618164</v>
      </c>
      <c r="P200" s="18">
        <v>0.35910704731941223</v>
      </c>
      <c r="Q200" s="18">
        <v>393.22223222255707</v>
      </c>
      <c r="R200" s="18">
        <v>3691.0</v>
      </c>
      <c r="S200" s="19">
        <v>0.1065354198217392</v>
      </c>
      <c r="T200" s="8"/>
      <c r="U200" s="8"/>
      <c r="V200" s="8"/>
      <c r="W200" s="8"/>
      <c r="X200" s="8"/>
      <c r="Y200" s="8"/>
      <c r="Z200" s="8"/>
      <c r="AA200" s="8"/>
      <c r="AB200" s="8"/>
    </row>
    <row r="201" ht="15.75" customHeight="1">
      <c r="A201" s="18">
        <v>50101.0</v>
      </c>
      <c r="B201" s="18">
        <v>1.0</v>
      </c>
      <c r="C201" s="18">
        <v>1464.0</v>
      </c>
      <c r="D201" s="18">
        <v>0.042554426938295364</v>
      </c>
      <c r="E201" s="18">
        <v>0.37727686762809753</v>
      </c>
      <c r="F201" s="18">
        <v>552.333347350359</v>
      </c>
      <c r="G201" s="18">
        <v>34403.0</v>
      </c>
      <c r="H201" s="19">
        <v>0.016054801642894745</v>
      </c>
      <c r="I201" s="8"/>
      <c r="J201" s="8"/>
      <c r="K201" s="20"/>
      <c r="L201" s="18">
        <v>50101.0</v>
      </c>
      <c r="M201" s="18">
        <v>0.0</v>
      </c>
      <c r="N201" s="18">
        <v>5862.0</v>
      </c>
      <c r="O201" s="18">
        <v>0.03263774514198303</v>
      </c>
      <c r="P201" s="18">
        <v>0.36193564534187317</v>
      </c>
      <c r="Q201" s="18">
        <v>2121.6667211055756</v>
      </c>
      <c r="R201" s="18">
        <v>179608.0</v>
      </c>
      <c r="S201" s="19">
        <v>0.011812763288617134</v>
      </c>
      <c r="T201" s="8"/>
      <c r="U201" s="8"/>
      <c r="V201" s="8"/>
      <c r="W201" s="8"/>
      <c r="X201" s="8"/>
      <c r="Y201" s="8"/>
      <c r="Z201" s="8"/>
      <c r="AA201" s="8"/>
      <c r="AB201" s="8"/>
    </row>
    <row r="202" ht="15.75" customHeight="1">
      <c r="A202" s="18">
        <v>50102.0</v>
      </c>
      <c r="B202" s="18">
        <v>1.0</v>
      </c>
      <c r="C202" s="18">
        <v>2381.0</v>
      </c>
      <c r="D202" s="18">
        <v>0.4504351019859314</v>
      </c>
      <c r="E202" s="18">
        <v>0.38933223485946655</v>
      </c>
      <c r="F202" s="18">
        <v>927.0000233054161</v>
      </c>
      <c r="G202" s="18">
        <v>5286.0</v>
      </c>
      <c r="H202" s="19">
        <v>0.17536890506744385</v>
      </c>
      <c r="I202" s="8"/>
      <c r="J202" s="8"/>
      <c r="K202" s="20"/>
      <c r="L202" s="18">
        <v>50102.0</v>
      </c>
      <c r="M202" s="18">
        <v>0.0</v>
      </c>
      <c r="N202" s="18">
        <v>7618.0</v>
      </c>
      <c r="O202" s="18">
        <v>0.32282397150993347</v>
      </c>
      <c r="P202" s="18">
        <v>0.3874303698539734</v>
      </c>
      <c r="Q202" s="18">
        <v>2951.44451802969</v>
      </c>
      <c r="R202" s="18">
        <v>23598.0</v>
      </c>
      <c r="S202" s="19">
        <v>0.12507180869579315</v>
      </c>
      <c r="T202" s="8"/>
      <c r="U202" s="8"/>
      <c r="V202" s="8"/>
      <c r="W202" s="8"/>
      <c r="X202" s="8"/>
      <c r="Y202" s="8"/>
      <c r="Z202" s="8"/>
      <c r="AA202" s="8"/>
      <c r="AB202" s="8"/>
    </row>
    <row r="203" ht="15.75" customHeight="1">
      <c r="A203" s="18">
        <v>50103.0</v>
      </c>
      <c r="B203" s="18">
        <v>1.0</v>
      </c>
      <c r="C203" s="18">
        <v>443.0</v>
      </c>
      <c r="D203" s="18">
        <v>0.12163646519184113</v>
      </c>
      <c r="E203" s="18">
        <v>0.3566591441631317</v>
      </c>
      <c r="F203" s="18">
        <v>158.0000041127205</v>
      </c>
      <c r="G203" s="18">
        <v>3642.0</v>
      </c>
      <c r="H203" s="19">
        <v>0.043382756412029266</v>
      </c>
      <c r="I203" s="8"/>
      <c r="J203" s="8"/>
      <c r="K203" s="20"/>
      <c r="L203" s="18">
        <v>50103.0</v>
      </c>
      <c r="M203" s="18">
        <v>0.0</v>
      </c>
      <c r="N203" s="18">
        <v>606.0</v>
      </c>
      <c r="O203" s="18">
        <v>0.0712103396654129</v>
      </c>
      <c r="P203" s="18">
        <v>0.36010268330574036</v>
      </c>
      <c r="Q203" s="18">
        <v>218.22222754359245</v>
      </c>
      <c r="R203" s="18">
        <v>8510.0</v>
      </c>
      <c r="S203" s="19">
        <v>0.025643033906817436</v>
      </c>
      <c r="T203" s="8"/>
      <c r="U203" s="8"/>
      <c r="V203" s="8"/>
      <c r="W203" s="8"/>
      <c r="X203" s="8"/>
      <c r="Y203" s="8"/>
      <c r="Z203" s="8"/>
      <c r="AA203" s="8"/>
      <c r="AB203" s="8"/>
    </row>
    <row r="204" ht="15.75" customHeight="1">
      <c r="A204" s="18">
        <v>50104.0</v>
      </c>
      <c r="B204" s="18">
        <v>1.0</v>
      </c>
      <c r="C204" s="18">
        <v>306.0</v>
      </c>
      <c r="D204" s="18">
        <v>0.41689372062683105</v>
      </c>
      <c r="E204" s="18">
        <v>0.3965141773223877</v>
      </c>
      <c r="F204" s="18">
        <v>121.33333629369736</v>
      </c>
      <c r="G204" s="18">
        <v>734.0</v>
      </c>
      <c r="H204" s="19">
        <v>0.1653042733669281</v>
      </c>
      <c r="I204" s="8"/>
      <c r="J204" s="8"/>
      <c r="K204" s="20"/>
      <c r="L204" s="18">
        <v>50104.0</v>
      </c>
      <c r="M204" s="18">
        <v>0.0</v>
      </c>
      <c r="N204" s="18">
        <v>834.0</v>
      </c>
      <c r="O204" s="18">
        <v>0.3499790132045746</v>
      </c>
      <c r="P204" s="18">
        <v>0.36850520968437195</v>
      </c>
      <c r="Q204" s="18">
        <v>307.33334070444107</v>
      </c>
      <c r="R204" s="18">
        <v>2383.0</v>
      </c>
      <c r="S204" s="19">
        <v>0.12896908819675446</v>
      </c>
      <c r="T204" s="8"/>
      <c r="U204" s="8"/>
      <c r="V204" s="8"/>
      <c r="W204" s="8"/>
      <c r="X204" s="8"/>
      <c r="Y204" s="8"/>
      <c r="Z204" s="8"/>
      <c r="AA204" s="8"/>
      <c r="AB204" s="8"/>
    </row>
    <row r="205" ht="15.75" customHeight="1">
      <c r="A205" s="18">
        <v>50201.0</v>
      </c>
      <c r="B205" s="18">
        <v>1.0</v>
      </c>
      <c r="C205" s="18">
        <v>1039.0</v>
      </c>
      <c r="D205" s="18">
        <v>0.26007509231567383</v>
      </c>
      <c r="E205" s="18">
        <v>0.3752540051937103</v>
      </c>
      <c r="F205" s="18">
        <v>389.8888987004757</v>
      </c>
      <c r="G205" s="18">
        <v>3995.0</v>
      </c>
      <c r="H205" s="19">
        <v>0.09759421646595001</v>
      </c>
      <c r="I205" s="8"/>
      <c r="J205" s="8"/>
      <c r="K205" s="20"/>
      <c r="L205" s="18">
        <v>50201.0</v>
      </c>
      <c r="M205" s="18">
        <v>0.0</v>
      </c>
      <c r="N205" s="18">
        <v>2577.0</v>
      </c>
      <c r="O205" s="18">
        <v>0.142108753323555</v>
      </c>
      <c r="P205" s="18">
        <v>0.3689475357532501</v>
      </c>
      <c r="Q205" s="18">
        <v>950.7778009474277</v>
      </c>
      <c r="R205" s="18">
        <v>18134.0</v>
      </c>
      <c r="S205" s="19">
        <v>0.05243067443370819</v>
      </c>
      <c r="T205" s="8"/>
      <c r="U205" s="8"/>
      <c r="V205" s="8"/>
      <c r="W205" s="8"/>
      <c r="X205" s="8"/>
      <c r="Y205" s="8"/>
      <c r="Z205" s="8"/>
      <c r="AA205" s="8"/>
      <c r="AB205" s="8"/>
    </row>
    <row r="206" ht="15.75" customHeight="1">
      <c r="A206" s="18">
        <v>50202.0</v>
      </c>
      <c r="B206" s="18">
        <v>1.0</v>
      </c>
      <c r="C206" s="18">
        <v>797.0</v>
      </c>
      <c r="D206" s="18">
        <v>0.2309475541114807</v>
      </c>
      <c r="E206" s="18">
        <v>0.3704168498516083</v>
      </c>
      <c r="F206" s="18">
        <v>295.2222297489643</v>
      </c>
      <c r="G206" s="18">
        <v>3451.0</v>
      </c>
      <c r="H206" s="19">
        <v>0.08554686605930328</v>
      </c>
      <c r="I206" s="8"/>
      <c r="J206" s="8"/>
      <c r="K206" s="20"/>
      <c r="L206" s="18">
        <v>50202.0</v>
      </c>
      <c r="M206" s="18">
        <v>0.0</v>
      </c>
      <c r="N206" s="18">
        <v>1392.0</v>
      </c>
      <c r="O206" s="18">
        <v>0.11420132964849472</v>
      </c>
      <c r="P206" s="18">
        <v>0.3722860813140869</v>
      </c>
      <c r="Q206" s="18">
        <v>518.222235172987</v>
      </c>
      <c r="R206" s="18">
        <v>12189.0</v>
      </c>
      <c r="S206" s="19">
        <v>0.04251556470990181</v>
      </c>
      <c r="T206" s="8"/>
      <c r="U206" s="8"/>
      <c r="V206" s="8"/>
      <c r="W206" s="8"/>
      <c r="X206" s="8"/>
      <c r="Y206" s="8"/>
      <c r="Z206" s="8"/>
      <c r="AA206" s="8"/>
      <c r="AB206" s="8"/>
    </row>
    <row r="207" ht="15.75" customHeight="1">
      <c r="A207" s="18">
        <v>50203.0</v>
      </c>
      <c r="B207" s="18">
        <v>1.0</v>
      </c>
      <c r="C207" s="18">
        <v>627.0</v>
      </c>
      <c r="D207" s="18">
        <v>0.09982486814260483</v>
      </c>
      <c r="E207" s="18">
        <v>0.379585325717926</v>
      </c>
      <c r="F207" s="18">
        <v>238.0000061094761</v>
      </c>
      <c r="G207" s="18">
        <v>6281.0</v>
      </c>
      <c r="H207" s="19">
        <v>0.03789205476641655</v>
      </c>
      <c r="I207" s="8"/>
      <c r="J207" s="8"/>
      <c r="K207" s="20"/>
      <c r="L207" s="18">
        <v>50203.0</v>
      </c>
      <c r="M207" s="18">
        <v>0.0</v>
      </c>
      <c r="N207" s="18">
        <v>2217.0</v>
      </c>
      <c r="O207" s="18">
        <v>0.06375636160373688</v>
      </c>
      <c r="P207" s="18">
        <v>0.3699694275856018</v>
      </c>
      <c r="Q207" s="18">
        <v>820.2222428321838</v>
      </c>
      <c r="R207" s="18">
        <v>34773.0</v>
      </c>
      <c r="S207" s="19">
        <v>0.0235879048705101</v>
      </c>
      <c r="T207" s="8"/>
      <c r="U207" s="8"/>
      <c r="V207" s="8"/>
      <c r="W207" s="8"/>
      <c r="X207" s="8"/>
      <c r="Y207" s="8"/>
      <c r="Z207" s="8"/>
      <c r="AA207" s="8"/>
      <c r="AB207" s="8"/>
    </row>
    <row r="208" ht="15.75" customHeight="1">
      <c r="A208" s="18">
        <v>50204.0</v>
      </c>
      <c r="B208" s="18">
        <v>1.0</v>
      </c>
      <c r="C208" s="18">
        <v>543.0</v>
      </c>
      <c r="D208" s="18">
        <v>0.4750656187534332</v>
      </c>
      <c r="E208" s="18">
        <v>0.3920605778694153</v>
      </c>
      <c r="F208" s="18">
        <v>212.88889452815056</v>
      </c>
      <c r="G208" s="18">
        <v>1143.0</v>
      </c>
      <c r="H208" s="19">
        <v>0.18625450134277344</v>
      </c>
      <c r="I208" s="8"/>
      <c r="J208" s="8"/>
      <c r="K208" s="20"/>
      <c r="L208" s="18">
        <v>50204.0</v>
      </c>
      <c r="M208" s="18">
        <v>0.0</v>
      </c>
      <c r="N208" s="18">
        <v>1568.0</v>
      </c>
      <c r="O208" s="18">
        <v>0.22209632396697998</v>
      </c>
      <c r="P208" s="18">
        <v>0.3768424093723297</v>
      </c>
      <c r="Q208" s="18">
        <v>590.8889041244984</v>
      </c>
      <c r="R208" s="18">
        <v>7060.0</v>
      </c>
      <c r="S208" s="19">
        <v>0.08369531482458115</v>
      </c>
      <c r="T208" s="8"/>
      <c r="U208" s="8"/>
      <c r="V208" s="8"/>
      <c r="W208" s="8"/>
      <c r="X208" s="8"/>
      <c r="Y208" s="8"/>
      <c r="Z208" s="8"/>
      <c r="AA208" s="8"/>
      <c r="AB208" s="8"/>
    </row>
    <row r="209" ht="15.75" customHeight="1">
      <c r="A209" s="18">
        <v>50301.0</v>
      </c>
      <c r="B209" s="18">
        <v>1.0</v>
      </c>
      <c r="C209" s="18">
        <v>2330.0</v>
      </c>
      <c r="D209" s="18">
        <v>0.2679084837436676</v>
      </c>
      <c r="E209" s="18">
        <v>0.38650453090667725</v>
      </c>
      <c r="F209" s="18">
        <v>900.5555776655674</v>
      </c>
      <c r="G209" s="18">
        <v>8697.0</v>
      </c>
      <c r="H209" s="19">
        <v>0.1035478413105011</v>
      </c>
      <c r="I209" s="8"/>
      <c r="J209" s="8"/>
      <c r="K209" s="20"/>
      <c r="L209" s="18">
        <v>50301.0</v>
      </c>
      <c r="M209" s="18">
        <v>0.0</v>
      </c>
      <c r="N209" s="18">
        <v>4279.0</v>
      </c>
      <c r="O209" s="18">
        <v>0.18555940687656403</v>
      </c>
      <c r="P209" s="18">
        <v>0.3753473162651062</v>
      </c>
      <c r="Q209" s="18">
        <v>1606.1111518740654</v>
      </c>
      <c r="R209" s="18">
        <v>23060.0</v>
      </c>
      <c r="S209" s="19">
        <v>0.06964922696352005</v>
      </c>
      <c r="T209" s="8"/>
      <c r="U209" s="8"/>
      <c r="V209" s="8"/>
      <c r="W209" s="8"/>
      <c r="X209" s="8"/>
      <c r="Y209" s="8"/>
      <c r="Z209" s="8"/>
      <c r="AA209" s="8"/>
      <c r="AB209" s="8"/>
    </row>
    <row r="210" ht="15.75" customHeight="1">
      <c r="A210" s="18">
        <v>50302.0</v>
      </c>
      <c r="B210" s="18">
        <v>1.0</v>
      </c>
      <c r="C210" s="18">
        <v>758.0</v>
      </c>
      <c r="D210" s="18">
        <v>0.24124760925769806</v>
      </c>
      <c r="E210" s="18">
        <v>0.3778950572013855</v>
      </c>
      <c r="F210" s="18">
        <v>286.444451212883</v>
      </c>
      <c r="G210" s="18">
        <v>3142.0</v>
      </c>
      <c r="H210" s="19">
        <v>0.09116628021001816</v>
      </c>
      <c r="I210" s="8"/>
      <c r="J210" s="8"/>
      <c r="K210" s="20"/>
      <c r="L210" s="18">
        <v>50302.0</v>
      </c>
      <c r="M210" s="18">
        <v>0.0</v>
      </c>
      <c r="N210" s="18">
        <v>1036.0</v>
      </c>
      <c r="O210" s="18">
        <v>0.17118307948112488</v>
      </c>
      <c r="P210" s="18">
        <v>0.37730589509010315</v>
      </c>
      <c r="Q210" s="18">
        <v>390.88889810442924</v>
      </c>
      <c r="R210" s="18">
        <v>6052.0</v>
      </c>
      <c r="S210" s="19">
        <v>0.06458838284015656</v>
      </c>
      <c r="T210" s="8"/>
      <c r="U210" s="8"/>
      <c r="V210" s="8"/>
      <c r="W210" s="8"/>
      <c r="X210" s="8"/>
      <c r="Y210" s="8"/>
      <c r="Z210" s="8"/>
      <c r="AA210" s="8"/>
      <c r="AB210" s="8"/>
    </row>
    <row r="211" ht="15.75" customHeight="1">
      <c r="A211" s="18">
        <v>50303.0</v>
      </c>
      <c r="B211" s="18">
        <v>1.0</v>
      </c>
      <c r="C211" s="18">
        <v>1738.0</v>
      </c>
      <c r="D211" s="18">
        <v>0.568345308303833</v>
      </c>
      <c r="E211" s="18">
        <v>0.39624089002609253</v>
      </c>
      <c r="F211" s="18">
        <v>688.6666843295097</v>
      </c>
      <c r="G211" s="18">
        <v>3058.0</v>
      </c>
      <c r="H211" s="19">
        <v>0.22520165145397186</v>
      </c>
      <c r="I211" s="8"/>
      <c r="J211" s="8"/>
      <c r="K211" s="20"/>
      <c r="L211" s="18">
        <v>50303.0</v>
      </c>
      <c r="M211" s="18">
        <v>0.0</v>
      </c>
      <c r="N211" s="18">
        <v>4553.0</v>
      </c>
      <c r="O211" s="18">
        <v>0.40438759326934814</v>
      </c>
      <c r="P211" s="18">
        <v>0.3872416317462921</v>
      </c>
      <c r="Q211" s="18">
        <v>1763.1111556887627</v>
      </c>
      <c r="R211" s="18">
        <v>11259.0</v>
      </c>
      <c r="S211" s="19">
        <v>0.15659570693969727</v>
      </c>
      <c r="T211" s="8"/>
      <c r="U211" s="8"/>
      <c r="V211" s="8"/>
      <c r="W211" s="8"/>
      <c r="X211" s="8"/>
      <c r="Y211" s="8"/>
      <c r="Z211" s="8"/>
      <c r="AA211" s="8"/>
      <c r="AB211" s="8"/>
    </row>
    <row r="212" ht="15.75" customHeight="1">
      <c r="A212" s="18">
        <v>50401.0</v>
      </c>
      <c r="B212" s="18">
        <v>1.0</v>
      </c>
      <c r="C212" s="18">
        <v>1425.0</v>
      </c>
      <c r="D212" s="18">
        <v>0.51056969165802</v>
      </c>
      <c r="E212" s="18">
        <v>0.41107213497161865</v>
      </c>
      <c r="F212" s="18">
        <v>585.7777926921844</v>
      </c>
      <c r="G212" s="18">
        <v>2791.0</v>
      </c>
      <c r="H212" s="19">
        <v>0.2098809778690338</v>
      </c>
      <c r="I212" s="8"/>
      <c r="J212" s="8"/>
      <c r="K212" s="20"/>
      <c r="L212" s="18">
        <v>50401.0</v>
      </c>
      <c r="M212" s="18">
        <v>0.0</v>
      </c>
      <c r="N212" s="18">
        <v>3988.0</v>
      </c>
      <c r="O212" s="18">
        <v>0.30202969908714294</v>
      </c>
      <c r="P212" s="18">
        <v>0.3972194492816925</v>
      </c>
      <c r="Q212" s="18">
        <v>1584.111150085926</v>
      </c>
      <c r="R212" s="18">
        <v>13204.0</v>
      </c>
      <c r="S212" s="19">
        <v>0.11997207254171371</v>
      </c>
      <c r="T212" s="8"/>
      <c r="U212" s="8"/>
      <c r="V212" s="8"/>
      <c r="W212" s="8"/>
      <c r="X212" s="8"/>
      <c r="Y212" s="8"/>
      <c r="Z212" s="8"/>
      <c r="AA212" s="8"/>
      <c r="AB212" s="8"/>
    </row>
    <row r="213" ht="15.75" customHeight="1">
      <c r="A213" s="18">
        <v>50402.0</v>
      </c>
      <c r="B213" s="18">
        <v>1.0</v>
      </c>
      <c r="C213" s="18">
        <v>2129.0</v>
      </c>
      <c r="D213" s="18">
        <v>0.4035254120826721</v>
      </c>
      <c r="E213" s="18">
        <v>0.41010385751724243</v>
      </c>
      <c r="F213" s="18">
        <v>873.1111333370209</v>
      </c>
      <c r="G213" s="18">
        <v>5276.0</v>
      </c>
      <c r="H213" s="19">
        <v>0.16548733413219452</v>
      </c>
      <c r="I213" s="8"/>
      <c r="J213" s="8"/>
      <c r="K213" s="20"/>
      <c r="L213" s="18">
        <v>50402.0</v>
      </c>
      <c r="M213" s="18">
        <v>0.0</v>
      </c>
      <c r="N213" s="18">
        <v>3924.0</v>
      </c>
      <c r="O213" s="18">
        <v>0.3398285210132599</v>
      </c>
      <c r="P213" s="18">
        <v>0.39596784114837646</v>
      </c>
      <c r="Q213" s="18">
        <v>1553.7778173089027</v>
      </c>
      <c r="R213" s="18">
        <v>11547.0</v>
      </c>
      <c r="S213" s="19">
        <v>0.13456116616725922</v>
      </c>
      <c r="T213" s="8"/>
      <c r="U213" s="8"/>
      <c r="V213" s="8"/>
      <c r="W213" s="8"/>
      <c r="X213" s="8"/>
      <c r="Y213" s="8"/>
      <c r="Z213" s="8"/>
      <c r="AA213" s="8"/>
      <c r="AB213" s="8"/>
    </row>
    <row r="214" ht="15.75" customHeight="1">
      <c r="A214" s="18">
        <v>50403.0</v>
      </c>
      <c r="B214" s="18">
        <v>1.0</v>
      </c>
      <c r="C214" s="18">
        <v>2851.0</v>
      </c>
      <c r="D214" s="18">
        <v>0.39145955443382263</v>
      </c>
      <c r="E214" s="18">
        <v>0.3896099030971527</v>
      </c>
      <c r="F214" s="18">
        <v>1110.7778060436249</v>
      </c>
      <c r="G214" s="18">
        <v>7283.0</v>
      </c>
      <c r="H214" s="19">
        <v>0.15251651406288147</v>
      </c>
      <c r="I214" s="8"/>
      <c r="J214" s="8"/>
      <c r="K214" s="20"/>
      <c r="L214" s="18">
        <v>50403.0</v>
      </c>
      <c r="M214" s="18">
        <v>0.0</v>
      </c>
      <c r="N214" s="18">
        <v>6574.0</v>
      </c>
      <c r="O214" s="18">
        <v>0.2601812779903412</v>
      </c>
      <c r="P214" s="18">
        <v>0.3777676522731781</v>
      </c>
      <c r="Q214" s="18">
        <v>2483.4445073604584</v>
      </c>
      <c r="R214" s="18">
        <v>25267.0</v>
      </c>
      <c r="S214" s="19">
        <v>0.09828807413578033</v>
      </c>
      <c r="T214" s="8"/>
      <c r="U214" s="8"/>
      <c r="V214" s="8"/>
      <c r="W214" s="8"/>
      <c r="X214" s="8"/>
      <c r="Y214" s="8"/>
      <c r="Z214" s="8"/>
      <c r="AA214" s="8"/>
      <c r="AB214" s="8"/>
    </row>
    <row r="215" ht="15.75" customHeight="1">
      <c r="A215" s="18">
        <v>50404.0</v>
      </c>
      <c r="B215" s="18">
        <v>1.0</v>
      </c>
      <c r="C215" s="18">
        <v>1428.0</v>
      </c>
      <c r="D215" s="18">
        <v>0.47159841656684875</v>
      </c>
      <c r="E215" s="18">
        <v>0.3976812958717346</v>
      </c>
      <c r="F215" s="18">
        <v>567.8889024555683</v>
      </c>
      <c r="G215" s="18">
        <v>3028.0</v>
      </c>
      <c r="H215" s="19">
        <v>0.18754586577415466</v>
      </c>
      <c r="I215" s="8"/>
      <c r="J215" s="8"/>
      <c r="K215" s="20"/>
      <c r="L215" s="18">
        <v>50404.0</v>
      </c>
      <c r="M215" s="18">
        <v>0.0</v>
      </c>
      <c r="N215" s="18">
        <v>4208.0</v>
      </c>
      <c r="O215" s="18">
        <v>0.36808958649635315</v>
      </c>
      <c r="P215" s="18">
        <v>0.3845057189464569</v>
      </c>
      <c r="Q215" s="18">
        <v>1618.0000418126583</v>
      </c>
      <c r="R215" s="18">
        <v>11432.0</v>
      </c>
      <c r="S215" s="19">
        <v>0.1415325552225113</v>
      </c>
      <c r="T215" s="8"/>
      <c r="U215" s="8"/>
      <c r="V215" s="8"/>
      <c r="W215" s="8"/>
      <c r="X215" s="8"/>
      <c r="Y215" s="8"/>
      <c r="Z215" s="8"/>
      <c r="AA215" s="8"/>
      <c r="AB215" s="8"/>
    </row>
    <row r="216" ht="15.75" customHeight="1">
      <c r="A216" s="18">
        <v>50405.0</v>
      </c>
      <c r="B216" s="18">
        <v>1.0</v>
      </c>
      <c r="C216" s="18">
        <v>1503.0</v>
      </c>
      <c r="D216" s="18">
        <v>0.40654584765434265</v>
      </c>
      <c r="E216" s="18">
        <v>0.3920307755470276</v>
      </c>
      <c r="F216" s="18">
        <v>589.2222367823124</v>
      </c>
      <c r="G216" s="18">
        <v>3697.0</v>
      </c>
      <c r="H216" s="19">
        <v>0.15937848389148712</v>
      </c>
      <c r="I216" s="8"/>
      <c r="J216" s="8"/>
      <c r="K216" s="20"/>
      <c r="L216" s="18">
        <v>50405.0</v>
      </c>
      <c r="M216" s="18">
        <v>0.0</v>
      </c>
      <c r="N216" s="18">
        <v>5229.0</v>
      </c>
      <c r="O216" s="18">
        <v>0.3024641275405884</v>
      </c>
      <c r="P216" s="18">
        <v>0.38114362955093384</v>
      </c>
      <c r="Q216" s="18">
        <v>1993.0000491440296</v>
      </c>
      <c r="R216" s="18">
        <v>17288.0</v>
      </c>
      <c r="S216" s="19">
        <v>0.11528227478265762</v>
      </c>
      <c r="T216" s="8"/>
      <c r="U216" s="8"/>
      <c r="V216" s="8"/>
      <c r="W216" s="8"/>
      <c r="X216" s="8"/>
      <c r="Y216" s="8"/>
      <c r="Z216" s="8"/>
      <c r="AA216" s="8"/>
      <c r="AB216" s="8"/>
    </row>
    <row r="217" ht="15.75" customHeight="1">
      <c r="A217" s="18">
        <v>50501.0</v>
      </c>
      <c r="B217" s="18">
        <v>1.0</v>
      </c>
      <c r="C217" s="18">
        <v>3677.0</v>
      </c>
      <c r="D217" s="18">
        <v>0.6276886463165283</v>
      </c>
      <c r="E217" s="18">
        <v>0.4285196363925934</v>
      </c>
      <c r="F217" s="18">
        <v>1575.6667085886002</v>
      </c>
      <c r="G217" s="18">
        <v>5858.0</v>
      </c>
      <c r="H217" s="19">
        <v>0.2689768970012665</v>
      </c>
      <c r="I217" s="8"/>
      <c r="J217" s="8"/>
      <c r="K217" s="20"/>
      <c r="L217" s="18">
        <v>50501.0</v>
      </c>
      <c r="M217" s="18">
        <v>0.0</v>
      </c>
      <c r="N217" s="18">
        <v>10724.0</v>
      </c>
      <c r="O217" s="18">
        <v>0.4768553376197815</v>
      </c>
      <c r="P217" s="18">
        <v>0.41542336344718933</v>
      </c>
      <c r="Q217" s="18">
        <v>4455.000112831593</v>
      </c>
      <c r="R217" s="18">
        <v>22489.0</v>
      </c>
      <c r="S217" s="19">
        <v>0.1980968415737152</v>
      </c>
      <c r="T217" s="8"/>
      <c r="U217" s="8"/>
      <c r="V217" s="8"/>
      <c r="W217" s="8"/>
      <c r="X217" s="8"/>
      <c r="Y217" s="8"/>
      <c r="Z217" s="8"/>
      <c r="AA217" s="8"/>
      <c r="AB217" s="8"/>
    </row>
    <row r="218" ht="15.75" customHeight="1">
      <c r="A218" s="18">
        <v>50502.0</v>
      </c>
      <c r="B218" s="18">
        <v>1.0</v>
      </c>
      <c r="C218" s="18">
        <v>1243.0</v>
      </c>
      <c r="D218" s="18">
        <v>0.5177009701728821</v>
      </c>
      <c r="E218" s="18">
        <v>0.4262983798980713</v>
      </c>
      <c r="F218" s="18">
        <v>529.8889017403126</v>
      </c>
      <c r="G218" s="18">
        <v>2401.0</v>
      </c>
      <c r="H218" s="19">
        <v>0.22069507837295532</v>
      </c>
      <c r="I218" s="8"/>
      <c r="J218" s="8"/>
      <c r="K218" s="20"/>
      <c r="L218" s="18">
        <v>50502.0</v>
      </c>
      <c r="M218" s="18">
        <v>0.0</v>
      </c>
      <c r="N218" s="18">
        <v>3144.0</v>
      </c>
      <c r="O218" s="18">
        <v>0.38248175382614136</v>
      </c>
      <c r="P218" s="18">
        <v>0.3979361057281494</v>
      </c>
      <c r="Q218" s="18">
        <v>1251.1111421585083</v>
      </c>
      <c r="R218" s="18">
        <v>8220.0</v>
      </c>
      <c r="S218" s="19">
        <v>0.15220330655574799</v>
      </c>
      <c r="T218" s="8"/>
      <c r="U218" s="8"/>
      <c r="V218" s="8"/>
      <c r="W218" s="8"/>
      <c r="X218" s="8"/>
      <c r="Y218" s="8"/>
      <c r="Z218" s="8"/>
      <c r="AA218" s="8"/>
      <c r="AB218" s="8"/>
    </row>
    <row r="219" ht="15.75" customHeight="1">
      <c r="A219" s="18">
        <v>50601.0</v>
      </c>
      <c r="B219" s="18">
        <v>1.0</v>
      </c>
      <c r="C219" s="18">
        <v>1864.0</v>
      </c>
      <c r="D219" s="18">
        <v>0.2497655153274536</v>
      </c>
      <c r="E219" s="18">
        <v>0.39282310009002686</v>
      </c>
      <c r="F219" s="18">
        <v>732.2222405672073</v>
      </c>
      <c r="G219" s="18">
        <v>7463.0</v>
      </c>
      <c r="H219" s="19">
        <v>0.09811366349458694</v>
      </c>
      <c r="I219" s="8"/>
      <c r="J219" s="8"/>
      <c r="K219" s="20"/>
      <c r="L219" s="18">
        <v>50601.0</v>
      </c>
      <c r="M219" s="18">
        <v>0.0</v>
      </c>
      <c r="N219" s="18">
        <v>3770.0</v>
      </c>
      <c r="O219" s="18">
        <v>0.17412590980529785</v>
      </c>
      <c r="P219" s="18">
        <v>0.3753315806388855</v>
      </c>
      <c r="Q219" s="18">
        <v>1415.0000362694263</v>
      </c>
      <c r="R219" s="18">
        <v>21651.0</v>
      </c>
      <c r="S219" s="19">
        <v>0.06535495072603226</v>
      </c>
      <c r="T219" s="8"/>
      <c r="U219" s="8"/>
      <c r="V219" s="8"/>
      <c r="W219" s="8"/>
      <c r="X219" s="8"/>
      <c r="Y219" s="8"/>
      <c r="Z219" s="8"/>
      <c r="AA219" s="8"/>
      <c r="AB219" s="8"/>
    </row>
    <row r="220" ht="15.75" customHeight="1">
      <c r="A220" s="18">
        <v>50602.0</v>
      </c>
      <c r="B220" s="18">
        <v>1.0</v>
      </c>
      <c r="C220" s="18">
        <v>657.0</v>
      </c>
      <c r="D220" s="18">
        <v>0.20378412306308746</v>
      </c>
      <c r="E220" s="18">
        <v>0.3783189654350281</v>
      </c>
      <c r="F220" s="18">
        <v>248.55556160211563</v>
      </c>
      <c r="G220" s="18">
        <v>3224.0</v>
      </c>
      <c r="H220" s="19">
        <v>0.0770953968167305</v>
      </c>
      <c r="I220" s="8"/>
      <c r="J220" s="8"/>
      <c r="K220" s="20"/>
      <c r="L220" s="18">
        <v>50602.0</v>
      </c>
      <c r="M220" s="18">
        <v>0.0</v>
      </c>
      <c r="N220" s="18">
        <v>918.0</v>
      </c>
      <c r="O220" s="18">
        <v>0.13383875787258148</v>
      </c>
      <c r="P220" s="18">
        <v>0.36807069182395935</v>
      </c>
      <c r="Q220" s="18">
        <v>337.8888968527317</v>
      </c>
      <c r="R220" s="18">
        <v>6859.0</v>
      </c>
      <c r="S220" s="19">
        <v>0.04926212504506111</v>
      </c>
      <c r="T220" s="8"/>
      <c r="U220" s="8"/>
      <c r="V220" s="8"/>
      <c r="W220" s="8"/>
      <c r="X220" s="8"/>
      <c r="Y220" s="8"/>
      <c r="Z220" s="8"/>
      <c r="AA220" s="8"/>
      <c r="AB220" s="8"/>
    </row>
    <row r="221" ht="15.75" customHeight="1">
      <c r="A221" s="18">
        <v>50701.0</v>
      </c>
      <c r="B221" s="18">
        <v>1.0</v>
      </c>
      <c r="C221" s="18">
        <v>1046.0</v>
      </c>
      <c r="D221" s="18">
        <v>0.3455566465854645</v>
      </c>
      <c r="E221" s="18">
        <v>0.3811344802379608</v>
      </c>
      <c r="F221" s="18">
        <v>398.66667678952217</v>
      </c>
      <c r="G221" s="18">
        <v>3027.0</v>
      </c>
      <c r="H221" s="19">
        <v>0.13170355558395386</v>
      </c>
      <c r="I221" s="8"/>
      <c r="J221" s="8"/>
      <c r="K221" s="20"/>
      <c r="L221" s="18">
        <v>50701.0</v>
      </c>
      <c r="M221" s="18">
        <v>0.0</v>
      </c>
      <c r="N221" s="18">
        <v>3361.0</v>
      </c>
      <c r="O221" s="18">
        <v>0.23761045932769775</v>
      </c>
      <c r="P221" s="18">
        <v>0.37482231855392456</v>
      </c>
      <c r="Q221" s="18">
        <v>1259.7778106629848</v>
      </c>
      <c r="R221" s="18">
        <v>14145.0</v>
      </c>
      <c r="S221" s="19">
        <v>0.08906169980764389</v>
      </c>
      <c r="T221" s="8"/>
      <c r="U221" s="8"/>
      <c r="V221" s="8"/>
      <c r="W221" s="8"/>
      <c r="X221" s="8"/>
      <c r="Y221" s="8"/>
      <c r="Z221" s="8"/>
      <c r="AA221" s="8"/>
      <c r="AB221" s="8"/>
    </row>
    <row r="222" ht="15.75" customHeight="1">
      <c r="A222" s="18">
        <v>50702.0</v>
      </c>
      <c r="B222" s="18">
        <v>1.0</v>
      </c>
      <c r="C222" s="18">
        <v>538.0</v>
      </c>
      <c r="D222" s="18">
        <v>0.3248792290687561</v>
      </c>
      <c r="E222" s="18">
        <v>0.372986376285553</v>
      </c>
      <c r="F222" s="18">
        <v>200.66667160391808</v>
      </c>
      <c r="G222" s="18">
        <v>1656.0</v>
      </c>
      <c r="H222" s="19">
        <v>0.12117552757263184</v>
      </c>
      <c r="I222" s="8"/>
      <c r="J222" s="8"/>
      <c r="K222" s="20"/>
      <c r="L222" s="18">
        <v>50702.0</v>
      </c>
      <c r="M222" s="18">
        <v>0.0</v>
      </c>
      <c r="N222" s="18">
        <v>1493.0</v>
      </c>
      <c r="O222" s="18">
        <v>0.22010909020900726</v>
      </c>
      <c r="P222" s="18">
        <v>0.36913001537323</v>
      </c>
      <c r="Q222" s="18">
        <v>551.1111248731613</v>
      </c>
      <c r="R222" s="18">
        <v>6783.0</v>
      </c>
      <c r="S222" s="19">
        <v>0.08124887198209763</v>
      </c>
      <c r="T222" s="8"/>
      <c r="U222" s="8"/>
      <c r="V222" s="8"/>
      <c r="W222" s="8"/>
      <c r="X222" s="8"/>
      <c r="Y222" s="8"/>
      <c r="Z222" s="8"/>
      <c r="AA222" s="8"/>
      <c r="AB222" s="8"/>
    </row>
    <row r="223" ht="15.75" customHeight="1">
      <c r="A223" s="18">
        <v>50801.0</v>
      </c>
      <c r="B223" s="18">
        <v>1.0</v>
      </c>
      <c r="C223" s="18">
        <v>839.0</v>
      </c>
      <c r="D223" s="18">
        <v>0.07935307174921036</v>
      </c>
      <c r="E223" s="18">
        <v>0.3856442868709564</v>
      </c>
      <c r="F223" s="18">
        <v>323.5555636584759</v>
      </c>
      <c r="G223" s="18">
        <v>10573.0</v>
      </c>
      <c r="H223" s="19">
        <v>0.03060205839574337</v>
      </c>
      <c r="I223" s="8"/>
      <c r="J223" s="8"/>
      <c r="K223" s="20"/>
      <c r="L223" s="18">
        <v>50801.0</v>
      </c>
      <c r="M223" s="18">
        <v>0.0</v>
      </c>
      <c r="N223" s="18">
        <v>1957.0</v>
      </c>
      <c r="O223" s="18">
        <v>0.057771217077970505</v>
      </c>
      <c r="P223" s="18">
        <v>0.36410605907440186</v>
      </c>
      <c r="Q223" s="18">
        <v>712.5555733144283</v>
      </c>
      <c r="R223" s="18">
        <v>33875.0</v>
      </c>
      <c r="S223" s="19">
        <v>0.02103484980762005</v>
      </c>
      <c r="T223" s="8"/>
      <c r="U223" s="8"/>
      <c r="V223" s="8"/>
      <c r="W223" s="8"/>
      <c r="X223" s="8"/>
      <c r="Y223" s="8"/>
      <c r="Z223" s="8"/>
      <c r="AA223" s="8"/>
      <c r="AB223" s="8"/>
    </row>
    <row r="224" ht="15.75" customHeight="1">
      <c r="A224" s="18">
        <v>50802.0</v>
      </c>
      <c r="B224" s="18">
        <v>1.0</v>
      </c>
      <c r="C224" s="18">
        <v>122.0</v>
      </c>
      <c r="D224" s="18">
        <v>0.108444444835186</v>
      </c>
      <c r="E224" s="18">
        <v>0.3925318717956543</v>
      </c>
      <c r="F224" s="18">
        <v>47.88889008760452</v>
      </c>
      <c r="G224" s="18">
        <v>1125.0</v>
      </c>
      <c r="H224" s="19">
        <v>0.0425679013133049</v>
      </c>
      <c r="I224" s="8"/>
      <c r="J224" s="8"/>
      <c r="K224" s="20"/>
      <c r="L224" s="18">
        <v>50802.0</v>
      </c>
      <c r="M224" s="18">
        <v>0.0</v>
      </c>
      <c r="N224" s="18">
        <v>329.0</v>
      </c>
      <c r="O224" s="18">
        <v>0.03938233107328415</v>
      </c>
      <c r="P224" s="18">
        <v>0.3701452314853668</v>
      </c>
      <c r="Q224" s="18">
        <v>121.77778095006943</v>
      </c>
      <c r="R224" s="18">
        <v>8354.0</v>
      </c>
      <c r="S224" s="19">
        <v>0.01457718200981617</v>
      </c>
      <c r="T224" s="8"/>
      <c r="U224" s="8"/>
      <c r="V224" s="8"/>
      <c r="W224" s="8"/>
      <c r="X224" s="8"/>
      <c r="Y224" s="8"/>
      <c r="Z224" s="8"/>
      <c r="AA224" s="8"/>
      <c r="AB224" s="8"/>
    </row>
    <row r="225" ht="15.75" customHeight="1">
      <c r="A225" s="18">
        <v>50901.0</v>
      </c>
      <c r="B225" s="18">
        <v>1.0</v>
      </c>
      <c r="C225" s="18">
        <v>223.0</v>
      </c>
      <c r="D225" s="18">
        <v>0.11371748894453049</v>
      </c>
      <c r="E225" s="18">
        <v>0.3766816258430481</v>
      </c>
      <c r="F225" s="18">
        <v>84.00000193715096</v>
      </c>
      <c r="G225" s="18">
        <v>1961.0</v>
      </c>
      <c r="H225" s="19">
        <v>0.0428352877497673</v>
      </c>
      <c r="I225" s="8"/>
      <c r="J225" s="8"/>
      <c r="K225" s="20"/>
      <c r="L225" s="18">
        <v>50901.0</v>
      </c>
      <c r="M225" s="18">
        <v>0.0</v>
      </c>
      <c r="N225" s="18">
        <v>541.0</v>
      </c>
      <c r="O225" s="18">
        <v>0.060091082006692886</v>
      </c>
      <c r="P225" s="18">
        <v>0.37153419852256775</v>
      </c>
      <c r="Q225" s="18">
        <v>201.0000049173832</v>
      </c>
      <c r="R225" s="18">
        <v>9003.0</v>
      </c>
      <c r="S225" s="19">
        <v>0.022325892001390457</v>
      </c>
      <c r="T225" s="8"/>
      <c r="U225" s="8"/>
      <c r="V225" s="8"/>
      <c r="W225" s="8"/>
      <c r="X225" s="8"/>
      <c r="Y225" s="8"/>
      <c r="Z225" s="8"/>
      <c r="AA225" s="8"/>
      <c r="AB225" s="8"/>
    </row>
    <row r="226" ht="15.75" customHeight="1">
      <c r="A226" s="18">
        <v>50902.0</v>
      </c>
      <c r="B226" s="18">
        <v>1.0</v>
      </c>
      <c r="C226" s="18">
        <v>41.0</v>
      </c>
      <c r="D226" s="18">
        <v>0.13531352579593658</v>
      </c>
      <c r="E226" s="18">
        <v>0.3712737262248993</v>
      </c>
      <c r="F226" s="18">
        <v>15.222222536802292</v>
      </c>
      <c r="G226" s="18">
        <v>303.0</v>
      </c>
      <c r="H226" s="19">
        <v>0.05023835599422455</v>
      </c>
      <c r="I226" s="8"/>
      <c r="J226" s="8"/>
      <c r="K226" s="20"/>
      <c r="L226" s="18">
        <v>50902.0</v>
      </c>
      <c r="M226" s="18">
        <v>0.0</v>
      </c>
      <c r="N226" s="18">
        <v>96.0</v>
      </c>
      <c r="O226" s="18">
        <v>0.07933884114027023</v>
      </c>
      <c r="P226" s="18">
        <v>0.36689814925193787</v>
      </c>
      <c r="Q226" s="18">
        <v>35.22222298383713</v>
      </c>
      <c r="R226" s="18">
        <v>1210.0</v>
      </c>
      <c r="S226" s="19">
        <v>0.029109273105859756</v>
      </c>
      <c r="T226" s="8"/>
      <c r="U226" s="8"/>
      <c r="V226" s="8"/>
      <c r="W226" s="8"/>
      <c r="X226" s="8"/>
      <c r="Y226" s="8"/>
      <c r="Z226" s="8"/>
      <c r="AA226" s="8"/>
      <c r="AB226" s="8"/>
    </row>
    <row r="227" ht="15.75" customHeight="1">
      <c r="A227" s="18">
        <v>51001.0</v>
      </c>
      <c r="B227" s="18">
        <v>1.0</v>
      </c>
      <c r="C227" s="18">
        <v>158.0</v>
      </c>
      <c r="D227" s="18">
        <v>0.32510289549827576</v>
      </c>
      <c r="E227" s="18">
        <v>0.3762306571006775</v>
      </c>
      <c r="F227" s="18">
        <v>59.44444581866264</v>
      </c>
      <c r="G227" s="18">
        <v>486.0</v>
      </c>
      <c r="H227" s="19">
        <v>0.12231367826461792</v>
      </c>
      <c r="I227" s="8"/>
      <c r="J227" s="8"/>
      <c r="K227" s="20"/>
      <c r="L227" s="18">
        <v>51001.0</v>
      </c>
      <c r="M227" s="18">
        <v>0.0</v>
      </c>
      <c r="N227" s="18">
        <v>417.0</v>
      </c>
      <c r="O227" s="18">
        <v>0.17331670224666595</v>
      </c>
      <c r="P227" s="18">
        <v>0.3828936815261841</v>
      </c>
      <c r="Q227" s="18">
        <v>159.6666708290577</v>
      </c>
      <c r="R227" s="18">
        <v>2406.0</v>
      </c>
      <c r="S227" s="19">
        <v>0.06636186689138412</v>
      </c>
      <c r="T227" s="8"/>
      <c r="U227" s="8"/>
      <c r="V227" s="8"/>
      <c r="W227" s="8"/>
      <c r="X227" s="8"/>
      <c r="Y227" s="8"/>
      <c r="Z227" s="8"/>
      <c r="AA227" s="8"/>
      <c r="AB227" s="8"/>
    </row>
    <row r="228" ht="15.75" customHeight="1">
      <c r="A228" s="18">
        <v>51002.0</v>
      </c>
      <c r="B228" s="18">
        <v>1.0</v>
      </c>
      <c r="C228" s="18">
        <v>113.0</v>
      </c>
      <c r="D228" s="18">
        <v>0.48085105419158936</v>
      </c>
      <c r="E228" s="18">
        <v>0.41101279854774475</v>
      </c>
      <c r="F228" s="18">
        <v>46.444445699453354</v>
      </c>
      <c r="G228" s="18">
        <v>235.0</v>
      </c>
      <c r="H228" s="19">
        <v>0.1976359337568283</v>
      </c>
      <c r="I228" s="8"/>
      <c r="J228" s="8"/>
      <c r="K228" s="20"/>
      <c r="L228" s="18">
        <v>51002.0</v>
      </c>
      <c r="M228" s="18">
        <v>0.0</v>
      </c>
      <c r="N228" s="18">
        <v>234.0</v>
      </c>
      <c r="O228" s="18">
        <v>0.3205479383468628</v>
      </c>
      <c r="P228" s="18">
        <v>0.3817663788795471</v>
      </c>
      <c r="Q228" s="18">
        <v>89.33333560824394</v>
      </c>
      <c r="R228" s="18">
        <v>730.0</v>
      </c>
      <c r="S228" s="19">
        <v>0.12237442284822464</v>
      </c>
      <c r="T228" s="8"/>
      <c r="U228" s="8"/>
      <c r="V228" s="8"/>
      <c r="W228" s="8"/>
      <c r="X228" s="8"/>
      <c r="Y228" s="8"/>
      <c r="Z228" s="8"/>
      <c r="AA228" s="8"/>
      <c r="AB228" s="8"/>
    </row>
    <row r="229" ht="15.75" customHeight="1">
      <c r="A229" s="18">
        <v>51003.0</v>
      </c>
      <c r="B229" s="18">
        <v>1.0</v>
      </c>
      <c r="C229" s="18">
        <v>156.0</v>
      </c>
      <c r="D229" s="18">
        <v>0.47416412830352783</v>
      </c>
      <c r="E229" s="18">
        <v>0.3960114121437073</v>
      </c>
      <c r="F229" s="18">
        <v>61.777779310941696</v>
      </c>
      <c r="G229" s="18">
        <v>329.0</v>
      </c>
      <c r="H229" s="19">
        <v>0.1877744048833847</v>
      </c>
      <c r="I229" s="8"/>
      <c r="J229" s="8"/>
      <c r="K229" s="20"/>
      <c r="L229" s="18">
        <v>51003.0</v>
      </c>
      <c r="M229" s="18">
        <v>0.0</v>
      </c>
      <c r="N229" s="18">
        <v>376.0</v>
      </c>
      <c r="O229" s="18">
        <v>0.24305106699466705</v>
      </c>
      <c r="P229" s="18">
        <v>0.3856382966041565</v>
      </c>
      <c r="Q229" s="18">
        <v>145.00000342726707</v>
      </c>
      <c r="R229" s="18">
        <v>1547.0</v>
      </c>
      <c r="S229" s="19">
        <v>0.09372980147600174</v>
      </c>
      <c r="T229" s="8"/>
      <c r="U229" s="8"/>
      <c r="V229" s="8"/>
      <c r="W229" s="8"/>
      <c r="X229" s="8"/>
      <c r="Y229" s="8"/>
      <c r="Z229" s="8"/>
      <c r="AA229" s="8"/>
      <c r="AB229" s="8"/>
    </row>
    <row r="230" ht="15.75" customHeight="1">
      <c r="A230" s="18">
        <v>51101.0</v>
      </c>
      <c r="B230" s="18">
        <v>1.0</v>
      </c>
      <c r="C230" s="18">
        <v>1010.0</v>
      </c>
      <c r="D230" s="18">
        <v>0.1847110390663147</v>
      </c>
      <c r="E230" s="18">
        <v>0.37491750717163086</v>
      </c>
      <c r="F230" s="18">
        <v>378.6666757464409</v>
      </c>
      <c r="G230" s="18">
        <v>5468.0</v>
      </c>
      <c r="H230" s="19">
        <v>0.0692514032125473</v>
      </c>
      <c r="I230" s="8"/>
      <c r="J230" s="8"/>
      <c r="K230" s="20"/>
      <c r="L230" s="18">
        <v>51101.0</v>
      </c>
      <c r="M230" s="18">
        <v>0.0</v>
      </c>
      <c r="N230" s="18">
        <v>1385.0</v>
      </c>
      <c r="O230" s="18">
        <v>0.12845483422279358</v>
      </c>
      <c r="P230" s="18">
        <v>0.3659847676753998</v>
      </c>
      <c r="Q230" s="18">
        <v>506.8889012336731</v>
      </c>
      <c r="R230" s="18">
        <v>10782.0</v>
      </c>
      <c r="S230" s="19">
        <v>0.047012511640787125</v>
      </c>
      <c r="T230" s="8"/>
      <c r="U230" s="8"/>
      <c r="V230" s="8"/>
      <c r="W230" s="8"/>
      <c r="X230" s="8"/>
      <c r="Y230" s="8"/>
      <c r="Z230" s="8"/>
      <c r="AA230" s="8"/>
      <c r="AB230" s="8"/>
    </row>
    <row r="231" ht="15.75" customHeight="1">
      <c r="A231" s="18">
        <v>51102.0</v>
      </c>
      <c r="B231" s="18">
        <v>1.0</v>
      </c>
      <c r="C231" s="18">
        <v>639.0</v>
      </c>
      <c r="D231" s="18">
        <v>0.1990654170513153</v>
      </c>
      <c r="E231" s="18">
        <v>0.38810643553733826</v>
      </c>
      <c r="F231" s="18">
        <v>248.00000649690628</v>
      </c>
      <c r="G231" s="18">
        <v>3210.0</v>
      </c>
      <c r="H231" s="19">
        <v>0.07725857198238373</v>
      </c>
      <c r="I231" s="8"/>
      <c r="J231" s="8"/>
      <c r="K231" s="20"/>
      <c r="L231" s="18">
        <v>51102.0</v>
      </c>
      <c r="M231" s="18">
        <v>0.0</v>
      </c>
      <c r="N231" s="18">
        <v>1373.0</v>
      </c>
      <c r="O231" s="18">
        <v>0.1448923647403717</v>
      </c>
      <c r="P231" s="18">
        <v>0.36764588952064514</v>
      </c>
      <c r="Q231" s="18">
        <v>504.77779015898705</v>
      </c>
      <c r="R231" s="18">
        <v>9476.0</v>
      </c>
      <c r="S231" s="19">
        <v>0.05326908081769943</v>
      </c>
      <c r="T231" s="8"/>
      <c r="U231" s="8"/>
      <c r="V231" s="8"/>
      <c r="W231" s="8"/>
      <c r="X231" s="8"/>
      <c r="Y231" s="8"/>
      <c r="Z231" s="8"/>
      <c r="AA231" s="8"/>
      <c r="AB231" s="8"/>
    </row>
    <row r="232" ht="15.75" customHeight="1">
      <c r="A232" s="18">
        <v>51103.0</v>
      </c>
      <c r="B232" s="18">
        <v>1.0</v>
      </c>
      <c r="C232" s="18">
        <v>1731.0</v>
      </c>
      <c r="D232" s="18">
        <v>0.5048118829727173</v>
      </c>
      <c r="E232" s="18">
        <v>0.40381282567977905</v>
      </c>
      <c r="F232" s="18">
        <v>699.0000167489052</v>
      </c>
      <c r="G232" s="18">
        <v>3429.0</v>
      </c>
      <c r="H232" s="19">
        <v>0.20384950935840607</v>
      </c>
      <c r="I232" s="8"/>
      <c r="J232" s="8"/>
      <c r="K232" s="20"/>
      <c r="L232" s="18">
        <v>51103.0</v>
      </c>
      <c r="M232" s="18">
        <v>0.0</v>
      </c>
      <c r="N232" s="18">
        <v>4753.0</v>
      </c>
      <c r="O232" s="18">
        <v>0.43625515699386597</v>
      </c>
      <c r="P232" s="18">
        <v>0.40288007259368896</v>
      </c>
      <c r="Q232" s="18">
        <v>1914.8889368474483</v>
      </c>
      <c r="R232" s="18">
        <v>10895.0</v>
      </c>
      <c r="S232" s="19">
        <v>0.1757585108280182</v>
      </c>
      <c r="T232" s="8"/>
      <c r="U232" s="8"/>
      <c r="V232" s="8"/>
      <c r="W232" s="8"/>
      <c r="X232" s="8"/>
      <c r="Y232" s="8"/>
      <c r="Z232" s="8"/>
      <c r="AA232" s="8"/>
      <c r="AB232" s="8"/>
    </row>
    <row r="233" ht="15.75" customHeight="1">
      <c r="A233" s="18">
        <v>51201.0</v>
      </c>
      <c r="B233" s="18">
        <v>1.0</v>
      </c>
      <c r="C233" s="18">
        <v>610.0</v>
      </c>
      <c r="D233" s="18">
        <v>0.1050456315279007</v>
      </c>
      <c r="E233" s="18">
        <v>0.3712204098701477</v>
      </c>
      <c r="F233" s="18">
        <v>226.44445011019707</v>
      </c>
      <c r="G233" s="18">
        <v>5807.0</v>
      </c>
      <c r="H233" s="19">
        <v>0.038995083421468735</v>
      </c>
      <c r="I233" s="8"/>
      <c r="J233" s="8"/>
      <c r="K233" s="20"/>
      <c r="L233" s="18">
        <v>51201.0</v>
      </c>
      <c r="M233" s="18">
        <v>0.0</v>
      </c>
      <c r="N233" s="18">
        <v>2193.0</v>
      </c>
      <c r="O233" s="18">
        <v>0.07823481410741806</v>
      </c>
      <c r="P233" s="18">
        <v>0.3549678325653076</v>
      </c>
      <c r="Q233" s="18">
        <v>778.4444645941257</v>
      </c>
      <c r="R233" s="18">
        <v>28031.0</v>
      </c>
      <c r="S233" s="19">
        <v>0.027770841494202614</v>
      </c>
      <c r="T233" s="8"/>
      <c r="U233" s="8"/>
      <c r="V233" s="8"/>
      <c r="W233" s="8"/>
      <c r="X233" s="8"/>
      <c r="Y233" s="8"/>
      <c r="Z233" s="8"/>
      <c r="AA233" s="8"/>
      <c r="AB233" s="8"/>
    </row>
    <row r="234" ht="15.75" customHeight="1">
      <c r="A234" s="18">
        <v>51202.0</v>
      </c>
      <c r="B234" s="18">
        <v>1.0</v>
      </c>
      <c r="C234" s="18">
        <v>581.0</v>
      </c>
      <c r="D234" s="18">
        <v>0.24289298057556152</v>
      </c>
      <c r="E234" s="18">
        <v>0.3702428936958313</v>
      </c>
      <c r="F234" s="18">
        <v>215.1111163496971</v>
      </c>
      <c r="G234" s="18">
        <v>2392.0</v>
      </c>
      <c r="H234" s="19">
        <v>0.08992940187454224</v>
      </c>
      <c r="I234" s="8"/>
      <c r="J234" s="8"/>
      <c r="K234" s="20"/>
      <c r="L234" s="18">
        <v>51202.0</v>
      </c>
      <c r="M234" s="18">
        <v>0.0</v>
      </c>
      <c r="N234" s="18">
        <v>1103.0</v>
      </c>
      <c r="O234" s="18">
        <v>0.20437279343605042</v>
      </c>
      <c r="P234" s="18">
        <v>0.3613377809524536</v>
      </c>
      <c r="Q234" s="18">
        <v>398.55556535720825</v>
      </c>
      <c r="R234" s="18">
        <v>5397.0</v>
      </c>
      <c r="S234" s="19">
        <v>0.07384761422872543</v>
      </c>
      <c r="T234" s="8"/>
      <c r="U234" s="8"/>
      <c r="V234" s="8"/>
      <c r="W234" s="8"/>
      <c r="X234" s="8"/>
      <c r="Y234" s="8"/>
      <c r="Z234" s="8"/>
      <c r="AA234" s="8"/>
      <c r="AB234" s="8"/>
    </row>
    <row r="235" ht="15.75" customHeight="1">
      <c r="A235" s="18">
        <v>51203.0</v>
      </c>
      <c r="B235" s="18">
        <v>1.0</v>
      </c>
      <c r="C235" s="18">
        <v>234.0</v>
      </c>
      <c r="D235" s="18">
        <v>0.18780095875263214</v>
      </c>
      <c r="E235" s="18">
        <v>0.37226971983909607</v>
      </c>
      <c r="F235" s="18">
        <v>87.11111310124397</v>
      </c>
      <c r="G235" s="18">
        <v>1246.0</v>
      </c>
      <c r="H235" s="19">
        <v>0.0699126124382019</v>
      </c>
      <c r="I235" s="8"/>
      <c r="J235" s="8"/>
      <c r="K235" s="20"/>
      <c r="L235" s="18">
        <v>51203.0</v>
      </c>
      <c r="M235" s="18">
        <v>0.0</v>
      </c>
      <c r="N235" s="18">
        <v>721.0</v>
      </c>
      <c r="O235" s="18">
        <v>0.054550956934690475</v>
      </c>
      <c r="P235" s="18">
        <v>0.36877793073654175</v>
      </c>
      <c r="Q235" s="18">
        <v>265.88889545202255</v>
      </c>
      <c r="R235" s="18">
        <v>13217.0</v>
      </c>
      <c r="S235" s="19">
        <v>0.02011718973517418</v>
      </c>
      <c r="T235" s="8"/>
      <c r="U235" s="8"/>
      <c r="V235" s="8"/>
      <c r="W235" s="8"/>
      <c r="X235" s="8"/>
      <c r="Y235" s="8"/>
      <c r="Z235" s="8"/>
      <c r="AA235" s="8"/>
      <c r="AB235" s="8"/>
    </row>
    <row r="236" ht="15.75" customHeight="1">
      <c r="A236" s="18">
        <v>51204.0</v>
      </c>
      <c r="B236" s="18">
        <v>1.0</v>
      </c>
      <c r="C236" s="18">
        <v>474.0</v>
      </c>
      <c r="D236" s="18">
        <v>0.3296244740486145</v>
      </c>
      <c r="E236" s="18">
        <v>0.3778715431690216</v>
      </c>
      <c r="F236" s="18">
        <v>179.1111155450344</v>
      </c>
      <c r="G236" s="18">
        <v>1438.0</v>
      </c>
      <c r="H236" s="19">
        <v>0.12455570697784424</v>
      </c>
      <c r="I236" s="8"/>
      <c r="J236" s="8"/>
      <c r="K236" s="20"/>
      <c r="L236" s="18">
        <v>51204.0</v>
      </c>
      <c r="M236" s="18">
        <v>0.0</v>
      </c>
      <c r="N236" s="18">
        <v>915.0</v>
      </c>
      <c r="O236" s="18">
        <v>0.20943006873130798</v>
      </c>
      <c r="P236" s="18">
        <v>0.3719490170478821</v>
      </c>
      <c r="Q236" s="18">
        <v>340.3333414196968</v>
      </c>
      <c r="R236" s="18">
        <v>4369.0</v>
      </c>
      <c r="S236" s="19">
        <v>0.07789731025695801</v>
      </c>
      <c r="T236" s="8"/>
      <c r="U236" s="8"/>
      <c r="V236" s="8"/>
      <c r="W236" s="8"/>
      <c r="X236" s="8"/>
      <c r="Y236" s="8"/>
      <c r="Z236" s="8"/>
      <c r="AA236" s="8"/>
      <c r="AB236" s="8"/>
    </row>
    <row r="237" ht="15.75" customHeight="1">
      <c r="A237" s="18">
        <v>51301.0</v>
      </c>
      <c r="B237" s="18">
        <v>1.0</v>
      </c>
      <c r="C237" s="18">
        <v>319.0</v>
      </c>
      <c r="D237" s="18">
        <v>0.34978070855140686</v>
      </c>
      <c r="E237" s="18">
        <v>0.39150121808052063</v>
      </c>
      <c r="F237" s="18">
        <v>124.88889184594154</v>
      </c>
      <c r="G237" s="18">
        <v>912.0</v>
      </c>
      <c r="H237" s="19">
        <v>0.13693957030773163</v>
      </c>
      <c r="I237" s="8"/>
      <c r="J237" s="8"/>
      <c r="K237" s="20"/>
      <c r="L237" s="18">
        <v>51301.0</v>
      </c>
      <c r="M237" s="18">
        <v>0.0</v>
      </c>
      <c r="N237" s="18">
        <v>676.0</v>
      </c>
      <c r="O237" s="18">
        <v>0.24572882056236267</v>
      </c>
      <c r="P237" s="18">
        <v>0.37508219480514526</v>
      </c>
      <c r="Q237" s="18">
        <v>253.55556198954582</v>
      </c>
      <c r="R237" s="18">
        <v>2751.0</v>
      </c>
      <c r="S237" s="19">
        <v>0.09216850250959396</v>
      </c>
      <c r="T237" s="8"/>
      <c r="U237" s="8"/>
      <c r="V237" s="8"/>
      <c r="W237" s="8"/>
      <c r="X237" s="8"/>
      <c r="Y237" s="8"/>
      <c r="Z237" s="8"/>
      <c r="AA237" s="8"/>
      <c r="AB237" s="8"/>
    </row>
    <row r="238" ht="15.75" customHeight="1">
      <c r="A238" s="18">
        <v>51302.0</v>
      </c>
      <c r="B238" s="18">
        <v>1.0</v>
      </c>
      <c r="C238" s="18">
        <v>412.0</v>
      </c>
      <c r="D238" s="18">
        <v>0.34077751636505127</v>
      </c>
      <c r="E238" s="18">
        <v>0.3848435878753662</v>
      </c>
      <c r="F238" s="18">
        <v>158.55555939674377</v>
      </c>
      <c r="G238" s="18">
        <v>1209.0</v>
      </c>
      <c r="H238" s="19">
        <v>0.13114604353904724</v>
      </c>
      <c r="I238" s="8"/>
      <c r="J238" s="8"/>
      <c r="K238" s="20"/>
      <c r="L238" s="18">
        <v>51302.0</v>
      </c>
      <c r="M238" s="18">
        <v>0.0</v>
      </c>
      <c r="N238" s="18">
        <v>692.0</v>
      </c>
      <c r="O238" s="18">
        <v>0.21524105966091156</v>
      </c>
      <c r="P238" s="18">
        <v>0.38310855627059937</v>
      </c>
      <c r="Q238" s="18">
        <v>265.1111174225807</v>
      </c>
      <c r="R238" s="18">
        <v>3215.0</v>
      </c>
      <c r="S238" s="19">
        <v>0.08246069401502609</v>
      </c>
      <c r="T238" s="8"/>
      <c r="U238" s="8"/>
      <c r="V238" s="8"/>
      <c r="W238" s="8"/>
      <c r="X238" s="8"/>
      <c r="Y238" s="8"/>
      <c r="Z238" s="8"/>
      <c r="AA238" s="8"/>
      <c r="AB238" s="8"/>
    </row>
    <row r="239" ht="15.75" customHeight="1">
      <c r="A239" s="18">
        <v>51401.0</v>
      </c>
      <c r="B239" s="18">
        <v>1.0</v>
      </c>
      <c r="C239" s="18">
        <v>64.0</v>
      </c>
      <c r="D239" s="18">
        <v>0.06286837160587311</v>
      </c>
      <c r="E239" s="18">
        <v>0.359375</v>
      </c>
      <c r="F239" s="18">
        <v>23.000000596046448</v>
      </c>
      <c r="G239" s="18">
        <v>1018.0</v>
      </c>
      <c r="H239" s="19">
        <v>0.022593321278691292</v>
      </c>
      <c r="I239" s="8"/>
      <c r="J239" s="8"/>
      <c r="K239" s="20"/>
      <c r="L239" s="18">
        <v>51401.0</v>
      </c>
      <c r="M239" s="18">
        <v>0.0</v>
      </c>
      <c r="N239" s="18">
        <v>128.0</v>
      </c>
      <c r="O239" s="18">
        <v>0.042230285704135895</v>
      </c>
      <c r="P239" s="18">
        <v>0.3454861342906952</v>
      </c>
      <c r="Q239" s="18">
        <v>44.22222340106964</v>
      </c>
      <c r="R239" s="18">
        <v>3031.0</v>
      </c>
      <c r="S239" s="19">
        <v>0.014589978381991386</v>
      </c>
      <c r="T239" s="8"/>
      <c r="U239" s="8"/>
      <c r="V239" s="8"/>
      <c r="W239" s="8"/>
      <c r="X239" s="8"/>
      <c r="Y239" s="8"/>
      <c r="Z239" s="8"/>
      <c r="AA239" s="8"/>
      <c r="AB239" s="8"/>
    </row>
    <row r="240" ht="15.75" customHeight="1">
      <c r="A240" s="18">
        <v>51402.0</v>
      </c>
      <c r="B240" s="18">
        <v>1.0</v>
      </c>
      <c r="C240" s="18">
        <v>74.0</v>
      </c>
      <c r="D240" s="18">
        <v>0.1774580329656601</v>
      </c>
      <c r="E240" s="18">
        <v>0.3678678870201111</v>
      </c>
      <c r="F240" s="18">
        <v>27.222222805023193</v>
      </c>
      <c r="G240" s="18">
        <v>417.0</v>
      </c>
      <c r="H240" s="19">
        <v>0.06528110802173615</v>
      </c>
      <c r="I240" s="8"/>
      <c r="J240" s="8"/>
      <c r="K240" s="20"/>
      <c r="L240" s="18">
        <v>51402.0</v>
      </c>
      <c r="M240" s="18">
        <v>0.0</v>
      </c>
      <c r="N240" s="18">
        <v>176.0</v>
      </c>
      <c r="O240" s="18">
        <v>0.15658363699913025</v>
      </c>
      <c r="P240" s="18">
        <v>0.3787878751754761</v>
      </c>
      <c r="Q240" s="18">
        <v>66.66666802763939</v>
      </c>
      <c r="R240" s="18">
        <v>1124.0</v>
      </c>
      <c r="S240" s="19">
        <v>0.05931198224425316</v>
      </c>
      <c r="T240" s="8"/>
      <c r="U240" s="8"/>
      <c r="V240" s="8"/>
      <c r="W240" s="8"/>
      <c r="X240" s="8"/>
      <c r="Y240" s="8"/>
      <c r="Z240" s="8"/>
      <c r="AA240" s="8"/>
      <c r="AB240" s="8"/>
    </row>
    <row r="241" ht="15.75" customHeight="1">
      <c r="A241" s="18">
        <v>51501.0</v>
      </c>
      <c r="B241" s="18">
        <v>1.0</v>
      </c>
      <c r="C241" s="18">
        <v>697.0</v>
      </c>
      <c r="D241" s="18">
        <v>0.06775541603565216</v>
      </c>
      <c r="E241" s="18">
        <v>0.3931133449077606</v>
      </c>
      <c r="F241" s="18">
        <v>274.00000688433647</v>
      </c>
      <c r="G241" s="18">
        <v>10287.0</v>
      </c>
      <c r="H241" s="19">
        <v>0.026635557413101196</v>
      </c>
      <c r="I241" s="8"/>
      <c r="J241" s="8"/>
      <c r="K241" s="20"/>
      <c r="L241" s="18">
        <v>51501.0</v>
      </c>
      <c r="M241" s="18">
        <v>0.0</v>
      </c>
      <c r="N241" s="18">
        <v>1999.0</v>
      </c>
      <c r="O241" s="18">
        <v>0.0527663379907608</v>
      </c>
      <c r="P241" s="18">
        <v>0.3714079260826111</v>
      </c>
      <c r="Q241" s="18">
        <v>742.4444625079632</v>
      </c>
      <c r="R241" s="18">
        <v>37884.0</v>
      </c>
      <c r="S241" s="19">
        <v>0.019597835838794708</v>
      </c>
      <c r="T241" s="8"/>
      <c r="U241" s="8"/>
      <c r="V241" s="8"/>
      <c r="W241" s="8"/>
      <c r="X241" s="8"/>
      <c r="Y241" s="8"/>
      <c r="Z241" s="8"/>
      <c r="AA241" s="8"/>
      <c r="AB241" s="8"/>
    </row>
    <row r="242" ht="15.75" customHeight="1">
      <c r="A242" s="18">
        <v>51601.0</v>
      </c>
      <c r="B242" s="18">
        <v>1.0</v>
      </c>
      <c r="C242" s="18">
        <v>41.0</v>
      </c>
      <c r="D242" s="18">
        <v>0.0813492089509964</v>
      </c>
      <c r="E242" s="18">
        <v>0.3658536672592163</v>
      </c>
      <c r="F242" s="18">
        <v>15.000000327825546</v>
      </c>
      <c r="G242" s="18">
        <v>504.0</v>
      </c>
      <c r="H242" s="19">
        <v>0.0297619067132473</v>
      </c>
      <c r="I242" s="8"/>
      <c r="J242" s="8"/>
      <c r="K242" s="20"/>
      <c r="L242" s="18">
        <v>51601.0</v>
      </c>
      <c r="M242" s="18">
        <v>0.0</v>
      </c>
      <c r="N242" s="18">
        <v>98.0</v>
      </c>
      <c r="O242" s="18">
        <v>0.06343042105436325</v>
      </c>
      <c r="P242" s="18">
        <v>0.3571428656578064</v>
      </c>
      <c r="Q242" s="18">
        <v>35.00000098347664</v>
      </c>
      <c r="R242" s="18">
        <v>1545.0</v>
      </c>
      <c r="S242" s="19">
        <v>0.022653723135590553</v>
      </c>
      <c r="T242" s="8"/>
      <c r="U242" s="8"/>
      <c r="V242" s="8"/>
      <c r="W242" s="8"/>
      <c r="X242" s="8"/>
      <c r="Y242" s="8"/>
      <c r="Z242" s="8"/>
      <c r="AA242" s="8"/>
      <c r="AB242" s="8"/>
    </row>
    <row r="243" ht="15.75" customHeight="1">
      <c r="A243" s="18">
        <v>60101.0</v>
      </c>
      <c r="B243" s="18">
        <v>1.0</v>
      </c>
      <c r="C243" s="18">
        <v>1888.0</v>
      </c>
      <c r="D243" s="18">
        <v>0.03659836947917938</v>
      </c>
      <c r="E243" s="18">
        <v>0.3681144118309021</v>
      </c>
      <c r="F243" s="18">
        <v>695.0000166893005</v>
      </c>
      <c r="G243" s="18">
        <v>51587.0</v>
      </c>
      <c r="H243" s="19">
        <v>0.013472387567162514</v>
      </c>
      <c r="I243" s="8"/>
      <c r="J243" s="8"/>
      <c r="K243" s="20"/>
      <c r="L243" s="18">
        <v>60101.0</v>
      </c>
      <c r="M243" s="18">
        <v>0.0</v>
      </c>
      <c r="N243" s="18">
        <v>4672.0</v>
      </c>
      <c r="O243" s="18">
        <v>0.025645388290286064</v>
      </c>
      <c r="P243" s="18">
        <v>0.3618721663951874</v>
      </c>
      <c r="Q243" s="18">
        <v>1690.6667104959488</v>
      </c>
      <c r="R243" s="18">
        <v>182177.0</v>
      </c>
      <c r="S243" s="19">
        <v>0.009280351921916008</v>
      </c>
      <c r="T243" s="8"/>
      <c r="U243" s="8"/>
      <c r="V243" s="8"/>
      <c r="W243" s="8"/>
      <c r="X243" s="8"/>
      <c r="Y243" s="8"/>
      <c r="Z243" s="8"/>
      <c r="AA243" s="8"/>
      <c r="AB243" s="8"/>
    </row>
    <row r="244" ht="15.75" customHeight="1">
      <c r="A244" s="18">
        <v>60201.0</v>
      </c>
      <c r="B244" s="18">
        <v>1.0</v>
      </c>
      <c r="C244" s="18">
        <v>634.0</v>
      </c>
      <c r="D244" s="18">
        <v>0.12394917011260986</v>
      </c>
      <c r="E244" s="18">
        <v>0.39116719365119934</v>
      </c>
      <c r="F244" s="18">
        <v>248.00000593066216</v>
      </c>
      <c r="G244" s="18">
        <v>5115.0</v>
      </c>
      <c r="H244" s="19">
        <v>0.04848485067486763</v>
      </c>
      <c r="I244" s="8"/>
      <c r="J244" s="8"/>
      <c r="K244" s="20"/>
      <c r="L244" s="18">
        <v>60201.0</v>
      </c>
      <c r="M244" s="18">
        <v>0.0</v>
      </c>
      <c r="N244" s="18">
        <v>1182.0</v>
      </c>
      <c r="O244" s="18">
        <v>0.09468118846416473</v>
      </c>
      <c r="P244" s="18">
        <v>0.3743184804916382</v>
      </c>
      <c r="Q244" s="18">
        <v>442.44445592164993</v>
      </c>
      <c r="R244" s="18">
        <v>12484.0</v>
      </c>
      <c r="S244" s="19">
        <v>0.03544091805815697</v>
      </c>
      <c r="T244" s="8"/>
      <c r="U244" s="8"/>
      <c r="V244" s="8"/>
      <c r="W244" s="8"/>
      <c r="X244" s="8"/>
      <c r="Y244" s="8"/>
      <c r="Z244" s="8"/>
      <c r="AA244" s="8"/>
      <c r="AB244" s="8"/>
    </row>
    <row r="245" ht="15.75" customHeight="1">
      <c r="A245" s="18">
        <v>60202.0</v>
      </c>
      <c r="B245" s="18">
        <v>1.0</v>
      </c>
      <c r="C245" s="18">
        <v>233.0</v>
      </c>
      <c r="D245" s="18">
        <v>0.02927871234714985</v>
      </c>
      <c r="E245" s="18">
        <v>0.367668092250824</v>
      </c>
      <c r="F245" s="18">
        <v>85.66666880249977</v>
      </c>
      <c r="G245" s="18">
        <v>7958.0</v>
      </c>
      <c r="H245" s="19">
        <v>0.010764848440885544</v>
      </c>
      <c r="I245" s="8"/>
      <c r="J245" s="8"/>
      <c r="K245" s="20"/>
      <c r="L245" s="18">
        <v>60202.0</v>
      </c>
      <c r="M245" s="18">
        <v>0.0</v>
      </c>
      <c r="N245" s="18">
        <v>844.0</v>
      </c>
      <c r="O245" s="18">
        <v>0.02986130677163601</v>
      </c>
      <c r="P245" s="18">
        <v>0.3630858361721039</v>
      </c>
      <c r="Q245" s="18">
        <v>306.4444525241852</v>
      </c>
      <c r="R245" s="18">
        <v>28264.0</v>
      </c>
      <c r="S245" s="19">
        <v>0.01084221713244915</v>
      </c>
      <c r="T245" s="8"/>
      <c r="U245" s="8"/>
      <c r="V245" s="8"/>
      <c r="W245" s="8"/>
      <c r="X245" s="8"/>
      <c r="Y245" s="8"/>
      <c r="Z245" s="8"/>
      <c r="AA245" s="8"/>
      <c r="AB245" s="8"/>
    </row>
    <row r="246" ht="15.75" customHeight="1">
      <c r="A246" s="18">
        <v>60301.0</v>
      </c>
      <c r="B246" s="18">
        <v>1.0</v>
      </c>
      <c r="C246" s="18">
        <v>938.0</v>
      </c>
      <c r="D246" s="18">
        <v>0.05036241561174393</v>
      </c>
      <c r="E246" s="18">
        <v>0.3668562173843384</v>
      </c>
      <c r="F246" s="18">
        <v>344.11111956834793</v>
      </c>
      <c r="G246" s="18">
        <v>18625.0</v>
      </c>
      <c r="H246" s="19">
        <v>0.018475765362381935</v>
      </c>
      <c r="I246" s="8"/>
      <c r="J246" s="8"/>
      <c r="K246" s="20"/>
      <c r="L246" s="18">
        <v>60301.0</v>
      </c>
      <c r="M246" s="18">
        <v>0.0</v>
      </c>
      <c r="N246" s="18">
        <v>3546.0</v>
      </c>
      <c r="O246" s="18">
        <v>0.046397823840379715</v>
      </c>
      <c r="P246" s="18">
        <v>0.3770759105682373</v>
      </c>
      <c r="Q246" s="18">
        <v>1337.1111449599266</v>
      </c>
      <c r="R246" s="18">
        <v>76426.0</v>
      </c>
      <c r="S246" s="19">
        <v>0.017495501786470413</v>
      </c>
      <c r="T246" s="8"/>
      <c r="U246" s="8"/>
      <c r="V246" s="8"/>
      <c r="W246" s="8"/>
      <c r="X246" s="8"/>
      <c r="Y246" s="8"/>
      <c r="Z246" s="8"/>
      <c r="AA246" s="8"/>
      <c r="AB246" s="8"/>
    </row>
    <row r="247" ht="15.75" customHeight="1">
      <c r="A247" s="18">
        <v>60302.0</v>
      </c>
      <c r="B247" s="18">
        <v>1.0</v>
      </c>
      <c r="C247" s="18">
        <v>253.0</v>
      </c>
      <c r="D247" s="18">
        <v>0.08628921955823898</v>
      </c>
      <c r="E247" s="18">
        <v>0.35880544781684875</v>
      </c>
      <c r="F247" s="18">
        <v>90.77778032422066</v>
      </c>
      <c r="G247" s="18">
        <v>2932.0</v>
      </c>
      <c r="H247" s="19">
        <v>0.030961042270064354</v>
      </c>
      <c r="I247" s="8"/>
      <c r="J247" s="8"/>
      <c r="K247" s="20"/>
      <c r="L247" s="18">
        <v>60302.0</v>
      </c>
      <c r="M247" s="18">
        <v>0.0</v>
      </c>
      <c r="N247" s="18">
        <v>498.0</v>
      </c>
      <c r="O247" s="18">
        <v>0.04042536020278931</v>
      </c>
      <c r="P247" s="18">
        <v>0.3721553087234497</v>
      </c>
      <c r="Q247" s="18">
        <v>185.33333826065063</v>
      </c>
      <c r="R247" s="18">
        <v>12319.0</v>
      </c>
      <c r="S247" s="19">
        <v>0.01504451222717762</v>
      </c>
      <c r="T247" s="8"/>
      <c r="U247" s="8"/>
      <c r="V247" s="8"/>
      <c r="W247" s="8"/>
      <c r="X247" s="8"/>
      <c r="Y247" s="8"/>
      <c r="Z247" s="8"/>
      <c r="AA247" s="8"/>
      <c r="AB247" s="8"/>
    </row>
    <row r="248" ht="15.75" customHeight="1">
      <c r="A248" s="18">
        <v>60303.0</v>
      </c>
      <c r="B248" s="18">
        <v>1.0</v>
      </c>
      <c r="C248" s="18">
        <v>483.0</v>
      </c>
      <c r="D248" s="18">
        <v>0.06141912564635277</v>
      </c>
      <c r="E248" s="18">
        <v>0.3818725645542145</v>
      </c>
      <c r="F248" s="18">
        <v>184.44444912672043</v>
      </c>
      <c r="G248" s="18">
        <v>7864.0</v>
      </c>
      <c r="H248" s="19">
        <v>0.023454278707504272</v>
      </c>
      <c r="I248" s="8"/>
      <c r="J248" s="8"/>
      <c r="K248" s="20"/>
      <c r="L248" s="18">
        <v>60303.0</v>
      </c>
      <c r="M248" s="18">
        <v>0.0</v>
      </c>
      <c r="N248" s="18">
        <v>2193.0</v>
      </c>
      <c r="O248" s="18">
        <v>0.05967346951365471</v>
      </c>
      <c r="P248" s="18">
        <v>0.3731570243835449</v>
      </c>
      <c r="Q248" s="18">
        <v>818.3333544135094</v>
      </c>
      <c r="R248" s="18">
        <v>36750.0</v>
      </c>
      <c r="S248" s="19">
        <v>0.022267574444413185</v>
      </c>
      <c r="T248" s="8"/>
      <c r="U248" s="8"/>
      <c r="V248" s="8"/>
      <c r="W248" s="8"/>
      <c r="X248" s="8"/>
      <c r="Y248" s="8"/>
      <c r="Z248" s="8"/>
      <c r="AA248" s="8"/>
      <c r="AB248" s="8"/>
    </row>
    <row r="249" ht="15.75" customHeight="1">
      <c r="A249" s="18">
        <v>60401.0</v>
      </c>
      <c r="B249" s="18">
        <v>1.0</v>
      </c>
      <c r="C249" s="18">
        <v>464.0</v>
      </c>
      <c r="D249" s="18">
        <v>0.12168896198272705</v>
      </c>
      <c r="E249" s="18">
        <v>0.3618295192718506</v>
      </c>
      <c r="F249" s="18">
        <v>167.88889318704605</v>
      </c>
      <c r="G249" s="18">
        <v>3813.0</v>
      </c>
      <c r="H249" s="19">
        <v>0.04403065890073776</v>
      </c>
      <c r="I249" s="8"/>
      <c r="J249" s="8"/>
      <c r="K249" s="20"/>
      <c r="L249" s="18">
        <v>60401.0</v>
      </c>
      <c r="M249" s="18">
        <v>0.0</v>
      </c>
      <c r="N249" s="18">
        <v>758.0</v>
      </c>
      <c r="O249" s="18">
        <v>0.06293067336082458</v>
      </c>
      <c r="P249" s="18">
        <v>0.3737906813621521</v>
      </c>
      <c r="Q249" s="18">
        <v>283.33334016799927</v>
      </c>
      <c r="R249" s="18">
        <v>12045.0</v>
      </c>
      <c r="S249" s="19">
        <v>0.02352289855480194</v>
      </c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18">
        <v>60402.0</v>
      </c>
      <c r="B250" s="18">
        <v>1.0</v>
      </c>
      <c r="C250" s="18">
        <v>141.0</v>
      </c>
      <c r="D250" s="18">
        <v>0.1256684511899948</v>
      </c>
      <c r="E250" s="18">
        <v>0.38455477356910706</v>
      </c>
      <c r="F250" s="18">
        <v>54.22222343087196</v>
      </c>
      <c r="G250" s="18">
        <v>1122.0</v>
      </c>
      <c r="H250" s="19">
        <v>0.04832640290260315</v>
      </c>
      <c r="I250" s="8"/>
      <c r="J250" s="8"/>
      <c r="K250" s="20"/>
      <c r="L250" s="18">
        <v>60402.0</v>
      </c>
      <c r="M250" s="18">
        <v>0.0</v>
      </c>
      <c r="N250" s="18">
        <v>392.0</v>
      </c>
      <c r="O250" s="18">
        <v>0.1087680384516716</v>
      </c>
      <c r="P250" s="18">
        <v>0.3778344690799713</v>
      </c>
      <c r="Q250" s="18">
        <v>148.11111441254616</v>
      </c>
      <c r="R250" s="18">
        <v>3604.0</v>
      </c>
      <c r="S250" s="19">
        <v>0.041096314787864685</v>
      </c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18">
        <v>60501.0</v>
      </c>
      <c r="B251" s="18">
        <v>1.0</v>
      </c>
      <c r="C251" s="18">
        <v>880.0</v>
      </c>
      <c r="D251" s="18">
        <v>0.1171770989894867</v>
      </c>
      <c r="E251" s="18">
        <v>0.394696980714798</v>
      </c>
      <c r="F251" s="18">
        <v>347.3333422243595</v>
      </c>
      <c r="G251" s="18">
        <v>7510.0</v>
      </c>
      <c r="H251" s="19">
        <v>0.04624944552779198</v>
      </c>
      <c r="I251" s="8"/>
      <c r="J251" s="8"/>
      <c r="K251" s="20"/>
      <c r="L251" s="18">
        <v>60501.0</v>
      </c>
      <c r="M251" s="18">
        <v>0.0</v>
      </c>
      <c r="N251" s="18">
        <v>1935.0</v>
      </c>
      <c r="O251" s="18">
        <v>0.08514851331710815</v>
      </c>
      <c r="P251" s="18">
        <v>0.37754809856414795</v>
      </c>
      <c r="Q251" s="18">
        <v>730.5555737018585</v>
      </c>
      <c r="R251" s="18">
        <v>22725.0</v>
      </c>
      <c r="S251" s="19">
        <v>0.03214766085147858</v>
      </c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18">
        <v>60502.0</v>
      </c>
      <c r="B252" s="18">
        <v>1.0</v>
      </c>
      <c r="C252" s="18">
        <v>240.0</v>
      </c>
      <c r="D252" s="18">
        <v>0.09603841602802277</v>
      </c>
      <c r="E252" s="18">
        <v>0.39027777314186096</v>
      </c>
      <c r="F252" s="18">
        <v>93.66666880249977</v>
      </c>
      <c r="G252" s="18">
        <v>2499.0</v>
      </c>
      <c r="H252" s="19">
        <v>0.03748165816068649</v>
      </c>
      <c r="I252" s="8"/>
      <c r="J252" s="8"/>
      <c r="K252" s="20"/>
      <c r="L252" s="18">
        <v>60502.0</v>
      </c>
      <c r="M252" s="18">
        <v>0.0</v>
      </c>
      <c r="N252" s="18">
        <v>345.0</v>
      </c>
      <c r="O252" s="18">
        <v>0.049668874591588974</v>
      </c>
      <c r="P252" s="18">
        <v>0.36811596155166626</v>
      </c>
      <c r="Q252" s="18">
        <v>127.00000348687172</v>
      </c>
      <c r="R252" s="18">
        <v>6946.0</v>
      </c>
      <c r="S252" s="19">
        <v>0.01828390546143055</v>
      </c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18">
        <v>60601.0</v>
      </c>
      <c r="B253" s="18">
        <v>1.0</v>
      </c>
      <c r="C253" s="18">
        <v>750.0</v>
      </c>
      <c r="D253" s="18">
        <v>0.1450396478176117</v>
      </c>
      <c r="E253" s="18">
        <v>0.38562965393066406</v>
      </c>
      <c r="F253" s="18">
        <v>289.2222293615341</v>
      </c>
      <c r="G253" s="18">
        <v>5171.0</v>
      </c>
      <c r="H253" s="19">
        <v>0.055931590497493744</v>
      </c>
      <c r="I253" s="8"/>
      <c r="J253" s="8"/>
      <c r="K253" s="20"/>
      <c r="L253" s="18">
        <v>60601.0</v>
      </c>
      <c r="M253" s="18">
        <v>0.0</v>
      </c>
      <c r="N253" s="18">
        <v>1630.0</v>
      </c>
      <c r="O253" s="18">
        <v>0.10640381276607513</v>
      </c>
      <c r="P253" s="18">
        <v>0.38357192277908325</v>
      </c>
      <c r="Q253" s="18">
        <v>625.2222374379635</v>
      </c>
      <c r="R253" s="18">
        <v>15319.0</v>
      </c>
      <c r="S253" s="19">
        <v>0.040813516825437546</v>
      </c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18">
        <v>70101.0</v>
      </c>
      <c r="B254" s="18">
        <v>1.0</v>
      </c>
      <c r="C254" s="18">
        <v>4670.0</v>
      </c>
      <c r="D254" s="18">
        <v>0.015683455392718315</v>
      </c>
      <c r="E254" s="18">
        <v>0.3568165600299835</v>
      </c>
      <c r="F254" s="18">
        <v>1666.333376467228</v>
      </c>
      <c r="G254" s="18">
        <v>297766.0</v>
      </c>
      <c r="H254" s="19">
        <v>0.005596116650849581</v>
      </c>
      <c r="I254" s="8"/>
      <c r="J254" s="8"/>
      <c r="K254" s="20"/>
      <c r="L254" s="18">
        <v>70101.0</v>
      </c>
      <c r="M254" s="18">
        <v>0.0</v>
      </c>
      <c r="N254" s="18">
        <v>21789.0</v>
      </c>
      <c r="O254" s="18">
        <v>0.016996748745441437</v>
      </c>
      <c r="P254" s="18">
        <v>0.35404714941978455</v>
      </c>
      <c r="Q254" s="18">
        <v>7714.333537787199</v>
      </c>
      <c r="R254" s="18">
        <v>1281951.0</v>
      </c>
      <c r="S254" s="19">
        <v>0.006017650477588177</v>
      </c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18">
        <v>70102.0</v>
      </c>
      <c r="B255" s="18">
        <v>1.0</v>
      </c>
      <c r="C255" s="18">
        <v>1144.0</v>
      </c>
      <c r="D255" s="18">
        <v>0.08676526695489883</v>
      </c>
      <c r="E255" s="18">
        <v>0.3614996075630188</v>
      </c>
      <c r="F255" s="18">
        <v>413.5555666089058</v>
      </c>
      <c r="G255" s="18">
        <v>13185.0</v>
      </c>
      <c r="H255" s="19">
        <v>0.03136561065912247</v>
      </c>
      <c r="I255" s="8"/>
      <c r="J255" s="8"/>
      <c r="K255" s="20"/>
      <c r="L255" s="18">
        <v>70102.0</v>
      </c>
      <c r="M255" s="18">
        <v>0.0</v>
      </c>
      <c r="N255" s="18">
        <v>5242.0</v>
      </c>
      <c r="O255" s="18">
        <v>0.05668007582426071</v>
      </c>
      <c r="P255" s="18">
        <v>0.3584086000919342</v>
      </c>
      <c r="Q255" s="18">
        <v>1878.7778270542622</v>
      </c>
      <c r="R255" s="18">
        <v>92484.0</v>
      </c>
      <c r="S255" s="19">
        <v>0.020314626395702362</v>
      </c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18">
        <v>70103.0</v>
      </c>
      <c r="B256" s="18">
        <v>1.0</v>
      </c>
      <c r="C256" s="18">
        <v>183.0</v>
      </c>
      <c r="D256" s="18">
        <v>0.040912140160799026</v>
      </c>
      <c r="E256" s="18">
        <v>0.3594414293766022</v>
      </c>
      <c r="F256" s="18">
        <v>65.77777948975563</v>
      </c>
      <c r="G256" s="18">
        <v>4473.0</v>
      </c>
      <c r="H256" s="19">
        <v>0.014705518260598183</v>
      </c>
      <c r="I256" s="8"/>
      <c r="J256" s="8"/>
      <c r="K256" s="20"/>
      <c r="L256" s="18">
        <v>70103.0</v>
      </c>
      <c r="M256" s="18">
        <v>0.0</v>
      </c>
      <c r="N256" s="18">
        <v>648.0</v>
      </c>
      <c r="O256" s="18">
        <v>0.035179153084754944</v>
      </c>
      <c r="P256" s="18">
        <v>0.37362825870513916</v>
      </c>
      <c r="Q256" s="18">
        <v>242.11111754179</v>
      </c>
      <c r="R256" s="18">
        <v>18420.0</v>
      </c>
      <c r="S256" s="19">
        <v>0.013143925927579403</v>
      </c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18">
        <v>70104.0</v>
      </c>
      <c r="B257" s="18">
        <v>1.0</v>
      </c>
      <c r="C257" s="18">
        <v>723.0</v>
      </c>
      <c r="D257" s="18">
        <v>0.04200801998376846</v>
      </c>
      <c r="E257" s="18">
        <v>0.3503918945789337</v>
      </c>
      <c r="F257" s="18">
        <v>253.33334004878998</v>
      </c>
      <c r="G257" s="18">
        <v>17211.0</v>
      </c>
      <c r="H257" s="19">
        <v>0.014719270169734955</v>
      </c>
      <c r="I257" s="8"/>
      <c r="J257" s="8"/>
      <c r="K257" s="20"/>
      <c r="L257" s="18">
        <v>70104.0</v>
      </c>
      <c r="M257" s="18">
        <v>0.0</v>
      </c>
      <c r="N257" s="18">
        <v>4051.0</v>
      </c>
      <c r="O257" s="18">
        <v>0.031279437243938446</v>
      </c>
      <c r="P257" s="18">
        <v>0.35080501437187195</v>
      </c>
      <c r="Q257" s="18">
        <v>1421.1111494898796</v>
      </c>
      <c r="R257" s="18">
        <v>129510.0</v>
      </c>
      <c r="S257" s="19">
        <v>0.010972983203828335</v>
      </c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18">
        <v>70105.0</v>
      </c>
      <c r="B258" s="18">
        <v>1.0</v>
      </c>
      <c r="C258" s="18">
        <v>741.0</v>
      </c>
      <c r="D258" s="18">
        <v>0.07918358594179153</v>
      </c>
      <c r="E258" s="18">
        <v>0.36152347922325134</v>
      </c>
      <c r="F258" s="18">
        <v>267.88889595866203</v>
      </c>
      <c r="G258" s="18">
        <v>9358.0</v>
      </c>
      <c r="H258" s="19">
        <v>0.02862672507762909</v>
      </c>
      <c r="I258" s="8"/>
      <c r="J258" s="8"/>
      <c r="K258" s="20"/>
      <c r="L258" s="18">
        <v>70105.0</v>
      </c>
      <c r="M258" s="18">
        <v>0.0</v>
      </c>
      <c r="N258" s="18">
        <v>2046.0</v>
      </c>
      <c r="O258" s="18">
        <v>0.044936418533325195</v>
      </c>
      <c r="P258" s="18">
        <v>0.35375258326530457</v>
      </c>
      <c r="Q258" s="18">
        <v>723.7777967453003</v>
      </c>
      <c r="R258" s="18">
        <v>45531.0</v>
      </c>
      <c r="S258" s="19">
        <v>0.015896374359726906</v>
      </c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18">
        <v>70201.0</v>
      </c>
      <c r="B259" s="18">
        <v>1.0</v>
      </c>
      <c r="C259" s="18">
        <v>1083.0</v>
      </c>
      <c r="D259" s="18">
        <v>0.05816638842225075</v>
      </c>
      <c r="E259" s="18">
        <v>0.35539141297340393</v>
      </c>
      <c r="F259" s="18">
        <v>384.88889876008034</v>
      </c>
      <c r="G259" s="18">
        <v>18619.0</v>
      </c>
      <c r="H259" s="19">
        <v>0.02067183516919613</v>
      </c>
      <c r="I259" s="8"/>
      <c r="J259" s="8"/>
      <c r="K259" s="20"/>
      <c r="L259" s="18">
        <v>70201.0</v>
      </c>
      <c r="M259" s="18">
        <v>0.0</v>
      </c>
      <c r="N259" s="18">
        <v>5914.0</v>
      </c>
      <c r="O259" s="18">
        <v>0.04531453549861908</v>
      </c>
      <c r="P259" s="18">
        <v>0.3575320541858673</v>
      </c>
      <c r="Q259" s="18">
        <v>2114.4444978535175</v>
      </c>
      <c r="R259" s="18">
        <v>130510.0</v>
      </c>
      <c r="S259" s="19">
        <v>0.016201399266719818</v>
      </c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18">
        <v>70202.0</v>
      </c>
      <c r="B260" s="18">
        <v>1.0</v>
      </c>
      <c r="C260" s="18">
        <v>116.0</v>
      </c>
      <c r="D260" s="18">
        <v>0.05686274543404579</v>
      </c>
      <c r="E260" s="18">
        <v>0.3409961760044098</v>
      </c>
      <c r="F260" s="18">
        <v>39.555556654930115</v>
      </c>
      <c r="G260" s="18">
        <v>2040.0</v>
      </c>
      <c r="H260" s="19">
        <v>0.019389979541301727</v>
      </c>
      <c r="I260" s="8"/>
      <c r="J260" s="8"/>
      <c r="K260" s="20"/>
      <c r="L260" s="18">
        <v>70202.0</v>
      </c>
      <c r="M260" s="18">
        <v>0.0</v>
      </c>
      <c r="N260" s="18">
        <v>264.0</v>
      </c>
      <c r="O260" s="18">
        <v>0.03161676600575447</v>
      </c>
      <c r="P260" s="18">
        <v>0.3543771207332611</v>
      </c>
      <c r="Q260" s="18">
        <v>93.55555784702301</v>
      </c>
      <c r="R260" s="18">
        <v>8350.0</v>
      </c>
      <c r="S260" s="19">
        <v>0.011204258538782597</v>
      </c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18">
        <v>70301.0</v>
      </c>
      <c r="B261" s="18">
        <v>1.0</v>
      </c>
      <c r="C261" s="18">
        <v>1159.0</v>
      </c>
      <c r="D261" s="18">
        <v>0.1128309965133667</v>
      </c>
      <c r="E261" s="18">
        <v>0.37033841013908386</v>
      </c>
      <c r="F261" s="18">
        <v>429.2222334742546</v>
      </c>
      <c r="G261" s="18">
        <v>10272.0</v>
      </c>
      <c r="H261" s="19">
        <v>0.04178565368056297</v>
      </c>
      <c r="I261" s="8"/>
      <c r="J261" s="8"/>
      <c r="K261" s="20"/>
      <c r="L261" s="18">
        <v>70301.0</v>
      </c>
      <c r="M261" s="18">
        <v>0.0</v>
      </c>
      <c r="N261" s="18">
        <v>7483.0</v>
      </c>
      <c r="O261" s="18">
        <v>0.13563531637191772</v>
      </c>
      <c r="P261" s="18">
        <v>0.3766760230064392</v>
      </c>
      <c r="Q261" s="18">
        <v>2818.666736483574</v>
      </c>
      <c r="R261" s="18">
        <v>55170.0</v>
      </c>
      <c r="S261" s="19">
        <v>0.05109057202935219</v>
      </c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18">
        <v>70302.0</v>
      </c>
      <c r="B262" s="18">
        <v>1.0</v>
      </c>
      <c r="C262" s="18">
        <v>400.0</v>
      </c>
      <c r="D262" s="18">
        <v>0.14886491000652313</v>
      </c>
      <c r="E262" s="18">
        <v>0.3680555522441864</v>
      </c>
      <c r="F262" s="18">
        <v>147.22222611308098</v>
      </c>
      <c r="G262" s="18">
        <v>2687.0</v>
      </c>
      <c r="H262" s="19">
        <v>0.05479055643081665</v>
      </c>
      <c r="I262" s="8"/>
      <c r="J262" s="8"/>
      <c r="K262" s="20"/>
      <c r="L262" s="18">
        <v>70302.0</v>
      </c>
      <c r="M262" s="18">
        <v>0.0</v>
      </c>
      <c r="N262" s="18">
        <v>2024.0</v>
      </c>
      <c r="O262" s="18">
        <v>0.16249197721481323</v>
      </c>
      <c r="P262" s="18">
        <v>0.3780742287635803</v>
      </c>
      <c r="Q262" s="18">
        <v>765.2222414016724</v>
      </c>
      <c r="R262" s="18">
        <v>12456.0</v>
      </c>
      <c r="S262" s="19">
        <v>0.061434030532836914</v>
      </c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18">
        <v>70303.0</v>
      </c>
      <c r="B263" s="18">
        <v>1.0</v>
      </c>
      <c r="C263" s="18">
        <v>176.0</v>
      </c>
      <c r="D263" s="18">
        <v>0.14915254712104797</v>
      </c>
      <c r="E263" s="18">
        <v>0.36616161465644836</v>
      </c>
      <c r="F263" s="18">
        <v>64.44444617629051</v>
      </c>
      <c r="G263" s="18">
        <v>1180.0</v>
      </c>
      <c r="H263" s="19">
        <v>0.05461393669247627</v>
      </c>
      <c r="I263" s="8"/>
      <c r="J263" s="8"/>
      <c r="K263" s="20"/>
      <c r="L263" s="18">
        <v>70303.0</v>
      </c>
      <c r="M263" s="18">
        <v>0.0</v>
      </c>
      <c r="N263" s="18">
        <v>1349.0</v>
      </c>
      <c r="O263" s="18">
        <v>0.18097665905952454</v>
      </c>
      <c r="P263" s="18">
        <v>0.35927850008010864</v>
      </c>
      <c r="Q263" s="18">
        <v>484.6666796207428</v>
      </c>
      <c r="R263" s="18">
        <v>7454.0</v>
      </c>
      <c r="S263" s="19">
        <v>0.06502102315425873</v>
      </c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18">
        <v>70401.0</v>
      </c>
      <c r="B264" s="18">
        <v>1.0</v>
      </c>
      <c r="C264" s="18">
        <v>185.0</v>
      </c>
      <c r="D264" s="18">
        <v>0.06452737748622894</v>
      </c>
      <c r="E264" s="18">
        <v>0.3633633852005005</v>
      </c>
      <c r="F264" s="18">
        <v>67.22222402691841</v>
      </c>
      <c r="G264" s="18">
        <v>2867.0</v>
      </c>
      <c r="H264" s="19">
        <v>0.023446885868906975</v>
      </c>
      <c r="I264" s="8"/>
      <c r="J264" s="8"/>
      <c r="K264" s="20"/>
      <c r="L264" s="18">
        <v>70401.0</v>
      </c>
      <c r="M264" s="18">
        <v>0.0</v>
      </c>
      <c r="N264" s="18">
        <v>553.0</v>
      </c>
      <c r="O264" s="18">
        <v>0.05463887006044388</v>
      </c>
      <c r="P264" s="18">
        <v>0.3697006404399872</v>
      </c>
      <c r="Q264" s="18">
        <v>204.44444957375526</v>
      </c>
      <c r="R264" s="18">
        <v>10121.0</v>
      </c>
      <c r="S264" s="19">
        <v>0.020200025290250778</v>
      </c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18">
        <v>70402.0</v>
      </c>
      <c r="B265" s="18">
        <v>1.0</v>
      </c>
      <c r="C265" s="18">
        <v>375.0</v>
      </c>
      <c r="D265" s="18">
        <v>0.09752926230430603</v>
      </c>
      <c r="E265" s="18">
        <v>0.36622223258018494</v>
      </c>
      <c r="F265" s="18">
        <v>137.3333366215229</v>
      </c>
      <c r="G265" s="18">
        <v>3845.0</v>
      </c>
      <c r="H265" s="19">
        <v>0.03571738302707672</v>
      </c>
      <c r="I265" s="8"/>
      <c r="J265" s="8"/>
      <c r="K265" s="20"/>
      <c r="L265" s="18">
        <v>70402.0</v>
      </c>
      <c r="M265" s="18">
        <v>0.0</v>
      </c>
      <c r="N265" s="18">
        <v>998.0</v>
      </c>
      <c r="O265" s="18">
        <v>0.06721443682909012</v>
      </c>
      <c r="P265" s="18">
        <v>0.37207749485969543</v>
      </c>
      <c r="Q265" s="18">
        <v>371.33334243297577</v>
      </c>
      <c r="R265" s="18">
        <v>14848.0</v>
      </c>
      <c r="S265" s="19">
        <v>0.025008980184793472</v>
      </c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18">
        <v>70403.0</v>
      </c>
      <c r="B266" s="18">
        <v>1.0</v>
      </c>
      <c r="C266" s="18">
        <v>1231.0</v>
      </c>
      <c r="D266" s="18">
        <v>0.16237963736057281</v>
      </c>
      <c r="E266" s="18">
        <v>0.3772001266479492</v>
      </c>
      <c r="F266" s="18">
        <v>464.3333448767662</v>
      </c>
      <c r="G266" s="18">
        <v>7581.0</v>
      </c>
      <c r="H266" s="19">
        <v>0.06124962121248245</v>
      </c>
      <c r="I266" s="8"/>
      <c r="J266" s="8"/>
      <c r="K266" s="20"/>
      <c r="L266" s="18">
        <v>70403.0</v>
      </c>
      <c r="M266" s="18">
        <v>0.0</v>
      </c>
      <c r="N266" s="18">
        <v>6582.0</v>
      </c>
      <c r="O266" s="18">
        <v>0.13414311408996582</v>
      </c>
      <c r="P266" s="18">
        <v>0.3712144196033478</v>
      </c>
      <c r="Q266" s="18">
        <v>2443.3333914875984</v>
      </c>
      <c r="R266" s="18">
        <v>49067.0</v>
      </c>
      <c r="S266" s="19">
        <v>0.049795858561992645</v>
      </c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18">
        <v>70404.0</v>
      </c>
      <c r="B267" s="18">
        <v>1.0</v>
      </c>
      <c r="C267" s="18">
        <v>141.0</v>
      </c>
      <c r="D267" s="18">
        <v>0.09501347690820694</v>
      </c>
      <c r="E267" s="18">
        <v>0.3814027011394501</v>
      </c>
      <c r="F267" s="18">
        <v>53.777779042720795</v>
      </c>
      <c r="G267" s="18">
        <v>1484.0</v>
      </c>
      <c r="H267" s="19">
        <v>0.036238398402929306</v>
      </c>
      <c r="I267" s="8"/>
      <c r="J267" s="8"/>
      <c r="K267" s="20"/>
      <c r="L267" s="18">
        <v>70404.0</v>
      </c>
      <c r="M267" s="18">
        <v>0.0</v>
      </c>
      <c r="N267" s="18">
        <v>632.0</v>
      </c>
      <c r="O267" s="18">
        <v>0.07305514067411423</v>
      </c>
      <c r="P267" s="18">
        <v>0.3677918612957001</v>
      </c>
      <c r="Q267" s="18">
        <v>232.4444505572319</v>
      </c>
      <c r="R267" s="18">
        <v>8651.0</v>
      </c>
      <c r="S267" s="19">
        <v>0.026869086548686028</v>
      </c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18">
        <v>70501.0</v>
      </c>
      <c r="B268" s="18">
        <v>1.0</v>
      </c>
      <c r="C268" s="18">
        <v>501.0</v>
      </c>
      <c r="D268" s="18">
        <v>0.10224489867687225</v>
      </c>
      <c r="E268" s="18">
        <v>0.3637170195579529</v>
      </c>
      <c r="F268" s="18">
        <v>182.22222685813904</v>
      </c>
      <c r="G268" s="18">
        <v>4900.0</v>
      </c>
      <c r="H268" s="19">
        <v>0.03718820959329605</v>
      </c>
      <c r="I268" s="8"/>
      <c r="J268" s="8"/>
      <c r="K268" s="20"/>
      <c r="L268" s="18">
        <v>70501.0</v>
      </c>
      <c r="M268" s="18">
        <v>0.0</v>
      </c>
      <c r="N268" s="18">
        <v>6451.0</v>
      </c>
      <c r="O268" s="18">
        <v>0.1820259541273117</v>
      </c>
      <c r="P268" s="18">
        <v>0.35953083634376526</v>
      </c>
      <c r="Q268" s="18">
        <v>2319.333392202854</v>
      </c>
      <c r="R268" s="18">
        <v>35440.0</v>
      </c>
      <c r="S268" s="19">
        <v>0.06544394046068192</v>
      </c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18">
        <v>70502.0</v>
      </c>
      <c r="B269" s="18">
        <v>1.0</v>
      </c>
      <c r="C269" s="18">
        <v>474.0</v>
      </c>
      <c r="D269" s="18">
        <v>0.09516161680221558</v>
      </c>
      <c r="E269" s="18">
        <v>0.35771214962005615</v>
      </c>
      <c r="F269" s="18">
        <v>169.55555999279022</v>
      </c>
      <c r="G269" s="18">
        <v>4981.0</v>
      </c>
      <c r="H269" s="19">
        <v>0.03404046595096588</v>
      </c>
      <c r="I269" s="8"/>
      <c r="J269" s="8"/>
      <c r="K269" s="20"/>
      <c r="L269" s="18">
        <v>70502.0</v>
      </c>
      <c r="M269" s="18">
        <v>0.0</v>
      </c>
      <c r="N269" s="18">
        <v>5334.0</v>
      </c>
      <c r="O269" s="18">
        <v>0.11177000403404236</v>
      </c>
      <c r="P269" s="18">
        <v>0.3534558415412903</v>
      </c>
      <c r="Q269" s="18">
        <v>1885.3333830535412</v>
      </c>
      <c r="R269" s="18">
        <v>47723.0</v>
      </c>
      <c r="S269" s="19">
        <v>0.03950576111674309</v>
      </c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18">
        <v>70503.0</v>
      </c>
      <c r="B270" s="18">
        <v>1.0</v>
      </c>
      <c r="C270" s="18">
        <v>196.0</v>
      </c>
      <c r="D270" s="18">
        <v>0.04787493869662285</v>
      </c>
      <c r="E270" s="18">
        <v>0.3622449040412903</v>
      </c>
      <c r="F270" s="18">
        <v>71.00000181794167</v>
      </c>
      <c r="G270" s="18">
        <v>4094.0</v>
      </c>
      <c r="H270" s="19">
        <v>0.017342451959848404</v>
      </c>
      <c r="I270" s="8"/>
      <c r="J270" s="8"/>
      <c r="K270" s="20"/>
      <c r="L270" s="18">
        <v>70503.0</v>
      </c>
      <c r="M270" s="18">
        <v>0.0</v>
      </c>
      <c r="N270" s="18">
        <v>829.0</v>
      </c>
      <c r="O270" s="18">
        <v>0.06102318689227104</v>
      </c>
      <c r="P270" s="18">
        <v>0.3689854145050049</v>
      </c>
      <c r="Q270" s="18">
        <v>305.88889667391777</v>
      </c>
      <c r="R270" s="18">
        <v>13585.0</v>
      </c>
      <c r="S270" s="19">
        <v>0.02251666598021984</v>
      </c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18">
        <v>70601.0</v>
      </c>
      <c r="B271" s="18">
        <v>1.0</v>
      </c>
      <c r="C271" s="18">
        <v>154.0</v>
      </c>
      <c r="D271" s="18">
        <v>0.03155091032385826</v>
      </c>
      <c r="E271" s="18">
        <v>0.3593073785305023</v>
      </c>
      <c r="F271" s="18">
        <v>55.33333492279053</v>
      </c>
      <c r="G271" s="18">
        <v>4881.0</v>
      </c>
      <c r="H271" s="19">
        <v>0.011336474679410458</v>
      </c>
      <c r="I271" s="8"/>
      <c r="J271" s="8"/>
      <c r="K271" s="20"/>
      <c r="L271" s="18">
        <v>70601.0</v>
      </c>
      <c r="M271" s="18">
        <v>0.0</v>
      </c>
      <c r="N271" s="18">
        <v>565.0</v>
      </c>
      <c r="O271" s="18">
        <v>0.03623885661363602</v>
      </c>
      <c r="P271" s="18">
        <v>0.3699115216732025</v>
      </c>
      <c r="Q271" s="18">
        <v>209.00000566244125</v>
      </c>
      <c r="R271" s="18">
        <v>15591.0</v>
      </c>
      <c r="S271" s="19">
        <v>0.013405170291662216</v>
      </c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18">
        <v>70602.0</v>
      </c>
      <c r="B272" s="18">
        <v>1.0</v>
      </c>
      <c r="C272" s="18">
        <v>341.0</v>
      </c>
      <c r="D272" s="18">
        <v>0.09832756966352463</v>
      </c>
      <c r="E272" s="18">
        <v>0.36917564272880554</v>
      </c>
      <c r="F272" s="18">
        <v>125.88889190554619</v>
      </c>
      <c r="G272" s="18">
        <v>3468.0</v>
      </c>
      <c r="H272" s="19">
        <v>0.03630014508962631</v>
      </c>
      <c r="I272" s="8"/>
      <c r="J272" s="8"/>
      <c r="K272" s="20"/>
      <c r="L272" s="18">
        <v>70602.0</v>
      </c>
      <c r="M272" s="18">
        <v>0.0</v>
      </c>
      <c r="N272" s="18">
        <v>1069.0</v>
      </c>
      <c r="O272" s="18">
        <v>0.0750386044383049</v>
      </c>
      <c r="P272" s="18">
        <v>0.3576551377773285</v>
      </c>
      <c r="Q272" s="18">
        <v>382.3333433866501</v>
      </c>
      <c r="R272" s="18">
        <v>14246.0</v>
      </c>
      <c r="S272" s="19">
        <v>0.026837943121790886</v>
      </c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18">
        <v>70603.0</v>
      </c>
      <c r="B273" s="18">
        <v>1.0</v>
      </c>
      <c r="C273" s="18">
        <v>72.0</v>
      </c>
      <c r="D273" s="18">
        <v>0.05066854506731033</v>
      </c>
      <c r="E273" s="18">
        <v>0.3688271641731262</v>
      </c>
      <c r="F273" s="18">
        <v>26.55555632710457</v>
      </c>
      <c r="G273" s="18">
        <v>1421.0</v>
      </c>
      <c r="H273" s="19">
        <v>0.018687935546040535</v>
      </c>
      <c r="I273" s="8"/>
      <c r="J273" s="8"/>
      <c r="K273" s="20"/>
      <c r="L273" s="18">
        <v>70603.0</v>
      </c>
      <c r="M273" s="18">
        <v>0.0</v>
      </c>
      <c r="N273" s="18">
        <v>270.0</v>
      </c>
      <c r="O273" s="18">
        <v>0.05947136506438255</v>
      </c>
      <c r="P273" s="18">
        <v>0.34609055519104004</v>
      </c>
      <c r="Q273" s="18">
        <v>93.44444698095322</v>
      </c>
      <c r="R273" s="18">
        <v>4540.0</v>
      </c>
      <c r="S273" s="19">
        <v>0.020582478493452072</v>
      </c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18">
        <v>70701.0</v>
      </c>
      <c r="B274" s="18">
        <v>1.0</v>
      </c>
      <c r="C274" s="18">
        <v>114.0</v>
      </c>
      <c r="D274" s="18">
        <v>0.1071428582072258</v>
      </c>
      <c r="E274" s="18">
        <v>0.3947368562221527</v>
      </c>
      <c r="F274" s="18">
        <v>45.000001192092896</v>
      </c>
      <c r="G274" s="18">
        <v>1064.0</v>
      </c>
      <c r="H274" s="19">
        <v>0.042293235659599304</v>
      </c>
      <c r="I274" s="8"/>
      <c r="J274" s="8"/>
      <c r="K274" s="20"/>
      <c r="L274" s="18">
        <v>70701.0</v>
      </c>
      <c r="M274" s="18">
        <v>0.0</v>
      </c>
      <c r="N274" s="18">
        <v>238.0</v>
      </c>
      <c r="O274" s="18">
        <v>0.050724636763334274</v>
      </c>
      <c r="P274" s="18">
        <v>0.38141924142837524</v>
      </c>
      <c r="Q274" s="18">
        <v>90.77778035402298</v>
      </c>
      <c r="R274" s="18">
        <v>4692.0</v>
      </c>
      <c r="S274" s="19">
        <v>0.019347352907061577</v>
      </c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18">
        <v>70702.0</v>
      </c>
      <c r="B275" s="18">
        <v>1.0</v>
      </c>
      <c r="C275" s="18">
        <v>669.0</v>
      </c>
      <c r="D275" s="18">
        <v>0.11861702054738998</v>
      </c>
      <c r="E275" s="18">
        <v>0.3640591502189636</v>
      </c>
      <c r="F275" s="18">
        <v>243.55556219816208</v>
      </c>
      <c r="G275" s="18">
        <v>5640.0</v>
      </c>
      <c r="H275" s="19">
        <v>0.04318360984325409</v>
      </c>
      <c r="I275" s="8"/>
      <c r="J275" s="8"/>
      <c r="K275" s="20"/>
      <c r="L275" s="18">
        <v>70702.0</v>
      </c>
      <c r="M275" s="18">
        <v>0.0</v>
      </c>
      <c r="N275" s="18">
        <v>5048.0</v>
      </c>
      <c r="O275" s="18">
        <v>0.1565077155828476</v>
      </c>
      <c r="P275" s="18">
        <v>0.3681766390800476</v>
      </c>
      <c r="Q275" s="18">
        <v>1858.5556014180183</v>
      </c>
      <c r="R275" s="18">
        <v>32254.0</v>
      </c>
      <c r="S275" s="19">
        <v>0.05762248486280441</v>
      </c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18">
        <v>70703.0</v>
      </c>
      <c r="B276" s="18">
        <v>1.0</v>
      </c>
      <c r="C276" s="18">
        <v>540.0</v>
      </c>
      <c r="D276" s="18">
        <v>0.12037450075149536</v>
      </c>
      <c r="E276" s="18">
        <v>0.37572017312049866</v>
      </c>
      <c r="F276" s="18">
        <v>202.88889369368553</v>
      </c>
      <c r="G276" s="18">
        <v>4486.0</v>
      </c>
      <c r="H276" s="19">
        <v>0.04522712901234627</v>
      </c>
      <c r="I276" s="8"/>
      <c r="J276" s="8"/>
      <c r="K276" s="20"/>
      <c r="L276" s="18">
        <v>70703.0</v>
      </c>
      <c r="M276" s="18">
        <v>0.0</v>
      </c>
      <c r="N276" s="18">
        <v>3189.0</v>
      </c>
      <c r="O276" s="18">
        <v>0.11736778169870377</v>
      </c>
      <c r="P276" s="18">
        <v>0.36005714535713196</v>
      </c>
      <c r="Q276" s="18">
        <v>1148.2222518920898</v>
      </c>
      <c r="R276" s="18">
        <v>27171.0</v>
      </c>
      <c r="S276" s="19">
        <v>0.042259108275175095</v>
      </c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18">
        <v>70704.0</v>
      </c>
      <c r="B277" s="18">
        <v>1.0</v>
      </c>
      <c r="C277" s="18">
        <v>108.0</v>
      </c>
      <c r="D277" s="18">
        <v>0.0859188511967659</v>
      </c>
      <c r="E277" s="18">
        <v>0.3930041193962097</v>
      </c>
      <c r="F277" s="18">
        <v>42.44444561004639</v>
      </c>
      <c r="G277" s="18">
        <v>1257.0</v>
      </c>
      <c r="H277" s="19">
        <v>0.03376646339893341</v>
      </c>
      <c r="I277" s="8"/>
      <c r="J277" s="8"/>
      <c r="K277" s="20"/>
      <c r="L277" s="18">
        <v>70704.0</v>
      </c>
      <c r="M277" s="18">
        <v>0.0</v>
      </c>
      <c r="N277" s="18">
        <v>201.0</v>
      </c>
      <c r="O277" s="18">
        <v>0.053429026156663895</v>
      </c>
      <c r="P277" s="18">
        <v>0.355444997549057</v>
      </c>
      <c r="Q277" s="18">
        <v>71.44444632530212</v>
      </c>
      <c r="R277" s="18">
        <v>3762.0</v>
      </c>
      <c r="S277" s="19">
        <v>0.018991079181432724</v>
      </c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18">
        <v>70705.0</v>
      </c>
      <c r="B278" s="18">
        <v>1.0</v>
      </c>
      <c r="C278" s="18">
        <v>284.0</v>
      </c>
      <c r="D278" s="18">
        <v>0.11591836810112</v>
      </c>
      <c r="E278" s="18">
        <v>0.3740219175815582</v>
      </c>
      <c r="F278" s="18">
        <v>106.22222462296486</v>
      </c>
      <c r="G278" s="18">
        <v>2450.0</v>
      </c>
      <c r="H278" s="19">
        <v>0.04335600882768631</v>
      </c>
      <c r="I278" s="8"/>
      <c r="J278" s="8"/>
      <c r="K278" s="20"/>
      <c r="L278" s="18">
        <v>70705.0</v>
      </c>
      <c r="M278" s="18">
        <v>0.0</v>
      </c>
      <c r="N278" s="18">
        <v>1182.0</v>
      </c>
      <c r="O278" s="18">
        <v>0.10016100108623505</v>
      </c>
      <c r="P278" s="18">
        <v>0.38362476229667664</v>
      </c>
      <c r="Q278" s="18">
        <v>453.4444553554058</v>
      </c>
      <c r="R278" s="18">
        <v>11801.0</v>
      </c>
      <c r="S278" s="19">
        <v>0.03842423856258392</v>
      </c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18">
        <v>70706.0</v>
      </c>
      <c r="B279" s="18">
        <v>1.0</v>
      </c>
      <c r="C279" s="18">
        <v>265.0</v>
      </c>
      <c r="D279" s="18">
        <v>0.03407483547925949</v>
      </c>
      <c r="E279" s="18">
        <v>0.36813417077064514</v>
      </c>
      <c r="F279" s="18">
        <v>97.55555802583694</v>
      </c>
      <c r="G279" s="18">
        <v>7777.0</v>
      </c>
      <c r="H279" s="19">
        <v>0.012544111348688602</v>
      </c>
      <c r="I279" s="8"/>
      <c r="J279" s="8"/>
      <c r="K279" s="20"/>
      <c r="L279" s="18">
        <v>70706.0</v>
      </c>
      <c r="M279" s="18">
        <v>0.0</v>
      </c>
      <c r="N279" s="18">
        <v>827.0</v>
      </c>
      <c r="O279" s="18">
        <v>0.034834254533052444</v>
      </c>
      <c r="P279" s="18">
        <v>0.363966166973114</v>
      </c>
      <c r="Q279" s="18">
        <v>301.000008225441</v>
      </c>
      <c r="R279" s="18">
        <v>23741.0</v>
      </c>
      <c r="S279" s="19">
        <v>0.01267849002033472</v>
      </c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18">
        <v>70707.0</v>
      </c>
      <c r="B280" s="18">
        <v>1.0</v>
      </c>
      <c r="C280" s="18">
        <v>64.0</v>
      </c>
      <c r="D280" s="18">
        <v>0.06083650141954422</v>
      </c>
      <c r="E280" s="18">
        <v>0.3732638955116272</v>
      </c>
      <c r="F280" s="18">
        <v>23.888889461755753</v>
      </c>
      <c r="G280" s="18">
        <v>1052.0</v>
      </c>
      <c r="H280" s="19">
        <v>0.022708069533109665</v>
      </c>
      <c r="I280" s="8"/>
      <c r="J280" s="8"/>
      <c r="K280" s="20"/>
      <c r="L280" s="18">
        <v>70707.0</v>
      </c>
      <c r="M280" s="18">
        <v>0.0</v>
      </c>
      <c r="N280" s="18">
        <v>474.0</v>
      </c>
      <c r="O280" s="18">
        <v>0.11226906627416611</v>
      </c>
      <c r="P280" s="18">
        <v>0.36872950196266174</v>
      </c>
      <c r="Q280" s="18">
        <v>174.77778220176697</v>
      </c>
      <c r="R280" s="18">
        <v>4222.0</v>
      </c>
      <c r="S280" s="19">
        <v>0.041396915912628174</v>
      </c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18">
        <v>70801.0</v>
      </c>
      <c r="B281" s="18">
        <v>1.0</v>
      </c>
      <c r="C281" s="18">
        <v>258.0</v>
      </c>
      <c r="D281" s="18">
        <v>0.05517536401748657</v>
      </c>
      <c r="E281" s="18">
        <v>0.3660637438297272</v>
      </c>
      <c r="F281" s="18">
        <v>94.44444674253464</v>
      </c>
      <c r="G281" s="18">
        <v>4676.0</v>
      </c>
      <c r="H281" s="19">
        <v>0.020197700709104538</v>
      </c>
      <c r="I281" s="8"/>
      <c r="J281" s="8"/>
      <c r="K281" s="20"/>
      <c r="L281" s="18">
        <v>70801.0</v>
      </c>
      <c r="M281" s="18">
        <v>0.0</v>
      </c>
      <c r="N281" s="18">
        <v>440.0</v>
      </c>
      <c r="O281" s="18">
        <v>0.036166366189718246</v>
      </c>
      <c r="P281" s="18">
        <v>0.36818182468414307</v>
      </c>
      <c r="Q281" s="18">
        <v>162.00000408291817</v>
      </c>
      <c r="R281" s="18">
        <v>12166.0</v>
      </c>
      <c r="S281" s="19">
        <v>0.013315798714756966</v>
      </c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18">
        <v>70802.0</v>
      </c>
      <c r="B282" s="18">
        <v>1.0</v>
      </c>
      <c r="C282" s="18">
        <v>12.0</v>
      </c>
      <c r="D282" s="18">
        <v>0.02003338932991028</v>
      </c>
      <c r="E282" s="18">
        <v>0.35185185074806213</v>
      </c>
      <c r="F282" s="18">
        <v>4.222222328186035</v>
      </c>
      <c r="G282" s="18">
        <v>599.0</v>
      </c>
      <c r="H282" s="19">
        <v>0.007048785220831633</v>
      </c>
      <c r="I282" s="8"/>
      <c r="J282" s="8"/>
      <c r="K282" s="20"/>
      <c r="L282" s="18">
        <v>70802.0</v>
      </c>
      <c r="M282" s="18">
        <v>0.0</v>
      </c>
      <c r="N282" s="18">
        <v>26.0</v>
      </c>
      <c r="O282" s="18">
        <v>0.014797951094806194</v>
      </c>
      <c r="P282" s="18">
        <v>0.3504273593425751</v>
      </c>
      <c r="Q282" s="18">
        <v>9.111111342906952</v>
      </c>
      <c r="R282" s="18">
        <v>1757.0</v>
      </c>
      <c r="S282" s="19">
        <v>0.005185606889426708</v>
      </c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18">
        <v>70803.0</v>
      </c>
      <c r="B283" s="18">
        <v>1.0</v>
      </c>
      <c r="C283" s="18">
        <v>83.0</v>
      </c>
      <c r="D283" s="18">
        <v>0.11773049831390381</v>
      </c>
      <c r="E283" s="18">
        <v>0.35609105229377747</v>
      </c>
      <c r="F283" s="18">
        <v>29.555556386709213</v>
      </c>
      <c r="G283" s="18">
        <v>705.0</v>
      </c>
      <c r="H283" s="19">
        <v>0.04192277789115906</v>
      </c>
      <c r="I283" s="8"/>
      <c r="J283" s="8"/>
      <c r="K283" s="20"/>
      <c r="L283" s="18">
        <v>70803.0</v>
      </c>
      <c r="M283" s="18">
        <v>0.0</v>
      </c>
      <c r="N283" s="18">
        <v>131.0</v>
      </c>
      <c r="O283" s="18">
        <v>0.06384015828371048</v>
      </c>
      <c r="P283" s="18">
        <v>0.3562341034412384</v>
      </c>
      <c r="Q283" s="18">
        <v>46.66666778922081</v>
      </c>
      <c r="R283" s="18">
        <v>2052.0</v>
      </c>
      <c r="S283" s="19">
        <v>0.02274204231798649</v>
      </c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18">
        <v>70804.0</v>
      </c>
      <c r="B284" s="18">
        <v>1.0</v>
      </c>
      <c r="C284" s="18">
        <v>109.0</v>
      </c>
      <c r="D284" s="18">
        <v>0.1876075714826584</v>
      </c>
      <c r="E284" s="18">
        <v>0.3669724762439728</v>
      </c>
      <c r="F284" s="18">
        <v>40.000000923871994</v>
      </c>
      <c r="G284" s="18">
        <v>581.0</v>
      </c>
      <c r="H284" s="19">
        <v>0.06884681433439255</v>
      </c>
      <c r="I284" s="8"/>
      <c r="J284" s="8"/>
      <c r="K284" s="20"/>
      <c r="L284" s="18">
        <v>70804.0</v>
      </c>
      <c r="M284" s="18">
        <v>0.0</v>
      </c>
      <c r="N284" s="18">
        <v>190.0</v>
      </c>
      <c r="O284" s="18">
        <v>0.16047297418117523</v>
      </c>
      <c r="P284" s="18">
        <v>0.3766081929206848</v>
      </c>
      <c r="Q284" s="18">
        <v>71.55555725097656</v>
      </c>
      <c r="R284" s="18">
        <v>1184.0</v>
      </c>
      <c r="S284" s="19">
        <v>0.06043543666601181</v>
      </c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18">
        <v>70805.0</v>
      </c>
      <c r="B285" s="18">
        <v>1.0</v>
      </c>
      <c r="C285" s="18">
        <v>56.0</v>
      </c>
      <c r="D285" s="18">
        <v>0.11382114142179489</v>
      </c>
      <c r="E285" s="18">
        <v>0.3571428656578064</v>
      </c>
      <c r="F285" s="18">
        <v>20.00000050663948</v>
      </c>
      <c r="G285" s="18">
        <v>492.0</v>
      </c>
      <c r="H285" s="19">
        <v>0.04065040871500969</v>
      </c>
      <c r="I285" s="8"/>
      <c r="J285" s="8"/>
      <c r="K285" s="20"/>
      <c r="L285" s="18">
        <v>70805.0</v>
      </c>
      <c r="M285" s="18">
        <v>0.0</v>
      </c>
      <c r="N285" s="18">
        <v>101.0</v>
      </c>
      <c r="O285" s="18">
        <v>0.06657877564430237</v>
      </c>
      <c r="P285" s="18">
        <v>0.34873488545417786</v>
      </c>
      <c r="Q285" s="18">
        <v>35.22222313284874</v>
      </c>
      <c r="R285" s="18">
        <v>1517.0</v>
      </c>
      <c r="S285" s="19">
        <v>0.023218341171741486</v>
      </c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18">
        <v>70901.0</v>
      </c>
      <c r="B286" s="18">
        <v>1.0</v>
      </c>
      <c r="C286" s="18">
        <v>238.0</v>
      </c>
      <c r="D286" s="18">
        <v>0.091608926653862</v>
      </c>
      <c r="E286" s="18">
        <v>0.37068161368370056</v>
      </c>
      <c r="F286" s="18">
        <v>88.22222459316254</v>
      </c>
      <c r="G286" s="18">
        <v>2598.0</v>
      </c>
      <c r="H286" s="19">
        <v>0.033957745879888535</v>
      </c>
      <c r="I286" s="8"/>
      <c r="J286" s="8"/>
      <c r="K286" s="20"/>
      <c r="L286" s="18">
        <v>70901.0</v>
      </c>
      <c r="M286" s="18">
        <v>0.0</v>
      </c>
      <c r="N286" s="18">
        <v>618.0</v>
      </c>
      <c r="O286" s="18">
        <v>0.06946942210197449</v>
      </c>
      <c r="P286" s="18">
        <v>0.3701905906200409</v>
      </c>
      <c r="Q286" s="18">
        <v>228.777783036232</v>
      </c>
      <c r="R286" s="18">
        <v>8896.0</v>
      </c>
      <c r="S286" s="19">
        <v>0.025716926902532578</v>
      </c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18">
        <v>70902.0</v>
      </c>
      <c r="B287" s="18">
        <v>1.0</v>
      </c>
      <c r="C287" s="18">
        <v>107.0</v>
      </c>
      <c r="D287" s="18">
        <v>0.06576520949602127</v>
      </c>
      <c r="E287" s="18">
        <v>0.36863967776298523</v>
      </c>
      <c r="F287" s="18">
        <v>39.4444454908371</v>
      </c>
      <c r="G287" s="18">
        <v>1627.0</v>
      </c>
      <c r="H287" s="19">
        <v>0.024243665859103203</v>
      </c>
      <c r="I287" s="8"/>
      <c r="J287" s="8"/>
      <c r="K287" s="20"/>
      <c r="L287" s="18">
        <v>70902.0</v>
      </c>
      <c r="M287" s="18">
        <v>0.0</v>
      </c>
      <c r="N287" s="18">
        <v>588.0</v>
      </c>
      <c r="O287" s="18">
        <v>0.07369344681501389</v>
      </c>
      <c r="P287" s="18">
        <v>0.36942556500434875</v>
      </c>
      <c r="Q287" s="18">
        <v>217.22222808003426</v>
      </c>
      <c r="R287" s="18">
        <v>7979.0</v>
      </c>
      <c r="S287" s="19">
        <v>0.027224242687225342</v>
      </c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18">
        <v>70903.0</v>
      </c>
      <c r="B288" s="18">
        <v>1.0</v>
      </c>
      <c r="C288" s="18">
        <v>233.0</v>
      </c>
      <c r="D288" s="18">
        <v>0.12010309100151062</v>
      </c>
      <c r="E288" s="18">
        <v>0.36719122529029846</v>
      </c>
      <c r="F288" s="18">
        <v>85.55555778741837</v>
      </c>
      <c r="G288" s="18">
        <v>1940.0</v>
      </c>
      <c r="H288" s="19">
        <v>0.0441008023917675</v>
      </c>
      <c r="I288" s="8"/>
      <c r="J288" s="8"/>
      <c r="K288" s="20"/>
      <c r="L288" s="18">
        <v>70903.0</v>
      </c>
      <c r="M288" s="18">
        <v>0.0</v>
      </c>
      <c r="N288" s="18">
        <v>1152.0</v>
      </c>
      <c r="O288" s="18">
        <v>0.10743261873722076</v>
      </c>
      <c r="P288" s="18">
        <v>0.3803047835826874</v>
      </c>
      <c r="Q288" s="18">
        <v>438.1111218035221</v>
      </c>
      <c r="R288" s="18">
        <v>10723.0</v>
      </c>
      <c r="S288" s="19">
        <v>0.040857139974832535</v>
      </c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18">
        <v>70904.0</v>
      </c>
      <c r="B289" s="18">
        <v>1.0</v>
      </c>
      <c r="C289" s="18">
        <v>66.0</v>
      </c>
      <c r="D289" s="18">
        <v>0.07857143133878708</v>
      </c>
      <c r="E289" s="18">
        <v>0.3670033812522888</v>
      </c>
      <c r="F289" s="18">
        <v>24.22222277522087</v>
      </c>
      <c r="G289" s="18">
        <v>840.0</v>
      </c>
      <c r="H289" s="19">
        <v>0.028835980221629143</v>
      </c>
      <c r="I289" s="8"/>
      <c r="J289" s="8"/>
      <c r="K289" s="20"/>
      <c r="L289" s="18">
        <v>70904.0</v>
      </c>
      <c r="M289" s="18">
        <v>0.0</v>
      </c>
      <c r="N289" s="18">
        <v>163.0</v>
      </c>
      <c r="O289" s="18">
        <v>0.07342342287302017</v>
      </c>
      <c r="P289" s="18">
        <v>0.3694615066051483</v>
      </c>
      <c r="Q289" s="18">
        <v>60.22222390770912</v>
      </c>
      <c r="R289" s="18">
        <v>2220.0</v>
      </c>
      <c r="S289" s="19">
        <v>0.027127128094434738</v>
      </c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18">
        <v>71001.0</v>
      </c>
      <c r="B290" s="18">
        <v>1.0</v>
      </c>
      <c r="C290" s="18">
        <v>1023.0</v>
      </c>
      <c r="D290" s="18">
        <v>0.047075606882572174</v>
      </c>
      <c r="E290" s="18">
        <v>0.35874879360198975</v>
      </c>
      <c r="F290" s="18">
        <v>367.0000095665455</v>
      </c>
      <c r="G290" s="18">
        <v>21731.0</v>
      </c>
      <c r="H290" s="19">
        <v>0.016888316720724106</v>
      </c>
      <c r="I290" s="8"/>
      <c r="J290" s="8"/>
      <c r="K290" s="20"/>
      <c r="L290" s="18">
        <v>71001.0</v>
      </c>
      <c r="M290" s="18">
        <v>0.0</v>
      </c>
      <c r="N290" s="18">
        <v>4229.0</v>
      </c>
      <c r="O290" s="18">
        <v>0.041915278881788254</v>
      </c>
      <c r="P290" s="18">
        <v>0.3556133806705475</v>
      </c>
      <c r="Q290" s="18">
        <v>1503.8889275491238</v>
      </c>
      <c r="R290" s="18">
        <v>100894.0</v>
      </c>
      <c r="S290" s="19">
        <v>0.014905634336173534</v>
      </c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18">
        <v>71002.0</v>
      </c>
      <c r="B291" s="18">
        <v>1.0</v>
      </c>
      <c r="C291" s="18">
        <v>294.0</v>
      </c>
      <c r="D291" s="18">
        <v>0.09508408606052399</v>
      </c>
      <c r="E291" s="18">
        <v>0.35676494240760803</v>
      </c>
      <c r="F291" s="18">
        <v>104.88889166712761</v>
      </c>
      <c r="G291" s="18">
        <v>3092.0</v>
      </c>
      <c r="H291" s="19">
        <v>0.03392266854643822</v>
      </c>
      <c r="I291" s="8"/>
      <c r="J291" s="8"/>
      <c r="K291" s="20"/>
      <c r="L291" s="18">
        <v>71002.0</v>
      </c>
      <c r="M291" s="18">
        <v>0.0</v>
      </c>
      <c r="N291" s="18">
        <v>953.0</v>
      </c>
      <c r="O291" s="18">
        <v>0.07120442390441895</v>
      </c>
      <c r="P291" s="18">
        <v>0.35921651124954224</v>
      </c>
      <c r="Q291" s="18">
        <v>342.3333416879177</v>
      </c>
      <c r="R291" s="18">
        <v>13384.0</v>
      </c>
      <c r="S291" s="19">
        <v>0.025577804073691368</v>
      </c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18">
        <v>71003.0</v>
      </c>
      <c r="B292" s="18">
        <v>1.0</v>
      </c>
      <c r="C292" s="18">
        <v>287.0</v>
      </c>
      <c r="D292" s="18">
        <v>0.06907340884208679</v>
      </c>
      <c r="E292" s="18">
        <v>0.36120790243148804</v>
      </c>
      <c r="F292" s="18">
        <v>103.66666966676712</v>
      </c>
      <c r="G292" s="18">
        <v>4155.0</v>
      </c>
      <c r="H292" s="19">
        <v>0.02494986169040203</v>
      </c>
      <c r="I292" s="8"/>
      <c r="J292" s="8"/>
      <c r="K292" s="20"/>
      <c r="L292" s="18">
        <v>71003.0</v>
      </c>
      <c r="M292" s="18">
        <v>0.0</v>
      </c>
      <c r="N292" s="18">
        <v>974.0</v>
      </c>
      <c r="O292" s="18">
        <v>0.05186092481017113</v>
      </c>
      <c r="P292" s="18">
        <v>0.35957106947898865</v>
      </c>
      <c r="Q292" s="18">
        <v>350.222231566906</v>
      </c>
      <c r="R292" s="18">
        <v>18781.0</v>
      </c>
      <c r="S292" s="19">
        <v>0.018647687509655952</v>
      </c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18">
        <v>71004.0</v>
      </c>
      <c r="B293" s="18">
        <v>1.0</v>
      </c>
      <c r="C293" s="18">
        <v>239.0</v>
      </c>
      <c r="D293" s="18">
        <v>0.11095636337995529</v>
      </c>
      <c r="E293" s="18">
        <v>0.364481657743454</v>
      </c>
      <c r="F293" s="18">
        <v>87.11111378669739</v>
      </c>
      <c r="G293" s="18">
        <v>2154.0</v>
      </c>
      <c r="H293" s="19">
        <v>0.04044155776500702</v>
      </c>
      <c r="I293" s="8"/>
      <c r="J293" s="8"/>
      <c r="K293" s="20"/>
      <c r="L293" s="18">
        <v>71004.0</v>
      </c>
      <c r="M293" s="18">
        <v>0.0</v>
      </c>
      <c r="N293" s="18">
        <v>772.0</v>
      </c>
      <c r="O293" s="18">
        <v>0.07327258586883545</v>
      </c>
      <c r="P293" s="18">
        <v>0.3743523359298706</v>
      </c>
      <c r="Q293" s="18">
        <v>289.0000074803829</v>
      </c>
      <c r="R293" s="18">
        <v>10536.0</v>
      </c>
      <c r="S293" s="19">
        <v>0.027429763227701187</v>
      </c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18">
        <v>71005.0</v>
      </c>
      <c r="B294" s="18">
        <v>1.0</v>
      </c>
      <c r="C294" s="18">
        <v>204.0</v>
      </c>
      <c r="D294" s="18">
        <v>0.08927790075540543</v>
      </c>
      <c r="E294" s="18">
        <v>0.3491285443305969</v>
      </c>
      <c r="F294" s="18">
        <v>71.2222241461277</v>
      </c>
      <c r="G294" s="18">
        <v>2285.0</v>
      </c>
      <c r="H294" s="19">
        <v>0.031169462949037552</v>
      </c>
      <c r="I294" s="8"/>
      <c r="J294" s="8"/>
      <c r="K294" s="20"/>
      <c r="L294" s="18">
        <v>71005.0</v>
      </c>
      <c r="M294" s="18">
        <v>0.0</v>
      </c>
      <c r="N294" s="18">
        <v>608.0</v>
      </c>
      <c r="O294" s="18">
        <v>0.05496293678879738</v>
      </c>
      <c r="P294" s="18">
        <v>0.36165937781333923</v>
      </c>
      <c r="Q294" s="18">
        <v>219.88889411091805</v>
      </c>
      <c r="R294" s="18">
        <v>11062.0</v>
      </c>
      <c r="S294" s="19">
        <v>0.019877862185239792</v>
      </c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18">
        <v>71101.0</v>
      </c>
      <c r="B295" s="18">
        <v>1.0</v>
      </c>
      <c r="C295" s="18">
        <v>677.0</v>
      </c>
      <c r="D295" s="18">
        <v>0.18130691349506378</v>
      </c>
      <c r="E295" s="18">
        <v>0.3674708902835846</v>
      </c>
      <c r="F295" s="18">
        <v>248.77778467535973</v>
      </c>
      <c r="G295" s="18">
        <v>3734.0</v>
      </c>
      <c r="H295" s="19">
        <v>0.06662501394748688</v>
      </c>
      <c r="I295" s="8"/>
      <c r="J295" s="8"/>
      <c r="K295" s="20"/>
      <c r="L295" s="18">
        <v>71101.0</v>
      </c>
      <c r="M295" s="18">
        <v>0.0</v>
      </c>
      <c r="N295" s="18">
        <v>4021.0</v>
      </c>
      <c r="O295" s="18">
        <v>0.1559312790632248</v>
      </c>
      <c r="P295" s="18">
        <v>0.3724336326122284</v>
      </c>
      <c r="Q295" s="18">
        <v>1497.555592507124</v>
      </c>
      <c r="R295" s="18">
        <v>25787.0</v>
      </c>
      <c r="S295" s="19">
        <v>0.05807405337691307</v>
      </c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18">
        <v>71102.0</v>
      </c>
      <c r="B296" s="18">
        <v>1.0</v>
      </c>
      <c r="C296" s="18">
        <v>268.0</v>
      </c>
      <c r="D296" s="18">
        <v>0.12653446197509766</v>
      </c>
      <c r="E296" s="18">
        <v>0.38640132546424866</v>
      </c>
      <c r="F296" s="18">
        <v>103.55555826425552</v>
      </c>
      <c r="G296" s="18">
        <v>2118.0</v>
      </c>
      <c r="H296" s="19">
        <v>0.04889308288693428</v>
      </c>
      <c r="I296" s="8"/>
      <c r="J296" s="8"/>
      <c r="K296" s="20"/>
      <c r="L296" s="18">
        <v>71102.0</v>
      </c>
      <c r="M296" s="18">
        <v>0.0</v>
      </c>
      <c r="N296" s="18">
        <v>1207.0</v>
      </c>
      <c r="O296" s="18">
        <v>0.09924354404211044</v>
      </c>
      <c r="P296" s="18">
        <v>0.374666303396225</v>
      </c>
      <c r="Q296" s="18">
        <v>452.2222334742546</v>
      </c>
      <c r="R296" s="18">
        <v>12162.0</v>
      </c>
      <c r="S296" s="19">
        <v>0.037183210253715515</v>
      </c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18">
        <v>71103.0</v>
      </c>
      <c r="B297" s="18">
        <v>1.0</v>
      </c>
      <c r="C297" s="18">
        <v>189.0</v>
      </c>
      <c r="D297" s="18">
        <v>0.14685314893722534</v>
      </c>
      <c r="E297" s="18">
        <v>0.3650793731212616</v>
      </c>
      <c r="F297" s="18">
        <v>69.00000193715096</v>
      </c>
      <c r="G297" s="18">
        <v>1287.0</v>
      </c>
      <c r="H297" s="19">
        <v>0.05361305549740791</v>
      </c>
      <c r="I297" s="8"/>
      <c r="J297" s="8"/>
      <c r="K297" s="20"/>
      <c r="L297" s="18">
        <v>71103.0</v>
      </c>
      <c r="M297" s="18">
        <v>0.0</v>
      </c>
      <c r="N297" s="18">
        <v>666.0</v>
      </c>
      <c r="O297" s="18">
        <v>0.09369724243879318</v>
      </c>
      <c r="P297" s="18">
        <v>0.3600267171859741</v>
      </c>
      <c r="Q297" s="18">
        <v>239.77778419852257</v>
      </c>
      <c r="R297" s="18">
        <v>7108.0</v>
      </c>
      <c r="S297" s="19">
        <v>0.03373350948095322</v>
      </c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18">
        <v>71104.0</v>
      </c>
      <c r="B298" s="18">
        <v>1.0</v>
      </c>
      <c r="C298" s="18">
        <v>588.0</v>
      </c>
      <c r="D298" s="18">
        <v>0.09516102820634842</v>
      </c>
      <c r="E298" s="18">
        <v>0.3648903965950012</v>
      </c>
      <c r="F298" s="18">
        <v>214.55556091666222</v>
      </c>
      <c r="G298" s="18">
        <v>6179.0</v>
      </c>
      <c r="H298" s="19">
        <v>0.034723345190286636</v>
      </c>
      <c r="I298" s="8"/>
      <c r="J298" s="8"/>
      <c r="K298" s="20"/>
      <c r="L298" s="18">
        <v>71104.0</v>
      </c>
      <c r="M298" s="18">
        <v>0.0</v>
      </c>
      <c r="N298" s="18">
        <v>1925.0</v>
      </c>
      <c r="O298" s="18">
        <v>0.052576951682567596</v>
      </c>
      <c r="P298" s="18">
        <v>0.3564213514328003</v>
      </c>
      <c r="Q298" s="18">
        <v>686.1111288070679</v>
      </c>
      <c r="R298" s="18">
        <v>36613.0</v>
      </c>
      <c r="S298" s="19">
        <v>0.018739547580480576</v>
      </c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18">
        <v>71105.0</v>
      </c>
      <c r="B299" s="18">
        <v>1.0</v>
      </c>
      <c r="C299" s="18">
        <v>103.0</v>
      </c>
      <c r="D299" s="18">
        <v>0.0727401152253151</v>
      </c>
      <c r="E299" s="18">
        <v>0.35167208313941956</v>
      </c>
      <c r="F299" s="18">
        <v>36.22222313284874</v>
      </c>
      <c r="G299" s="18">
        <v>1416.0</v>
      </c>
      <c r="H299" s="19">
        <v>0.025580666959285736</v>
      </c>
      <c r="I299" s="8"/>
      <c r="J299" s="8"/>
      <c r="K299" s="20"/>
      <c r="L299" s="18">
        <v>71105.0</v>
      </c>
      <c r="M299" s="18">
        <v>0.0</v>
      </c>
      <c r="N299" s="18">
        <v>340.0</v>
      </c>
      <c r="O299" s="18">
        <v>0.06980086117982864</v>
      </c>
      <c r="P299" s="18">
        <v>0.35098040103912354</v>
      </c>
      <c r="Q299" s="18">
        <v>119.33333644270897</v>
      </c>
      <c r="R299" s="18">
        <v>4871.0</v>
      </c>
      <c r="S299" s="19">
        <v>0.02449873462319374</v>
      </c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18">
        <v>71106.0</v>
      </c>
      <c r="B300" s="18">
        <v>1.0</v>
      </c>
      <c r="C300" s="18">
        <v>208.0</v>
      </c>
      <c r="D300" s="18">
        <v>0.0707242414355278</v>
      </c>
      <c r="E300" s="18">
        <v>0.38461539149284363</v>
      </c>
      <c r="F300" s="18">
        <v>80.0000019967556</v>
      </c>
      <c r="G300" s="18">
        <v>2941.0</v>
      </c>
      <c r="H300" s="19">
        <v>0.027201632037758827</v>
      </c>
      <c r="I300" s="8"/>
      <c r="J300" s="8"/>
      <c r="K300" s="20"/>
      <c r="L300" s="18">
        <v>71106.0</v>
      </c>
      <c r="M300" s="18">
        <v>0.0</v>
      </c>
      <c r="N300" s="18">
        <v>1115.0</v>
      </c>
      <c r="O300" s="18">
        <v>0.052741117775440216</v>
      </c>
      <c r="P300" s="18">
        <v>0.35834580659866333</v>
      </c>
      <c r="Q300" s="18">
        <v>399.55556604266167</v>
      </c>
      <c r="R300" s="18">
        <v>21141.0</v>
      </c>
      <c r="S300" s="19">
        <v>0.01889955811202526</v>
      </c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18">
        <v>71201.0</v>
      </c>
      <c r="B301" s="18">
        <v>1.0</v>
      </c>
      <c r="C301" s="18">
        <v>444.0</v>
      </c>
      <c r="D301" s="18">
        <v>0.1428571492433548</v>
      </c>
      <c r="E301" s="18">
        <v>0.3696196377277374</v>
      </c>
      <c r="F301" s="18">
        <v>164.11111563444138</v>
      </c>
      <c r="G301" s="18">
        <v>3108.0</v>
      </c>
      <c r="H301" s="19">
        <v>0.052802808582782745</v>
      </c>
      <c r="I301" s="8"/>
      <c r="J301" s="8"/>
      <c r="K301" s="20"/>
      <c r="L301" s="18">
        <v>71201.0</v>
      </c>
      <c r="M301" s="18">
        <v>0.0</v>
      </c>
      <c r="N301" s="18">
        <v>1559.0</v>
      </c>
      <c r="O301" s="18">
        <v>0.13241039216518402</v>
      </c>
      <c r="P301" s="18">
        <v>0.3710355758666992</v>
      </c>
      <c r="Q301" s="18">
        <v>578.44445925951</v>
      </c>
      <c r="R301" s="18">
        <v>11774.0</v>
      </c>
      <c r="S301" s="19">
        <v>0.04912896454334259</v>
      </c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18">
        <v>71301.0</v>
      </c>
      <c r="B302" s="18">
        <v>1.0</v>
      </c>
      <c r="C302" s="18">
        <v>343.0</v>
      </c>
      <c r="D302" s="18">
        <v>0.1230272576212883</v>
      </c>
      <c r="E302" s="18">
        <v>0.3725299835205078</v>
      </c>
      <c r="F302" s="18">
        <v>127.77778100967407</v>
      </c>
      <c r="G302" s="18">
        <v>2788.0</v>
      </c>
      <c r="H302" s="19">
        <v>0.0458313412964344</v>
      </c>
      <c r="I302" s="8"/>
      <c r="J302" s="8"/>
      <c r="K302" s="20"/>
      <c r="L302" s="18">
        <v>71301.0</v>
      </c>
      <c r="M302" s="18">
        <v>0.0</v>
      </c>
      <c r="N302" s="18">
        <v>1349.0</v>
      </c>
      <c r="O302" s="18">
        <v>0.09479305893182755</v>
      </c>
      <c r="P302" s="18">
        <v>0.36784449219703674</v>
      </c>
      <c r="Q302" s="18">
        <v>496.2222349345684</v>
      </c>
      <c r="R302" s="18">
        <v>14231.0</v>
      </c>
      <c r="S302" s="19">
        <v>0.034869104623794556</v>
      </c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18">
        <v>71302.0</v>
      </c>
      <c r="B303" s="18">
        <v>1.0</v>
      </c>
      <c r="C303" s="18">
        <v>101.0</v>
      </c>
      <c r="D303" s="18">
        <v>0.10466321557760239</v>
      </c>
      <c r="E303" s="18">
        <v>0.35973599553108215</v>
      </c>
      <c r="F303" s="18">
        <v>36.33333420753479</v>
      </c>
      <c r="G303" s="18">
        <v>965.0</v>
      </c>
      <c r="H303" s="19">
        <v>0.037651125341653824</v>
      </c>
      <c r="I303" s="8"/>
      <c r="J303" s="8"/>
      <c r="K303" s="20"/>
      <c r="L303" s="18">
        <v>71302.0</v>
      </c>
      <c r="M303" s="18">
        <v>0.0</v>
      </c>
      <c r="N303" s="18">
        <v>313.0</v>
      </c>
      <c r="O303" s="18">
        <v>0.06268776208162308</v>
      </c>
      <c r="P303" s="18">
        <v>0.3681221306324005</v>
      </c>
      <c r="Q303" s="18">
        <v>115.22222486138344</v>
      </c>
      <c r="R303" s="18">
        <v>4993.0</v>
      </c>
      <c r="S303" s="19">
        <v>0.023076752200722694</v>
      </c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18">
        <v>71401.0</v>
      </c>
      <c r="B304" s="18">
        <v>1.0</v>
      </c>
      <c r="C304" s="18">
        <v>167.0</v>
      </c>
      <c r="D304" s="18">
        <v>0.048293810337781906</v>
      </c>
      <c r="E304" s="18">
        <v>0.35728543996810913</v>
      </c>
      <c r="F304" s="18">
        <v>59.66666820645332</v>
      </c>
      <c r="G304" s="18">
        <v>3458.0</v>
      </c>
      <c r="H304" s="19">
        <v>0.017254674807190895</v>
      </c>
      <c r="I304" s="8"/>
      <c r="J304" s="8"/>
      <c r="K304" s="20"/>
      <c r="L304" s="18">
        <v>71401.0</v>
      </c>
      <c r="M304" s="18">
        <v>0.0</v>
      </c>
      <c r="N304" s="18">
        <v>602.0</v>
      </c>
      <c r="O304" s="18">
        <v>0.047082748264074326</v>
      </c>
      <c r="P304" s="18">
        <v>0.3569582998752594</v>
      </c>
      <c r="Q304" s="18">
        <v>214.888894200325</v>
      </c>
      <c r="R304" s="18">
        <v>12786.0</v>
      </c>
      <c r="S304" s="19">
        <v>0.016806578263640404</v>
      </c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18">
        <v>71402.0</v>
      </c>
      <c r="B305" s="18">
        <v>1.0</v>
      </c>
      <c r="C305" s="18">
        <v>169.0</v>
      </c>
      <c r="D305" s="18">
        <v>0.06693069636821747</v>
      </c>
      <c r="E305" s="18">
        <v>0.35174229741096497</v>
      </c>
      <c r="F305" s="18">
        <v>59.44444599747658</v>
      </c>
      <c r="G305" s="18">
        <v>2525.0</v>
      </c>
      <c r="H305" s="19">
        <v>0.023542357608675957</v>
      </c>
      <c r="I305" s="8"/>
      <c r="J305" s="8"/>
      <c r="K305" s="20"/>
      <c r="L305" s="18">
        <v>71402.0</v>
      </c>
      <c r="M305" s="18">
        <v>0.0</v>
      </c>
      <c r="N305" s="18">
        <v>770.0</v>
      </c>
      <c r="O305" s="18">
        <v>0.05254896730184555</v>
      </c>
      <c r="P305" s="18">
        <v>0.35800865292549133</v>
      </c>
      <c r="Q305" s="18">
        <v>275.66667357087135</v>
      </c>
      <c r="R305" s="18">
        <v>14653.0</v>
      </c>
      <c r="S305" s="19">
        <v>0.018812984228134155</v>
      </c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18">
        <v>71403.0</v>
      </c>
      <c r="B306" s="18">
        <v>1.0</v>
      </c>
      <c r="C306" s="18">
        <v>120.0</v>
      </c>
      <c r="D306" s="18">
        <v>0.07994670420885086</v>
      </c>
      <c r="E306" s="18">
        <v>0.3740740716457367</v>
      </c>
      <c r="F306" s="18">
        <v>44.88889014720917</v>
      </c>
      <c r="G306" s="18">
        <v>1501.0</v>
      </c>
      <c r="H306" s="19">
        <v>0.02990598976612091</v>
      </c>
      <c r="I306" s="8"/>
      <c r="J306" s="8"/>
      <c r="K306" s="20"/>
      <c r="L306" s="18">
        <v>71403.0</v>
      </c>
      <c r="M306" s="18">
        <v>0.0</v>
      </c>
      <c r="N306" s="18">
        <v>793.0</v>
      </c>
      <c r="O306" s="18">
        <v>0.11310797184705734</v>
      </c>
      <c r="P306" s="18">
        <v>0.3735463321208954</v>
      </c>
      <c r="Q306" s="18">
        <v>296.2222301065922</v>
      </c>
      <c r="R306" s="18">
        <v>7011.0</v>
      </c>
      <c r="S306" s="19">
        <v>0.042251069098711014</v>
      </c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18">
        <v>71501.0</v>
      </c>
      <c r="B307" s="18">
        <v>1.0</v>
      </c>
      <c r="C307" s="18">
        <v>989.0</v>
      </c>
      <c r="D307" s="18">
        <v>0.21575044095516205</v>
      </c>
      <c r="E307" s="18">
        <v>0.37917089462280273</v>
      </c>
      <c r="F307" s="18">
        <v>375.00000923871994</v>
      </c>
      <c r="G307" s="18">
        <v>4584.0</v>
      </c>
      <c r="H307" s="19">
        <v>0.08180628716945648</v>
      </c>
      <c r="I307" s="8"/>
      <c r="J307" s="8"/>
      <c r="K307" s="20"/>
      <c r="L307" s="18">
        <v>71501.0</v>
      </c>
      <c r="M307" s="18">
        <v>0.0</v>
      </c>
      <c r="N307" s="18">
        <v>5775.0</v>
      </c>
      <c r="O307" s="18">
        <v>0.1982492208480835</v>
      </c>
      <c r="P307" s="18">
        <v>0.38149112462997437</v>
      </c>
      <c r="Q307" s="18">
        <v>2203.111166805029</v>
      </c>
      <c r="R307" s="18">
        <v>29130.0</v>
      </c>
      <c r="S307" s="19">
        <v>0.0756303146481514</v>
      </c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18">
        <v>71502.0</v>
      </c>
      <c r="B308" s="18">
        <v>1.0</v>
      </c>
      <c r="C308" s="18">
        <v>167.0</v>
      </c>
      <c r="D308" s="18">
        <v>0.1242559552192688</v>
      </c>
      <c r="E308" s="18">
        <v>0.39055225253105164</v>
      </c>
      <c r="F308" s="18">
        <v>65.22222378849983</v>
      </c>
      <c r="G308" s="18">
        <v>1344.0</v>
      </c>
      <c r="H308" s="19">
        <v>0.04852844402194023</v>
      </c>
      <c r="I308" s="8"/>
      <c r="J308" s="8"/>
      <c r="K308" s="20"/>
      <c r="L308" s="18">
        <v>71502.0</v>
      </c>
      <c r="M308" s="18">
        <v>0.0</v>
      </c>
      <c r="N308" s="18">
        <v>720.0</v>
      </c>
      <c r="O308" s="18">
        <v>0.1427721530199051</v>
      </c>
      <c r="P308" s="18">
        <v>0.3662037253379822</v>
      </c>
      <c r="Q308" s="18">
        <v>263.6666730642319</v>
      </c>
      <c r="R308" s="18">
        <v>5043.0</v>
      </c>
      <c r="S308" s="19">
        <v>0.052283693104982376</v>
      </c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18">
        <v>71503.0</v>
      </c>
      <c r="B309" s="18">
        <v>1.0</v>
      </c>
      <c r="C309" s="18">
        <v>419.0</v>
      </c>
      <c r="D309" s="18">
        <v>0.16949838399887085</v>
      </c>
      <c r="E309" s="18">
        <v>0.3770883083343506</v>
      </c>
      <c r="F309" s="18">
        <v>158.00000381469727</v>
      </c>
      <c r="G309" s="18">
        <v>2472.0</v>
      </c>
      <c r="H309" s="19">
        <v>0.06391585618257523</v>
      </c>
      <c r="I309" s="8"/>
      <c r="J309" s="8"/>
      <c r="K309" s="20"/>
      <c r="L309" s="18">
        <v>71503.0</v>
      </c>
      <c r="M309" s="18">
        <v>0.0</v>
      </c>
      <c r="N309" s="18">
        <v>1994.0</v>
      </c>
      <c r="O309" s="18">
        <v>0.1384914517402649</v>
      </c>
      <c r="P309" s="18">
        <v>0.3694973886013031</v>
      </c>
      <c r="Q309" s="18">
        <v>736.7777960896492</v>
      </c>
      <c r="R309" s="18">
        <v>14398.0</v>
      </c>
      <c r="S309" s="19">
        <v>0.05117223039269447</v>
      </c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18">
        <v>80101.0</v>
      </c>
      <c r="B310" s="18">
        <v>1.0</v>
      </c>
      <c r="C310" s="18">
        <v>2230.0</v>
      </c>
      <c r="D310" s="18">
        <v>0.09749486297369003</v>
      </c>
      <c r="E310" s="18">
        <v>0.3636273145675659</v>
      </c>
      <c r="F310" s="18">
        <v>810.8889091610909</v>
      </c>
      <c r="G310" s="18">
        <v>22873.0</v>
      </c>
      <c r="H310" s="19">
        <v>0.035451795905828476</v>
      </c>
      <c r="I310" s="8"/>
      <c r="J310" s="8"/>
      <c r="K310" s="20"/>
      <c r="L310" s="18">
        <v>80101.0</v>
      </c>
      <c r="M310" s="18">
        <v>0.0</v>
      </c>
      <c r="N310" s="18">
        <v>9693.0</v>
      </c>
      <c r="O310" s="18">
        <v>0.09604447335004807</v>
      </c>
      <c r="P310" s="18">
        <v>0.36055803298950195</v>
      </c>
      <c r="Q310" s="18">
        <v>3494.888978779316</v>
      </c>
      <c r="R310" s="18">
        <v>100922.0</v>
      </c>
      <c r="S310" s="19">
        <v>0.03462960571050644</v>
      </c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18">
        <v>80102.0</v>
      </c>
      <c r="B311" s="18">
        <v>1.0</v>
      </c>
      <c r="C311" s="18">
        <v>192.0</v>
      </c>
      <c r="D311" s="18">
        <v>0.17266187071800232</v>
      </c>
      <c r="E311" s="18">
        <v>0.394097238779068</v>
      </c>
      <c r="F311" s="18">
        <v>75.66666820645332</v>
      </c>
      <c r="G311" s="18">
        <v>1112.0</v>
      </c>
      <c r="H311" s="19">
        <v>0.06804556399583817</v>
      </c>
      <c r="I311" s="8"/>
      <c r="J311" s="8"/>
      <c r="K311" s="20"/>
      <c r="L311" s="18">
        <v>80102.0</v>
      </c>
      <c r="M311" s="18">
        <v>0.0</v>
      </c>
      <c r="N311" s="18">
        <v>1377.0</v>
      </c>
      <c r="O311" s="18">
        <v>0.2073795199394226</v>
      </c>
      <c r="P311" s="18">
        <v>0.3659323751926422</v>
      </c>
      <c r="Q311" s="18">
        <v>503.8889009654522</v>
      </c>
      <c r="R311" s="18">
        <v>6640.0</v>
      </c>
      <c r="S311" s="19">
        <v>0.07588688284158707</v>
      </c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18">
        <v>80201.0</v>
      </c>
      <c r="B312" s="18">
        <v>1.0</v>
      </c>
      <c r="C312" s="18">
        <v>4484.0</v>
      </c>
      <c r="D312" s="18">
        <v>0.2537921667098999</v>
      </c>
      <c r="E312" s="18">
        <v>0.3730052709579468</v>
      </c>
      <c r="F312" s="18">
        <v>1672.555598437786</v>
      </c>
      <c r="G312" s="18">
        <v>17668.0</v>
      </c>
      <c r="H312" s="19">
        <v>0.09466581791639328</v>
      </c>
      <c r="I312" s="8"/>
      <c r="J312" s="8"/>
      <c r="K312" s="20"/>
      <c r="L312" s="18">
        <v>80201.0</v>
      </c>
      <c r="M312" s="18">
        <v>0.0</v>
      </c>
      <c r="N312" s="18">
        <v>22350.0</v>
      </c>
      <c r="O312" s="18">
        <v>0.24792563915252686</v>
      </c>
      <c r="P312" s="18">
        <v>0.3702411353588104</v>
      </c>
      <c r="Q312" s="18">
        <v>8274.88909688592</v>
      </c>
      <c r="R312" s="18">
        <v>90148.0</v>
      </c>
      <c r="S312" s="19">
        <v>0.0917922705411911</v>
      </c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18">
        <v>80202.0</v>
      </c>
      <c r="B313" s="18">
        <v>1.0</v>
      </c>
      <c r="C313" s="18">
        <v>810.0</v>
      </c>
      <c r="D313" s="18">
        <v>0.10135135054588318</v>
      </c>
      <c r="E313" s="18">
        <v>0.36200276017189026</v>
      </c>
      <c r="F313" s="18">
        <v>293.222229719162</v>
      </c>
      <c r="G313" s="18">
        <v>7992.0</v>
      </c>
      <c r="H313" s="19">
        <v>0.03668946772813797</v>
      </c>
      <c r="I313" s="8"/>
      <c r="J313" s="8"/>
      <c r="K313" s="20"/>
      <c r="L313" s="18">
        <v>80202.0</v>
      </c>
      <c r="M313" s="18">
        <v>0.0</v>
      </c>
      <c r="N313" s="18">
        <v>3379.0</v>
      </c>
      <c r="O313" s="18">
        <v>0.1051403358578682</v>
      </c>
      <c r="P313" s="18">
        <v>0.3623688817024231</v>
      </c>
      <c r="Q313" s="18">
        <v>1224.4444755911827</v>
      </c>
      <c r="R313" s="18">
        <v>32138.0</v>
      </c>
      <c r="S313" s="19">
        <v>0.038099586963653564</v>
      </c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18">
        <v>80301.0</v>
      </c>
      <c r="B314" s="18">
        <v>1.0</v>
      </c>
      <c r="C314" s="18">
        <v>488.0</v>
      </c>
      <c r="D314" s="18">
        <v>0.2492339164018631</v>
      </c>
      <c r="E314" s="18">
        <v>0.36999091506004333</v>
      </c>
      <c r="F314" s="18">
        <v>180.55556020140648</v>
      </c>
      <c r="G314" s="18">
        <v>1958.0</v>
      </c>
      <c r="H314" s="19">
        <v>0.09221428632736206</v>
      </c>
      <c r="I314" s="8"/>
      <c r="J314" s="8"/>
      <c r="K314" s="20"/>
      <c r="L314" s="18">
        <v>80301.0</v>
      </c>
      <c r="M314" s="18">
        <v>0.0</v>
      </c>
      <c r="N314" s="18">
        <v>1987.0</v>
      </c>
      <c r="O314" s="18">
        <v>0.21306025981903076</v>
      </c>
      <c r="P314" s="18">
        <v>0.3706313371658325</v>
      </c>
      <c r="Q314" s="18">
        <v>736.4444633424282</v>
      </c>
      <c r="R314" s="18">
        <v>9326.0</v>
      </c>
      <c r="S314" s="19">
        <v>0.07896681129932404</v>
      </c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18">
        <v>80302.0</v>
      </c>
      <c r="B315" s="18">
        <v>1.0</v>
      </c>
      <c r="C315" s="18">
        <v>2081.0</v>
      </c>
      <c r="D315" s="18">
        <v>0.3016379177570343</v>
      </c>
      <c r="E315" s="18">
        <v>0.44914305210113525</v>
      </c>
      <c r="F315" s="18">
        <v>934.6666929423809</v>
      </c>
      <c r="G315" s="18">
        <v>6899.0</v>
      </c>
      <c r="H315" s="19">
        <v>0.13547857105731964</v>
      </c>
      <c r="I315" s="8"/>
      <c r="J315" s="8"/>
      <c r="K315" s="20"/>
      <c r="L315" s="18">
        <v>80302.0</v>
      </c>
      <c r="M315" s="18">
        <v>0.0</v>
      </c>
      <c r="N315" s="18">
        <v>13884.0</v>
      </c>
      <c r="O315" s="18">
        <v>0.3608201742172241</v>
      </c>
      <c r="P315" s="18">
        <v>0.46041807532310486</v>
      </c>
      <c r="Q315" s="18">
        <v>6392.444610834122</v>
      </c>
      <c r="R315" s="18">
        <v>38479.0</v>
      </c>
      <c r="S315" s="19">
        <v>0.16612812876701355</v>
      </c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18">
        <v>80303.0</v>
      </c>
      <c r="B316" s="18">
        <v>1.0</v>
      </c>
      <c r="C316" s="18">
        <v>222.0</v>
      </c>
      <c r="D316" s="18">
        <v>0.12374582141637802</v>
      </c>
      <c r="E316" s="18">
        <v>0.38388389348983765</v>
      </c>
      <c r="F316" s="18">
        <v>85.22222429513931</v>
      </c>
      <c r="G316" s="18">
        <v>1794.0</v>
      </c>
      <c r="H316" s="19">
        <v>0.04750402644276619</v>
      </c>
      <c r="I316" s="8"/>
      <c r="J316" s="8"/>
      <c r="K316" s="20"/>
      <c r="L316" s="18">
        <v>80303.0</v>
      </c>
      <c r="M316" s="18">
        <v>0.0</v>
      </c>
      <c r="N316" s="18">
        <v>1014.0</v>
      </c>
      <c r="O316" s="18">
        <v>0.11071077734231949</v>
      </c>
      <c r="P316" s="18">
        <v>0.3755204975605011</v>
      </c>
      <c r="Q316" s="18">
        <v>380.777787566185</v>
      </c>
      <c r="R316" s="18">
        <v>9159.0</v>
      </c>
      <c r="S316" s="19">
        <v>0.04157416522502899</v>
      </c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18">
        <v>80304.0</v>
      </c>
      <c r="B317" s="18">
        <v>1.0</v>
      </c>
      <c r="C317" s="18">
        <v>327.0</v>
      </c>
      <c r="D317" s="18">
        <v>0.10735390335321426</v>
      </c>
      <c r="E317" s="18">
        <v>0.38158342242240906</v>
      </c>
      <c r="F317" s="18">
        <v>124.77778112888336</v>
      </c>
      <c r="G317" s="18">
        <v>3046.0</v>
      </c>
      <c r="H317" s="19">
        <v>0.04096446931362152</v>
      </c>
      <c r="I317" s="8"/>
      <c r="J317" s="8"/>
      <c r="K317" s="20"/>
      <c r="L317" s="18">
        <v>80304.0</v>
      </c>
      <c r="M317" s="18">
        <v>0.0</v>
      </c>
      <c r="N317" s="18">
        <v>2677.0</v>
      </c>
      <c r="O317" s="18">
        <v>0.15376220643520355</v>
      </c>
      <c r="P317" s="18">
        <v>0.4020254909992218</v>
      </c>
      <c r="Q317" s="18">
        <v>1076.2222493290901</v>
      </c>
      <c r="R317" s="18">
        <v>17410.0</v>
      </c>
      <c r="S317" s="19">
        <v>0.06181632727384567</v>
      </c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18">
        <v>80401.0</v>
      </c>
      <c r="B318" s="18">
        <v>1.0</v>
      </c>
      <c r="C318" s="18">
        <v>685.0</v>
      </c>
      <c r="D318" s="18">
        <v>0.19054241478443146</v>
      </c>
      <c r="E318" s="18">
        <v>0.42287105321884155</v>
      </c>
      <c r="F318" s="18">
        <v>289.66667369008064</v>
      </c>
      <c r="G318" s="18">
        <v>3595.0</v>
      </c>
      <c r="H318" s="19">
        <v>0.0805748701095581</v>
      </c>
      <c r="I318" s="8"/>
      <c r="J318" s="8"/>
      <c r="K318" s="20"/>
      <c r="L318" s="18">
        <v>80401.0</v>
      </c>
      <c r="M318" s="18">
        <v>0.0</v>
      </c>
      <c r="N318" s="18">
        <v>3035.0</v>
      </c>
      <c r="O318" s="18">
        <v>0.2122080773115158</v>
      </c>
      <c r="P318" s="18">
        <v>0.4831777513027191</v>
      </c>
      <c r="Q318" s="18">
        <v>1466.4444804787636</v>
      </c>
      <c r="R318" s="18">
        <v>14302.0</v>
      </c>
      <c r="S318" s="19">
        <v>0.102534219622612</v>
      </c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18">
        <v>80402.0</v>
      </c>
      <c r="B319" s="18">
        <v>1.0</v>
      </c>
      <c r="C319" s="18">
        <v>396.0</v>
      </c>
      <c r="D319" s="18">
        <v>0.30344828963279724</v>
      </c>
      <c r="E319" s="18">
        <v>0.38973066210746765</v>
      </c>
      <c r="F319" s="18">
        <v>154.33333739638329</v>
      </c>
      <c r="G319" s="18">
        <v>1305.0</v>
      </c>
      <c r="H319" s="19">
        <v>0.11826310306787491</v>
      </c>
      <c r="I319" s="8"/>
      <c r="J319" s="8"/>
      <c r="K319" s="20"/>
      <c r="L319" s="18">
        <v>80402.0</v>
      </c>
      <c r="M319" s="18">
        <v>0.0</v>
      </c>
      <c r="N319" s="18">
        <v>1498.0</v>
      </c>
      <c r="O319" s="18">
        <v>0.23028439283370972</v>
      </c>
      <c r="P319" s="18">
        <v>0.3824358582496643</v>
      </c>
      <c r="Q319" s="18">
        <v>572.8889032006264</v>
      </c>
      <c r="R319" s="18">
        <v>6505.0</v>
      </c>
      <c r="S319" s="19">
        <v>0.08806900680065155</v>
      </c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18">
        <v>80501.0</v>
      </c>
      <c r="B320" s="18">
        <v>1.0</v>
      </c>
      <c r="C320" s="18">
        <v>708.0</v>
      </c>
      <c r="D320" s="18">
        <v>0.1954721212387085</v>
      </c>
      <c r="E320" s="18">
        <v>0.4176082909107208</v>
      </c>
      <c r="F320" s="18">
        <v>295.66667464375496</v>
      </c>
      <c r="G320" s="18">
        <v>3622.0</v>
      </c>
      <c r="H320" s="19">
        <v>0.08163078129291534</v>
      </c>
      <c r="I320" s="8"/>
      <c r="J320" s="8"/>
      <c r="K320" s="20"/>
      <c r="L320" s="18">
        <v>80501.0</v>
      </c>
      <c r="M320" s="18">
        <v>0.0</v>
      </c>
      <c r="N320" s="18">
        <v>3369.0</v>
      </c>
      <c r="O320" s="18">
        <v>0.19306589663028717</v>
      </c>
      <c r="P320" s="18">
        <v>0.43494608998298645</v>
      </c>
      <c r="Q320" s="18">
        <v>1465.3333738446236</v>
      </c>
      <c r="R320" s="18">
        <v>17450.0</v>
      </c>
      <c r="S320" s="19">
        <v>0.08397325873374939</v>
      </c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18">
        <v>80601.0</v>
      </c>
      <c r="B321" s="18">
        <v>1.0</v>
      </c>
      <c r="C321" s="18">
        <v>232.0</v>
      </c>
      <c r="D321" s="18">
        <v>0.3016905188560486</v>
      </c>
      <c r="E321" s="18">
        <v>0.42720308899879456</v>
      </c>
      <c r="F321" s="18">
        <v>99.11111357808113</v>
      </c>
      <c r="G321" s="18">
        <v>769.0</v>
      </c>
      <c r="H321" s="19">
        <v>0.12888312339782715</v>
      </c>
      <c r="I321" s="8"/>
      <c r="J321" s="8"/>
      <c r="K321" s="20"/>
      <c r="L321" s="18">
        <v>80601.0</v>
      </c>
      <c r="M321" s="18">
        <v>0.0</v>
      </c>
      <c r="N321" s="18">
        <v>860.0</v>
      </c>
      <c r="O321" s="18">
        <v>0.24769584834575653</v>
      </c>
      <c r="P321" s="18">
        <v>0.4162790775299072</v>
      </c>
      <c r="Q321" s="18">
        <v>358.0000089406967</v>
      </c>
      <c r="R321" s="18">
        <v>3472.0</v>
      </c>
      <c r="S321" s="19">
        <v>0.10311059653759003</v>
      </c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18">
        <v>80602.0</v>
      </c>
      <c r="B322" s="18">
        <v>1.0</v>
      </c>
      <c r="C322" s="18">
        <v>335.0</v>
      </c>
      <c r="D322" s="18">
        <v>0.15929624438285828</v>
      </c>
      <c r="E322" s="18">
        <v>0.38739636540412903</v>
      </c>
      <c r="F322" s="18">
        <v>129.7777810394764</v>
      </c>
      <c r="G322" s="18">
        <v>2103.0</v>
      </c>
      <c r="H322" s="19">
        <v>0.06171078607439995</v>
      </c>
      <c r="I322" s="8"/>
      <c r="J322" s="8"/>
      <c r="K322" s="20"/>
      <c r="L322" s="18">
        <v>80602.0</v>
      </c>
      <c r="M322" s="18">
        <v>0.0</v>
      </c>
      <c r="N322" s="18">
        <v>2014.0</v>
      </c>
      <c r="O322" s="18">
        <v>0.15631791949272156</v>
      </c>
      <c r="P322" s="18">
        <v>0.36555224657058716</v>
      </c>
      <c r="Q322" s="18">
        <v>736.2222410142422</v>
      </c>
      <c r="R322" s="18">
        <v>12884.0</v>
      </c>
      <c r="S322" s="19">
        <v>0.05714236572384834</v>
      </c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18">
        <v>80701.0</v>
      </c>
      <c r="B323" s="18">
        <v>1.0</v>
      </c>
      <c r="C323" s="18">
        <v>166.0</v>
      </c>
      <c r="D323" s="18">
        <v>0.13741721212863922</v>
      </c>
      <c r="E323" s="18">
        <v>0.38487282395362854</v>
      </c>
      <c r="F323" s="18">
        <v>63.88889026641846</v>
      </c>
      <c r="G323" s="18">
        <v>1208.0</v>
      </c>
      <c r="H323" s="19">
        <v>0.05288815125823021</v>
      </c>
      <c r="I323" s="8"/>
      <c r="J323" s="8"/>
      <c r="K323" s="20"/>
      <c r="L323" s="18">
        <v>80701.0</v>
      </c>
      <c r="M323" s="18">
        <v>0.0</v>
      </c>
      <c r="N323" s="18">
        <v>708.0</v>
      </c>
      <c r="O323" s="18">
        <v>0.1384434849023819</v>
      </c>
      <c r="P323" s="18">
        <v>0.36676084995269775</v>
      </c>
      <c r="Q323" s="18">
        <v>259.6666732132435</v>
      </c>
      <c r="R323" s="18">
        <v>5114.0</v>
      </c>
      <c r="S323" s="19">
        <v>0.05077565088868141</v>
      </c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18">
        <v>80702.0</v>
      </c>
      <c r="B324" s="18">
        <v>1.0</v>
      </c>
      <c r="C324" s="18">
        <v>138.0</v>
      </c>
      <c r="D324" s="18">
        <v>0.12244898080825806</v>
      </c>
      <c r="E324" s="18">
        <v>0.37600645422935486</v>
      </c>
      <c r="F324" s="18">
        <v>51.88889038562775</v>
      </c>
      <c r="G324" s="18">
        <v>1127.0</v>
      </c>
      <c r="H324" s="19">
        <v>0.04604160785675049</v>
      </c>
      <c r="I324" s="8"/>
      <c r="J324" s="8"/>
      <c r="K324" s="20"/>
      <c r="L324" s="18">
        <v>80702.0</v>
      </c>
      <c r="M324" s="18">
        <v>0.0</v>
      </c>
      <c r="N324" s="18">
        <v>596.0</v>
      </c>
      <c r="O324" s="18">
        <v>0.14099834859371185</v>
      </c>
      <c r="P324" s="18">
        <v>0.37807607650756836</v>
      </c>
      <c r="Q324" s="18">
        <v>225.33333843946457</v>
      </c>
      <c r="R324" s="18">
        <v>4227.0</v>
      </c>
      <c r="S324" s="19">
        <v>0.05330810323357582</v>
      </c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18">
        <v>80703.0</v>
      </c>
      <c r="B325" s="18">
        <v>1.0</v>
      </c>
      <c r="C325" s="18">
        <v>33.0</v>
      </c>
      <c r="D325" s="18">
        <v>0.18644067645072937</v>
      </c>
      <c r="E325" s="18">
        <v>0.4545454680919647</v>
      </c>
      <c r="F325" s="18">
        <v>15.000000536441803</v>
      </c>
      <c r="G325" s="18">
        <v>177.0</v>
      </c>
      <c r="H325" s="19">
        <v>0.08474576473236084</v>
      </c>
      <c r="I325" s="8"/>
      <c r="J325" s="8"/>
      <c r="K325" s="20"/>
      <c r="L325" s="18">
        <v>80703.0</v>
      </c>
      <c r="M325" s="18">
        <v>0.0</v>
      </c>
      <c r="N325" s="18">
        <v>70.0</v>
      </c>
      <c r="O325" s="18">
        <v>0.07760532200336456</v>
      </c>
      <c r="P325" s="18">
        <v>0.3650793731212616</v>
      </c>
      <c r="Q325" s="18">
        <v>25.55555611848831</v>
      </c>
      <c r="R325" s="18">
        <v>902.0</v>
      </c>
      <c r="S325" s="19">
        <v>0.028332103043794632</v>
      </c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18">
        <v>80801.0</v>
      </c>
      <c r="B326" s="18">
        <v>1.0</v>
      </c>
      <c r="C326" s="18">
        <v>589.0</v>
      </c>
      <c r="D326" s="18">
        <v>0.19267255067825317</v>
      </c>
      <c r="E326" s="18">
        <v>0.3661573529243469</v>
      </c>
      <c r="F326" s="18">
        <v>215.66667246818542</v>
      </c>
      <c r="G326" s="18">
        <v>3057.0</v>
      </c>
      <c r="H326" s="19">
        <v>0.07054847478866577</v>
      </c>
      <c r="I326" s="8"/>
      <c r="J326" s="8"/>
      <c r="K326" s="20"/>
      <c r="L326" s="18">
        <v>80801.0</v>
      </c>
      <c r="M326" s="18">
        <v>0.0</v>
      </c>
      <c r="N326" s="18">
        <v>1494.0</v>
      </c>
      <c r="O326" s="18">
        <v>0.15709778666496277</v>
      </c>
      <c r="P326" s="18">
        <v>0.36486688256263733</v>
      </c>
      <c r="Q326" s="18">
        <v>545.1111248135567</v>
      </c>
      <c r="R326" s="18">
        <v>9510.0</v>
      </c>
      <c r="S326" s="19">
        <v>0.05731977894902229</v>
      </c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18">
        <v>80802.0</v>
      </c>
      <c r="B327" s="18">
        <v>1.0</v>
      </c>
      <c r="C327" s="18">
        <v>274.0</v>
      </c>
      <c r="D327" s="18">
        <v>0.18169760704040527</v>
      </c>
      <c r="E327" s="18">
        <v>0.36334145069122314</v>
      </c>
      <c r="F327" s="18">
        <v>99.55555829405785</v>
      </c>
      <c r="G327" s="18">
        <v>1508.0</v>
      </c>
      <c r="H327" s="19">
        <v>0.06601826846599579</v>
      </c>
      <c r="I327" s="8"/>
      <c r="J327" s="8"/>
      <c r="K327" s="20"/>
      <c r="L327" s="18">
        <v>80802.0</v>
      </c>
      <c r="M327" s="18">
        <v>0.0</v>
      </c>
      <c r="N327" s="18">
        <v>943.0</v>
      </c>
      <c r="O327" s="18">
        <v>0.16678458452224731</v>
      </c>
      <c r="P327" s="18">
        <v>0.36750325560569763</v>
      </c>
      <c r="Q327" s="18">
        <v>346.55556428432465</v>
      </c>
      <c r="R327" s="18">
        <v>5654.0</v>
      </c>
      <c r="S327" s="19">
        <v>0.06129387766122818</v>
      </c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18">
        <v>80803.0</v>
      </c>
      <c r="B328" s="18">
        <v>1.0</v>
      </c>
      <c r="C328" s="18">
        <v>101.0</v>
      </c>
      <c r="D328" s="18">
        <v>0.08610400557518005</v>
      </c>
      <c r="E328" s="18">
        <v>0.3905390501022339</v>
      </c>
      <c r="F328" s="18">
        <v>39.44444525241852</v>
      </c>
      <c r="G328" s="18">
        <v>1173.0</v>
      </c>
      <c r="H328" s="19">
        <v>0.0336269773542881</v>
      </c>
      <c r="I328" s="8"/>
      <c r="J328" s="8"/>
      <c r="K328" s="20"/>
      <c r="L328" s="18">
        <v>80803.0</v>
      </c>
      <c r="M328" s="18">
        <v>0.0</v>
      </c>
      <c r="N328" s="18">
        <v>492.0</v>
      </c>
      <c r="O328" s="18">
        <v>0.1438596546649933</v>
      </c>
      <c r="P328" s="18">
        <v>0.37195122241973877</v>
      </c>
      <c r="Q328" s="18">
        <v>183.00000494718552</v>
      </c>
      <c r="R328" s="18">
        <v>3420.0</v>
      </c>
      <c r="S328" s="19">
        <v>0.05350877344608307</v>
      </c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18">
        <v>80901.0</v>
      </c>
      <c r="B329" s="18">
        <v>1.0</v>
      </c>
      <c r="C329" s="18">
        <v>194.0</v>
      </c>
      <c r="D329" s="18">
        <v>0.33276158571243286</v>
      </c>
      <c r="E329" s="18">
        <v>0.45532646775245667</v>
      </c>
      <c r="F329" s="18">
        <v>88.3333360850811</v>
      </c>
      <c r="G329" s="18">
        <v>583.0</v>
      </c>
      <c r="H329" s="19">
        <v>0.1515151560306549</v>
      </c>
      <c r="I329" s="8"/>
      <c r="J329" s="8"/>
      <c r="K329" s="20"/>
      <c r="L329" s="18">
        <v>80901.0</v>
      </c>
      <c r="M329" s="18">
        <v>0.0</v>
      </c>
      <c r="N329" s="18">
        <v>1104.0</v>
      </c>
      <c r="O329" s="18">
        <v>0.3285714387893677</v>
      </c>
      <c r="P329" s="18">
        <v>0.5200281739234924</v>
      </c>
      <c r="Q329" s="18">
        <v>574.1111263930798</v>
      </c>
      <c r="R329" s="18">
        <v>3360.0</v>
      </c>
      <c r="S329" s="19">
        <v>0.17086640000343323</v>
      </c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18">
        <v>90101.0</v>
      </c>
      <c r="B330" s="18">
        <v>1.0</v>
      </c>
      <c r="C330" s="18">
        <v>347.0</v>
      </c>
      <c r="D330" s="18">
        <v>0.05484431982040405</v>
      </c>
      <c r="E330" s="18">
        <v>0.36663466691970825</v>
      </c>
      <c r="F330" s="18">
        <v>127.22222539782524</v>
      </c>
      <c r="G330" s="18">
        <v>6327.0</v>
      </c>
      <c r="H330" s="19">
        <v>0.020107828080654144</v>
      </c>
      <c r="I330" s="8"/>
      <c r="J330" s="8"/>
      <c r="K330" s="20"/>
      <c r="L330" s="18">
        <v>90101.0</v>
      </c>
      <c r="M330" s="18">
        <v>0.0</v>
      </c>
      <c r="N330" s="18">
        <v>2416.0</v>
      </c>
      <c r="O330" s="18">
        <v>0.053004540503025055</v>
      </c>
      <c r="P330" s="18">
        <v>0.36023733019828796</v>
      </c>
      <c r="Q330" s="18">
        <v>870.3333555459976</v>
      </c>
      <c r="R330" s="18">
        <v>45581.0</v>
      </c>
      <c r="S330" s="19">
        <v>0.019094213843345642</v>
      </c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18">
        <v>90102.0</v>
      </c>
      <c r="B331" s="18">
        <v>1.0</v>
      </c>
      <c r="C331" s="18">
        <v>171.0</v>
      </c>
      <c r="D331" s="18">
        <v>0.12837837636470795</v>
      </c>
      <c r="E331" s="18">
        <v>0.35867446660995483</v>
      </c>
      <c r="F331" s="18">
        <v>61.333335012197495</v>
      </c>
      <c r="G331" s="18">
        <v>1332.0</v>
      </c>
      <c r="H331" s="19">
        <v>0.046046044677495956</v>
      </c>
      <c r="I331" s="8"/>
      <c r="J331" s="8"/>
      <c r="K331" s="20"/>
      <c r="L331" s="18">
        <v>90102.0</v>
      </c>
      <c r="M331" s="18">
        <v>0.0</v>
      </c>
      <c r="N331" s="18">
        <v>705.0</v>
      </c>
      <c r="O331" s="18">
        <v>0.09080371260643005</v>
      </c>
      <c r="P331" s="18">
        <v>0.3717888295650482</v>
      </c>
      <c r="Q331" s="18">
        <v>262.11111730337143</v>
      </c>
      <c r="R331" s="18">
        <v>7764.0</v>
      </c>
      <c r="S331" s="19">
        <v>0.03375980630517006</v>
      </c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18">
        <v>90103.0</v>
      </c>
      <c r="B332" s="18">
        <v>1.0</v>
      </c>
      <c r="C332" s="18">
        <v>25.0</v>
      </c>
      <c r="D332" s="18">
        <v>0.08741258829832077</v>
      </c>
      <c r="E332" s="18">
        <v>0.3466666638851166</v>
      </c>
      <c r="F332" s="18">
        <v>8.666666895151138</v>
      </c>
      <c r="G332" s="18">
        <v>286.0</v>
      </c>
      <c r="H332" s="19">
        <v>0.03030303120613098</v>
      </c>
      <c r="I332" s="8"/>
      <c r="J332" s="8"/>
      <c r="K332" s="20"/>
      <c r="L332" s="18">
        <v>90103.0</v>
      </c>
      <c r="M332" s="18">
        <v>0.0</v>
      </c>
      <c r="N332" s="18">
        <v>297.0</v>
      </c>
      <c r="O332" s="18">
        <v>0.14473684132099152</v>
      </c>
      <c r="P332" s="18">
        <v>0.36737748980522156</v>
      </c>
      <c r="Q332" s="18">
        <v>109.11111399531364</v>
      </c>
      <c r="R332" s="18">
        <v>2052.0</v>
      </c>
      <c r="S332" s="19">
        <v>0.05317305773496628</v>
      </c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18">
        <v>90104.0</v>
      </c>
      <c r="B333" s="18">
        <v>1.0</v>
      </c>
      <c r="C333" s="18">
        <v>49.0</v>
      </c>
      <c r="D333" s="18">
        <v>0.11778846383094788</v>
      </c>
      <c r="E333" s="18">
        <v>0.36054423451423645</v>
      </c>
      <c r="F333" s="18">
        <v>17.666667103767395</v>
      </c>
      <c r="G333" s="18">
        <v>416.0</v>
      </c>
      <c r="H333" s="19">
        <v>0.04246795177459717</v>
      </c>
      <c r="I333" s="8"/>
      <c r="J333" s="8"/>
      <c r="K333" s="20"/>
      <c r="L333" s="18">
        <v>90104.0</v>
      </c>
      <c r="M333" s="18">
        <v>0.0</v>
      </c>
      <c r="N333" s="18">
        <v>422.0</v>
      </c>
      <c r="O333" s="18">
        <v>0.14043261110782623</v>
      </c>
      <c r="P333" s="18">
        <v>0.3909952640533447</v>
      </c>
      <c r="Q333" s="18">
        <v>165.0000041425228</v>
      </c>
      <c r="R333" s="18">
        <v>3005.0</v>
      </c>
      <c r="S333" s="19">
        <v>0.05490848422050476</v>
      </c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18">
        <v>90201.0</v>
      </c>
      <c r="B334" s="18">
        <v>1.0</v>
      </c>
      <c r="C334" s="18">
        <v>153.0</v>
      </c>
      <c r="D334" s="18">
        <v>0.18389423191547394</v>
      </c>
      <c r="E334" s="18">
        <v>0.3623819947242737</v>
      </c>
      <c r="F334" s="18">
        <v>55.444445699453354</v>
      </c>
      <c r="G334" s="18">
        <v>832.0</v>
      </c>
      <c r="H334" s="19">
        <v>0.0666399598121643</v>
      </c>
      <c r="I334" s="8"/>
      <c r="J334" s="8"/>
      <c r="K334" s="20"/>
      <c r="L334" s="18">
        <v>90201.0</v>
      </c>
      <c r="M334" s="18">
        <v>0.0</v>
      </c>
      <c r="N334" s="18">
        <v>825.0</v>
      </c>
      <c r="O334" s="18">
        <v>0.13663464784622192</v>
      </c>
      <c r="P334" s="18">
        <v>0.37723907828330994</v>
      </c>
      <c r="Q334" s="18">
        <v>311.2222301065922</v>
      </c>
      <c r="R334" s="18">
        <v>6038.0</v>
      </c>
      <c r="S334" s="19">
        <v>0.05154392868280411</v>
      </c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18">
        <v>90202.0</v>
      </c>
      <c r="B335" s="18">
        <v>1.0</v>
      </c>
      <c r="C335" s="18">
        <v>105.0</v>
      </c>
      <c r="D335" s="18">
        <v>0.3645833432674408</v>
      </c>
      <c r="E335" s="18">
        <v>0.4000000059604645</v>
      </c>
      <c r="F335" s="18">
        <v>42.000000953674316</v>
      </c>
      <c r="G335" s="18">
        <v>288.0</v>
      </c>
      <c r="H335" s="19">
        <v>0.1458333432674408</v>
      </c>
      <c r="I335" s="8"/>
      <c r="J335" s="8"/>
      <c r="K335" s="20"/>
      <c r="L335" s="18">
        <v>90202.0</v>
      </c>
      <c r="M335" s="18">
        <v>0.0</v>
      </c>
      <c r="N335" s="18">
        <v>1381.0</v>
      </c>
      <c r="O335" s="18">
        <v>0.46655404567718506</v>
      </c>
      <c r="P335" s="18">
        <v>0.385549932718277</v>
      </c>
      <c r="Q335" s="18">
        <v>532.444457411766</v>
      </c>
      <c r="R335" s="18">
        <v>2960.0</v>
      </c>
      <c r="S335" s="19">
        <v>0.17987987399101257</v>
      </c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18">
        <v>90203.0</v>
      </c>
      <c r="B336" s="18">
        <v>1.0</v>
      </c>
      <c r="C336" s="18">
        <v>137.0</v>
      </c>
      <c r="D336" s="18">
        <v>0.17319847643375397</v>
      </c>
      <c r="E336" s="18">
        <v>0.3949716091156006</v>
      </c>
      <c r="F336" s="18">
        <v>54.11111223697662</v>
      </c>
      <c r="G336" s="18">
        <v>791.0</v>
      </c>
      <c r="H336" s="19">
        <v>0.06840848177671432</v>
      </c>
      <c r="I336" s="8"/>
      <c r="J336" s="8"/>
      <c r="K336" s="20"/>
      <c r="L336" s="18">
        <v>90203.0</v>
      </c>
      <c r="M336" s="18">
        <v>0.0</v>
      </c>
      <c r="N336" s="18">
        <v>869.0</v>
      </c>
      <c r="O336" s="18">
        <v>0.1206609308719635</v>
      </c>
      <c r="P336" s="18">
        <v>0.3752717077732086</v>
      </c>
      <c r="Q336" s="18">
        <v>326.11111983656883</v>
      </c>
      <c r="R336" s="18">
        <v>7202.0</v>
      </c>
      <c r="S336" s="19">
        <v>0.045280635356903076</v>
      </c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18">
        <v>90301.0</v>
      </c>
      <c r="B337" s="18">
        <v>1.0</v>
      </c>
      <c r="C337" s="18">
        <v>498.0</v>
      </c>
      <c r="D337" s="18">
        <v>0.2699187099933624</v>
      </c>
      <c r="E337" s="18">
        <v>0.37260153889656067</v>
      </c>
      <c r="F337" s="18">
        <v>185.5555601119995</v>
      </c>
      <c r="G337" s="18">
        <v>1845.0</v>
      </c>
      <c r="H337" s="19">
        <v>0.1005721241235733</v>
      </c>
      <c r="I337" s="8"/>
      <c r="J337" s="8"/>
      <c r="K337" s="20"/>
      <c r="L337" s="18">
        <v>90301.0</v>
      </c>
      <c r="M337" s="18">
        <v>0.0</v>
      </c>
      <c r="N337" s="18">
        <v>1936.0</v>
      </c>
      <c r="O337" s="18">
        <v>0.1952597051858902</v>
      </c>
      <c r="P337" s="18">
        <v>0.37873050570487976</v>
      </c>
      <c r="Q337" s="18">
        <v>733.2222405672073</v>
      </c>
      <c r="R337" s="18">
        <v>9915.0</v>
      </c>
      <c r="S337" s="19">
        <v>0.07395080476999283</v>
      </c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18">
        <v>90302.0</v>
      </c>
      <c r="B338" s="18">
        <v>1.0</v>
      </c>
      <c r="C338" s="18">
        <v>256.0</v>
      </c>
      <c r="D338" s="18">
        <v>0.2471042424440384</v>
      </c>
      <c r="E338" s="18">
        <v>0.3927951455116272</v>
      </c>
      <c r="F338" s="18">
        <v>100.55555805563927</v>
      </c>
      <c r="G338" s="18">
        <v>1036.0</v>
      </c>
      <c r="H338" s="19">
        <v>0.09706134349107742</v>
      </c>
      <c r="I338" s="8"/>
      <c r="J338" s="8"/>
      <c r="K338" s="20"/>
      <c r="L338" s="18">
        <v>90302.0</v>
      </c>
      <c r="M338" s="18">
        <v>0.0</v>
      </c>
      <c r="N338" s="18">
        <v>1297.0</v>
      </c>
      <c r="O338" s="18">
        <v>0.15141256153583527</v>
      </c>
      <c r="P338" s="18">
        <v>0.37813758850097656</v>
      </c>
      <c r="Q338" s="18">
        <v>490.4444562792778</v>
      </c>
      <c r="R338" s="18">
        <v>8566.0</v>
      </c>
      <c r="S338" s="19">
        <v>0.05725478008389473</v>
      </c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18">
        <v>90303.0</v>
      </c>
      <c r="B339" s="18">
        <v>1.0</v>
      </c>
      <c r="C339" s="18">
        <v>305.0</v>
      </c>
      <c r="D339" s="18">
        <v>0.31903764605522156</v>
      </c>
      <c r="E339" s="18">
        <v>0.37304189801216125</v>
      </c>
      <c r="F339" s="18">
        <v>113.77778074145317</v>
      </c>
      <c r="G339" s="18">
        <v>956.0</v>
      </c>
      <c r="H339" s="19">
        <v>0.11901441216468811</v>
      </c>
      <c r="I339" s="8"/>
      <c r="J339" s="8"/>
      <c r="K339" s="20"/>
      <c r="L339" s="18">
        <v>90303.0</v>
      </c>
      <c r="M339" s="18">
        <v>0.0</v>
      </c>
      <c r="N339" s="18">
        <v>2531.0</v>
      </c>
      <c r="O339" s="18">
        <v>0.2724141776561737</v>
      </c>
      <c r="P339" s="18">
        <v>0.38157954812049866</v>
      </c>
      <c r="Q339" s="18">
        <v>965.7778023779392</v>
      </c>
      <c r="R339" s="18">
        <v>9291.0</v>
      </c>
      <c r="S339" s="19">
        <v>0.10394767671823502</v>
      </c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18">
        <v>90401.0</v>
      </c>
      <c r="B340" s="18">
        <v>1.0</v>
      </c>
      <c r="C340" s="18">
        <v>28.0</v>
      </c>
      <c r="D340" s="18">
        <v>0.11244980245828629</v>
      </c>
      <c r="E340" s="18">
        <v>0.3373016119003296</v>
      </c>
      <c r="F340" s="18">
        <v>9.444444715976715</v>
      </c>
      <c r="G340" s="18">
        <v>249.0</v>
      </c>
      <c r="H340" s="19">
        <v>0.03792950138449669</v>
      </c>
      <c r="I340" s="8"/>
      <c r="J340" s="8"/>
      <c r="K340" s="20"/>
      <c r="L340" s="18">
        <v>90401.0</v>
      </c>
      <c r="M340" s="18">
        <v>0.0</v>
      </c>
      <c r="N340" s="18">
        <v>276.0</v>
      </c>
      <c r="O340" s="18">
        <v>0.10705973953008652</v>
      </c>
      <c r="P340" s="18">
        <v>0.3884863257408142</v>
      </c>
      <c r="Q340" s="18">
        <v>107.22222501039505</v>
      </c>
      <c r="R340" s="18">
        <v>2578.0</v>
      </c>
      <c r="S340" s="19">
        <v>0.04159124568104744</v>
      </c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18">
        <v>90402.0</v>
      </c>
      <c r="B341" s="18">
        <v>1.0</v>
      </c>
      <c r="C341" s="18">
        <v>80.0</v>
      </c>
      <c r="D341" s="18">
        <v>0.34188035130500793</v>
      </c>
      <c r="E341" s="18">
        <v>0.3791666626930237</v>
      </c>
      <c r="F341" s="18">
        <v>30.333334058523178</v>
      </c>
      <c r="G341" s="18">
        <v>234.0</v>
      </c>
      <c r="H341" s="19">
        <v>0.12962962687015533</v>
      </c>
      <c r="I341" s="8"/>
      <c r="J341" s="8"/>
      <c r="K341" s="20"/>
      <c r="L341" s="18">
        <v>90402.0</v>
      </c>
      <c r="M341" s="18">
        <v>0.0</v>
      </c>
      <c r="N341" s="18">
        <v>639.0</v>
      </c>
      <c r="O341" s="18">
        <v>0.27650368213653564</v>
      </c>
      <c r="P341" s="18">
        <v>0.37037038803100586</v>
      </c>
      <c r="Q341" s="18">
        <v>236.6666719019413</v>
      </c>
      <c r="R341" s="18">
        <v>2311.0</v>
      </c>
      <c r="S341" s="19">
        <v>0.10240877419710159</v>
      </c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18">
        <v>90501.0</v>
      </c>
      <c r="B342" s="18">
        <v>1.0</v>
      </c>
      <c r="C342" s="18">
        <v>41.0</v>
      </c>
      <c r="D342" s="18">
        <v>0.2594936788082123</v>
      </c>
      <c r="E342" s="18">
        <v>0.3685636818408966</v>
      </c>
      <c r="F342" s="18">
        <v>15.111111521720886</v>
      </c>
      <c r="G342" s="18">
        <v>158.0</v>
      </c>
      <c r="H342" s="19">
        <v>0.09563994407653809</v>
      </c>
      <c r="I342" s="8"/>
      <c r="J342" s="8"/>
      <c r="K342" s="20"/>
      <c r="L342" s="18">
        <v>90501.0</v>
      </c>
      <c r="M342" s="18">
        <v>0.0</v>
      </c>
      <c r="N342" s="18">
        <v>231.0</v>
      </c>
      <c r="O342" s="18">
        <v>0.16336633265018463</v>
      </c>
      <c r="P342" s="18">
        <v>0.3718133866786957</v>
      </c>
      <c r="Q342" s="18">
        <v>85.88889107108116</v>
      </c>
      <c r="R342" s="18">
        <v>1414.0</v>
      </c>
      <c r="S342" s="19">
        <v>0.060741789638996124</v>
      </c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18">
        <v>90502.0</v>
      </c>
      <c r="B343" s="18">
        <v>1.0</v>
      </c>
      <c r="C343" s="18">
        <v>77.0</v>
      </c>
      <c r="D343" s="18">
        <v>0.24600638449192047</v>
      </c>
      <c r="E343" s="18">
        <v>0.3434343636035919</v>
      </c>
      <c r="F343" s="18">
        <v>26.44444516301155</v>
      </c>
      <c r="G343" s="18">
        <v>313.0</v>
      </c>
      <c r="H343" s="19">
        <v>0.08448704332113266</v>
      </c>
      <c r="I343" s="8"/>
      <c r="J343" s="8"/>
      <c r="K343" s="20"/>
      <c r="L343" s="18">
        <v>90502.0</v>
      </c>
      <c r="M343" s="18">
        <v>0.0</v>
      </c>
      <c r="N343" s="18">
        <v>310.0</v>
      </c>
      <c r="O343" s="18">
        <v>0.1427256017923355</v>
      </c>
      <c r="P343" s="18">
        <v>0.3659498393535614</v>
      </c>
      <c r="Q343" s="18">
        <v>113.4444472193718</v>
      </c>
      <c r="R343" s="18">
        <v>2172.0</v>
      </c>
      <c r="S343" s="19">
        <v>0.052230410277843475</v>
      </c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18">
        <v>90503.0</v>
      </c>
      <c r="B344" s="18">
        <v>1.0</v>
      </c>
      <c r="C344" s="18">
        <v>20.0</v>
      </c>
      <c r="D344" s="18">
        <v>0.10256410390138626</v>
      </c>
      <c r="E344" s="18">
        <v>0.35555556416511536</v>
      </c>
      <c r="F344" s="18">
        <v>7.111111283302307</v>
      </c>
      <c r="G344" s="18">
        <v>195.0</v>
      </c>
      <c r="H344" s="19">
        <v>0.03646723926067352</v>
      </c>
      <c r="I344" s="8"/>
      <c r="J344" s="8"/>
      <c r="K344" s="20"/>
      <c r="L344" s="18">
        <v>90503.0</v>
      </c>
      <c r="M344" s="18">
        <v>0.0</v>
      </c>
      <c r="N344" s="18">
        <v>445.0</v>
      </c>
      <c r="O344" s="18">
        <v>0.21322472393512726</v>
      </c>
      <c r="P344" s="18">
        <v>0.3882646858692169</v>
      </c>
      <c r="Q344" s="18">
        <v>172.77778244018555</v>
      </c>
      <c r="R344" s="18">
        <v>2087.0</v>
      </c>
      <c r="S344" s="19">
        <v>0.08278763294219971</v>
      </c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22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22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22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22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22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22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22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22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22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22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22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22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22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22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22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22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22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22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22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22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22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22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22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22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22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22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22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22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22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22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22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22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22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22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22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22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22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22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22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22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22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22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22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22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22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22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22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22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22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22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22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22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22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22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22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22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22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22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22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22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22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22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22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22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22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22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22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22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22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22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22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22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22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22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22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22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22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22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22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22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22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22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22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22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22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22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22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22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22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22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22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22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22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22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22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22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22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22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22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22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22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22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22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22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22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22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22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22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22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22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22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22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22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22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22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22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22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22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22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22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22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22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22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22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22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22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22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22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22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22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22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22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22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22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22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22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22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22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22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22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22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22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22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22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22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22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22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22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22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22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22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22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22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22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22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22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22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22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22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22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22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22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22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22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22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22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22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22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22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22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22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22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22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22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22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22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22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22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22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22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22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22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22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22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22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22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22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22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22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22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22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22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22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22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22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22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22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22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22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22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11.5"/>
    <col customWidth="1" min="5" max="5" width="14.63"/>
    <col customWidth="1" min="11" max="11" width="11.0"/>
    <col customWidth="1" min="12" max="12" width="11.13"/>
  </cols>
  <sheetData>
    <row r="1" ht="15.75" customHeight="1">
      <c r="A1" s="23" t="s">
        <v>37</v>
      </c>
      <c r="B1" s="24" t="s">
        <v>38</v>
      </c>
      <c r="C1" s="25" t="s">
        <v>39</v>
      </c>
      <c r="D1" s="24" t="s">
        <v>40</v>
      </c>
      <c r="E1" s="24" t="s">
        <v>41</v>
      </c>
      <c r="F1" s="24" t="s">
        <v>42</v>
      </c>
      <c r="G1" s="26"/>
      <c r="H1" s="26"/>
      <c r="I1" s="23" t="s">
        <v>37</v>
      </c>
      <c r="J1" s="24" t="s">
        <v>38</v>
      </c>
      <c r="K1" s="25" t="s">
        <v>43</v>
      </c>
      <c r="L1" s="24" t="s">
        <v>44</v>
      </c>
      <c r="M1" s="24" t="s">
        <v>45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ht="15.75" customHeight="1">
      <c r="A2" s="27">
        <v>10101.0</v>
      </c>
      <c r="B2" s="28" t="s">
        <v>46</v>
      </c>
      <c r="C2" s="19">
        <v>0.06980382651090622</v>
      </c>
      <c r="D2" s="19">
        <v>0.07042133808135986</v>
      </c>
      <c r="E2" s="29">
        <f t="shared" ref="E2:E156" si="1">D2/C2</f>
        <v>1.008846386</v>
      </c>
      <c r="F2" s="30">
        <f t="shared" ref="F2:F344" si="2">D2/C2</f>
        <v>1.008846386</v>
      </c>
      <c r="G2" s="29"/>
      <c r="H2" s="29"/>
      <c r="I2" s="27">
        <v>10101.0</v>
      </c>
      <c r="J2" s="28" t="s">
        <v>46</v>
      </c>
      <c r="K2" s="19">
        <v>0.019423453137278557</v>
      </c>
      <c r="L2" s="19">
        <v>0.012136910110712051</v>
      </c>
      <c r="M2" s="29">
        <f t="shared" ref="M2:M344" si="3">L2/K2</f>
        <v>0.6248585164</v>
      </c>
      <c r="N2" s="29"/>
      <c r="O2" s="29"/>
      <c r="P2" s="31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ht="15.75" customHeight="1">
      <c r="A3" s="27">
        <v>10102.0</v>
      </c>
      <c r="B3" s="28" t="s">
        <v>47</v>
      </c>
      <c r="C3" s="19">
        <v>0.14404508471488953</v>
      </c>
      <c r="D3" s="19">
        <v>0.14312271773815155</v>
      </c>
      <c r="E3" s="29">
        <f t="shared" si="1"/>
        <v>0.9935966786</v>
      </c>
      <c r="F3" s="30">
        <f t="shared" si="2"/>
        <v>0.9935966786</v>
      </c>
      <c r="G3" s="29" t="s">
        <v>48</v>
      </c>
      <c r="H3" s="29">
        <f>AVERAGE(E2:E344)</f>
        <v>0.9961580016</v>
      </c>
      <c r="I3" s="27">
        <v>10102.0</v>
      </c>
      <c r="J3" s="28" t="s">
        <v>47</v>
      </c>
      <c r="K3" s="19">
        <v>0.041258495301008224</v>
      </c>
      <c r="L3" s="19">
        <v>0.023814436048269272</v>
      </c>
      <c r="M3" s="29">
        <f t="shared" si="3"/>
        <v>0.5772007892</v>
      </c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ht="15.75" customHeight="1">
      <c r="A4" s="27">
        <v>10103.0</v>
      </c>
      <c r="B4" s="28" t="s">
        <v>49</v>
      </c>
      <c r="C4" s="19">
        <v>0.5532344579696655</v>
      </c>
      <c r="D4" s="19">
        <v>0.5297608971595764</v>
      </c>
      <c r="E4" s="29">
        <f t="shared" si="1"/>
        <v>0.9575703204</v>
      </c>
      <c r="F4" s="30">
        <f t="shared" si="2"/>
        <v>0.9575703204</v>
      </c>
      <c r="G4" s="29" t="s">
        <v>50</v>
      </c>
      <c r="H4" s="29">
        <f>STDEV(E2:E344)</f>
        <v>0.2213420446</v>
      </c>
      <c r="I4" s="27">
        <v>10103.0</v>
      </c>
      <c r="J4" s="28" t="s">
        <v>49</v>
      </c>
      <c r="K4" s="19">
        <v>0.27354469895362854</v>
      </c>
      <c r="L4" s="19">
        <v>0.20324456691741943</v>
      </c>
      <c r="M4" s="29">
        <f t="shared" si="3"/>
        <v>0.7430031278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ht="15.75" customHeight="1">
      <c r="A5" s="27">
        <v>10201.0</v>
      </c>
      <c r="B5" s="28" t="s">
        <v>51</v>
      </c>
      <c r="C5" s="19">
        <v>0.5210829377174377</v>
      </c>
      <c r="D5" s="19">
        <v>0.5091436505317688</v>
      </c>
      <c r="E5" s="29">
        <f t="shared" si="1"/>
        <v>0.9770875492</v>
      </c>
      <c r="F5" s="30">
        <f t="shared" si="2"/>
        <v>0.9770875492</v>
      </c>
      <c r="G5" s="29"/>
      <c r="H5" s="29"/>
      <c r="I5" s="27">
        <v>10201.0</v>
      </c>
      <c r="J5" s="28" t="s">
        <v>51</v>
      </c>
      <c r="K5" s="19">
        <v>0.22084590792655945</v>
      </c>
      <c r="L5" s="19">
        <v>0.17471931874752045</v>
      </c>
      <c r="M5" s="29">
        <f t="shared" si="3"/>
        <v>0.7911367722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 ht="15.75" customHeight="1">
      <c r="A6" s="27">
        <v>10202.0</v>
      </c>
      <c r="B6" s="28" t="s">
        <v>52</v>
      </c>
      <c r="C6" s="19">
        <v>0.46993488073349</v>
      </c>
      <c r="D6" s="19">
        <v>0.4467374086380005</v>
      </c>
      <c r="E6" s="29">
        <f t="shared" si="1"/>
        <v>0.950636837</v>
      </c>
      <c r="F6" s="30">
        <f t="shared" si="2"/>
        <v>0.950636837</v>
      </c>
      <c r="G6" s="29"/>
      <c r="H6" s="29"/>
      <c r="I6" s="27">
        <v>10202.0</v>
      </c>
      <c r="J6" s="28" t="s">
        <v>52</v>
      </c>
      <c r="K6" s="19">
        <v>0.18364594876766205</v>
      </c>
      <c r="L6" s="19">
        <v>0.11511512100696564</v>
      </c>
      <c r="M6" s="29">
        <f t="shared" si="3"/>
        <v>0.6268318021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ht="15.75" customHeight="1">
      <c r="A7" s="27">
        <v>10301.0</v>
      </c>
      <c r="B7" s="28" t="s">
        <v>53</v>
      </c>
      <c r="C7" s="19">
        <v>0.3094729483127594</v>
      </c>
      <c r="D7" s="19">
        <v>0.3079818785190582</v>
      </c>
      <c r="E7" s="29">
        <f t="shared" si="1"/>
        <v>0.9951819059</v>
      </c>
      <c r="F7" s="30">
        <f t="shared" si="2"/>
        <v>0.9951819059</v>
      </c>
      <c r="G7" s="29" t="s">
        <v>54</v>
      </c>
      <c r="H7" s="29">
        <f>MAX(E2:E344)</f>
        <v>2.312643597</v>
      </c>
      <c r="I7" s="27">
        <v>10301.0</v>
      </c>
      <c r="J7" s="28" t="s">
        <v>53</v>
      </c>
      <c r="K7" s="19">
        <v>0.10631909966468811</v>
      </c>
      <c r="L7" s="19">
        <v>0.07223251461982727</v>
      </c>
      <c r="M7" s="29">
        <f t="shared" si="3"/>
        <v>0.6793935882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 ht="15.75" customHeight="1">
      <c r="A8" s="27">
        <v>10302.0</v>
      </c>
      <c r="B8" s="28" t="s">
        <v>55</v>
      </c>
      <c r="C8" s="19">
        <v>0.4425855875015259</v>
      </c>
      <c r="D8" s="19">
        <v>0.45809346437454224</v>
      </c>
      <c r="E8" s="29">
        <f t="shared" si="1"/>
        <v>1.035039272</v>
      </c>
      <c r="F8" s="30">
        <f t="shared" si="2"/>
        <v>1.035039272</v>
      </c>
      <c r="G8" s="29"/>
      <c r="H8" s="29"/>
      <c r="I8" s="27">
        <v>10302.0</v>
      </c>
      <c r="J8" s="28" t="s">
        <v>55</v>
      </c>
      <c r="K8" s="19">
        <v>0.1693776249885559</v>
      </c>
      <c r="L8" s="19">
        <v>0.11975192278623581</v>
      </c>
      <c r="M8" s="29">
        <f t="shared" si="3"/>
        <v>0.707011465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 ht="15.75" customHeight="1">
      <c r="A9" s="27">
        <v>10303.0</v>
      </c>
      <c r="B9" s="28" t="s">
        <v>56</v>
      </c>
      <c r="C9" s="19">
        <v>0.3763282299041748</v>
      </c>
      <c r="D9" s="19">
        <v>0.3304508626461029</v>
      </c>
      <c r="E9" s="29">
        <f t="shared" si="1"/>
        <v>0.8780921451</v>
      </c>
      <c r="F9" s="30">
        <f t="shared" si="2"/>
        <v>0.8780921451</v>
      </c>
      <c r="G9" s="29"/>
      <c r="H9" s="29"/>
      <c r="I9" s="27">
        <v>10303.0</v>
      </c>
      <c r="J9" s="28" t="s">
        <v>56</v>
      </c>
      <c r="K9" s="19">
        <v>0.1143202930688858</v>
      </c>
      <c r="L9" s="19">
        <v>0.06141028553247452</v>
      </c>
      <c r="M9" s="29">
        <f t="shared" si="3"/>
        <v>0.5371774677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 ht="15.75" customHeight="1">
      <c r="A10" s="27">
        <v>10304.0</v>
      </c>
      <c r="B10" s="28" t="s">
        <v>57</v>
      </c>
      <c r="C10" s="19">
        <v>0.33967772126197815</v>
      </c>
      <c r="D10" s="19">
        <v>0.29330646991729736</v>
      </c>
      <c r="E10" s="29">
        <f t="shared" si="1"/>
        <v>0.8634845666</v>
      </c>
      <c r="F10" s="30">
        <f t="shared" si="2"/>
        <v>0.8634845666</v>
      </c>
      <c r="G10" s="29"/>
      <c r="H10" s="29"/>
      <c r="I10" s="27">
        <v>10304.0</v>
      </c>
      <c r="J10" s="28" t="s">
        <v>57</v>
      </c>
      <c r="K10" s="19">
        <v>0.13343888521194458</v>
      </c>
      <c r="L10" s="19">
        <v>0.0964331105351448</v>
      </c>
      <c r="M10" s="29">
        <f t="shared" si="3"/>
        <v>0.7226762303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ht="15.75" customHeight="1">
      <c r="A11" s="27">
        <v>10401.0</v>
      </c>
      <c r="B11" s="28" t="s">
        <v>58</v>
      </c>
      <c r="C11" s="19">
        <v>0.3128325641155243</v>
      </c>
      <c r="D11" s="19">
        <v>0.3112756609916687</v>
      </c>
      <c r="E11" s="29">
        <f t="shared" si="1"/>
        <v>0.9950232063</v>
      </c>
      <c r="F11" s="30">
        <f t="shared" si="2"/>
        <v>0.9950232063</v>
      </c>
      <c r="G11" s="29"/>
      <c r="H11" s="29">
        <f>H3-(2*H4)</f>
        <v>0.5534739124</v>
      </c>
      <c r="I11" s="27">
        <v>10401.0</v>
      </c>
      <c r="J11" s="28" t="s">
        <v>58</v>
      </c>
      <c r="K11" s="19">
        <v>0.08610998839139938</v>
      </c>
      <c r="L11" s="19">
        <v>0.058667752891778946</v>
      </c>
      <c r="M11" s="29">
        <f t="shared" si="3"/>
        <v>0.6813118198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ht="15.75" customHeight="1">
      <c r="A12" s="27">
        <v>10402.0</v>
      </c>
      <c r="B12" s="28" t="s">
        <v>59</v>
      </c>
      <c r="C12" s="19">
        <v>0.33730390667915344</v>
      </c>
      <c r="D12" s="19">
        <v>0.3115190863609314</v>
      </c>
      <c r="E12" s="29">
        <f t="shared" si="1"/>
        <v>0.9235561172</v>
      </c>
      <c r="F12" s="30">
        <f t="shared" si="2"/>
        <v>0.9235561172</v>
      </c>
      <c r="G12" s="29"/>
      <c r="H12" s="29">
        <f>H3-H4</f>
        <v>0.774815957</v>
      </c>
      <c r="I12" s="27">
        <v>10402.0</v>
      </c>
      <c r="J12" s="28" t="s">
        <v>59</v>
      </c>
      <c r="K12" s="19">
        <v>0.07202011346817017</v>
      </c>
      <c r="L12" s="19">
        <v>0.06138745695352554</v>
      </c>
      <c r="M12" s="29">
        <f t="shared" si="3"/>
        <v>0.8523654573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ht="15.75" customHeight="1">
      <c r="A13" s="27">
        <v>10403.0</v>
      </c>
      <c r="B13" s="28" t="s">
        <v>60</v>
      </c>
      <c r="C13" s="19">
        <v>0.407731294631958</v>
      </c>
      <c r="D13" s="19">
        <v>0.36423856019973755</v>
      </c>
      <c r="E13" s="29">
        <f t="shared" si="1"/>
        <v>0.8933299087</v>
      </c>
      <c r="F13" s="30">
        <f t="shared" si="2"/>
        <v>0.8933299087</v>
      </c>
      <c r="G13" s="29"/>
      <c r="H13" s="29">
        <f>H3</f>
        <v>0.9961580016</v>
      </c>
      <c r="I13" s="27">
        <v>10403.0</v>
      </c>
      <c r="J13" s="28" t="s">
        <v>60</v>
      </c>
      <c r="K13" s="19">
        <v>0.18253548443317413</v>
      </c>
      <c r="L13" s="19">
        <v>0.1342020183801651</v>
      </c>
      <c r="M13" s="29">
        <f t="shared" si="3"/>
        <v>0.7352105745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ht="15.75" customHeight="1">
      <c r="A14" s="27">
        <v>10404.0</v>
      </c>
      <c r="B14" s="28" t="s">
        <v>61</v>
      </c>
      <c r="C14" s="19">
        <v>0.3134008049964905</v>
      </c>
      <c r="D14" s="19">
        <v>0.2671470642089844</v>
      </c>
      <c r="E14" s="29">
        <f t="shared" si="1"/>
        <v>0.8524134589</v>
      </c>
      <c r="F14" s="30">
        <f t="shared" si="2"/>
        <v>0.8524134589</v>
      </c>
      <c r="G14" s="29"/>
      <c r="H14" s="29">
        <v>1.0</v>
      </c>
      <c r="I14" s="27">
        <v>10404.0</v>
      </c>
      <c r="J14" s="28" t="s">
        <v>61</v>
      </c>
      <c r="K14" s="19">
        <v>0.040584247559309006</v>
      </c>
      <c r="L14" s="19">
        <v>0.031751930713653564</v>
      </c>
      <c r="M14" s="29">
        <f t="shared" si="3"/>
        <v>0.7823708119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ht="15.75" customHeight="1">
      <c r="A15" s="27">
        <v>10405.0</v>
      </c>
      <c r="B15" s="28" t="s">
        <v>62</v>
      </c>
      <c r="C15" s="19">
        <v>0.38500669598579407</v>
      </c>
      <c r="D15" s="19">
        <v>0.3278704285621643</v>
      </c>
      <c r="E15" s="29">
        <f t="shared" si="1"/>
        <v>0.8515966916</v>
      </c>
      <c r="F15" s="30">
        <f t="shared" si="2"/>
        <v>0.8515966916</v>
      </c>
      <c r="G15" s="29"/>
      <c r="H15" s="29"/>
      <c r="I15" s="27">
        <v>10405.0</v>
      </c>
      <c r="J15" s="28" t="s">
        <v>62</v>
      </c>
      <c r="K15" s="19">
        <v>0.11539618670940399</v>
      </c>
      <c r="L15" s="19">
        <v>0.08053620159626007</v>
      </c>
      <c r="M15" s="29">
        <f t="shared" si="3"/>
        <v>0.697910424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ht="15.75" customHeight="1">
      <c r="A16" s="27">
        <v>10501.0</v>
      </c>
      <c r="B16" s="28" t="s">
        <v>63</v>
      </c>
      <c r="C16" s="19">
        <v>0.25810980796813965</v>
      </c>
      <c r="D16" s="19">
        <v>0.20085084438323975</v>
      </c>
      <c r="E16" s="29">
        <f t="shared" si="1"/>
        <v>0.7781604503</v>
      </c>
      <c r="F16" s="30">
        <f t="shared" si="2"/>
        <v>0.7781604503</v>
      </c>
      <c r="G16" s="29"/>
      <c r="H16" s="29"/>
      <c r="I16" s="27">
        <v>10501.0</v>
      </c>
      <c r="J16" s="28" t="s">
        <v>63</v>
      </c>
      <c r="K16" s="19">
        <v>0.0703103095293045</v>
      </c>
      <c r="L16" s="19">
        <v>0.034888580441474915</v>
      </c>
      <c r="M16" s="29">
        <f t="shared" si="3"/>
        <v>0.4962086026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ht="15.75" customHeight="1">
      <c r="A17" s="27">
        <v>10502.0</v>
      </c>
      <c r="B17" s="28" t="s">
        <v>64</v>
      </c>
      <c r="C17" s="19">
        <v>0.3419654667377472</v>
      </c>
      <c r="D17" s="19">
        <v>0.3469540476799011</v>
      </c>
      <c r="E17" s="29">
        <f t="shared" si="1"/>
        <v>1.014587967</v>
      </c>
      <c r="F17" s="30">
        <f t="shared" si="2"/>
        <v>1.014587967</v>
      </c>
      <c r="G17" s="29" t="s">
        <v>65</v>
      </c>
      <c r="H17" s="29" t="s">
        <v>66</v>
      </c>
      <c r="I17" s="27">
        <v>10502.0</v>
      </c>
      <c r="J17" s="28" t="s">
        <v>64</v>
      </c>
      <c r="K17" s="19">
        <v>0.09514613449573517</v>
      </c>
      <c r="L17" s="19">
        <v>0.0628109872341156</v>
      </c>
      <c r="M17" s="29">
        <f t="shared" si="3"/>
        <v>0.6601528014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ht="15.75" customHeight="1">
      <c r="A18" s="27">
        <v>10601.0</v>
      </c>
      <c r="B18" s="28" t="s">
        <v>67</v>
      </c>
      <c r="C18" s="19">
        <v>0.34487539529800415</v>
      </c>
      <c r="D18" s="19">
        <v>0.3507173955440521</v>
      </c>
      <c r="E18" s="29">
        <f t="shared" si="1"/>
        <v>1.016939452</v>
      </c>
      <c r="F18" s="30">
        <f t="shared" si="2"/>
        <v>1.016939452</v>
      </c>
      <c r="G18" s="29"/>
      <c r="H18" s="29"/>
      <c r="I18" s="27">
        <v>10601.0</v>
      </c>
      <c r="J18" s="28" t="s">
        <v>67</v>
      </c>
      <c r="K18" s="19">
        <v>0.1060851663351059</v>
      </c>
      <c r="L18" s="19">
        <v>0.08344089239835739</v>
      </c>
      <c r="M18" s="29">
        <f t="shared" si="3"/>
        <v>0.7865462749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 ht="15.75" customHeight="1">
      <c r="A19" s="27">
        <v>10602.0</v>
      </c>
      <c r="B19" s="28" t="s">
        <v>68</v>
      </c>
      <c r="C19" s="19">
        <v>0.3143306076526642</v>
      </c>
      <c r="D19" s="19">
        <v>0.31931254267692566</v>
      </c>
      <c r="E19" s="29">
        <f t="shared" si="1"/>
        <v>1.015849347</v>
      </c>
      <c r="F19" s="30">
        <f t="shared" si="2"/>
        <v>1.015849347</v>
      </c>
      <c r="G19" s="32" t="s">
        <v>69</v>
      </c>
      <c r="H19" s="32"/>
      <c r="I19" s="27">
        <v>10602.0</v>
      </c>
      <c r="J19" s="28" t="s">
        <v>68</v>
      </c>
      <c r="K19" s="19">
        <v>0.08815360069274902</v>
      </c>
      <c r="L19" s="19">
        <v>0.06170892342925072</v>
      </c>
      <c r="M19" s="29">
        <f t="shared" si="3"/>
        <v>0.7000159148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ht="15.75" customHeight="1">
      <c r="A20" s="27">
        <v>10701.0</v>
      </c>
      <c r="B20" s="28" t="s">
        <v>70</v>
      </c>
      <c r="C20" s="19">
        <v>0.1952892690896988</v>
      </c>
      <c r="D20" s="19">
        <v>0.19859547913074493</v>
      </c>
      <c r="E20" s="29">
        <f t="shared" si="1"/>
        <v>1.016929809</v>
      </c>
      <c r="F20" s="30">
        <f t="shared" si="2"/>
        <v>1.016929809</v>
      </c>
      <c r="G20" s="33">
        <v>2012.0</v>
      </c>
      <c r="H20" s="33">
        <v>2024.0</v>
      </c>
      <c r="I20" s="27">
        <v>10701.0</v>
      </c>
      <c r="J20" s="28" t="s">
        <v>70</v>
      </c>
      <c r="K20" s="19">
        <v>0.05610780045390129</v>
      </c>
      <c r="L20" s="19">
        <v>0.041116777807474136</v>
      </c>
      <c r="M20" s="29">
        <f t="shared" si="3"/>
        <v>0.7328174955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 ht="15.75" customHeight="1">
      <c r="A21" s="27">
        <v>10702.0</v>
      </c>
      <c r="B21" s="28" t="s">
        <v>71</v>
      </c>
      <c r="C21" s="19">
        <v>0.43386805057525635</v>
      </c>
      <c r="D21" s="19">
        <v>0.3857836425304413</v>
      </c>
      <c r="E21" s="29">
        <f t="shared" si="1"/>
        <v>0.8891727382</v>
      </c>
      <c r="F21" s="30">
        <f t="shared" si="2"/>
        <v>0.8891727382</v>
      </c>
      <c r="G21" s="32" t="s">
        <v>72</v>
      </c>
      <c r="H21" s="32" t="s">
        <v>73</v>
      </c>
      <c r="I21" s="27">
        <v>10702.0</v>
      </c>
      <c r="J21" s="28" t="s">
        <v>71</v>
      </c>
      <c r="K21" s="19">
        <v>0.1745716631412506</v>
      </c>
      <c r="L21" s="19">
        <v>0.11152727901935577</v>
      </c>
      <c r="M21" s="29">
        <f t="shared" si="3"/>
        <v>0.638862442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 ht="15.75" customHeight="1">
      <c r="A22" s="27">
        <v>10703.0</v>
      </c>
      <c r="B22" s="28" t="s">
        <v>74</v>
      </c>
      <c r="C22" s="19">
        <v>0.46787574887275696</v>
      </c>
      <c r="D22" s="19">
        <v>0.4610625207424164</v>
      </c>
      <c r="E22" s="29">
        <f t="shared" si="1"/>
        <v>0.9854379541</v>
      </c>
      <c r="F22" s="30">
        <f t="shared" si="2"/>
        <v>0.9854379541</v>
      </c>
      <c r="G22" s="32" t="s">
        <v>75</v>
      </c>
      <c r="H22" s="32" t="s">
        <v>76</v>
      </c>
      <c r="I22" s="27">
        <v>10703.0</v>
      </c>
      <c r="J22" s="28" t="s">
        <v>74</v>
      </c>
      <c r="K22" s="19">
        <v>0.2233765572309494</v>
      </c>
      <c r="L22" s="19">
        <v>0.18240872025489807</v>
      </c>
      <c r="M22" s="29">
        <f t="shared" si="3"/>
        <v>0.8165974197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ht="15.75" customHeight="1">
      <c r="A23" s="27">
        <v>10704.0</v>
      </c>
      <c r="B23" s="28" t="s">
        <v>77</v>
      </c>
      <c r="C23" s="19">
        <v>0.4493289291858673</v>
      </c>
      <c r="D23" s="19">
        <v>0.3955504894256592</v>
      </c>
      <c r="E23" s="29">
        <f t="shared" si="1"/>
        <v>0.8803138719</v>
      </c>
      <c r="F23" s="30">
        <f t="shared" si="2"/>
        <v>0.8803138719</v>
      </c>
      <c r="G23" s="29"/>
      <c r="H23" s="29"/>
      <c r="I23" s="27">
        <v>10704.0</v>
      </c>
      <c r="J23" s="28" t="s">
        <v>77</v>
      </c>
      <c r="K23" s="19">
        <v>0.19886121153831482</v>
      </c>
      <c r="L23" s="19">
        <v>0.13913825154304504</v>
      </c>
      <c r="M23" s="29">
        <f t="shared" si="3"/>
        <v>0.6996751678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ht="15.75" customHeight="1">
      <c r="A24" s="27">
        <v>10801.0</v>
      </c>
      <c r="B24" s="28" t="s">
        <v>78</v>
      </c>
      <c r="C24" s="19">
        <v>0.271648108959198</v>
      </c>
      <c r="D24" s="19">
        <v>0.26505059003829956</v>
      </c>
      <c r="E24" s="29">
        <f t="shared" si="1"/>
        <v>0.9757129952</v>
      </c>
      <c r="F24" s="30">
        <f t="shared" si="2"/>
        <v>0.9757129952</v>
      </c>
      <c r="G24" s="29"/>
      <c r="H24" s="29"/>
      <c r="I24" s="27">
        <v>10801.0</v>
      </c>
      <c r="J24" s="28" t="s">
        <v>78</v>
      </c>
      <c r="K24" s="19">
        <v>0.06897138804197311</v>
      </c>
      <c r="L24" s="19">
        <v>0.05002525821328163</v>
      </c>
      <c r="M24" s="29">
        <f t="shared" si="3"/>
        <v>0.7253045014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ht="15.75" customHeight="1">
      <c r="A25" s="27">
        <v>10901.0</v>
      </c>
      <c r="B25" s="28" t="s">
        <v>79</v>
      </c>
      <c r="C25" s="19">
        <v>0.29175105690956116</v>
      </c>
      <c r="D25" s="19">
        <v>0.29464051127433777</v>
      </c>
      <c r="E25" s="29">
        <f t="shared" si="1"/>
        <v>1.009903835</v>
      </c>
      <c r="F25" s="30">
        <f t="shared" si="2"/>
        <v>1.009903835</v>
      </c>
      <c r="G25" s="29"/>
      <c r="H25" s="29"/>
      <c r="I25" s="27">
        <v>10901.0</v>
      </c>
      <c r="J25" s="28" t="s">
        <v>79</v>
      </c>
      <c r="K25" s="19">
        <v>0.06612914800643921</v>
      </c>
      <c r="L25" s="19">
        <v>0.04578147828578949</v>
      </c>
      <c r="M25" s="29">
        <f t="shared" si="3"/>
        <v>0.6923040696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15.75" customHeight="1">
      <c r="A26" s="27">
        <v>10902.0</v>
      </c>
      <c r="B26" s="28" t="s">
        <v>80</v>
      </c>
      <c r="C26" s="19">
        <v>0.37116381525993347</v>
      </c>
      <c r="D26" s="19">
        <v>0.3521169424057007</v>
      </c>
      <c r="E26" s="29">
        <f t="shared" si="1"/>
        <v>0.948683379</v>
      </c>
      <c r="F26" s="30">
        <f t="shared" si="2"/>
        <v>0.948683379</v>
      </c>
      <c r="G26" s="29"/>
      <c r="H26" s="29"/>
      <c r="I26" s="27">
        <v>10902.0</v>
      </c>
      <c r="J26" s="28" t="s">
        <v>80</v>
      </c>
      <c r="K26" s="19">
        <v>0.12898485362529755</v>
      </c>
      <c r="L26" s="19">
        <v>0.11770125478506088</v>
      </c>
      <c r="M26" s="29">
        <f t="shared" si="3"/>
        <v>0.9125199702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ht="15.75" customHeight="1">
      <c r="A27" s="27">
        <v>10903.0</v>
      </c>
      <c r="B27" s="28" t="s">
        <v>81</v>
      </c>
      <c r="C27" s="19">
        <v>0.20644313097000122</v>
      </c>
      <c r="D27" s="19">
        <v>0.23045268654823303</v>
      </c>
      <c r="E27" s="29">
        <f t="shared" si="1"/>
        <v>1.116301063</v>
      </c>
      <c r="F27" s="30">
        <f t="shared" si="2"/>
        <v>1.116301063</v>
      </c>
      <c r="G27" s="29"/>
      <c r="H27" s="29"/>
      <c r="I27" s="27">
        <v>10903.0</v>
      </c>
      <c r="J27" s="28" t="s">
        <v>81</v>
      </c>
      <c r="K27" s="19">
        <v>0.07588876038789749</v>
      </c>
      <c r="L27" s="19">
        <v>0.04890918731689453</v>
      </c>
      <c r="M27" s="29">
        <f t="shared" si="3"/>
        <v>0.644485258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ht="15.75" customHeight="1">
      <c r="A28" s="27">
        <v>11001.0</v>
      </c>
      <c r="B28" s="28" t="s">
        <v>82</v>
      </c>
      <c r="C28" s="19">
        <v>0.2784176766872406</v>
      </c>
      <c r="D28" s="19">
        <v>0.2560262978076935</v>
      </c>
      <c r="E28" s="29">
        <f t="shared" si="1"/>
        <v>0.919576303</v>
      </c>
      <c r="F28" s="30">
        <f t="shared" si="2"/>
        <v>0.919576303</v>
      </c>
      <c r="G28" s="29"/>
      <c r="H28" s="29"/>
      <c r="I28" s="27">
        <v>11001.0</v>
      </c>
      <c r="J28" s="28" t="s">
        <v>82</v>
      </c>
      <c r="K28" s="19">
        <v>0.08055555075407028</v>
      </c>
      <c r="L28" s="19">
        <v>0.07938209921121597</v>
      </c>
      <c r="M28" s="29">
        <f t="shared" si="3"/>
        <v>0.9854330145</v>
      </c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ht="15.75" customHeight="1">
      <c r="A29" s="27">
        <v>11002.0</v>
      </c>
      <c r="B29" s="28" t="s">
        <v>83</v>
      </c>
      <c r="C29" s="19">
        <v>0.31995466351509094</v>
      </c>
      <c r="D29" s="19">
        <v>0.29281988739967346</v>
      </c>
      <c r="E29" s="29">
        <f t="shared" si="1"/>
        <v>0.9151918093</v>
      </c>
      <c r="F29" s="30">
        <f t="shared" si="2"/>
        <v>0.9151918093</v>
      </c>
      <c r="G29" s="29"/>
      <c r="H29" s="29"/>
      <c r="I29" s="27">
        <v>11002.0</v>
      </c>
      <c r="J29" s="28" t="s">
        <v>83</v>
      </c>
      <c r="K29" s="19">
        <v>0.04658694937825203</v>
      </c>
      <c r="L29" s="19">
        <v>0.025706395506858826</v>
      </c>
      <c r="M29" s="29">
        <f t="shared" si="3"/>
        <v>0.5517939219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ht="15.75" customHeight="1">
      <c r="A30" s="27">
        <v>11003.0</v>
      </c>
      <c r="B30" s="28" t="s">
        <v>84</v>
      </c>
      <c r="C30" s="19">
        <v>0.23836839199066162</v>
      </c>
      <c r="D30" s="19">
        <v>0.22578705847263336</v>
      </c>
      <c r="E30" s="29">
        <f t="shared" si="1"/>
        <v>0.9472189521</v>
      </c>
      <c r="F30" s="30">
        <f t="shared" si="2"/>
        <v>0.9472189521</v>
      </c>
      <c r="G30" s="29"/>
      <c r="H30" s="29"/>
      <c r="I30" s="27">
        <v>11003.0</v>
      </c>
      <c r="J30" s="28" t="s">
        <v>84</v>
      </c>
      <c r="K30" s="19">
        <v>0.031820207834243774</v>
      </c>
      <c r="L30" s="19">
        <v>0.031110228970646858</v>
      </c>
      <c r="M30" s="29">
        <f t="shared" si="3"/>
        <v>0.9776877993</v>
      </c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ht="15.75" customHeight="1">
      <c r="A31" s="27">
        <v>20101.0</v>
      </c>
      <c r="B31" s="28" t="s">
        <v>85</v>
      </c>
      <c r="C31" s="19">
        <v>0.0152911227196455</v>
      </c>
      <c r="D31" s="19">
        <v>0.018221072852611542</v>
      </c>
      <c r="E31" s="29">
        <f t="shared" si="1"/>
        <v>1.191611184</v>
      </c>
      <c r="F31" s="30">
        <f t="shared" si="2"/>
        <v>1.191611184</v>
      </c>
      <c r="G31" s="29"/>
      <c r="H31" s="29"/>
      <c r="I31" s="27">
        <v>20101.0</v>
      </c>
      <c r="J31" s="28" t="s">
        <v>85</v>
      </c>
      <c r="K31" s="19">
        <v>0.002564895898103714</v>
      </c>
      <c r="L31" s="19">
        <v>0.002646874403581023</v>
      </c>
      <c r="M31" s="29">
        <f t="shared" si="3"/>
        <v>1.031961728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ht="15.75" customHeight="1">
      <c r="A32" s="27">
        <v>20102.0</v>
      </c>
      <c r="B32" s="28" t="s">
        <v>86</v>
      </c>
      <c r="C32" s="19">
        <v>0.23390446603298187</v>
      </c>
      <c r="D32" s="19">
        <v>0.21954268217086792</v>
      </c>
      <c r="E32" s="29">
        <f t="shared" si="1"/>
        <v>0.9385997877</v>
      </c>
      <c r="F32" s="30">
        <f t="shared" si="2"/>
        <v>0.9385997877</v>
      </c>
      <c r="G32" s="29"/>
      <c r="H32" s="29"/>
      <c r="I32" s="27">
        <v>20102.0</v>
      </c>
      <c r="J32" s="28" t="s">
        <v>86</v>
      </c>
      <c r="K32" s="19">
        <v>0.0720783919095993</v>
      </c>
      <c r="L32" s="19">
        <v>0.05120418965816498</v>
      </c>
      <c r="M32" s="29">
        <f t="shared" si="3"/>
        <v>0.7103958385</v>
      </c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ht="15.75" customHeight="1">
      <c r="A33" s="27">
        <v>20103.0</v>
      </c>
      <c r="B33" s="28" t="s">
        <v>87</v>
      </c>
      <c r="C33" s="19">
        <v>0.1881188154220581</v>
      </c>
      <c r="D33" s="19">
        <v>0.16152800619602203</v>
      </c>
      <c r="E33" s="29">
        <f t="shared" si="1"/>
        <v>0.8586488589</v>
      </c>
      <c r="F33" s="30">
        <f t="shared" si="2"/>
        <v>0.8586488589</v>
      </c>
      <c r="G33" s="29"/>
      <c r="H33" s="29"/>
      <c r="I33" s="27">
        <v>20103.0</v>
      </c>
      <c r="J33" s="28" t="s">
        <v>87</v>
      </c>
      <c r="K33" s="19">
        <v>0.041669126600027084</v>
      </c>
      <c r="L33" s="19">
        <v>0.025929199531674385</v>
      </c>
      <c r="M33" s="29">
        <f t="shared" si="3"/>
        <v>0.6222640513</v>
      </c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 ht="15.75" customHeight="1">
      <c r="A34" s="27">
        <v>20104.0</v>
      </c>
      <c r="B34" s="28" t="s">
        <v>88</v>
      </c>
      <c r="C34" s="19">
        <v>0.19688716530799866</v>
      </c>
      <c r="D34" s="19">
        <v>0.1949024349451065</v>
      </c>
      <c r="E34" s="29">
        <f t="shared" si="1"/>
        <v>0.9899194528</v>
      </c>
      <c r="F34" s="30">
        <f t="shared" si="2"/>
        <v>0.9899194528</v>
      </c>
      <c r="G34" s="29"/>
      <c r="H34" s="29"/>
      <c r="I34" s="27">
        <v>20104.0</v>
      </c>
      <c r="J34" s="28" t="s">
        <v>88</v>
      </c>
      <c r="K34" s="19">
        <v>0.06657976657152176</v>
      </c>
      <c r="L34" s="19">
        <v>0.03793139010667801</v>
      </c>
      <c r="M34" s="29">
        <f t="shared" si="3"/>
        <v>0.5697134739</v>
      </c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ht="15.75" customHeight="1">
      <c r="A35" s="27">
        <v>20105.0</v>
      </c>
      <c r="B35" s="28" t="s">
        <v>89</v>
      </c>
      <c r="C35" s="19">
        <v>0.043184760957956314</v>
      </c>
      <c r="D35" s="19">
        <v>0.05448916181921959</v>
      </c>
      <c r="E35" s="29">
        <f t="shared" si="1"/>
        <v>1.261768286</v>
      </c>
      <c r="F35" s="30">
        <f t="shared" si="2"/>
        <v>1.261768286</v>
      </c>
      <c r="G35" s="29"/>
      <c r="H35" s="29"/>
      <c r="I35" s="27">
        <v>20105.0</v>
      </c>
      <c r="J35" s="28" t="s">
        <v>89</v>
      </c>
      <c r="K35" s="19">
        <v>0.006253113970160484</v>
      </c>
      <c r="L35" s="19">
        <v>0.005482756998389959</v>
      </c>
      <c r="M35" s="29">
        <f t="shared" si="3"/>
        <v>0.876804265</v>
      </c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 ht="15.75" customHeight="1">
      <c r="A36" s="27">
        <v>20201.0</v>
      </c>
      <c r="B36" s="28" t="s">
        <v>90</v>
      </c>
      <c r="C36" s="19">
        <v>0.17928265035152435</v>
      </c>
      <c r="D36" s="19">
        <v>0.15677842497825623</v>
      </c>
      <c r="E36" s="29">
        <f t="shared" si="1"/>
        <v>0.8744762791</v>
      </c>
      <c r="F36" s="30">
        <f t="shared" si="2"/>
        <v>0.8744762791</v>
      </c>
      <c r="G36" s="29"/>
      <c r="H36" s="29"/>
      <c r="I36" s="27">
        <v>20201.0</v>
      </c>
      <c r="J36" s="28" t="s">
        <v>90</v>
      </c>
      <c r="K36" s="19">
        <v>0.04589090496301651</v>
      </c>
      <c r="L36" s="19">
        <v>0.03049832582473755</v>
      </c>
      <c r="M36" s="29">
        <f t="shared" si="3"/>
        <v>0.6645832295</v>
      </c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ht="15.75" customHeight="1">
      <c r="A37" s="27">
        <v>20202.0</v>
      </c>
      <c r="B37" s="28" t="s">
        <v>91</v>
      </c>
      <c r="C37" s="19">
        <v>0.2438160628080368</v>
      </c>
      <c r="D37" s="19">
        <v>0.22850719094276428</v>
      </c>
      <c r="E37" s="29">
        <f t="shared" si="1"/>
        <v>0.9372113892</v>
      </c>
      <c r="F37" s="30">
        <f t="shared" si="2"/>
        <v>0.9372113892</v>
      </c>
      <c r="G37" s="29"/>
      <c r="H37" s="29"/>
      <c r="I37" s="27">
        <v>20202.0</v>
      </c>
      <c r="J37" s="28" t="s">
        <v>91</v>
      </c>
      <c r="K37" s="19">
        <v>0.06617113947868347</v>
      </c>
      <c r="L37" s="19">
        <v>0.06355638056993484</v>
      </c>
      <c r="M37" s="29">
        <f t="shared" si="3"/>
        <v>0.9604849043</v>
      </c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 ht="15.75" customHeight="1">
      <c r="A38" s="27">
        <v>20203.0</v>
      </c>
      <c r="B38" s="28" t="s">
        <v>92</v>
      </c>
      <c r="C38" s="19">
        <v>0.1482243537902832</v>
      </c>
      <c r="D38" s="19">
        <v>0.14925861358642578</v>
      </c>
      <c r="E38" s="29">
        <f t="shared" si="1"/>
        <v>1.006977664</v>
      </c>
      <c r="F38" s="30">
        <f t="shared" si="2"/>
        <v>1.006977664</v>
      </c>
      <c r="G38" s="29"/>
      <c r="H38" s="29"/>
      <c r="I38" s="27">
        <v>20203.0</v>
      </c>
      <c r="J38" s="28" t="s">
        <v>92</v>
      </c>
      <c r="K38" s="19">
        <v>0.04473365098237991</v>
      </c>
      <c r="L38" s="19">
        <v>0.03098883107304573</v>
      </c>
      <c r="M38" s="29">
        <f t="shared" si="3"/>
        <v>0.692740932</v>
      </c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 ht="15.75" customHeight="1">
      <c r="A39" s="27">
        <v>20204.0</v>
      </c>
      <c r="B39" s="28" t="s">
        <v>93</v>
      </c>
      <c r="C39" s="19">
        <v>0.1892573982477188</v>
      </c>
      <c r="D39" s="19">
        <v>0.17600001394748688</v>
      </c>
      <c r="E39" s="29">
        <f t="shared" si="1"/>
        <v>0.9299505096</v>
      </c>
      <c r="F39" s="30">
        <f t="shared" si="2"/>
        <v>0.9299505096</v>
      </c>
      <c r="G39" s="29"/>
      <c r="H39" s="29"/>
      <c r="I39" s="27">
        <v>20204.0</v>
      </c>
      <c r="J39" s="28" t="s">
        <v>93</v>
      </c>
      <c r="K39" s="19">
        <v>0.0498303659260273</v>
      </c>
      <c r="L39" s="19">
        <v>0.028772573918104172</v>
      </c>
      <c r="M39" s="29">
        <f t="shared" si="3"/>
        <v>0.5774104481</v>
      </c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ht="15.75" customHeight="1">
      <c r="A40" s="27">
        <v>20205.0</v>
      </c>
      <c r="B40" s="28" t="s">
        <v>94</v>
      </c>
      <c r="C40" s="19">
        <v>0.150184765458107</v>
      </c>
      <c r="D40" s="19">
        <v>0.15865492820739746</v>
      </c>
      <c r="E40" s="29">
        <f t="shared" si="1"/>
        <v>1.056398282</v>
      </c>
      <c r="F40" s="30">
        <f t="shared" si="2"/>
        <v>1.056398282</v>
      </c>
      <c r="G40" s="29"/>
      <c r="H40" s="29"/>
      <c r="I40" s="27">
        <v>20205.0</v>
      </c>
      <c r="J40" s="28" t="s">
        <v>94</v>
      </c>
      <c r="K40" s="19">
        <v>0.032798606902360916</v>
      </c>
      <c r="L40" s="19">
        <v>0.030806386843323708</v>
      </c>
      <c r="M40" s="29">
        <f t="shared" si="3"/>
        <v>0.9392590037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 ht="15.75" customHeight="1">
      <c r="A41" s="27">
        <v>20206.0</v>
      </c>
      <c r="B41" s="28" t="s">
        <v>95</v>
      </c>
      <c r="C41" s="19">
        <v>0.08796659111976624</v>
      </c>
      <c r="D41" s="19">
        <v>0.07799965888261795</v>
      </c>
      <c r="E41" s="29">
        <f t="shared" si="1"/>
        <v>0.8866963911</v>
      </c>
      <c r="F41" s="30">
        <f t="shared" si="2"/>
        <v>0.8866963911</v>
      </c>
      <c r="G41" s="29"/>
      <c r="H41" s="29"/>
      <c r="I41" s="27">
        <v>20206.0</v>
      </c>
      <c r="J41" s="28" t="s">
        <v>95</v>
      </c>
      <c r="K41" s="19">
        <v>0.023709313943982124</v>
      </c>
      <c r="L41" s="19">
        <v>0.01951690763235092</v>
      </c>
      <c r="M41" s="29">
        <f t="shared" si="3"/>
        <v>0.8231747101</v>
      </c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 ht="15.75" customHeight="1">
      <c r="A42" s="27">
        <v>20301.0</v>
      </c>
      <c r="B42" s="28" t="s">
        <v>96</v>
      </c>
      <c r="C42" s="19">
        <v>0.29183879494667053</v>
      </c>
      <c r="D42" s="19">
        <v>0.2955131530761719</v>
      </c>
      <c r="E42" s="29">
        <f t="shared" si="1"/>
        <v>1.012590369</v>
      </c>
      <c r="F42" s="30">
        <f t="shared" si="2"/>
        <v>1.012590369</v>
      </c>
      <c r="G42" s="29"/>
      <c r="H42" s="29"/>
      <c r="I42" s="27">
        <v>20301.0</v>
      </c>
      <c r="J42" s="28" t="s">
        <v>96</v>
      </c>
      <c r="K42" s="19">
        <v>0.08674441277980804</v>
      </c>
      <c r="L42" s="19">
        <v>0.09005391597747803</v>
      </c>
      <c r="M42" s="29">
        <f t="shared" si="3"/>
        <v>1.03815235</v>
      </c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ht="15.75" customHeight="1">
      <c r="A43" s="27">
        <v>20302.0</v>
      </c>
      <c r="B43" s="28" t="s">
        <v>97</v>
      </c>
      <c r="C43" s="19">
        <v>0.3085992932319641</v>
      </c>
      <c r="D43" s="19">
        <v>0.32550540566444397</v>
      </c>
      <c r="E43" s="29">
        <f t="shared" si="1"/>
        <v>1.05478338</v>
      </c>
      <c r="F43" s="30">
        <f t="shared" si="2"/>
        <v>1.05478338</v>
      </c>
      <c r="G43" s="29"/>
      <c r="H43" s="29"/>
      <c r="I43" s="27">
        <v>20302.0</v>
      </c>
      <c r="J43" s="28" t="s">
        <v>97</v>
      </c>
      <c r="K43" s="19">
        <v>0.05363289639353752</v>
      </c>
      <c r="L43" s="19">
        <v>0.054730504751205444</v>
      </c>
      <c r="M43" s="29">
        <f t="shared" si="3"/>
        <v>1.020465208</v>
      </c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 ht="15.75" customHeight="1">
      <c r="A44" s="27">
        <v>20303.0</v>
      </c>
      <c r="B44" s="28" t="s">
        <v>98</v>
      </c>
      <c r="C44" s="19">
        <v>0.3402537703514099</v>
      </c>
      <c r="D44" s="19">
        <v>0.36872196197509766</v>
      </c>
      <c r="E44" s="29">
        <f t="shared" si="1"/>
        <v>1.083667527</v>
      </c>
      <c r="F44" s="30">
        <f t="shared" si="2"/>
        <v>1.083667527</v>
      </c>
      <c r="G44" s="29"/>
      <c r="H44" s="29"/>
      <c r="I44" s="27">
        <v>20303.0</v>
      </c>
      <c r="J44" s="28" t="s">
        <v>98</v>
      </c>
      <c r="K44" s="19">
        <v>0.0935390517115593</v>
      </c>
      <c r="L44" s="19">
        <v>0.09905875474214554</v>
      </c>
      <c r="M44" s="29">
        <f t="shared" si="3"/>
        <v>1.059009611</v>
      </c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 ht="15.75" customHeight="1">
      <c r="A45" s="27">
        <v>20304.0</v>
      </c>
      <c r="B45" s="28" t="s">
        <v>99</v>
      </c>
      <c r="C45" s="19">
        <v>0.29468244314193726</v>
      </c>
      <c r="D45" s="19">
        <v>0.2747012674808502</v>
      </c>
      <c r="E45" s="29">
        <f t="shared" si="1"/>
        <v>0.9321942107</v>
      </c>
      <c r="F45" s="30">
        <f t="shared" si="2"/>
        <v>0.9321942107</v>
      </c>
      <c r="G45" s="29"/>
      <c r="H45" s="29"/>
      <c r="I45" s="27">
        <v>20304.0</v>
      </c>
      <c r="J45" s="28" t="s">
        <v>99</v>
      </c>
      <c r="K45" s="19">
        <v>0.036957815289497375</v>
      </c>
      <c r="L45" s="19">
        <v>0.03809713199734688</v>
      </c>
      <c r="M45" s="29">
        <f t="shared" si="3"/>
        <v>1.030827491</v>
      </c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ht="15.75" customHeight="1">
      <c r="A46" s="27">
        <v>20305.0</v>
      </c>
      <c r="B46" s="28" t="s">
        <v>100</v>
      </c>
      <c r="C46" s="19">
        <v>0.3255814015865326</v>
      </c>
      <c r="D46" s="19">
        <v>0.3106440007686615</v>
      </c>
      <c r="E46" s="29">
        <f t="shared" si="1"/>
        <v>0.9541208412</v>
      </c>
      <c r="F46" s="30">
        <f t="shared" si="2"/>
        <v>0.9541208412</v>
      </c>
      <c r="G46" s="29"/>
      <c r="H46" s="29"/>
      <c r="I46" s="27">
        <v>20305.0</v>
      </c>
      <c r="J46" s="28" t="s">
        <v>100</v>
      </c>
      <c r="K46" s="19">
        <v>0.13289141654968262</v>
      </c>
      <c r="L46" s="19">
        <v>0.12491396069526672</v>
      </c>
      <c r="M46" s="29">
        <f t="shared" si="3"/>
        <v>0.9399701195</v>
      </c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 ht="15.75" customHeight="1">
      <c r="A47" s="27">
        <v>20306.0</v>
      </c>
      <c r="B47" s="28" t="s">
        <v>101</v>
      </c>
      <c r="C47" s="19">
        <v>0.28197306394577026</v>
      </c>
      <c r="D47" s="19">
        <v>0.29117196798324585</v>
      </c>
      <c r="E47" s="29">
        <f t="shared" si="1"/>
        <v>1.032623343</v>
      </c>
      <c r="F47" s="30">
        <f t="shared" si="2"/>
        <v>1.032623343</v>
      </c>
      <c r="G47" s="29"/>
      <c r="H47" s="29"/>
      <c r="I47" s="27">
        <v>20306.0</v>
      </c>
      <c r="J47" s="28" t="s">
        <v>101</v>
      </c>
      <c r="K47" s="19">
        <v>0.07695121318101883</v>
      </c>
      <c r="L47" s="19">
        <v>0.06874588131904602</v>
      </c>
      <c r="M47" s="29">
        <f t="shared" si="3"/>
        <v>0.8933696881</v>
      </c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 ht="15.75" customHeight="1">
      <c r="A48" s="27">
        <v>20307.0</v>
      </c>
      <c r="B48" s="28" t="s">
        <v>102</v>
      </c>
      <c r="C48" s="19">
        <v>0.19471947848796844</v>
      </c>
      <c r="D48" s="19">
        <v>0.2754397690296173</v>
      </c>
      <c r="E48" s="29">
        <f t="shared" si="1"/>
        <v>1.414546563</v>
      </c>
      <c r="F48" s="30">
        <f t="shared" si="2"/>
        <v>1.414546563</v>
      </c>
      <c r="G48" s="29"/>
      <c r="H48" s="29"/>
      <c r="I48" s="27">
        <v>20307.0</v>
      </c>
      <c r="J48" s="28" t="s">
        <v>102</v>
      </c>
      <c r="K48" s="19">
        <v>0.07214698940515518</v>
      </c>
      <c r="L48" s="19">
        <v>0.07196293771266937</v>
      </c>
      <c r="M48" s="29">
        <f t="shared" si="3"/>
        <v>0.9974489345</v>
      </c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ht="15.75" customHeight="1">
      <c r="A49" s="27">
        <v>20308.0</v>
      </c>
      <c r="B49" s="28" t="s">
        <v>103</v>
      </c>
      <c r="C49" s="19">
        <v>0.4301774203777313</v>
      </c>
      <c r="D49" s="19">
        <v>0.43565183877944946</v>
      </c>
      <c r="E49" s="29">
        <f t="shared" si="1"/>
        <v>1.012725955</v>
      </c>
      <c r="F49" s="30">
        <f t="shared" si="2"/>
        <v>1.012725955</v>
      </c>
      <c r="G49" s="29"/>
      <c r="H49" s="29"/>
      <c r="I49" s="27">
        <v>20308.0</v>
      </c>
      <c r="J49" s="28" t="s">
        <v>103</v>
      </c>
      <c r="K49" s="19">
        <v>0.14128367602825165</v>
      </c>
      <c r="L49" s="19">
        <v>0.12855981290340424</v>
      </c>
      <c r="M49" s="29">
        <f t="shared" si="3"/>
        <v>0.9099410245</v>
      </c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 ht="15.75" customHeight="1">
      <c r="A50" s="27">
        <v>20401.0</v>
      </c>
      <c r="B50" s="28" t="s">
        <v>104</v>
      </c>
      <c r="C50" s="19">
        <v>0.2842991352081299</v>
      </c>
      <c r="D50" s="19">
        <v>0.2867673933506012</v>
      </c>
      <c r="E50" s="29">
        <f t="shared" si="1"/>
        <v>1.008681905</v>
      </c>
      <c r="F50" s="30">
        <f t="shared" si="2"/>
        <v>1.008681905</v>
      </c>
      <c r="G50" s="29"/>
      <c r="H50" s="29"/>
      <c r="I50" s="27">
        <v>20401.0</v>
      </c>
      <c r="J50" s="28" t="s">
        <v>104</v>
      </c>
      <c r="K50" s="19">
        <v>0.10068882256746292</v>
      </c>
      <c r="L50" s="19">
        <v>0.08813109248876572</v>
      </c>
      <c r="M50" s="29">
        <f t="shared" si="3"/>
        <v>0.8752817864</v>
      </c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 ht="15.75" customHeight="1">
      <c r="A51" s="27">
        <v>20402.0</v>
      </c>
      <c r="B51" s="28" t="s">
        <v>105</v>
      </c>
      <c r="C51" s="19">
        <v>0.2529051601886749</v>
      </c>
      <c r="D51" s="19">
        <v>0.27276962995529175</v>
      </c>
      <c r="E51" s="29">
        <f t="shared" si="1"/>
        <v>1.078545134</v>
      </c>
      <c r="F51" s="30">
        <f t="shared" si="2"/>
        <v>1.078545134</v>
      </c>
      <c r="G51" s="29"/>
      <c r="H51" s="29"/>
      <c r="I51" s="27">
        <v>20402.0</v>
      </c>
      <c r="J51" s="28" t="s">
        <v>105</v>
      </c>
      <c r="K51" s="19">
        <v>0.08239632844924927</v>
      </c>
      <c r="L51" s="19">
        <v>0.05911191180348396</v>
      </c>
      <c r="M51" s="29">
        <f t="shared" si="3"/>
        <v>0.7174095365</v>
      </c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ht="15.75" customHeight="1">
      <c r="A52" s="27">
        <v>20403.0</v>
      </c>
      <c r="B52" s="28" t="s">
        <v>106</v>
      </c>
      <c r="C52" s="19">
        <v>0.2589580714702606</v>
      </c>
      <c r="D52" s="19">
        <v>0.28928104043006897</v>
      </c>
      <c r="E52" s="29">
        <f t="shared" si="1"/>
        <v>1.117096056</v>
      </c>
      <c r="F52" s="30">
        <f t="shared" si="2"/>
        <v>1.117096056</v>
      </c>
      <c r="G52" s="29"/>
      <c r="H52" s="29"/>
      <c r="I52" s="27">
        <v>20403.0</v>
      </c>
      <c r="J52" s="28" t="s">
        <v>106</v>
      </c>
      <c r="K52" s="19">
        <v>0.07774091511964798</v>
      </c>
      <c r="L52" s="19">
        <v>0.05932411551475525</v>
      </c>
      <c r="M52" s="29">
        <f t="shared" si="3"/>
        <v>0.7631002983</v>
      </c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ht="15.75" customHeight="1">
      <c r="A53" s="27">
        <v>20404.0</v>
      </c>
      <c r="B53" s="28" t="s">
        <v>107</v>
      </c>
      <c r="C53" s="19">
        <v>0.30931586027145386</v>
      </c>
      <c r="D53" s="19">
        <v>0.3076448440551758</v>
      </c>
      <c r="E53" s="29">
        <f t="shared" si="1"/>
        <v>0.9945977028</v>
      </c>
      <c r="F53" s="30">
        <f t="shared" si="2"/>
        <v>0.9945977028</v>
      </c>
      <c r="G53" s="29"/>
      <c r="H53" s="29"/>
      <c r="I53" s="27">
        <v>20404.0</v>
      </c>
      <c r="J53" s="28" t="s">
        <v>107</v>
      </c>
      <c r="K53" s="19">
        <v>0.12359481304883957</v>
      </c>
      <c r="L53" s="19">
        <v>0.09479832649230957</v>
      </c>
      <c r="M53" s="29">
        <f t="shared" si="3"/>
        <v>0.7670089396</v>
      </c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ht="15.75" customHeight="1">
      <c r="A54" s="27">
        <v>20405.0</v>
      </c>
      <c r="B54" s="28" t="s">
        <v>108</v>
      </c>
      <c r="C54" s="19">
        <v>0.25192567706108093</v>
      </c>
      <c r="D54" s="19">
        <v>0.20268596708774567</v>
      </c>
      <c r="E54" s="29">
        <f t="shared" si="1"/>
        <v>0.80454668</v>
      </c>
      <c r="F54" s="30">
        <f t="shared" si="2"/>
        <v>0.80454668</v>
      </c>
      <c r="G54" s="29"/>
      <c r="H54" s="29"/>
      <c r="I54" s="27">
        <v>20405.0</v>
      </c>
      <c r="J54" s="28" t="s">
        <v>108</v>
      </c>
      <c r="K54" s="19">
        <v>0.09902684390544891</v>
      </c>
      <c r="L54" s="19">
        <v>0.07603160291910172</v>
      </c>
      <c r="M54" s="29">
        <f t="shared" si="3"/>
        <v>0.767787803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ht="15.75" customHeight="1">
      <c r="A55" s="27">
        <v>20501.0</v>
      </c>
      <c r="B55" s="28" t="s">
        <v>109</v>
      </c>
      <c r="C55" s="19">
        <v>0.233570858836174</v>
      </c>
      <c r="D55" s="19">
        <v>0.2330993264913559</v>
      </c>
      <c r="E55" s="29">
        <f t="shared" si="1"/>
        <v>0.9979812022</v>
      </c>
      <c r="F55" s="30">
        <f t="shared" si="2"/>
        <v>0.9979812022</v>
      </c>
      <c r="G55" s="29"/>
      <c r="H55" s="29"/>
      <c r="I55" s="27">
        <v>20501.0</v>
      </c>
      <c r="J55" s="28" t="s">
        <v>109</v>
      </c>
      <c r="K55" s="19">
        <v>0.06836055964231491</v>
      </c>
      <c r="L55" s="19">
        <v>0.049535736441612244</v>
      </c>
      <c r="M55" s="29">
        <f t="shared" si="3"/>
        <v>0.7246245013</v>
      </c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ht="15.75" customHeight="1">
      <c r="A56" s="27">
        <v>20502.0</v>
      </c>
      <c r="B56" s="28" t="s">
        <v>110</v>
      </c>
      <c r="C56" s="19">
        <v>0.2704716622829437</v>
      </c>
      <c r="D56" s="19">
        <v>0.31068089604377747</v>
      </c>
      <c r="E56" s="29">
        <f t="shared" si="1"/>
        <v>1.148663388</v>
      </c>
      <c r="F56" s="30">
        <f t="shared" si="2"/>
        <v>1.148663388</v>
      </c>
      <c r="G56" s="29"/>
      <c r="H56" s="29"/>
      <c r="I56" s="27">
        <v>20502.0</v>
      </c>
      <c r="J56" s="28" t="s">
        <v>110</v>
      </c>
      <c r="K56" s="19">
        <v>0.10648398101329803</v>
      </c>
      <c r="L56" s="19">
        <v>0.07581188529729843</v>
      </c>
      <c r="M56" s="29">
        <f t="shared" si="3"/>
        <v>0.7119557757</v>
      </c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 ht="15.75" customHeight="1">
      <c r="A57" s="27">
        <v>20503.0</v>
      </c>
      <c r="B57" s="28" t="s">
        <v>111</v>
      </c>
      <c r="C57" s="19">
        <v>0.31807082891464233</v>
      </c>
      <c r="D57" s="19">
        <v>0.2958953380584717</v>
      </c>
      <c r="E57" s="29">
        <f t="shared" si="1"/>
        <v>0.9302812806</v>
      </c>
      <c r="F57" s="30">
        <f t="shared" si="2"/>
        <v>0.9302812806</v>
      </c>
      <c r="G57" s="29"/>
      <c r="H57" s="29"/>
      <c r="I57" s="27">
        <v>20503.0</v>
      </c>
      <c r="J57" s="28" t="s">
        <v>111</v>
      </c>
      <c r="K57" s="19">
        <v>0.11335677653551102</v>
      </c>
      <c r="L57" s="19">
        <v>0.06690921634435654</v>
      </c>
      <c r="M57" s="29">
        <f t="shared" si="3"/>
        <v>0.5902533434</v>
      </c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ht="15.75" customHeight="1">
      <c r="A58" s="27">
        <v>20601.0</v>
      </c>
      <c r="B58" s="28" t="s">
        <v>112</v>
      </c>
      <c r="C58" s="19">
        <v>0.2414494752883911</v>
      </c>
      <c r="D58" s="19">
        <v>0.22997024655342102</v>
      </c>
      <c r="E58" s="29">
        <f t="shared" si="1"/>
        <v>0.9524570152</v>
      </c>
      <c r="F58" s="30">
        <f t="shared" si="2"/>
        <v>0.9524570152</v>
      </c>
      <c r="G58" s="29"/>
      <c r="H58" s="29"/>
      <c r="I58" s="27">
        <v>20601.0</v>
      </c>
      <c r="J58" s="28" t="s">
        <v>112</v>
      </c>
      <c r="K58" s="19">
        <v>0.0660121962428093</v>
      </c>
      <c r="L58" s="19">
        <v>0.050613436847925186</v>
      </c>
      <c r="M58" s="29">
        <f t="shared" si="3"/>
        <v>0.7667285703</v>
      </c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 ht="15.75" customHeight="1">
      <c r="A59" s="27">
        <v>20602.0</v>
      </c>
      <c r="B59" s="28" t="s">
        <v>113</v>
      </c>
      <c r="C59" s="19">
        <v>0.19538889825344086</v>
      </c>
      <c r="D59" s="19">
        <v>0.19909122586250305</v>
      </c>
      <c r="E59" s="29">
        <f t="shared" si="1"/>
        <v>1.018948505</v>
      </c>
      <c r="F59" s="30">
        <f t="shared" si="2"/>
        <v>1.018948505</v>
      </c>
      <c r="G59" s="29"/>
      <c r="H59" s="29"/>
      <c r="I59" s="27">
        <v>20602.0</v>
      </c>
      <c r="J59" s="28" t="s">
        <v>113</v>
      </c>
      <c r="K59" s="19">
        <v>0.04259336367249489</v>
      </c>
      <c r="L59" s="19">
        <v>0.047199804335832596</v>
      </c>
      <c r="M59" s="29">
        <f t="shared" si="3"/>
        <v>1.108149258</v>
      </c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ht="15.75" customHeight="1">
      <c r="A60" s="27">
        <v>20603.0</v>
      </c>
      <c r="B60" s="28" t="s">
        <v>114</v>
      </c>
      <c r="C60" s="19">
        <v>0.2822502553462982</v>
      </c>
      <c r="D60" s="19">
        <v>0.2497251331806183</v>
      </c>
      <c r="E60" s="29">
        <f t="shared" si="1"/>
        <v>0.8847649504</v>
      </c>
      <c r="F60" s="30">
        <f t="shared" si="2"/>
        <v>0.8847649504</v>
      </c>
      <c r="G60" s="29"/>
      <c r="H60" s="29"/>
      <c r="I60" s="27">
        <v>20603.0</v>
      </c>
      <c r="J60" s="28" t="s">
        <v>114</v>
      </c>
      <c r="K60" s="19">
        <v>0.09710930287837982</v>
      </c>
      <c r="L60" s="19">
        <v>0.0670066773891449</v>
      </c>
      <c r="M60" s="29">
        <f t="shared" si="3"/>
        <v>0.6900129586</v>
      </c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ht="15.75" customHeight="1">
      <c r="A61" s="27">
        <v>20604.0</v>
      </c>
      <c r="B61" s="28" t="s">
        <v>115</v>
      </c>
      <c r="C61" s="19">
        <v>0.2692967355251312</v>
      </c>
      <c r="D61" s="19">
        <v>0.24111275374889374</v>
      </c>
      <c r="E61" s="29">
        <f t="shared" si="1"/>
        <v>0.8953422821</v>
      </c>
      <c r="F61" s="30">
        <f t="shared" si="2"/>
        <v>0.8953422821</v>
      </c>
      <c r="G61" s="29"/>
      <c r="H61" s="29"/>
      <c r="I61" s="27">
        <v>20604.0</v>
      </c>
      <c r="J61" s="28" t="s">
        <v>115</v>
      </c>
      <c r="K61" s="19">
        <v>0.1149425283074379</v>
      </c>
      <c r="L61" s="19">
        <v>0.08264949917793274</v>
      </c>
      <c r="M61" s="29">
        <f t="shared" si="3"/>
        <v>0.7190506455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 ht="15.75" customHeight="1">
      <c r="A62" s="27">
        <v>20605.0</v>
      </c>
      <c r="B62" s="28" t="s">
        <v>116</v>
      </c>
      <c r="C62" s="19">
        <v>0.19602063298225403</v>
      </c>
      <c r="D62" s="19">
        <v>0.20068906247615814</v>
      </c>
      <c r="E62" s="29">
        <f t="shared" si="1"/>
        <v>1.023816011</v>
      </c>
      <c r="F62" s="30">
        <f t="shared" si="2"/>
        <v>1.023816011</v>
      </c>
      <c r="G62" s="29"/>
      <c r="H62" s="29"/>
      <c r="I62" s="27">
        <v>20605.0</v>
      </c>
      <c r="J62" s="28" t="s">
        <v>116</v>
      </c>
      <c r="K62" s="19">
        <v>0.0708344355225563</v>
      </c>
      <c r="L62" s="19">
        <v>0.0617833137512207</v>
      </c>
      <c r="M62" s="29">
        <f t="shared" si="3"/>
        <v>0.8722214456</v>
      </c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ht="15.75" customHeight="1">
      <c r="A63" s="27">
        <v>20606.0</v>
      </c>
      <c r="B63" s="28" t="s">
        <v>117</v>
      </c>
      <c r="C63" s="19">
        <v>0.12235379219055176</v>
      </c>
      <c r="D63" s="19">
        <v>0.1170336976647377</v>
      </c>
      <c r="E63" s="29">
        <f t="shared" si="1"/>
        <v>0.9565187606</v>
      </c>
      <c r="F63" s="30">
        <f t="shared" si="2"/>
        <v>0.9565187606</v>
      </c>
      <c r="G63" s="29"/>
      <c r="H63" s="29"/>
      <c r="I63" s="27">
        <v>20606.0</v>
      </c>
      <c r="J63" s="28" t="s">
        <v>117</v>
      </c>
      <c r="K63" s="19">
        <v>0.04554438591003418</v>
      </c>
      <c r="L63" s="19">
        <v>0.024809328839182854</v>
      </c>
      <c r="M63" s="29">
        <f t="shared" si="3"/>
        <v>0.5447285839</v>
      </c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ht="15.75" customHeight="1">
      <c r="A64" s="27">
        <v>20607.0</v>
      </c>
      <c r="B64" s="28" t="s">
        <v>118</v>
      </c>
      <c r="C64" s="19">
        <v>0.14925231039524078</v>
      </c>
      <c r="D64" s="19">
        <v>0.11140815168619156</v>
      </c>
      <c r="E64" s="29">
        <f t="shared" si="1"/>
        <v>0.7464417227</v>
      </c>
      <c r="F64" s="30">
        <f t="shared" si="2"/>
        <v>0.7464417227</v>
      </c>
      <c r="G64" s="29"/>
      <c r="H64" s="29"/>
      <c r="I64" s="27">
        <v>20607.0</v>
      </c>
      <c r="J64" s="28" t="s">
        <v>118</v>
      </c>
      <c r="K64" s="19">
        <v>0.02119917795062065</v>
      </c>
      <c r="L64" s="19">
        <v>0.022114766761660576</v>
      </c>
      <c r="M64" s="29">
        <f t="shared" si="3"/>
        <v>1.043189826</v>
      </c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 ht="15.75" customHeight="1">
      <c r="A65" s="27">
        <v>20608.0</v>
      </c>
      <c r="B65" s="28" t="s">
        <v>119</v>
      </c>
      <c r="C65" s="19">
        <v>0.20667316019535065</v>
      </c>
      <c r="D65" s="19">
        <v>0.27689817547798157</v>
      </c>
      <c r="E65" s="29">
        <f t="shared" si="1"/>
        <v>1.339787785</v>
      </c>
      <c r="F65" s="30">
        <f t="shared" si="2"/>
        <v>1.339787785</v>
      </c>
      <c r="G65" s="29"/>
      <c r="H65" s="29"/>
      <c r="I65" s="27">
        <v>20608.0</v>
      </c>
      <c r="J65" s="28" t="s">
        <v>119</v>
      </c>
      <c r="K65" s="19">
        <v>0.090298593044281</v>
      </c>
      <c r="L65" s="19">
        <v>0.08135627955198288</v>
      </c>
      <c r="M65" s="29">
        <f t="shared" si="3"/>
        <v>0.9009695147</v>
      </c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ht="15.75" customHeight="1">
      <c r="A66" s="27">
        <v>20701.0</v>
      </c>
      <c r="B66" s="28" t="s">
        <v>120</v>
      </c>
      <c r="C66" s="19">
        <v>0.3082890212535858</v>
      </c>
      <c r="D66" s="19">
        <v>0.2587127983570099</v>
      </c>
      <c r="E66" s="29">
        <f t="shared" si="1"/>
        <v>0.8391891392</v>
      </c>
      <c r="F66" s="30">
        <f t="shared" si="2"/>
        <v>0.8391891392</v>
      </c>
      <c r="G66" s="29"/>
      <c r="H66" s="29"/>
      <c r="I66" s="27">
        <v>20701.0</v>
      </c>
      <c r="J66" s="28" t="s">
        <v>120</v>
      </c>
      <c r="K66" s="19">
        <v>0.1099456176161766</v>
      </c>
      <c r="L66" s="19">
        <v>0.07972226291894913</v>
      </c>
      <c r="M66" s="29">
        <f t="shared" si="3"/>
        <v>0.7251063266</v>
      </c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ht="15.75" customHeight="1">
      <c r="A67" s="27">
        <v>20702.0</v>
      </c>
      <c r="B67" s="28" t="s">
        <v>121</v>
      </c>
      <c r="C67" s="19">
        <v>0.3632034659385681</v>
      </c>
      <c r="D67" s="19">
        <v>0.3292267620563507</v>
      </c>
      <c r="E67" s="29">
        <f t="shared" si="1"/>
        <v>0.9064526992</v>
      </c>
      <c r="F67" s="30">
        <f t="shared" si="2"/>
        <v>0.9064526992</v>
      </c>
      <c r="G67" s="29"/>
      <c r="H67" s="29"/>
      <c r="I67" s="27">
        <v>20702.0</v>
      </c>
      <c r="J67" s="28" t="s">
        <v>121</v>
      </c>
      <c r="K67" s="19">
        <v>0.06787679344415665</v>
      </c>
      <c r="L67" s="19">
        <v>0.050066109746694565</v>
      </c>
      <c r="M67" s="29">
        <f t="shared" si="3"/>
        <v>0.7376027536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 ht="15.75" customHeight="1">
      <c r="A68" s="27">
        <v>20801.0</v>
      </c>
      <c r="B68" s="28" t="s">
        <v>122</v>
      </c>
      <c r="C68" s="19">
        <v>0.12907294929027557</v>
      </c>
      <c r="D68" s="19">
        <v>0.12663647532463074</v>
      </c>
      <c r="E68" s="29">
        <f t="shared" si="1"/>
        <v>0.9811232797</v>
      </c>
      <c r="F68" s="30">
        <f t="shared" si="2"/>
        <v>0.9811232797</v>
      </c>
      <c r="G68" s="29"/>
      <c r="H68" s="29"/>
      <c r="I68" s="27">
        <v>20801.0</v>
      </c>
      <c r="J68" s="28" t="s">
        <v>122</v>
      </c>
      <c r="K68" s="19">
        <v>0.03161250054836273</v>
      </c>
      <c r="L68" s="19">
        <v>0.019604071974754333</v>
      </c>
      <c r="M68" s="29">
        <f t="shared" si="3"/>
        <v>0.6201367065</v>
      </c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ht="15.75" customHeight="1">
      <c r="A69" s="27">
        <v>20802.0</v>
      </c>
      <c r="B69" s="28" t="s">
        <v>123</v>
      </c>
      <c r="C69" s="19">
        <v>0.1502581387758255</v>
      </c>
      <c r="D69" s="19">
        <v>0.15021711587905884</v>
      </c>
      <c r="E69" s="29">
        <f t="shared" si="1"/>
        <v>0.9997269839</v>
      </c>
      <c r="F69" s="30">
        <f t="shared" si="2"/>
        <v>0.9997269839</v>
      </c>
      <c r="G69" s="29"/>
      <c r="H69" s="29"/>
      <c r="I69" s="27">
        <v>20802.0</v>
      </c>
      <c r="J69" s="28" t="s">
        <v>123</v>
      </c>
      <c r="K69" s="19">
        <v>0.03379400447010994</v>
      </c>
      <c r="L69" s="19">
        <v>0.024733945727348328</v>
      </c>
      <c r="M69" s="29">
        <f t="shared" si="3"/>
        <v>0.7319033691</v>
      </c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ht="15.75" customHeight="1">
      <c r="A70" s="27">
        <v>20803.0</v>
      </c>
      <c r="B70" s="28" t="s">
        <v>124</v>
      </c>
      <c r="C70" s="19">
        <v>0.20283523201942444</v>
      </c>
      <c r="D70" s="19">
        <v>0.20612922310829163</v>
      </c>
      <c r="E70" s="29">
        <f t="shared" si="1"/>
        <v>1.016239738</v>
      </c>
      <c r="F70" s="30">
        <f t="shared" si="2"/>
        <v>1.016239738</v>
      </c>
      <c r="G70" s="29"/>
      <c r="H70" s="29"/>
      <c r="I70" s="27">
        <v>20803.0</v>
      </c>
      <c r="J70" s="28" t="s">
        <v>124</v>
      </c>
      <c r="K70" s="19">
        <v>0.07272504270076752</v>
      </c>
      <c r="L70" s="19">
        <v>0.07769589126110077</v>
      </c>
      <c r="M70" s="29">
        <f t="shared" si="3"/>
        <v>1.068351264</v>
      </c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 ht="15.75" customHeight="1">
      <c r="A71" s="27">
        <v>20804.0</v>
      </c>
      <c r="B71" s="28" t="s">
        <v>125</v>
      </c>
      <c r="C71" s="19">
        <v>0.11803857237100601</v>
      </c>
      <c r="D71" s="19">
        <v>0.09482553601264954</v>
      </c>
      <c r="E71" s="29">
        <f t="shared" si="1"/>
        <v>0.8033436368</v>
      </c>
      <c r="F71" s="30">
        <f t="shared" si="2"/>
        <v>0.8033436368</v>
      </c>
      <c r="G71" s="29"/>
      <c r="H71" s="29"/>
      <c r="I71" s="27">
        <v>20804.0</v>
      </c>
      <c r="J71" s="28" t="s">
        <v>125</v>
      </c>
      <c r="K71" s="19">
        <v>0.019684573635458946</v>
      </c>
      <c r="L71" s="19">
        <v>0.011716759763658047</v>
      </c>
      <c r="M71" s="29">
        <f t="shared" si="3"/>
        <v>0.5952254786</v>
      </c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 ht="15.75" customHeight="1">
      <c r="A72" s="27">
        <v>20805.0</v>
      </c>
      <c r="B72" s="28" t="s">
        <v>126</v>
      </c>
      <c r="C72" s="19">
        <v>0.2937016487121582</v>
      </c>
      <c r="D72" s="19">
        <v>0.28701725602149963</v>
      </c>
      <c r="E72" s="29">
        <f t="shared" si="1"/>
        <v>0.9772408745</v>
      </c>
      <c r="F72" s="30">
        <f t="shared" si="2"/>
        <v>0.9772408745</v>
      </c>
      <c r="G72" s="29"/>
      <c r="H72" s="29"/>
      <c r="I72" s="27">
        <v>20805.0</v>
      </c>
      <c r="J72" s="28" t="s">
        <v>126</v>
      </c>
      <c r="K72" s="19">
        <v>0.054466232657432556</v>
      </c>
      <c r="L72" s="19">
        <v>0.05890312045812607</v>
      </c>
      <c r="M72" s="29">
        <f t="shared" si="3"/>
        <v>1.081461257</v>
      </c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 ht="15.75" customHeight="1">
      <c r="A73" s="27">
        <v>20806.0</v>
      </c>
      <c r="B73" s="28" t="s">
        <v>127</v>
      </c>
      <c r="C73" s="19">
        <v>0.18590882420539856</v>
      </c>
      <c r="D73" s="19">
        <v>0.19829007983207703</v>
      </c>
      <c r="E73" s="29">
        <f t="shared" si="1"/>
        <v>1.066598537</v>
      </c>
      <c r="F73" s="30">
        <f t="shared" si="2"/>
        <v>1.066598537</v>
      </c>
      <c r="G73" s="29"/>
      <c r="H73" s="29"/>
      <c r="I73" s="27">
        <v>20806.0</v>
      </c>
      <c r="J73" s="28" t="s">
        <v>127</v>
      </c>
      <c r="K73" s="19">
        <v>0.045886650681495667</v>
      </c>
      <c r="L73" s="19">
        <v>0.045031409710645676</v>
      </c>
      <c r="M73" s="29">
        <f t="shared" si="3"/>
        <v>0.9813618785</v>
      </c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 ht="15.75" customHeight="1">
      <c r="A74" s="27">
        <v>20807.0</v>
      </c>
      <c r="B74" s="28" t="s">
        <v>128</v>
      </c>
      <c r="C74" s="19">
        <v>0.1588500589132309</v>
      </c>
      <c r="D74" s="19">
        <v>0.1786627471446991</v>
      </c>
      <c r="E74" s="29">
        <f t="shared" si="1"/>
        <v>1.124725722</v>
      </c>
      <c r="F74" s="30">
        <f t="shared" si="2"/>
        <v>1.124725722</v>
      </c>
      <c r="G74" s="29"/>
      <c r="H74" s="29"/>
      <c r="I74" s="27">
        <v>20807.0</v>
      </c>
      <c r="J74" s="28" t="s">
        <v>128</v>
      </c>
      <c r="K74" s="19">
        <v>0.04769246652722359</v>
      </c>
      <c r="L74" s="19">
        <v>0.03657924756407738</v>
      </c>
      <c r="M74" s="29">
        <f t="shared" si="3"/>
        <v>0.7669816688</v>
      </c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 ht="15.75" customHeight="1">
      <c r="A75" s="27">
        <v>20901.0</v>
      </c>
      <c r="B75" s="28" t="s">
        <v>129</v>
      </c>
      <c r="C75" s="19">
        <v>0.1976349949836731</v>
      </c>
      <c r="D75" s="19">
        <v>0.17019730806350708</v>
      </c>
      <c r="E75" s="29">
        <f t="shared" si="1"/>
        <v>0.8611698959</v>
      </c>
      <c r="F75" s="30">
        <f t="shared" si="2"/>
        <v>0.8611698959</v>
      </c>
      <c r="G75" s="29"/>
      <c r="H75" s="29"/>
      <c r="I75" s="27">
        <v>20901.0</v>
      </c>
      <c r="J75" s="28" t="s">
        <v>129</v>
      </c>
      <c r="K75" s="19">
        <v>0.04842223599553108</v>
      </c>
      <c r="L75" s="19">
        <v>0.03815457969903946</v>
      </c>
      <c r="M75" s="29">
        <f t="shared" si="3"/>
        <v>0.7879557586</v>
      </c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 ht="15.75" customHeight="1">
      <c r="A76" s="27">
        <v>20902.0</v>
      </c>
      <c r="B76" s="28" t="s">
        <v>130</v>
      </c>
      <c r="C76" s="19">
        <v>0.30010002851486206</v>
      </c>
      <c r="D76" s="19">
        <v>0.29611891508102417</v>
      </c>
      <c r="E76" s="29">
        <f t="shared" si="1"/>
        <v>0.9867340451</v>
      </c>
      <c r="F76" s="30">
        <f t="shared" si="2"/>
        <v>0.9867340451</v>
      </c>
      <c r="G76" s="29"/>
      <c r="H76" s="29"/>
      <c r="I76" s="27">
        <v>20902.0</v>
      </c>
      <c r="J76" s="28" t="s">
        <v>130</v>
      </c>
      <c r="K76" s="19">
        <v>0.06817292422056198</v>
      </c>
      <c r="L76" s="19">
        <v>0.04628465697169304</v>
      </c>
      <c r="M76" s="29">
        <f t="shared" si="3"/>
        <v>0.6789301985</v>
      </c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 ht="15.75" customHeight="1">
      <c r="A77" s="27">
        <v>20903.0</v>
      </c>
      <c r="B77" s="28" t="s">
        <v>131</v>
      </c>
      <c r="C77" s="19">
        <v>0.24399743974208832</v>
      </c>
      <c r="D77" s="19">
        <v>0.2515313923358917</v>
      </c>
      <c r="E77" s="29">
        <f t="shared" si="1"/>
        <v>1.030877179</v>
      </c>
      <c r="F77" s="30">
        <f t="shared" si="2"/>
        <v>1.030877179</v>
      </c>
      <c r="G77" s="29"/>
      <c r="H77" s="29"/>
      <c r="I77" s="27">
        <v>20903.0</v>
      </c>
      <c r="J77" s="28" t="s">
        <v>131</v>
      </c>
      <c r="K77" s="19">
        <v>0.09481120109558105</v>
      </c>
      <c r="L77" s="19">
        <v>0.09163624048233032</v>
      </c>
      <c r="M77" s="29">
        <f t="shared" si="3"/>
        <v>0.966512811</v>
      </c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 ht="15.75" customHeight="1">
      <c r="A78" s="27">
        <v>20904.0</v>
      </c>
      <c r="B78" s="28" t="s">
        <v>132</v>
      </c>
      <c r="C78" s="19">
        <v>0.2646211087703705</v>
      </c>
      <c r="D78" s="19">
        <v>0.213388130068779</v>
      </c>
      <c r="E78" s="29">
        <f t="shared" si="1"/>
        <v>0.8063911872</v>
      </c>
      <c r="F78" s="30">
        <f t="shared" si="2"/>
        <v>0.8063911872</v>
      </c>
      <c r="G78" s="29"/>
      <c r="H78" s="29"/>
      <c r="I78" s="27">
        <v>20904.0</v>
      </c>
      <c r="J78" s="28" t="s">
        <v>132</v>
      </c>
      <c r="K78" s="19">
        <v>0.1056160032749176</v>
      </c>
      <c r="L78" s="19">
        <v>0.07959060370922089</v>
      </c>
      <c r="M78" s="29">
        <f t="shared" si="3"/>
        <v>0.7535846959</v>
      </c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 ht="15.75" customHeight="1">
      <c r="A79" s="27">
        <v>20905.0</v>
      </c>
      <c r="B79" s="28" t="s">
        <v>133</v>
      </c>
      <c r="C79" s="19">
        <v>0.2149430215358734</v>
      </c>
      <c r="D79" s="19">
        <v>0.18454226851463318</v>
      </c>
      <c r="E79" s="29">
        <f t="shared" si="1"/>
        <v>0.8585636658</v>
      </c>
      <c r="F79" s="30">
        <f t="shared" si="2"/>
        <v>0.8585636658</v>
      </c>
      <c r="G79" s="29"/>
      <c r="H79" s="29"/>
      <c r="I79" s="27">
        <v>20905.0</v>
      </c>
      <c r="J79" s="28" t="s">
        <v>133</v>
      </c>
      <c r="K79" s="19">
        <v>0.07773297280073166</v>
      </c>
      <c r="L79" s="19">
        <v>0.05681997537612915</v>
      </c>
      <c r="M79" s="29">
        <f t="shared" si="3"/>
        <v>0.7309636224</v>
      </c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 ht="15.75" customHeight="1">
      <c r="A80" s="27">
        <v>21001.0</v>
      </c>
      <c r="B80" s="28" t="s">
        <v>134</v>
      </c>
      <c r="C80" s="19">
        <v>0.35536250472068787</v>
      </c>
      <c r="D80" s="19">
        <v>0.38577163219451904</v>
      </c>
      <c r="E80" s="29">
        <f t="shared" si="1"/>
        <v>1.085572133</v>
      </c>
      <c r="F80" s="30">
        <f t="shared" si="2"/>
        <v>1.085572133</v>
      </c>
      <c r="G80" s="29"/>
      <c r="H80" s="29"/>
      <c r="I80" s="27">
        <v>21001.0</v>
      </c>
      <c r="J80" s="28" t="s">
        <v>134</v>
      </c>
      <c r="K80" s="19">
        <v>0.09947066754102707</v>
      </c>
      <c r="L80" s="19">
        <v>0.10209345072507858</v>
      </c>
      <c r="M80" s="29">
        <f t="shared" si="3"/>
        <v>1.026367403</v>
      </c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 ht="15.75" customHeight="1">
      <c r="A81" s="27">
        <v>21002.0</v>
      </c>
      <c r="B81" s="28" t="s">
        <v>135</v>
      </c>
      <c r="C81" s="19">
        <v>0.23291544616222382</v>
      </c>
      <c r="D81" s="19">
        <v>0.1687072068452835</v>
      </c>
      <c r="E81" s="29">
        <f t="shared" si="1"/>
        <v>0.7243281183</v>
      </c>
      <c r="F81" s="30">
        <f t="shared" si="2"/>
        <v>0.7243281183</v>
      </c>
      <c r="G81" s="29"/>
      <c r="H81" s="29"/>
      <c r="I81" s="27">
        <v>21002.0</v>
      </c>
      <c r="J81" s="28" t="s">
        <v>135</v>
      </c>
      <c r="K81" s="19">
        <v>0.07055581361055374</v>
      </c>
      <c r="L81" s="19">
        <v>0.048768602311611176</v>
      </c>
      <c r="M81" s="29">
        <f t="shared" si="3"/>
        <v>0.6912060086</v>
      </c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 ht="15.75" customHeight="1">
      <c r="A82" s="27">
        <v>21003.0</v>
      </c>
      <c r="B82" s="28" t="s">
        <v>136</v>
      </c>
      <c r="C82" s="19">
        <v>0.13757158815860748</v>
      </c>
      <c r="D82" s="19">
        <v>0.13517355918884277</v>
      </c>
      <c r="E82" s="29">
        <f t="shared" si="1"/>
        <v>0.9825688647</v>
      </c>
      <c r="F82" s="30">
        <f t="shared" si="2"/>
        <v>0.9825688647</v>
      </c>
      <c r="G82" s="29"/>
      <c r="H82" s="29"/>
      <c r="I82" s="27">
        <v>21003.0</v>
      </c>
      <c r="J82" s="28" t="s">
        <v>136</v>
      </c>
      <c r="K82" s="19">
        <v>0.040278926491737366</v>
      </c>
      <c r="L82" s="19">
        <v>0.03538771718740463</v>
      </c>
      <c r="M82" s="29">
        <f t="shared" si="3"/>
        <v>0.8785665426</v>
      </c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 ht="15.75" customHeight="1">
      <c r="A83" s="27">
        <v>21004.0</v>
      </c>
      <c r="B83" s="28" t="s">
        <v>137</v>
      </c>
      <c r="C83" s="19">
        <v>0.2700473964214325</v>
      </c>
      <c r="D83" s="19">
        <v>0.19981053471565247</v>
      </c>
      <c r="E83" s="29">
        <f t="shared" si="1"/>
        <v>0.7399091321</v>
      </c>
      <c r="F83" s="30">
        <f t="shared" si="2"/>
        <v>0.7399091321</v>
      </c>
      <c r="G83" s="29"/>
      <c r="H83" s="29"/>
      <c r="I83" s="27">
        <v>21004.0</v>
      </c>
      <c r="J83" s="28" t="s">
        <v>137</v>
      </c>
      <c r="K83" s="19">
        <v>0.09157255291938782</v>
      </c>
      <c r="L83" s="19">
        <v>0.052758146077394485</v>
      </c>
      <c r="M83" s="29">
        <f t="shared" si="3"/>
        <v>0.5761349268</v>
      </c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 ht="15.75" customHeight="1">
      <c r="A84" s="27">
        <v>21005.0</v>
      </c>
      <c r="B84" s="28" t="s">
        <v>138</v>
      </c>
      <c r="C84" s="19">
        <v>0.3394671678543091</v>
      </c>
      <c r="D84" s="19">
        <v>0.3325285017490387</v>
      </c>
      <c r="E84" s="29">
        <f t="shared" si="1"/>
        <v>0.9795601261</v>
      </c>
      <c r="F84" s="30">
        <f t="shared" si="2"/>
        <v>0.9795601261</v>
      </c>
      <c r="G84" s="29"/>
      <c r="H84" s="29"/>
      <c r="I84" s="27">
        <v>21005.0</v>
      </c>
      <c r="J84" s="28" t="s">
        <v>138</v>
      </c>
      <c r="K84" s="19">
        <v>0.14008599519729614</v>
      </c>
      <c r="L84" s="19">
        <v>0.14516475796699524</v>
      </c>
      <c r="M84" s="29">
        <f t="shared" si="3"/>
        <v>1.036254607</v>
      </c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 ht="15.75" customHeight="1">
      <c r="A85" s="27">
        <v>21006.0</v>
      </c>
      <c r="B85" s="28" t="s">
        <v>139</v>
      </c>
      <c r="C85" s="19">
        <v>0.22771258652210236</v>
      </c>
      <c r="D85" s="19">
        <v>0.20998263359069824</v>
      </c>
      <c r="E85" s="29">
        <f t="shared" si="1"/>
        <v>0.922138898</v>
      </c>
      <c r="F85" s="30">
        <f t="shared" si="2"/>
        <v>0.922138898</v>
      </c>
      <c r="G85" s="29"/>
      <c r="H85" s="29"/>
      <c r="I85" s="27">
        <v>21006.0</v>
      </c>
      <c r="J85" s="28" t="s">
        <v>139</v>
      </c>
      <c r="K85" s="19">
        <v>0.08021325618028641</v>
      </c>
      <c r="L85" s="19">
        <v>0.049806516617536545</v>
      </c>
      <c r="M85" s="29">
        <f t="shared" si="3"/>
        <v>0.6209262532</v>
      </c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 ht="15.75" customHeight="1">
      <c r="A86" s="27">
        <v>21101.0</v>
      </c>
      <c r="B86" s="28" t="s">
        <v>140</v>
      </c>
      <c r="C86" s="19">
        <v>0.1112608090043068</v>
      </c>
      <c r="D86" s="19">
        <v>0.11497665196657181</v>
      </c>
      <c r="E86" s="29">
        <f t="shared" si="1"/>
        <v>1.033397591</v>
      </c>
      <c r="F86" s="30">
        <f t="shared" si="2"/>
        <v>1.033397591</v>
      </c>
      <c r="G86" s="29"/>
      <c r="H86" s="29"/>
      <c r="I86" s="27">
        <v>21101.0</v>
      </c>
      <c r="J86" s="28" t="s">
        <v>140</v>
      </c>
      <c r="K86" s="19">
        <v>0.027654172852635384</v>
      </c>
      <c r="L86" s="19">
        <v>0.01762712001800537</v>
      </c>
      <c r="M86" s="29">
        <f t="shared" si="3"/>
        <v>0.6374126651</v>
      </c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 ht="15.75" customHeight="1">
      <c r="A87" s="27">
        <v>21102.0</v>
      </c>
      <c r="B87" s="28" t="s">
        <v>141</v>
      </c>
      <c r="C87" s="19">
        <v>0.16863419115543365</v>
      </c>
      <c r="D87" s="19">
        <v>0.18182115256786346</v>
      </c>
      <c r="E87" s="29">
        <f t="shared" si="1"/>
        <v>1.078198622</v>
      </c>
      <c r="F87" s="30">
        <f t="shared" si="2"/>
        <v>1.078198622</v>
      </c>
      <c r="G87" s="29"/>
      <c r="H87" s="29"/>
      <c r="I87" s="27">
        <v>21102.0</v>
      </c>
      <c r="J87" s="28" t="s">
        <v>141</v>
      </c>
      <c r="K87" s="19">
        <v>0.05137016624212265</v>
      </c>
      <c r="L87" s="19">
        <v>0.042904410511255264</v>
      </c>
      <c r="M87" s="29">
        <f t="shared" si="3"/>
        <v>0.8352009279</v>
      </c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 ht="15.75" customHeight="1">
      <c r="A88" s="27">
        <v>21103.0</v>
      </c>
      <c r="B88" s="28" t="s">
        <v>142</v>
      </c>
      <c r="C88" s="19">
        <v>0.13077859580516815</v>
      </c>
      <c r="D88" s="19">
        <v>0.1039433628320694</v>
      </c>
      <c r="E88" s="29">
        <f t="shared" si="1"/>
        <v>0.79480409</v>
      </c>
      <c r="F88" s="30">
        <f t="shared" si="2"/>
        <v>0.79480409</v>
      </c>
      <c r="G88" s="29"/>
      <c r="H88" s="29"/>
      <c r="I88" s="27">
        <v>21103.0</v>
      </c>
      <c r="J88" s="28" t="s">
        <v>142</v>
      </c>
      <c r="K88" s="19">
        <v>0.021562809124588966</v>
      </c>
      <c r="L88" s="19">
        <v>0.019866907969117165</v>
      </c>
      <c r="M88" s="29">
        <f t="shared" si="3"/>
        <v>0.9213506392</v>
      </c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 ht="15.75" customHeight="1">
      <c r="A89" s="27">
        <v>21104.0</v>
      </c>
      <c r="B89" s="28" t="s">
        <v>143</v>
      </c>
      <c r="C89" s="19">
        <v>0.1628139466047287</v>
      </c>
      <c r="D89" s="19">
        <v>0.21235331892967224</v>
      </c>
      <c r="E89" s="29">
        <f t="shared" si="1"/>
        <v>1.304269833</v>
      </c>
      <c r="F89" s="30">
        <f t="shared" si="2"/>
        <v>1.304269833</v>
      </c>
      <c r="G89" s="29"/>
      <c r="H89" s="29"/>
      <c r="I89" s="27">
        <v>21104.0</v>
      </c>
      <c r="J89" s="28" t="s">
        <v>143</v>
      </c>
      <c r="K89" s="19">
        <v>0.07003434747457504</v>
      </c>
      <c r="L89" s="19">
        <v>0.08257925510406494</v>
      </c>
      <c r="M89" s="29">
        <f t="shared" si="3"/>
        <v>1.179125073</v>
      </c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 ht="15.75" customHeight="1">
      <c r="A90" s="27">
        <v>21105.0</v>
      </c>
      <c r="B90" s="28" t="s">
        <v>144</v>
      </c>
      <c r="C90" s="19">
        <v>0.37066158652305603</v>
      </c>
      <c r="D90" s="19">
        <v>0.3794662654399872</v>
      </c>
      <c r="E90" s="29">
        <f t="shared" si="1"/>
        <v>1.023753956</v>
      </c>
      <c r="F90" s="30">
        <f t="shared" si="2"/>
        <v>1.023753956</v>
      </c>
      <c r="G90" s="29"/>
      <c r="H90" s="29"/>
      <c r="I90" s="27">
        <v>21105.0</v>
      </c>
      <c r="J90" s="28" t="s">
        <v>144</v>
      </c>
      <c r="K90" s="19">
        <v>0.07807363569736481</v>
      </c>
      <c r="L90" s="19">
        <v>0.07473830878734589</v>
      </c>
      <c r="M90" s="29">
        <f t="shared" si="3"/>
        <v>0.9572797286</v>
      </c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 ht="15.75" customHeight="1">
      <c r="A91" s="27">
        <v>21201.0</v>
      </c>
      <c r="B91" s="28" t="s">
        <v>145</v>
      </c>
      <c r="C91" s="19">
        <v>0.23524245619773865</v>
      </c>
      <c r="D91" s="19">
        <v>0.22368107736110687</v>
      </c>
      <c r="E91" s="29">
        <f t="shared" si="1"/>
        <v>0.9508533492</v>
      </c>
      <c r="F91" s="30">
        <f t="shared" si="2"/>
        <v>0.9508533492</v>
      </c>
      <c r="G91" s="29"/>
      <c r="H91" s="29"/>
      <c r="I91" s="27">
        <v>21201.0</v>
      </c>
      <c r="J91" s="28" t="s">
        <v>145</v>
      </c>
      <c r="K91" s="19">
        <v>0.07210367172956467</v>
      </c>
      <c r="L91" s="19">
        <v>0.05276874452829361</v>
      </c>
      <c r="M91" s="29">
        <f t="shared" si="3"/>
        <v>0.7318454562</v>
      </c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 ht="15.75" customHeight="1">
      <c r="A92" s="27">
        <v>21202.0</v>
      </c>
      <c r="B92" s="28" t="s">
        <v>146</v>
      </c>
      <c r="C92" s="19">
        <v>0.22710390388965607</v>
      </c>
      <c r="D92" s="19">
        <v>0.22073706984519958</v>
      </c>
      <c r="E92" s="29">
        <f t="shared" si="1"/>
        <v>0.9719651052</v>
      </c>
      <c r="F92" s="30">
        <f t="shared" si="2"/>
        <v>0.9719651052</v>
      </c>
      <c r="G92" s="29"/>
      <c r="H92" s="29"/>
      <c r="I92" s="27">
        <v>21202.0</v>
      </c>
      <c r="J92" s="28" t="s">
        <v>146</v>
      </c>
      <c r="K92" s="19">
        <v>0.06087504327297211</v>
      </c>
      <c r="L92" s="19">
        <v>0.043520234525203705</v>
      </c>
      <c r="M92" s="29">
        <f t="shared" si="3"/>
        <v>0.7149109419</v>
      </c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 ht="15.75" customHeight="1">
      <c r="A93" s="27">
        <v>21203.0</v>
      </c>
      <c r="B93" s="28" t="s">
        <v>147</v>
      </c>
      <c r="C93" s="19">
        <v>0.1773838996887207</v>
      </c>
      <c r="D93" s="19">
        <v>0.17056453227996826</v>
      </c>
      <c r="E93" s="29">
        <f t="shared" si="1"/>
        <v>0.9615558829</v>
      </c>
      <c r="F93" s="30">
        <f t="shared" si="2"/>
        <v>0.9615558829</v>
      </c>
      <c r="G93" s="29"/>
      <c r="H93" s="29"/>
      <c r="I93" s="27">
        <v>21203.0</v>
      </c>
      <c r="J93" s="28" t="s">
        <v>147</v>
      </c>
      <c r="K93" s="19">
        <v>0.049945954233407974</v>
      </c>
      <c r="L93" s="19">
        <v>0.046591781079769135</v>
      </c>
      <c r="M93" s="29">
        <f t="shared" si="3"/>
        <v>0.9328439469</v>
      </c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 ht="15.75" customHeight="1">
      <c r="A94" s="27">
        <v>21204.0</v>
      </c>
      <c r="B94" s="28" t="s">
        <v>148</v>
      </c>
      <c r="C94" s="19">
        <v>0.2362910360097885</v>
      </c>
      <c r="D94" s="19">
        <v>0.1820901334285736</v>
      </c>
      <c r="E94" s="29">
        <f t="shared" si="1"/>
        <v>0.7706180332</v>
      </c>
      <c r="F94" s="30">
        <f t="shared" si="2"/>
        <v>0.7706180332</v>
      </c>
      <c r="G94" s="29"/>
      <c r="H94" s="29"/>
      <c r="I94" s="27">
        <v>21204.0</v>
      </c>
      <c r="J94" s="28" t="s">
        <v>148</v>
      </c>
      <c r="K94" s="19">
        <v>0.07208411395549774</v>
      </c>
      <c r="L94" s="19">
        <v>0.045366376638412476</v>
      </c>
      <c r="M94" s="29">
        <f t="shared" si="3"/>
        <v>0.6293533228</v>
      </c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 ht="15.75" customHeight="1">
      <c r="A95" s="27">
        <v>21301.0</v>
      </c>
      <c r="B95" s="28" t="s">
        <v>149</v>
      </c>
      <c r="C95" s="19">
        <v>0.2471001148223877</v>
      </c>
      <c r="D95" s="19">
        <v>0.23032289743423462</v>
      </c>
      <c r="E95" s="29">
        <f t="shared" si="1"/>
        <v>0.932103563</v>
      </c>
      <c r="F95" s="30">
        <f t="shared" si="2"/>
        <v>0.932103563</v>
      </c>
      <c r="G95" s="29"/>
      <c r="H95" s="29"/>
      <c r="I95" s="27">
        <v>21301.0</v>
      </c>
      <c r="J95" s="28" t="s">
        <v>149</v>
      </c>
      <c r="K95" s="19">
        <v>0.08004098385572433</v>
      </c>
      <c r="L95" s="19">
        <v>0.06348398327827454</v>
      </c>
      <c r="M95" s="29">
        <f t="shared" si="3"/>
        <v>0.793143465</v>
      </c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 ht="15.75" customHeight="1">
      <c r="A96" s="27">
        <v>21302.0</v>
      </c>
      <c r="B96" s="28" t="s">
        <v>150</v>
      </c>
      <c r="C96" s="19">
        <v>0.22566233575344086</v>
      </c>
      <c r="D96" s="19">
        <v>0.2600051462650299</v>
      </c>
      <c r="E96" s="29">
        <f t="shared" si="1"/>
        <v>1.152186719</v>
      </c>
      <c r="F96" s="30">
        <f t="shared" si="2"/>
        <v>1.152186719</v>
      </c>
      <c r="G96" s="29"/>
      <c r="H96" s="29"/>
      <c r="I96" s="27">
        <v>21302.0</v>
      </c>
      <c r="J96" s="28" t="s">
        <v>150</v>
      </c>
      <c r="K96" s="19">
        <v>0.06323971599340439</v>
      </c>
      <c r="L96" s="19">
        <v>0.05357912555336952</v>
      </c>
      <c r="M96" s="29">
        <f t="shared" si="3"/>
        <v>0.8472385543</v>
      </c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 ht="15.75" customHeight="1">
      <c r="A97" s="27">
        <v>21303.0</v>
      </c>
      <c r="B97" s="28" t="s">
        <v>151</v>
      </c>
      <c r="C97" s="19">
        <v>0.24187369644641876</v>
      </c>
      <c r="D97" s="19">
        <v>0.2809789776802063</v>
      </c>
      <c r="E97" s="29">
        <f t="shared" si="1"/>
        <v>1.161676453</v>
      </c>
      <c r="F97" s="30">
        <f t="shared" si="2"/>
        <v>1.161676453</v>
      </c>
      <c r="G97" s="29"/>
      <c r="H97" s="29"/>
      <c r="I97" s="27">
        <v>21303.0</v>
      </c>
      <c r="J97" s="28" t="s">
        <v>151</v>
      </c>
      <c r="K97" s="19">
        <v>0.09393643587827682</v>
      </c>
      <c r="L97" s="19">
        <v>0.09106241911649704</v>
      </c>
      <c r="M97" s="29">
        <f t="shared" si="3"/>
        <v>0.9694046646</v>
      </c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 ht="15.75" customHeight="1">
      <c r="A98" s="27">
        <v>21304.0</v>
      </c>
      <c r="B98" s="28" t="s">
        <v>152</v>
      </c>
      <c r="C98" s="19">
        <v>0.22001390159130096</v>
      </c>
      <c r="D98" s="19">
        <v>0.20632942020893097</v>
      </c>
      <c r="E98" s="29">
        <f t="shared" si="1"/>
        <v>0.9378017421</v>
      </c>
      <c r="F98" s="30">
        <f t="shared" si="2"/>
        <v>0.9378017421</v>
      </c>
      <c r="G98" s="29"/>
      <c r="H98" s="29"/>
      <c r="I98" s="27">
        <v>21304.0</v>
      </c>
      <c r="J98" s="28" t="s">
        <v>152</v>
      </c>
      <c r="K98" s="19">
        <v>0.05001872405409813</v>
      </c>
      <c r="L98" s="19">
        <v>0.04162035137414932</v>
      </c>
      <c r="M98" s="29">
        <f t="shared" si="3"/>
        <v>0.8320954235</v>
      </c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 ht="15.75" customHeight="1">
      <c r="A99" s="27">
        <v>21305.0</v>
      </c>
      <c r="B99" s="28" t="s">
        <v>153</v>
      </c>
      <c r="C99" s="19">
        <v>0.199447900056839</v>
      </c>
      <c r="D99" s="19">
        <v>0.13077577948570251</v>
      </c>
      <c r="E99" s="29">
        <f t="shared" si="1"/>
        <v>0.6556889265</v>
      </c>
      <c r="F99" s="30">
        <f t="shared" si="2"/>
        <v>0.6556889265</v>
      </c>
      <c r="G99" s="29"/>
      <c r="H99" s="29"/>
      <c r="I99" s="27">
        <v>21305.0</v>
      </c>
      <c r="J99" s="28" t="s">
        <v>153</v>
      </c>
      <c r="K99" s="19">
        <v>0.061902839690446854</v>
      </c>
      <c r="L99" s="19">
        <v>0.03237418457865715</v>
      </c>
      <c r="M99" s="29">
        <f t="shared" si="3"/>
        <v>0.5229838363</v>
      </c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 ht="15.75" customHeight="1">
      <c r="A100" s="27">
        <v>21306.0</v>
      </c>
      <c r="B100" s="28" t="s">
        <v>154</v>
      </c>
      <c r="C100" s="19">
        <v>0.2361658364534378</v>
      </c>
      <c r="D100" s="19">
        <v>0.21519963443279266</v>
      </c>
      <c r="E100" s="29">
        <f t="shared" si="1"/>
        <v>0.9112225446</v>
      </c>
      <c r="F100" s="30">
        <f t="shared" si="2"/>
        <v>0.9112225446</v>
      </c>
      <c r="G100" s="29"/>
      <c r="H100" s="29"/>
      <c r="I100" s="27">
        <v>21306.0</v>
      </c>
      <c r="J100" s="28" t="s">
        <v>154</v>
      </c>
      <c r="K100" s="19">
        <v>0.055221136659383774</v>
      </c>
      <c r="L100" s="19">
        <v>0.04519198462367058</v>
      </c>
      <c r="M100" s="29">
        <f t="shared" si="3"/>
        <v>0.8183820066</v>
      </c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 ht="15.75" customHeight="1">
      <c r="A101" s="27">
        <v>21307.0</v>
      </c>
      <c r="B101" s="28" t="s">
        <v>155</v>
      </c>
      <c r="C101" s="19">
        <v>0.18927082419395447</v>
      </c>
      <c r="D101" s="19">
        <v>0.14943967759609222</v>
      </c>
      <c r="E101" s="29">
        <f t="shared" si="1"/>
        <v>0.7895547464</v>
      </c>
      <c r="F101" s="30">
        <f t="shared" si="2"/>
        <v>0.7895547464</v>
      </c>
      <c r="G101" s="29"/>
      <c r="H101" s="29"/>
      <c r="I101" s="27">
        <v>21307.0</v>
      </c>
      <c r="J101" s="28" t="s">
        <v>155</v>
      </c>
      <c r="K101" s="19">
        <v>0.047904569655656815</v>
      </c>
      <c r="L101" s="19">
        <v>0.0352587029337883</v>
      </c>
      <c r="M101" s="29">
        <f t="shared" si="3"/>
        <v>0.7360196154</v>
      </c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 ht="15.75" customHeight="1">
      <c r="A102" s="27">
        <v>21401.0</v>
      </c>
      <c r="B102" s="28" t="s">
        <v>156</v>
      </c>
      <c r="C102" s="19">
        <v>0.13612930476665497</v>
      </c>
      <c r="D102" s="19">
        <v>0.1567559689283371</v>
      </c>
      <c r="E102" s="29">
        <f t="shared" si="1"/>
        <v>1.151522585</v>
      </c>
      <c r="F102" s="30">
        <f t="shared" si="2"/>
        <v>1.151522585</v>
      </c>
      <c r="G102" s="29"/>
      <c r="H102" s="29"/>
      <c r="I102" s="27">
        <v>21401.0</v>
      </c>
      <c r="J102" s="28" t="s">
        <v>156</v>
      </c>
      <c r="K102" s="19">
        <v>0.03927168995141983</v>
      </c>
      <c r="L102" s="19">
        <v>0.04050551354885101</v>
      </c>
      <c r="M102" s="29">
        <f t="shared" si="3"/>
        <v>1.031417634</v>
      </c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 ht="15.75" customHeight="1">
      <c r="A103" s="27">
        <v>21402.0</v>
      </c>
      <c r="B103" s="28" t="s">
        <v>157</v>
      </c>
      <c r="C103" s="19">
        <v>0.09391580522060394</v>
      </c>
      <c r="D103" s="19">
        <v>0.08486621826887131</v>
      </c>
      <c r="E103" s="29">
        <f t="shared" si="1"/>
        <v>0.9036414911</v>
      </c>
      <c r="F103" s="30">
        <f t="shared" si="2"/>
        <v>0.9036414911</v>
      </c>
      <c r="G103" s="29"/>
      <c r="H103" s="29"/>
      <c r="I103" s="27">
        <v>21402.0</v>
      </c>
      <c r="J103" s="28" t="s">
        <v>157</v>
      </c>
      <c r="K103" s="19">
        <v>0.01975368522107601</v>
      </c>
      <c r="L103" s="19">
        <v>0.02025306038558483</v>
      </c>
      <c r="M103" s="29">
        <f t="shared" si="3"/>
        <v>1.025280101</v>
      </c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 ht="15.75" customHeight="1">
      <c r="A104" s="27">
        <v>21501.0</v>
      </c>
      <c r="B104" s="28" t="s">
        <v>158</v>
      </c>
      <c r="C104" s="19">
        <v>0.26780965924263</v>
      </c>
      <c r="D104" s="19">
        <v>0.2821766138076782</v>
      </c>
      <c r="E104" s="29">
        <f t="shared" si="1"/>
        <v>1.05364614</v>
      </c>
      <c r="F104" s="30">
        <f t="shared" si="2"/>
        <v>1.05364614</v>
      </c>
      <c r="G104" s="29"/>
      <c r="H104" s="29"/>
      <c r="I104" s="27">
        <v>21501.0</v>
      </c>
      <c r="J104" s="28" t="s">
        <v>158</v>
      </c>
      <c r="K104" s="19">
        <v>0.09915521740913391</v>
      </c>
      <c r="L104" s="19">
        <v>0.09396377950906754</v>
      </c>
      <c r="M104" s="29">
        <f t="shared" si="3"/>
        <v>0.9476433209</v>
      </c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 ht="15.75" customHeight="1">
      <c r="A105" s="27">
        <v>21502.0</v>
      </c>
      <c r="B105" s="28" t="s">
        <v>159</v>
      </c>
      <c r="C105" s="19">
        <v>0.17169374227523804</v>
      </c>
      <c r="D105" s="19">
        <v>0.17104144394397736</v>
      </c>
      <c r="E105" s="29">
        <f t="shared" si="1"/>
        <v>0.9962008031</v>
      </c>
      <c r="F105" s="30">
        <f t="shared" si="2"/>
        <v>0.9962008031</v>
      </c>
      <c r="G105" s="29"/>
      <c r="H105" s="29"/>
      <c r="I105" s="27">
        <v>21502.0</v>
      </c>
      <c r="J105" s="28" t="s">
        <v>159</v>
      </c>
      <c r="K105" s="19">
        <v>0.04384419694542885</v>
      </c>
      <c r="L105" s="19">
        <v>0.037918537855148315</v>
      </c>
      <c r="M105" s="29">
        <f t="shared" si="3"/>
        <v>0.8648473572</v>
      </c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 ht="15.75" customHeight="1">
      <c r="A106" s="27">
        <v>21601.0</v>
      </c>
      <c r="B106" s="28" t="s">
        <v>160</v>
      </c>
      <c r="C106" s="19">
        <v>0.3248499929904938</v>
      </c>
      <c r="D106" s="19">
        <v>0.332671582698822</v>
      </c>
      <c r="E106" s="29">
        <f t="shared" si="1"/>
        <v>1.024077543</v>
      </c>
      <c r="F106" s="30">
        <f t="shared" si="2"/>
        <v>1.024077543</v>
      </c>
      <c r="G106" s="29"/>
      <c r="H106" s="29"/>
      <c r="I106" s="27">
        <v>21601.0</v>
      </c>
      <c r="J106" s="28" t="s">
        <v>160</v>
      </c>
      <c r="K106" s="19">
        <v>0.09615198522806168</v>
      </c>
      <c r="L106" s="19">
        <v>0.07909727841615677</v>
      </c>
      <c r="M106" s="29">
        <f t="shared" si="3"/>
        <v>0.8226276164</v>
      </c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 ht="15.75" customHeight="1">
      <c r="A107" s="27">
        <v>21602.0</v>
      </c>
      <c r="B107" s="28" t="s">
        <v>161</v>
      </c>
      <c r="C107" s="19">
        <v>0.3545056879520416</v>
      </c>
      <c r="D107" s="19">
        <v>0.3320654332637787</v>
      </c>
      <c r="E107" s="29">
        <f t="shared" si="1"/>
        <v>0.9366998741</v>
      </c>
      <c r="F107" s="30">
        <f t="shared" si="2"/>
        <v>0.9366998741</v>
      </c>
      <c r="G107" s="29"/>
      <c r="H107" s="29"/>
      <c r="I107" s="27">
        <v>21602.0</v>
      </c>
      <c r="J107" s="28" t="s">
        <v>161</v>
      </c>
      <c r="K107" s="19">
        <v>0.1534576714038849</v>
      </c>
      <c r="L107" s="19">
        <v>0.11610394716262817</v>
      </c>
      <c r="M107" s="29">
        <f t="shared" si="3"/>
        <v>0.7565861394</v>
      </c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 ht="15.75" customHeight="1">
      <c r="A108" s="27">
        <v>21701.0</v>
      </c>
      <c r="B108" s="28" t="s">
        <v>162</v>
      </c>
      <c r="C108" s="19">
        <v>0.16005325317382812</v>
      </c>
      <c r="D108" s="19">
        <v>0.12129560858011246</v>
      </c>
      <c r="E108" s="29">
        <f t="shared" si="1"/>
        <v>0.7578453182</v>
      </c>
      <c r="F108" s="30">
        <f t="shared" si="2"/>
        <v>0.7578453182</v>
      </c>
      <c r="G108" s="29"/>
      <c r="H108" s="29"/>
      <c r="I108" s="27">
        <v>21701.0</v>
      </c>
      <c r="J108" s="28" t="s">
        <v>162</v>
      </c>
      <c r="K108" s="19">
        <v>0.06216238811612129</v>
      </c>
      <c r="L108" s="19">
        <v>0.03618812561035156</v>
      </c>
      <c r="M108" s="29">
        <f t="shared" si="3"/>
        <v>0.5821546872</v>
      </c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 ht="15.75" customHeight="1">
      <c r="A109" s="27">
        <v>21702.0</v>
      </c>
      <c r="B109" s="28" t="s">
        <v>163</v>
      </c>
      <c r="C109" s="19">
        <v>0.2065810263156891</v>
      </c>
      <c r="D109" s="19">
        <v>0.17692160606384277</v>
      </c>
      <c r="E109" s="29">
        <f t="shared" si="1"/>
        <v>0.8564271812</v>
      </c>
      <c r="F109" s="30">
        <f t="shared" si="2"/>
        <v>0.8564271812</v>
      </c>
      <c r="G109" s="29"/>
      <c r="H109" s="29"/>
      <c r="I109" s="27">
        <v>21702.0</v>
      </c>
      <c r="J109" s="28" t="s">
        <v>163</v>
      </c>
      <c r="K109" s="19">
        <v>0.04938272014260292</v>
      </c>
      <c r="L109" s="19">
        <v>0.03003731183707714</v>
      </c>
      <c r="M109" s="29">
        <f t="shared" si="3"/>
        <v>0.6082555143</v>
      </c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 ht="15.75" customHeight="1">
      <c r="A110" s="27">
        <v>21703.0</v>
      </c>
      <c r="B110" s="28" t="s">
        <v>164</v>
      </c>
      <c r="C110" s="19">
        <v>0.31465619802474976</v>
      </c>
      <c r="D110" s="19">
        <v>0.2553245723247528</v>
      </c>
      <c r="E110" s="29">
        <f t="shared" si="1"/>
        <v>0.8114398316</v>
      </c>
      <c r="F110" s="30">
        <f t="shared" si="2"/>
        <v>0.8114398316</v>
      </c>
      <c r="G110" s="29"/>
      <c r="H110" s="29"/>
      <c r="I110" s="27">
        <v>21703.0</v>
      </c>
      <c r="J110" s="28" t="s">
        <v>164</v>
      </c>
      <c r="K110" s="19">
        <v>0.11098645627498627</v>
      </c>
      <c r="L110" s="19">
        <v>0.07818134129047394</v>
      </c>
      <c r="M110" s="29">
        <f t="shared" si="3"/>
        <v>0.7044223585</v>
      </c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 ht="15.75" customHeight="1">
      <c r="A111" s="27">
        <v>21801.0</v>
      </c>
      <c r="B111" s="28" t="s">
        <v>165</v>
      </c>
      <c r="C111" s="19">
        <v>0.31842175126075745</v>
      </c>
      <c r="D111" s="19">
        <v>0.3120589852333069</v>
      </c>
      <c r="E111" s="29">
        <f t="shared" si="1"/>
        <v>0.9800178034</v>
      </c>
      <c r="F111" s="30">
        <f t="shared" si="2"/>
        <v>0.9800178034</v>
      </c>
      <c r="G111" s="29"/>
      <c r="H111" s="29"/>
      <c r="I111" s="27">
        <v>21801.0</v>
      </c>
      <c r="J111" s="28" t="s">
        <v>165</v>
      </c>
      <c r="K111" s="19">
        <v>0.07746255397796631</v>
      </c>
      <c r="L111" s="19">
        <v>0.07301168888807297</v>
      </c>
      <c r="M111" s="29">
        <f t="shared" si="3"/>
        <v>0.9425417203</v>
      </c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 ht="15.75" customHeight="1">
      <c r="A112" s="27">
        <v>21802.0</v>
      </c>
      <c r="B112" s="28" t="s">
        <v>166</v>
      </c>
      <c r="C112" s="19">
        <v>0.2220364212989807</v>
      </c>
      <c r="D112" s="19">
        <v>0.22237202525138855</v>
      </c>
      <c r="E112" s="29">
        <f t="shared" si="1"/>
        <v>1.001511482</v>
      </c>
      <c r="F112" s="30">
        <f t="shared" si="2"/>
        <v>1.001511482</v>
      </c>
      <c r="G112" s="29"/>
      <c r="H112" s="29"/>
      <c r="I112" s="27">
        <v>21802.0</v>
      </c>
      <c r="J112" s="28" t="s">
        <v>166</v>
      </c>
      <c r="K112" s="19">
        <v>0.05529201030731201</v>
      </c>
      <c r="L112" s="19">
        <v>0.0427972674369812</v>
      </c>
      <c r="M112" s="29">
        <f t="shared" si="3"/>
        <v>0.7740226336</v>
      </c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 ht="15.75" customHeight="1">
      <c r="A113" s="27">
        <v>21803.0</v>
      </c>
      <c r="B113" s="28" t="s">
        <v>167</v>
      </c>
      <c r="C113" s="19">
        <v>0.3559955954551697</v>
      </c>
      <c r="D113" s="19">
        <v>0.3452991545200348</v>
      </c>
      <c r="E113" s="29">
        <f t="shared" si="1"/>
        <v>0.9699534459</v>
      </c>
      <c r="F113" s="30">
        <f t="shared" si="2"/>
        <v>0.9699534459</v>
      </c>
      <c r="G113" s="29"/>
      <c r="H113" s="29"/>
      <c r="I113" s="27">
        <v>21803.0</v>
      </c>
      <c r="J113" s="28" t="s">
        <v>167</v>
      </c>
      <c r="K113" s="19">
        <v>0.08966183662414551</v>
      </c>
      <c r="L113" s="19">
        <v>0.08893414586782455</v>
      </c>
      <c r="M113" s="29">
        <f t="shared" si="3"/>
        <v>0.9918840525</v>
      </c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 ht="15.75" customHeight="1">
      <c r="A114" s="27">
        <v>21901.0</v>
      </c>
      <c r="B114" s="28" t="s">
        <v>168</v>
      </c>
      <c r="C114" s="19">
        <v>0.18989653885364532</v>
      </c>
      <c r="D114" s="19">
        <v>0.23675155639648438</v>
      </c>
      <c r="E114" s="29">
        <f t="shared" si="1"/>
        <v>1.246739713</v>
      </c>
      <c r="F114" s="30">
        <f t="shared" si="2"/>
        <v>1.246739713</v>
      </c>
      <c r="G114" s="29"/>
      <c r="H114" s="29"/>
      <c r="I114" s="27">
        <v>21901.0</v>
      </c>
      <c r="J114" s="28" t="s">
        <v>168</v>
      </c>
      <c r="K114" s="19">
        <v>0.06013290584087372</v>
      </c>
      <c r="L114" s="19">
        <v>0.05767231807112694</v>
      </c>
      <c r="M114" s="29">
        <f t="shared" si="3"/>
        <v>0.9590808438</v>
      </c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 ht="15.75" customHeight="1">
      <c r="A115" s="27">
        <v>21902.0</v>
      </c>
      <c r="B115" s="28" t="s">
        <v>169</v>
      </c>
      <c r="C115" s="19">
        <v>0.19757650792598724</v>
      </c>
      <c r="D115" s="19">
        <v>0.23621292412281036</v>
      </c>
      <c r="E115" s="29">
        <f t="shared" si="1"/>
        <v>1.195551671</v>
      </c>
      <c r="F115" s="30">
        <f t="shared" si="2"/>
        <v>1.195551671</v>
      </c>
      <c r="G115" s="29"/>
      <c r="H115" s="29"/>
      <c r="I115" s="27">
        <v>21902.0</v>
      </c>
      <c r="J115" s="28" t="s">
        <v>169</v>
      </c>
      <c r="K115" s="19">
        <v>0.07019519805908203</v>
      </c>
      <c r="L115" s="19">
        <v>0.06278889626264572</v>
      </c>
      <c r="M115" s="29">
        <f t="shared" si="3"/>
        <v>0.8944899081</v>
      </c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 ht="15.75" customHeight="1">
      <c r="A116" s="27">
        <v>22001.0</v>
      </c>
      <c r="B116" s="28" t="s">
        <v>170</v>
      </c>
      <c r="C116" s="19">
        <v>0.18647044897079468</v>
      </c>
      <c r="D116" s="19">
        <v>0.20921669900417328</v>
      </c>
      <c r="E116" s="29">
        <f t="shared" si="1"/>
        <v>1.121983135</v>
      </c>
      <c r="F116" s="30">
        <f t="shared" si="2"/>
        <v>1.121983135</v>
      </c>
      <c r="G116" s="29"/>
      <c r="H116" s="29"/>
      <c r="I116" s="27">
        <v>22001.0</v>
      </c>
      <c r="J116" s="28" t="s">
        <v>170</v>
      </c>
      <c r="K116" s="19">
        <v>0.04743087291717529</v>
      </c>
      <c r="L116" s="19">
        <v>0.04393995925784111</v>
      </c>
      <c r="M116" s="29">
        <f t="shared" si="3"/>
        <v>0.9263999702</v>
      </c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 ht="15.75" customHeight="1">
      <c r="A117" s="27">
        <v>22002.0</v>
      </c>
      <c r="B117" s="28" t="s">
        <v>171</v>
      </c>
      <c r="C117" s="19">
        <v>0.24439425766468048</v>
      </c>
      <c r="D117" s="19">
        <v>0.3035230338573456</v>
      </c>
      <c r="E117" s="29">
        <f t="shared" si="1"/>
        <v>1.241940121</v>
      </c>
      <c r="F117" s="30">
        <f t="shared" si="2"/>
        <v>1.241940121</v>
      </c>
      <c r="G117" s="29"/>
      <c r="H117" s="29"/>
      <c r="I117" s="27">
        <v>22002.0</v>
      </c>
      <c r="J117" s="28" t="s">
        <v>171</v>
      </c>
      <c r="K117" s="19">
        <v>0.08650097995996475</v>
      </c>
      <c r="L117" s="19">
        <v>0.09018181264400482</v>
      </c>
      <c r="M117" s="29">
        <f t="shared" si="3"/>
        <v>1.042552497</v>
      </c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 ht="15.75" customHeight="1">
      <c r="A118" s="27">
        <v>30101.0</v>
      </c>
      <c r="B118" s="28" t="s">
        <v>18</v>
      </c>
      <c r="C118" s="19">
        <v>0.04218604415655136</v>
      </c>
      <c r="D118" s="19">
        <v>0.09756128489971161</v>
      </c>
      <c r="E118" s="29">
        <f t="shared" si="1"/>
        <v>2.312643597</v>
      </c>
      <c r="F118" s="30">
        <f t="shared" si="2"/>
        <v>2.312643597</v>
      </c>
      <c r="G118" s="29"/>
      <c r="H118" s="29"/>
      <c r="I118" s="27">
        <v>30101.0</v>
      </c>
      <c r="J118" s="28" t="s">
        <v>18</v>
      </c>
      <c r="K118" s="19">
        <v>0.014461338520050049</v>
      </c>
      <c r="L118" s="19">
        <v>0.023323073983192444</v>
      </c>
      <c r="M118" s="29">
        <f t="shared" si="3"/>
        <v>1.612788052</v>
      </c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 ht="15.75" customHeight="1">
      <c r="A119" s="27">
        <v>30201.0</v>
      </c>
      <c r="B119" s="28" t="s">
        <v>172</v>
      </c>
      <c r="C119" s="19">
        <v>0.24077452719211578</v>
      </c>
      <c r="D119" s="19">
        <v>0.24148869514465332</v>
      </c>
      <c r="E119" s="29">
        <f t="shared" si="1"/>
        <v>1.002966128</v>
      </c>
      <c r="F119" s="30">
        <f t="shared" si="2"/>
        <v>1.002966128</v>
      </c>
      <c r="G119" s="29"/>
      <c r="H119" s="29"/>
      <c r="I119" s="27">
        <v>30201.0</v>
      </c>
      <c r="J119" s="28" t="s">
        <v>172</v>
      </c>
      <c r="K119" s="19">
        <v>0.09802345186471939</v>
      </c>
      <c r="L119" s="19">
        <v>0.06945501267910004</v>
      </c>
      <c r="M119" s="29">
        <f t="shared" si="3"/>
        <v>0.7085550586</v>
      </c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 ht="15.75" customHeight="1">
      <c r="A120" s="27">
        <v>30202.0</v>
      </c>
      <c r="B120" s="28" t="s">
        <v>173</v>
      </c>
      <c r="C120" s="19">
        <v>0.22034016251564026</v>
      </c>
      <c r="D120" s="19">
        <v>0.250598281621933</v>
      </c>
      <c r="E120" s="29">
        <f t="shared" si="1"/>
        <v>1.137324575</v>
      </c>
      <c r="F120" s="30">
        <f t="shared" si="2"/>
        <v>1.137324575</v>
      </c>
      <c r="G120" s="29"/>
      <c r="H120" s="29"/>
      <c r="I120" s="27">
        <v>30202.0</v>
      </c>
      <c r="J120" s="28" t="s">
        <v>173</v>
      </c>
      <c r="K120" s="19">
        <v>0.05472294241189957</v>
      </c>
      <c r="L120" s="19">
        <v>0.05757733806967735</v>
      </c>
      <c r="M120" s="29">
        <f t="shared" si="3"/>
        <v>1.052160859</v>
      </c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 ht="15.75" customHeight="1">
      <c r="A121" s="27">
        <v>30203.0</v>
      </c>
      <c r="B121" s="28" t="s">
        <v>174</v>
      </c>
      <c r="C121" s="19">
        <v>0.17978495359420776</v>
      </c>
      <c r="D121" s="19">
        <v>0.19091160595417023</v>
      </c>
      <c r="E121" s="29">
        <f t="shared" si="1"/>
        <v>1.061888674</v>
      </c>
      <c r="F121" s="30">
        <f t="shared" si="2"/>
        <v>1.061888674</v>
      </c>
      <c r="G121" s="29"/>
      <c r="H121" s="29"/>
      <c r="I121" s="27">
        <v>30203.0</v>
      </c>
      <c r="J121" s="28" t="s">
        <v>174</v>
      </c>
      <c r="K121" s="19">
        <v>0.04548316076397896</v>
      </c>
      <c r="L121" s="19">
        <v>0.033632948994636536</v>
      </c>
      <c r="M121" s="29">
        <f t="shared" si="3"/>
        <v>0.739459361</v>
      </c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 ht="15.75" customHeight="1">
      <c r="A122" s="27">
        <v>30301.0</v>
      </c>
      <c r="B122" s="28" t="s">
        <v>175</v>
      </c>
      <c r="C122" s="19">
        <v>0.38060474395751953</v>
      </c>
      <c r="D122" s="19">
        <v>0.33595114946365356</v>
      </c>
      <c r="E122" s="29">
        <f t="shared" si="1"/>
        <v>0.8826772519</v>
      </c>
      <c r="F122" s="30">
        <f t="shared" si="2"/>
        <v>0.8826772519</v>
      </c>
      <c r="G122" s="29"/>
      <c r="H122" s="29"/>
      <c r="I122" s="27">
        <v>30301.0</v>
      </c>
      <c r="J122" s="28" t="s">
        <v>175</v>
      </c>
      <c r="K122" s="19">
        <v>0.1452241688966751</v>
      </c>
      <c r="L122" s="19">
        <v>0.09245003759860992</v>
      </c>
      <c r="M122" s="29">
        <f t="shared" si="3"/>
        <v>0.6366022839</v>
      </c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 ht="15.75" customHeight="1">
      <c r="A123" s="27">
        <v>30302.0</v>
      </c>
      <c r="B123" s="28" t="s">
        <v>176</v>
      </c>
      <c r="C123" s="19">
        <v>0.3656942546367645</v>
      </c>
      <c r="D123" s="19">
        <v>0.3911876380443573</v>
      </c>
      <c r="E123" s="29">
        <f t="shared" si="1"/>
        <v>1.069712289</v>
      </c>
      <c r="F123" s="30">
        <f t="shared" si="2"/>
        <v>1.069712289</v>
      </c>
      <c r="G123" s="29"/>
      <c r="H123" s="29"/>
      <c r="I123" s="27">
        <v>30302.0</v>
      </c>
      <c r="J123" s="28" t="s">
        <v>176</v>
      </c>
      <c r="K123" s="19">
        <v>0.11979460716247559</v>
      </c>
      <c r="L123" s="19">
        <v>0.09686096012592316</v>
      </c>
      <c r="M123" s="29">
        <f t="shared" si="3"/>
        <v>0.8085586023</v>
      </c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 ht="15.75" customHeight="1">
      <c r="A124" s="27">
        <v>30303.0</v>
      </c>
      <c r="B124" s="28" t="s">
        <v>177</v>
      </c>
      <c r="C124" s="19">
        <v>0.4075993001461029</v>
      </c>
      <c r="D124" s="19">
        <v>0.4262644052505493</v>
      </c>
      <c r="E124" s="29">
        <f t="shared" si="1"/>
        <v>1.04579278</v>
      </c>
      <c r="F124" s="30">
        <f t="shared" si="2"/>
        <v>1.04579278</v>
      </c>
      <c r="G124" s="29"/>
      <c r="H124" s="29"/>
      <c r="I124" s="27">
        <v>30303.0</v>
      </c>
      <c r="J124" s="28" t="s">
        <v>177</v>
      </c>
      <c r="K124" s="19">
        <v>0.14791366457939148</v>
      </c>
      <c r="L124" s="19">
        <v>0.14108847081661224</v>
      </c>
      <c r="M124" s="29">
        <f t="shared" si="3"/>
        <v>0.9538569085</v>
      </c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 ht="15.75" customHeight="1">
      <c r="A125" s="27">
        <v>30401.0</v>
      </c>
      <c r="B125" s="28" t="s">
        <v>178</v>
      </c>
      <c r="C125" s="19">
        <v>0.1507377028465271</v>
      </c>
      <c r="D125" s="19">
        <v>0.18374250829219818</v>
      </c>
      <c r="E125" s="29">
        <f t="shared" si="1"/>
        <v>1.21895521</v>
      </c>
      <c r="F125" s="30">
        <f t="shared" si="2"/>
        <v>1.21895521</v>
      </c>
      <c r="G125" s="29"/>
      <c r="H125" s="29"/>
      <c r="I125" s="27">
        <v>30401.0</v>
      </c>
      <c r="J125" s="28" t="s">
        <v>178</v>
      </c>
      <c r="K125" s="19">
        <v>0.04832729324698448</v>
      </c>
      <c r="L125" s="19">
        <v>0.06919872760772705</v>
      </c>
      <c r="M125" s="29">
        <f t="shared" si="3"/>
        <v>1.43187675</v>
      </c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 ht="15.75" customHeight="1">
      <c r="A126" s="27">
        <v>30402.0</v>
      </c>
      <c r="B126" s="28" t="s">
        <v>179</v>
      </c>
      <c r="C126" s="19">
        <v>0.3349803686141968</v>
      </c>
      <c r="D126" s="19">
        <v>0.34804677963256836</v>
      </c>
      <c r="E126" s="29">
        <f t="shared" si="1"/>
        <v>1.039006498</v>
      </c>
      <c r="F126" s="30">
        <f t="shared" si="2"/>
        <v>1.039006498</v>
      </c>
      <c r="G126" s="29"/>
      <c r="H126" s="29"/>
      <c r="I126" s="27">
        <v>30402.0</v>
      </c>
      <c r="J126" s="28" t="s">
        <v>179</v>
      </c>
      <c r="K126" s="19">
        <v>0.1250787079334259</v>
      </c>
      <c r="L126" s="19">
        <v>0.09347344189882278</v>
      </c>
      <c r="M126" s="29">
        <f t="shared" si="3"/>
        <v>0.747316977</v>
      </c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 ht="15.75" customHeight="1">
      <c r="A127" s="27">
        <v>30403.0</v>
      </c>
      <c r="B127" s="28" t="s">
        <v>180</v>
      </c>
      <c r="C127" s="19">
        <v>0.08543823659420013</v>
      </c>
      <c r="D127" s="19">
        <v>0.19746702909469604</v>
      </c>
      <c r="E127" s="29">
        <f t="shared" si="1"/>
        <v>2.311225477</v>
      </c>
      <c r="F127" s="30">
        <f t="shared" si="2"/>
        <v>2.311225477</v>
      </c>
      <c r="G127" s="29"/>
      <c r="H127" s="29"/>
      <c r="I127" s="27">
        <v>30403.0</v>
      </c>
      <c r="J127" s="28" t="s">
        <v>180</v>
      </c>
      <c r="K127" s="19">
        <v>0.08228512108325958</v>
      </c>
      <c r="L127" s="19">
        <v>0.12409571558237076</v>
      </c>
      <c r="M127" s="29">
        <f t="shared" si="3"/>
        <v>1.508118527</v>
      </c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 ht="15.75" customHeight="1">
      <c r="A128" s="27">
        <v>30404.0</v>
      </c>
      <c r="B128" s="28" t="s">
        <v>181</v>
      </c>
      <c r="C128" s="19">
        <v>0.3101987838745117</v>
      </c>
      <c r="D128" s="19">
        <v>0.28744107484817505</v>
      </c>
      <c r="E128" s="29">
        <f t="shared" si="1"/>
        <v>0.9266350798</v>
      </c>
      <c r="F128" s="30">
        <f t="shared" si="2"/>
        <v>0.9266350798</v>
      </c>
      <c r="G128" s="29"/>
      <c r="H128" s="29"/>
      <c r="I128" s="27">
        <v>30404.0</v>
      </c>
      <c r="J128" s="28" t="s">
        <v>181</v>
      </c>
      <c r="K128" s="19">
        <v>0.14346592128276825</v>
      </c>
      <c r="L128" s="19">
        <v>0.12035223096609116</v>
      </c>
      <c r="M128" s="29">
        <f t="shared" si="3"/>
        <v>0.8388907267</v>
      </c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 ht="15.75" customHeight="1">
      <c r="A129" s="27">
        <v>30501.0</v>
      </c>
      <c r="B129" s="28" t="s">
        <v>182</v>
      </c>
      <c r="C129" s="19">
        <v>0.10818962007761002</v>
      </c>
      <c r="D129" s="19">
        <v>0.12678588926792145</v>
      </c>
      <c r="E129" s="29">
        <f t="shared" si="1"/>
        <v>1.171885891</v>
      </c>
      <c r="F129" s="30">
        <f t="shared" si="2"/>
        <v>1.171885891</v>
      </c>
      <c r="G129" s="29"/>
      <c r="H129" s="29"/>
      <c r="I129" s="27">
        <v>30501.0</v>
      </c>
      <c r="J129" s="28" t="s">
        <v>182</v>
      </c>
      <c r="K129" s="19">
        <v>0.03525572270154953</v>
      </c>
      <c r="L129" s="19">
        <v>0.02269997075200081</v>
      </c>
      <c r="M129" s="29">
        <f t="shared" si="3"/>
        <v>0.6438662723</v>
      </c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 ht="15.75" customHeight="1">
      <c r="A130" s="27">
        <v>30502.0</v>
      </c>
      <c r="B130" s="28" t="s">
        <v>183</v>
      </c>
      <c r="C130" s="19">
        <v>0.24006260931491852</v>
      </c>
      <c r="D130" s="19">
        <v>0.23568280041217804</v>
      </c>
      <c r="E130" s="29">
        <f t="shared" si="1"/>
        <v>0.9817555557</v>
      </c>
      <c r="F130" s="30">
        <f t="shared" si="2"/>
        <v>0.9817555557</v>
      </c>
      <c r="G130" s="29"/>
      <c r="H130" s="29"/>
      <c r="I130" s="27">
        <v>30502.0</v>
      </c>
      <c r="J130" s="28" t="s">
        <v>183</v>
      </c>
      <c r="K130" s="19">
        <v>0.09252186119556427</v>
      </c>
      <c r="L130" s="19">
        <v>0.05389304459095001</v>
      </c>
      <c r="M130" s="29">
        <f t="shared" si="3"/>
        <v>0.582489845</v>
      </c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 ht="15.75" customHeight="1">
      <c r="A131" s="27">
        <v>30601.0</v>
      </c>
      <c r="B131" s="28" t="s">
        <v>184</v>
      </c>
      <c r="C131" s="19">
        <v>0.42339634895324707</v>
      </c>
      <c r="D131" s="19">
        <v>0.4129418432712555</v>
      </c>
      <c r="E131" s="29">
        <f t="shared" si="1"/>
        <v>0.9753079928</v>
      </c>
      <c r="F131" s="30">
        <f t="shared" si="2"/>
        <v>0.9753079928</v>
      </c>
      <c r="G131" s="29"/>
      <c r="H131" s="29"/>
      <c r="I131" s="27">
        <v>30601.0</v>
      </c>
      <c r="J131" s="28" t="s">
        <v>184</v>
      </c>
      <c r="K131" s="19">
        <v>0.22059254348278046</v>
      </c>
      <c r="L131" s="19">
        <v>0.14112800359725952</v>
      </c>
      <c r="M131" s="29">
        <f t="shared" si="3"/>
        <v>0.639767788</v>
      </c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 ht="15.75" customHeight="1">
      <c r="A132" s="27">
        <v>30602.0</v>
      </c>
      <c r="B132" s="28" t="s">
        <v>185</v>
      </c>
      <c r="C132" s="19">
        <v>0.3188903331756592</v>
      </c>
      <c r="D132" s="19">
        <v>0.31236788630485535</v>
      </c>
      <c r="E132" s="29">
        <f t="shared" si="1"/>
        <v>0.9795464265</v>
      </c>
      <c r="F132" s="30">
        <f t="shared" si="2"/>
        <v>0.9795464265</v>
      </c>
      <c r="G132" s="29"/>
      <c r="H132" s="29"/>
      <c r="I132" s="27">
        <v>30602.0</v>
      </c>
      <c r="J132" s="28" t="s">
        <v>185</v>
      </c>
      <c r="K132" s="19">
        <v>0.10996441543102264</v>
      </c>
      <c r="L132" s="19">
        <v>0.07403649389743805</v>
      </c>
      <c r="M132" s="29">
        <f t="shared" si="3"/>
        <v>0.6732768379</v>
      </c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 ht="15.75" customHeight="1">
      <c r="A133" s="27">
        <v>30701.0</v>
      </c>
      <c r="B133" s="28" t="s">
        <v>186</v>
      </c>
      <c r="C133" s="19">
        <v>0.17255844175815582</v>
      </c>
      <c r="D133" s="19">
        <v>0.1522146612405777</v>
      </c>
      <c r="E133" s="29">
        <f t="shared" si="1"/>
        <v>0.8821049825</v>
      </c>
      <c r="F133" s="30">
        <f t="shared" si="2"/>
        <v>0.8821049825</v>
      </c>
      <c r="G133" s="29"/>
      <c r="H133" s="29"/>
      <c r="I133" s="27">
        <v>30701.0</v>
      </c>
      <c r="J133" s="28" t="s">
        <v>186</v>
      </c>
      <c r="K133" s="19">
        <v>0.06010271981358528</v>
      </c>
      <c r="L133" s="19">
        <v>0.04310009256005287</v>
      </c>
      <c r="M133" s="29">
        <f t="shared" si="3"/>
        <v>0.7171071907</v>
      </c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 ht="15.75" customHeight="1">
      <c r="A134" s="27">
        <v>30702.0</v>
      </c>
      <c r="B134" s="28" t="s">
        <v>187</v>
      </c>
      <c r="C134" s="19">
        <v>0.14358684420585632</v>
      </c>
      <c r="D134" s="19">
        <v>0.14630675315856934</v>
      </c>
      <c r="E134" s="29">
        <f t="shared" si="1"/>
        <v>1.018942606</v>
      </c>
      <c r="F134" s="30">
        <f t="shared" si="2"/>
        <v>1.018942606</v>
      </c>
      <c r="G134" s="29"/>
      <c r="H134" s="29"/>
      <c r="I134" s="27">
        <v>30702.0</v>
      </c>
      <c r="J134" s="28" t="s">
        <v>187</v>
      </c>
      <c r="K134" s="19">
        <v>0.029237138107419014</v>
      </c>
      <c r="L134" s="19">
        <v>0.02581491693854332</v>
      </c>
      <c r="M134" s="29">
        <f t="shared" si="3"/>
        <v>0.8829495159</v>
      </c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 ht="15.75" customHeight="1">
      <c r="A135" s="27">
        <v>30703.0</v>
      </c>
      <c r="B135" s="28" t="s">
        <v>188</v>
      </c>
      <c r="C135" s="19">
        <v>0.2780678868293762</v>
      </c>
      <c r="D135" s="19">
        <v>0.2701532542705536</v>
      </c>
      <c r="E135" s="29">
        <f t="shared" si="1"/>
        <v>0.9715370493</v>
      </c>
      <c r="F135" s="30">
        <f t="shared" si="2"/>
        <v>0.9715370493</v>
      </c>
      <c r="G135" s="29"/>
      <c r="H135" s="29"/>
      <c r="I135" s="27">
        <v>30703.0</v>
      </c>
      <c r="J135" s="28" t="s">
        <v>188</v>
      </c>
      <c r="K135" s="19">
        <v>0.08661887049674988</v>
      </c>
      <c r="L135" s="19">
        <v>0.04541971534490585</v>
      </c>
      <c r="M135" s="29">
        <f t="shared" si="3"/>
        <v>0.5243628217</v>
      </c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 ht="15.75" customHeight="1">
      <c r="A136" s="27">
        <v>30801.0</v>
      </c>
      <c r="B136" s="28" t="s">
        <v>189</v>
      </c>
      <c r="C136" s="19">
        <v>0.05123627930879593</v>
      </c>
      <c r="D136" s="19">
        <v>0.06136149540543556</v>
      </c>
      <c r="E136" s="29">
        <f t="shared" si="1"/>
        <v>1.197618099</v>
      </c>
      <c r="F136" s="30">
        <f t="shared" si="2"/>
        <v>1.197618099</v>
      </c>
      <c r="G136" s="29"/>
      <c r="H136" s="29"/>
      <c r="I136" s="27">
        <v>30801.0</v>
      </c>
      <c r="J136" s="28" t="s">
        <v>189</v>
      </c>
      <c r="K136" s="19">
        <v>0.007705856580287218</v>
      </c>
      <c r="L136" s="19">
        <v>0.007283671759068966</v>
      </c>
      <c r="M136" s="29">
        <f t="shared" si="3"/>
        <v>0.9452124735</v>
      </c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 ht="15.75" customHeight="1">
      <c r="A137" s="27">
        <v>30802.0</v>
      </c>
      <c r="B137" s="28" t="s">
        <v>190</v>
      </c>
      <c r="C137" s="19">
        <v>0.11100619286298752</v>
      </c>
      <c r="D137" s="19">
        <v>0.11954163014888763</v>
      </c>
      <c r="E137" s="29">
        <f t="shared" si="1"/>
        <v>1.076891542</v>
      </c>
      <c r="F137" s="30">
        <f t="shared" si="2"/>
        <v>1.076891542</v>
      </c>
      <c r="G137" s="29"/>
      <c r="H137" s="29"/>
      <c r="I137" s="27">
        <v>30802.0</v>
      </c>
      <c r="J137" s="28" t="s">
        <v>190</v>
      </c>
      <c r="K137" s="19">
        <v>0.031216071918606758</v>
      </c>
      <c r="L137" s="19">
        <v>0.03227265551686287</v>
      </c>
      <c r="M137" s="29">
        <f t="shared" si="3"/>
        <v>1.033847423</v>
      </c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 ht="15.75" customHeight="1">
      <c r="A138" s="27">
        <v>30803.0</v>
      </c>
      <c r="B138" s="28" t="s">
        <v>191</v>
      </c>
      <c r="C138" s="19">
        <v>0.06451297551393509</v>
      </c>
      <c r="D138" s="19">
        <v>0.10198859125375748</v>
      </c>
      <c r="E138" s="29">
        <f t="shared" si="1"/>
        <v>1.580900438</v>
      </c>
      <c r="F138" s="30">
        <f t="shared" si="2"/>
        <v>1.580900438</v>
      </c>
      <c r="G138" s="29"/>
      <c r="H138" s="29"/>
      <c r="I138" s="27">
        <v>30803.0</v>
      </c>
      <c r="J138" s="28" t="s">
        <v>191</v>
      </c>
      <c r="K138" s="19">
        <v>0.025331726297736168</v>
      </c>
      <c r="L138" s="19">
        <v>0.07331719994544983</v>
      </c>
      <c r="M138" s="29">
        <f t="shared" si="3"/>
        <v>2.894283599</v>
      </c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 ht="15.75" customHeight="1">
      <c r="A139" s="27">
        <v>30901.0</v>
      </c>
      <c r="B139" s="28" t="s">
        <v>192</v>
      </c>
      <c r="C139" s="19">
        <v>0.04750269278883934</v>
      </c>
      <c r="D139" s="19">
        <v>0.06750381737947464</v>
      </c>
      <c r="E139" s="29">
        <f t="shared" si="1"/>
        <v>1.421052438</v>
      </c>
      <c r="F139" s="30">
        <f t="shared" si="2"/>
        <v>1.421052438</v>
      </c>
      <c r="G139" s="29"/>
      <c r="H139" s="29"/>
      <c r="I139" s="27">
        <v>30901.0</v>
      </c>
      <c r="J139" s="28" t="s">
        <v>192</v>
      </c>
      <c r="K139" s="19">
        <v>0.014318948611617088</v>
      </c>
      <c r="L139" s="19">
        <v>0.014271543361246586</v>
      </c>
      <c r="M139" s="29">
        <f t="shared" si="3"/>
        <v>0.9966893344</v>
      </c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 ht="15.75" customHeight="1">
      <c r="A140" s="27">
        <v>30902.0</v>
      </c>
      <c r="B140" s="28" t="s">
        <v>193</v>
      </c>
      <c r="C140" s="19">
        <v>0.12040610611438751</v>
      </c>
      <c r="D140" s="19">
        <v>0.1213836520910263</v>
      </c>
      <c r="E140" s="29">
        <f t="shared" si="1"/>
        <v>1.008118741</v>
      </c>
      <c r="F140" s="30">
        <f t="shared" si="2"/>
        <v>1.008118741</v>
      </c>
      <c r="G140" s="29"/>
      <c r="H140" s="29"/>
      <c r="I140" s="27">
        <v>30902.0</v>
      </c>
      <c r="J140" s="28" t="s">
        <v>193</v>
      </c>
      <c r="K140" s="19">
        <v>0.04036116972565651</v>
      </c>
      <c r="L140" s="19">
        <v>0.02768048271536827</v>
      </c>
      <c r="M140" s="29">
        <f t="shared" si="3"/>
        <v>0.6858196356</v>
      </c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 ht="15.75" customHeight="1">
      <c r="A141" s="27">
        <v>30903.0</v>
      </c>
      <c r="B141" s="28" t="s">
        <v>194</v>
      </c>
      <c r="C141" s="19">
        <v>0.08973748236894608</v>
      </c>
      <c r="D141" s="19">
        <v>0.10133492946624756</v>
      </c>
      <c r="E141" s="29">
        <f t="shared" si="1"/>
        <v>1.129237491</v>
      </c>
      <c r="F141" s="30">
        <f t="shared" si="2"/>
        <v>1.129237491</v>
      </c>
      <c r="G141" s="29"/>
      <c r="H141" s="29"/>
      <c r="I141" s="27">
        <v>30903.0</v>
      </c>
      <c r="J141" s="28" t="s">
        <v>194</v>
      </c>
      <c r="K141" s="19">
        <v>0.015134643763303757</v>
      </c>
      <c r="L141" s="19">
        <v>0.014859989285469055</v>
      </c>
      <c r="M141" s="29">
        <f t="shared" si="3"/>
        <v>0.9818525971</v>
      </c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 ht="15.75" customHeight="1">
      <c r="A142" s="27">
        <v>30904.0</v>
      </c>
      <c r="B142" s="28" t="s">
        <v>195</v>
      </c>
      <c r="C142" s="19">
        <v>0.09537126868963242</v>
      </c>
      <c r="D142" s="19">
        <v>0.11146358400583267</v>
      </c>
      <c r="E142" s="29">
        <f t="shared" si="1"/>
        <v>1.168733367</v>
      </c>
      <c r="F142" s="30">
        <f t="shared" si="2"/>
        <v>1.168733367</v>
      </c>
      <c r="G142" s="29"/>
      <c r="H142" s="29"/>
      <c r="I142" s="27">
        <v>30904.0</v>
      </c>
      <c r="J142" s="28" t="s">
        <v>195</v>
      </c>
      <c r="K142" s="19">
        <v>0.02828810177743435</v>
      </c>
      <c r="L142" s="19">
        <v>0.019746756181120872</v>
      </c>
      <c r="M142" s="29">
        <f t="shared" si="3"/>
        <v>0.6980587222</v>
      </c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 ht="15.75" customHeight="1">
      <c r="A143" s="27">
        <v>30905.0</v>
      </c>
      <c r="B143" s="28" t="s">
        <v>196</v>
      </c>
      <c r="C143" s="19">
        <v>0.02794872783124447</v>
      </c>
      <c r="D143" s="19">
        <v>0.041348788887262344</v>
      </c>
      <c r="E143" s="29">
        <f t="shared" si="1"/>
        <v>1.479451556</v>
      </c>
      <c r="F143" s="30">
        <f t="shared" si="2"/>
        <v>1.479451556</v>
      </c>
      <c r="G143" s="29"/>
      <c r="H143" s="29"/>
      <c r="I143" s="27">
        <v>30905.0</v>
      </c>
      <c r="J143" s="28" t="s">
        <v>196</v>
      </c>
      <c r="K143" s="19">
        <v>0.004360976628959179</v>
      </c>
      <c r="L143" s="19">
        <v>0.005701151210814714</v>
      </c>
      <c r="M143" s="29">
        <f t="shared" si="3"/>
        <v>1.307310654</v>
      </c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 ht="15.75" customHeight="1">
      <c r="A144" s="27">
        <v>31001.0</v>
      </c>
      <c r="B144" s="28" t="s">
        <v>197</v>
      </c>
      <c r="C144" s="19">
        <v>0.07981184124946594</v>
      </c>
      <c r="D144" s="19">
        <v>0.09830818325281143</v>
      </c>
      <c r="E144" s="29">
        <f t="shared" si="1"/>
        <v>1.231749346</v>
      </c>
      <c r="F144" s="30">
        <f t="shared" si="2"/>
        <v>1.231749346</v>
      </c>
      <c r="G144" s="29"/>
      <c r="H144" s="29"/>
      <c r="I144" s="27">
        <v>31001.0</v>
      </c>
      <c r="J144" s="28" t="s">
        <v>197</v>
      </c>
      <c r="K144" s="19">
        <v>0.019917666912078857</v>
      </c>
      <c r="L144" s="19">
        <v>0.019608668982982635</v>
      </c>
      <c r="M144" s="29">
        <f t="shared" si="3"/>
        <v>0.9844862388</v>
      </c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 ht="15.75" customHeight="1">
      <c r="A145" s="27">
        <v>31002.0</v>
      </c>
      <c r="B145" s="28" t="s">
        <v>198</v>
      </c>
      <c r="C145" s="19">
        <v>0.18696895241737366</v>
      </c>
      <c r="D145" s="19">
        <v>0.18958206474781036</v>
      </c>
      <c r="E145" s="29">
        <f t="shared" si="1"/>
        <v>1.013976183</v>
      </c>
      <c r="F145" s="30">
        <f t="shared" si="2"/>
        <v>1.013976183</v>
      </c>
      <c r="G145" s="29"/>
      <c r="H145" s="29"/>
      <c r="I145" s="27">
        <v>31002.0</v>
      </c>
      <c r="J145" s="28" t="s">
        <v>198</v>
      </c>
      <c r="K145" s="19">
        <v>0.052926257252693176</v>
      </c>
      <c r="L145" s="19">
        <v>0.04807375743985176</v>
      </c>
      <c r="M145" s="29">
        <f t="shared" si="3"/>
        <v>0.9083158329</v>
      </c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 ht="15.75" customHeight="1">
      <c r="A146" s="27">
        <v>31003.0</v>
      </c>
      <c r="B146" s="28" t="s">
        <v>199</v>
      </c>
      <c r="C146" s="19">
        <v>0.2499772161245346</v>
      </c>
      <c r="D146" s="19">
        <v>0.2673323452472687</v>
      </c>
      <c r="E146" s="29">
        <f t="shared" si="1"/>
        <v>1.069426844</v>
      </c>
      <c r="F146" s="30">
        <f t="shared" si="2"/>
        <v>1.069426844</v>
      </c>
      <c r="G146" s="29"/>
      <c r="H146" s="29"/>
      <c r="I146" s="27">
        <v>31003.0</v>
      </c>
      <c r="J146" s="28" t="s">
        <v>199</v>
      </c>
      <c r="K146" s="19">
        <v>0.07408185303211212</v>
      </c>
      <c r="L146" s="19">
        <v>0.06780844926834106</v>
      </c>
      <c r="M146" s="29">
        <f t="shared" si="3"/>
        <v>0.9153179422</v>
      </c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 ht="15.75" customHeight="1">
      <c r="A147" s="27">
        <v>31101.0</v>
      </c>
      <c r="B147" s="28" t="s">
        <v>200</v>
      </c>
      <c r="C147" s="19">
        <v>0.4037823975086212</v>
      </c>
      <c r="D147" s="19">
        <v>0.4093485474586487</v>
      </c>
      <c r="E147" s="29">
        <f t="shared" si="1"/>
        <v>1.013785024</v>
      </c>
      <c r="F147" s="30">
        <f t="shared" si="2"/>
        <v>1.013785024</v>
      </c>
      <c r="G147" s="29"/>
      <c r="H147" s="29"/>
      <c r="I147" s="27">
        <v>31101.0</v>
      </c>
      <c r="J147" s="28" t="s">
        <v>200</v>
      </c>
      <c r="K147" s="19">
        <v>0.1903105229139328</v>
      </c>
      <c r="L147" s="19">
        <v>0.13704657554626465</v>
      </c>
      <c r="M147" s="29">
        <f t="shared" si="3"/>
        <v>0.7201208501</v>
      </c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 ht="15.75" customHeight="1">
      <c r="A148" s="27">
        <v>31201.0</v>
      </c>
      <c r="B148" s="28" t="s">
        <v>201</v>
      </c>
      <c r="C148" s="19">
        <v>0.3300473392009735</v>
      </c>
      <c r="D148" s="19">
        <v>0.3659510016441345</v>
      </c>
      <c r="E148" s="29">
        <f t="shared" si="1"/>
        <v>1.108783372</v>
      </c>
      <c r="F148" s="30">
        <f t="shared" si="2"/>
        <v>1.108783372</v>
      </c>
      <c r="G148" s="29"/>
      <c r="H148" s="29"/>
      <c r="I148" s="27">
        <v>31201.0</v>
      </c>
      <c r="J148" s="28" t="s">
        <v>201</v>
      </c>
      <c r="K148" s="19">
        <v>0.11425846815109253</v>
      </c>
      <c r="L148" s="19">
        <v>0.10207100957632065</v>
      </c>
      <c r="M148" s="29">
        <f t="shared" si="3"/>
        <v>0.893334308</v>
      </c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 ht="15.75" customHeight="1">
      <c r="A149" s="27">
        <v>31202.0</v>
      </c>
      <c r="B149" s="28" t="s">
        <v>202</v>
      </c>
      <c r="C149" s="19">
        <v>0.35206401348114014</v>
      </c>
      <c r="D149" s="19">
        <v>0.3639673888683319</v>
      </c>
      <c r="E149" s="29">
        <f t="shared" si="1"/>
        <v>1.033810259</v>
      </c>
      <c r="F149" s="30">
        <f t="shared" si="2"/>
        <v>1.033810259</v>
      </c>
      <c r="G149" s="29"/>
      <c r="H149" s="29"/>
      <c r="I149" s="27">
        <v>31202.0</v>
      </c>
      <c r="J149" s="28" t="s">
        <v>202</v>
      </c>
      <c r="K149" s="19">
        <v>0.12510712444782257</v>
      </c>
      <c r="L149" s="19">
        <v>0.11241694539785385</v>
      </c>
      <c r="M149" s="29">
        <f t="shared" si="3"/>
        <v>0.8985654965</v>
      </c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 ht="15.75" customHeight="1">
      <c r="A150" s="27">
        <v>31203.0</v>
      </c>
      <c r="B150" s="28" t="s">
        <v>203</v>
      </c>
      <c r="C150" s="19">
        <v>0.24024945497512817</v>
      </c>
      <c r="D150" s="19">
        <v>0.22799928486347198</v>
      </c>
      <c r="E150" s="29">
        <f t="shared" si="1"/>
        <v>0.9490106227</v>
      </c>
      <c r="F150" s="30">
        <f t="shared" si="2"/>
        <v>0.9490106227</v>
      </c>
      <c r="G150" s="29"/>
      <c r="H150" s="29"/>
      <c r="I150" s="27">
        <v>31203.0</v>
      </c>
      <c r="J150" s="28" t="s">
        <v>203</v>
      </c>
      <c r="K150" s="19">
        <v>0.06697269529104233</v>
      </c>
      <c r="L150" s="19">
        <v>0.051319949328899384</v>
      </c>
      <c r="M150" s="29">
        <f t="shared" si="3"/>
        <v>0.766281678</v>
      </c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 ht="15.75" customHeight="1">
      <c r="A151" s="27">
        <v>31204.0</v>
      </c>
      <c r="B151" s="28" t="s">
        <v>204</v>
      </c>
      <c r="C151" s="19">
        <v>0.22178247570991516</v>
      </c>
      <c r="D151" s="19">
        <v>0.24537739157676697</v>
      </c>
      <c r="E151" s="29">
        <f t="shared" si="1"/>
        <v>1.106387648</v>
      </c>
      <c r="F151" s="30">
        <f t="shared" si="2"/>
        <v>1.106387648</v>
      </c>
      <c r="G151" s="29"/>
      <c r="H151" s="29"/>
      <c r="I151" s="27">
        <v>31204.0</v>
      </c>
      <c r="J151" s="28" t="s">
        <v>204</v>
      </c>
      <c r="K151" s="19">
        <v>0.06505490839481354</v>
      </c>
      <c r="L151" s="19">
        <v>0.0538606271147728</v>
      </c>
      <c r="M151" s="29">
        <f t="shared" si="3"/>
        <v>0.8279256469</v>
      </c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 ht="15.75" customHeight="1">
      <c r="A152" s="27">
        <v>31205.0</v>
      </c>
      <c r="B152" s="28" t="s">
        <v>205</v>
      </c>
      <c r="C152" s="19">
        <v>0.2200063318014145</v>
      </c>
      <c r="D152" s="19">
        <v>0.21963082253932953</v>
      </c>
      <c r="E152" s="29">
        <f t="shared" si="1"/>
        <v>0.9982931888</v>
      </c>
      <c r="F152" s="30">
        <f t="shared" si="2"/>
        <v>0.9982931888</v>
      </c>
      <c r="G152" s="29"/>
      <c r="H152" s="29"/>
      <c r="I152" s="27">
        <v>31205.0</v>
      </c>
      <c r="J152" s="28" t="s">
        <v>205</v>
      </c>
      <c r="K152" s="19">
        <v>0.06190278381109238</v>
      </c>
      <c r="L152" s="19">
        <v>0.05234090983867645</v>
      </c>
      <c r="M152" s="29">
        <f t="shared" si="3"/>
        <v>0.8455340231</v>
      </c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 ht="15.75" customHeight="1">
      <c r="A153" s="27">
        <v>31206.0</v>
      </c>
      <c r="B153" s="28" t="s">
        <v>206</v>
      </c>
      <c r="C153" s="19">
        <v>0.2177777737379074</v>
      </c>
      <c r="D153" s="19">
        <v>0.2250055968761444</v>
      </c>
      <c r="E153" s="29">
        <f t="shared" si="1"/>
        <v>1.033188984</v>
      </c>
      <c r="F153" s="30">
        <f t="shared" si="2"/>
        <v>1.033188984</v>
      </c>
      <c r="G153" s="29"/>
      <c r="H153" s="29"/>
      <c r="I153" s="27">
        <v>31206.0</v>
      </c>
      <c r="J153" s="28" t="s">
        <v>206</v>
      </c>
      <c r="K153" s="19">
        <v>0.06818976998329163</v>
      </c>
      <c r="L153" s="19">
        <v>0.05533182993531227</v>
      </c>
      <c r="M153" s="29">
        <f t="shared" si="3"/>
        <v>0.8114388705</v>
      </c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 ht="15.75" customHeight="1">
      <c r="A154" s="27">
        <v>31301.0</v>
      </c>
      <c r="B154" s="28" t="s">
        <v>207</v>
      </c>
      <c r="C154" s="19">
        <v>0.3466816246509552</v>
      </c>
      <c r="D154" s="19">
        <v>0.3484058082103729</v>
      </c>
      <c r="E154" s="29">
        <f t="shared" si="1"/>
        <v>1.004973392</v>
      </c>
      <c r="F154" s="30">
        <f t="shared" si="2"/>
        <v>1.004973392</v>
      </c>
      <c r="G154" s="29"/>
      <c r="H154" s="29"/>
      <c r="I154" s="27">
        <v>31301.0</v>
      </c>
      <c r="J154" s="28" t="s">
        <v>207</v>
      </c>
      <c r="K154" s="19">
        <v>0.09052059799432755</v>
      </c>
      <c r="L154" s="19">
        <v>0.06232209876179695</v>
      </c>
      <c r="M154" s="29">
        <f t="shared" si="3"/>
        <v>0.6884852745</v>
      </c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 ht="15.75" customHeight="1">
      <c r="A155" s="27">
        <v>31302.0</v>
      </c>
      <c r="B155" s="28" t="s">
        <v>208</v>
      </c>
      <c r="C155" s="19">
        <v>0.43525058031082153</v>
      </c>
      <c r="D155" s="19">
        <v>0.4666164517402649</v>
      </c>
      <c r="E155" s="29">
        <f t="shared" si="1"/>
        <v>1.072063939</v>
      </c>
      <c r="F155" s="30">
        <f t="shared" si="2"/>
        <v>1.072063939</v>
      </c>
      <c r="G155" s="29"/>
      <c r="H155" s="29"/>
      <c r="I155" s="27">
        <v>31302.0</v>
      </c>
      <c r="J155" s="28" t="s">
        <v>208</v>
      </c>
      <c r="K155" s="19">
        <v>0.24729056656360626</v>
      </c>
      <c r="L155" s="19">
        <v>0.18578197062015533</v>
      </c>
      <c r="M155" s="29">
        <f t="shared" si="3"/>
        <v>0.7512699461</v>
      </c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 ht="15.75" customHeight="1">
      <c r="A156" s="27">
        <v>31303.0</v>
      </c>
      <c r="B156" s="28" t="s">
        <v>209</v>
      </c>
      <c r="C156" s="19">
        <v>0.4602898955345154</v>
      </c>
      <c r="D156" s="19">
        <v>0.48227620124816895</v>
      </c>
      <c r="E156" s="29">
        <f t="shared" si="1"/>
        <v>1.047766214</v>
      </c>
      <c r="F156" s="30">
        <f t="shared" si="2"/>
        <v>1.047766214</v>
      </c>
      <c r="G156" s="29"/>
      <c r="H156" s="29"/>
      <c r="I156" s="27">
        <v>31303.0</v>
      </c>
      <c r="J156" s="28" t="s">
        <v>209</v>
      </c>
      <c r="K156" s="19">
        <v>0.18708209693431854</v>
      </c>
      <c r="L156" s="19">
        <v>0.14185446500778198</v>
      </c>
      <c r="M156" s="29">
        <f t="shared" si="3"/>
        <v>0.7582471403</v>
      </c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 ht="15.75" customHeight="1">
      <c r="A157" s="34">
        <v>31304.0</v>
      </c>
      <c r="B157" s="28" t="s">
        <v>210</v>
      </c>
      <c r="C157" s="19">
        <v>0.3466816246509552</v>
      </c>
      <c r="D157" s="19">
        <v>0.3484058082103729</v>
      </c>
      <c r="E157" s="19">
        <v>0.0</v>
      </c>
      <c r="F157" s="30">
        <f t="shared" si="2"/>
        <v>1.004973392</v>
      </c>
      <c r="G157" s="29"/>
      <c r="H157" s="29"/>
      <c r="I157" s="34">
        <v>31304.0</v>
      </c>
      <c r="J157" s="28" t="s">
        <v>210</v>
      </c>
      <c r="K157" s="19">
        <v>0.32893452048301697</v>
      </c>
      <c r="L157" s="19">
        <v>0.2891688942909241</v>
      </c>
      <c r="M157" s="29">
        <f t="shared" si="3"/>
        <v>0.8791077746</v>
      </c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 ht="15.75" customHeight="1">
      <c r="A158" s="27">
        <v>31401.0</v>
      </c>
      <c r="B158" s="28" t="s">
        <v>211</v>
      </c>
      <c r="C158" s="19">
        <v>0.05324440822005272</v>
      </c>
      <c r="D158" s="19">
        <v>0.06101220101118088</v>
      </c>
      <c r="E158" s="29">
        <f t="shared" ref="E158:E215" si="4">D158/C158</f>
        <v>1.145889363</v>
      </c>
      <c r="F158" s="30">
        <f t="shared" si="2"/>
        <v>1.145889363</v>
      </c>
      <c r="G158" s="29"/>
      <c r="H158" s="29"/>
      <c r="I158" s="27">
        <v>31401.0</v>
      </c>
      <c r="J158" s="28" t="s">
        <v>211</v>
      </c>
      <c r="K158" s="19">
        <v>0.018677175045013428</v>
      </c>
      <c r="L158" s="19">
        <v>0.019030200317502022</v>
      </c>
      <c r="M158" s="29">
        <f t="shared" si="3"/>
        <v>1.018901428</v>
      </c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 ht="15.75" customHeight="1">
      <c r="A159" s="27">
        <v>31402.0</v>
      </c>
      <c r="B159" s="28" t="s">
        <v>212</v>
      </c>
      <c r="C159" s="19">
        <v>0.11039241403341293</v>
      </c>
      <c r="D159" s="19">
        <v>0.11675367504358292</v>
      </c>
      <c r="E159" s="29">
        <f t="shared" si="4"/>
        <v>1.057624077</v>
      </c>
      <c r="F159" s="30">
        <f t="shared" si="2"/>
        <v>1.057624077</v>
      </c>
      <c r="G159" s="29"/>
      <c r="H159" s="29"/>
      <c r="I159" s="27">
        <v>31402.0</v>
      </c>
      <c r="J159" s="28" t="s">
        <v>212</v>
      </c>
      <c r="K159" s="19">
        <v>0.03269646316766739</v>
      </c>
      <c r="L159" s="19">
        <v>0.025626834481954575</v>
      </c>
      <c r="M159" s="29">
        <f t="shared" si="3"/>
        <v>0.7837800178</v>
      </c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 ht="15.75" customHeight="1">
      <c r="A160" s="27">
        <v>31403.0</v>
      </c>
      <c r="B160" s="28" t="s">
        <v>213</v>
      </c>
      <c r="C160" s="19">
        <v>0.08551483601331711</v>
      </c>
      <c r="D160" s="19">
        <v>0.0952780470252037</v>
      </c>
      <c r="E160" s="29">
        <f t="shared" si="4"/>
        <v>1.114169792</v>
      </c>
      <c r="F160" s="30">
        <f t="shared" si="2"/>
        <v>1.114169792</v>
      </c>
      <c r="G160" s="29"/>
      <c r="H160" s="29"/>
      <c r="I160" s="27">
        <v>31403.0</v>
      </c>
      <c r="J160" s="28" t="s">
        <v>213</v>
      </c>
      <c r="K160" s="19">
        <v>0.02084171026945114</v>
      </c>
      <c r="L160" s="19">
        <v>0.016536299139261246</v>
      </c>
      <c r="M160" s="29">
        <f t="shared" si="3"/>
        <v>0.7934233288</v>
      </c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 ht="15.75" customHeight="1">
      <c r="A161" s="27">
        <v>31404.0</v>
      </c>
      <c r="B161" s="28" t="s">
        <v>214</v>
      </c>
      <c r="C161" s="19">
        <v>0.19011646509170532</v>
      </c>
      <c r="D161" s="19">
        <v>0.1965358704328537</v>
      </c>
      <c r="E161" s="29">
        <f t="shared" si="4"/>
        <v>1.033765646</v>
      </c>
      <c r="F161" s="30">
        <f t="shared" si="2"/>
        <v>1.033765646</v>
      </c>
      <c r="G161" s="29"/>
      <c r="H161" s="29"/>
      <c r="I161" s="27">
        <v>31404.0</v>
      </c>
      <c r="J161" s="28" t="s">
        <v>214</v>
      </c>
      <c r="K161" s="19">
        <v>0.018518518656492233</v>
      </c>
      <c r="L161" s="19">
        <v>0.02182539738714695</v>
      </c>
      <c r="M161" s="29">
        <f t="shared" si="3"/>
        <v>1.17857145</v>
      </c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 ht="15.75" customHeight="1">
      <c r="A162" s="27">
        <v>31405.0</v>
      </c>
      <c r="B162" s="28" t="s">
        <v>215</v>
      </c>
      <c r="C162" s="19">
        <v>0.20584653317928314</v>
      </c>
      <c r="D162" s="19">
        <v>0.24373315274715424</v>
      </c>
      <c r="E162" s="29">
        <f t="shared" si="4"/>
        <v>1.184052745</v>
      </c>
      <c r="F162" s="30">
        <f t="shared" si="2"/>
        <v>1.184052745</v>
      </c>
      <c r="G162" s="29"/>
      <c r="H162" s="29"/>
      <c r="I162" s="27">
        <v>31405.0</v>
      </c>
      <c r="J162" s="28" t="s">
        <v>215</v>
      </c>
      <c r="K162" s="19">
        <v>0.0798465833067894</v>
      </c>
      <c r="L162" s="19">
        <v>0.0570528544485569</v>
      </c>
      <c r="M162" s="29">
        <f t="shared" si="3"/>
        <v>0.7145309428</v>
      </c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 ht="15.75" customHeight="1">
      <c r="A163" s="27">
        <v>31501.0</v>
      </c>
      <c r="B163" s="28" t="s">
        <v>216</v>
      </c>
      <c r="C163" s="19">
        <v>0.3436090648174286</v>
      </c>
      <c r="D163" s="19">
        <v>0.3450322449207306</v>
      </c>
      <c r="E163" s="29">
        <f t="shared" si="4"/>
        <v>1.004141858</v>
      </c>
      <c r="F163" s="30">
        <f t="shared" si="2"/>
        <v>1.004141858</v>
      </c>
      <c r="G163" s="29"/>
      <c r="H163" s="29"/>
      <c r="I163" s="27">
        <v>31501.0</v>
      </c>
      <c r="J163" s="28" t="s">
        <v>216</v>
      </c>
      <c r="K163" s="19">
        <v>0.13819758594036102</v>
      </c>
      <c r="L163" s="19">
        <v>0.09616074711084366</v>
      </c>
      <c r="M163" s="29">
        <f t="shared" si="3"/>
        <v>0.6958207443</v>
      </c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 ht="15.75" customHeight="1">
      <c r="A164" s="27">
        <v>31601.0</v>
      </c>
      <c r="B164" s="28" t="s">
        <v>217</v>
      </c>
      <c r="C164" s="19">
        <v>0.18019942939281464</v>
      </c>
      <c r="D164" s="19">
        <v>0.18820369243621826</v>
      </c>
      <c r="E164" s="29">
        <f t="shared" si="4"/>
        <v>1.044418914</v>
      </c>
      <c r="F164" s="30">
        <f t="shared" si="2"/>
        <v>1.044418914</v>
      </c>
      <c r="G164" s="29"/>
      <c r="H164" s="29"/>
      <c r="I164" s="27">
        <v>31601.0</v>
      </c>
      <c r="J164" s="28" t="s">
        <v>217</v>
      </c>
      <c r="K164" s="19">
        <v>0.054665710777044296</v>
      </c>
      <c r="L164" s="19">
        <v>0.04272664338350296</v>
      </c>
      <c r="M164" s="29">
        <f t="shared" si="3"/>
        <v>0.7815986068</v>
      </c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 ht="15.75" customHeight="1">
      <c r="A165" s="27">
        <v>31602.0</v>
      </c>
      <c r="B165" s="28" t="s">
        <v>218</v>
      </c>
      <c r="C165" s="19">
        <v>0.18663941323757172</v>
      </c>
      <c r="D165" s="19">
        <v>0.18853722512722015</v>
      </c>
      <c r="E165" s="29">
        <f t="shared" si="4"/>
        <v>1.010168334</v>
      </c>
      <c r="F165" s="30">
        <f t="shared" si="2"/>
        <v>1.010168334</v>
      </c>
      <c r="G165" s="29"/>
      <c r="H165" s="29"/>
      <c r="I165" s="27">
        <v>31602.0</v>
      </c>
      <c r="J165" s="28" t="s">
        <v>218</v>
      </c>
      <c r="K165" s="19">
        <v>0.038683127611875534</v>
      </c>
      <c r="L165" s="19">
        <v>0.03914492577314377</v>
      </c>
      <c r="M165" s="29">
        <f t="shared" si="3"/>
        <v>1.011937974</v>
      </c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 ht="15.75" customHeight="1">
      <c r="A166" s="27">
        <v>40101.0</v>
      </c>
      <c r="B166" s="28" t="s">
        <v>19</v>
      </c>
      <c r="C166" s="19">
        <v>0.024284183979034424</v>
      </c>
      <c r="D166" s="19">
        <v>0.05050100013613701</v>
      </c>
      <c r="E166" s="29">
        <f t="shared" si="4"/>
        <v>2.079583987</v>
      </c>
      <c r="F166" s="30">
        <f t="shared" si="2"/>
        <v>2.079583987</v>
      </c>
      <c r="G166" s="29"/>
      <c r="H166" s="29"/>
      <c r="I166" s="27">
        <v>40101.0</v>
      </c>
      <c r="J166" s="28" t="s">
        <v>19</v>
      </c>
      <c r="K166" s="19">
        <v>0.0050286282785236835</v>
      </c>
      <c r="L166" s="19">
        <v>0.007960227318108082</v>
      </c>
      <c r="M166" s="29">
        <f t="shared" si="3"/>
        <v>1.582981855</v>
      </c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 ht="15.75" customHeight="1">
      <c r="A167" s="27">
        <v>40102.0</v>
      </c>
      <c r="B167" s="28" t="s">
        <v>219</v>
      </c>
      <c r="C167" s="19">
        <v>0.24077408015727997</v>
      </c>
      <c r="D167" s="19">
        <v>0.22498637437820435</v>
      </c>
      <c r="E167" s="29">
        <f t="shared" si="4"/>
        <v>0.9344293797</v>
      </c>
      <c r="F167" s="30">
        <f t="shared" si="2"/>
        <v>0.9344293797</v>
      </c>
      <c r="G167" s="29"/>
      <c r="H167" s="29"/>
      <c r="I167" s="27">
        <v>40102.0</v>
      </c>
      <c r="J167" s="28" t="s">
        <v>219</v>
      </c>
      <c r="K167" s="19">
        <v>0.0616467110812664</v>
      </c>
      <c r="L167" s="19">
        <v>0.04603557288646698</v>
      </c>
      <c r="M167" s="29">
        <f t="shared" si="3"/>
        <v>0.7467644596</v>
      </c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 ht="15.75" customHeight="1">
      <c r="A168" s="27">
        <v>40103.0</v>
      </c>
      <c r="B168" s="28" t="s">
        <v>220</v>
      </c>
      <c r="C168" s="19">
        <v>0.439111590385437</v>
      </c>
      <c r="D168" s="19">
        <v>0.4443628191947937</v>
      </c>
      <c r="E168" s="29">
        <f t="shared" si="4"/>
        <v>1.011958757</v>
      </c>
      <c r="F168" s="30">
        <f t="shared" si="2"/>
        <v>1.011958757</v>
      </c>
      <c r="G168" s="29"/>
      <c r="H168" s="29"/>
      <c r="I168" s="27">
        <v>40103.0</v>
      </c>
      <c r="J168" s="28" t="s">
        <v>220</v>
      </c>
      <c r="K168" s="19">
        <v>0.22719353437423706</v>
      </c>
      <c r="L168" s="19">
        <v>0.19438020884990692</v>
      </c>
      <c r="M168" s="29">
        <f t="shared" si="3"/>
        <v>0.8555710416</v>
      </c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 ht="15.75" customHeight="1">
      <c r="A169" s="27">
        <v>40104.0</v>
      </c>
      <c r="B169" s="28" t="s">
        <v>221</v>
      </c>
      <c r="C169" s="19">
        <v>0.22749780118465424</v>
      </c>
      <c r="D169" s="19">
        <v>0.21702761948108673</v>
      </c>
      <c r="E169" s="29">
        <f t="shared" si="4"/>
        <v>0.9539767785</v>
      </c>
      <c r="F169" s="30">
        <f t="shared" si="2"/>
        <v>0.9539767785</v>
      </c>
      <c r="G169" s="29"/>
      <c r="H169" s="29"/>
      <c r="I169" s="27">
        <v>40104.0</v>
      </c>
      <c r="J169" s="28" t="s">
        <v>221</v>
      </c>
      <c r="K169" s="19">
        <v>0.06633604317903519</v>
      </c>
      <c r="L169" s="19">
        <v>0.03886405751109123</v>
      </c>
      <c r="M169" s="29">
        <f t="shared" si="3"/>
        <v>0.5858663805</v>
      </c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 ht="15.75" customHeight="1">
      <c r="A170" s="27">
        <v>40201.0</v>
      </c>
      <c r="B170" s="28" t="s">
        <v>222</v>
      </c>
      <c r="C170" s="19">
        <v>0.2388530671596527</v>
      </c>
      <c r="D170" s="19">
        <v>0.19962021708488464</v>
      </c>
      <c r="E170" s="29">
        <f t="shared" si="4"/>
        <v>0.8357448345</v>
      </c>
      <c r="F170" s="30">
        <f t="shared" si="2"/>
        <v>0.8357448345</v>
      </c>
      <c r="G170" s="29"/>
      <c r="H170" s="29"/>
      <c r="I170" s="27">
        <v>40201.0</v>
      </c>
      <c r="J170" s="28" t="s">
        <v>222</v>
      </c>
      <c r="K170" s="19">
        <v>0.093264639377594</v>
      </c>
      <c r="L170" s="19">
        <v>0.060200054198503494</v>
      </c>
      <c r="M170" s="29">
        <f t="shared" si="3"/>
        <v>0.6454756551</v>
      </c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 ht="15.75" customHeight="1">
      <c r="A171" s="27">
        <v>40202.0</v>
      </c>
      <c r="B171" s="28" t="s">
        <v>223</v>
      </c>
      <c r="C171" s="19">
        <v>0.2085048109292984</v>
      </c>
      <c r="D171" s="19">
        <v>0.2191922664642334</v>
      </c>
      <c r="E171" s="29">
        <f t="shared" si="4"/>
        <v>1.051257597</v>
      </c>
      <c r="F171" s="30">
        <f t="shared" si="2"/>
        <v>1.051257597</v>
      </c>
      <c r="G171" s="29"/>
      <c r="H171" s="29"/>
      <c r="I171" s="27">
        <v>40202.0</v>
      </c>
      <c r="J171" s="28" t="s">
        <v>223</v>
      </c>
      <c r="K171" s="19">
        <v>0.10165485739707947</v>
      </c>
      <c r="L171" s="19">
        <v>0.07107822597026825</v>
      </c>
      <c r="M171" s="29">
        <f t="shared" si="3"/>
        <v>0.6992113096</v>
      </c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 ht="15.75" customHeight="1">
      <c r="A172" s="27">
        <v>40301.0</v>
      </c>
      <c r="B172" s="28" t="s">
        <v>224</v>
      </c>
      <c r="C172" s="19">
        <v>0.35002365708351135</v>
      </c>
      <c r="D172" s="19">
        <v>0.3306097686290741</v>
      </c>
      <c r="E172" s="29">
        <f t="shared" si="4"/>
        <v>0.9445354962</v>
      </c>
      <c r="F172" s="30">
        <f t="shared" si="2"/>
        <v>0.9445354962</v>
      </c>
      <c r="G172" s="29"/>
      <c r="H172" s="29"/>
      <c r="I172" s="27">
        <v>40301.0</v>
      </c>
      <c r="J172" s="28" t="s">
        <v>224</v>
      </c>
      <c r="K172" s="19">
        <v>0.13390997052192688</v>
      </c>
      <c r="L172" s="19">
        <v>0.12162481248378754</v>
      </c>
      <c r="M172" s="29">
        <f t="shared" si="3"/>
        <v>0.9082580782</v>
      </c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 ht="15.75" customHeight="1">
      <c r="A173" s="27">
        <v>40302.0</v>
      </c>
      <c r="B173" s="28" t="s">
        <v>225</v>
      </c>
      <c r="C173" s="19">
        <v>0.30447331070899963</v>
      </c>
      <c r="D173" s="19">
        <v>0.33546191453933716</v>
      </c>
      <c r="E173" s="29">
        <f t="shared" si="4"/>
        <v>1.101777735</v>
      </c>
      <c r="F173" s="30">
        <f t="shared" si="2"/>
        <v>1.101777735</v>
      </c>
      <c r="G173" s="29"/>
      <c r="H173" s="29"/>
      <c r="I173" s="27">
        <v>40302.0</v>
      </c>
      <c r="J173" s="28" t="s">
        <v>225</v>
      </c>
      <c r="K173" s="19">
        <v>0.09317269921302795</v>
      </c>
      <c r="L173" s="19">
        <v>0.09846214950084686</v>
      </c>
      <c r="M173" s="29">
        <f t="shared" si="3"/>
        <v>1.056770388</v>
      </c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 ht="15.75" customHeight="1">
      <c r="A174" s="27">
        <v>40401.0</v>
      </c>
      <c r="B174" s="28" t="s">
        <v>226</v>
      </c>
      <c r="C174" s="19">
        <v>0.25296711921691895</v>
      </c>
      <c r="D174" s="19">
        <v>0.17956586182117462</v>
      </c>
      <c r="E174" s="29">
        <f t="shared" si="4"/>
        <v>0.7098387426</v>
      </c>
      <c r="F174" s="30">
        <f t="shared" si="2"/>
        <v>0.7098387426</v>
      </c>
      <c r="G174" s="29"/>
      <c r="H174" s="29"/>
      <c r="I174" s="27">
        <v>40401.0</v>
      </c>
      <c r="J174" s="28" t="s">
        <v>226</v>
      </c>
      <c r="K174" s="19">
        <v>0.09412956237792969</v>
      </c>
      <c r="L174" s="19">
        <v>0.06095802038908005</v>
      </c>
      <c r="M174" s="29">
        <f t="shared" si="3"/>
        <v>0.6475969807</v>
      </c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 ht="15.75" customHeight="1">
      <c r="A175" s="27">
        <v>40402.0</v>
      </c>
      <c r="B175" s="28" t="s">
        <v>227</v>
      </c>
      <c r="C175" s="19">
        <v>0.2631399929523468</v>
      </c>
      <c r="D175" s="19">
        <v>0.23331116139888763</v>
      </c>
      <c r="E175" s="29">
        <f t="shared" si="4"/>
        <v>0.8866427288</v>
      </c>
      <c r="F175" s="30">
        <f t="shared" si="2"/>
        <v>0.8866427288</v>
      </c>
      <c r="G175" s="29"/>
      <c r="H175" s="29"/>
      <c r="I175" s="27">
        <v>40402.0</v>
      </c>
      <c r="J175" s="28" t="s">
        <v>227</v>
      </c>
      <c r="K175" s="19">
        <v>0.14028270542621613</v>
      </c>
      <c r="L175" s="19">
        <v>0.11367141455411911</v>
      </c>
      <c r="M175" s="29">
        <f t="shared" si="3"/>
        <v>0.8103024119</v>
      </c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 ht="15.75" customHeight="1">
      <c r="A176" s="27">
        <v>40501.0</v>
      </c>
      <c r="B176" s="28" t="s">
        <v>228</v>
      </c>
      <c r="C176" s="19">
        <v>0.061835747212171555</v>
      </c>
      <c r="D176" s="19">
        <v>0.018518518656492233</v>
      </c>
      <c r="E176" s="29">
        <f t="shared" si="4"/>
        <v>0.2994791766</v>
      </c>
      <c r="F176" s="30">
        <f t="shared" si="2"/>
        <v>0.2994791766</v>
      </c>
      <c r="G176" s="29"/>
      <c r="H176" s="29"/>
      <c r="I176" s="27">
        <v>40501.0</v>
      </c>
      <c r="J176" s="28" t="s">
        <v>228</v>
      </c>
      <c r="K176" s="19">
        <v>0.015453561209142208</v>
      </c>
      <c r="L176" s="19">
        <v>0.0067724185064435005</v>
      </c>
      <c r="M176" s="29">
        <f t="shared" si="3"/>
        <v>0.4382432253</v>
      </c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 ht="15.75" customHeight="1">
      <c r="A177" s="27">
        <v>40502.0</v>
      </c>
      <c r="B177" s="28" t="s">
        <v>229</v>
      </c>
      <c r="C177" s="19">
        <v>0.32611051201820374</v>
      </c>
      <c r="D177" s="19">
        <v>0.3154592514038086</v>
      </c>
      <c r="E177" s="29">
        <f t="shared" si="4"/>
        <v>0.9673384935</v>
      </c>
      <c r="F177" s="30">
        <f t="shared" si="2"/>
        <v>0.9673384935</v>
      </c>
      <c r="G177" s="29"/>
      <c r="H177" s="29"/>
      <c r="I177" s="27">
        <v>40502.0</v>
      </c>
      <c r="J177" s="28" t="s">
        <v>229</v>
      </c>
      <c r="K177" s="19">
        <v>0.07544444501399994</v>
      </c>
      <c r="L177" s="19">
        <v>0.0643126517534256</v>
      </c>
      <c r="M177" s="29">
        <f t="shared" si="3"/>
        <v>0.8524504586</v>
      </c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 ht="15.75" customHeight="1">
      <c r="A178" s="27">
        <v>40503.0</v>
      </c>
      <c r="B178" s="28" t="s">
        <v>230</v>
      </c>
      <c r="C178" s="19">
        <v>0.28423041105270386</v>
      </c>
      <c r="D178" s="19">
        <v>0.2856944501399994</v>
      </c>
      <c r="E178" s="29">
        <f t="shared" si="4"/>
        <v>1.005150888</v>
      </c>
      <c r="F178" s="30">
        <f t="shared" si="2"/>
        <v>1.005150888</v>
      </c>
      <c r="G178" s="29"/>
      <c r="H178" s="29"/>
      <c r="I178" s="27">
        <v>40503.0</v>
      </c>
      <c r="J178" s="28" t="s">
        <v>230</v>
      </c>
      <c r="K178" s="19">
        <v>0.02766251750290394</v>
      </c>
      <c r="L178" s="19">
        <v>0.035587504506111145</v>
      </c>
      <c r="M178" s="29">
        <f t="shared" si="3"/>
        <v>1.286488278</v>
      </c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 ht="15.75" customHeight="1">
      <c r="A179" s="27">
        <v>40504.0</v>
      </c>
      <c r="B179" s="28" t="s">
        <v>231</v>
      </c>
      <c r="C179" s="19">
        <v>0.2222222089767456</v>
      </c>
      <c r="D179" s="19">
        <v>0.258849561214447</v>
      </c>
      <c r="E179" s="29">
        <f t="shared" si="4"/>
        <v>1.164823095</v>
      </c>
      <c r="F179" s="30">
        <f t="shared" si="2"/>
        <v>1.164823095</v>
      </c>
      <c r="G179" s="29"/>
      <c r="H179" s="29"/>
      <c r="I179" s="27">
        <v>40504.0</v>
      </c>
      <c r="J179" s="28" t="s">
        <v>231</v>
      </c>
      <c r="K179" s="19">
        <v>0.0051282052882015705</v>
      </c>
      <c r="L179" s="19">
        <v>0.012254903092980385</v>
      </c>
      <c r="M179" s="29">
        <f t="shared" si="3"/>
        <v>2.389706029</v>
      </c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 ht="15.75" customHeight="1">
      <c r="A180" s="27">
        <v>40505.0</v>
      </c>
      <c r="B180" s="28" t="s">
        <v>232</v>
      </c>
      <c r="C180" s="19">
        <v>0.14150327444076538</v>
      </c>
      <c r="D180" s="19">
        <v>0.14982017874717712</v>
      </c>
      <c r="E180" s="29">
        <f t="shared" si="4"/>
        <v>1.058775349</v>
      </c>
      <c r="F180" s="30">
        <f t="shared" si="2"/>
        <v>1.058775349</v>
      </c>
      <c r="G180" s="29"/>
      <c r="H180" s="29"/>
      <c r="I180" s="27">
        <v>40505.0</v>
      </c>
      <c r="J180" s="28" t="s">
        <v>232</v>
      </c>
      <c r="K180" s="19">
        <v>0.0334412083029747</v>
      </c>
      <c r="L180" s="19">
        <v>0.03366275504231453</v>
      </c>
      <c r="M180" s="29">
        <f t="shared" si="3"/>
        <v>1.006624962</v>
      </c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 ht="15.75" customHeight="1">
      <c r="A181" s="27">
        <v>40601.0</v>
      </c>
      <c r="B181" s="28" t="s">
        <v>233</v>
      </c>
      <c r="C181" s="19">
        <v>0.2098914384841919</v>
      </c>
      <c r="D181" s="19">
        <v>0.13422350585460663</v>
      </c>
      <c r="E181" s="29">
        <f t="shared" si="4"/>
        <v>0.6394901423</v>
      </c>
      <c r="F181" s="30">
        <f t="shared" si="2"/>
        <v>0.6394901423</v>
      </c>
      <c r="G181" s="29"/>
      <c r="H181" s="29"/>
      <c r="I181" s="27">
        <v>40601.0</v>
      </c>
      <c r="J181" s="28" t="s">
        <v>233</v>
      </c>
      <c r="K181" s="19">
        <v>0.07177364081144333</v>
      </c>
      <c r="L181" s="19">
        <v>0.031070632860064507</v>
      </c>
      <c r="M181" s="29">
        <f t="shared" si="3"/>
        <v>0.4328975444</v>
      </c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 ht="15.75" customHeight="1">
      <c r="A182" s="27">
        <v>40602.0</v>
      </c>
      <c r="B182" s="28" t="s">
        <v>234</v>
      </c>
      <c r="C182" s="19">
        <v>0.18220339715480804</v>
      </c>
      <c r="D182" s="19">
        <v>0.13548815250396729</v>
      </c>
      <c r="E182" s="29">
        <f t="shared" si="4"/>
        <v>0.7436093652</v>
      </c>
      <c r="F182" s="30">
        <f t="shared" si="2"/>
        <v>0.7436093652</v>
      </c>
      <c r="G182" s="29"/>
      <c r="H182" s="29"/>
      <c r="I182" s="27">
        <v>40602.0</v>
      </c>
      <c r="J182" s="28" t="s">
        <v>234</v>
      </c>
      <c r="K182" s="19">
        <v>0.07213730365037918</v>
      </c>
      <c r="L182" s="19">
        <v>0.036645445972681046</v>
      </c>
      <c r="M182" s="29">
        <f t="shared" si="3"/>
        <v>0.5079957819</v>
      </c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 ht="15.75" customHeight="1">
      <c r="A183" s="27">
        <v>40603.0</v>
      </c>
      <c r="B183" s="28" t="s">
        <v>235</v>
      </c>
      <c r="C183" s="19">
        <v>0.1966390758752823</v>
      </c>
      <c r="D183" s="19">
        <v>0.10752173513174057</v>
      </c>
      <c r="E183" s="29">
        <f t="shared" si="4"/>
        <v>0.5467973985</v>
      </c>
      <c r="F183" s="30">
        <f t="shared" si="2"/>
        <v>0.5467973985</v>
      </c>
      <c r="G183" s="29"/>
      <c r="H183" s="29"/>
      <c r="I183" s="27">
        <v>40603.0</v>
      </c>
      <c r="J183" s="28" t="s">
        <v>235</v>
      </c>
      <c r="K183" s="19">
        <v>0.04416743665933609</v>
      </c>
      <c r="L183" s="19">
        <v>0.02256638929247856</v>
      </c>
      <c r="M183" s="29">
        <f t="shared" si="3"/>
        <v>0.5109282086</v>
      </c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 ht="15.75" customHeight="1">
      <c r="A184" s="27">
        <v>40701.0</v>
      </c>
      <c r="B184" s="28" t="s">
        <v>236</v>
      </c>
      <c r="C184" s="19">
        <v>0.11343047767877579</v>
      </c>
      <c r="D184" s="19">
        <v>0.06983290612697601</v>
      </c>
      <c r="E184" s="29">
        <f t="shared" si="4"/>
        <v>0.6156449973</v>
      </c>
      <c r="F184" s="30">
        <f t="shared" si="2"/>
        <v>0.6156449973</v>
      </c>
      <c r="G184" s="29"/>
      <c r="H184" s="29"/>
      <c r="I184" s="27">
        <v>40701.0</v>
      </c>
      <c r="J184" s="28" t="s">
        <v>236</v>
      </c>
      <c r="K184" s="19">
        <v>0.025836370885372162</v>
      </c>
      <c r="L184" s="19">
        <v>0.009072922170162201</v>
      </c>
      <c r="M184" s="29">
        <f t="shared" si="3"/>
        <v>0.3511685991</v>
      </c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 ht="15.75" customHeight="1">
      <c r="A185" s="27">
        <v>40702.0</v>
      </c>
      <c r="B185" s="28" t="s">
        <v>237</v>
      </c>
      <c r="C185" s="19">
        <v>0.1088687852025032</v>
      </c>
      <c r="D185" s="19">
        <v>0.09385407716035843</v>
      </c>
      <c r="E185" s="29">
        <f t="shared" si="4"/>
        <v>0.8620843613</v>
      </c>
      <c r="F185" s="30">
        <f t="shared" si="2"/>
        <v>0.8620843613</v>
      </c>
      <c r="G185" s="29"/>
      <c r="H185" s="29"/>
      <c r="I185" s="27">
        <v>40702.0</v>
      </c>
      <c r="J185" s="28" t="s">
        <v>237</v>
      </c>
      <c r="K185" s="19">
        <v>0.019459791481494904</v>
      </c>
      <c r="L185" s="19">
        <v>0.02064942754805088</v>
      </c>
      <c r="M185" s="29">
        <f t="shared" si="3"/>
        <v>1.061133033</v>
      </c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 ht="15.75" customHeight="1">
      <c r="A186" s="27">
        <v>40801.0</v>
      </c>
      <c r="B186" s="28" t="s">
        <v>238</v>
      </c>
      <c r="C186" s="19">
        <v>0.21868780255317688</v>
      </c>
      <c r="D186" s="19">
        <v>0.23594102263450623</v>
      </c>
      <c r="E186" s="29">
        <f t="shared" si="4"/>
        <v>1.078894295</v>
      </c>
      <c r="F186" s="30">
        <f t="shared" si="2"/>
        <v>1.078894295</v>
      </c>
      <c r="G186" s="29"/>
      <c r="H186" s="29"/>
      <c r="I186" s="27">
        <v>40801.0</v>
      </c>
      <c r="J186" s="28" t="s">
        <v>238</v>
      </c>
      <c r="K186" s="19">
        <v>0.050206661224365234</v>
      </c>
      <c r="L186" s="19">
        <v>0.05544170364737511</v>
      </c>
      <c r="M186" s="29">
        <f t="shared" si="3"/>
        <v>1.104269878</v>
      </c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 ht="15.75" customHeight="1">
      <c r="A187" s="27">
        <v>40802.0</v>
      </c>
      <c r="B187" s="28" t="s">
        <v>239</v>
      </c>
      <c r="C187" s="19">
        <v>0.26193416118621826</v>
      </c>
      <c r="D187" s="19">
        <v>0.2573392987251282</v>
      </c>
      <c r="E187" s="29">
        <f t="shared" si="4"/>
        <v>0.9824579488</v>
      </c>
      <c r="F187" s="30">
        <f t="shared" si="2"/>
        <v>0.9824579488</v>
      </c>
      <c r="G187" s="29"/>
      <c r="H187" s="29"/>
      <c r="I187" s="27">
        <v>40802.0</v>
      </c>
      <c r="J187" s="28" t="s">
        <v>239</v>
      </c>
      <c r="K187" s="19">
        <v>0.08783487230539322</v>
      </c>
      <c r="L187" s="19">
        <v>0.06571676582098007</v>
      </c>
      <c r="M187" s="29">
        <f t="shared" si="3"/>
        <v>0.748185363</v>
      </c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 ht="15.75" customHeight="1">
      <c r="A188" s="27">
        <v>40901.0</v>
      </c>
      <c r="B188" s="28" t="s">
        <v>240</v>
      </c>
      <c r="C188" s="19">
        <v>0.1521015465259552</v>
      </c>
      <c r="D188" s="19">
        <v>0.20163631439208984</v>
      </c>
      <c r="E188" s="29">
        <f t="shared" si="4"/>
        <v>1.325669061</v>
      </c>
      <c r="F188" s="30">
        <f t="shared" si="2"/>
        <v>1.325669061</v>
      </c>
      <c r="G188" s="29"/>
      <c r="H188" s="29"/>
      <c r="I188" s="27">
        <v>40901.0</v>
      </c>
      <c r="J188" s="28" t="s">
        <v>240</v>
      </c>
      <c r="K188" s="19">
        <v>0.03487285599112511</v>
      </c>
      <c r="L188" s="19">
        <v>0.03445777669548988</v>
      </c>
      <c r="M188" s="29">
        <f t="shared" si="3"/>
        <v>0.988097353</v>
      </c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 ht="15.75" customHeight="1">
      <c r="A189" s="27">
        <v>40902.0</v>
      </c>
      <c r="B189" s="28" t="s">
        <v>241</v>
      </c>
      <c r="C189" s="19">
        <v>0.21674491465091705</v>
      </c>
      <c r="D189" s="19">
        <v>0.22965998947620392</v>
      </c>
      <c r="E189" s="29">
        <f t="shared" si="4"/>
        <v>1.059586518</v>
      </c>
      <c r="F189" s="30">
        <f t="shared" si="2"/>
        <v>1.059586518</v>
      </c>
      <c r="G189" s="29"/>
      <c r="H189" s="29"/>
      <c r="I189" s="27">
        <v>40902.0</v>
      </c>
      <c r="J189" s="28" t="s">
        <v>241</v>
      </c>
      <c r="K189" s="19">
        <v>0.11028501391410828</v>
      </c>
      <c r="L189" s="19">
        <v>0.0262262262403965</v>
      </c>
      <c r="M189" s="29">
        <f t="shared" si="3"/>
        <v>0.2378040797</v>
      </c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 ht="15.75" customHeight="1">
      <c r="A190" s="27">
        <v>40903.0</v>
      </c>
      <c r="B190" s="28" t="s">
        <v>242</v>
      </c>
      <c r="C190" s="19">
        <v>0.2106567621231079</v>
      </c>
      <c r="D190" s="19">
        <v>0.23124878108501434</v>
      </c>
      <c r="E190" s="29">
        <f t="shared" si="4"/>
        <v>1.097751521</v>
      </c>
      <c r="F190" s="30">
        <f t="shared" si="2"/>
        <v>1.097751521</v>
      </c>
      <c r="G190" s="29"/>
      <c r="H190" s="29"/>
      <c r="I190" s="27">
        <v>40903.0</v>
      </c>
      <c r="J190" s="28" t="s">
        <v>242</v>
      </c>
      <c r="K190" s="19">
        <v>0.11687630414962769</v>
      </c>
      <c r="L190" s="19">
        <v>0.146564319729805</v>
      </c>
      <c r="M190" s="29">
        <f t="shared" si="3"/>
        <v>1.254012272</v>
      </c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 ht="15.75" customHeight="1">
      <c r="A191" s="27">
        <v>41001.0</v>
      </c>
      <c r="B191" s="28" t="s">
        <v>243</v>
      </c>
      <c r="C191" s="19">
        <v>0.36367541551589966</v>
      </c>
      <c r="D191" s="19">
        <v>0.340434730052948</v>
      </c>
      <c r="E191" s="29">
        <f t="shared" si="4"/>
        <v>0.9360949779</v>
      </c>
      <c r="F191" s="30">
        <f t="shared" si="2"/>
        <v>0.9360949779</v>
      </c>
      <c r="G191" s="29"/>
      <c r="H191" s="29"/>
      <c r="I191" s="27">
        <v>41001.0</v>
      </c>
      <c r="J191" s="28" t="s">
        <v>243</v>
      </c>
      <c r="K191" s="19">
        <v>0.13743530213832855</v>
      </c>
      <c r="L191" s="19">
        <v>0.10699065774679184</v>
      </c>
      <c r="M191" s="29">
        <f t="shared" si="3"/>
        <v>0.7784801727</v>
      </c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 ht="15.75" customHeight="1">
      <c r="A192" s="27">
        <v>41101.0</v>
      </c>
      <c r="B192" s="28" t="s">
        <v>244</v>
      </c>
      <c r="C192" s="19">
        <v>0.20392517745494843</v>
      </c>
      <c r="D192" s="19">
        <v>0.1594354659318924</v>
      </c>
      <c r="E192" s="29">
        <f t="shared" si="4"/>
        <v>0.7818331602</v>
      </c>
      <c r="F192" s="30">
        <f t="shared" si="2"/>
        <v>0.7818331602</v>
      </c>
      <c r="G192" s="29"/>
      <c r="H192" s="29"/>
      <c r="I192" s="27">
        <v>41101.0</v>
      </c>
      <c r="J192" s="28" t="s">
        <v>244</v>
      </c>
      <c r="K192" s="19">
        <v>0.06833510845899582</v>
      </c>
      <c r="L192" s="19">
        <v>0.03573669493198395</v>
      </c>
      <c r="M192" s="29">
        <f t="shared" si="3"/>
        <v>0.5229624382</v>
      </c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 ht="15.75" customHeight="1">
      <c r="A193" s="27">
        <v>41201.0</v>
      </c>
      <c r="B193" s="28" t="s">
        <v>245</v>
      </c>
      <c r="C193" s="19">
        <v>0.31496477127075195</v>
      </c>
      <c r="D193" s="19">
        <v>0.313199520111084</v>
      </c>
      <c r="E193" s="29">
        <f t="shared" si="4"/>
        <v>0.9943954013</v>
      </c>
      <c r="F193" s="30">
        <f t="shared" si="2"/>
        <v>0.9943954013</v>
      </c>
      <c r="G193" s="29"/>
      <c r="H193" s="29"/>
      <c r="I193" s="27">
        <v>41201.0</v>
      </c>
      <c r="J193" s="28" t="s">
        <v>245</v>
      </c>
      <c r="K193" s="19">
        <v>0.12868016958236694</v>
      </c>
      <c r="L193" s="19">
        <v>0.10745026171207428</v>
      </c>
      <c r="M193" s="29">
        <f t="shared" si="3"/>
        <v>0.8350180301</v>
      </c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 ht="15.75" customHeight="1">
      <c r="A194" s="27">
        <v>41202.0</v>
      </c>
      <c r="B194" s="28" t="s">
        <v>246</v>
      </c>
      <c r="C194" s="19">
        <v>0.29588016867637634</v>
      </c>
      <c r="D194" s="19">
        <v>0.24047039449214935</v>
      </c>
      <c r="E194" s="29">
        <f t="shared" si="4"/>
        <v>0.812729003</v>
      </c>
      <c r="F194" s="30">
        <f t="shared" si="2"/>
        <v>0.812729003</v>
      </c>
      <c r="G194" s="29"/>
      <c r="H194" s="29"/>
      <c r="I194" s="27">
        <v>41202.0</v>
      </c>
      <c r="J194" s="28" t="s">
        <v>246</v>
      </c>
      <c r="K194" s="19">
        <v>0.08712521940469742</v>
      </c>
      <c r="L194" s="19">
        <v>0.07516495138406754</v>
      </c>
      <c r="M194" s="29">
        <f t="shared" si="3"/>
        <v>0.8627232379</v>
      </c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 ht="15.75" customHeight="1">
      <c r="A195" s="27">
        <v>41301.0</v>
      </c>
      <c r="B195" s="28" t="s">
        <v>201</v>
      </c>
      <c r="C195" s="19">
        <v>0.3398248851299286</v>
      </c>
      <c r="D195" s="19">
        <v>0.32131609320640564</v>
      </c>
      <c r="E195" s="29">
        <f t="shared" si="4"/>
        <v>0.9455343245</v>
      </c>
      <c r="F195" s="30">
        <f t="shared" si="2"/>
        <v>0.9455343245</v>
      </c>
      <c r="G195" s="29"/>
      <c r="H195" s="29"/>
      <c r="I195" s="27">
        <v>41301.0</v>
      </c>
      <c r="J195" s="28" t="s">
        <v>201</v>
      </c>
      <c r="K195" s="19">
        <v>0.15290233492851257</v>
      </c>
      <c r="L195" s="19">
        <v>0.13163453340530396</v>
      </c>
      <c r="M195" s="29">
        <f t="shared" si="3"/>
        <v>0.8609059729</v>
      </c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 ht="15.75" customHeight="1">
      <c r="A196" s="27">
        <v>41401.0</v>
      </c>
      <c r="B196" s="28" t="s">
        <v>247</v>
      </c>
      <c r="C196" s="19">
        <v>0.2572426199913025</v>
      </c>
      <c r="D196" s="19">
        <v>0.24408017098903656</v>
      </c>
      <c r="E196" s="29">
        <f t="shared" si="4"/>
        <v>0.9488325496</v>
      </c>
      <c r="F196" s="30">
        <f t="shared" si="2"/>
        <v>0.9488325496</v>
      </c>
      <c r="G196" s="29"/>
      <c r="H196" s="29"/>
      <c r="I196" s="27">
        <v>41401.0</v>
      </c>
      <c r="J196" s="28" t="s">
        <v>247</v>
      </c>
      <c r="K196" s="19">
        <v>0.08420626074075699</v>
      </c>
      <c r="L196" s="19">
        <v>0.06597748398780823</v>
      </c>
      <c r="M196" s="29">
        <f t="shared" si="3"/>
        <v>0.7835223107</v>
      </c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 ht="15.75" customHeight="1">
      <c r="A197" s="27">
        <v>41501.0</v>
      </c>
      <c r="B197" s="28" t="s">
        <v>248</v>
      </c>
      <c r="C197" s="19">
        <v>0.3013888895511627</v>
      </c>
      <c r="D197" s="19">
        <v>0.30757221579551697</v>
      </c>
      <c r="E197" s="29">
        <f t="shared" si="4"/>
        <v>1.020516105</v>
      </c>
      <c r="F197" s="30">
        <f t="shared" si="2"/>
        <v>1.020516105</v>
      </c>
      <c r="G197" s="29"/>
      <c r="H197" s="29"/>
      <c r="I197" s="27">
        <v>41501.0</v>
      </c>
      <c r="J197" s="28" t="s">
        <v>248</v>
      </c>
      <c r="K197" s="19">
        <v>0.1661958545446396</v>
      </c>
      <c r="L197" s="19">
        <v>0.11621592193841934</v>
      </c>
      <c r="M197" s="29">
        <f t="shared" si="3"/>
        <v>0.6992708829</v>
      </c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 ht="15.75" customHeight="1">
      <c r="A198" s="27">
        <v>41502.0</v>
      </c>
      <c r="B198" s="28" t="s">
        <v>249</v>
      </c>
      <c r="C198" s="19">
        <v>0.27630284428596497</v>
      </c>
      <c r="D198" s="19">
        <v>0.34144362807273865</v>
      </c>
      <c r="E198" s="29">
        <f t="shared" si="4"/>
        <v>1.235758644</v>
      </c>
      <c r="F198" s="30">
        <f t="shared" si="2"/>
        <v>1.235758644</v>
      </c>
      <c r="G198" s="29"/>
      <c r="H198" s="29"/>
      <c r="I198" s="27">
        <v>41502.0</v>
      </c>
      <c r="J198" s="28" t="s">
        <v>249</v>
      </c>
      <c r="K198" s="19">
        <v>0.08422938734292984</v>
      </c>
      <c r="L198" s="19">
        <v>0.044770896434783936</v>
      </c>
      <c r="M198" s="29">
        <f t="shared" si="3"/>
        <v>0.5315353447</v>
      </c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 ht="15.75" customHeight="1">
      <c r="A199" s="27">
        <v>41503.0</v>
      </c>
      <c r="B199" s="28" t="s">
        <v>250</v>
      </c>
      <c r="C199" s="19">
        <v>0.4392033517360687</v>
      </c>
      <c r="D199" s="19">
        <v>0.3437783718109131</v>
      </c>
      <c r="E199" s="29">
        <f t="shared" si="4"/>
        <v>0.7827316674</v>
      </c>
      <c r="F199" s="30">
        <f t="shared" si="2"/>
        <v>0.7827316674</v>
      </c>
      <c r="G199" s="29"/>
      <c r="H199" s="29"/>
      <c r="I199" s="27">
        <v>41503.0</v>
      </c>
      <c r="J199" s="28" t="s">
        <v>250</v>
      </c>
      <c r="K199" s="19">
        <v>0.12121212482452393</v>
      </c>
      <c r="L199" s="19">
        <v>0.05742551013827324</v>
      </c>
      <c r="M199" s="29">
        <f t="shared" si="3"/>
        <v>0.4737604445</v>
      </c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 ht="15.75" customHeight="1">
      <c r="A200" s="27">
        <v>41601.0</v>
      </c>
      <c r="B200" s="28" t="s">
        <v>251</v>
      </c>
      <c r="C200" s="19">
        <v>0.3504958748817444</v>
      </c>
      <c r="D200" s="19">
        <v>0.3479955792427063</v>
      </c>
      <c r="E200" s="29">
        <f t="shared" si="4"/>
        <v>0.9928664049</v>
      </c>
      <c r="F200" s="30">
        <f t="shared" si="2"/>
        <v>0.9928664049</v>
      </c>
      <c r="G200" s="29"/>
      <c r="H200" s="29"/>
      <c r="I200" s="27">
        <v>41601.0</v>
      </c>
      <c r="J200" s="28" t="s">
        <v>251</v>
      </c>
      <c r="K200" s="19">
        <v>0.12808574736118317</v>
      </c>
      <c r="L200" s="19">
        <v>0.1065354198217392</v>
      </c>
      <c r="M200" s="29">
        <f t="shared" si="3"/>
        <v>0.8317507765</v>
      </c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 ht="15.75" customHeight="1">
      <c r="A201" s="27">
        <v>50101.0</v>
      </c>
      <c r="B201" s="28" t="s">
        <v>20</v>
      </c>
      <c r="C201" s="19">
        <v>0.054300591349601746</v>
      </c>
      <c r="D201" s="19">
        <v>0.05078119412064552</v>
      </c>
      <c r="E201" s="29">
        <f t="shared" si="4"/>
        <v>0.9351867606</v>
      </c>
      <c r="F201" s="30">
        <f t="shared" si="2"/>
        <v>0.9351867606</v>
      </c>
      <c r="G201" s="29"/>
      <c r="H201" s="29"/>
      <c r="I201" s="27">
        <v>50101.0</v>
      </c>
      <c r="J201" s="28" t="s">
        <v>20</v>
      </c>
      <c r="K201" s="19">
        <v>0.016054801642894745</v>
      </c>
      <c r="L201" s="19">
        <v>0.011812763288617134</v>
      </c>
      <c r="M201" s="29">
        <f t="shared" si="3"/>
        <v>0.7357775917</v>
      </c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 ht="15.75" customHeight="1">
      <c r="A202" s="27">
        <v>50102.0</v>
      </c>
      <c r="B202" s="28" t="s">
        <v>252</v>
      </c>
      <c r="C202" s="19">
        <v>0.42208537459373474</v>
      </c>
      <c r="D202" s="19">
        <v>0.4716531038284302</v>
      </c>
      <c r="E202" s="29">
        <f t="shared" si="4"/>
        <v>1.117435316</v>
      </c>
      <c r="F202" s="30">
        <f t="shared" si="2"/>
        <v>1.117435316</v>
      </c>
      <c r="G202" s="29"/>
      <c r="H202" s="29"/>
      <c r="I202" s="27">
        <v>50102.0</v>
      </c>
      <c r="J202" s="28" t="s">
        <v>252</v>
      </c>
      <c r="K202" s="19">
        <v>0.17536890506744385</v>
      </c>
      <c r="L202" s="19">
        <v>0.12507180869579315</v>
      </c>
      <c r="M202" s="29">
        <f t="shared" si="3"/>
        <v>0.713192619</v>
      </c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 ht="15.75" customHeight="1">
      <c r="A203" s="27">
        <v>50103.0</v>
      </c>
      <c r="B203" s="28" t="s">
        <v>253</v>
      </c>
      <c r="C203" s="19">
        <v>0.18208114802837372</v>
      </c>
      <c r="D203" s="19">
        <v>0.1356419026851654</v>
      </c>
      <c r="E203" s="29">
        <f t="shared" si="4"/>
        <v>0.7449530287</v>
      </c>
      <c r="F203" s="30">
        <f t="shared" si="2"/>
        <v>0.7449530287</v>
      </c>
      <c r="G203" s="29"/>
      <c r="H203" s="29"/>
      <c r="I203" s="27">
        <v>50103.0</v>
      </c>
      <c r="J203" s="28" t="s">
        <v>253</v>
      </c>
      <c r="K203" s="19">
        <v>0.043382756412029266</v>
      </c>
      <c r="L203" s="19">
        <v>0.025643033906817436</v>
      </c>
      <c r="M203" s="29">
        <f t="shared" si="3"/>
        <v>0.5910881656</v>
      </c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 ht="15.75" customHeight="1">
      <c r="A204" s="27">
        <v>50104.0</v>
      </c>
      <c r="B204" s="28" t="s">
        <v>254</v>
      </c>
      <c r="C204" s="19">
        <v>0.3304787278175354</v>
      </c>
      <c r="D204" s="19">
        <v>0.27125346660614014</v>
      </c>
      <c r="E204" s="29">
        <f t="shared" si="4"/>
        <v>0.8207894904</v>
      </c>
      <c r="F204" s="30">
        <f t="shared" si="2"/>
        <v>0.8207894904</v>
      </c>
      <c r="G204" s="29"/>
      <c r="H204" s="29"/>
      <c r="I204" s="27">
        <v>50104.0</v>
      </c>
      <c r="J204" s="28" t="s">
        <v>254</v>
      </c>
      <c r="K204" s="19">
        <v>0.1653042733669281</v>
      </c>
      <c r="L204" s="19">
        <v>0.12896908819675446</v>
      </c>
      <c r="M204" s="29">
        <f t="shared" si="3"/>
        <v>0.7801921001</v>
      </c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 ht="15.75" customHeight="1">
      <c r="A205" s="27">
        <v>50201.0</v>
      </c>
      <c r="B205" s="28" t="s">
        <v>255</v>
      </c>
      <c r="C205" s="19">
        <v>0.21933932602405548</v>
      </c>
      <c r="D205" s="19">
        <v>0.21218742430210114</v>
      </c>
      <c r="E205" s="29">
        <f t="shared" si="4"/>
        <v>0.9673934362</v>
      </c>
      <c r="F205" s="30">
        <f t="shared" si="2"/>
        <v>0.9673934362</v>
      </c>
      <c r="G205" s="29"/>
      <c r="H205" s="29"/>
      <c r="I205" s="27">
        <v>50201.0</v>
      </c>
      <c r="J205" s="28" t="s">
        <v>255</v>
      </c>
      <c r="K205" s="19">
        <v>0.09759421646595001</v>
      </c>
      <c r="L205" s="19">
        <v>0.05243067443370819</v>
      </c>
      <c r="M205" s="29">
        <f t="shared" si="3"/>
        <v>0.5372313681</v>
      </c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 ht="15.75" customHeight="1">
      <c r="A206" s="27">
        <v>50202.0</v>
      </c>
      <c r="B206" s="28" t="s">
        <v>256</v>
      </c>
      <c r="C206" s="19">
        <v>0.22861823439598083</v>
      </c>
      <c r="D206" s="19">
        <v>0.2505897581577301</v>
      </c>
      <c r="E206" s="29">
        <f t="shared" si="4"/>
        <v>1.096105736</v>
      </c>
      <c r="F206" s="30">
        <f t="shared" si="2"/>
        <v>1.096105736</v>
      </c>
      <c r="G206" s="29"/>
      <c r="H206" s="29"/>
      <c r="I206" s="27">
        <v>50202.0</v>
      </c>
      <c r="J206" s="28" t="s">
        <v>256</v>
      </c>
      <c r="K206" s="19">
        <v>0.08554686605930328</v>
      </c>
      <c r="L206" s="19">
        <v>0.04251556470990181</v>
      </c>
      <c r="M206" s="29">
        <f t="shared" si="3"/>
        <v>0.4969856485</v>
      </c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 ht="15.75" customHeight="1">
      <c r="A207" s="27">
        <v>50203.0</v>
      </c>
      <c r="B207" s="28" t="s">
        <v>257</v>
      </c>
      <c r="C207" s="19">
        <v>0.10892288386821747</v>
      </c>
      <c r="D207" s="19">
        <v>0.11693765968084335</v>
      </c>
      <c r="E207" s="29">
        <f t="shared" si="4"/>
        <v>1.073582112</v>
      </c>
      <c r="F207" s="30">
        <f t="shared" si="2"/>
        <v>1.073582112</v>
      </c>
      <c r="G207" s="29"/>
      <c r="H207" s="29"/>
      <c r="I207" s="27">
        <v>50203.0</v>
      </c>
      <c r="J207" s="28" t="s">
        <v>257</v>
      </c>
      <c r="K207" s="19">
        <v>0.03789205476641655</v>
      </c>
      <c r="L207" s="19">
        <v>0.0235879048705101</v>
      </c>
      <c r="M207" s="29">
        <f t="shared" si="3"/>
        <v>0.6225026596</v>
      </c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 ht="15.75" customHeight="1">
      <c r="A208" s="27">
        <v>50204.0</v>
      </c>
      <c r="B208" s="28" t="s">
        <v>258</v>
      </c>
      <c r="C208" s="19">
        <v>0.3499458134174347</v>
      </c>
      <c r="D208" s="19">
        <v>0.3472142815589905</v>
      </c>
      <c r="E208" s="29">
        <f t="shared" si="4"/>
        <v>0.9921944148</v>
      </c>
      <c r="F208" s="30">
        <f t="shared" si="2"/>
        <v>0.9921944148</v>
      </c>
      <c r="G208" s="29"/>
      <c r="H208" s="29"/>
      <c r="I208" s="27">
        <v>50204.0</v>
      </c>
      <c r="J208" s="28" t="s">
        <v>258</v>
      </c>
      <c r="K208" s="19">
        <v>0.18625450134277344</v>
      </c>
      <c r="L208" s="19">
        <v>0.08369531482458115</v>
      </c>
      <c r="M208" s="29">
        <f t="shared" si="3"/>
        <v>0.4493599576</v>
      </c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 ht="15.75" customHeight="1">
      <c r="A209" s="27">
        <v>50301.0</v>
      </c>
      <c r="B209" s="28" t="s">
        <v>259</v>
      </c>
      <c r="C209" s="19">
        <v>0.29137158393859863</v>
      </c>
      <c r="D209" s="19">
        <v>0.28641852736473083</v>
      </c>
      <c r="E209" s="29">
        <f t="shared" si="4"/>
        <v>0.9830008935</v>
      </c>
      <c r="F209" s="30">
        <f t="shared" si="2"/>
        <v>0.9830008935</v>
      </c>
      <c r="G209" s="29"/>
      <c r="H209" s="29"/>
      <c r="I209" s="27">
        <v>50301.0</v>
      </c>
      <c r="J209" s="28" t="s">
        <v>259</v>
      </c>
      <c r="K209" s="19">
        <v>0.1035478413105011</v>
      </c>
      <c r="L209" s="19">
        <v>0.06964922696352005</v>
      </c>
      <c r="M209" s="29">
        <f t="shared" si="3"/>
        <v>0.6726284786</v>
      </c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 ht="15.75" customHeight="1">
      <c r="A210" s="27">
        <v>50302.0</v>
      </c>
      <c r="B210" s="28" t="s">
        <v>260</v>
      </c>
      <c r="C210" s="19">
        <v>0.27027812600135803</v>
      </c>
      <c r="D210" s="19">
        <v>0.23653262853622437</v>
      </c>
      <c r="E210" s="29">
        <f t="shared" si="4"/>
        <v>0.8751452884</v>
      </c>
      <c r="F210" s="30">
        <f t="shared" si="2"/>
        <v>0.8751452884</v>
      </c>
      <c r="G210" s="29"/>
      <c r="H210" s="29"/>
      <c r="I210" s="27">
        <v>50302.0</v>
      </c>
      <c r="J210" s="28" t="s">
        <v>260</v>
      </c>
      <c r="K210" s="19">
        <v>0.09116628021001816</v>
      </c>
      <c r="L210" s="19">
        <v>0.06458838284015656</v>
      </c>
      <c r="M210" s="29">
        <f t="shared" si="3"/>
        <v>0.7084678972</v>
      </c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 ht="15.75" customHeight="1">
      <c r="A211" s="27">
        <v>50303.0</v>
      </c>
      <c r="B211" s="28" t="s">
        <v>261</v>
      </c>
      <c r="C211" s="19">
        <v>0.5028985738754272</v>
      </c>
      <c r="D211" s="19">
        <v>0.47762995958328247</v>
      </c>
      <c r="E211" s="29">
        <f t="shared" si="4"/>
        <v>0.9497540546</v>
      </c>
      <c r="F211" s="30">
        <f t="shared" si="2"/>
        <v>0.9497540546</v>
      </c>
      <c r="G211" s="29"/>
      <c r="H211" s="29"/>
      <c r="I211" s="27">
        <v>50303.0</v>
      </c>
      <c r="J211" s="28" t="s">
        <v>261</v>
      </c>
      <c r="K211" s="19">
        <v>0.22520165145397186</v>
      </c>
      <c r="L211" s="19">
        <v>0.15659570693969727</v>
      </c>
      <c r="M211" s="29">
        <f t="shared" si="3"/>
        <v>0.6953577202</v>
      </c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 ht="15.75" customHeight="1">
      <c r="A212" s="27">
        <v>50401.0</v>
      </c>
      <c r="B212" s="28" t="s">
        <v>262</v>
      </c>
      <c r="C212" s="19">
        <v>0.4003217816352844</v>
      </c>
      <c r="D212" s="19">
        <v>0.3906412422657013</v>
      </c>
      <c r="E212" s="29">
        <f t="shared" si="4"/>
        <v>0.9758181048</v>
      </c>
      <c r="F212" s="30">
        <f t="shared" si="2"/>
        <v>0.9758181048</v>
      </c>
      <c r="G212" s="29"/>
      <c r="H212" s="29"/>
      <c r="I212" s="27">
        <v>50401.0</v>
      </c>
      <c r="J212" s="28" t="s">
        <v>262</v>
      </c>
      <c r="K212" s="19">
        <v>0.2098809778690338</v>
      </c>
      <c r="L212" s="19">
        <v>0.11997207254171371</v>
      </c>
      <c r="M212" s="29">
        <f t="shared" si="3"/>
        <v>0.5716195615</v>
      </c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 ht="15.75" customHeight="1">
      <c r="A213" s="27">
        <v>50402.0</v>
      </c>
      <c r="B213" s="28" t="s">
        <v>263</v>
      </c>
      <c r="C213" s="19">
        <v>0.4295464754104614</v>
      </c>
      <c r="D213" s="19">
        <v>0.42513909935951233</v>
      </c>
      <c r="E213" s="29">
        <f t="shared" si="4"/>
        <v>0.9897394664</v>
      </c>
      <c r="F213" s="30">
        <f t="shared" si="2"/>
        <v>0.9897394664</v>
      </c>
      <c r="G213" s="29"/>
      <c r="H213" s="29"/>
      <c r="I213" s="27">
        <v>50402.0</v>
      </c>
      <c r="J213" s="28" t="s">
        <v>263</v>
      </c>
      <c r="K213" s="19">
        <v>0.16548733413219452</v>
      </c>
      <c r="L213" s="19">
        <v>0.13456116616725922</v>
      </c>
      <c r="M213" s="29">
        <f t="shared" si="3"/>
        <v>0.8131206347</v>
      </c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 ht="15.75" customHeight="1">
      <c r="A214" s="27">
        <v>50403.0</v>
      </c>
      <c r="B214" s="28" t="s">
        <v>264</v>
      </c>
      <c r="C214" s="19">
        <v>0.3702792823314667</v>
      </c>
      <c r="D214" s="19">
        <v>0.3525499105453491</v>
      </c>
      <c r="E214" s="29">
        <f t="shared" si="4"/>
        <v>0.9521189204</v>
      </c>
      <c r="F214" s="30">
        <f t="shared" si="2"/>
        <v>0.9521189204</v>
      </c>
      <c r="G214" s="29"/>
      <c r="H214" s="29"/>
      <c r="I214" s="27">
        <v>50403.0</v>
      </c>
      <c r="J214" s="28" t="s">
        <v>264</v>
      </c>
      <c r="K214" s="19">
        <v>0.15251651406288147</v>
      </c>
      <c r="L214" s="19">
        <v>0.09828807413578033</v>
      </c>
      <c r="M214" s="29">
        <f t="shared" si="3"/>
        <v>0.6444421756</v>
      </c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 ht="15.75" customHeight="1">
      <c r="A215" s="27">
        <v>50404.0</v>
      </c>
      <c r="B215" s="28" t="s">
        <v>265</v>
      </c>
      <c r="C215" s="19">
        <v>0.442900151014328</v>
      </c>
      <c r="D215" s="19">
        <v>0.46108129620552063</v>
      </c>
      <c r="E215" s="29">
        <f t="shared" si="4"/>
        <v>1.041050212</v>
      </c>
      <c r="F215" s="30">
        <f t="shared" si="2"/>
        <v>1.041050212</v>
      </c>
      <c r="G215" s="29"/>
      <c r="H215" s="29"/>
      <c r="I215" s="27">
        <v>50404.0</v>
      </c>
      <c r="J215" s="28" t="s">
        <v>265</v>
      </c>
      <c r="K215" s="19">
        <v>0.18754586577415466</v>
      </c>
      <c r="L215" s="19">
        <v>0.1415325552225113</v>
      </c>
      <c r="M215" s="29">
        <f t="shared" si="3"/>
        <v>0.7546556926</v>
      </c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 ht="15.75" customHeight="1">
      <c r="A216" s="34">
        <v>50405.0</v>
      </c>
      <c r="B216" s="28" t="s">
        <v>266</v>
      </c>
      <c r="C216" s="19">
        <v>0.4003217816352844</v>
      </c>
      <c r="D216" s="19">
        <v>0.3906412422657013</v>
      </c>
      <c r="E216" s="19">
        <v>0.0</v>
      </c>
      <c r="F216" s="30">
        <f t="shared" si="2"/>
        <v>0.9758181048</v>
      </c>
      <c r="G216" s="29"/>
      <c r="H216" s="29"/>
      <c r="I216" s="34">
        <v>50405.0</v>
      </c>
      <c r="J216" s="28" t="s">
        <v>266</v>
      </c>
      <c r="K216" s="19">
        <v>0.15937848389148712</v>
      </c>
      <c r="L216" s="19">
        <v>0.11528227478265762</v>
      </c>
      <c r="M216" s="29">
        <f t="shared" si="3"/>
        <v>0.7233239517</v>
      </c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 ht="15.75" customHeight="1">
      <c r="A217" s="27">
        <v>50501.0</v>
      </c>
      <c r="B217" s="28" t="s">
        <v>267</v>
      </c>
      <c r="C217" s="19">
        <v>0.4932226538658142</v>
      </c>
      <c r="D217" s="19">
        <v>0.49649301171302795</v>
      </c>
      <c r="E217" s="29">
        <f t="shared" ref="E217:E235" si="5">D217/C217</f>
        <v>1.006630591</v>
      </c>
      <c r="F217" s="30">
        <f t="shared" si="2"/>
        <v>1.006630591</v>
      </c>
      <c r="G217" s="29"/>
      <c r="H217" s="29"/>
      <c r="I217" s="27">
        <v>50501.0</v>
      </c>
      <c r="J217" s="28" t="s">
        <v>267</v>
      </c>
      <c r="K217" s="19">
        <v>0.2689768970012665</v>
      </c>
      <c r="L217" s="19">
        <v>0.1980968415737152</v>
      </c>
      <c r="M217" s="29">
        <f t="shared" si="3"/>
        <v>0.736482738</v>
      </c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 ht="15.75" customHeight="1">
      <c r="A218" s="27">
        <v>50502.0</v>
      </c>
      <c r="B218" s="28" t="s">
        <v>268</v>
      </c>
      <c r="C218" s="19">
        <v>0.4028762876987457</v>
      </c>
      <c r="D218" s="19">
        <v>0.4024741053581238</v>
      </c>
      <c r="E218" s="29">
        <f t="shared" si="5"/>
        <v>0.9990017225</v>
      </c>
      <c r="F218" s="30">
        <f t="shared" si="2"/>
        <v>0.9990017225</v>
      </c>
      <c r="G218" s="29"/>
      <c r="H218" s="29"/>
      <c r="I218" s="27">
        <v>50502.0</v>
      </c>
      <c r="J218" s="28" t="s">
        <v>268</v>
      </c>
      <c r="K218" s="19">
        <v>0.22069507837295532</v>
      </c>
      <c r="L218" s="19">
        <v>0.15220330655574799</v>
      </c>
      <c r="M218" s="29">
        <f t="shared" si="3"/>
        <v>0.6896542854</v>
      </c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 ht="15.75" customHeight="1">
      <c r="A219" s="27">
        <v>50601.0</v>
      </c>
      <c r="B219" s="28" t="s">
        <v>269</v>
      </c>
      <c r="C219" s="19">
        <v>0.27969348430633545</v>
      </c>
      <c r="D219" s="19">
        <v>0.2546808421611786</v>
      </c>
      <c r="E219" s="29">
        <f t="shared" si="5"/>
        <v>0.9105712376</v>
      </c>
      <c r="F219" s="30">
        <f t="shared" si="2"/>
        <v>0.9105712376</v>
      </c>
      <c r="G219" s="29"/>
      <c r="H219" s="29"/>
      <c r="I219" s="27">
        <v>50601.0</v>
      </c>
      <c r="J219" s="28" t="s">
        <v>269</v>
      </c>
      <c r="K219" s="19">
        <v>0.09811366349458694</v>
      </c>
      <c r="L219" s="19">
        <v>0.06535495072603226</v>
      </c>
      <c r="M219" s="29">
        <f t="shared" si="3"/>
        <v>0.6661146715</v>
      </c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 ht="15.75" customHeight="1">
      <c r="A220" s="27">
        <v>50602.0</v>
      </c>
      <c r="B220" s="28" t="s">
        <v>270</v>
      </c>
      <c r="C220" s="19">
        <v>0.2646646499633789</v>
      </c>
      <c r="D220" s="19">
        <v>0.2030571848154068</v>
      </c>
      <c r="E220" s="29">
        <f t="shared" si="5"/>
        <v>0.7672244285</v>
      </c>
      <c r="F220" s="30">
        <f t="shared" si="2"/>
        <v>0.7672244285</v>
      </c>
      <c r="G220" s="29"/>
      <c r="H220" s="29"/>
      <c r="I220" s="27">
        <v>50602.0</v>
      </c>
      <c r="J220" s="28" t="s">
        <v>270</v>
      </c>
      <c r="K220" s="19">
        <v>0.0770953968167305</v>
      </c>
      <c r="L220" s="19">
        <v>0.04926212504506111</v>
      </c>
      <c r="M220" s="29">
        <f t="shared" si="3"/>
        <v>0.6389762175</v>
      </c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 ht="15.75" customHeight="1">
      <c r="A221" s="27">
        <v>50701.0</v>
      </c>
      <c r="B221" s="28" t="s">
        <v>271</v>
      </c>
      <c r="C221" s="19">
        <v>0.343599408864975</v>
      </c>
      <c r="D221" s="19">
        <v>0.35947751998901367</v>
      </c>
      <c r="E221" s="29">
        <f t="shared" si="5"/>
        <v>1.046211113</v>
      </c>
      <c r="F221" s="30">
        <f t="shared" si="2"/>
        <v>1.046211113</v>
      </c>
      <c r="G221" s="29"/>
      <c r="H221" s="29"/>
      <c r="I221" s="27">
        <v>50701.0</v>
      </c>
      <c r="J221" s="28" t="s">
        <v>271</v>
      </c>
      <c r="K221" s="19">
        <v>0.13170355558395386</v>
      </c>
      <c r="L221" s="19">
        <v>0.08906169980764389</v>
      </c>
      <c r="M221" s="29">
        <f t="shared" si="3"/>
        <v>0.676228515</v>
      </c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 ht="15.75" customHeight="1">
      <c r="A222" s="27">
        <v>50702.0</v>
      </c>
      <c r="B222" s="28" t="s">
        <v>272</v>
      </c>
      <c r="C222" s="19">
        <v>0.3048413395881653</v>
      </c>
      <c r="D222" s="19">
        <v>0.32344961166381836</v>
      </c>
      <c r="E222" s="29">
        <f t="shared" si="5"/>
        <v>1.061042482</v>
      </c>
      <c r="F222" s="30">
        <f t="shared" si="2"/>
        <v>1.061042482</v>
      </c>
      <c r="G222" s="29"/>
      <c r="H222" s="29"/>
      <c r="I222" s="27">
        <v>50702.0</v>
      </c>
      <c r="J222" s="28" t="s">
        <v>272</v>
      </c>
      <c r="K222" s="19">
        <v>0.12117552757263184</v>
      </c>
      <c r="L222" s="19">
        <v>0.08124887198209763</v>
      </c>
      <c r="M222" s="29">
        <f t="shared" si="3"/>
        <v>0.6705056178</v>
      </c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 ht="15.75" customHeight="1">
      <c r="A223" s="27">
        <v>50801.0</v>
      </c>
      <c r="B223" s="28" t="s">
        <v>273</v>
      </c>
      <c r="C223" s="19">
        <v>0.14214526116847992</v>
      </c>
      <c r="D223" s="19">
        <v>0.13014665246009827</v>
      </c>
      <c r="E223" s="29">
        <f t="shared" si="5"/>
        <v>0.915589105</v>
      </c>
      <c r="F223" s="30">
        <f t="shared" si="2"/>
        <v>0.915589105</v>
      </c>
      <c r="G223" s="29"/>
      <c r="H223" s="29"/>
      <c r="I223" s="27">
        <v>50801.0</v>
      </c>
      <c r="J223" s="28" t="s">
        <v>273</v>
      </c>
      <c r="K223" s="19">
        <v>0.03060205839574337</v>
      </c>
      <c r="L223" s="19">
        <v>0.02103484980762005</v>
      </c>
      <c r="M223" s="29">
        <f t="shared" si="3"/>
        <v>0.6873671547</v>
      </c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 ht="15.75" customHeight="1">
      <c r="A224" s="27">
        <v>50802.0</v>
      </c>
      <c r="B224" s="28" t="s">
        <v>274</v>
      </c>
      <c r="C224" s="19">
        <v>0.12342315167188644</v>
      </c>
      <c r="D224" s="19">
        <v>0.07874656468629837</v>
      </c>
      <c r="E224" s="29">
        <f t="shared" si="5"/>
        <v>0.6380210165</v>
      </c>
      <c r="F224" s="30">
        <f t="shared" si="2"/>
        <v>0.6380210165</v>
      </c>
      <c r="G224" s="29"/>
      <c r="H224" s="29"/>
      <c r="I224" s="27">
        <v>50802.0</v>
      </c>
      <c r="J224" s="28" t="s">
        <v>274</v>
      </c>
      <c r="K224" s="19">
        <v>0.0425679013133049</v>
      </c>
      <c r="L224" s="19">
        <v>0.01457718200981617</v>
      </c>
      <c r="M224" s="29">
        <f t="shared" si="3"/>
        <v>0.3424454004</v>
      </c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 ht="15.75" customHeight="1">
      <c r="A225" s="27">
        <v>50901.0</v>
      </c>
      <c r="B225" s="28" t="s">
        <v>275</v>
      </c>
      <c r="C225" s="19">
        <v>0.26331180334091187</v>
      </c>
      <c r="D225" s="19">
        <v>0.20458495616912842</v>
      </c>
      <c r="E225" s="29">
        <f t="shared" si="5"/>
        <v>0.7769684214</v>
      </c>
      <c r="F225" s="30">
        <f t="shared" si="2"/>
        <v>0.7769684214</v>
      </c>
      <c r="G225" s="29"/>
      <c r="H225" s="29"/>
      <c r="I225" s="27">
        <v>50901.0</v>
      </c>
      <c r="J225" s="28" t="s">
        <v>275</v>
      </c>
      <c r="K225" s="19">
        <v>0.0428352877497673</v>
      </c>
      <c r="L225" s="19">
        <v>0.022325892001390457</v>
      </c>
      <c r="M225" s="29">
        <f t="shared" si="3"/>
        <v>0.5212032689</v>
      </c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 ht="15.75" customHeight="1">
      <c r="A226" s="27">
        <v>50902.0</v>
      </c>
      <c r="B226" s="28" t="s">
        <v>276</v>
      </c>
      <c r="C226" s="19">
        <v>0.200169637799263</v>
      </c>
      <c r="D226" s="19">
        <v>0.17659543454647064</v>
      </c>
      <c r="E226" s="29">
        <f t="shared" si="5"/>
        <v>0.8822288759</v>
      </c>
      <c r="F226" s="30">
        <f t="shared" si="2"/>
        <v>0.8822288759</v>
      </c>
      <c r="G226" s="29"/>
      <c r="H226" s="29"/>
      <c r="I226" s="27">
        <v>50902.0</v>
      </c>
      <c r="J226" s="28" t="s">
        <v>276</v>
      </c>
      <c r="K226" s="19">
        <v>0.05023835599422455</v>
      </c>
      <c r="L226" s="19">
        <v>0.029109273105859756</v>
      </c>
      <c r="M226" s="29">
        <f t="shared" si="3"/>
        <v>0.5794232819</v>
      </c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 ht="15.75" customHeight="1">
      <c r="A227" s="27">
        <v>51001.0</v>
      </c>
      <c r="B227" s="28" t="s">
        <v>277</v>
      </c>
      <c r="C227" s="19">
        <v>0.2976190745830536</v>
      </c>
      <c r="D227" s="19">
        <v>0.27553942799568176</v>
      </c>
      <c r="E227" s="29">
        <f t="shared" si="5"/>
        <v>0.9258123942</v>
      </c>
      <c r="F227" s="30">
        <f t="shared" si="2"/>
        <v>0.9258123942</v>
      </c>
      <c r="G227" s="29"/>
      <c r="H227" s="29"/>
      <c r="I227" s="27">
        <v>51001.0</v>
      </c>
      <c r="J227" s="28" t="s">
        <v>277</v>
      </c>
      <c r="K227" s="19">
        <v>0.12231367826461792</v>
      </c>
      <c r="L227" s="19">
        <v>0.06636186689138412</v>
      </c>
      <c r="M227" s="29">
        <f t="shared" si="3"/>
        <v>0.542554748</v>
      </c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 ht="15.75" customHeight="1">
      <c r="A228" s="27">
        <v>51002.0</v>
      </c>
      <c r="B228" s="28" t="s">
        <v>278</v>
      </c>
      <c r="C228" s="19">
        <v>0.34408602118492126</v>
      </c>
      <c r="D228" s="19">
        <v>0.35639190673828125</v>
      </c>
      <c r="E228" s="29">
        <f t="shared" si="5"/>
        <v>1.03576398</v>
      </c>
      <c r="F228" s="30">
        <f t="shared" si="2"/>
        <v>1.03576398</v>
      </c>
      <c r="G228" s="29"/>
      <c r="H228" s="29"/>
      <c r="I228" s="27">
        <v>51002.0</v>
      </c>
      <c r="J228" s="28" t="s">
        <v>278</v>
      </c>
      <c r="K228" s="19">
        <v>0.1976359337568283</v>
      </c>
      <c r="L228" s="19">
        <v>0.12237442284822464</v>
      </c>
      <c r="M228" s="29">
        <f t="shared" si="3"/>
        <v>0.6191911588</v>
      </c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 ht="15.75" customHeight="1">
      <c r="A229" s="27">
        <v>51003.0</v>
      </c>
      <c r="B229" s="28" t="s">
        <v>279</v>
      </c>
      <c r="C229" s="19">
        <v>0.2889500856399536</v>
      </c>
      <c r="D229" s="19">
        <v>0.24111586809158325</v>
      </c>
      <c r="E229" s="29">
        <f t="shared" si="5"/>
        <v>0.8344550844</v>
      </c>
      <c r="F229" s="30">
        <f t="shared" si="2"/>
        <v>0.8344550844</v>
      </c>
      <c r="G229" s="29"/>
      <c r="H229" s="29"/>
      <c r="I229" s="27">
        <v>51003.0</v>
      </c>
      <c r="J229" s="28" t="s">
        <v>279</v>
      </c>
      <c r="K229" s="19">
        <v>0.1877744048833847</v>
      </c>
      <c r="L229" s="19">
        <v>0.09372980147600174</v>
      </c>
      <c r="M229" s="29">
        <f t="shared" si="3"/>
        <v>0.4991617549</v>
      </c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 ht="15.75" customHeight="1">
      <c r="A230" s="27">
        <v>51101.0</v>
      </c>
      <c r="B230" s="28" t="s">
        <v>280</v>
      </c>
      <c r="C230" s="19">
        <v>0.23383140563964844</v>
      </c>
      <c r="D230" s="19">
        <v>0.22155150771141052</v>
      </c>
      <c r="E230" s="29">
        <f t="shared" si="5"/>
        <v>0.9474839665</v>
      </c>
      <c r="F230" s="30">
        <f t="shared" si="2"/>
        <v>0.9474839665</v>
      </c>
      <c r="G230" s="29"/>
      <c r="H230" s="29"/>
      <c r="I230" s="27">
        <v>51101.0</v>
      </c>
      <c r="J230" s="28" t="s">
        <v>280</v>
      </c>
      <c r="K230" s="19">
        <v>0.0692514032125473</v>
      </c>
      <c r="L230" s="19">
        <v>0.047012511640787125</v>
      </c>
      <c r="M230" s="29">
        <f t="shared" si="3"/>
        <v>0.6788672786</v>
      </c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 ht="15.75" customHeight="1">
      <c r="A231" s="27">
        <v>51102.0</v>
      </c>
      <c r="B231" s="28" t="s">
        <v>281</v>
      </c>
      <c r="C231" s="19">
        <v>0.2174198031425476</v>
      </c>
      <c r="D231" s="19">
        <v>0.19663912057876587</v>
      </c>
      <c r="E231" s="29">
        <f t="shared" si="5"/>
        <v>0.90442139</v>
      </c>
      <c r="F231" s="30">
        <f t="shared" si="2"/>
        <v>0.90442139</v>
      </c>
      <c r="G231" s="29"/>
      <c r="H231" s="29"/>
      <c r="I231" s="27">
        <v>51102.0</v>
      </c>
      <c r="J231" s="28" t="s">
        <v>281</v>
      </c>
      <c r="K231" s="19">
        <v>0.07725857198238373</v>
      </c>
      <c r="L231" s="19">
        <v>0.05326908081769943</v>
      </c>
      <c r="M231" s="29">
        <f t="shared" si="3"/>
        <v>0.6894908804</v>
      </c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 ht="15.75" customHeight="1">
      <c r="A232" s="27">
        <v>51103.0</v>
      </c>
      <c r="B232" s="28" t="s">
        <v>282</v>
      </c>
      <c r="C232" s="19">
        <v>0.48120611906051636</v>
      </c>
      <c r="D232" s="19">
        <v>0.4739583432674408</v>
      </c>
      <c r="E232" s="29">
        <f t="shared" si="5"/>
        <v>0.9849383133</v>
      </c>
      <c r="F232" s="30">
        <f t="shared" si="2"/>
        <v>0.9849383133</v>
      </c>
      <c r="G232" s="29"/>
      <c r="H232" s="29"/>
      <c r="I232" s="27">
        <v>51103.0</v>
      </c>
      <c r="J232" s="28" t="s">
        <v>282</v>
      </c>
      <c r="K232" s="19">
        <v>0.20384950935840607</v>
      </c>
      <c r="L232" s="19">
        <v>0.1757585108280182</v>
      </c>
      <c r="M232" s="29">
        <f t="shared" si="3"/>
        <v>0.8621973699</v>
      </c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 ht="15.75" customHeight="1">
      <c r="A233" s="27">
        <v>51201.0</v>
      </c>
      <c r="B233" s="28" t="s">
        <v>283</v>
      </c>
      <c r="C233" s="19">
        <v>0.1865006536245346</v>
      </c>
      <c r="D233" s="19">
        <v>0.16471612453460693</v>
      </c>
      <c r="E233" s="29">
        <f t="shared" si="5"/>
        <v>0.8831932829</v>
      </c>
      <c r="F233" s="30">
        <f t="shared" si="2"/>
        <v>0.8831932829</v>
      </c>
      <c r="G233" s="29"/>
      <c r="H233" s="29"/>
      <c r="I233" s="27">
        <v>51201.0</v>
      </c>
      <c r="J233" s="28" t="s">
        <v>283</v>
      </c>
      <c r="K233" s="19">
        <v>0.038995083421468735</v>
      </c>
      <c r="L233" s="19">
        <v>0.027770841494202614</v>
      </c>
      <c r="M233" s="29">
        <f t="shared" si="3"/>
        <v>0.7121626384</v>
      </c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 ht="15.75" customHeight="1">
      <c r="A234" s="27">
        <v>51202.0</v>
      </c>
      <c r="B234" s="28" t="s">
        <v>284</v>
      </c>
      <c r="C234" s="19">
        <v>0.30590760707855225</v>
      </c>
      <c r="D234" s="19">
        <v>0.3083532750606537</v>
      </c>
      <c r="E234" s="29">
        <f t="shared" si="5"/>
        <v>1.007994793</v>
      </c>
      <c r="F234" s="30">
        <f t="shared" si="2"/>
        <v>1.007994793</v>
      </c>
      <c r="G234" s="29"/>
      <c r="H234" s="29"/>
      <c r="I234" s="27">
        <v>51202.0</v>
      </c>
      <c r="J234" s="28" t="s">
        <v>284</v>
      </c>
      <c r="K234" s="19">
        <v>0.08992940187454224</v>
      </c>
      <c r="L234" s="19">
        <v>0.07384761422872543</v>
      </c>
      <c r="M234" s="29">
        <f t="shared" si="3"/>
        <v>0.8211731946</v>
      </c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 ht="15.75" customHeight="1">
      <c r="A235" s="27">
        <v>51203.0</v>
      </c>
      <c r="B235" s="28" t="s">
        <v>285</v>
      </c>
      <c r="C235" s="19">
        <v>0.3135416805744171</v>
      </c>
      <c r="D235" s="19">
        <v>0.11379551142454147</v>
      </c>
      <c r="E235" s="29">
        <f t="shared" si="5"/>
        <v>0.3629358343</v>
      </c>
      <c r="F235" s="30">
        <f t="shared" si="2"/>
        <v>0.3629358343</v>
      </c>
      <c r="G235" s="29"/>
      <c r="H235" s="29"/>
      <c r="I235" s="27">
        <v>51203.0</v>
      </c>
      <c r="J235" s="28" t="s">
        <v>285</v>
      </c>
      <c r="K235" s="19">
        <v>0.0699126124382019</v>
      </c>
      <c r="L235" s="19">
        <v>0.02011718973517418</v>
      </c>
      <c r="M235" s="29">
        <f t="shared" si="3"/>
        <v>0.2877476471</v>
      </c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 ht="15.75" customHeight="1">
      <c r="A236" s="34">
        <v>51204.0</v>
      </c>
      <c r="B236" s="28" t="s">
        <v>286</v>
      </c>
      <c r="C236" s="19">
        <v>0.30590760707855225</v>
      </c>
      <c r="D236" s="19">
        <v>0.3083532750606537</v>
      </c>
      <c r="E236" s="19">
        <v>0.0</v>
      </c>
      <c r="F236" s="30">
        <f t="shared" si="2"/>
        <v>1.007994793</v>
      </c>
      <c r="G236" s="29"/>
      <c r="H236" s="29"/>
      <c r="I236" s="34">
        <v>51204.0</v>
      </c>
      <c r="J236" s="28" t="s">
        <v>286</v>
      </c>
      <c r="K236" s="19">
        <v>0.12455570697784424</v>
      </c>
      <c r="L236" s="19">
        <v>0.07789731025695801</v>
      </c>
      <c r="M236" s="29">
        <f t="shared" si="3"/>
        <v>0.6254013738</v>
      </c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 ht="15.75" customHeight="1">
      <c r="A237" s="27">
        <v>51301.0</v>
      </c>
      <c r="B237" s="28" t="s">
        <v>287</v>
      </c>
      <c r="C237" s="19">
        <v>0.333092600107193</v>
      </c>
      <c r="D237" s="19">
        <v>0.38733938336372375</v>
      </c>
      <c r="E237" s="29">
        <f t="shared" ref="E237:E328" si="6">D237/C237</f>
        <v>1.162857966</v>
      </c>
      <c r="F237" s="30">
        <f t="shared" si="2"/>
        <v>1.162857966</v>
      </c>
      <c r="G237" s="29"/>
      <c r="H237" s="29"/>
      <c r="I237" s="27">
        <v>51301.0</v>
      </c>
      <c r="J237" s="28" t="s">
        <v>287</v>
      </c>
      <c r="K237" s="19">
        <v>0.13693957030773163</v>
      </c>
      <c r="L237" s="19">
        <v>0.09216850250959396</v>
      </c>
      <c r="M237" s="29">
        <f t="shared" si="3"/>
        <v>0.6730596737</v>
      </c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 ht="15.75" customHeight="1">
      <c r="A238" s="27">
        <v>51302.0</v>
      </c>
      <c r="B238" s="28" t="s">
        <v>288</v>
      </c>
      <c r="C238" s="19">
        <v>0.32276681065559387</v>
      </c>
      <c r="D238" s="19">
        <v>0.32786232233047485</v>
      </c>
      <c r="E238" s="29">
        <f t="shared" si="6"/>
        <v>1.015786975</v>
      </c>
      <c r="F238" s="30">
        <f t="shared" si="2"/>
        <v>1.015786975</v>
      </c>
      <c r="G238" s="29"/>
      <c r="H238" s="29"/>
      <c r="I238" s="27">
        <v>51302.0</v>
      </c>
      <c r="J238" s="28" t="s">
        <v>288</v>
      </c>
      <c r="K238" s="19">
        <v>0.13114604353904724</v>
      </c>
      <c r="L238" s="19">
        <v>0.08246069401502609</v>
      </c>
      <c r="M238" s="29">
        <f t="shared" si="3"/>
        <v>0.6287699712</v>
      </c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 ht="15.75" customHeight="1">
      <c r="A239" s="27">
        <v>51401.0</v>
      </c>
      <c r="B239" s="28" t="s">
        <v>289</v>
      </c>
      <c r="C239" s="19">
        <v>0.22589530050754547</v>
      </c>
      <c r="D239" s="19">
        <v>0.24102210998535156</v>
      </c>
      <c r="E239" s="29">
        <f t="shared" si="6"/>
        <v>1.066963808</v>
      </c>
      <c r="F239" s="30">
        <f t="shared" si="2"/>
        <v>1.066963808</v>
      </c>
      <c r="G239" s="29"/>
      <c r="H239" s="29"/>
      <c r="I239" s="27">
        <v>51401.0</v>
      </c>
      <c r="J239" s="28" t="s">
        <v>289</v>
      </c>
      <c r="K239" s="19">
        <v>0.022593321278691292</v>
      </c>
      <c r="L239" s="19">
        <v>0.014589978381991386</v>
      </c>
      <c r="M239" s="29">
        <f t="shared" si="3"/>
        <v>0.6457651003</v>
      </c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 ht="15.75" customHeight="1">
      <c r="A240" s="27">
        <v>51402.0</v>
      </c>
      <c r="B240" s="28" t="s">
        <v>290</v>
      </c>
      <c r="C240" s="19">
        <v>0.12873563170433044</v>
      </c>
      <c r="D240" s="19">
        <v>0.16096290946006775</v>
      </c>
      <c r="E240" s="29">
        <f t="shared" si="6"/>
        <v>1.250336891</v>
      </c>
      <c r="F240" s="30">
        <f t="shared" si="2"/>
        <v>1.250336891</v>
      </c>
      <c r="G240" s="29"/>
      <c r="H240" s="29"/>
      <c r="I240" s="27">
        <v>51402.0</v>
      </c>
      <c r="J240" s="28" t="s">
        <v>290</v>
      </c>
      <c r="K240" s="19">
        <v>0.06528110802173615</v>
      </c>
      <c r="L240" s="19">
        <v>0.05931198224425316</v>
      </c>
      <c r="M240" s="29">
        <f t="shared" si="3"/>
        <v>0.908562738</v>
      </c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 ht="15.75" customHeight="1">
      <c r="A241" s="27">
        <v>51501.0</v>
      </c>
      <c r="B241" s="28" t="s">
        <v>291</v>
      </c>
      <c r="C241" s="19">
        <v>0.1335880160331726</v>
      </c>
      <c r="D241" s="19">
        <v>0.1078469455242157</v>
      </c>
      <c r="E241" s="29">
        <f t="shared" si="6"/>
        <v>0.8073100322</v>
      </c>
      <c r="F241" s="30">
        <f t="shared" si="2"/>
        <v>0.8073100322</v>
      </c>
      <c r="G241" s="29"/>
      <c r="H241" s="29"/>
      <c r="I241" s="27">
        <v>51501.0</v>
      </c>
      <c r="J241" s="28" t="s">
        <v>291</v>
      </c>
      <c r="K241" s="19">
        <v>0.026635557413101196</v>
      </c>
      <c r="L241" s="19">
        <v>0.019597835838794708</v>
      </c>
      <c r="M241" s="29">
        <f t="shared" si="3"/>
        <v>0.7357771994</v>
      </c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 ht="15.75" customHeight="1">
      <c r="A242" s="27">
        <v>51601.0</v>
      </c>
      <c r="B242" s="28" t="s">
        <v>292</v>
      </c>
      <c r="C242" s="19">
        <v>0.21111111342906952</v>
      </c>
      <c r="D242" s="19">
        <v>0.24619072675704956</v>
      </c>
      <c r="E242" s="29">
        <f t="shared" si="6"/>
        <v>1.166166588</v>
      </c>
      <c r="F242" s="30">
        <f t="shared" si="2"/>
        <v>1.166166588</v>
      </c>
      <c r="G242" s="29"/>
      <c r="H242" s="29"/>
      <c r="I242" s="27">
        <v>51601.0</v>
      </c>
      <c r="J242" s="28" t="s">
        <v>292</v>
      </c>
      <c r="K242" s="19">
        <v>0.0297619067132473</v>
      </c>
      <c r="L242" s="19">
        <v>0.022653723135590553</v>
      </c>
      <c r="M242" s="29">
        <f t="shared" si="3"/>
        <v>0.7611650474</v>
      </c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 ht="15.75" customHeight="1">
      <c r="A243" s="27">
        <v>60101.0</v>
      </c>
      <c r="B243" s="28" t="s">
        <v>21</v>
      </c>
      <c r="C243" s="19">
        <v>0.04780279099941254</v>
      </c>
      <c r="D243" s="19">
        <v>0.04467606917023659</v>
      </c>
      <c r="E243" s="29">
        <f t="shared" si="6"/>
        <v>0.9345912286</v>
      </c>
      <c r="F243" s="30">
        <f t="shared" si="2"/>
        <v>0.9345912286</v>
      </c>
      <c r="G243" s="29"/>
      <c r="H243" s="29"/>
      <c r="I243" s="27">
        <v>60101.0</v>
      </c>
      <c r="J243" s="28" t="s">
        <v>21</v>
      </c>
      <c r="K243" s="19">
        <v>0.013472387567162514</v>
      </c>
      <c r="L243" s="19">
        <v>0.009280351921916008</v>
      </c>
      <c r="M243" s="29">
        <f t="shared" si="3"/>
        <v>0.6888424101</v>
      </c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 ht="15.75" customHeight="1">
      <c r="A244" s="27">
        <v>60201.0</v>
      </c>
      <c r="B244" s="28" t="s">
        <v>293</v>
      </c>
      <c r="C244" s="19">
        <v>0.16075769066810608</v>
      </c>
      <c r="D244" s="19">
        <v>0.1651465892791748</v>
      </c>
      <c r="E244" s="29">
        <f t="shared" si="6"/>
        <v>1.027301329</v>
      </c>
      <c r="F244" s="30">
        <f t="shared" si="2"/>
        <v>1.027301329</v>
      </c>
      <c r="G244" s="29"/>
      <c r="H244" s="29"/>
      <c r="I244" s="27">
        <v>60201.0</v>
      </c>
      <c r="J244" s="28" t="s">
        <v>293</v>
      </c>
      <c r="K244" s="19">
        <v>0.04848485067486763</v>
      </c>
      <c r="L244" s="19">
        <v>0.03544091805815697</v>
      </c>
      <c r="M244" s="29">
        <f t="shared" si="3"/>
        <v>0.7309689019</v>
      </c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 ht="15.75" customHeight="1">
      <c r="A245" s="27">
        <v>60202.0</v>
      </c>
      <c r="B245" s="28" t="s">
        <v>294</v>
      </c>
      <c r="C245" s="19">
        <v>0.057584650814533234</v>
      </c>
      <c r="D245" s="19">
        <v>0.052111994475126266</v>
      </c>
      <c r="E245" s="29">
        <f t="shared" si="6"/>
        <v>0.9049632799</v>
      </c>
      <c r="F245" s="30">
        <f t="shared" si="2"/>
        <v>0.9049632799</v>
      </c>
      <c r="G245" s="29"/>
      <c r="H245" s="29"/>
      <c r="I245" s="27">
        <v>60202.0</v>
      </c>
      <c r="J245" s="28" t="s">
        <v>294</v>
      </c>
      <c r="K245" s="19">
        <v>0.010764848440885544</v>
      </c>
      <c r="L245" s="19">
        <v>0.01084221713244915</v>
      </c>
      <c r="M245" s="29">
        <f t="shared" si="3"/>
        <v>1.00718716</v>
      </c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 ht="15.75" customHeight="1">
      <c r="A246" s="27">
        <v>60301.0</v>
      </c>
      <c r="B246" s="28" t="s">
        <v>295</v>
      </c>
      <c r="C246" s="19">
        <v>0.084215447306633</v>
      </c>
      <c r="D246" s="19">
        <v>0.07109120488166809</v>
      </c>
      <c r="E246" s="29">
        <f t="shared" si="6"/>
        <v>0.8441587281</v>
      </c>
      <c r="F246" s="30">
        <f t="shared" si="2"/>
        <v>0.8441587281</v>
      </c>
      <c r="G246" s="29"/>
      <c r="H246" s="29"/>
      <c r="I246" s="27">
        <v>60301.0</v>
      </c>
      <c r="J246" s="28" t="s">
        <v>295</v>
      </c>
      <c r="K246" s="19">
        <v>0.018475765362381935</v>
      </c>
      <c r="L246" s="19">
        <v>0.017495501786470413</v>
      </c>
      <c r="M246" s="29">
        <f t="shared" si="3"/>
        <v>0.9469432764</v>
      </c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 ht="15.75" customHeight="1">
      <c r="A247" s="27">
        <v>60302.0</v>
      </c>
      <c r="B247" s="28" t="s">
        <v>296</v>
      </c>
      <c r="C247" s="19">
        <v>0.08975899964570999</v>
      </c>
      <c r="D247" s="19">
        <v>0.07124987989664078</v>
      </c>
      <c r="E247" s="29">
        <f t="shared" si="6"/>
        <v>0.793790931</v>
      </c>
      <c r="F247" s="30">
        <f t="shared" si="2"/>
        <v>0.793790931</v>
      </c>
      <c r="G247" s="29"/>
      <c r="H247" s="29"/>
      <c r="I247" s="27">
        <v>60302.0</v>
      </c>
      <c r="J247" s="28" t="s">
        <v>296</v>
      </c>
      <c r="K247" s="19">
        <v>0.030961042270064354</v>
      </c>
      <c r="L247" s="19">
        <v>0.01504451222717762</v>
      </c>
      <c r="M247" s="29">
        <f t="shared" si="3"/>
        <v>0.485917499</v>
      </c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 ht="15.75" customHeight="1">
      <c r="A248" s="27">
        <v>60303.0</v>
      </c>
      <c r="B248" s="28" t="s">
        <v>297</v>
      </c>
      <c r="C248" s="19">
        <v>0.10486699640750885</v>
      </c>
      <c r="D248" s="19">
        <v>0.09950365871191025</v>
      </c>
      <c r="E248" s="29">
        <f t="shared" si="6"/>
        <v>0.948855809</v>
      </c>
      <c r="F248" s="30">
        <f t="shared" si="2"/>
        <v>0.948855809</v>
      </c>
      <c r="G248" s="29"/>
      <c r="H248" s="29"/>
      <c r="I248" s="27">
        <v>60303.0</v>
      </c>
      <c r="J248" s="28" t="s">
        <v>297</v>
      </c>
      <c r="K248" s="19">
        <v>0.023454278707504272</v>
      </c>
      <c r="L248" s="19">
        <v>0.022267574444413185</v>
      </c>
      <c r="M248" s="29">
        <f t="shared" si="3"/>
        <v>0.9494035064</v>
      </c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 ht="15.75" customHeight="1">
      <c r="A249" s="27">
        <v>60401.0</v>
      </c>
      <c r="B249" s="28" t="s">
        <v>298</v>
      </c>
      <c r="C249" s="19">
        <v>0.16148844361305237</v>
      </c>
      <c r="D249" s="19">
        <v>0.14223016798496246</v>
      </c>
      <c r="E249" s="29">
        <f t="shared" si="6"/>
        <v>0.8807451778</v>
      </c>
      <c r="F249" s="30">
        <f t="shared" si="2"/>
        <v>0.8807451778</v>
      </c>
      <c r="G249" s="29"/>
      <c r="H249" s="29"/>
      <c r="I249" s="27">
        <v>60401.0</v>
      </c>
      <c r="J249" s="28" t="s">
        <v>298</v>
      </c>
      <c r="K249" s="19">
        <v>0.04403065890073776</v>
      </c>
      <c r="L249" s="19">
        <v>0.02352289855480194</v>
      </c>
      <c r="M249" s="29">
        <f t="shared" si="3"/>
        <v>0.5342390766</v>
      </c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 ht="15.75" customHeight="1">
      <c r="A250" s="27">
        <v>60402.0</v>
      </c>
      <c r="B250" s="28" t="s">
        <v>299</v>
      </c>
      <c r="C250" s="19">
        <v>0.19522005319595337</v>
      </c>
      <c r="D250" s="19">
        <v>0.15641146898269653</v>
      </c>
      <c r="E250" s="29">
        <f t="shared" si="6"/>
        <v>0.8012059541</v>
      </c>
      <c r="F250" s="30">
        <f t="shared" si="2"/>
        <v>0.8012059541</v>
      </c>
      <c r="G250" s="29"/>
      <c r="H250" s="29"/>
      <c r="I250" s="27">
        <v>60402.0</v>
      </c>
      <c r="J250" s="28" t="s">
        <v>299</v>
      </c>
      <c r="K250" s="19">
        <v>0.04832640290260315</v>
      </c>
      <c r="L250" s="19">
        <v>0.041096314787864685</v>
      </c>
      <c r="M250" s="29">
        <f t="shared" si="3"/>
        <v>0.8503905178</v>
      </c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 ht="15.75" customHeight="1">
      <c r="A251" s="27">
        <v>60501.0</v>
      </c>
      <c r="B251" s="28" t="s">
        <v>300</v>
      </c>
      <c r="C251" s="19">
        <v>0.14462049305438995</v>
      </c>
      <c r="D251" s="19">
        <v>0.13703933358192444</v>
      </c>
      <c r="E251" s="29">
        <f t="shared" si="6"/>
        <v>0.9475789405</v>
      </c>
      <c r="F251" s="30">
        <f t="shared" si="2"/>
        <v>0.9475789405</v>
      </c>
      <c r="G251" s="29"/>
      <c r="H251" s="29"/>
      <c r="I251" s="27">
        <v>60501.0</v>
      </c>
      <c r="J251" s="28" t="s">
        <v>300</v>
      </c>
      <c r="K251" s="19">
        <v>0.04624944552779198</v>
      </c>
      <c r="L251" s="19">
        <v>0.03214766085147858</v>
      </c>
      <c r="M251" s="29">
        <f t="shared" si="3"/>
        <v>0.6950928921</v>
      </c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 ht="15.75" customHeight="1">
      <c r="A252" s="27">
        <v>60502.0</v>
      </c>
      <c r="B252" s="28" t="s">
        <v>301</v>
      </c>
      <c r="C252" s="19">
        <v>0.15722639858722687</v>
      </c>
      <c r="D252" s="19">
        <v>0.13531427085399628</v>
      </c>
      <c r="E252" s="29">
        <f t="shared" si="6"/>
        <v>0.8606332783</v>
      </c>
      <c r="F252" s="30">
        <f t="shared" si="2"/>
        <v>0.8606332783</v>
      </c>
      <c r="G252" s="29"/>
      <c r="H252" s="29"/>
      <c r="I252" s="27">
        <v>60502.0</v>
      </c>
      <c r="J252" s="28" t="s">
        <v>301</v>
      </c>
      <c r="K252" s="19">
        <v>0.03748165816068649</v>
      </c>
      <c r="L252" s="19">
        <v>0.01828390546143055</v>
      </c>
      <c r="M252" s="29">
        <f t="shared" si="3"/>
        <v>0.4878094076</v>
      </c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 ht="15.75" customHeight="1">
      <c r="A253" s="27">
        <v>60601.0</v>
      </c>
      <c r="B253" s="28" t="s">
        <v>206</v>
      </c>
      <c r="C253" s="19">
        <v>0.21636991202831268</v>
      </c>
      <c r="D253" s="19">
        <v>0.19660869240760803</v>
      </c>
      <c r="E253" s="29">
        <f t="shared" si="6"/>
        <v>0.9086692811</v>
      </c>
      <c r="F253" s="30">
        <f t="shared" si="2"/>
        <v>0.9086692811</v>
      </c>
      <c r="G253" s="29"/>
      <c r="H253" s="29"/>
      <c r="I253" s="27">
        <v>60601.0</v>
      </c>
      <c r="J253" s="28" t="s">
        <v>206</v>
      </c>
      <c r="K253" s="19">
        <v>0.055931590497493744</v>
      </c>
      <c r="L253" s="19">
        <v>0.040813516825437546</v>
      </c>
      <c r="M253" s="29">
        <f t="shared" si="3"/>
        <v>0.7297042058</v>
      </c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 ht="15.75" customHeight="1">
      <c r="A254" s="27">
        <v>70101.0</v>
      </c>
      <c r="B254" s="28" t="s">
        <v>302</v>
      </c>
      <c r="C254" s="19">
        <v>0.039954837411642075</v>
      </c>
      <c r="D254" s="19">
        <v>0.0534718781709671</v>
      </c>
      <c r="E254" s="29">
        <f t="shared" si="6"/>
        <v>1.338307991</v>
      </c>
      <c r="F254" s="30">
        <f t="shared" si="2"/>
        <v>1.338307991</v>
      </c>
      <c r="G254" s="29"/>
      <c r="H254" s="29"/>
      <c r="I254" s="27">
        <v>70101.0</v>
      </c>
      <c r="J254" s="28" t="s">
        <v>302</v>
      </c>
      <c r="K254" s="19">
        <v>0.005596116650849581</v>
      </c>
      <c r="L254" s="19">
        <v>0.006017650477588177</v>
      </c>
      <c r="M254" s="29">
        <f t="shared" si="3"/>
        <v>1.075326133</v>
      </c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 ht="15.75" customHeight="1">
      <c r="A255" s="27">
        <v>70102.0</v>
      </c>
      <c r="B255" s="28" t="s">
        <v>303</v>
      </c>
      <c r="C255" s="19">
        <v>0.08869323134422302</v>
      </c>
      <c r="D255" s="19">
        <v>0.09690166264772415</v>
      </c>
      <c r="E255" s="29">
        <f t="shared" si="6"/>
        <v>1.092548565</v>
      </c>
      <c r="F255" s="30">
        <f t="shared" si="2"/>
        <v>1.092548565</v>
      </c>
      <c r="G255" s="29"/>
      <c r="H255" s="29"/>
      <c r="I255" s="27">
        <v>70102.0</v>
      </c>
      <c r="J255" s="28" t="s">
        <v>303</v>
      </c>
      <c r="K255" s="19">
        <v>0.03136561065912247</v>
      </c>
      <c r="L255" s="19">
        <v>0.020314626395702362</v>
      </c>
      <c r="M255" s="29">
        <f t="shared" si="3"/>
        <v>0.6476719556</v>
      </c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 ht="15.75" customHeight="1">
      <c r="A256" s="27">
        <v>70103.0</v>
      </c>
      <c r="B256" s="28" t="s">
        <v>304</v>
      </c>
      <c r="C256" s="19">
        <v>0.1480727195739746</v>
      </c>
      <c r="D256" s="19">
        <v>0.1282808631658554</v>
      </c>
      <c r="E256" s="29">
        <f t="shared" si="6"/>
        <v>0.8663369156</v>
      </c>
      <c r="F256" s="30">
        <f t="shared" si="2"/>
        <v>0.8663369156</v>
      </c>
      <c r="G256" s="29"/>
      <c r="H256" s="29"/>
      <c r="I256" s="27">
        <v>70103.0</v>
      </c>
      <c r="J256" s="28" t="s">
        <v>304</v>
      </c>
      <c r="K256" s="19">
        <v>0.014705518260598183</v>
      </c>
      <c r="L256" s="19">
        <v>0.013143925927579403</v>
      </c>
      <c r="M256" s="29">
        <f t="shared" si="3"/>
        <v>0.8938090923</v>
      </c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 ht="15.75" customHeight="1">
      <c r="A257" s="27">
        <v>70104.0</v>
      </c>
      <c r="B257" s="28" t="s">
        <v>305</v>
      </c>
      <c r="C257" s="19">
        <v>0.09889686852693558</v>
      </c>
      <c r="D257" s="19">
        <v>0.09116899222135544</v>
      </c>
      <c r="E257" s="29">
        <f t="shared" si="6"/>
        <v>0.9218592416</v>
      </c>
      <c r="F257" s="30">
        <f t="shared" si="2"/>
        <v>0.9218592416</v>
      </c>
      <c r="G257" s="29"/>
      <c r="H257" s="29"/>
      <c r="I257" s="27">
        <v>70104.0</v>
      </c>
      <c r="J257" s="28" t="s">
        <v>305</v>
      </c>
      <c r="K257" s="19">
        <v>0.014719270169734955</v>
      </c>
      <c r="L257" s="19">
        <v>0.010972983203828335</v>
      </c>
      <c r="M257" s="29">
        <f t="shared" si="3"/>
        <v>0.7454841903</v>
      </c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 ht="15.75" customHeight="1">
      <c r="A258" s="27">
        <v>70105.0</v>
      </c>
      <c r="B258" s="28" t="s">
        <v>306</v>
      </c>
      <c r="C258" s="19">
        <v>0.15043450891971588</v>
      </c>
      <c r="D258" s="19">
        <v>0.12499503791332245</v>
      </c>
      <c r="E258" s="29">
        <f t="shared" si="6"/>
        <v>0.8308933822</v>
      </c>
      <c r="F258" s="30">
        <f t="shared" si="2"/>
        <v>0.8308933822</v>
      </c>
      <c r="G258" s="29"/>
      <c r="H258" s="29"/>
      <c r="I258" s="27">
        <v>70105.0</v>
      </c>
      <c r="J258" s="28" t="s">
        <v>306</v>
      </c>
      <c r="K258" s="19">
        <v>0.02862672507762909</v>
      </c>
      <c r="L258" s="19">
        <v>0.015896374359726906</v>
      </c>
      <c r="M258" s="29">
        <f t="shared" si="3"/>
        <v>0.5552983905</v>
      </c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 ht="15.75" customHeight="1">
      <c r="A259" s="27">
        <v>70201.0</v>
      </c>
      <c r="B259" s="28" t="s">
        <v>307</v>
      </c>
      <c r="C259" s="19">
        <v>0.10894160717725754</v>
      </c>
      <c r="D259" s="19">
        <v>0.10224198549985886</v>
      </c>
      <c r="E259" s="29">
        <f t="shared" si="6"/>
        <v>0.9385026359</v>
      </c>
      <c r="F259" s="30">
        <f t="shared" si="2"/>
        <v>0.9385026359</v>
      </c>
      <c r="G259" s="29"/>
      <c r="H259" s="29"/>
      <c r="I259" s="27">
        <v>70201.0</v>
      </c>
      <c r="J259" s="28" t="s">
        <v>307</v>
      </c>
      <c r="K259" s="19">
        <v>0.02067183516919613</v>
      </c>
      <c r="L259" s="19">
        <v>0.016201399266719818</v>
      </c>
      <c r="M259" s="29">
        <f t="shared" si="3"/>
        <v>0.7837426689</v>
      </c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 ht="15.75" customHeight="1">
      <c r="A260" s="27">
        <v>70202.0</v>
      </c>
      <c r="B260" s="28" t="s">
        <v>308</v>
      </c>
      <c r="C260" s="19">
        <v>0.0929185226559639</v>
      </c>
      <c r="D260" s="19">
        <v>0.11053608357906342</v>
      </c>
      <c r="E260" s="29">
        <f t="shared" si="6"/>
        <v>1.18960225</v>
      </c>
      <c r="F260" s="30">
        <f t="shared" si="2"/>
        <v>1.18960225</v>
      </c>
      <c r="G260" s="29"/>
      <c r="H260" s="29"/>
      <c r="I260" s="27">
        <v>70202.0</v>
      </c>
      <c r="J260" s="28" t="s">
        <v>308</v>
      </c>
      <c r="K260" s="19">
        <v>0.019389979541301727</v>
      </c>
      <c r="L260" s="19">
        <v>0.011204258538782597</v>
      </c>
      <c r="M260" s="29">
        <f t="shared" si="3"/>
        <v>0.5778375637</v>
      </c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 ht="15.75" customHeight="1">
      <c r="A261" s="27">
        <v>70301.0</v>
      </c>
      <c r="B261" s="28" t="s">
        <v>309</v>
      </c>
      <c r="C261" s="19">
        <v>0.19278471171855927</v>
      </c>
      <c r="D261" s="19">
        <v>0.19814622402191162</v>
      </c>
      <c r="E261" s="29">
        <f t="shared" si="6"/>
        <v>1.027810879</v>
      </c>
      <c r="F261" s="30">
        <f t="shared" si="2"/>
        <v>1.027810879</v>
      </c>
      <c r="G261" s="29"/>
      <c r="H261" s="29"/>
      <c r="I261" s="27">
        <v>70301.0</v>
      </c>
      <c r="J261" s="28" t="s">
        <v>309</v>
      </c>
      <c r="K261" s="19">
        <v>0.04178565368056297</v>
      </c>
      <c r="L261" s="19">
        <v>0.05109057202935219</v>
      </c>
      <c r="M261" s="29">
        <f t="shared" si="3"/>
        <v>1.22268213</v>
      </c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 ht="15.75" customHeight="1">
      <c r="A262" s="27">
        <v>70302.0</v>
      </c>
      <c r="B262" s="28" t="s">
        <v>310</v>
      </c>
      <c r="C262" s="19">
        <v>0.28275901079177856</v>
      </c>
      <c r="D262" s="19">
        <v>0.25630149245262146</v>
      </c>
      <c r="E262" s="29">
        <f t="shared" si="6"/>
        <v>0.9064308569</v>
      </c>
      <c r="F262" s="30">
        <f t="shared" si="2"/>
        <v>0.9064308569</v>
      </c>
      <c r="G262" s="29"/>
      <c r="H262" s="29"/>
      <c r="I262" s="27">
        <v>70302.0</v>
      </c>
      <c r="J262" s="28" t="s">
        <v>310</v>
      </c>
      <c r="K262" s="19">
        <v>0.05479055643081665</v>
      </c>
      <c r="L262" s="19">
        <v>0.061434030532836914</v>
      </c>
      <c r="M262" s="29">
        <f t="shared" si="3"/>
        <v>1.121252174</v>
      </c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 ht="15.75" customHeight="1">
      <c r="A263" s="27">
        <v>70303.0</v>
      </c>
      <c r="B263" s="28" t="s">
        <v>311</v>
      </c>
      <c r="C263" s="19">
        <v>0.2692705988883972</v>
      </c>
      <c r="D263" s="19">
        <v>0.24449464678764343</v>
      </c>
      <c r="E263" s="29">
        <f t="shared" si="6"/>
        <v>0.9079886471</v>
      </c>
      <c r="F263" s="30">
        <f t="shared" si="2"/>
        <v>0.9079886471</v>
      </c>
      <c r="G263" s="29"/>
      <c r="H263" s="29"/>
      <c r="I263" s="27">
        <v>70303.0</v>
      </c>
      <c r="J263" s="28" t="s">
        <v>311</v>
      </c>
      <c r="K263" s="19">
        <v>0.05461393669247627</v>
      </c>
      <c r="L263" s="19">
        <v>0.06502102315425873</v>
      </c>
      <c r="M263" s="29">
        <f t="shared" si="3"/>
        <v>1.190557339</v>
      </c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 ht="15.75" customHeight="1">
      <c r="A264" s="27">
        <v>70401.0</v>
      </c>
      <c r="B264" s="28" t="s">
        <v>312</v>
      </c>
      <c r="C264" s="19">
        <v>0.13159869611263275</v>
      </c>
      <c r="D264" s="19">
        <v>0.13573810458183289</v>
      </c>
      <c r="E264" s="29">
        <f t="shared" si="6"/>
        <v>1.031454783</v>
      </c>
      <c r="F264" s="30">
        <f t="shared" si="2"/>
        <v>1.031454783</v>
      </c>
      <c r="G264" s="29"/>
      <c r="H264" s="29"/>
      <c r="I264" s="27">
        <v>70401.0</v>
      </c>
      <c r="J264" s="28" t="s">
        <v>312</v>
      </c>
      <c r="K264" s="19">
        <v>0.023446885868906975</v>
      </c>
      <c r="L264" s="19">
        <v>0.020200025290250778</v>
      </c>
      <c r="M264" s="29">
        <f t="shared" si="3"/>
        <v>0.8615227371</v>
      </c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 ht="15.75" customHeight="1">
      <c r="A265" s="27">
        <v>70402.0</v>
      </c>
      <c r="B265" s="28" t="s">
        <v>313</v>
      </c>
      <c r="C265" s="19">
        <v>0.1953081339597702</v>
      </c>
      <c r="D265" s="19">
        <v>0.17917194962501526</v>
      </c>
      <c r="E265" s="29">
        <f t="shared" si="6"/>
        <v>0.9173808893</v>
      </c>
      <c r="F265" s="30">
        <f t="shared" si="2"/>
        <v>0.9173808893</v>
      </c>
      <c r="G265" s="29"/>
      <c r="H265" s="29"/>
      <c r="I265" s="27">
        <v>70402.0</v>
      </c>
      <c r="J265" s="28" t="s">
        <v>313</v>
      </c>
      <c r="K265" s="19">
        <v>0.03571738302707672</v>
      </c>
      <c r="L265" s="19">
        <v>0.025008980184793472</v>
      </c>
      <c r="M265" s="29">
        <f t="shared" si="3"/>
        <v>0.7001907213</v>
      </c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 ht="15.75" customHeight="1">
      <c r="A266" s="27">
        <v>70403.0</v>
      </c>
      <c r="B266" s="28" t="s">
        <v>314</v>
      </c>
      <c r="C266" s="19">
        <v>0.20521807670593262</v>
      </c>
      <c r="D266" s="19">
        <v>0.21436919271945953</v>
      </c>
      <c r="E266" s="29">
        <f t="shared" si="6"/>
        <v>1.044592154</v>
      </c>
      <c r="F266" s="30">
        <f t="shared" si="2"/>
        <v>1.044592154</v>
      </c>
      <c r="G266" s="29"/>
      <c r="H266" s="29"/>
      <c r="I266" s="27">
        <v>70403.0</v>
      </c>
      <c r="J266" s="28" t="s">
        <v>314</v>
      </c>
      <c r="K266" s="19">
        <v>0.06124962121248245</v>
      </c>
      <c r="L266" s="19">
        <v>0.049795858561992645</v>
      </c>
      <c r="M266" s="29">
        <f t="shared" si="3"/>
        <v>0.812998637</v>
      </c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 ht="15.75" customHeight="1">
      <c r="A267" s="27">
        <v>70404.0</v>
      </c>
      <c r="B267" s="28" t="s">
        <v>315</v>
      </c>
      <c r="C267" s="19">
        <v>0.18465767800807953</v>
      </c>
      <c r="D267" s="19">
        <v>0.18815766274929047</v>
      </c>
      <c r="E267" s="29">
        <f t="shared" si="6"/>
        <v>1.018953909</v>
      </c>
      <c r="F267" s="30">
        <f t="shared" si="2"/>
        <v>1.018953909</v>
      </c>
      <c r="G267" s="29"/>
      <c r="H267" s="29"/>
      <c r="I267" s="27">
        <v>70404.0</v>
      </c>
      <c r="J267" s="28" t="s">
        <v>315</v>
      </c>
      <c r="K267" s="19">
        <v>0.036238398402929306</v>
      </c>
      <c r="L267" s="19">
        <v>0.026869086548686028</v>
      </c>
      <c r="M267" s="29">
        <f t="shared" si="3"/>
        <v>0.7414534784</v>
      </c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 ht="15.75" customHeight="1">
      <c r="A268" s="27">
        <v>70501.0</v>
      </c>
      <c r="B268" s="28" t="s">
        <v>316</v>
      </c>
      <c r="C268" s="19">
        <v>0.1125660240650177</v>
      </c>
      <c r="D268" s="19">
        <v>0.12882570922374725</v>
      </c>
      <c r="E268" s="29">
        <f t="shared" si="6"/>
        <v>1.144445762</v>
      </c>
      <c r="F268" s="30">
        <f t="shared" si="2"/>
        <v>1.144445762</v>
      </c>
      <c r="G268" s="29"/>
      <c r="H268" s="29"/>
      <c r="I268" s="27">
        <v>70501.0</v>
      </c>
      <c r="J268" s="28" t="s">
        <v>316</v>
      </c>
      <c r="K268" s="19">
        <v>0.03718820959329605</v>
      </c>
      <c r="L268" s="19">
        <v>0.06544394046068192</v>
      </c>
      <c r="M268" s="29">
        <f t="shared" si="3"/>
        <v>1.759803475</v>
      </c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 ht="15.75" customHeight="1">
      <c r="A269" s="27">
        <v>70502.0</v>
      </c>
      <c r="B269" s="28" t="s">
        <v>317</v>
      </c>
      <c r="C269" s="19">
        <v>0.11817342042922974</v>
      </c>
      <c r="D269" s="19">
        <v>0.1342029571533203</v>
      </c>
      <c r="E269" s="29">
        <f t="shared" si="6"/>
        <v>1.13564418</v>
      </c>
      <c r="F269" s="30">
        <f t="shared" si="2"/>
        <v>1.13564418</v>
      </c>
      <c r="G269" s="29"/>
      <c r="H269" s="29"/>
      <c r="I269" s="27">
        <v>70502.0</v>
      </c>
      <c r="J269" s="28" t="s">
        <v>317</v>
      </c>
      <c r="K269" s="19">
        <v>0.03404046595096588</v>
      </c>
      <c r="L269" s="19">
        <v>0.03950576111674309</v>
      </c>
      <c r="M269" s="29">
        <f t="shared" si="3"/>
        <v>1.160552889</v>
      </c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 ht="15.75" customHeight="1">
      <c r="A270" s="27">
        <v>70503.0</v>
      </c>
      <c r="B270" s="28" t="s">
        <v>318</v>
      </c>
      <c r="C270" s="19">
        <v>0.08379710465669632</v>
      </c>
      <c r="D270" s="19">
        <v>0.09690003097057343</v>
      </c>
      <c r="E270" s="29">
        <f t="shared" si="6"/>
        <v>1.156364905</v>
      </c>
      <c r="F270" s="30">
        <f t="shared" si="2"/>
        <v>1.156364905</v>
      </c>
      <c r="G270" s="29"/>
      <c r="H270" s="29"/>
      <c r="I270" s="27">
        <v>70503.0</v>
      </c>
      <c r="J270" s="28" t="s">
        <v>318</v>
      </c>
      <c r="K270" s="19">
        <v>0.017342451959848404</v>
      </c>
      <c r="L270" s="19">
        <v>0.02251666598021984</v>
      </c>
      <c r="M270" s="29">
        <f t="shared" si="3"/>
        <v>1.29835539</v>
      </c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 ht="15.75" customHeight="1">
      <c r="A271" s="27">
        <v>70601.0</v>
      </c>
      <c r="B271" s="28" t="s">
        <v>319</v>
      </c>
      <c r="C271" s="19">
        <v>0.0877455323934555</v>
      </c>
      <c r="D271" s="19">
        <v>0.09150326997041702</v>
      </c>
      <c r="E271" s="29">
        <f t="shared" si="6"/>
        <v>1.042825401</v>
      </c>
      <c r="F271" s="30">
        <f t="shared" si="2"/>
        <v>1.042825401</v>
      </c>
      <c r="G271" s="29"/>
      <c r="H271" s="29"/>
      <c r="I271" s="27">
        <v>70601.0</v>
      </c>
      <c r="J271" s="28" t="s">
        <v>319</v>
      </c>
      <c r="K271" s="19">
        <v>0.011336474679410458</v>
      </c>
      <c r="L271" s="19">
        <v>0.013405170291662216</v>
      </c>
      <c r="M271" s="29">
        <f t="shared" si="3"/>
        <v>1.182481386</v>
      </c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 ht="15.75" customHeight="1">
      <c r="A272" s="27">
        <v>70602.0</v>
      </c>
      <c r="B272" s="28" t="s">
        <v>320</v>
      </c>
      <c r="C272" s="19">
        <v>0.20171958208084106</v>
      </c>
      <c r="D272" s="19">
        <v>0.2364843636751175</v>
      </c>
      <c r="E272" s="29">
        <f t="shared" si="6"/>
        <v>1.172342126</v>
      </c>
      <c r="F272" s="30">
        <f t="shared" si="2"/>
        <v>1.172342126</v>
      </c>
      <c r="G272" s="29"/>
      <c r="H272" s="29"/>
      <c r="I272" s="27">
        <v>70602.0</v>
      </c>
      <c r="J272" s="28" t="s">
        <v>320</v>
      </c>
      <c r="K272" s="19">
        <v>0.03630014508962631</v>
      </c>
      <c r="L272" s="19">
        <v>0.026837943121790886</v>
      </c>
      <c r="M272" s="29">
        <f t="shared" si="3"/>
        <v>0.739334321</v>
      </c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 ht="15.75" customHeight="1">
      <c r="A273" s="27">
        <v>70603.0</v>
      </c>
      <c r="B273" s="28" t="s">
        <v>321</v>
      </c>
      <c r="C273" s="19">
        <v>0.13558201491832733</v>
      </c>
      <c r="D273" s="19">
        <v>0.13267308473587036</v>
      </c>
      <c r="E273" s="29">
        <f t="shared" si="6"/>
        <v>0.9785448669</v>
      </c>
      <c r="F273" s="30">
        <f t="shared" si="2"/>
        <v>0.9785448669</v>
      </c>
      <c r="G273" s="29"/>
      <c r="H273" s="29"/>
      <c r="I273" s="27">
        <v>70603.0</v>
      </c>
      <c r="J273" s="28" t="s">
        <v>321</v>
      </c>
      <c r="K273" s="19">
        <v>0.018687935546040535</v>
      </c>
      <c r="L273" s="19">
        <v>0.020582478493452072</v>
      </c>
      <c r="M273" s="29">
        <f t="shared" si="3"/>
        <v>1.101377862</v>
      </c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 ht="15.75" customHeight="1">
      <c r="A274" s="27">
        <v>70701.0</v>
      </c>
      <c r="B274" s="28" t="s">
        <v>322</v>
      </c>
      <c r="C274" s="19">
        <v>0.25511473417282104</v>
      </c>
      <c r="D274" s="19">
        <v>0.2500610947608948</v>
      </c>
      <c r="E274" s="29">
        <f t="shared" si="6"/>
        <v>0.9801907192</v>
      </c>
      <c r="F274" s="30">
        <f t="shared" si="2"/>
        <v>0.9801907192</v>
      </c>
      <c r="G274" s="29"/>
      <c r="H274" s="29"/>
      <c r="I274" s="27">
        <v>70701.0</v>
      </c>
      <c r="J274" s="28" t="s">
        <v>322</v>
      </c>
      <c r="K274" s="19">
        <v>0.042293235659599304</v>
      </c>
      <c r="L274" s="19">
        <v>0.019347352907061577</v>
      </c>
      <c r="M274" s="29">
        <f t="shared" si="3"/>
        <v>0.4574573831</v>
      </c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 ht="15.75" customHeight="1">
      <c r="A275" s="27">
        <v>70702.0</v>
      </c>
      <c r="B275" s="28" t="s">
        <v>323</v>
      </c>
      <c r="C275" s="19">
        <v>0.20833617448806763</v>
      </c>
      <c r="D275" s="19">
        <v>0.24690508842468262</v>
      </c>
      <c r="E275" s="29">
        <f t="shared" si="6"/>
        <v>1.185128262</v>
      </c>
      <c r="F275" s="30">
        <f t="shared" si="2"/>
        <v>1.185128262</v>
      </c>
      <c r="G275" s="29"/>
      <c r="H275" s="29"/>
      <c r="I275" s="27">
        <v>70702.0</v>
      </c>
      <c r="J275" s="28" t="s">
        <v>323</v>
      </c>
      <c r="K275" s="19">
        <v>0.04318360984325409</v>
      </c>
      <c r="L275" s="19">
        <v>0.05762248486280441</v>
      </c>
      <c r="M275" s="29">
        <f t="shared" si="3"/>
        <v>1.334360075</v>
      </c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 ht="15.75" customHeight="1">
      <c r="A276" s="27">
        <v>70703.0</v>
      </c>
      <c r="B276" s="28" t="s">
        <v>324</v>
      </c>
      <c r="C276" s="19">
        <v>0.1481364518404007</v>
      </c>
      <c r="D276" s="19">
        <v>0.16072072088718414</v>
      </c>
      <c r="E276" s="29">
        <f t="shared" si="6"/>
        <v>1.084950523</v>
      </c>
      <c r="F276" s="30">
        <f t="shared" si="2"/>
        <v>1.084950523</v>
      </c>
      <c r="G276" s="29"/>
      <c r="H276" s="29"/>
      <c r="I276" s="27">
        <v>70703.0</v>
      </c>
      <c r="J276" s="28" t="s">
        <v>324</v>
      </c>
      <c r="K276" s="19">
        <v>0.04522712901234627</v>
      </c>
      <c r="L276" s="19">
        <v>0.042259108275175095</v>
      </c>
      <c r="M276" s="29">
        <f t="shared" si="3"/>
        <v>0.9343752124</v>
      </c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 ht="15.75" customHeight="1">
      <c r="A277" s="27">
        <v>70704.0</v>
      </c>
      <c r="B277" s="28" t="s">
        <v>325</v>
      </c>
      <c r="C277" s="19">
        <v>0.20707596838474274</v>
      </c>
      <c r="D277" s="19">
        <v>0.24747607111930847</v>
      </c>
      <c r="E277" s="29">
        <f t="shared" si="6"/>
        <v>1.195097978</v>
      </c>
      <c r="F277" s="30">
        <f t="shared" si="2"/>
        <v>1.195097978</v>
      </c>
      <c r="G277" s="29"/>
      <c r="H277" s="29"/>
      <c r="I277" s="27">
        <v>70704.0</v>
      </c>
      <c r="J277" s="28" t="s">
        <v>325</v>
      </c>
      <c r="K277" s="19">
        <v>0.03376646339893341</v>
      </c>
      <c r="L277" s="19">
        <v>0.018991079181432724</v>
      </c>
      <c r="M277" s="29">
        <f t="shared" si="3"/>
        <v>0.5624242894</v>
      </c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 ht="15.75" customHeight="1">
      <c r="A278" s="27">
        <v>70705.0</v>
      </c>
      <c r="B278" s="28" t="s">
        <v>326</v>
      </c>
      <c r="C278" s="19">
        <v>0.32424288988113403</v>
      </c>
      <c r="D278" s="19">
        <v>0.34048083424568176</v>
      </c>
      <c r="E278" s="29">
        <f t="shared" si="6"/>
        <v>1.05007957</v>
      </c>
      <c r="F278" s="30">
        <f t="shared" si="2"/>
        <v>1.05007957</v>
      </c>
      <c r="G278" s="29"/>
      <c r="H278" s="29"/>
      <c r="I278" s="27">
        <v>70705.0</v>
      </c>
      <c r="J278" s="28" t="s">
        <v>326</v>
      </c>
      <c r="K278" s="19">
        <v>0.04335600882768631</v>
      </c>
      <c r="L278" s="19">
        <v>0.03842423856258392</v>
      </c>
      <c r="M278" s="29">
        <f t="shared" si="3"/>
        <v>0.8862494404</v>
      </c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 ht="15.75" customHeight="1">
      <c r="A279" s="27">
        <v>70706.0</v>
      </c>
      <c r="B279" s="28" t="s">
        <v>327</v>
      </c>
      <c r="C279" s="19">
        <v>0.07065018266439438</v>
      </c>
      <c r="D279" s="19">
        <v>0.06577818840742111</v>
      </c>
      <c r="E279" s="29">
        <f t="shared" si="6"/>
        <v>0.9310405993</v>
      </c>
      <c r="F279" s="30">
        <f t="shared" si="2"/>
        <v>0.9310405993</v>
      </c>
      <c r="G279" s="29"/>
      <c r="H279" s="29"/>
      <c r="I279" s="27">
        <v>70706.0</v>
      </c>
      <c r="J279" s="28" t="s">
        <v>327</v>
      </c>
      <c r="K279" s="19">
        <v>0.012544111348688602</v>
      </c>
      <c r="L279" s="19">
        <v>0.01267849002033472</v>
      </c>
      <c r="M279" s="29">
        <f t="shared" si="3"/>
        <v>1.01071249</v>
      </c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 ht="15.75" customHeight="1">
      <c r="A280" s="27">
        <v>70707.0</v>
      </c>
      <c r="B280" s="28" t="s">
        <v>328</v>
      </c>
      <c r="C280" s="19">
        <v>0.21864816546440125</v>
      </c>
      <c r="D280" s="19">
        <v>0.22963349521160126</v>
      </c>
      <c r="E280" s="29">
        <f t="shared" si="6"/>
        <v>1.050242039</v>
      </c>
      <c r="F280" s="30">
        <f t="shared" si="2"/>
        <v>1.050242039</v>
      </c>
      <c r="G280" s="29"/>
      <c r="H280" s="29"/>
      <c r="I280" s="27">
        <v>70707.0</v>
      </c>
      <c r="J280" s="28" t="s">
        <v>328</v>
      </c>
      <c r="K280" s="19">
        <v>0.022708069533109665</v>
      </c>
      <c r="L280" s="19">
        <v>0.041396915912628174</v>
      </c>
      <c r="M280" s="29">
        <f t="shared" si="3"/>
        <v>1.823004631</v>
      </c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 ht="15.75" customHeight="1">
      <c r="A281" s="27">
        <v>70801.0</v>
      </c>
      <c r="B281" s="28" t="s">
        <v>329</v>
      </c>
      <c r="C281" s="19">
        <v>0.13899976015090942</v>
      </c>
      <c r="D281" s="19">
        <v>0.141751229763031</v>
      </c>
      <c r="E281" s="29">
        <f t="shared" si="6"/>
        <v>1.01979478</v>
      </c>
      <c r="F281" s="30">
        <f t="shared" si="2"/>
        <v>1.01979478</v>
      </c>
      <c r="G281" s="29"/>
      <c r="H281" s="29"/>
      <c r="I281" s="27">
        <v>70801.0</v>
      </c>
      <c r="J281" s="28" t="s">
        <v>329</v>
      </c>
      <c r="K281" s="19">
        <v>0.020197700709104538</v>
      </c>
      <c r="L281" s="19">
        <v>0.013315798714756966</v>
      </c>
      <c r="M281" s="29">
        <f t="shared" si="3"/>
        <v>0.6592729988</v>
      </c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 ht="15.75" customHeight="1">
      <c r="A282" s="27">
        <v>70802.0</v>
      </c>
      <c r="B282" s="28" t="s">
        <v>330</v>
      </c>
      <c r="C282" s="19">
        <v>0.08548479527235031</v>
      </c>
      <c r="D282" s="19">
        <v>0.09937611222267151</v>
      </c>
      <c r="E282" s="29">
        <f t="shared" si="6"/>
        <v>1.162500441</v>
      </c>
      <c r="F282" s="30">
        <f t="shared" si="2"/>
        <v>1.162500441</v>
      </c>
      <c r="G282" s="29"/>
      <c r="H282" s="29"/>
      <c r="I282" s="27">
        <v>70802.0</v>
      </c>
      <c r="J282" s="28" t="s">
        <v>330</v>
      </c>
      <c r="K282" s="19">
        <v>0.007048785220831633</v>
      </c>
      <c r="L282" s="19">
        <v>0.005185606889426708</v>
      </c>
      <c r="M282" s="29">
        <f t="shared" si="3"/>
        <v>0.7356738398</v>
      </c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 ht="15.75" customHeight="1">
      <c r="A283" s="27">
        <v>70803.0</v>
      </c>
      <c r="B283" s="28" t="s">
        <v>331</v>
      </c>
      <c r="C283" s="19">
        <v>0.20370370149612427</v>
      </c>
      <c r="D283" s="19">
        <v>0.20232875645160675</v>
      </c>
      <c r="E283" s="29">
        <f t="shared" si="6"/>
        <v>0.9932502697</v>
      </c>
      <c r="F283" s="30">
        <f t="shared" si="2"/>
        <v>0.9932502697</v>
      </c>
      <c r="G283" s="29"/>
      <c r="H283" s="29"/>
      <c r="I283" s="27">
        <v>70803.0</v>
      </c>
      <c r="J283" s="28" t="s">
        <v>331</v>
      </c>
      <c r="K283" s="19">
        <v>0.04192277789115906</v>
      </c>
      <c r="L283" s="19">
        <v>0.02274204231798649</v>
      </c>
      <c r="M283" s="29">
        <f t="shared" si="3"/>
        <v>0.5424746036</v>
      </c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 ht="15.75" customHeight="1">
      <c r="A284" s="27">
        <v>70804.0</v>
      </c>
      <c r="B284" s="28" t="s">
        <v>332</v>
      </c>
      <c r="C284" s="19">
        <v>0.20798560976982117</v>
      </c>
      <c r="D284" s="19">
        <v>0.30215632915496826</v>
      </c>
      <c r="E284" s="29">
        <f t="shared" si="6"/>
        <v>1.452775168</v>
      </c>
      <c r="F284" s="30">
        <f t="shared" si="2"/>
        <v>1.452775168</v>
      </c>
      <c r="G284" s="29"/>
      <c r="H284" s="29"/>
      <c r="I284" s="27">
        <v>70804.0</v>
      </c>
      <c r="J284" s="28" t="s">
        <v>332</v>
      </c>
      <c r="K284" s="19">
        <v>0.06884681433439255</v>
      </c>
      <c r="L284" s="19">
        <v>0.06043543666601181</v>
      </c>
      <c r="M284" s="29">
        <f t="shared" si="3"/>
        <v>0.8778247367</v>
      </c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 ht="15.75" customHeight="1">
      <c r="A285" s="27">
        <v>70805.0</v>
      </c>
      <c r="B285" s="28" t="s">
        <v>333</v>
      </c>
      <c r="C285" s="19">
        <v>0.2510378658771515</v>
      </c>
      <c r="D285" s="19">
        <v>0.24126386642456055</v>
      </c>
      <c r="E285" s="29">
        <f t="shared" si="6"/>
        <v>0.9610656368</v>
      </c>
      <c r="F285" s="30">
        <f t="shared" si="2"/>
        <v>0.9610656368</v>
      </c>
      <c r="G285" s="29"/>
      <c r="H285" s="29"/>
      <c r="I285" s="27">
        <v>70805.0</v>
      </c>
      <c r="J285" s="28" t="s">
        <v>333</v>
      </c>
      <c r="K285" s="19">
        <v>0.04065040871500969</v>
      </c>
      <c r="L285" s="19">
        <v>0.023218341171741486</v>
      </c>
      <c r="M285" s="29">
        <f t="shared" si="3"/>
        <v>0.5711711618</v>
      </c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 ht="15.75" customHeight="1">
      <c r="A286" s="27">
        <v>70901.0</v>
      </c>
      <c r="B286" s="28" t="s">
        <v>334</v>
      </c>
      <c r="C286" s="19">
        <v>0.16570141911506653</v>
      </c>
      <c r="D286" s="19">
        <v>0.154465913772583</v>
      </c>
      <c r="E286" s="29">
        <f t="shared" si="6"/>
        <v>0.9321942721</v>
      </c>
      <c r="F286" s="30">
        <f t="shared" si="2"/>
        <v>0.9321942721</v>
      </c>
      <c r="G286" s="29"/>
      <c r="H286" s="29"/>
      <c r="I286" s="27">
        <v>70901.0</v>
      </c>
      <c r="J286" s="28" t="s">
        <v>334</v>
      </c>
      <c r="K286" s="19">
        <v>0.033957745879888535</v>
      </c>
      <c r="L286" s="19">
        <v>0.025716926902532578</v>
      </c>
      <c r="M286" s="29">
        <f t="shared" si="3"/>
        <v>0.757321378</v>
      </c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 ht="15.75" customHeight="1">
      <c r="A287" s="27">
        <v>70902.0</v>
      </c>
      <c r="B287" s="28" t="s">
        <v>335</v>
      </c>
      <c r="C287" s="19">
        <v>0.13589945435523987</v>
      </c>
      <c r="D287" s="19">
        <v>0.15182629227638245</v>
      </c>
      <c r="E287" s="29">
        <f t="shared" si="6"/>
        <v>1.117195746</v>
      </c>
      <c r="F287" s="30">
        <f t="shared" si="2"/>
        <v>1.117195746</v>
      </c>
      <c r="G287" s="29"/>
      <c r="H287" s="29"/>
      <c r="I287" s="27">
        <v>70902.0</v>
      </c>
      <c r="J287" s="28" t="s">
        <v>335</v>
      </c>
      <c r="K287" s="19">
        <v>0.024243665859103203</v>
      </c>
      <c r="L287" s="19">
        <v>0.027224242687225342</v>
      </c>
      <c r="M287" s="29">
        <f t="shared" si="3"/>
        <v>1.122942497</v>
      </c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 ht="15.75" customHeight="1">
      <c r="A288" s="27">
        <v>70903.0</v>
      </c>
      <c r="B288" s="28" t="s">
        <v>336</v>
      </c>
      <c r="C288" s="19">
        <v>0.09264879673719406</v>
      </c>
      <c r="D288" s="19">
        <v>0.11338233202695847</v>
      </c>
      <c r="E288" s="29">
        <f t="shared" si="6"/>
        <v>1.223786342</v>
      </c>
      <c r="F288" s="30">
        <f t="shared" si="2"/>
        <v>1.223786342</v>
      </c>
      <c r="G288" s="29"/>
      <c r="H288" s="29"/>
      <c r="I288" s="27">
        <v>70903.0</v>
      </c>
      <c r="J288" s="28" t="s">
        <v>336</v>
      </c>
      <c r="K288" s="19">
        <v>0.0441008023917675</v>
      </c>
      <c r="L288" s="19">
        <v>0.040857139974832535</v>
      </c>
      <c r="M288" s="29">
        <f t="shared" si="3"/>
        <v>0.9264489025</v>
      </c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 ht="15.75" customHeight="1">
      <c r="A289" s="27">
        <v>70904.0</v>
      </c>
      <c r="B289" s="28" t="s">
        <v>337</v>
      </c>
      <c r="C289" s="19">
        <v>0.16649626195430756</v>
      </c>
      <c r="D289" s="19">
        <v>0.1274394541978836</v>
      </c>
      <c r="E289" s="29">
        <f t="shared" si="6"/>
        <v>0.7654193115</v>
      </c>
      <c r="F289" s="30">
        <f t="shared" si="2"/>
        <v>0.7654193115</v>
      </c>
      <c r="G289" s="29"/>
      <c r="H289" s="29"/>
      <c r="I289" s="27">
        <v>70904.0</v>
      </c>
      <c r="J289" s="28" t="s">
        <v>337</v>
      </c>
      <c r="K289" s="19">
        <v>0.028835980221629143</v>
      </c>
      <c r="L289" s="19">
        <v>0.027127128094434738</v>
      </c>
      <c r="M289" s="29">
        <f t="shared" si="3"/>
        <v>0.9407388924</v>
      </c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 ht="15.75" customHeight="1">
      <c r="A290" s="27">
        <v>71001.0</v>
      </c>
      <c r="B290" s="28" t="s">
        <v>338</v>
      </c>
      <c r="C290" s="19">
        <v>0.060280103236436844</v>
      </c>
      <c r="D290" s="19">
        <v>0.08818219602108002</v>
      </c>
      <c r="E290" s="29">
        <f t="shared" si="6"/>
        <v>1.462874005</v>
      </c>
      <c r="F290" s="30">
        <f t="shared" si="2"/>
        <v>1.462874005</v>
      </c>
      <c r="G290" s="29"/>
      <c r="H290" s="29"/>
      <c r="I290" s="27">
        <v>71001.0</v>
      </c>
      <c r="J290" s="28" t="s">
        <v>338</v>
      </c>
      <c r="K290" s="19">
        <v>0.016888316720724106</v>
      </c>
      <c r="L290" s="19">
        <v>0.014905634336173534</v>
      </c>
      <c r="M290" s="29">
        <f t="shared" si="3"/>
        <v>0.8826003552</v>
      </c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 ht="15.75" customHeight="1">
      <c r="A291" s="27">
        <v>71002.0</v>
      </c>
      <c r="B291" s="28" t="s">
        <v>339</v>
      </c>
      <c r="C291" s="19">
        <v>0.13248613476753235</v>
      </c>
      <c r="D291" s="19">
        <v>0.14018888771533966</v>
      </c>
      <c r="E291" s="29">
        <f t="shared" si="6"/>
        <v>1.058140068</v>
      </c>
      <c r="F291" s="30">
        <f t="shared" si="2"/>
        <v>1.058140068</v>
      </c>
      <c r="G291" s="29"/>
      <c r="H291" s="29"/>
      <c r="I291" s="27">
        <v>71002.0</v>
      </c>
      <c r="J291" s="28" t="s">
        <v>339</v>
      </c>
      <c r="K291" s="19">
        <v>0.03392266854643822</v>
      </c>
      <c r="L291" s="19">
        <v>0.025577804073691368</v>
      </c>
      <c r="M291" s="29">
        <f t="shared" si="3"/>
        <v>0.7540033013</v>
      </c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 ht="15.75" customHeight="1">
      <c r="A292" s="27">
        <v>71003.0</v>
      </c>
      <c r="B292" s="28" t="s">
        <v>340</v>
      </c>
      <c r="C292" s="19">
        <v>0.14578188955783844</v>
      </c>
      <c r="D292" s="19">
        <v>0.14985555410385132</v>
      </c>
      <c r="E292" s="29">
        <f t="shared" si="6"/>
        <v>1.027943557</v>
      </c>
      <c r="F292" s="30">
        <f t="shared" si="2"/>
        <v>1.027943557</v>
      </c>
      <c r="G292" s="29"/>
      <c r="H292" s="29"/>
      <c r="I292" s="27">
        <v>71003.0</v>
      </c>
      <c r="J292" s="28" t="s">
        <v>340</v>
      </c>
      <c r="K292" s="19">
        <v>0.02494986169040203</v>
      </c>
      <c r="L292" s="19">
        <v>0.018647687509655952</v>
      </c>
      <c r="M292" s="29">
        <f t="shared" si="3"/>
        <v>0.7474064482</v>
      </c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 ht="15.75" customHeight="1">
      <c r="A293" s="27">
        <v>71004.0</v>
      </c>
      <c r="B293" s="28" t="s">
        <v>341</v>
      </c>
      <c r="C293" s="19">
        <v>0.14451894164085388</v>
      </c>
      <c r="D293" s="19">
        <v>0.13068975508213043</v>
      </c>
      <c r="E293" s="29">
        <f t="shared" si="6"/>
        <v>0.9043088304</v>
      </c>
      <c r="F293" s="30">
        <f t="shared" si="2"/>
        <v>0.9043088304</v>
      </c>
      <c r="G293" s="29"/>
      <c r="H293" s="29"/>
      <c r="I293" s="27">
        <v>71004.0</v>
      </c>
      <c r="J293" s="28" t="s">
        <v>341</v>
      </c>
      <c r="K293" s="19">
        <v>0.04044155776500702</v>
      </c>
      <c r="L293" s="19">
        <v>0.027429763227701187</v>
      </c>
      <c r="M293" s="29">
        <f t="shared" si="3"/>
        <v>0.6782568413</v>
      </c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 ht="15.75" customHeight="1">
      <c r="A294" s="27">
        <v>71005.0</v>
      </c>
      <c r="B294" s="28" t="s">
        <v>267</v>
      </c>
      <c r="C294" s="19">
        <v>0.1537424474954605</v>
      </c>
      <c r="D294" s="19">
        <v>0.10838736593723297</v>
      </c>
      <c r="E294" s="29">
        <f t="shared" si="6"/>
        <v>0.7049931083</v>
      </c>
      <c r="F294" s="30">
        <f t="shared" si="2"/>
        <v>0.7049931083</v>
      </c>
      <c r="G294" s="29"/>
      <c r="H294" s="29"/>
      <c r="I294" s="27">
        <v>71005.0</v>
      </c>
      <c r="J294" s="28" t="s">
        <v>267</v>
      </c>
      <c r="K294" s="19">
        <v>0.031169462949037552</v>
      </c>
      <c r="L294" s="19">
        <v>0.019877862185239792</v>
      </c>
      <c r="M294" s="29">
        <f t="shared" si="3"/>
        <v>0.6377351518</v>
      </c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 ht="15.75" customHeight="1">
      <c r="A295" s="27">
        <v>71101.0</v>
      </c>
      <c r="B295" s="28" t="s">
        <v>342</v>
      </c>
      <c r="C295" s="19">
        <v>0.26240602135658264</v>
      </c>
      <c r="D295" s="19">
        <v>0.2383314073085785</v>
      </c>
      <c r="E295" s="29">
        <f t="shared" si="6"/>
        <v>0.9082543384</v>
      </c>
      <c r="F295" s="30">
        <f t="shared" si="2"/>
        <v>0.9082543384</v>
      </c>
      <c r="G295" s="29"/>
      <c r="H295" s="29"/>
      <c r="I295" s="27">
        <v>71101.0</v>
      </c>
      <c r="J295" s="28" t="s">
        <v>342</v>
      </c>
      <c r="K295" s="19">
        <v>0.06662501394748688</v>
      </c>
      <c r="L295" s="19">
        <v>0.05807405337691307</v>
      </c>
      <c r="M295" s="29">
        <f t="shared" si="3"/>
        <v>0.8716554029</v>
      </c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 ht="15.75" customHeight="1">
      <c r="A296" s="27">
        <v>71102.0</v>
      </c>
      <c r="B296" s="28" t="s">
        <v>343</v>
      </c>
      <c r="C296" s="19">
        <v>0.2252289354801178</v>
      </c>
      <c r="D296" s="19">
        <v>0.23208801448345184</v>
      </c>
      <c r="E296" s="29">
        <f t="shared" si="6"/>
        <v>1.030453809</v>
      </c>
      <c r="F296" s="30">
        <f t="shared" si="2"/>
        <v>1.030453809</v>
      </c>
      <c r="G296" s="29"/>
      <c r="H296" s="29"/>
      <c r="I296" s="27">
        <v>71102.0</v>
      </c>
      <c r="J296" s="28" t="s">
        <v>343</v>
      </c>
      <c r="K296" s="19">
        <v>0.04889308288693428</v>
      </c>
      <c r="L296" s="19">
        <v>0.037183210253715515</v>
      </c>
      <c r="M296" s="29">
        <f t="shared" si="3"/>
        <v>0.7605004237</v>
      </c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 ht="15.75" customHeight="1">
      <c r="A297" s="27">
        <v>71103.0</v>
      </c>
      <c r="B297" s="28" t="s">
        <v>344</v>
      </c>
      <c r="C297" s="19">
        <v>0.20818071067333221</v>
      </c>
      <c r="D297" s="19">
        <v>0.18271973729133606</v>
      </c>
      <c r="E297" s="29">
        <f t="shared" si="6"/>
        <v>0.8776977305</v>
      </c>
      <c r="F297" s="30">
        <f t="shared" si="2"/>
        <v>0.8776977305</v>
      </c>
      <c r="G297" s="29"/>
      <c r="H297" s="29"/>
      <c r="I297" s="27">
        <v>71103.0</v>
      </c>
      <c r="J297" s="28" t="s">
        <v>344</v>
      </c>
      <c r="K297" s="19">
        <v>0.05361305549740791</v>
      </c>
      <c r="L297" s="19">
        <v>0.03373350948095322</v>
      </c>
      <c r="M297" s="29">
        <f t="shared" si="3"/>
        <v>0.6292032634</v>
      </c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 ht="15.75" customHeight="1">
      <c r="A298" s="27">
        <v>71104.0</v>
      </c>
      <c r="B298" s="28" t="s">
        <v>345</v>
      </c>
      <c r="C298" s="19">
        <v>0.1846553385257721</v>
      </c>
      <c r="D298" s="19">
        <v>0.16093671321868896</v>
      </c>
      <c r="E298" s="29">
        <f t="shared" si="6"/>
        <v>0.8715519113</v>
      </c>
      <c r="F298" s="30">
        <f t="shared" si="2"/>
        <v>0.8715519113</v>
      </c>
      <c r="G298" s="29"/>
      <c r="H298" s="29"/>
      <c r="I298" s="27">
        <v>71104.0</v>
      </c>
      <c r="J298" s="28" t="s">
        <v>345</v>
      </c>
      <c r="K298" s="19">
        <v>0.034723345190286636</v>
      </c>
      <c r="L298" s="19">
        <v>0.018739547580480576</v>
      </c>
      <c r="M298" s="29">
        <f t="shared" si="3"/>
        <v>0.5396815162</v>
      </c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 ht="15.75" customHeight="1">
      <c r="A299" s="27">
        <v>71105.0</v>
      </c>
      <c r="B299" s="28" t="s">
        <v>346</v>
      </c>
      <c r="C299" s="19">
        <v>0.1622982919216156</v>
      </c>
      <c r="D299" s="19">
        <v>0.14979256689548492</v>
      </c>
      <c r="E299" s="29">
        <f t="shared" si="6"/>
        <v>0.9229460466</v>
      </c>
      <c r="F299" s="30">
        <f t="shared" si="2"/>
        <v>0.9229460466</v>
      </c>
      <c r="G299" s="29"/>
      <c r="H299" s="29"/>
      <c r="I299" s="27">
        <v>71105.0</v>
      </c>
      <c r="J299" s="28" t="s">
        <v>346</v>
      </c>
      <c r="K299" s="19">
        <v>0.025580666959285736</v>
      </c>
      <c r="L299" s="19">
        <v>0.02449873462319374</v>
      </c>
      <c r="M299" s="29">
        <f t="shared" si="3"/>
        <v>0.9577050771</v>
      </c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 ht="15.75" customHeight="1">
      <c r="A300" s="27">
        <v>71106.0</v>
      </c>
      <c r="B300" s="28" t="s">
        <v>347</v>
      </c>
      <c r="C300" s="19">
        <v>0.14974457025527954</v>
      </c>
      <c r="D300" s="19">
        <v>0.1142936423420906</v>
      </c>
      <c r="E300" s="29">
        <f t="shared" si="6"/>
        <v>0.7632573398</v>
      </c>
      <c r="F300" s="30">
        <f t="shared" si="2"/>
        <v>0.7632573398</v>
      </c>
      <c r="G300" s="29"/>
      <c r="H300" s="29"/>
      <c r="I300" s="27">
        <v>71106.0</v>
      </c>
      <c r="J300" s="28" t="s">
        <v>347</v>
      </c>
      <c r="K300" s="19">
        <v>0.027201632037758827</v>
      </c>
      <c r="L300" s="19">
        <v>0.01889955811202526</v>
      </c>
      <c r="M300" s="29">
        <f t="shared" si="3"/>
        <v>0.6947950066</v>
      </c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 ht="15.75" customHeight="1">
      <c r="A301" s="27">
        <v>71201.0</v>
      </c>
      <c r="B301" s="28" t="s">
        <v>348</v>
      </c>
      <c r="C301" s="19">
        <v>0.23855933547019958</v>
      </c>
      <c r="D301" s="19">
        <v>0.2373814880847931</v>
      </c>
      <c r="E301" s="29">
        <f t="shared" si="6"/>
        <v>0.9950626649</v>
      </c>
      <c r="F301" s="30">
        <f t="shared" si="2"/>
        <v>0.9950626649</v>
      </c>
      <c r="G301" s="29"/>
      <c r="H301" s="29"/>
      <c r="I301" s="27">
        <v>71201.0</v>
      </c>
      <c r="J301" s="28" t="s">
        <v>348</v>
      </c>
      <c r="K301" s="19">
        <v>0.052802808582782745</v>
      </c>
      <c r="L301" s="19">
        <v>0.04912896454334259</v>
      </c>
      <c r="M301" s="29">
        <f t="shared" si="3"/>
        <v>0.9304233214</v>
      </c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 ht="15.75" customHeight="1">
      <c r="A302" s="27">
        <v>71301.0</v>
      </c>
      <c r="B302" s="28" t="s">
        <v>349</v>
      </c>
      <c r="C302" s="19">
        <v>0.1780746728181839</v>
      </c>
      <c r="D302" s="19">
        <v>0.15497438609600067</v>
      </c>
      <c r="E302" s="29">
        <f t="shared" si="6"/>
        <v>0.8702775282</v>
      </c>
      <c r="F302" s="30">
        <f t="shared" si="2"/>
        <v>0.8702775282</v>
      </c>
      <c r="G302" s="29"/>
      <c r="H302" s="29"/>
      <c r="I302" s="27">
        <v>71301.0</v>
      </c>
      <c r="J302" s="28" t="s">
        <v>349</v>
      </c>
      <c r="K302" s="19">
        <v>0.0458313412964344</v>
      </c>
      <c r="L302" s="19">
        <v>0.034869104623794556</v>
      </c>
      <c r="M302" s="29">
        <f t="shared" si="3"/>
        <v>0.7608135315</v>
      </c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 ht="15.75" customHeight="1">
      <c r="A303" s="27">
        <v>71302.0</v>
      </c>
      <c r="B303" s="28" t="s">
        <v>350</v>
      </c>
      <c r="C303" s="19">
        <v>0.15229885280132294</v>
      </c>
      <c r="D303" s="19">
        <v>0.15858137607574463</v>
      </c>
      <c r="E303" s="29">
        <f t="shared" si="6"/>
        <v>1.041251284</v>
      </c>
      <c r="F303" s="30">
        <f t="shared" si="2"/>
        <v>1.041251284</v>
      </c>
      <c r="G303" s="29"/>
      <c r="H303" s="29"/>
      <c r="I303" s="27">
        <v>71302.0</v>
      </c>
      <c r="J303" s="28" t="s">
        <v>350</v>
      </c>
      <c r="K303" s="19">
        <v>0.037651125341653824</v>
      </c>
      <c r="L303" s="19">
        <v>0.023076752200722694</v>
      </c>
      <c r="M303" s="29">
        <f t="shared" si="3"/>
        <v>0.6129100257</v>
      </c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 ht="15.75" customHeight="1">
      <c r="A304" s="27">
        <v>71401.0</v>
      </c>
      <c r="B304" s="28" t="s">
        <v>351</v>
      </c>
      <c r="C304" s="19">
        <v>0.08220535516738892</v>
      </c>
      <c r="D304" s="19">
        <v>0.09490083158016205</v>
      </c>
      <c r="E304" s="29">
        <f t="shared" si="6"/>
        <v>1.154436124</v>
      </c>
      <c r="F304" s="30">
        <f t="shared" si="2"/>
        <v>1.154436124</v>
      </c>
      <c r="G304" s="29"/>
      <c r="H304" s="29"/>
      <c r="I304" s="27">
        <v>71401.0</v>
      </c>
      <c r="J304" s="28" t="s">
        <v>351</v>
      </c>
      <c r="K304" s="19">
        <v>0.017254674807190895</v>
      </c>
      <c r="L304" s="19">
        <v>0.016806578263640404</v>
      </c>
      <c r="M304" s="29">
        <f t="shared" si="3"/>
        <v>0.9740304266</v>
      </c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 ht="15.75" customHeight="1">
      <c r="A305" s="27">
        <v>71402.0</v>
      </c>
      <c r="B305" s="28" t="s">
        <v>352</v>
      </c>
      <c r="C305" s="19">
        <v>0.11292380839586258</v>
      </c>
      <c r="D305" s="19">
        <v>0.10371214896440506</v>
      </c>
      <c r="E305" s="29">
        <f t="shared" si="6"/>
        <v>0.9184258877</v>
      </c>
      <c r="F305" s="30">
        <f t="shared" si="2"/>
        <v>0.9184258877</v>
      </c>
      <c r="G305" s="29"/>
      <c r="H305" s="29"/>
      <c r="I305" s="27">
        <v>71402.0</v>
      </c>
      <c r="J305" s="28" t="s">
        <v>352</v>
      </c>
      <c r="K305" s="19">
        <v>0.023542357608675957</v>
      </c>
      <c r="L305" s="19">
        <v>0.018812984228134155</v>
      </c>
      <c r="M305" s="29">
        <f t="shared" si="3"/>
        <v>0.7991121595</v>
      </c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 ht="15.75" customHeight="1">
      <c r="A306" s="27">
        <v>71403.0</v>
      </c>
      <c r="B306" s="28" t="s">
        <v>353</v>
      </c>
      <c r="C306" s="19">
        <v>0.1569962501525879</v>
      </c>
      <c r="D306" s="19">
        <v>0.2141234129667282</v>
      </c>
      <c r="E306" s="29">
        <f t="shared" si="6"/>
        <v>1.36387597</v>
      </c>
      <c r="F306" s="30">
        <f t="shared" si="2"/>
        <v>1.36387597</v>
      </c>
      <c r="G306" s="29"/>
      <c r="H306" s="29"/>
      <c r="I306" s="27">
        <v>71403.0</v>
      </c>
      <c r="J306" s="28" t="s">
        <v>353</v>
      </c>
      <c r="K306" s="19">
        <v>0.02990598976612091</v>
      </c>
      <c r="L306" s="19">
        <v>0.042251069098711014</v>
      </c>
      <c r="M306" s="29">
        <f t="shared" si="3"/>
        <v>1.412796213</v>
      </c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 ht="15.75" customHeight="1">
      <c r="A307" s="27">
        <v>71501.0</v>
      </c>
      <c r="B307" s="28" t="s">
        <v>354</v>
      </c>
      <c r="C307" s="19">
        <v>0.25907590985298157</v>
      </c>
      <c r="D307" s="19">
        <v>0.2728366255760193</v>
      </c>
      <c r="E307" s="29">
        <f t="shared" si="6"/>
        <v>1.053114609</v>
      </c>
      <c r="F307" s="30">
        <f t="shared" si="2"/>
        <v>1.053114609</v>
      </c>
      <c r="G307" s="29"/>
      <c r="H307" s="29"/>
      <c r="I307" s="27">
        <v>71501.0</v>
      </c>
      <c r="J307" s="28" t="s">
        <v>354</v>
      </c>
      <c r="K307" s="19">
        <v>0.08180628716945648</v>
      </c>
      <c r="L307" s="19">
        <v>0.0756303146481514</v>
      </c>
      <c r="M307" s="29">
        <f t="shared" si="3"/>
        <v>0.924504916</v>
      </c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 ht="15.75" customHeight="1">
      <c r="A308" s="27">
        <v>71502.0</v>
      </c>
      <c r="B308" s="28" t="s">
        <v>355</v>
      </c>
      <c r="C308" s="19">
        <v>0.24300001561641693</v>
      </c>
      <c r="D308" s="19">
        <v>0.24972231686115265</v>
      </c>
      <c r="E308" s="29">
        <f t="shared" si="6"/>
        <v>1.027663789</v>
      </c>
      <c r="F308" s="30">
        <f t="shared" si="2"/>
        <v>1.027663789</v>
      </c>
      <c r="G308" s="29"/>
      <c r="H308" s="29"/>
      <c r="I308" s="27">
        <v>71502.0</v>
      </c>
      <c r="J308" s="28" t="s">
        <v>355</v>
      </c>
      <c r="K308" s="19">
        <v>0.04852844402194023</v>
      </c>
      <c r="L308" s="19">
        <v>0.052283693104982376</v>
      </c>
      <c r="M308" s="29">
        <f t="shared" si="3"/>
        <v>1.077382433</v>
      </c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 ht="15.75" customHeight="1">
      <c r="A309" s="27">
        <v>71503.0</v>
      </c>
      <c r="B309" s="28" t="s">
        <v>301</v>
      </c>
      <c r="C309" s="19">
        <v>0.31151261925697327</v>
      </c>
      <c r="D309" s="19">
        <v>0.2818868160247803</v>
      </c>
      <c r="E309" s="29">
        <f t="shared" si="6"/>
        <v>0.9048969403</v>
      </c>
      <c r="F309" s="30">
        <f t="shared" si="2"/>
        <v>0.9048969403</v>
      </c>
      <c r="G309" s="29"/>
      <c r="H309" s="29"/>
      <c r="I309" s="27">
        <v>71503.0</v>
      </c>
      <c r="J309" s="28" t="s">
        <v>301</v>
      </c>
      <c r="K309" s="19">
        <v>0.06391585618257523</v>
      </c>
      <c r="L309" s="19">
        <v>0.05117223039269447</v>
      </c>
      <c r="M309" s="29">
        <f t="shared" si="3"/>
        <v>0.8006187111</v>
      </c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 ht="15.75" customHeight="1">
      <c r="A310" s="27">
        <v>80101.0</v>
      </c>
      <c r="B310" s="28" t="s">
        <v>356</v>
      </c>
      <c r="C310" s="19">
        <v>0.11354546248912811</v>
      </c>
      <c r="D310" s="19">
        <v>0.1505642682313919</v>
      </c>
      <c r="E310" s="29">
        <f t="shared" si="6"/>
        <v>1.326026289</v>
      </c>
      <c r="F310" s="30">
        <f t="shared" si="2"/>
        <v>1.326026289</v>
      </c>
      <c r="G310" s="29"/>
      <c r="H310" s="29"/>
      <c r="I310" s="27">
        <v>80101.0</v>
      </c>
      <c r="J310" s="28" t="s">
        <v>356</v>
      </c>
      <c r="K310" s="19">
        <v>0.035451795905828476</v>
      </c>
      <c r="L310" s="19">
        <v>0.03462960571050644</v>
      </c>
      <c r="M310" s="29">
        <f t="shared" si="3"/>
        <v>0.9768082216</v>
      </c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 ht="15.75" customHeight="1">
      <c r="A311" s="27">
        <v>80102.0</v>
      </c>
      <c r="B311" s="28" t="s">
        <v>343</v>
      </c>
      <c r="C311" s="19">
        <v>0.2307923436164856</v>
      </c>
      <c r="D311" s="19">
        <v>0.251240998506546</v>
      </c>
      <c r="E311" s="29">
        <f t="shared" si="6"/>
        <v>1.088601964</v>
      </c>
      <c r="F311" s="30">
        <f t="shared" si="2"/>
        <v>1.088601964</v>
      </c>
      <c r="G311" s="29"/>
      <c r="H311" s="29"/>
      <c r="I311" s="27">
        <v>80102.0</v>
      </c>
      <c r="J311" s="28" t="s">
        <v>343</v>
      </c>
      <c r="K311" s="19">
        <v>0.06804556399583817</v>
      </c>
      <c r="L311" s="19">
        <v>0.07588688284158707</v>
      </c>
      <c r="M311" s="29">
        <f t="shared" si="3"/>
        <v>1.115236297</v>
      </c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 ht="15.75" customHeight="1">
      <c r="A312" s="27">
        <v>80201.0</v>
      </c>
      <c r="B312" s="28" t="s">
        <v>357</v>
      </c>
      <c r="C312" s="19">
        <v>0.25127413868904114</v>
      </c>
      <c r="D312" s="19">
        <v>0.3007478713989258</v>
      </c>
      <c r="E312" s="29">
        <f t="shared" si="6"/>
        <v>1.196891463</v>
      </c>
      <c r="F312" s="30">
        <f t="shared" si="2"/>
        <v>1.196891463</v>
      </c>
      <c r="G312" s="29"/>
      <c r="H312" s="29"/>
      <c r="I312" s="27">
        <v>80201.0</v>
      </c>
      <c r="J312" s="28" t="s">
        <v>357</v>
      </c>
      <c r="K312" s="19">
        <v>0.09466581791639328</v>
      </c>
      <c r="L312" s="19">
        <v>0.0917922705411911</v>
      </c>
      <c r="M312" s="29">
        <f t="shared" si="3"/>
        <v>0.9696453542</v>
      </c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 ht="15.75" customHeight="1">
      <c r="A313" s="27">
        <v>80202.0</v>
      </c>
      <c r="B313" s="28" t="s">
        <v>358</v>
      </c>
      <c r="C313" s="19">
        <v>0.1467939019203186</v>
      </c>
      <c r="D313" s="19">
        <v>0.15735721588134766</v>
      </c>
      <c r="E313" s="29">
        <f t="shared" si="6"/>
        <v>1.071960169</v>
      </c>
      <c r="F313" s="30">
        <f t="shared" si="2"/>
        <v>1.071960169</v>
      </c>
      <c r="G313" s="29"/>
      <c r="H313" s="29"/>
      <c r="I313" s="27">
        <v>80202.0</v>
      </c>
      <c r="J313" s="28" t="s">
        <v>358</v>
      </c>
      <c r="K313" s="19">
        <v>0.03668946772813797</v>
      </c>
      <c r="L313" s="19">
        <v>0.038099586963653564</v>
      </c>
      <c r="M313" s="29">
        <f t="shared" si="3"/>
        <v>1.038433897</v>
      </c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 ht="15.75" customHeight="1">
      <c r="A314" s="27">
        <v>80301.0</v>
      </c>
      <c r="B314" s="28" t="s">
        <v>359</v>
      </c>
      <c r="C314" s="19">
        <v>0.2645959258079529</v>
      </c>
      <c r="D314" s="19">
        <v>0.28941959142684937</v>
      </c>
      <c r="E314" s="29">
        <f t="shared" si="6"/>
        <v>1.093817263</v>
      </c>
      <c r="F314" s="30">
        <f t="shared" si="2"/>
        <v>1.093817263</v>
      </c>
      <c r="G314" s="29"/>
      <c r="H314" s="29"/>
      <c r="I314" s="27">
        <v>80301.0</v>
      </c>
      <c r="J314" s="28" t="s">
        <v>359</v>
      </c>
      <c r="K314" s="19">
        <v>0.09221428632736206</v>
      </c>
      <c r="L314" s="19">
        <v>0.07896681129932404</v>
      </c>
      <c r="M314" s="29">
        <f t="shared" si="3"/>
        <v>0.8563403182</v>
      </c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 ht="15.75" customHeight="1">
      <c r="A315" s="27">
        <v>80302.0</v>
      </c>
      <c r="B315" s="28" t="s">
        <v>360</v>
      </c>
      <c r="C315" s="19">
        <v>0.31672200560569763</v>
      </c>
      <c r="D315" s="19">
        <v>0.3288240134716034</v>
      </c>
      <c r="E315" s="29">
        <f t="shared" si="6"/>
        <v>1.03821019</v>
      </c>
      <c r="F315" s="30">
        <f t="shared" si="2"/>
        <v>1.03821019</v>
      </c>
      <c r="G315" s="29"/>
      <c r="H315" s="29"/>
      <c r="I315" s="27">
        <v>80302.0</v>
      </c>
      <c r="J315" s="28" t="s">
        <v>360</v>
      </c>
      <c r="K315" s="19">
        <v>0.13547857105731964</v>
      </c>
      <c r="L315" s="19">
        <v>0.16612812876701355</v>
      </c>
      <c r="M315" s="29">
        <f t="shared" si="3"/>
        <v>1.226231776</v>
      </c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 ht="15.75" customHeight="1">
      <c r="A316" s="27">
        <v>80303.0</v>
      </c>
      <c r="B316" s="28" t="s">
        <v>320</v>
      </c>
      <c r="C316" s="19">
        <v>0.20226691663265228</v>
      </c>
      <c r="D316" s="19">
        <v>0.1980743557214737</v>
      </c>
      <c r="E316" s="29">
        <f t="shared" si="6"/>
        <v>0.9792721371</v>
      </c>
      <c r="F316" s="30">
        <f t="shared" si="2"/>
        <v>0.9792721371</v>
      </c>
      <c r="G316" s="29"/>
      <c r="H316" s="29"/>
      <c r="I316" s="27">
        <v>80303.0</v>
      </c>
      <c r="J316" s="28" t="s">
        <v>320</v>
      </c>
      <c r="K316" s="19">
        <v>0.04750402644276619</v>
      </c>
      <c r="L316" s="19">
        <v>0.04157416522502899</v>
      </c>
      <c r="M316" s="29">
        <f t="shared" si="3"/>
        <v>0.8751713978</v>
      </c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 ht="15.75" customHeight="1">
      <c r="A317" s="27">
        <v>80304.0</v>
      </c>
      <c r="B317" s="28" t="s">
        <v>361</v>
      </c>
      <c r="C317" s="19">
        <v>0.14522241055965424</v>
      </c>
      <c r="D317" s="19">
        <v>0.16940660774707794</v>
      </c>
      <c r="E317" s="29">
        <f t="shared" si="6"/>
        <v>1.166532129</v>
      </c>
      <c r="F317" s="30">
        <f t="shared" si="2"/>
        <v>1.166532129</v>
      </c>
      <c r="G317" s="29"/>
      <c r="H317" s="29"/>
      <c r="I317" s="27">
        <v>80304.0</v>
      </c>
      <c r="J317" s="28" t="s">
        <v>361</v>
      </c>
      <c r="K317" s="19">
        <v>0.04096446931362152</v>
      </c>
      <c r="L317" s="19">
        <v>0.06181632727384567</v>
      </c>
      <c r="M317" s="29">
        <f t="shared" si="3"/>
        <v>1.509023022</v>
      </c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 ht="15.75" customHeight="1">
      <c r="A318" s="27">
        <v>80401.0</v>
      </c>
      <c r="B318" s="28" t="s">
        <v>362</v>
      </c>
      <c r="C318" s="19">
        <v>0.1848520040512085</v>
      </c>
      <c r="D318" s="19">
        <v>0.20477673411369324</v>
      </c>
      <c r="E318" s="29">
        <f t="shared" si="6"/>
        <v>1.107787471</v>
      </c>
      <c r="F318" s="30">
        <f t="shared" si="2"/>
        <v>1.107787471</v>
      </c>
      <c r="G318" s="29"/>
      <c r="H318" s="29"/>
      <c r="I318" s="27">
        <v>80401.0</v>
      </c>
      <c r="J318" s="28" t="s">
        <v>362</v>
      </c>
      <c r="K318" s="19">
        <v>0.0805748701095581</v>
      </c>
      <c r="L318" s="19">
        <v>0.102534219622612</v>
      </c>
      <c r="M318" s="29">
        <f t="shared" si="3"/>
        <v>1.272533477</v>
      </c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 ht="15.75" customHeight="1">
      <c r="A319" s="27">
        <v>80402.0</v>
      </c>
      <c r="B319" s="28" t="s">
        <v>363</v>
      </c>
      <c r="C319" s="19">
        <v>0.32207539677619934</v>
      </c>
      <c r="D319" s="19">
        <v>0.3548436462879181</v>
      </c>
      <c r="E319" s="29">
        <f t="shared" si="6"/>
        <v>1.101740927</v>
      </c>
      <c r="F319" s="30">
        <f t="shared" si="2"/>
        <v>1.101740927</v>
      </c>
      <c r="G319" s="29"/>
      <c r="H319" s="29"/>
      <c r="I319" s="27">
        <v>80402.0</v>
      </c>
      <c r="J319" s="28" t="s">
        <v>363</v>
      </c>
      <c r="K319" s="19">
        <v>0.11826310306787491</v>
      </c>
      <c r="L319" s="19">
        <v>0.08806900680065155</v>
      </c>
      <c r="M319" s="29">
        <f t="shared" si="3"/>
        <v>0.7446870961</v>
      </c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 ht="15.75" customHeight="1">
      <c r="A320" s="27">
        <v>80501.0</v>
      </c>
      <c r="B320" s="28" t="s">
        <v>309</v>
      </c>
      <c r="C320" s="19">
        <v>0.32073238492012024</v>
      </c>
      <c r="D320" s="19">
        <v>0.3344917595386505</v>
      </c>
      <c r="E320" s="29">
        <f t="shared" si="6"/>
        <v>1.042899861</v>
      </c>
      <c r="F320" s="30">
        <f t="shared" si="2"/>
        <v>1.042899861</v>
      </c>
      <c r="G320" s="29"/>
      <c r="H320" s="29"/>
      <c r="I320" s="27">
        <v>80501.0</v>
      </c>
      <c r="J320" s="28" t="s">
        <v>309</v>
      </c>
      <c r="K320" s="19">
        <v>0.08163078129291534</v>
      </c>
      <c r="L320" s="19">
        <v>0.08397325873374939</v>
      </c>
      <c r="M320" s="29">
        <f t="shared" si="3"/>
        <v>1.028696007</v>
      </c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 ht="15.75" customHeight="1">
      <c r="A321" s="27">
        <v>80601.0</v>
      </c>
      <c r="B321" s="28" t="s">
        <v>364</v>
      </c>
      <c r="C321" s="19">
        <v>0.29652923345565796</v>
      </c>
      <c r="D321" s="19">
        <v>0.3281383514404297</v>
      </c>
      <c r="E321" s="29">
        <f t="shared" si="6"/>
        <v>1.106596971</v>
      </c>
      <c r="F321" s="30">
        <f t="shared" si="2"/>
        <v>1.106596971</v>
      </c>
      <c r="G321" s="29"/>
      <c r="H321" s="29"/>
      <c r="I321" s="27">
        <v>80601.0</v>
      </c>
      <c r="J321" s="28" t="s">
        <v>364</v>
      </c>
      <c r="K321" s="19">
        <v>0.12888312339782715</v>
      </c>
      <c r="L321" s="19">
        <v>0.10311059653759003</v>
      </c>
      <c r="M321" s="29">
        <f t="shared" si="3"/>
        <v>0.8000317948</v>
      </c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 ht="15.75" customHeight="1">
      <c r="A322" s="27">
        <v>80602.0</v>
      </c>
      <c r="B322" s="28" t="s">
        <v>365</v>
      </c>
      <c r="C322" s="19">
        <v>0.25103428959846497</v>
      </c>
      <c r="D322" s="19">
        <v>0.22228704392910004</v>
      </c>
      <c r="E322" s="29">
        <f t="shared" si="6"/>
        <v>0.8854847849</v>
      </c>
      <c r="F322" s="30">
        <f t="shared" si="2"/>
        <v>0.8854847849</v>
      </c>
      <c r="G322" s="29"/>
      <c r="H322" s="29"/>
      <c r="I322" s="27">
        <v>80602.0</v>
      </c>
      <c r="J322" s="28" t="s">
        <v>365</v>
      </c>
      <c r="K322" s="19">
        <v>0.06171078607439995</v>
      </c>
      <c r="L322" s="19">
        <v>0.05714236572384834</v>
      </c>
      <c r="M322" s="29">
        <f t="shared" si="3"/>
        <v>0.9259704722</v>
      </c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 ht="15.75" customHeight="1">
      <c r="A323" s="27">
        <v>80701.0</v>
      </c>
      <c r="B323" s="28" t="s">
        <v>366</v>
      </c>
      <c r="C323" s="19">
        <v>0.19738459587097168</v>
      </c>
      <c r="D323" s="19">
        <v>0.2346196323633194</v>
      </c>
      <c r="E323" s="29">
        <f t="shared" si="6"/>
        <v>1.188642059</v>
      </c>
      <c r="F323" s="30">
        <f t="shared" si="2"/>
        <v>1.188642059</v>
      </c>
      <c r="G323" s="29"/>
      <c r="H323" s="29"/>
      <c r="I323" s="27">
        <v>80701.0</v>
      </c>
      <c r="J323" s="28" t="s">
        <v>366</v>
      </c>
      <c r="K323" s="19">
        <v>0.05288815125823021</v>
      </c>
      <c r="L323" s="19">
        <v>0.05077565088868141</v>
      </c>
      <c r="M323" s="29">
        <f t="shared" si="3"/>
        <v>0.960057209</v>
      </c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 ht="15.75" customHeight="1">
      <c r="A324" s="27">
        <v>80702.0</v>
      </c>
      <c r="B324" s="28" t="s">
        <v>344</v>
      </c>
      <c r="C324" s="19">
        <v>0.18898922204971313</v>
      </c>
      <c r="D324" s="19">
        <v>0.19500315189361572</v>
      </c>
      <c r="E324" s="29">
        <f t="shared" si="6"/>
        <v>1.031821549</v>
      </c>
      <c r="F324" s="30">
        <f t="shared" si="2"/>
        <v>1.031821549</v>
      </c>
      <c r="G324" s="29"/>
      <c r="H324" s="29"/>
      <c r="I324" s="27">
        <v>80702.0</v>
      </c>
      <c r="J324" s="28" t="s">
        <v>344</v>
      </c>
      <c r="K324" s="19">
        <v>0.04604160785675049</v>
      </c>
      <c r="L324" s="19">
        <v>0.05330810323357582</v>
      </c>
      <c r="M324" s="29">
        <f t="shared" si="3"/>
        <v>1.157824536</v>
      </c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 ht="15.75" customHeight="1">
      <c r="A325" s="27">
        <v>80703.0</v>
      </c>
      <c r="B325" s="28" t="s">
        <v>367</v>
      </c>
      <c r="C325" s="19">
        <v>0.21079958975315094</v>
      </c>
      <c r="D325" s="19">
        <v>0.21260683238506317</v>
      </c>
      <c r="E325" s="29">
        <f t="shared" si="6"/>
        <v>1.008573274</v>
      </c>
      <c r="F325" s="30">
        <f t="shared" si="2"/>
        <v>1.008573274</v>
      </c>
      <c r="G325" s="29"/>
      <c r="H325" s="29"/>
      <c r="I325" s="27">
        <v>80703.0</v>
      </c>
      <c r="J325" s="28" t="s">
        <v>367</v>
      </c>
      <c r="K325" s="19">
        <v>0.08474576473236084</v>
      </c>
      <c r="L325" s="19">
        <v>0.028332103043794632</v>
      </c>
      <c r="M325" s="29">
        <f t="shared" si="3"/>
        <v>0.3343188079</v>
      </c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 ht="15.75" customHeight="1">
      <c r="A326" s="27">
        <v>80801.0</v>
      </c>
      <c r="B326" s="28" t="s">
        <v>368</v>
      </c>
      <c r="C326" s="19">
        <v>0.23757654428482056</v>
      </c>
      <c r="D326" s="19">
        <v>0.25606587529182434</v>
      </c>
      <c r="E326" s="29">
        <f t="shared" si="6"/>
        <v>1.077824732</v>
      </c>
      <c r="F326" s="30">
        <f t="shared" si="2"/>
        <v>1.077824732</v>
      </c>
      <c r="G326" s="29"/>
      <c r="H326" s="29"/>
      <c r="I326" s="27">
        <v>80801.0</v>
      </c>
      <c r="J326" s="28" t="s">
        <v>368</v>
      </c>
      <c r="K326" s="19">
        <v>0.07054847478866577</v>
      </c>
      <c r="L326" s="19">
        <v>0.05731977894902229</v>
      </c>
      <c r="M326" s="29">
        <f t="shared" si="3"/>
        <v>0.8124878549</v>
      </c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 ht="15.75" customHeight="1">
      <c r="A327" s="27">
        <v>80802.0</v>
      </c>
      <c r="B327" s="28" t="s">
        <v>369</v>
      </c>
      <c r="C327" s="19">
        <v>0.17470525205135345</v>
      </c>
      <c r="D327" s="19">
        <v>0.2132960706949234</v>
      </c>
      <c r="E327" s="29">
        <f t="shared" si="6"/>
        <v>1.220891005</v>
      </c>
      <c r="F327" s="30">
        <f t="shared" si="2"/>
        <v>1.220891005</v>
      </c>
      <c r="G327" s="29"/>
      <c r="H327" s="29"/>
      <c r="I327" s="27">
        <v>80802.0</v>
      </c>
      <c r="J327" s="28" t="s">
        <v>369</v>
      </c>
      <c r="K327" s="19">
        <v>0.06601826846599579</v>
      </c>
      <c r="L327" s="19">
        <v>0.06129387766122818</v>
      </c>
      <c r="M327" s="29">
        <f t="shared" si="3"/>
        <v>0.9284381291</v>
      </c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 ht="15.75" customHeight="1">
      <c r="A328" s="27">
        <v>80803.0</v>
      </c>
      <c r="B328" s="28" t="s">
        <v>370</v>
      </c>
      <c r="C328" s="19">
        <v>0.22521468997001648</v>
      </c>
      <c r="D328" s="19">
        <v>0.22792744636535645</v>
      </c>
      <c r="E328" s="29">
        <f t="shared" si="6"/>
        <v>1.012045202</v>
      </c>
      <c r="F328" s="30">
        <f t="shared" si="2"/>
        <v>1.012045202</v>
      </c>
      <c r="G328" s="29"/>
      <c r="H328" s="29"/>
      <c r="I328" s="27">
        <v>80803.0</v>
      </c>
      <c r="J328" s="28" t="s">
        <v>370</v>
      </c>
      <c r="K328" s="19">
        <v>0.0336269773542881</v>
      </c>
      <c r="L328" s="19">
        <v>0.05350877344608307</v>
      </c>
      <c r="M328" s="29">
        <f t="shared" si="3"/>
        <v>1.591245412</v>
      </c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 ht="15.75" customHeight="1">
      <c r="A329" s="34">
        <v>80901.0</v>
      </c>
      <c r="B329" s="28" t="s">
        <v>371</v>
      </c>
      <c r="C329" s="19">
        <v>0.25279219448566437</v>
      </c>
      <c r="D329" s="19">
        <v>0.2696342468261719</v>
      </c>
      <c r="E329" s="19">
        <v>0.0</v>
      </c>
      <c r="F329" s="30">
        <f t="shared" si="2"/>
        <v>1.0666241</v>
      </c>
      <c r="G329" s="29"/>
      <c r="H329" s="29"/>
      <c r="I329" s="34">
        <v>80901.0</v>
      </c>
      <c r="J329" s="28" t="s">
        <v>371</v>
      </c>
      <c r="K329" s="19">
        <v>0.1515151560306549</v>
      </c>
      <c r="L329" s="19">
        <v>0.17086640000343323</v>
      </c>
      <c r="M329" s="29">
        <f t="shared" si="3"/>
        <v>1.127718206</v>
      </c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 ht="15.75" customHeight="1">
      <c r="A330" s="27">
        <v>90101.0</v>
      </c>
      <c r="B330" s="28" t="s">
        <v>372</v>
      </c>
      <c r="C330" s="19">
        <v>0.09390589594841003</v>
      </c>
      <c r="D330" s="19">
        <v>0.11419566720724106</v>
      </c>
      <c r="E330" s="29">
        <f t="shared" ref="E330:E344" si="7">D330/C330</f>
        <v>1.216064935</v>
      </c>
      <c r="F330" s="30">
        <f t="shared" si="2"/>
        <v>1.216064935</v>
      </c>
      <c r="G330" s="29"/>
      <c r="H330" s="29"/>
      <c r="I330" s="27">
        <v>90101.0</v>
      </c>
      <c r="J330" s="28" t="s">
        <v>372</v>
      </c>
      <c r="K330" s="19">
        <v>0.020107828080654144</v>
      </c>
      <c r="L330" s="19">
        <v>0.019094213843345642</v>
      </c>
      <c r="M330" s="29">
        <f t="shared" si="3"/>
        <v>0.9495910631</v>
      </c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 ht="15.75" customHeight="1">
      <c r="A331" s="27">
        <v>90102.0</v>
      </c>
      <c r="B331" s="28" t="s">
        <v>373</v>
      </c>
      <c r="C331" s="19">
        <v>0.12154243141412735</v>
      </c>
      <c r="D331" s="19">
        <v>0.17356865108013153</v>
      </c>
      <c r="E331" s="29">
        <f t="shared" si="7"/>
        <v>1.428049851</v>
      </c>
      <c r="F331" s="30">
        <f t="shared" si="2"/>
        <v>1.428049851</v>
      </c>
      <c r="G331" s="29"/>
      <c r="H331" s="29"/>
      <c r="I331" s="27">
        <v>90102.0</v>
      </c>
      <c r="J331" s="28" t="s">
        <v>373</v>
      </c>
      <c r="K331" s="19">
        <v>0.046046044677495956</v>
      </c>
      <c r="L331" s="19">
        <v>0.03375980630517006</v>
      </c>
      <c r="M331" s="29">
        <f t="shared" si="3"/>
        <v>0.7331749457</v>
      </c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 ht="15.75" customHeight="1">
      <c r="A332" s="27">
        <v>90103.0</v>
      </c>
      <c r="B332" s="28" t="s">
        <v>374</v>
      </c>
      <c r="C332" s="19">
        <v>0.38130199909210205</v>
      </c>
      <c r="D332" s="19">
        <v>0.35997331142425537</v>
      </c>
      <c r="E332" s="29">
        <f t="shared" si="7"/>
        <v>0.9440635304</v>
      </c>
      <c r="F332" s="30">
        <f t="shared" si="2"/>
        <v>0.9440635304</v>
      </c>
      <c r="G332" s="29"/>
      <c r="H332" s="29"/>
      <c r="I332" s="27">
        <v>90103.0</v>
      </c>
      <c r="J332" s="28" t="s">
        <v>374</v>
      </c>
      <c r="K332" s="19">
        <v>0.03030303120613098</v>
      </c>
      <c r="L332" s="19">
        <v>0.05317305773496628</v>
      </c>
      <c r="M332" s="29">
        <f t="shared" si="3"/>
        <v>1.754710853</v>
      </c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 ht="15.75" customHeight="1">
      <c r="A333" s="27">
        <v>90104.0</v>
      </c>
      <c r="B333" s="28" t="s">
        <v>375</v>
      </c>
      <c r="C333" s="19">
        <v>0.3378331661224365</v>
      </c>
      <c r="D333" s="19">
        <v>0.2838168144226074</v>
      </c>
      <c r="E333" s="29">
        <f t="shared" si="7"/>
        <v>0.840109388</v>
      </c>
      <c r="F333" s="30">
        <f t="shared" si="2"/>
        <v>0.840109388</v>
      </c>
      <c r="G333" s="29"/>
      <c r="H333" s="29"/>
      <c r="I333" s="27">
        <v>90104.0</v>
      </c>
      <c r="J333" s="28" t="s">
        <v>375</v>
      </c>
      <c r="K333" s="19">
        <v>0.04246795177459717</v>
      </c>
      <c r="L333" s="19">
        <v>0.05490848422050476</v>
      </c>
      <c r="M333" s="29">
        <f t="shared" si="3"/>
        <v>1.292939309</v>
      </c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 ht="15.75" customHeight="1">
      <c r="A334" s="27">
        <v>90201.0</v>
      </c>
      <c r="B334" s="28" t="s">
        <v>376</v>
      </c>
      <c r="C334" s="19">
        <v>0.15541264414787292</v>
      </c>
      <c r="D334" s="19">
        <v>0.22709456086158752</v>
      </c>
      <c r="E334" s="29">
        <f t="shared" si="7"/>
        <v>1.461236067</v>
      </c>
      <c r="F334" s="30">
        <f t="shared" si="2"/>
        <v>1.461236067</v>
      </c>
      <c r="G334" s="29"/>
      <c r="H334" s="29"/>
      <c r="I334" s="27">
        <v>90201.0</v>
      </c>
      <c r="J334" s="28" t="s">
        <v>376</v>
      </c>
      <c r="K334" s="19">
        <v>0.0666399598121643</v>
      </c>
      <c r="L334" s="19">
        <v>0.05154392868280411</v>
      </c>
      <c r="M334" s="29">
        <f t="shared" si="3"/>
        <v>0.773468784</v>
      </c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 ht="15.75" customHeight="1">
      <c r="A335" s="27">
        <v>90202.0</v>
      </c>
      <c r="B335" s="28" t="s">
        <v>267</v>
      </c>
      <c r="C335" s="19">
        <v>0.49134561419487</v>
      </c>
      <c r="D335" s="19">
        <v>0.47094693779945374</v>
      </c>
      <c r="E335" s="29">
        <f t="shared" si="7"/>
        <v>0.9584840572</v>
      </c>
      <c r="F335" s="30">
        <f t="shared" si="2"/>
        <v>0.9584840572</v>
      </c>
      <c r="G335" s="29"/>
      <c r="H335" s="29"/>
      <c r="I335" s="27">
        <v>90202.0</v>
      </c>
      <c r="J335" s="28" t="s">
        <v>267</v>
      </c>
      <c r="K335" s="19">
        <v>0.1458333432674408</v>
      </c>
      <c r="L335" s="19">
        <v>0.17987987399101257</v>
      </c>
      <c r="M335" s="29">
        <f t="shared" si="3"/>
        <v>1.233461909</v>
      </c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 ht="15.75" customHeight="1">
      <c r="A336" s="27">
        <v>90203.0</v>
      </c>
      <c r="B336" s="28" t="s">
        <v>377</v>
      </c>
      <c r="C336" s="19">
        <v>0.31958964467048645</v>
      </c>
      <c r="D336" s="19">
        <v>0.29397401213645935</v>
      </c>
      <c r="E336" s="29">
        <f t="shared" si="7"/>
        <v>0.919848365</v>
      </c>
      <c r="F336" s="30">
        <f t="shared" si="2"/>
        <v>0.919848365</v>
      </c>
      <c r="G336" s="29"/>
      <c r="H336" s="29"/>
      <c r="I336" s="27">
        <v>90203.0</v>
      </c>
      <c r="J336" s="28" t="s">
        <v>377</v>
      </c>
      <c r="K336" s="19">
        <v>0.06840848177671432</v>
      </c>
      <c r="L336" s="19">
        <v>0.045280635356903076</v>
      </c>
      <c r="M336" s="29">
        <f t="shared" si="3"/>
        <v>0.6619155137</v>
      </c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 ht="15.75" customHeight="1">
      <c r="A337" s="27">
        <v>90301.0</v>
      </c>
      <c r="B337" s="28" t="s">
        <v>378</v>
      </c>
      <c r="C337" s="19">
        <v>0.3484848439693451</v>
      </c>
      <c r="D337" s="19">
        <v>0.33402541279792786</v>
      </c>
      <c r="E337" s="29">
        <f t="shared" si="7"/>
        <v>0.9585077187</v>
      </c>
      <c r="F337" s="30">
        <f t="shared" si="2"/>
        <v>0.9585077187</v>
      </c>
      <c r="G337" s="29"/>
      <c r="H337" s="29"/>
      <c r="I337" s="27">
        <v>90301.0</v>
      </c>
      <c r="J337" s="28" t="s">
        <v>378</v>
      </c>
      <c r="K337" s="19">
        <v>0.1005721241235733</v>
      </c>
      <c r="L337" s="19">
        <v>0.07395080476999283</v>
      </c>
      <c r="M337" s="29">
        <f t="shared" si="3"/>
        <v>0.7353012121</v>
      </c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 ht="15.75" customHeight="1">
      <c r="A338" s="27">
        <v>90302.0</v>
      </c>
      <c r="B338" s="28" t="s">
        <v>300</v>
      </c>
      <c r="C338" s="19">
        <v>0.3663747012615204</v>
      </c>
      <c r="D338" s="19">
        <v>0.3418223261833191</v>
      </c>
      <c r="E338" s="29">
        <f t="shared" si="7"/>
        <v>0.9329856156</v>
      </c>
      <c r="F338" s="30">
        <f t="shared" si="2"/>
        <v>0.9329856156</v>
      </c>
      <c r="G338" s="29"/>
      <c r="H338" s="29"/>
      <c r="I338" s="27">
        <v>90302.0</v>
      </c>
      <c r="J338" s="28" t="s">
        <v>300</v>
      </c>
      <c r="K338" s="19">
        <v>0.09706134349107742</v>
      </c>
      <c r="L338" s="19">
        <v>0.05725478008389473</v>
      </c>
      <c r="M338" s="29">
        <f t="shared" si="3"/>
        <v>0.5898824189</v>
      </c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 ht="15.75" customHeight="1">
      <c r="A339" s="27">
        <v>90303.0</v>
      </c>
      <c r="B339" s="28" t="s">
        <v>379</v>
      </c>
      <c r="C339" s="19">
        <v>0.5247140526771545</v>
      </c>
      <c r="D339" s="19">
        <v>0.5052878856658936</v>
      </c>
      <c r="E339" s="29">
        <f t="shared" si="7"/>
        <v>0.9629776124</v>
      </c>
      <c r="F339" s="30">
        <f t="shared" si="2"/>
        <v>0.9629776124</v>
      </c>
      <c r="G339" s="29"/>
      <c r="H339" s="29"/>
      <c r="I339" s="27">
        <v>90303.0</v>
      </c>
      <c r="J339" s="28" t="s">
        <v>379</v>
      </c>
      <c r="K339" s="19">
        <v>0.11901441216468811</v>
      </c>
      <c r="L339" s="19">
        <v>0.10394767671823502</v>
      </c>
      <c r="M339" s="29">
        <f t="shared" si="3"/>
        <v>0.8734041099</v>
      </c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 ht="15.75" customHeight="1">
      <c r="A340" s="27">
        <v>90401.0</v>
      </c>
      <c r="B340" s="28" t="s">
        <v>320</v>
      </c>
      <c r="C340" s="19">
        <v>0.25422221422195435</v>
      </c>
      <c r="D340" s="19">
        <v>0.22065652906894684</v>
      </c>
      <c r="E340" s="29">
        <f t="shared" si="7"/>
        <v>0.8679671434</v>
      </c>
      <c r="F340" s="30">
        <f t="shared" si="2"/>
        <v>0.8679671434</v>
      </c>
      <c r="G340" s="29"/>
      <c r="H340" s="29"/>
      <c r="I340" s="27">
        <v>90401.0</v>
      </c>
      <c r="J340" s="28" t="s">
        <v>320</v>
      </c>
      <c r="K340" s="19">
        <v>0.03792950138449669</v>
      </c>
      <c r="L340" s="19">
        <v>0.04159124568104744</v>
      </c>
      <c r="M340" s="29">
        <f t="shared" si="3"/>
        <v>1.096540797</v>
      </c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 ht="15.75" customHeight="1">
      <c r="A341" s="27">
        <v>90402.0</v>
      </c>
      <c r="B341" s="28" t="s">
        <v>380</v>
      </c>
      <c r="C341" s="19">
        <v>0.27000001072883606</v>
      </c>
      <c r="D341" s="19">
        <v>0.3140096664428711</v>
      </c>
      <c r="E341" s="29">
        <f t="shared" si="7"/>
        <v>1.162998718</v>
      </c>
      <c r="F341" s="30">
        <f t="shared" si="2"/>
        <v>1.162998718</v>
      </c>
      <c r="G341" s="29"/>
      <c r="H341" s="29"/>
      <c r="I341" s="27">
        <v>90402.0</v>
      </c>
      <c r="J341" s="28" t="s">
        <v>380</v>
      </c>
      <c r="K341" s="19">
        <v>0.12962962687015533</v>
      </c>
      <c r="L341" s="19">
        <v>0.10240877419710159</v>
      </c>
      <c r="M341" s="29">
        <f t="shared" si="3"/>
        <v>0.7900105606</v>
      </c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 ht="15.75" customHeight="1">
      <c r="A342" s="27">
        <v>90501.0</v>
      </c>
      <c r="B342" s="28" t="s">
        <v>381</v>
      </c>
      <c r="C342" s="19">
        <v>0.33576643466949463</v>
      </c>
      <c r="D342" s="19">
        <v>0.34383466839790344</v>
      </c>
      <c r="E342" s="29">
        <f t="shared" si="7"/>
        <v>1.024029304</v>
      </c>
      <c r="F342" s="30">
        <f t="shared" si="2"/>
        <v>1.024029304</v>
      </c>
      <c r="G342" s="29"/>
      <c r="H342" s="29"/>
      <c r="I342" s="27">
        <v>90501.0</v>
      </c>
      <c r="J342" s="28" t="s">
        <v>381</v>
      </c>
      <c r="K342" s="19">
        <v>0.09563994407653809</v>
      </c>
      <c r="L342" s="19">
        <v>0.060741789638996124</v>
      </c>
      <c r="M342" s="29">
        <f t="shared" si="3"/>
        <v>0.6351090041</v>
      </c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 ht="15.75" customHeight="1">
      <c r="A343" s="27">
        <v>90502.0</v>
      </c>
      <c r="B343" s="28" t="s">
        <v>382</v>
      </c>
      <c r="C343" s="19">
        <v>0.3801169693470001</v>
      </c>
      <c r="D343" s="19">
        <v>0.3692414462566376</v>
      </c>
      <c r="E343" s="29">
        <f t="shared" si="7"/>
        <v>0.9713890093</v>
      </c>
      <c r="F343" s="30">
        <f t="shared" si="2"/>
        <v>0.9713890093</v>
      </c>
      <c r="G343" s="29"/>
      <c r="H343" s="29"/>
      <c r="I343" s="27">
        <v>90502.0</v>
      </c>
      <c r="J343" s="28" t="s">
        <v>382</v>
      </c>
      <c r="K343" s="19">
        <v>0.08448704332113266</v>
      </c>
      <c r="L343" s="19">
        <v>0.052230410277843475</v>
      </c>
      <c r="M343" s="29">
        <f t="shared" si="3"/>
        <v>0.6182061559</v>
      </c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 ht="15.75" customHeight="1">
      <c r="A344" s="27">
        <v>90503.0</v>
      </c>
      <c r="B344" s="28" t="s">
        <v>383</v>
      </c>
      <c r="C344" s="19">
        <v>0.4166666567325592</v>
      </c>
      <c r="D344" s="19">
        <v>0.3706490099430084</v>
      </c>
      <c r="E344" s="29">
        <f t="shared" si="7"/>
        <v>0.8895576451</v>
      </c>
      <c r="F344" s="30">
        <f t="shared" si="2"/>
        <v>0.8895576451</v>
      </c>
      <c r="G344" s="29"/>
      <c r="H344" s="29"/>
      <c r="I344" s="27">
        <v>90503.0</v>
      </c>
      <c r="J344" s="28" t="s">
        <v>383</v>
      </c>
      <c r="K344" s="19">
        <v>0.03646723926067352</v>
      </c>
      <c r="L344" s="19">
        <v>0.08278763294219971</v>
      </c>
      <c r="M344" s="29">
        <f t="shared" si="3"/>
        <v>2.270191948</v>
      </c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 ht="15.75" customHeight="1">
      <c r="A345" s="35"/>
      <c r="B345" s="36"/>
      <c r="C345" s="29"/>
      <c r="D345" s="29"/>
      <c r="E345" s="29"/>
      <c r="F345" s="30"/>
      <c r="G345" s="29"/>
      <c r="H345" s="29"/>
      <c r="I345" s="35"/>
      <c r="J345" s="36"/>
      <c r="K345" s="29"/>
      <c r="L345" s="1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 ht="15.75" customHeight="1">
      <c r="A346" s="35"/>
      <c r="B346" s="36"/>
      <c r="C346" s="29"/>
      <c r="D346" s="29"/>
      <c r="E346" s="29"/>
      <c r="F346" s="29"/>
      <c r="G346" s="37"/>
      <c r="H346" s="37"/>
      <c r="I346" s="35"/>
      <c r="J346" s="36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 ht="15.75" customHeight="1">
      <c r="A347" s="23" t="s">
        <v>14</v>
      </c>
      <c r="B347" s="24" t="s">
        <v>15</v>
      </c>
      <c r="C347" s="25" t="s">
        <v>384</v>
      </c>
      <c r="D347" s="24" t="s">
        <v>385</v>
      </c>
      <c r="E347" s="24" t="s">
        <v>386</v>
      </c>
      <c r="F347" s="24"/>
      <c r="G347" s="38"/>
      <c r="H347" s="38"/>
      <c r="I347" s="23" t="s">
        <v>14</v>
      </c>
      <c r="J347" s="24" t="s">
        <v>15</v>
      </c>
      <c r="K347" s="25" t="s">
        <v>387</v>
      </c>
      <c r="L347" s="24" t="s">
        <v>388</v>
      </c>
      <c r="M347" s="24" t="s">
        <v>45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ht="15.75" customHeight="1">
      <c r="A348" s="39">
        <v>1.0</v>
      </c>
      <c r="B348" s="28" t="s">
        <v>16</v>
      </c>
      <c r="C348" s="19">
        <v>0.2444869577884674</v>
      </c>
      <c r="D348" s="40">
        <v>0.1819</v>
      </c>
      <c r="E348" s="29">
        <f t="shared" ref="E348:E358" si="8">D348/C348</f>
        <v>0.7440069673</v>
      </c>
      <c r="F348" s="30"/>
      <c r="G348" s="37"/>
      <c r="H348" s="37"/>
      <c r="I348" s="27">
        <v>1.0</v>
      </c>
      <c r="J348" s="28" t="s">
        <v>16</v>
      </c>
      <c r="K348" s="19">
        <v>0.08810685575008392</v>
      </c>
      <c r="L348" s="19">
        <v>0.045122887939214706</v>
      </c>
      <c r="M348" s="29">
        <f t="shared" ref="M348:M356" si="9">L348/K348</f>
        <v>0.5121382162</v>
      </c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 ht="15.75" customHeight="1">
      <c r="A349" s="39">
        <v>2.0</v>
      </c>
      <c r="B349" s="28" t="s">
        <v>17</v>
      </c>
      <c r="C349" s="19">
        <v>0.13209006190299988</v>
      </c>
      <c r="D349" s="40">
        <v>0.1071</v>
      </c>
      <c r="E349" s="29">
        <f t="shared" si="8"/>
        <v>0.8108104308</v>
      </c>
      <c r="F349" s="30"/>
      <c r="G349" s="29"/>
      <c r="H349" s="29"/>
      <c r="I349" s="27">
        <v>2.0</v>
      </c>
      <c r="J349" s="28" t="s">
        <v>17</v>
      </c>
      <c r="K349" s="19">
        <v>0.04125969111919403</v>
      </c>
      <c r="L349" s="19">
        <v>0.027292795479297638</v>
      </c>
      <c r="M349" s="29">
        <f t="shared" si="9"/>
        <v>0.6614881193</v>
      </c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 ht="15.75" customHeight="1">
      <c r="A350" s="39">
        <v>3.0</v>
      </c>
      <c r="B350" s="28" t="s">
        <v>18</v>
      </c>
      <c r="C350" s="19">
        <v>0.12724046409130096</v>
      </c>
      <c r="D350" s="40">
        <v>0.1459</v>
      </c>
      <c r="E350" s="29">
        <f t="shared" si="8"/>
        <v>1.146647814</v>
      </c>
      <c r="F350" s="30"/>
      <c r="G350" s="29"/>
      <c r="H350" s="29"/>
      <c r="I350" s="27">
        <v>3.0</v>
      </c>
      <c r="J350" s="28" t="s">
        <v>18</v>
      </c>
      <c r="K350" s="19">
        <v>0.04921944439411163</v>
      </c>
      <c r="L350" s="19">
        <v>0.043942615389823914</v>
      </c>
      <c r="M350" s="29">
        <f t="shared" si="9"/>
        <v>0.8927897487</v>
      </c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 ht="15.75" customHeight="1">
      <c r="A351" s="39">
        <v>4.0</v>
      </c>
      <c r="B351" s="28" t="s">
        <v>19</v>
      </c>
      <c r="C351" s="19">
        <v>0.1671944111585617</v>
      </c>
      <c r="D351" s="40">
        <v>0.1277</v>
      </c>
      <c r="E351" s="29">
        <f t="shared" si="8"/>
        <v>0.7637815111</v>
      </c>
      <c r="F351" s="30"/>
      <c r="G351" s="29"/>
      <c r="H351" s="29"/>
      <c r="I351" s="27">
        <v>4.0</v>
      </c>
      <c r="J351" s="28" t="s">
        <v>19</v>
      </c>
      <c r="K351" s="19">
        <v>0.056670159101486206</v>
      </c>
      <c r="L351" s="19">
        <v>0.03505532816052437</v>
      </c>
      <c r="M351" s="29">
        <f t="shared" si="9"/>
        <v>0.618585314</v>
      </c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 ht="15.75" customHeight="1">
      <c r="A352" s="39">
        <v>5.0</v>
      </c>
      <c r="B352" s="28" t="s">
        <v>20</v>
      </c>
      <c r="C352" s="19">
        <v>0.24776208400726318</v>
      </c>
      <c r="D352" s="40">
        <v>0.2001</v>
      </c>
      <c r="E352" s="29">
        <f t="shared" si="8"/>
        <v>0.8076296291</v>
      </c>
      <c r="F352" s="30"/>
      <c r="G352" s="29"/>
      <c r="H352" s="29"/>
      <c r="I352" s="27">
        <v>5.0</v>
      </c>
      <c r="J352" s="28" t="s">
        <v>20</v>
      </c>
      <c r="K352" s="19">
        <v>0.10524120926856995</v>
      </c>
      <c r="L352" s="19">
        <v>0.057223230600357056</v>
      </c>
      <c r="M352" s="29">
        <f t="shared" si="9"/>
        <v>0.5437340658</v>
      </c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 ht="15.75" customHeight="1">
      <c r="A353" s="39">
        <v>6.0</v>
      </c>
      <c r="B353" s="28" t="s">
        <v>21</v>
      </c>
      <c r="C353" s="19">
        <v>0.0897710844874382</v>
      </c>
      <c r="D353" s="40">
        <v>0.0686</v>
      </c>
      <c r="E353" s="29">
        <f t="shared" si="8"/>
        <v>0.7641658825</v>
      </c>
      <c r="F353" s="30"/>
      <c r="G353" s="29"/>
      <c r="H353" s="29"/>
      <c r="I353" s="27">
        <v>6.0</v>
      </c>
      <c r="J353" s="28" t="s">
        <v>21</v>
      </c>
      <c r="K353" s="19">
        <v>0.026432251557707787</v>
      </c>
      <c r="L353" s="19">
        <v>0.014437414705753326</v>
      </c>
      <c r="M353" s="29">
        <f t="shared" si="9"/>
        <v>0.5462044985</v>
      </c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 ht="15.75" customHeight="1">
      <c r="A354" s="39">
        <v>7.0</v>
      </c>
      <c r="B354" s="28" t="s">
        <v>22</v>
      </c>
      <c r="C354" s="19">
        <v>0.07838616520166397</v>
      </c>
      <c r="D354" s="40">
        <v>0.0803</v>
      </c>
      <c r="E354" s="29">
        <f t="shared" si="8"/>
        <v>1.024415467</v>
      </c>
      <c r="F354" s="30"/>
      <c r="G354" s="29"/>
      <c r="H354" s="29"/>
      <c r="I354" s="27">
        <v>7.0</v>
      </c>
      <c r="J354" s="28" t="s">
        <v>22</v>
      </c>
      <c r="K354" s="19">
        <v>0.017687655985355377</v>
      </c>
      <c r="L354" s="19">
        <v>0.015743345022201538</v>
      </c>
      <c r="M354" s="29">
        <f t="shared" si="9"/>
        <v>0.8900752613</v>
      </c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 ht="15.75" customHeight="1">
      <c r="A355" s="39">
        <v>8.0</v>
      </c>
      <c r="B355" s="28" t="s">
        <v>23</v>
      </c>
      <c r="C355" s="19">
        <v>0.1810663938522339</v>
      </c>
      <c r="D355" s="40">
        <v>0.2033</v>
      </c>
      <c r="E355" s="29">
        <f t="shared" si="8"/>
        <v>1.122792561</v>
      </c>
      <c r="F355" s="30"/>
      <c r="G355" s="29"/>
      <c r="H355" s="29"/>
      <c r="I355" s="27">
        <v>8.0</v>
      </c>
      <c r="J355" s="28" t="s">
        <v>23</v>
      </c>
      <c r="K355" s="19">
        <v>0.06373121589422226</v>
      </c>
      <c r="L355" s="19">
        <v>0.06465233117341995</v>
      </c>
      <c r="M355" s="29">
        <f t="shared" si="9"/>
        <v>1.014453126</v>
      </c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 ht="15.75" customHeight="1">
      <c r="A356" s="39">
        <v>9.0</v>
      </c>
      <c r="B356" s="28" t="s">
        <v>24</v>
      </c>
      <c r="C356" s="19">
        <v>0.19070851802825928</v>
      </c>
      <c r="D356" s="40">
        <v>0.2049</v>
      </c>
      <c r="E356" s="29">
        <f t="shared" si="8"/>
        <v>1.074414516</v>
      </c>
      <c r="F356" s="30"/>
      <c r="G356" s="29"/>
      <c r="H356" s="29"/>
      <c r="I356" s="27">
        <v>9.0</v>
      </c>
      <c r="J356" s="28" t="s">
        <v>24</v>
      </c>
      <c r="K356" s="19">
        <v>0.04969802871346474</v>
      </c>
      <c r="L356" s="19">
        <v>0.041883498430252075</v>
      </c>
      <c r="M356" s="29">
        <f t="shared" si="9"/>
        <v>0.8427597535</v>
      </c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 ht="15.75" customHeight="1">
      <c r="A357" s="41">
        <v>10.0</v>
      </c>
      <c r="B357" s="36" t="s">
        <v>25</v>
      </c>
      <c r="C357" s="29">
        <v>1.090137102780549</v>
      </c>
      <c r="D357" s="29">
        <v>1.0788915304773048</v>
      </c>
      <c r="E357" s="29">
        <f t="shared" si="8"/>
        <v>0.9896842587</v>
      </c>
      <c r="F357" s="29"/>
      <c r="G357" s="29"/>
      <c r="H357" s="29"/>
      <c r="I357" s="41">
        <v>10.0</v>
      </c>
      <c r="J357" s="36" t="s">
        <v>25</v>
      </c>
      <c r="K357" s="29">
        <v>1.0210532014583333</v>
      </c>
      <c r="L357" s="29">
        <v>1.0186527960892668</v>
      </c>
      <c r="M357" s="29">
        <v>0.9976490888372535</v>
      </c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 ht="15.75" customHeight="1">
      <c r="A358" s="42">
        <v>11.0</v>
      </c>
      <c r="B358" s="36" t="s">
        <v>26</v>
      </c>
      <c r="C358" s="29">
        <v>0.10350788562542491</v>
      </c>
      <c r="D358" s="29">
        <v>0.09160327449763905</v>
      </c>
      <c r="E358" s="29">
        <f t="shared" si="8"/>
        <v>0.8849883653</v>
      </c>
      <c r="F358" s="29"/>
      <c r="G358" s="29"/>
      <c r="H358" s="29"/>
      <c r="I358" s="42">
        <v>11.0</v>
      </c>
      <c r="J358" s="36" t="s">
        <v>26</v>
      </c>
      <c r="K358" s="29">
        <v>0.03217695526024183</v>
      </c>
      <c r="L358" s="29">
        <v>0.022271285967415812</v>
      </c>
      <c r="M358" s="29">
        <v>0.692150198404087</v>
      </c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 ht="15.75" customHeight="1">
      <c r="A359" s="43"/>
      <c r="B359" s="36"/>
      <c r="C359" s="29"/>
      <c r="D359" s="29"/>
      <c r="E359" s="29"/>
      <c r="F359" s="29"/>
      <c r="G359" s="29"/>
      <c r="H359" s="29"/>
      <c r="I359" s="43"/>
      <c r="J359" s="36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 ht="15.75" customHeight="1">
      <c r="A360" s="43"/>
      <c r="B360" s="36"/>
      <c r="C360" s="29"/>
      <c r="D360" s="29"/>
      <c r="E360" s="29"/>
      <c r="F360" s="29"/>
      <c r="G360" s="29"/>
      <c r="H360" s="29"/>
      <c r="I360" s="43"/>
      <c r="J360" s="36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 ht="15.75" customHeight="1">
      <c r="A361" s="43"/>
      <c r="B361" s="36"/>
      <c r="C361" s="29"/>
      <c r="D361" s="29"/>
      <c r="E361" s="29"/>
      <c r="F361" s="29"/>
      <c r="G361" s="29"/>
      <c r="H361" s="29"/>
      <c r="I361" s="43"/>
      <c r="J361" s="36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 ht="15.75" customHeight="1">
      <c r="A362" s="43"/>
      <c r="B362" s="36"/>
      <c r="C362" s="29"/>
      <c r="D362" s="29"/>
      <c r="E362" s="29"/>
      <c r="F362" s="29"/>
      <c r="G362" s="29"/>
      <c r="H362" s="29"/>
      <c r="I362" s="43"/>
      <c r="J362" s="36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 ht="15.75" customHeight="1">
      <c r="A363" s="43"/>
      <c r="B363" s="36"/>
      <c r="C363" s="29"/>
      <c r="D363" s="29"/>
      <c r="E363" s="29"/>
      <c r="F363" s="29"/>
      <c r="G363" s="29"/>
      <c r="H363" s="29"/>
      <c r="I363" s="43"/>
      <c r="J363" s="36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 ht="15.75" customHeight="1">
      <c r="A364" s="43"/>
      <c r="B364" s="36"/>
      <c r="C364" s="29"/>
      <c r="D364" s="29"/>
      <c r="E364" s="29"/>
      <c r="F364" s="29"/>
      <c r="G364" s="29"/>
      <c r="H364" s="29"/>
      <c r="I364" s="43"/>
      <c r="J364" s="36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 ht="15.75" customHeight="1">
      <c r="A365" s="43"/>
      <c r="B365" s="36"/>
      <c r="C365" s="29"/>
      <c r="D365" s="29"/>
      <c r="E365" s="29"/>
      <c r="F365" s="29"/>
      <c r="G365" s="29"/>
      <c r="H365" s="29"/>
      <c r="I365" s="43"/>
      <c r="J365" s="36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 ht="15.75" customHeight="1">
      <c r="A366" s="43"/>
      <c r="B366" s="36"/>
      <c r="C366" s="29"/>
      <c r="D366" s="29"/>
      <c r="E366" s="29"/>
      <c r="F366" s="29"/>
      <c r="G366" s="29"/>
      <c r="H366" s="29"/>
      <c r="I366" s="43"/>
      <c r="J366" s="36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 ht="15.75" customHeight="1">
      <c r="A367" s="43"/>
      <c r="B367" s="36"/>
      <c r="C367" s="29"/>
      <c r="D367" s="29"/>
      <c r="E367" s="29"/>
      <c r="F367" s="29"/>
      <c r="G367" s="29"/>
      <c r="H367" s="29"/>
      <c r="I367" s="43"/>
      <c r="J367" s="36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 ht="15.75" customHeight="1">
      <c r="A368" s="43"/>
      <c r="B368" s="36"/>
      <c r="C368" s="29"/>
      <c r="D368" s="29"/>
      <c r="E368" s="29"/>
      <c r="F368" s="29"/>
      <c r="G368" s="29"/>
      <c r="H368" s="29"/>
      <c r="I368" s="43"/>
      <c r="J368" s="36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 ht="15.75" customHeight="1">
      <c r="A369" s="43"/>
      <c r="B369" s="36"/>
      <c r="C369" s="29"/>
      <c r="D369" s="29"/>
      <c r="E369" s="29"/>
      <c r="F369" s="29"/>
      <c r="G369" s="29"/>
      <c r="H369" s="29"/>
      <c r="I369" s="43"/>
      <c r="J369" s="36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 ht="15.75" customHeight="1">
      <c r="A370" s="35"/>
      <c r="B370" s="36"/>
      <c r="C370" s="29"/>
      <c r="D370" s="29"/>
      <c r="E370" s="29"/>
      <c r="F370" s="29"/>
      <c r="G370" s="29"/>
      <c r="H370" s="29"/>
      <c r="I370" s="35"/>
      <c r="J370" s="36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 ht="15.75" customHeight="1">
      <c r="A371" s="35"/>
      <c r="B371" s="36"/>
      <c r="C371" s="29"/>
      <c r="D371" s="29"/>
      <c r="E371" s="29"/>
      <c r="F371" s="29"/>
      <c r="G371" s="29"/>
      <c r="H371" s="29"/>
      <c r="I371" s="35"/>
      <c r="J371" s="36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 ht="15.75" customHeight="1">
      <c r="A372" s="35"/>
      <c r="B372" s="36"/>
      <c r="C372" s="29"/>
      <c r="D372" s="29"/>
      <c r="E372" s="29"/>
      <c r="F372" s="29"/>
      <c r="G372" s="29"/>
      <c r="H372" s="29"/>
      <c r="I372" s="35"/>
      <c r="J372" s="36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 ht="15.75" customHeight="1">
      <c r="A373" s="35"/>
      <c r="B373" s="36"/>
      <c r="C373" s="29"/>
      <c r="D373" s="29"/>
      <c r="E373" s="29"/>
      <c r="F373" s="29"/>
      <c r="G373" s="29"/>
      <c r="H373" s="29"/>
      <c r="I373" s="35"/>
      <c r="J373" s="36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 ht="15.75" customHeight="1">
      <c r="A374" s="35"/>
      <c r="B374" s="36"/>
      <c r="C374" s="29"/>
      <c r="D374" s="29"/>
      <c r="E374" s="29"/>
      <c r="F374" s="29"/>
      <c r="G374" s="29"/>
      <c r="H374" s="29"/>
      <c r="I374" s="35"/>
      <c r="J374" s="36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 ht="15.75" customHeight="1">
      <c r="A375" s="35"/>
      <c r="B375" s="36"/>
      <c r="C375" s="29"/>
      <c r="D375" s="29"/>
      <c r="E375" s="29"/>
      <c r="F375" s="29"/>
      <c r="G375" s="29"/>
      <c r="H375" s="29"/>
      <c r="I375" s="35"/>
      <c r="J375" s="36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 ht="15.75" customHeight="1">
      <c r="A376" s="35"/>
      <c r="B376" s="36"/>
      <c r="C376" s="29"/>
      <c r="D376" s="29"/>
      <c r="E376" s="29"/>
      <c r="F376" s="29"/>
      <c r="G376" s="29"/>
      <c r="H376" s="29"/>
      <c r="I376" s="35"/>
      <c r="J376" s="36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 ht="15.75" customHeight="1">
      <c r="A377" s="35"/>
      <c r="B377" s="36"/>
      <c r="C377" s="29"/>
      <c r="D377" s="29"/>
      <c r="E377" s="29"/>
      <c r="F377" s="29"/>
      <c r="G377" s="29"/>
      <c r="H377" s="29"/>
      <c r="I377" s="35"/>
      <c r="J377" s="36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 ht="15.75" customHeight="1">
      <c r="A378" s="35"/>
      <c r="B378" s="36"/>
      <c r="C378" s="29"/>
      <c r="D378" s="29"/>
      <c r="E378" s="29"/>
      <c r="F378" s="29"/>
      <c r="G378" s="29"/>
      <c r="H378" s="29"/>
      <c r="I378" s="35"/>
      <c r="J378" s="36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 ht="15.75" customHeight="1">
      <c r="A379" s="35"/>
      <c r="B379" s="36"/>
      <c r="C379" s="29"/>
      <c r="D379" s="29"/>
      <c r="E379" s="29"/>
      <c r="F379" s="29"/>
      <c r="G379" s="29"/>
      <c r="H379" s="29"/>
      <c r="I379" s="35"/>
      <c r="J379" s="36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 ht="15.75" customHeight="1">
      <c r="A380" s="35"/>
      <c r="B380" s="36"/>
      <c r="C380" s="29"/>
      <c r="D380" s="29"/>
      <c r="E380" s="29"/>
      <c r="F380" s="29"/>
      <c r="G380" s="29"/>
      <c r="H380" s="29"/>
      <c r="I380" s="35"/>
      <c r="J380" s="36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 ht="15.75" customHeight="1">
      <c r="A381" s="35"/>
      <c r="B381" s="36"/>
      <c r="C381" s="29"/>
      <c r="D381" s="29"/>
      <c r="E381" s="29"/>
      <c r="F381" s="29"/>
      <c r="G381" s="29"/>
      <c r="H381" s="29"/>
      <c r="I381" s="35"/>
      <c r="J381" s="36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 ht="15.75" customHeight="1">
      <c r="A382" s="35"/>
      <c r="B382" s="36"/>
      <c r="C382" s="29"/>
      <c r="D382" s="29"/>
      <c r="E382" s="29"/>
      <c r="F382" s="29"/>
      <c r="G382" s="29"/>
      <c r="H382" s="29"/>
      <c r="I382" s="35"/>
      <c r="J382" s="36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 ht="15.75" customHeight="1">
      <c r="A383" s="35"/>
      <c r="B383" s="36"/>
      <c r="C383" s="29"/>
      <c r="D383" s="29"/>
      <c r="E383" s="29"/>
      <c r="F383" s="29"/>
      <c r="G383" s="29"/>
      <c r="H383" s="29"/>
      <c r="I383" s="35"/>
      <c r="J383" s="36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 ht="15.75" customHeight="1">
      <c r="A384" s="35"/>
      <c r="B384" s="36"/>
      <c r="C384" s="29"/>
      <c r="D384" s="29"/>
      <c r="E384" s="29"/>
      <c r="F384" s="29"/>
      <c r="G384" s="29"/>
      <c r="H384" s="29"/>
      <c r="I384" s="35"/>
      <c r="J384" s="36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 ht="15.75" customHeight="1">
      <c r="A385" s="35"/>
      <c r="B385" s="36"/>
      <c r="C385" s="29"/>
      <c r="D385" s="29"/>
      <c r="E385" s="29"/>
      <c r="F385" s="29"/>
      <c r="G385" s="29"/>
      <c r="H385" s="29"/>
      <c r="I385" s="35"/>
      <c r="J385" s="36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 ht="15.75" customHeight="1">
      <c r="A386" s="35"/>
      <c r="B386" s="36"/>
      <c r="C386" s="29"/>
      <c r="D386" s="29"/>
      <c r="E386" s="29"/>
      <c r="F386" s="29"/>
      <c r="G386" s="29"/>
      <c r="H386" s="29"/>
      <c r="I386" s="35"/>
      <c r="J386" s="36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 ht="15.75" customHeight="1">
      <c r="A387" s="35"/>
      <c r="B387" s="36"/>
      <c r="C387" s="29"/>
      <c r="D387" s="29"/>
      <c r="E387" s="29"/>
      <c r="F387" s="29"/>
      <c r="G387" s="29"/>
      <c r="H387" s="29"/>
      <c r="I387" s="35"/>
      <c r="J387" s="36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 ht="15.75" customHeight="1">
      <c r="A388" s="35"/>
      <c r="B388" s="36"/>
      <c r="C388" s="29"/>
      <c r="D388" s="29"/>
      <c r="E388" s="29"/>
      <c r="F388" s="29"/>
      <c r="G388" s="29"/>
      <c r="H388" s="29"/>
      <c r="I388" s="35"/>
      <c r="J388" s="36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 ht="15.75" customHeight="1">
      <c r="A389" s="35"/>
      <c r="B389" s="36"/>
      <c r="C389" s="29"/>
      <c r="D389" s="29"/>
      <c r="E389" s="29"/>
      <c r="F389" s="29"/>
      <c r="G389" s="29"/>
      <c r="H389" s="29"/>
      <c r="I389" s="35"/>
      <c r="J389" s="36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 ht="15.75" customHeight="1">
      <c r="A390" s="35"/>
      <c r="B390" s="36"/>
      <c r="C390" s="29"/>
      <c r="D390" s="29"/>
      <c r="E390" s="29"/>
      <c r="F390" s="29"/>
      <c r="G390" s="29"/>
      <c r="H390" s="29"/>
      <c r="I390" s="35"/>
      <c r="J390" s="36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 ht="15.75" customHeight="1">
      <c r="A391" s="35"/>
      <c r="B391" s="36"/>
      <c r="C391" s="29"/>
      <c r="D391" s="29"/>
      <c r="E391" s="29"/>
      <c r="F391" s="29"/>
      <c r="G391" s="29"/>
      <c r="H391" s="29"/>
      <c r="I391" s="35"/>
      <c r="J391" s="36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 ht="15.75" customHeight="1">
      <c r="A392" s="35"/>
      <c r="B392" s="36"/>
      <c r="C392" s="29"/>
      <c r="D392" s="29"/>
      <c r="E392" s="29"/>
      <c r="F392" s="29"/>
      <c r="G392" s="29"/>
      <c r="H392" s="29"/>
      <c r="I392" s="35"/>
      <c r="J392" s="36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 ht="15.75" customHeight="1">
      <c r="A393" s="35"/>
      <c r="B393" s="36"/>
      <c r="C393" s="29"/>
      <c r="D393" s="29"/>
      <c r="E393" s="29"/>
      <c r="F393" s="29"/>
      <c r="G393" s="29"/>
      <c r="H393" s="29"/>
      <c r="I393" s="35"/>
      <c r="J393" s="36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 ht="15.75" customHeight="1">
      <c r="A394" s="35"/>
      <c r="B394" s="36"/>
      <c r="C394" s="29"/>
      <c r="D394" s="29"/>
      <c r="E394" s="29"/>
      <c r="F394" s="29"/>
      <c r="G394" s="29"/>
      <c r="H394" s="29"/>
      <c r="I394" s="35"/>
      <c r="J394" s="36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 ht="15.75" customHeight="1">
      <c r="A395" s="35"/>
      <c r="B395" s="36"/>
      <c r="C395" s="29"/>
      <c r="D395" s="29"/>
      <c r="E395" s="29"/>
      <c r="F395" s="29"/>
      <c r="G395" s="29"/>
      <c r="H395" s="29"/>
      <c r="I395" s="35"/>
      <c r="J395" s="36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 ht="15.75" customHeight="1">
      <c r="A396" s="35"/>
      <c r="B396" s="36"/>
      <c r="C396" s="29"/>
      <c r="D396" s="29"/>
      <c r="E396" s="29"/>
      <c r="F396" s="29"/>
      <c r="G396" s="29"/>
      <c r="H396" s="29"/>
      <c r="I396" s="35"/>
      <c r="J396" s="36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 ht="15.75" customHeight="1">
      <c r="A397" s="35"/>
      <c r="B397" s="36"/>
      <c r="C397" s="29"/>
      <c r="D397" s="29"/>
      <c r="E397" s="29"/>
      <c r="F397" s="29"/>
      <c r="G397" s="29"/>
      <c r="H397" s="29"/>
      <c r="I397" s="35"/>
      <c r="J397" s="36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 ht="15.75" customHeight="1">
      <c r="A398" s="35"/>
      <c r="B398" s="36"/>
      <c r="C398" s="29"/>
      <c r="D398" s="29"/>
      <c r="E398" s="29"/>
      <c r="F398" s="29"/>
      <c r="G398" s="29"/>
      <c r="H398" s="29"/>
      <c r="I398" s="35"/>
      <c r="J398" s="36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 ht="15.75" customHeight="1">
      <c r="A399" s="35"/>
      <c r="B399" s="36"/>
      <c r="C399" s="29"/>
      <c r="D399" s="29"/>
      <c r="E399" s="29"/>
      <c r="F399" s="29"/>
      <c r="G399" s="29"/>
      <c r="H399" s="29"/>
      <c r="I399" s="35"/>
      <c r="J399" s="36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 ht="15.75" customHeight="1">
      <c r="A400" s="35"/>
      <c r="B400" s="36"/>
      <c r="C400" s="29"/>
      <c r="D400" s="29"/>
      <c r="E400" s="29"/>
      <c r="F400" s="29"/>
      <c r="G400" s="29"/>
      <c r="H400" s="29"/>
      <c r="I400" s="35"/>
      <c r="J400" s="36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 ht="15.75" customHeight="1">
      <c r="A401" s="35"/>
      <c r="B401" s="36"/>
      <c r="C401" s="29"/>
      <c r="D401" s="29"/>
      <c r="E401" s="29"/>
      <c r="F401" s="29"/>
      <c r="G401" s="29"/>
      <c r="H401" s="29"/>
      <c r="I401" s="35"/>
      <c r="J401" s="36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 ht="15.75" customHeight="1">
      <c r="A402" s="35"/>
      <c r="B402" s="36"/>
      <c r="C402" s="29"/>
      <c r="D402" s="29"/>
      <c r="E402" s="29"/>
      <c r="F402" s="29"/>
      <c r="G402" s="29"/>
      <c r="H402" s="29"/>
      <c r="I402" s="35"/>
      <c r="J402" s="36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 ht="15.75" customHeight="1">
      <c r="A403" s="35"/>
      <c r="B403" s="36"/>
      <c r="C403" s="29"/>
      <c r="D403" s="29"/>
      <c r="E403" s="29"/>
      <c r="F403" s="29"/>
      <c r="G403" s="29"/>
      <c r="H403" s="29"/>
      <c r="I403" s="35"/>
      <c r="J403" s="36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 ht="15.75" customHeight="1">
      <c r="A404" s="35"/>
      <c r="B404" s="36"/>
      <c r="C404" s="29"/>
      <c r="D404" s="29"/>
      <c r="E404" s="29"/>
      <c r="F404" s="29"/>
      <c r="G404" s="29"/>
      <c r="H404" s="29"/>
      <c r="I404" s="35"/>
      <c r="J404" s="36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 ht="15.75" customHeight="1">
      <c r="A405" s="35"/>
      <c r="B405" s="36"/>
      <c r="C405" s="29"/>
      <c r="D405" s="29"/>
      <c r="E405" s="29"/>
      <c r="F405" s="29"/>
      <c r="G405" s="29"/>
      <c r="H405" s="29"/>
      <c r="I405" s="35"/>
      <c r="J405" s="36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 ht="15.75" customHeight="1">
      <c r="A406" s="35"/>
      <c r="B406" s="36"/>
      <c r="C406" s="29"/>
      <c r="D406" s="29"/>
      <c r="E406" s="29"/>
      <c r="F406" s="29"/>
      <c r="G406" s="29"/>
      <c r="H406" s="29"/>
      <c r="I406" s="35"/>
      <c r="J406" s="36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 ht="15.75" customHeight="1">
      <c r="A407" s="35"/>
      <c r="B407" s="36"/>
      <c r="C407" s="29"/>
      <c r="D407" s="29"/>
      <c r="E407" s="29"/>
      <c r="F407" s="29"/>
      <c r="G407" s="29"/>
      <c r="H407" s="29"/>
      <c r="I407" s="35"/>
      <c r="J407" s="36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 ht="15.75" customHeight="1">
      <c r="A408" s="35"/>
      <c r="B408" s="36"/>
      <c r="C408" s="29"/>
      <c r="D408" s="29"/>
      <c r="E408" s="29"/>
      <c r="F408" s="29"/>
      <c r="G408" s="29"/>
      <c r="H408" s="29"/>
      <c r="I408" s="35"/>
      <c r="J408" s="36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 ht="15.75" customHeight="1">
      <c r="A409" s="35"/>
      <c r="B409" s="36"/>
      <c r="C409" s="29"/>
      <c r="D409" s="29"/>
      <c r="E409" s="29"/>
      <c r="F409" s="29"/>
      <c r="G409" s="29"/>
      <c r="H409" s="29"/>
      <c r="I409" s="35"/>
      <c r="J409" s="36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 ht="15.75" customHeight="1">
      <c r="A410" s="35"/>
      <c r="B410" s="36"/>
      <c r="C410" s="29"/>
      <c r="D410" s="29"/>
      <c r="E410" s="29"/>
      <c r="F410" s="29"/>
      <c r="G410" s="29"/>
      <c r="H410" s="29"/>
      <c r="I410" s="35"/>
      <c r="J410" s="36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 ht="15.75" customHeight="1">
      <c r="A411" s="35"/>
      <c r="B411" s="36"/>
      <c r="C411" s="29"/>
      <c r="D411" s="29"/>
      <c r="E411" s="29"/>
      <c r="F411" s="29"/>
      <c r="G411" s="29"/>
      <c r="H411" s="29"/>
      <c r="I411" s="35"/>
      <c r="J411" s="36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 ht="15.75" customHeight="1">
      <c r="A412" s="35"/>
      <c r="B412" s="36"/>
      <c r="C412" s="29"/>
      <c r="D412" s="29"/>
      <c r="E412" s="29"/>
      <c r="F412" s="29"/>
      <c r="G412" s="29"/>
      <c r="H412" s="29"/>
      <c r="I412" s="35"/>
      <c r="J412" s="36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 ht="15.75" customHeight="1">
      <c r="A413" s="35"/>
      <c r="B413" s="36"/>
      <c r="C413" s="29"/>
      <c r="D413" s="29"/>
      <c r="E413" s="29"/>
      <c r="F413" s="29"/>
      <c r="G413" s="29"/>
      <c r="H413" s="29"/>
      <c r="I413" s="35"/>
      <c r="J413" s="36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 ht="15.75" customHeight="1">
      <c r="A414" s="35"/>
      <c r="B414" s="36"/>
      <c r="C414" s="29"/>
      <c r="D414" s="29"/>
      <c r="E414" s="29"/>
      <c r="F414" s="29"/>
      <c r="G414" s="29"/>
      <c r="H414" s="29"/>
      <c r="I414" s="35"/>
      <c r="J414" s="36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 ht="15.75" customHeight="1">
      <c r="A415" s="35"/>
      <c r="B415" s="36"/>
      <c r="C415" s="29"/>
      <c r="D415" s="29"/>
      <c r="E415" s="29"/>
      <c r="F415" s="29"/>
      <c r="G415" s="29"/>
      <c r="H415" s="29"/>
      <c r="I415" s="35"/>
      <c r="J415" s="36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 ht="15.75" customHeight="1">
      <c r="A416" s="35"/>
      <c r="B416" s="36"/>
      <c r="C416" s="29"/>
      <c r="D416" s="29"/>
      <c r="E416" s="29"/>
      <c r="F416" s="29"/>
      <c r="G416" s="29"/>
      <c r="H416" s="29"/>
      <c r="I416" s="35"/>
      <c r="J416" s="36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 ht="15.75" customHeight="1">
      <c r="A417" s="35"/>
      <c r="B417" s="36"/>
      <c r="C417" s="29"/>
      <c r="D417" s="29"/>
      <c r="E417" s="29"/>
      <c r="F417" s="29"/>
      <c r="G417" s="29"/>
      <c r="H417" s="29"/>
      <c r="I417" s="35"/>
      <c r="J417" s="36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 ht="15.75" customHeight="1">
      <c r="A418" s="35"/>
      <c r="B418" s="36"/>
      <c r="C418" s="29"/>
      <c r="D418" s="29"/>
      <c r="E418" s="29"/>
      <c r="F418" s="29"/>
      <c r="G418" s="29"/>
      <c r="H418" s="29"/>
      <c r="I418" s="35"/>
      <c r="J418" s="36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 ht="15.75" customHeight="1">
      <c r="A419" s="35"/>
      <c r="B419" s="36"/>
      <c r="C419" s="29"/>
      <c r="D419" s="29"/>
      <c r="E419" s="29"/>
      <c r="F419" s="29"/>
      <c r="G419" s="29"/>
      <c r="H419" s="29"/>
      <c r="I419" s="35"/>
      <c r="J419" s="36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 ht="15.75" customHeight="1">
      <c r="A420" s="35"/>
      <c r="B420" s="36"/>
      <c r="C420" s="29"/>
      <c r="D420" s="29"/>
      <c r="E420" s="29"/>
      <c r="F420" s="29"/>
      <c r="G420" s="29"/>
      <c r="H420" s="29"/>
      <c r="I420" s="35"/>
      <c r="J420" s="36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 ht="15.75" customHeight="1">
      <c r="A421" s="35"/>
      <c r="B421" s="36"/>
      <c r="C421" s="29"/>
      <c r="D421" s="29"/>
      <c r="E421" s="29"/>
      <c r="F421" s="29"/>
      <c r="G421" s="29"/>
      <c r="H421" s="29"/>
      <c r="I421" s="35"/>
      <c r="J421" s="36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 ht="15.75" customHeight="1">
      <c r="A422" s="35"/>
      <c r="B422" s="36"/>
      <c r="C422" s="29"/>
      <c r="D422" s="29"/>
      <c r="E422" s="29"/>
      <c r="F422" s="29"/>
      <c r="G422" s="29"/>
      <c r="H422" s="29"/>
      <c r="I422" s="35"/>
      <c r="J422" s="36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 ht="15.75" customHeight="1">
      <c r="A423" s="35"/>
      <c r="B423" s="36"/>
      <c r="C423" s="29"/>
      <c r="D423" s="29"/>
      <c r="E423" s="29"/>
      <c r="F423" s="29"/>
      <c r="G423" s="29"/>
      <c r="H423" s="29"/>
      <c r="I423" s="35"/>
      <c r="J423" s="36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 ht="15.75" customHeight="1">
      <c r="A424" s="35"/>
      <c r="B424" s="36"/>
      <c r="C424" s="29"/>
      <c r="D424" s="29"/>
      <c r="E424" s="29"/>
      <c r="F424" s="29"/>
      <c r="G424" s="29"/>
      <c r="H424" s="29"/>
      <c r="I424" s="35"/>
      <c r="J424" s="36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 ht="15.75" customHeight="1">
      <c r="A425" s="35"/>
      <c r="B425" s="36"/>
      <c r="C425" s="29"/>
      <c r="D425" s="29"/>
      <c r="E425" s="29"/>
      <c r="F425" s="29"/>
      <c r="G425" s="29"/>
      <c r="H425" s="29"/>
      <c r="I425" s="35"/>
      <c r="J425" s="36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 ht="15.75" customHeight="1">
      <c r="A426" s="35"/>
      <c r="B426" s="36"/>
      <c r="C426" s="29"/>
      <c r="D426" s="29"/>
      <c r="E426" s="29"/>
      <c r="F426" s="29"/>
      <c r="G426" s="29"/>
      <c r="H426" s="29"/>
      <c r="I426" s="35"/>
      <c r="J426" s="36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 ht="15.75" customHeight="1">
      <c r="A427" s="35"/>
      <c r="B427" s="36"/>
      <c r="C427" s="29"/>
      <c r="D427" s="29"/>
      <c r="E427" s="29"/>
      <c r="F427" s="29"/>
      <c r="G427" s="29"/>
      <c r="H427" s="29"/>
      <c r="I427" s="35"/>
      <c r="J427" s="36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 ht="15.75" customHeight="1">
      <c r="A428" s="35"/>
      <c r="B428" s="36"/>
      <c r="C428" s="29"/>
      <c r="D428" s="29"/>
      <c r="E428" s="29"/>
      <c r="F428" s="29"/>
      <c r="G428" s="29"/>
      <c r="H428" s="29"/>
      <c r="I428" s="35"/>
      <c r="J428" s="36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 ht="15.75" customHeight="1">
      <c r="A429" s="35"/>
      <c r="B429" s="36"/>
      <c r="C429" s="29"/>
      <c r="D429" s="29"/>
      <c r="E429" s="29"/>
      <c r="F429" s="29"/>
      <c r="G429" s="29"/>
      <c r="H429" s="29"/>
      <c r="I429" s="35"/>
      <c r="J429" s="36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 ht="15.75" customHeight="1">
      <c r="A430" s="35"/>
      <c r="B430" s="36"/>
      <c r="C430" s="29"/>
      <c r="D430" s="29"/>
      <c r="E430" s="29"/>
      <c r="F430" s="29"/>
      <c r="G430" s="29"/>
      <c r="H430" s="29"/>
      <c r="I430" s="35"/>
      <c r="J430" s="36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 ht="15.75" customHeight="1">
      <c r="A431" s="35"/>
      <c r="B431" s="36"/>
      <c r="C431" s="29"/>
      <c r="D431" s="29"/>
      <c r="E431" s="29"/>
      <c r="F431" s="29"/>
      <c r="G431" s="29"/>
      <c r="H431" s="29"/>
      <c r="I431" s="35"/>
      <c r="J431" s="36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 ht="15.75" customHeight="1">
      <c r="A432" s="35"/>
      <c r="B432" s="36"/>
      <c r="C432" s="29"/>
      <c r="D432" s="29"/>
      <c r="E432" s="29"/>
      <c r="F432" s="29"/>
      <c r="G432" s="29"/>
      <c r="H432" s="29"/>
      <c r="I432" s="35"/>
      <c r="J432" s="36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 ht="15.75" customHeight="1">
      <c r="A433" s="35"/>
      <c r="B433" s="36"/>
      <c r="C433" s="29"/>
      <c r="D433" s="29"/>
      <c r="E433" s="29"/>
      <c r="F433" s="29"/>
      <c r="G433" s="29"/>
      <c r="H433" s="29"/>
      <c r="I433" s="35"/>
      <c r="J433" s="36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 ht="15.75" customHeight="1">
      <c r="A434" s="35"/>
      <c r="B434" s="36"/>
      <c r="C434" s="29"/>
      <c r="D434" s="29"/>
      <c r="E434" s="29"/>
      <c r="F434" s="29"/>
      <c r="G434" s="29"/>
      <c r="H434" s="29"/>
      <c r="I434" s="35"/>
      <c r="J434" s="36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 ht="15.75" customHeight="1">
      <c r="A435" s="35"/>
      <c r="B435" s="36"/>
      <c r="C435" s="29"/>
      <c r="D435" s="29"/>
      <c r="E435" s="29"/>
      <c r="F435" s="29"/>
      <c r="G435" s="29"/>
      <c r="H435" s="29"/>
      <c r="I435" s="35"/>
      <c r="J435" s="36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 ht="15.75" customHeight="1">
      <c r="A436" s="35"/>
      <c r="B436" s="36"/>
      <c r="C436" s="29"/>
      <c r="D436" s="29"/>
      <c r="E436" s="29"/>
      <c r="F436" s="29"/>
      <c r="G436" s="29"/>
      <c r="H436" s="29"/>
      <c r="I436" s="35"/>
      <c r="J436" s="36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 ht="15.75" customHeight="1">
      <c r="A437" s="35"/>
      <c r="B437" s="36"/>
      <c r="C437" s="29"/>
      <c r="D437" s="29"/>
      <c r="E437" s="29"/>
      <c r="F437" s="29"/>
      <c r="G437" s="29"/>
      <c r="H437" s="29"/>
      <c r="I437" s="35"/>
      <c r="J437" s="36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 ht="15.75" customHeight="1">
      <c r="A438" s="35"/>
      <c r="B438" s="36"/>
      <c r="C438" s="29"/>
      <c r="D438" s="29"/>
      <c r="E438" s="29"/>
      <c r="F438" s="29"/>
      <c r="G438" s="29"/>
      <c r="H438" s="29"/>
      <c r="I438" s="35"/>
      <c r="J438" s="36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 ht="15.75" customHeight="1">
      <c r="A439" s="35"/>
      <c r="B439" s="36"/>
      <c r="C439" s="29"/>
      <c r="D439" s="29"/>
      <c r="E439" s="29"/>
      <c r="F439" s="29"/>
      <c r="G439" s="29"/>
      <c r="H439" s="29"/>
      <c r="I439" s="35"/>
      <c r="J439" s="36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 ht="15.75" customHeight="1">
      <c r="A440" s="35"/>
      <c r="B440" s="36"/>
      <c r="C440" s="29"/>
      <c r="D440" s="29"/>
      <c r="E440" s="29"/>
      <c r="F440" s="29"/>
      <c r="G440" s="29"/>
      <c r="H440" s="29"/>
      <c r="I440" s="35"/>
      <c r="J440" s="36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 ht="15.75" customHeight="1">
      <c r="A441" s="35"/>
      <c r="B441" s="36"/>
      <c r="C441" s="29"/>
      <c r="D441" s="29"/>
      <c r="E441" s="29"/>
      <c r="F441" s="29"/>
      <c r="G441" s="29"/>
      <c r="H441" s="29"/>
      <c r="I441" s="35"/>
      <c r="J441" s="36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 ht="15.75" customHeight="1">
      <c r="A442" s="35"/>
      <c r="B442" s="36"/>
      <c r="C442" s="29"/>
      <c r="D442" s="29"/>
      <c r="E442" s="29"/>
      <c r="F442" s="29"/>
      <c r="G442" s="29"/>
      <c r="H442" s="29"/>
      <c r="I442" s="35"/>
      <c r="J442" s="36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 ht="15.75" customHeight="1">
      <c r="A443" s="35"/>
      <c r="B443" s="36"/>
      <c r="C443" s="29"/>
      <c r="D443" s="29"/>
      <c r="E443" s="29"/>
      <c r="F443" s="29"/>
      <c r="G443" s="29"/>
      <c r="H443" s="29"/>
      <c r="I443" s="35"/>
      <c r="J443" s="36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 ht="15.75" customHeight="1">
      <c r="A444" s="35"/>
      <c r="B444" s="36"/>
      <c r="C444" s="29"/>
      <c r="D444" s="29"/>
      <c r="E444" s="29"/>
      <c r="F444" s="29"/>
      <c r="G444" s="29"/>
      <c r="H444" s="29"/>
      <c r="I444" s="35"/>
      <c r="J444" s="36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 ht="15.75" customHeight="1">
      <c r="A445" s="35"/>
      <c r="B445" s="36"/>
      <c r="C445" s="29"/>
      <c r="D445" s="29"/>
      <c r="E445" s="29"/>
      <c r="F445" s="29"/>
      <c r="G445" s="29"/>
      <c r="H445" s="29"/>
      <c r="I445" s="35"/>
      <c r="J445" s="36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 ht="15.75" customHeight="1">
      <c r="A446" s="35"/>
      <c r="B446" s="36"/>
      <c r="C446" s="29"/>
      <c r="D446" s="29"/>
      <c r="E446" s="29"/>
      <c r="F446" s="29"/>
      <c r="G446" s="29"/>
      <c r="H446" s="29"/>
      <c r="I446" s="35"/>
      <c r="J446" s="36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 ht="15.75" customHeight="1">
      <c r="A447" s="35"/>
      <c r="B447" s="36"/>
      <c r="C447" s="29"/>
      <c r="D447" s="29"/>
      <c r="E447" s="29"/>
      <c r="F447" s="29"/>
      <c r="G447" s="29"/>
      <c r="H447" s="29"/>
      <c r="I447" s="35"/>
      <c r="J447" s="36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 ht="15.75" customHeight="1">
      <c r="A448" s="35"/>
      <c r="B448" s="36"/>
      <c r="C448" s="29"/>
      <c r="D448" s="29"/>
      <c r="E448" s="29"/>
      <c r="F448" s="29"/>
      <c r="G448" s="29"/>
      <c r="H448" s="29"/>
      <c r="I448" s="35"/>
      <c r="J448" s="36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 ht="15.75" customHeight="1">
      <c r="A449" s="35"/>
      <c r="B449" s="36"/>
      <c r="C449" s="29"/>
      <c r="D449" s="29"/>
      <c r="E449" s="29"/>
      <c r="F449" s="29"/>
      <c r="G449" s="29"/>
      <c r="H449" s="29"/>
      <c r="I449" s="35"/>
      <c r="J449" s="36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 ht="15.75" customHeight="1">
      <c r="A450" s="35"/>
      <c r="B450" s="36"/>
      <c r="C450" s="29"/>
      <c r="D450" s="29"/>
      <c r="E450" s="29"/>
      <c r="F450" s="29"/>
      <c r="G450" s="29"/>
      <c r="H450" s="29"/>
      <c r="I450" s="35"/>
      <c r="J450" s="36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 ht="15.75" customHeight="1">
      <c r="A451" s="35"/>
      <c r="B451" s="36"/>
      <c r="C451" s="29"/>
      <c r="D451" s="29"/>
      <c r="E451" s="29"/>
      <c r="F451" s="29"/>
      <c r="G451" s="29"/>
      <c r="H451" s="29"/>
      <c r="I451" s="35"/>
      <c r="J451" s="36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 ht="15.75" customHeight="1">
      <c r="A452" s="35"/>
      <c r="B452" s="36"/>
      <c r="C452" s="29"/>
      <c r="D452" s="29"/>
      <c r="E452" s="29"/>
      <c r="F452" s="29"/>
      <c r="G452" s="29"/>
      <c r="H452" s="29"/>
      <c r="I452" s="35"/>
      <c r="J452" s="36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 ht="15.75" customHeight="1">
      <c r="A453" s="35"/>
      <c r="B453" s="36"/>
      <c r="C453" s="29"/>
      <c r="D453" s="29"/>
      <c r="E453" s="29"/>
      <c r="F453" s="29"/>
      <c r="G453" s="29"/>
      <c r="H453" s="29"/>
      <c r="I453" s="35"/>
      <c r="J453" s="36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 ht="15.75" customHeight="1">
      <c r="A454" s="35"/>
      <c r="B454" s="36"/>
      <c r="C454" s="29"/>
      <c r="D454" s="29"/>
      <c r="E454" s="29"/>
      <c r="F454" s="29"/>
      <c r="G454" s="29"/>
      <c r="H454" s="29"/>
      <c r="I454" s="35"/>
      <c r="J454" s="36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 ht="15.75" customHeight="1">
      <c r="A455" s="35"/>
      <c r="B455" s="36"/>
      <c r="C455" s="29"/>
      <c r="D455" s="29"/>
      <c r="E455" s="29"/>
      <c r="F455" s="29"/>
      <c r="G455" s="29"/>
      <c r="H455" s="29"/>
      <c r="I455" s="35"/>
      <c r="J455" s="36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 ht="15.75" customHeight="1">
      <c r="A456" s="35"/>
      <c r="B456" s="36"/>
      <c r="C456" s="29"/>
      <c r="D456" s="29"/>
      <c r="E456" s="29"/>
      <c r="F456" s="29"/>
      <c r="G456" s="29"/>
      <c r="H456" s="29"/>
      <c r="I456" s="35"/>
      <c r="J456" s="36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 ht="15.75" customHeight="1">
      <c r="A457" s="35"/>
      <c r="B457" s="36"/>
      <c r="C457" s="29"/>
      <c r="D457" s="29"/>
      <c r="E457" s="29"/>
      <c r="F457" s="29"/>
      <c r="G457" s="29"/>
      <c r="H457" s="29"/>
      <c r="I457" s="35"/>
      <c r="J457" s="36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 ht="15.75" customHeight="1">
      <c r="A458" s="35"/>
      <c r="B458" s="36"/>
      <c r="C458" s="29"/>
      <c r="D458" s="29"/>
      <c r="E458" s="29"/>
      <c r="F458" s="29"/>
      <c r="G458" s="29"/>
      <c r="H458" s="29"/>
      <c r="I458" s="35"/>
      <c r="J458" s="36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 ht="15.75" customHeight="1">
      <c r="A459" s="35"/>
      <c r="B459" s="36"/>
      <c r="C459" s="29"/>
      <c r="D459" s="29"/>
      <c r="E459" s="29"/>
      <c r="F459" s="29"/>
      <c r="G459" s="29"/>
      <c r="H459" s="29"/>
      <c r="I459" s="35"/>
      <c r="J459" s="36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 ht="15.75" customHeight="1">
      <c r="A460" s="35"/>
      <c r="B460" s="36"/>
      <c r="C460" s="29"/>
      <c r="D460" s="29"/>
      <c r="E460" s="29"/>
      <c r="F460" s="29"/>
      <c r="G460" s="29"/>
      <c r="H460" s="29"/>
      <c r="I460" s="35"/>
      <c r="J460" s="36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 ht="15.75" customHeight="1">
      <c r="A461" s="35"/>
      <c r="B461" s="36"/>
      <c r="C461" s="29"/>
      <c r="D461" s="29"/>
      <c r="E461" s="29"/>
      <c r="F461" s="29"/>
      <c r="G461" s="29"/>
      <c r="H461" s="29"/>
      <c r="I461" s="35"/>
      <c r="J461" s="36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 ht="15.75" customHeight="1">
      <c r="A462" s="35"/>
      <c r="B462" s="36"/>
      <c r="C462" s="29"/>
      <c r="D462" s="29"/>
      <c r="E462" s="29"/>
      <c r="F462" s="29"/>
      <c r="G462" s="29"/>
      <c r="H462" s="29"/>
      <c r="I462" s="35"/>
      <c r="J462" s="36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 ht="15.75" customHeight="1">
      <c r="A463" s="35"/>
      <c r="B463" s="36"/>
      <c r="C463" s="29"/>
      <c r="D463" s="29"/>
      <c r="E463" s="29"/>
      <c r="F463" s="29"/>
      <c r="G463" s="29"/>
      <c r="H463" s="29"/>
      <c r="I463" s="35"/>
      <c r="J463" s="36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 ht="15.75" customHeight="1">
      <c r="A464" s="35"/>
      <c r="B464" s="36"/>
      <c r="C464" s="29"/>
      <c r="D464" s="29"/>
      <c r="E464" s="29"/>
      <c r="F464" s="29"/>
      <c r="G464" s="29"/>
      <c r="H464" s="29"/>
      <c r="I464" s="35"/>
      <c r="J464" s="36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 ht="15.75" customHeight="1">
      <c r="A465" s="35"/>
      <c r="B465" s="36"/>
      <c r="C465" s="29"/>
      <c r="D465" s="29"/>
      <c r="E465" s="29"/>
      <c r="F465" s="29"/>
      <c r="G465" s="29"/>
      <c r="H465" s="29"/>
      <c r="I465" s="35"/>
      <c r="J465" s="36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 ht="15.75" customHeight="1">
      <c r="A466" s="35"/>
      <c r="B466" s="36"/>
      <c r="C466" s="29"/>
      <c r="D466" s="29"/>
      <c r="E466" s="29"/>
      <c r="F466" s="29"/>
      <c r="G466" s="29"/>
      <c r="H466" s="29"/>
      <c r="I466" s="35"/>
      <c r="J466" s="36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 ht="15.75" customHeight="1">
      <c r="A467" s="35"/>
      <c r="B467" s="36"/>
      <c r="C467" s="29"/>
      <c r="D467" s="29"/>
      <c r="E467" s="29"/>
      <c r="F467" s="29"/>
      <c r="G467" s="29"/>
      <c r="H467" s="29"/>
      <c r="I467" s="35"/>
      <c r="J467" s="36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 ht="15.75" customHeight="1">
      <c r="A468" s="35"/>
      <c r="B468" s="36"/>
      <c r="C468" s="29"/>
      <c r="D468" s="29"/>
      <c r="E468" s="29"/>
      <c r="F468" s="29"/>
      <c r="G468" s="29"/>
      <c r="H468" s="29"/>
      <c r="I468" s="35"/>
      <c r="J468" s="36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 ht="15.75" customHeight="1">
      <c r="A469" s="35"/>
      <c r="B469" s="36"/>
      <c r="C469" s="29"/>
      <c r="D469" s="29"/>
      <c r="E469" s="29"/>
      <c r="F469" s="29"/>
      <c r="G469" s="29"/>
      <c r="H469" s="29"/>
      <c r="I469" s="35"/>
      <c r="J469" s="36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 ht="15.75" customHeight="1">
      <c r="A470" s="35"/>
      <c r="B470" s="36"/>
      <c r="C470" s="29"/>
      <c r="D470" s="29"/>
      <c r="E470" s="29"/>
      <c r="F470" s="29"/>
      <c r="G470" s="29"/>
      <c r="H470" s="29"/>
      <c r="I470" s="35"/>
      <c r="J470" s="36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 ht="15.75" customHeight="1">
      <c r="A471" s="35"/>
      <c r="B471" s="36"/>
      <c r="C471" s="29"/>
      <c r="D471" s="29"/>
      <c r="E471" s="29"/>
      <c r="F471" s="29"/>
      <c r="G471" s="29"/>
      <c r="H471" s="29"/>
      <c r="I471" s="35"/>
      <c r="J471" s="36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 ht="15.75" customHeight="1">
      <c r="A472" s="35"/>
      <c r="B472" s="36"/>
      <c r="C472" s="29"/>
      <c r="D472" s="29"/>
      <c r="E472" s="29"/>
      <c r="F472" s="29"/>
      <c r="G472" s="29"/>
      <c r="H472" s="29"/>
      <c r="I472" s="35"/>
      <c r="J472" s="36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 ht="15.75" customHeight="1">
      <c r="A473" s="35"/>
      <c r="B473" s="36"/>
      <c r="C473" s="29"/>
      <c r="D473" s="29"/>
      <c r="E473" s="29"/>
      <c r="F473" s="29"/>
      <c r="G473" s="29"/>
      <c r="H473" s="29"/>
      <c r="I473" s="35"/>
      <c r="J473" s="36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 ht="15.75" customHeight="1">
      <c r="A474" s="35"/>
      <c r="B474" s="36"/>
      <c r="C474" s="29"/>
      <c r="D474" s="29"/>
      <c r="E474" s="29"/>
      <c r="F474" s="29"/>
      <c r="G474" s="29"/>
      <c r="H474" s="29"/>
      <c r="I474" s="35"/>
      <c r="J474" s="36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 ht="15.75" customHeight="1">
      <c r="A475" s="35"/>
      <c r="B475" s="36"/>
      <c r="C475" s="29"/>
      <c r="D475" s="29"/>
      <c r="E475" s="29"/>
      <c r="F475" s="29"/>
      <c r="G475" s="29"/>
      <c r="H475" s="29"/>
      <c r="I475" s="35"/>
      <c r="J475" s="36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 ht="15.75" customHeight="1">
      <c r="A476" s="35"/>
      <c r="B476" s="36"/>
      <c r="C476" s="29"/>
      <c r="D476" s="29"/>
      <c r="E476" s="29"/>
      <c r="F476" s="29"/>
      <c r="G476" s="29"/>
      <c r="H476" s="29"/>
      <c r="I476" s="35"/>
      <c r="J476" s="36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 ht="15.75" customHeight="1">
      <c r="A477" s="35"/>
      <c r="B477" s="36"/>
      <c r="C477" s="29"/>
      <c r="D477" s="29"/>
      <c r="E477" s="29"/>
      <c r="F477" s="29"/>
      <c r="G477" s="29"/>
      <c r="H477" s="29"/>
      <c r="I477" s="35"/>
      <c r="J477" s="36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 ht="15.75" customHeight="1">
      <c r="A478" s="35"/>
      <c r="B478" s="36"/>
      <c r="C478" s="29"/>
      <c r="D478" s="29"/>
      <c r="E478" s="29"/>
      <c r="F478" s="29"/>
      <c r="G478" s="29"/>
      <c r="H478" s="29"/>
      <c r="I478" s="35"/>
      <c r="J478" s="36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 ht="15.75" customHeight="1">
      <c r="A479" s="35"/>
      <c r="B479" s="36"/>
      <c r="C479" s="29"/>
      <c r="D479" s="29"/>
      <c r="E479" s="29"/>
      <c r="F479" s="29"/>
      <c r="G479" s="29"/>
      <c r="H479" s="29"/>
      <c r="I479" s="35"/>
      <c r="J479" s="36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 ht="15.75" customHeight="1">
      <c r="A480" s="35"/>
      <c r="B480" s="36"/>
      <c r="C480" s="29"/>
      <c r="D480" s="29"/>
      <c r="E480" s="29"/>
      <c r="F480" s="29"/>
      <c r="G480" s="29"/>
      <c r="H480" s="29"/>
      <c r="I480" s="35"/>
      <c r="J480" s="36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 ht="15.75" customHeight="1">
      <c r="A481" s="35"/>
      <c r="B481" s="36"/>
      <c r="C481" s="29"/>
      <c r="D481" s="29"/>
      <c r="E481" s="29"/>
      <c r="F481" s="29"/>
      <c r="G481" s="29"/>
      <c r="H481" s="29"/>
      <c r="I481" s="35"/>
      <c r="J481" s="36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 ht="15.75" customHeight="1">
      <c r="A482" s="35"/>
      <c r="B482" s="36"/>
      <c r="C482" s="29"/>
      <c r="D482" s="29"/>
      <c r="E482" s="29"/>
      <c r="F482" s="29"/>
      <c r="G482" s="29"/>
      <c r="H482" s="29"/>
      <c r="I482" s="35"/>
      <c r="J482" s="36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 ht="15.75" customHeight="1">
      <c r="A483" s="35"/>
      <c r="B483" s="36"/>
      <c r="C483" s="29"/>
      <c r="D483" s="29"/>
      <c r="E483" s="29"/>
      <c r="F483" s="29"/>
      <c r="G483" s="29"/>
      <c r="H483" s="29"/>
      <c r="I483" s="35"/>
      <c r="J483" s="36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 ht="15.75" customHeight="1">
      <c r="A484" s="35"/>
      <c r="B484" s="36"/>
      <c r="C484" s="29"/>
      <c r="D484" s="29"/>
      <c r="E484" s="29"/>
      <c r="F484" s="29"/>
      <c r="G484" s="29"/>
      <c r="H484" s="29"/>
      <c r="I484" s="35"/>
      <c r="J484" s="36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 ht="15.75" customHeight="1">
      <c r="A485" s="35"/>
      <c r="B485" s="36"/>
      <c r="C485" s="29"/>
      <c r="D485" s="29"/>
      <c r="E485" s="29"/>
      <c r="F485" s="29"/>
      <c r="G485" s="29"/>
      <c r="H485" s="29"/>
      <c r="I485" s="35"/>
      <c r="J485" s="36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 ht="15.75" customHeight="1">
      <c r="A486" s="35"/>
      <c r="B486" s="36"/>
      <c r="C486" s="29"/>
      <c r="D486" s="29"/>
      <c r="E486" s="29"/>
      <c r="F486" s="29"/>
      <c r="G486" s="29"/>
      <c r="H486" s="29"/>
      <c r="I486" s="35"/>
      <c r="J486" s="36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 ht="15.75" customHeight="1">
      <c r="A487" s="35"/>
      <c r="B487" s="36"/>
      <c r="C487" s="29"/>
      <c r="D487" s="29"/>
      <c r="E487" s="29"/>
      <c r="F487" s="29"/>
      <c r="G487" s="29"/>
      <c r="H487" s="29"/>
      <c r="I487" s="35"/>
      <c r="J487" s="36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 ht="15.75" customHeight="1">
      <c r="A488" s="35"/>
      <c r="B488" s="36"/>
      <c r="C488" s="29"/>
      <c r="D488" s="29"/>
      <c r="E488" s="29"/>
      <c r="F488" s="29"/>
      <c r="G488" s="29"/>
      <c r="H488" s="29"/>
      <c r="I488" s="35"/>
      <c r="J488" s="36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 ht="15.75" customHeight="1">
      <c r="A489" s="35"/>
      <c r="B489" s="36"/>
      <c r="C489" s="29"/>
      <c r="D489" s="29"/>
      <c r="E489" s="29"/>
      <c r="F489" s="29"/>
      <c r="G489" s="29"/>
      <c r="H489" s="29"/>
      <c r="I489" s="35"/>
      <c r="J489" s="36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 ht="15.75" customHeight="1">
      <c r="A490" s="35"/>
      <c r="B490" s="36"/>
      <c r="C490" s="29"/>
      <c r="D490" s="29"/>
      <c r="E490" s="29"/>
      <c r="F490" s="29"/>
      <c r="G490" s="29"/>
      <c r="H490" s="29"/>
      <c r="I490" s="35"/>
      <c r="J490" s="36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 ht="15.75" customHeight="1">
      <c r="A491" s="35"/>
      <c r="B491" s="36"/>
      <c r="C491" s="29"/>
      <c r="D491" s="29"/>
      <c r="E491" s="29"/>
      <c r="F491" s="29"/>
      <c r="G491" s="29"/>
      <c r="H491" s="29"/>
      <c r="I491" s="35"/>
      <c r="J491" s="36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 ht="15.75" customHeight="1">
      <c r="A492" s="35"/>
      <c r="B492" s="36"/>
      <c r="C492" s="29"/>
      <c r="D492" s="29"/>
      <c r="E492" s="29"/>
      <c r="F492" s="29"/>
      <c r="G492" s="29"/>
      <c r="H492" s="29"/>
      <c r="I492" s="35"/>
      <c r="J492" s="36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 ht="15.75" customHeight="1">
      <c r="A493" s="35"/>
      <c r="B493" s="36"/>
      <c r="C493" s="29"/>
      <c r="D493" s="29"/>
      <c r="E493" s="29"/>
      <c r="F493" s="29"/>
      <c r="G493" s="29"/>
      <c r="H493" s="29"/>
      <c r="I493" s="35"/>
      <c r="J493" s="36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 ht="15.75" customHeight="1">
      <c r="A494" s="35"/>
      <c r="B494" s="36"/>
      <c r="C494" s="29"/>
      <c r="D494" s="29"/>
      <c r="E494" s="29"/>
      <c r="F494" s="29"/>
      <c r="G494" s="29"/>
      <c r="H494" s="29"/>
      <c r="I494" s="35"/>
      <c r="J494" s="36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 ht="15.75" customHeight="1">
      <c r="A495" s="35"/>
      <c r="B495" s="36"/>
      <c r="C495" s="29"/>
      <c r="D495" s="29"/>
      <c r="E495" s="29"/>
      <c r="F495" s="29"/>
      <c r="G495" s="29"/>
      <c r="H495" s="29"/>
      <c r="I495" s="35"/>
      <c r="J495" s="36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 ht="15.75" customHeight="1">
      <c r="A496" s="35"/>
      <c r="B496" s="36"/>
      <c r="C496" s="29"/>
      <c r="D496" s="29"/>
      <c r="E496" s="29"/>
      <c r="F496" s="29"/>
      <c r="G496" s="29"/>
      <c r="H496" s="29"/>
      <c r="I496" s="35"/>
      <c r="J496" s="36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 ht="15.75" customHeight="1">
      <c r="A497" s="35"/>
      <c r="B497" s="36"/>
      <c r="C497" s="29"/>
      <c r="D497" s="29"/>
      <c r="E497" s="29"/>
      <c r="F497" s="29"/>
      <c r="G497" s="29"/>
      <c r="H497" s="29"/>
      <c r="I497" s="35"/>
      <c r="J497" s="36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 ht="15.75" customHeight="1">
      <c r="A498" s="35"/>
      <c r="B498" s="36"/>
      <c r="C498" s="29"/>
      <c r="D498" s="29"/>
      <c r="E498" s="29"/>
      <c r="F498" s="29"/>
      <c r="G498" s="29"/>
      <c r="H498" s="29"/>
      <c r="I498" s="35"/>
      <c r="J498" s="36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 ht="15.75" customHeight="1">
      <c r="A499" s="35"/>
      <c r="B499" s="36"/>
      <c r="C499" s="29"/>
      <c r="D499" s="29"/>
      <c r="E499" s="29"/>
      <c r="F499" s="29"/>
      <c r="G499" s="29"/>
      <c r="H499" s="29"/>
      <c r="I499" s="35"/>
      <c r="J499" s="36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 ht="15.75" customHeight="1">
      <c r="A500" s="35"/>
      <c r="B500" s="36"/>
      <c r="C500" s="29"/>
      <c r="D500" s="29"/>
      <c r="E500" s="29"/>
      <c r="F500" s="29"/>
      <c r="G500" s="29"/>
      <c r="H500" s="29"/>
      <c r="I500" s="35"/>
      <c r="J500" s="36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 ht="15.75" customHeight="1">
      <c r="A501" s="35"/>
      <c r="B501" s="36"/>
      <c r="C501" s="29"/>
      <c r="D501" s="29"/>
      <c r="E501" s="29"/>
      <c r="F501" s="29"/>
      <c r="G501" s="29"/>
      <c r="H501" s="29"/>
      <c r="I501" s="35"/>
      <c r="J501" s="36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 ht="15.75" customHeight="1">
      <c r="A502" s="35"/>
      <c r="B502" s="36"/>
      <c r="C502" s="29"/>
      <c r="D502" s="29"/>
      <c r="E502" s="29"/>
      <c r="F502" s="29"/>
      <c r="G502" s="29"/>
      <c r="H502" s="29"/>
      <c r="I502" s="35"/>
      <c r="J502" s="36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 ht="15.75" customHeight="1">
      <c r="A503" s="35"/>
      <c r="B503" s="36"/>
      <c r="C503" s="29"/>
      <c r="D503" s="29"/>
      <c r="E503" s="29"/>
      <c r="F503" s="29"/>
      <c r="G503" s="29"/>
      <c r="H503" s="29"/>
      <c r="I503" s="35"/>
      <c r="J503" s="36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 ht="15.75" customHeight="1">
      <c r="A504" s="35"/>
      <c r="B504" s="36"/>
      <c r="C504" s="29"/>
      <c r="D504" s="29"/>
      <c r="E504" s="29"/>
      <c r="F504" s="29"/>
      <c r="G504" s="29"/>
      <c r="H504" s="29"/>
      <c r="I504" s="35"/>
      <c r="J504" s="36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 ht="15.75" customHeight="1">
      <c r="A505" s="35"/>
      <c r="B505" s="36"/>
      <c r="C505" s="29"/>
      <c r="D505" s="29"/>
      <c r="E505" s="29"/>
      <c r="F505" s="29"/>
      <c r="G505" s="29"/>
      <c r="H505" s="29"/>
      <c r="I505" s="35"/>
      <c r="J505" s="36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 ht="15.75" customHeight="1">
      <c r="A506" s="35"/>
      <c r="B506" s="36"/>
      <c r="C506" s="29"/>
      <c r="D506" s="29"/>
      <c r="E506" s="29"/>
      <c r="F506" s="29"/>
      <c r="G506" s="29"/>
      <c r="H506" s="29"/>
      <c r="I506" s="35"/>
      <c r="J506" s="36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 ht="15.75" customHeight="1">
      <c r="A507" s="35"/>
      <c r="B507" s="36"/>
      <c r="C507" s="29"/>
      <c r="D507" s="29"/>
      <c r="E507" s="29"/>
      <c r="F507" s="29"/>
      <c r="G507" s="29"/>
      <c r="H507" s="29"/>
      <c r="I507" s="35"/>
      <c r="J507" s="36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 ht="15.75" customHeight="1">
      <c r="A508" s="35"/>
      <c r="B508" s="36"/>
      <c r="C508" s="29"/>
      <c r="D508" s="29"/>
      <c r="E508" s="29"/>
      <c r="F508" s="29"/>
      <c r="G508" s="29"/>
      <c r="H508" s="29"/>
      <c r="I508" s="35"/>
      <c r="J508" s="36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 ht="15.75" customHeight="1">
      <c r="A509" s="35"/>
      <c r="B509" s="36"/>
      <c r="C509" s="29"/>
      <c r="D509" s="29"/>
      <c r="E509" s="29"/>
      <c r="F509" s="29"/>
      <c r="G509" s="29"/>
      <c r="H509" s="29"/>
      <c r="I509" s="35"/>
      <c r="J509" s="36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 ht="15.75" customHeight="1">
      <c r="A510" s="35"/>
      <c r="B510" s="36"/>
      <c r="C510" s="29"/>
      <c r="D510" s="29"/>
      <c r="E510" s="29"/>
      <c r="F510" s="29"/>
      <c r="G510" s="29"/>
      <c r="H510" s="29"/>
      <c r="I510" s="35"/>
      <c r="J510" s="36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 ht="15.75" customHeight="1">
      <c r="A511" s="35"/>
      <c r="B511" s="36"/>
      <c r="C511" s="29"/>
      <c r="D511" s="29"/>
      <c r="E511" s="29"/>
      <c r="F511" s="29"/>
      <c r="G511" s="29"/>
      <c r="H511" s="29"/>
      <c r="I511" s="35"/>
      <c r="J511" s="36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 ht="15.75" customHeight="1">
      <c r="A512" s="35"/>
      <c r="B512" s="36"/>
      <c r="C512" s="29"/>
      <c r="D512" s="29"/>
      <c r="E512" s="29"/>
      <c r="F512" s="29"/>
      <c r="G512" s="29"/>
      <c r="H512" s="29"/>
      <c r="I512" s="35"/>
      <c r="J512" s="36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 ht="15.75" customHeight="1">
      <c r="A513" s="35"/>
      <c r="B513" s="36"/>
      <c r="C513" s="29"/>
      <c r="D513" s="29"/>
      <c r="E513" s="29"/>
      <c r="F513" s="29"/>
      <c r="G513" s="29"/>
      <c r="H513" s="29"/>
      <c r="I513" s="35"/>
      <c r="J513" s="36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 ht="15.75" customHeight="1">
      <c r="A514" s="35"/>
      <c r="B514" s="36"/>
      <c r="C514" s="29"/>
      <c r="D514" s="29"/>
      <c r="E514" s="29"/>
      <c r="F514" s="29"/>
      <c r="G514" s="29"/>
      <c r="H514" s="29"/>
      <c r="I514" s="35"/>
      <c r="J514" s="36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 ht="15.75" customHeight="1">
      <c r="A515" s="35"/>
      <c r="B515" s="36"/>
      <c r="C515" s="29"/>
      <c r="D515" s="29"/>
      <c r="E515" s="29"/>
      <c r="F515" s="29"/>
      <c r="G515" s="29"/>
      <c r="H515" s="29"/>
      <c r="I515" s="35"/>
      <c r="J515" s="36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 ht="15.75" customHeight="1">
      <c r="A516" s="35"/>
      <c r="B516" s="36"/>
      <c r="C516" s="29"/>
      <c r="D516" s="29"/>
      <c r="E516" s="29"/>
      <c r="F516" s="29"/>
      <c r="G516" s="29"/>
      <c r="H516" s="29"/>
      <c r="I516" s="35"/>
      <c r="J516" s="36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 ht="15.75" customHeight="1">
      <c r="A517" s="35"/>
      <c r="B517" s="36"/>
      <c r="C517" s="29"/>
      <c r="D517" s="29"/>
      <c r="E517" s="29"/>
      <c r="F517" s="29"/>
      <c r="G517" s="29"/>
      <c r="H517" s="29"/>
      <c r="I517" s="35"/>
      <c r="J517" s="36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 ht="15.75" customHeight="1">
      <c r="A518" s="35"/>
      <c r="B518" s="36"/>
      <c r="C518" s="29"/>
      <c r="D518" s="29"/>
      <c r="E518" s="29"/>
      <c r="F518" s="29"/>
      <c r="G518" s="29"/>
      <c r="H518" s="29"/>
      <c r="I518" s="35"/>
      <c r="J518" s="36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 ht="15.75" customHeight="1">
      <c r="A519" s="35"/>
      <c r="B519" s="36"/>
      <c r="C519" s="29"/>
      <c r="D519" s="29"/>
      <c r="E519" s="29"/>
      <c r="F519" s="29"/>
      <c r="G519" s="29"/>
      <c r="H519" s="29"/>
      <c r="I519" s="35"/>
      <c r="J519" s="36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 ht="15.75" customHeight="1">
      <c r="A520" s="35"/>
      <c r="B520" s="36"/>
      <c r="C520" s="29"/>
      <c r="D520" s="29"/>
      <c r="E520" s="29"/>
      <c r="F520" s="29"/>
      <c r="G520" s="29"/>
      <c r="H520" s="29"/>
      <c r="I520" s="35"/>
      <c r="J520" s="36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 ht="15.75" customHeight="1">
      <c r="A521" s="35"/>
      <c r="B521" s="36"/>
      <c r="C521" s="29"/>
      <c r="D521" s="29"/>
      <c r="E521" s="29"/>
      <c r="F521" s="29"/>
      <c r="G521" s="29"/>
      <c r="H521" s="29"/>
      <c r="I521" s="35"/>
      <c r="J521" s="36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 ht="15.75" customHeight="1">
      <c r="A522" s="35"/>
      <c r="B522" s="36"/>
      <c r="C522" s="29"/>
      <c r="D522" s="29"/>
      <c r="E522" s="29"/>
      <c r="F522" s="29"/>
      <c r="G522" s="29"/>
      <c r="H522" s="29"/>
      <c r="I522" s="35"/>
      <c r="J522" s="36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 ht="15.75" customHeight="1">
      <c r="A523" s="35"/>
      <c r="B523" s="36"/>
      <c r="C523" s="29"/>
      <c r="D523" s="29"/>
      <c r="E523" s="29"/>
      <c r="F523" s="29"/>
      <c r="G523" s="29"/>
      <c r="H523" s="29"/>
      <c r="I523" s="35"/>
      <c r="J523" s="36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 ht="15.75" customHeight="1">
      <c r="A524" s="35"/>
      <c r="B524" s="36"/>
      <c r="C524" s="29"/>
      <c r="D524" s="29"/>
      <c r="E524" s="29"/>
      <c r="F524" s="29"/>
      <c r="G524" s="29"/>
      <c r="H524" s="29"/>
      <c r="I524" s="35"/>
      <c r="J524" s="36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 ht="15.75" customHeight="1">
      <c r="A525" s="35"/>
      <c r="B525" s="36"/>
      <c r="C525" s="29"/>
      <c r="D525" s="29"/>
      <c r="E525" s="29"/>
      <c r="F525" s="29"/>
      <c r="G525" s="29"/>
      <c r="H525" s="29"/>
      <c r="I525" s="35"/>
      <c r="J525" s="36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 ht="15.75" customHeight="1">
      <c r="A526" s="35"/>
      <c r="B526" s="36"/>
      <c r="C526" s="29"/>
      <c r="D526" s="29"/>
      <c r="E526" s="29"/>
      <c r="F526" s="29"/>
      <c r="G526" s="29"/>
      <c r="H526" s="29"/>
      <c r="I526" s="35"/>
      <c r="J526" s="36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 ht="15.75" customHeight="1">
      <c r="A527" s="35"/>
      <c r="B527" s="36"/>
      <c r="C527" s="29"/>
      <c r="D527" s="29"/>
      <c r="E527" s="29"/>
      <c r="F527" s="29"/>
      <c r="G527" s="29"/>
      <c r="H527" s="29"/>
      <c r="I527" s="35"/>
      <c r="J527" s="36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 ht="15.75" customHeight="1">
      <c r="A528" s="35"/>
      <c r="B528" s="36"/>
      <c r="C528" s="29"/>
      <c r="D528" s="29"/>
      <c r="E528" s="29"/>
      <c r="F528" s="29"/>
      <c r="G528" s="29"/>
      <c r="H528" s="29"/>
      <c r="I528" s="35"/>
      <c r="J528" s="36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 ht="15.75" customHeight="1">
      <c r="A529" s="35"/>
      <c r="B529" s="36"/>
      <c r="C529" s="29"/>
      <c r="D529" s="29"/>
      <c r="E529" s="29"/>
      <c r="F529" s="29"/>
      <c r="G529" s="29"/>
      <c r="H529" s="29"/>
      <c r="I529" s="35"/>
      <c r="J529" s="36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 ht="15.75" customHeight="1">
      <c r="A530" s="35"/>
      <c r="B530" s="36"/>
      <c r="C530" s="29"/>
      <c r="D530" s="29"/>
      <c r="E530" s="29"/>
      <c r="F530" s="29"/>
      <c r="G530" s="29"/>
      <c r="H530" s="29"/>
      <c r="I530" s="35"/>
      <c r="J530" s="36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 ht="15.75" customHeight="1">
      <c r="A531" s="35"/>
      <c r="B531" s="36"/>
      <c r="C531" s="29"/>
      <c r="D531" s="29"/>
      <c r="E531" s="29"/>
      <c r="F531" s="29"/>
      <c r="G531" s="29"/>
      <c r="H531" s="29"/>
      <c r="I531" s="35"/>
      <c r="J531" s="36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 ht="15.75" customHeight="1">
      <c r="A532" s="35"/>
      <c r="B532" s="36"/>
      <c r="C532" s="29"/>
      <c r="D532" s="29"/>
      <c r="E532" s="29"/>
      <c r="F532" s="29"/>
      <c r="G532" s="29"/>
      <c r="H532" s="29"/>
      <c r="I532" s="35"/>
      <c r="J532" s="36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 ht="15.75" customHeight="1">
      <c r="A533" s="35"/>
      <c r="B533" s="36"/>
      <c r="C533" s="29"/>
      <c r="D533" s="29"/>
      <c r="E533" s="29"/>
      <c r="F533" s="29"/>
      <c r="G533" s="29"/>
      <c r="H533" s="29"/>
      <c r="I533" s="35"/>
      <c r="J533" s="36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 ht="15.75" customHeight="1">
      <c r="A534" s="35"/>
      <c r="B534" s="36"/>
      <c r="C534" s="29"/>
      <c r="D534" s="29"/>
      <c r="E534" s="29"/>
      <c r="F534" s="29"/>
      <c r="G534" s="29"/>
      <c r="H534" s="29"/>
      <c r="I534" s="35"/>
      <c r="J534" s="36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 ht="15.75" customHeight="1">
      <c r="A535" s="35"/>
      <c r="B535" s="36"/>
      <c r="C535" s="29"/>
      <c r="D535" s="29"/>
      <c r="E535" s="29"/>
      <c r="F535" s="29"/>
      <c r="G535" s="29"/>
      <c r="H535" s="29"/>
      <c r="I535" s="35"/>
      <c r="J535" s="36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 ht="15.75" customHeight="1">
      <c r="A536" s="35"/>
      <c r="B536" s="36"/>
      <c r="C536" s="29"/>
      <c r="D536" s="29"/>
      <c r="E536" s="29"/>
      <c r="F536" s="29"/>
      <c r="G536" s="29"/>
      <c r="H536" s="29"/>
      <c r="I536" s="35"/>
      <c r="J536" s="36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 ht="15.75" customHeight="1">
      <c r="A537" s="35"/>
      <c r="B537" s="36"/>
      <c r="C537" s="29"/>
      <c r="D537" s="29"/>
      <c r="E537" s="29"/>
      <c r="F537" s="29"/>
      <c r="G537" s="29"/>
      <c r="H537" s="29"/>
      <c r="I537" s="35"/>
      <c r="J537" s="36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 ht="15.75" customHeight="1">
      <c r="A538" s="35"/>
      <c r="B538" s="36"/>
      <c r="C538" s="29"/>
      <c r="D538" s="29"/>
      <c r="E538" s="29"/>
      <c r="F538" s="29"/>
      <c r="G538" s="29"/>
      <c r="H538" s="29"/>
      <c r="I538" s="35"/>
      <c r="J538" s="36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 ht="15.75" customHeight="1">
      <c r="A539" s="35"/>
      <c r="B539" s="36"/>
      <c r="C539" s="29"/>
      <c r="D539" s="29"/>
      <c r="E539" s="29"/>
      <c r="F539" s="29"/>
      <c r="G539" s="29"/>
      <c r="H539" s="29"/>
      <c r="I539" s="35"/>
      <c r="J539" s="36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 ht="15.75" customHeight="1">
      <c r="A540" s="35"/>
      <c r="B540" s="36"/>
      <c r="C540" s="29"/>
      <c r="D540" s="29"/>
      <c r="E540" s="29"/>
      <c r="F540" s="29"/>
      <c r="G540" s="29"/>
      <c r="H540" s="29"/>
      <c r="I540" s="35"/>
      <c r="J540" s="36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 ht="15.75" customHeight="1">
      <c r="A541" s="35"/>
      <c r="B541" s="36"/>
      <c r="C541" s="29"/>
      <c r="D541" s="29"/>
      <c r="E541" s="29"/>
      <c r="F541" s="29"/>
      <c r="G541" s="29"/>
      <c r="H541" s="29"/>
      <c r="I541" s="35"/>
      <c r="J541" s="36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 ht="15.75" customHeight="1">
      <c r="A542" s="35"/>
      <c r="B542" s="36"/>
      <c r="C542" s="29"/>
      <c r="D542" s="29"/>
      <c r="E542" s="29"/>
      <c r="F542" s="29"/>
      <c r="G542" s="29"/>
      <c r="H542" s="29"/>
      <c r="I542" s="35"/>
      <c r="J542" s="36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 ht="15.75" customHeight="1">
      <c r="A543" s="35"/>
      <c r="B543" s="36"/>
      <c r="C543" s="29"/>
      <c r="D543" s="29"/>
      <c r="E543" s="29"/>
      <c r="F543" s="29"/>
      <c r="G543" s="29"/>
      <c r="H543" s="29"/>
      <c r="I543" s="35"/>
      <c r="J543" s="36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 ht="15.75" customHeight="1">
      <c r="A544" s="35"/>
      <c r="B544" s="36"/>
      <c r="C544" s="29"/>
      <c r="D544" s="29"/>
      <c r="E544" s="29"/>
      <c r="F544" s="29"/>
      <c r="G544" s="29"/>
      <c r="H544" s="29"/>
      <c r="I544" s="35"/>
      <c r="J544" s="36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 ht="15.75" customHeight="1">
      <c r="A545" s="35"/>
      <c r="B545" s="36"/>
      <c r="C545" s="29"/>
      <c r="D545" s="29"/>
      <c r="E545" s="29"/>
      <c r="F545" s="29"/>
      <c r="G545" s="29"/>
      <c r="H545" s="29"/>
      <c r="I545" s="35"/>
      <c r="J545" s="36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 ht="15.75" customHeight="1">
      <c r="A546" s="35"/>
      <c r="B546" s="36"/>
      <c r="C546" s="29"/>
      <c r="D546" s="29"/>
      <c r="E546" s="29"/>
      <c r="F546" s="29"/>
      <c r="G546" s="29"/>
      <c r="H546" s="29"/>
      <c r="I546" s="35"/>
      <c r="J546" s="36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 ht="15.75" customHeight="1">
      <c r="A547" s="35"/>
      <c r="B547" s="36"/>
      <c r="C547" s="29"/>
      <c r="D547" s="29"/>
      <c r="E547" s="29"/>
      <c r="F547" s="29"/>
      <c r="G547" s="29"/>
      <c r="H547" s="29"/>
      <c r="I547" s="35"/>
      <c r="J547" s="36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 ht="15.75" customHeight="1">
      <c r="A548" s="35"/>
      <c r="B548" s="36"/>
      <c r="C548" s="29"/>
      <c r="D548" s="29"/>
      <c r="E548" s="29"/>
      <c r="F548" s="29"/>
      <c r="G548" s="29"/>
      <c r="H548" s="29"/>
      <c r="I548" s="35"/>
      <c r="J548" s="36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 ht="15.75" customHeight="1">
      <c r="A549" s="35"/>
      <c r="B549" s="36"/>
      <c r="C549" s="29"/>
      <c r="D549" s="29"/>
      <c r="E549" s="29"/>
      <c r="F549" s="29"/>
      <c r="G549" s="29"/>
      <c r="H549" s="29"/>
      <c r="I549" s="35"/>
      <c r="J549" s="36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 ht="15.75" customHeight="1">
      <c r="A550" s="35"/>
      <c r="B550" s="36"/>
      <c r="C550" s="29"/>
      <c r="D550" s="29"/>
      <c r="E550" s="29"/>
      <c r="F550" s="29"/>
      <c r="G550" s="29"/>
      <c r="H550" s="29"/>
      <c r="I550" s="35"/>
      <c r="J550" s="36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 ht="15.75" customHeight="1">
      <c r="A551" s="35"/>
      <c r="B551" s="36"/>
      <c r="C551" s="29"/>
      <c r="D551" s="29"/>
      <c r="E551" s="29"/>
      <c r="F551" s="29"/>
      <c r="G551" s="29"/>
      <c r="H551" s="29"/>
      <c r="I551" s="35"/>
      <c r="J551" s="36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 ht="15.75" customHeight="1">
      <c r="A552" s="35"/>
      <c r="B552" s="36"/>
      <c r="C552" s="29"/>
      <c r="D552" s="29"/>
      <c r="E552" s="29"/>
      <c r="F552" s="29"/>
      <c r="G552" s="29"/>
      <c r="H552" s="29"/>
      <c r="I552" s="35"/>
      <c r="J552" s="36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 ht="15.75" customHeight="1">
      <c r="A553" s="35"/>
      <c r="B553" s="36"/>
      <c r="C553" s="29"/>
      <c r="D553" s="29"/>
      <c r="E553" s="29"/>
      <c r="F553" s="29"/>
      <c r="G553" s="29"/>
      <c r="H553" s="29"/>
      <c r="I553" s="35"/>
      <c r="J553" s="36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 ht="15.75" customHeight="1">
      <c r="A554" s="35"/>
      <c r="B554" s="36"/>
      <c r="C554" s="29"/>
      <c r="D554" s="29"/>
      <c r="E554" s="29"/>
      <c r="F554" s="29"/>
      <c r="G554" s="29"/>
      <c r="H554" s="29"/>
      <c r="I554" s="35"/>
      <c r="J554" s="36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 ht="15.75" customHeight="1">
      <c r="A555" s="35"/>
      <c r="B555" s="36"/>
      <c r="C555" s="29"/>
      <c r="D555" s="29"/>
      <c r="E555" s="29"/>
      <c r="F555" s="29"/>
      <c r="G555" s="29"/>
      <c r="H555" s="29"/>
      <c r="I555" s="35"/>
      <c r="J555" s="36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 ht="15.75" customHeight="1">
      <c r="A556" s="35"/>
      <c r="B556" s="36"/>
      <c r="C556" s="29"/>
      <c r="D556" s="29"/>
      <c r="E556" s="29"/>
      <c r="F556" s="29"/>
      <c r="G556" s="29"/>
      <c r="H556" s="29"/>
      <c r="I556" s="35"/>
      <c r="J556" s="36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 ht="15.75" customHeight="1">
      <c r="A557" s="35"/>
      <c r="B557" s="36"/>
      <c r="C557" s="29"/>
      <c r="D557" s="29"/>
      <c r="E557" s="29"/>
      <c r="F557" s="29"/>
      <c r="G557" s="29"/>
      <c r="H557" s="29"/>
      <c r="I557" s="35"/>
      <c r="J557" s="36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 ht="15.75" customHeight="1">
      <c r="A558" s="35"/>
      <c r="B558" s="36"/>
      <c r="C558" s="29"/>
      <c r="D558" s="29"/>
      <c r="E558" s="29"/>
      <c r="F558" s="29"/>
      <c r="G558" s="29"/>
      <c r="H558" s="29"/>
      <c r="I558" s="35"/>
      <c r="J558" s="36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3.88"/>
  </cols>
  <sheetData>
    <row r="1" ht="15.75" customHeight="1">
      <c r="A1" s="44" t="s">
        <v>37</v>
      </c>
      <c r="B1" s="45" t="s">
        <v>38</v>
      </c>
      <c r="C1" s="46" t="s">
        <v>389</v>
      </c>
      <c r="D1" s="46" t="s">
        <v>390</v>
      </c>
    </row>
    <row r="2" ht="15.75" customHeight="1">
      <c r="A2" s="18">
        <v>10101.0</v>
      </c>
      <c r="B2" s="47" t="s">
        <v>46</v>
      </c>
      <c r="C2" s="48">
        <v>1.0087616575154446</v>
      </c>
      <c r="D2" s="49">
        <v>0.6248585163993434</v>
      </c>
    </row>
    <row r="3" ht="15.75" customHeight="1">
      <c r="A3" s="18">
        <v>10102.0</v>
      </c>
      <c r="B3" s="47" t="s">
        <v>47</v>
      </c>
      <c r="C3" s="48">
        <v>0.993596633418827</v>
      </c>
      <c r="D3" s="49">
        <v>0.5772007891835872</v>
      </c>
    </row>
    <row r="4" ht="15.75" customHeight="1">
      <c r="A4" s="18">
        <v>10103.0</v>
      </c>
      <c r="B4" s="47" t="s">
        <v>49</v>
      </c>
      <c r="C4" s="48">
        <v>0.9632926958503939</v>
      </c>
      <c r="D4" s="49">
        <v>0.7430031278064488</v>
      </c>
    </row>
    <row r="5" ht="15.75" customHeight="1">
      <c r="A5" s="18">
        <v>10201.0</v>
      </c>
      <c r="B5" s="47" t="s">
        <v>51</v>
      </c>
      <c r="C5" s="48">
        <v>0.9770876128138729</v>
      </c>
      <c r="D5" s="49">
        <v>0.7911367721860709</v>
      </c>
    </row>
    <row r="6" ht="15.75" customHeight="1">
      <c r="A6" s="18">
        <v>10202.0</v>
      </c>
      <c r="B6" s="47" t="s">
        <v>52</v>
      </c>
      <c r="C6" s="48">
        <v>0.9506369215368304</v>
      </c>
      <c r="D6" s="49">
        <v>0.6268318020595295</v>
      </c>
    </row>
    <row r="7" ht="15.75" customHeight="1">
      <c r="A7" s="18">
        <v>10301.0</v>
      </c>
      <c r="B7" s="47" t="s">
        <v>53</v>
      </c>
      <c r="C7" s="48">
        <v>0.995181852810401</v>
      </c>
      <c r="D7" s="49">
        <v>0.6793935882417742</v>
      </c>
    </row>
    <row r="8" ht="15.75" customHeight="1">
      <c r="A8" s="18">
        <v>10302.0</v>
      </c>
      <c r="B8" s="47" t="s">
        <v>55</v>
      </c>
      <c r="C8" s="48">
        <v>1.035039389184134</v>
      </c>
      <c r="D8" s="49">
        <v>0.7070114650286714</v>
      </c>
    </row>
    <row r="9" ht="15.75" customHeight="1">
      <c r="A9" s="18">
        <v>10303.0</v>
      </c>
      <c r="B9" s="47" t="s">
        <v>56</v>
      </c>
      <c r="C9" s="48">
        <v>0.8780921306324374</v>
      </c>
      <c r="D9" s="49">
        <v>0.5371774676563383</v>
      </c>
    </row>
    <row r="10" ht="15.75" customHeight="1">
      <c r="A10" s="18">
        <v>10304.0</v>
      </c>
      <c r="B10" s="47" t="s">
        <v>57</v>
      </c>
      <c r="C10" s="48">
        <v>0.8634845362399146</v>
      </c>
      <c r="D10" s="49">
        <v>0.7226762302605982</v>
      </c>
    </row>
    <row r="11" ht="15.75" customHeight="1">
      <c r="A11" s="18">
        <v>10401.0</v>
      </c>
      <c r="B11" s="47" t="s">
        <v>58</v>
      </c>
      <c r="C11" s="48">
        <v>0.9950231731828788</v>
      </c>
      <c r="D11" s="49">
        <v>0.6813118197753543</v>
      </c>
    </row>
    <row r="12" ht="15.75" customHeight="1">
      <c r="A12" s="18">
        <v>10402.0</v>
      </c>
      <c r="B12" s="47" t="s">
        <v>59</v>
      </c>
      <c r="C12" s="48">
        <v>0.9235561718207588</v>
      </c>
      <c r="D12" s="49">
        <v>0.8523654573337516</v>
      </c>
    </row>
    <row r="13" ht="15.75" customHeight="1">
      <c r="A13" s="18">
        <v>10403.0</v>
      </c>
      <c r="B13" s="47" t="s">
        <v>60</v>
      </c>
      <c r="C13" s="48">
        <v>0.8933298991312594</v>
      </c>
      <c r="D13" s="49">
        <v>0.7352105745187105</v>
      </c>
    </row>
    <row r="14" ht="15.75" customHeight="1">
      <c r="A14" s="18">
        <v>10404.0</v>
      </c>
      <c r="B14" s="47" t="s">
        <v>61</v>
      </c>
      <c r="C14" s="48">
        <v>0.852413436989441</v>
      </c>
      <c r="D14" s="49">
        <v>0.7823708119080421</v>
      </c>
    </row>
    <row r="15" ht="15.75" customHeight="1">
      <c r="A15" s="18">
        <v>10405.0</v>
      </c>
      <c r="B15" s="47" t="s">
        <v>62</v>
      </c>
      <c r="C15" s="48">
        <v>0.8515966810443307</v>
      </c>
      <c r="D15" s="49">
        <v>0.6979104240166103</v>
      </c>
    </row>
    <row r="16" ht="15.75" customHeight="1">
      <c r="A16" s="18">
        <v>10501.0</v>
      </c>
      <c r="B16" s="47" t="s">
        <v>63</v>
      </c>
      <c r="C16" s="48">
        <v>0.7781604299654374</v>
      </c>
      <c r="D16" s="49">
        <v>0.4962086026222622</v>
      </c>
    </row>
    <row r="17" ht="15.75" customHeight="1">
      <c r="A17" s="18">
        <v>10502.0</v>
      </c>
      <c r="B17" s="47" t="s">
        <v>64</v>
      </c>
      <c r="C17" s="48">
        <v>1.0145879989029047</v>
      </c>
      <c r="D17" s="49">
        <v>0.6601528014459803</v>
      </c>
    </row>
    <row r="18" ht="15.75" customHeight="1">
      <c r="A18" s="18">
        <v>10601.0</v>
      </c>
      <c r="B18" s="47" t="s">
        <v>67</v>
      </c>
      <c r="C18" s="48">
        <v>1.016939394301215</v>
      </c>
      <c r="D18" s="49">
        <v>0.7865462748560067</v>
      </c>
    </row>
    <row r="19" ht="15.75" customHeight="1">
      <c r="A19" s="18">
        <v>10602.0</v>
      </c>
      <c r="B19" s="47" t="s">
        <v>68</v>
      </c>
      <c r="C19" s="48">
        <v>1.0158493064595289</v>
      </c>
      <c r="D19" s="49">
        <v>0.7000159147705298</v>
      </c>
    </row>
    <row r="20" ht="15.75" customHeight="1">
      <c r="A20" s="18">
        <v>10701.0</v>
      </c>
      <c r="B20" s="47" t="s">
        <v>70</v>
      </c>
      <c r="C20" s="48">
        <v>1.0169297896147709</v>
      </c>
      <c r="D20" s="49">
        <v>0.7328174955148362</v>
      </c>
    </row>
    <row r="21" ht="15.75" customHeight="1">
      <c r="A21" s="18">
        <v>10702.0</v>
      </c>
      <c r="B21" s="47" t="s">
        <v>71</v>
      </c>
      <c r="C21" s="48">
        <v>0.889172813526234</v>
      </c>
      <c r="D21" s="49">
        <v>0.638862442005356</v>
      </c>
    </row>
    <row r="22" ht="15.75" customHeight="1">
      <c r="A22" s="18">
        <v>10703.0</v>
      </c>
      <c r="B22" s="47" t="s">
        <v>74</v>
      </c>
      <c r="C22" s="48">
        <v>0.9854380366791581</v>
      </c>
      <c r="D22" s="49">
        <v>0.8165974196938911</v>
      </c>
    </row>
    <row r="23" ht="15.75" customHeight="1">
      <c r="A23" s="18">
        <v>10704.0</v>
      </c>
      <c r="B23" s="47" t="s">
        <v>77</v>
      </c>
      <c r="C23" s="48">
        <v>0.8803138646520986</v>
      </c>
      <c r="D23" s="49">
        <v>0.6996751677550608</v>
      </c>
    </row>
    <row r="24" ht="15.75" customHeight="1">
      <c r="A24" s="18">
        <v>10801.0</v>
      </c>
      <c r="B24" s="47" t="s">
        <v>78</v>
      </c>
      <c r="C24" s="48">
        <v>0.9757130554272007</v>
      </c>
      <c r="D24" s="49">
        <v>0.7253045013801714</v>
      </c>
    </row>
    <row r="25" ht="15.75" customHeight="1">
      <c r="A25" s="18">
        <v>10901.0</v>
      </c>
      <c r="B25" s="47" t="s">
        <v>79</v>
      </c>
      <c r="C25" s="48">
        <v>1.0099039120340911</v>
      </c>
      <c r="D25" s="49">
        <v>0.692304069626477</v>
      </c>
    </row>
    <row r="26" ht="15.75" customHeight="1">
      <c r="A26" s="18">
        <v>10902.0</v>
      </c>
      <c r="B26" s="47" t="s">
        <v>80</v>
      </c>
      <c r="C26" s="48">
        <v>0.9486833268568807</v>
      </c>
      <c r="D26" s="49">
        <v>0.912519970189557</v>
      </c>
    </row>
    <row r="27" ht="15.75" customHeight="1">
      <c r="A27" s="18">
        <v>10903.0</v>
      </c>
      <c r="B27" s="47" t="s">
        <v>81</v>
      </c>
      <c r="C27" s="48">
        <v>1.1163010119432044</v>
      </c>
      <c r="D27" s="49">
        <v>0.644485257986826</v>
      </c>
    </row>
    <row r="28" ht="15.75" customHeight="1">
      <c r="A28" s="18">
        <v>11001.0</v>
      </c>
      <c r="B28" s="47" t="s">
        <v>82</v>
      </c>
      <c r="C28" s="48">
        <v>0.91957629079875</v>
      </c>
      <c r="D28" s="49">
        <v>0.9854330144618244</v>
      </c>
    </row>
    <row r="29" ht="15.75" customHeight="1">
      <c r="A29" s="18">
        <v>11002.0</v>
      </c>
      <c r="B29" s="47" t="s">
        <v>83</v>
      </c>
      <c r="C29" s="48">
        <v>0.9151918772173679</v>
      </c>
      <c r="D29" s="49">
        <v>0.5517939219016393</v>
      </c>
    </row>
    <row r="30" ht="15.75" customHeight="1">
      <c r="A30" s="18">
        <v>11003.0</v>
      </c>
      <c r="B30" s="47" t="s">
        <v>84</v>
      </c>
      <c r="C30" s="48">
        <v>0.9472189525922716</v>
      </c>
      <c r="D30" s="49">
        <v>0.9776877992973741</v>
      </c>
    </row>
    <row r="31" ht="15.75" customHeight="1">
      <c r="A31" s="18">
        <v>20101.0</v>
      </c>
      <c r="B31" s="47" t="s">
        <v>85</v>
      </c>
      <c r="C31" s="48">
        <v>1.1916111913069807</v>
      </c>
      <c r="D31" s="49">
        <v>1.0319617281691307</v>
      </c>
    </row>
    <row r="32" ht="15.75" customHeight="1">
      <c r="A32" s="18">
        <v>20102.0</v>
      </c>
      <c r="B32" s="47" t="s">
        <v>86</v>
      </c>
      <c r="C32" s="48">
        <v>0.9385998405730133</v>
      </c>
      <c r="D32" s="49">
        <v>0.7103958384974134</v>
      </c>
    </row>
    <row r="33" ht="15.75" customHeight="1">
      <c r="A33" s="18">
        <v>20103.0</v>
      </c>
      <c r="B33" s="47" t="s">
        <v>87</v>
      </c>
      <c r="C33" s="48">
        <v>0.8549529525512992</v>
      </c>
      <c r="D33" s="49">
        <v>0.6222640512858153</v>
      </c>
    </row>
    <row r="34" ht="15.75" customHeight="1">
      <c r="A34" s="18">
        <v>20104.0</v>
      </c>
      <c r="B34" s="47" t="s">
        <v>88</v>
      </c>
      <c r="C34" s="48">
        <v>0.9909285176165797</v>
      </c>
      <c r="D34" s="49">
        <v>0.5697134739265134</v>
      </c>
    </row>
    <row r="35" ht="15.75" customHeight="1">
      <c r="A35" s="18">
        <v>20105.0</v>
      </c>
      <c r="B35" s="47" t="s">
        <v>89</v>
      </c>
      <c r="C35" s="48">
        <v>1.2617681990449714</v>
      </c>
      <c r="D35" s="49">
        <v>0.8768042649715604</v>
      </c>
    </row>
    <row r="36" ht="15.75" customHeight="1">
      <c r="A36" s="18">
        <v>20201.0</v>
      </c>
      <c r="B36" s="47" t="s">
        <v>90</v>
      </c>
      <c r="C36" s="48">
        <v>0.8744762449423849</v>
      </c>
      <c r="D36" s="49">
        <v>0.6645832294943008</v>
      </c>
    </row>
    <row r="37" ht="15.75" customHeight="1">
      <c r="A37" s="18">
        <v>20202.0</v>
      </c>
      <c r="B37" s="47" t="s">
        <v>91</v>
      </c>
      <c r="C37" s="48">
        <v>0.9372114538576612</v>
      </c>
      <c r="D37" s="49">
        <v>0.960484904304981</v>
      </c>
    </row>
    <row r="38" ht="15.75" customHeight="1">
      <c r="A38" s="18">
        <v>20203.0</v>
      </c>
      <c r="B38" s="47" t="s">
        <v>92</v>
      </c>
      <c r="C38" s="48">
        <v>0.9299504748570343</v>
      </c>
      <c r="D38" s="49">
        <v>0.6927409319943925</v>
      </c>
    </row>
    <row r="39" ht="15.75" customHeight="1">
      <c r="A39" s="18">
        <v>20204.0</v>
      </c>
      <c r="B39" s="47" t="s">
        <v>93</v>
      </c>
      <c r="C39" s="48">
        <v>1.0563982599462567</v>
      </c>
      <c r="D39" s="49">
        <v>0.5774104480953799</v>
      </c>
    </row>
    <row r="40" ht="15.75" customHeight="1">
      <c r="A40" s="18">
        <v>20205.0</v>
      </c>
      <c r="B40" s="47" t="s">
        <v>94</v>
      </c>
      <c r="C40" s="48">
        <v>0.8866964147480498</v>
      </c>
      <c r="D40" s="49">
        <v>0.9392590037446437</v>
      </c>
    </row>
    <row r="41" ht="15.75" customHeight="1">
      <c r="A41" s="18">
        <v>20206.0</v>
      </c>
      <c r="B41" s="47" t="s">
        <v>95</v>
      </c>
      <c r="C41" s="48">
        <v>1.006977598555534</v>
      </c>
      <c r="D41" s="49">
        <v>0.8231747100934013</v>
      </c>
    </row>
    <row r="42" ht="15.75" customHeight="1">
      <c r="A42" s="18">
        <v>20301.0</v>
      </c>
      <c r="B42" s="47" t="s">
        <v>96</v>
      </c>
      <c r="C42" s="48">
        <v>1.0125903001605372</v>
      </c>
      <c r="D42" s="49">
        <v>1.0381523500086491</v>
      </c>
    </row>
    <row r="43" ht="15.75" customHeight="1">
      <c r="A43" s="18">
        <v>20302.0</v>
      </c>
      <c r="B43" s="47" t="s">
        <v>97</v>
      </c>
      <c r="C43" s="48">
        <v>1.0547834074348272</v>
      </c>
      <c r="D43" s="49">
        <v>1.020465207577344</v>
      </c>
    </row>
    <row r="44" ht="15.75" customHeight="1">
      <c r="A44" s="18">
        <v>20303.0</v>
      </c>
      <c r="B44" s="47" t="s">
        <v>98</v>
      </c>
      <c r="C44" s="48">
        <v>1.0836675378828409</v>
      </c>
      <c r="D44" s="49">
        <v>1.059009610741052</v>
      </c>
    </row>
    <row r="45" ht="15.75" customHeight="1">
      <c r="A45" s="18">
        <v>20304.0</v>
      </c>
      <c r="B45" s="47" t="s">
        <v>99</v>
      </c>
      <c r="C45" s="48">
        <v>0.9321942721637524</v>
      </c>
      <c r="D45" s="49">
        <v>1.0308274907194872</v>
      </c>
    </row>
    <row r="46" ht="15.75" customHeight="1">
      <c r="A46" s="18">
        <v>20305.0</v>
      </c>
      <c r="B46" s="47" t="s">
        <v>100</v>
      </c>
      <c r="C46" s="48">
        <v>0.9541207910849901</v>
      </c>
      <c r="D46" s="49">
        <v>0.939970119504043</v>
      </c>
    </row>
    <row r="47" ht="15.75" customHeight="1">
      <c r="A47" s="18">
        <v>20306.0</v>
      </c>
      <c r="B47" s="47" t="s">
        <v>101</v>
      </c>
      <c r="C47" s="48">
        <v>1.032623361812544</v>
      </c>
      <c r="D47" s="49">
        <v>0.8933696881078312</v>
      </c>
    </row>
    <row r="48" ht="15.75" customHeight="1">
      <c r="A48" s="18">
        <v>20307.0</v>
      </c>
      <c r="B48" s="47" t="s">
        <v>102</v>
      </c>
      <c r="C48" s="48">
        <v>1.4145466173341872</v>
      </c>
      <c r="D48" s="49">
        <v>0.9974489345431695</v>
      </c>
    </row>
    <row r="49" ht="15.75" customHeight="1">
      <c r="A49" s="18">
        <v>20308.0</v>
      </c>
      <c r="B49" s="47" t="s">
        <v>103</v>
      </c>
      <c r="C49" s="48">
        <v>1.0127259439475018</v>
      </c>
      <c r="D49" s="49">
        <v>0.9099410244513804</v>
      </c>
    </row>
    <row r="50" ht="15.75" customHeight="1">
      <c r="A50" s="18">
        <v>20401.0</v>
      </c>
      <c r="B50" s="47" t="s">
        <v>104</v>
      </c>
      <c r="C50" s="48">
        <v>1.0086819169640042</v>
      </c>
      <c r="D50" s="49">
        <v>0.8752817864139453</v>
      </c>
    </row>
    <row r="51" ht="15.75" customHeight="1">
      <c r="A51" s="18">
        <v>20402.0</v>
      </c>
      <c r="B51" s="47" t="s">
        <v>105</v>
      </c>
      <c r="C51" s="48">
        <v>1.0785450559003658</v>
      </c>
      <c r="D51" s="49">
        <v>0.7174095365170673</v>
      </c>
    </row>
    <row r="52" ht="15.75" customHeight="1">
      <c r="A52" s="18">
        <v>20403.0</v>
      </c>
      <c r="B52" s="47" t="s">
        <v>106</v>
      </c>
      <c r="C52" s="48">
        <v>1.1170959100575806</v>
      </c>
      <c r="D52" s="49">
        <v>0.7631002982593122</v>
      </c>
    </row>
    <row r="53" ht="15.75" customHeight="1">
      <c r="A53" s="18">
        <v>20404.0</v>
      </c>
      <c r="B53" s="47" t="s">
        <v>107</v>
      </c>
      <c r="C53" s="48">
        <v>0.9945976989985383</v>
      </c>
      <c r="D53" s="49">
        <v>0.7670089395648763</v>
      </c>
    </row>
    <row r="54" ht="15.75" customHeight="1">
      <c r="A54" s="18">
        <v>20405.0</v>
      </c>
      <c r="B54" s="47" t="s">
        <v>108</v>
      </c>
      <c r="C54" s="48">
        <v>0.8045466381438754</v>
      </c>
      <c r="D54" s="49">
        <v>0.7677878029890247</v>
      </c>
    </row>
    <row r="55" ht="15.75" customHeight="1">
      <c r="A55" s="18">
        <v>20501.0</v>
      </c>
      <c r="B55" s="47" t="s">
        <v>109</v>
      </c>
      <c r="C55" s="48">
        <v>0.9979811530602407</v>
      </c>
      <c r="D55" s="49">
        <v>0.7246245013323417</v>
      </c>
    </row>
    <row r="56" ht="15.75" customHeight="1">
      <c r="A56" s="18">
        <v>20502.0</v>
      </c>
      <c r="B56" s="47" t="s">
        <v>110</v>
      </c>
      <c r="C56" s="48">
        <v>1.148663469744171</v>
      </c>
      <c r="D56" s="49">
        <v>0.7119557756563479</v>
      </c>
    </row>
    <row r="57" ht="15.75" customHeight="1">
      <c r="A57" s="18">
        <v>20503.0</v>
      </c>
      <c r="B57" s="47" t="s">
        <v>111</v>
      </c>
      <c r="C57" s="48">
        <v>0.9302812543576425</v>
      </c>
      <c r="D57" s="49">
        <v>0.5902533433755153</v>
      </c>
    </row>
    <row r="58" ht="15.75" customHeight="1">
      <c r="A58" s="18">
        <v>20601.0</v>
      </c>
      <c r="B58" s="47" t="s">
        <v>112</v>
      </c>
      <c r="C58" s="48">
        <v>0.9524570173575281</v>
      </c>
      <c r="D58" s="49">
        <v>0.7667285703047413</v>
      </c>
    </row>
    <row r="59" ht="15.75" customHeight="1">
      <c r="A59" s="18">
        <v>20602.0</v>
      </c>
      <c r="B59" s="47" t="s">
        <v>113</v>
      </c>
      <c r="C59" s="48">
        <v>1.018948514360409</v>
      </c>
      <c r="D59" s="49">
        <v>1.1081492576814815</v>
      </c>
    </row>
    <row r="60" ht="15.75" customHeight="1">
      <c r="A60" s="18">
        <v>20603.0</v>
      </c>
      <c r="B60" s="47" t="s">
        <v>114</v>
      </c>
      <c r="C60" s="48">
        <v>0.88476498865242</v>
      </c>
      <c r="D60" s="49">
        <v>0.6900129586252348</v>
      </c>
    </row>
    <row r="61" ht="15.75" customHeight="1">
      <c r="A61" s="18">
        <v>20604.0</v>
      </c>
      <c r="B61" s="47" t="s">
        <v>115</v>
      </c>
      <c r="C61" s="48">
        <v>0.8953422255788989</v>
      </c>
      <c r="D61" s="49">
        <v>0.7190506455266872</v>
      </c>
    </row>
    <row r="62" ht="15.75" customHeight="1">
      <c r="A62" s="18">
        <v>20605.0</v>
      </c>
      <c r="B62" s="47" t="s">
        <v>116</v>
      </c>
      <c r="C62" s="48">
        <v>1.0238159986923203</v>
      </c>
      <c r="D62" s="49">
        <v>0.8722214456208465</v>
      </c>
    </row>
    <row r="63" ht="15.75" customHeight="1">
      <c r="A63" s="18">
        <v>20606.0</v>
      </c>
      <c r="B63" s="47" t="s">
        <v>117</v>
      </c>
      <c r="C63" s="48">
        <v>0.9565187583175226</v>
      </c>
      <c r="D63" s="49">
        <v>0.5447285838520209</v>
      </c>
    </row>
    <row r="64" ht="15.75" customHeight="1">
      <c r="A64" s="18">
        <v>20607.0</v>
      </c>
      <c r="B64" s="47" t="s">
        <v>118</v>
      </c>
      <c r="C64" s="48">
        <v>0.7464416700439783</v>
      </c>
      <c r="D64" s="49">
        <v>1.0431898261891386</v>
      </c>
    </row>
    <row r="65" ht="15.75" customHeight="1">
      <c r="A65" s="18">
        <v>20608.0</v>
      </c>
      <c r="B65" s="47" t="s">
        <v>119</v>
      </c>
      <c r="C65" s="48">
        <v>1.3397877247792809</v>
      </c>
      <c r="D65" s="49">
        <v>0.9009695146865361</v>
      </c>
    </row>
    <row r="66" ht="15.75" customHeight="1">
      <c r="A66" s="18">
        <v>20701.0</v>
      </c>
      <c r="B66" s="47" t="s">
        <v>120</v>
      </c>
      <c r="C66" s="48">
        <v>0.8391891326240952</v>
      </c>
      <c r="D66" s="49">
        <v>0.7251063266319709</v>
      </c>
    </row>
    <row r="67" ht="15.75" customHeight="1">
      <c r="A67" s="18">
        <v>20702.0</v>
      </c>
      <c r="B67" s="47" t="s">
        <v>121</v>
      </c>
      <c r="C67" s="48">
        <v>0.9064527416029325</v>
      </c>
      <c r="D67" s="49">
        <v>0.7376027535520631</v>
      </c>
    </row>
    <row r="68" ht="15.75" customHeight="1">
      <c r="A68" s="18">
        <v>20801.0</v>
      </c>
      <c r="B68" s="47" t="s">
        <v>122</v>
      </c>
      <c r="C68" s="48">
        <v>0.9811233034784411</v>
      </c>
      <c r="D68" s="49">
        <v>0.6201367065146532</v>
      </c>
    </row>
    <row r="69" ht="15.75" customHeight="1">
      <c r="A69" s="18">
        <v>20802.0</v>
      </c>
      <c r="B69" s="47" t="s">
        <v>123</v>
      </c>
      <c r="C69" s="48">
        <v>0.9997270204783733</v>
      </c>
      <c r="D69" s="49">
        <v>0.7319033691087117</v>
      </c>
    </row>
    <row r="70" ht="15.75" customHeight="1">
      <c r="A70" s="18">
        <v>20803.0</v>
      </c>
      <c r="B70" s="47" t="s">
        <v>124</v>
      </c>
      <c r="C70" s="48">
        <v>1.016239682277538</v>
      </c>
      <c r="D70" s="49">
        <v>1.0683512635501111</v>
      </c>
    </row>
    <row r="71" ht="15.75" customHeight="1">
      <c r="A71" s="18">
        <v>20804.0</v>
      </c>
      <c r="B71" s="47" t="s">
        <v>125</v>
      </c>
      <c r="C71" s="48">
        <v>0.8033435341701266</v>
      </c>
      <c r="D71" s="49">
        <v>0.5952254786231173</v>
      </c>
    </row>
    <row r="72" ht="15.75" customHeight="1">
      <c r="A72" s="18">
        <v>20805.0</v>
      </c>
      <c r="B72" s="47" t="s">
        <v>126</v>
      </c>
      <c r="C72" s="48">
        <v>0.977240796847149</v>
      </c>
      <c r="D72" s="49">
        <v>1.0814612574473341</v>
      </c>
    </row>
    <row r="73" ht="15.75" customHeight="1">
      <c r="A73" s="18">
        <v>20806.0</v>
      </c>
      <c r="B73" s="47" t="s">
        <v>127</v>
      </c>
      <c r="C73" s="48">
        <v>1.0665985546364076</v>
      </c>
      <c r="D73" s="49">
        <v>0.9813618784952008</v>
      </c>
    </row>
    <row r="74" ht="15.75" customHeight="1">
      <c r="A74" s="18">
        <v>20807.0</v>
      </c>
      <c r="B74" s="47" t="s">
        <v>128</v>
      </c>
      <c r="C74" s="48">
        <v>1.1247255705382015</v>
      </c>
      <c r="D74" s="49">
        <v>0.766981668754695</v>
      </c>
    </row>
    <row r="75" ht="15.75" customHeight="1">
      <c r="A75" s="18">
        <v>20901.0</v>
      </c>
      <c r="B75" s="47" t="s">
        <v>129</v>
      </c>
      <c r="C75" s="48">
        <v>0.8611698992056631</v>
      </c>
      <c r="D75" s="49">
        <v>0.7879557586428014</v>
      </c>
    </row>
    <row r="76" ht="15.75" customHeight="1">
      <c r="A76" s="18">
        <v>20902.0</v>
      </c>
      <c r="B76" s="47" t="s">
        <v>130</v>
      </c>
      <c r="C76" s="48">
        <v>0.9867340303150524</v>
      </c>
      <c r="D76" s="49">
        <v>0.6789301984750845</v>
      </c>
    </row>
    <row r="77" ht="15.75" customHeight="1">
      <c r="A77" s="18">
        <v>20903.0</v>
      </c>
      <c r="B77" s="47" t="s">
        <v>131</v>
      </c>
      <c r="C77" s="48">
        <v>1.0308770959525289</v>
      </c>
      <c r="D77" s="49">
        <v>0.9665128109699824</v>
      </c>
    </row>
    <row r="78" ht="15.75" customHeight="1">
      <c r="A78" s="18">
        <v>20904.0</v>
      </c>
      <c r="B78" s="47" t="s">
        <v>132</v>
      </c>
      <c r="C78" s="48">
        <v>0.806391252824327</v>
      </c>
      <c r="D78" s="49">
        <v>0.7535846958916557</v>
      </c>
    </row>
    <row r="79" ht="15.75" customHeight="1">
      <c r="A79" s="18">
        <v>20905.0</v>
      </c>
      <c r="B79" s="47" t="s">
        <v>133</v>
      </c>
      <c r="C79" s="48">
        <v>0.8585637402478138</v>
      </c>
      <c r="D79" s="49">
        <v>0.7309636223715136</v>
      </c>
    </row>
    <row r="80" ht="15.75" customHeight="1">
      <c r="A80" s="18">
        <v>21001.0</v>
      </c>
      <c r="B80" s="47" t="s">
        <v>134</v>
      </c>
      <c r="C80" s="48">
        <v>1.0855721204788256</v>
      </c>
      <c r="D80" s="49">
        <v>1.0263674030635186</v>
      </c>
    </row>
    <row r="81" ht="15.75" customHeight="1">
      <c r="A81" s="18">
        <v>21002.0</v>
      </c>
      <c r="B81" s="47" t="s">
        <v>135</v>
      </c>
      <c r="C81" s="48">
        <v>0.724328086877669</v>
      </c>
      <c r="D81" s="49">
        <v>0.6912060086330911</v>
      </c>
    </row>
    <row r="82" ht="15.75" customHeight="1">
      <c r="A82" s="18">
        <v>21003.0</v>
      </c>
      <c r="B82" s="47" t="s">
        <v>136</v>
      </c>
      <c r="C82" s="48">
        <v>0.9825688430470189</v>
      </c>
      <c r="D82" s="49">
        <v>0.8785665425979986</v>
      </c>
    </row>
    <row r="83" ht="15.75" customHeight="1">
      <c r="A83" s="18">
        <v>21004.0</v>
      </c>
      <c r="B83" s="47" t="s">
        <v>137</v>
      </c>
      <c r="C83" s="48">
        <v>0.7399090592260749</v>
      </c>
      <c r="D83" s="49">
        <v>0.5761349268468903</v>
      </c>
    </row>
    <row r="84" ht="15.75" customHeight="1">
      <c r="A84" s="18">
        <v>21005.0</v>
      </c>
      <c r="B84" s="47" t="s">
        <v>138</v>
      </c>
      <c r="C84" s="48">
        <v>0.979560100331231</v>
      </c>
      <c r="D84" s="49">
        <v>1.0362546074826837</v>
      </c>
    </row>
    <row r="85" ht="15.75" customHeight="1">
      <c r="A85" s="18">
        <v>21006.0</v>
      </c>
      <c r="B85" s="47" t="s">
        <v>139</v>
      </c>
      <c r="C85" s="48">
        <v>0.9221389503012614</v>
      </c>
      <c r="D85" s="49">
        <v>0.6209262532067266</v>
      </c>
    </row>
    <row r="86" ht="15.75" customHeight="1">
      <c r="A86" s="18">
        <v>21101.0</v>
      </c>
      <c r="B86" s="47" t="s">
        <v>140</v>
      </c>
      <c r="C86" s="48">
        <v>1.0333975616396716</v>
      </c>
      <c r="D86" s="49">
        <v>0.6374126650591737</v>
      </c>
    </row>
    <row r="87" ht="15.75" customHeight="1">
      <c r="A87" s="18">
        <v>21102.0</v>
      </c>
      <c r="B87" s="47" t="s">
        <v>141</v>
      </c>
      <c r="C87" s="48">
        <v>1.0781986399389227</v>
      </c>
      <c r="D87" s="49">
        <v>0.835200927889433</v>
      </c>
    </row>
    <row r="88" ht="15.75" customHeight="1">
      <c r="A88" s="18">
        <v>21103.0</v>
      </c>
      <c r="B88" s="47" t="s">
        <v>142</v>
      </c>
      <c r="C88" s="48">
        <v>0.794804072737622</v>
      </c>
      <c r="D88" s="49">
        <v>0.9213506391642685</v>
      </c>
    </row>
    <row r="89" ht="15.75" customHeight="1">
      <c r="A89" s="18">
        <v>21104.0</v>
      </c>
      <c r="B89" s="47" t="s">
        <v>143</v>
      </c>
      <c r="C89" s="48">
        <v>1.3042699484376385</v>
      </c>
      <c r="D89" s="49">
        <v>1.1791250733655245</v>
      </c>
    </row>
    <row r="90" ht="15.75" customHeight="1">
      <c r="A90" s="18">
        <v>21105.0</v>
      </c>
      <c r="B90" s="47" t="s">
        <v>144</v>
      </c>
      <c r="C90" s="48">
        <v>1.0237539708882455</v>
      </c>
      <c r="D90" s="49">
        <v>0.9572797285507803</v>
      </c>
    </row>
    <row r="91" ht="15.75" customHeight="1">
      <c r="A91" s="18">
        <v>21201.0</v>
      </c>
      <c r="B91" s="47" t="s">
        <v>145</v>
      </c>
      <c r="C91" s="48">
        <v>0.9315422274254828</v>
      </c>
      <c r="D91" s="49">
        <v>0.7318454561677591</v>
      </c>
    </row>
    <row r="92" ht="15.75" customHeight="1">
      <c r="A92" s="18">
        <v>21202.0</v>
      </c>
      <c r="B92" s="47" t="s">
        <v>146</v>
      </c>
      <c r="C92" s="48">
        <v>0.9719651228292105</v>
      </c>
      <c r="D92" s="49">
        <v>0.7149109419118268</v>
      </c>
    </row>
    <row r="93" ht="15.75" customHeight="1">
      <c r="A93" s="18">
        <v>21203.0</v>
      </c>
      <c r="B93" s="47" t="s">
        <v>147</v>
      </c>
      <c r="C93" s="48">
        <v>0.9615558473676792</v>
      </c>
      <c r="D93" s="49">
        <v>0.932843946919823</v>
      </c>
    </row>
    <row r="94" ht="15.75" customHeight="1">
      <c r="A94" s="18">
        <v>21204.0</v>
      </c>
      <c r="B94" s="47" t="s">
        <v>148</v>
      </c>
      <c r="C94" s="48">
        <v>0.7585528431260469</v>
      </c>
      <c r="D94" s="49">
        <v>0.6293533227920387</v>
      </c>
    </row>
    <row r="95" ht="15.75" customHeight="1">
      <c r="A95" s="18">
        <v>21301.0</v>
      </c>
      <c r="B95" s="47" t="s">
        <v>149</v>
      </c>
      <c r="C95" s="48">
        <v>0.9321035390533199</v>
      </c>
      <c r="D95" s="49">
        <v>0.7931434650116975</v>
      </c>
    </row>
    <row r="96" ht="15.75" customHeight="1">
      <c r="A96" s="18">
        <v>21302.0</v>
      </c>
      <c r="B96" s="47" t="s">
        <v>150</v>
      </c>
      <c r="C96" s="48">
        <v>1.152186768177578</v>
      </c>
      <c r="D96" s="49">
        <v>0.8472385543122549</v>
      </c>
    </row>
    <row r="97" ht="15.75" customHeight="1">
      <c r="A97" s="18">
        <v>21303.0</v>
      </c>
      <c r="B97" s="47" t="s">
        <v>151</v>
      </c>
      <c r="C97" s="48">
        <v>1.161676460803091</v>
      </c>
      <c r="D97" s="49">
        <v>0.9694046646020938</v>
      </c>
    </row>
    <row r="98" ht="15.75" customHeight="1">
      <c r="A98" s="18">
        <v>21304.0</v>
      </c>
      <c r="B98" s="47" t="s">
        <v>152</v>
      </c>
      <c r="C98" s="48">
        <v>0.9378017338468557</v>
      </c>
      <c r="D98" s="49">
        <v>0.8320954234885024</v>
      </c>
    </row>
    <row r="99" ht="15.75" customHeight="1">
      <c r="A99" s="18">
        <v>21305.0</v>
      </c>
      <c r="B99" s="47" t="s">
        <v>153</v>
      </c>
      <c r="C99" s="48">
        <v>0.6556889110227082</v>
      </c>
      <c r="D99" s="49">
        <v>0.5229838362916539</v>
      </c>
    </row>
    <row r="100" ht="15.75" customHeight="1">
      <c r="A100" s="18">
        <v>21306.0</v>
      </c>
      <c r="B100" s="47" t="s">
        <v>154</v>
      </c>
      <c r="C100" s="48">
        <v>0.9112225177996879</v>
      </c>
      <c r="D100" s="49">
        <v>0.8183820065571046</v>
      </c>
    </row>
    <row r="101" ht="15.75" customHeight="1">
      <c r="A101" s="18">
        <v>21307.0</v>
      </c>
      <c r="B101" s="47" t="s">
        <v>155</v>
      </c>
      <c r="C101" s="48">
        <v>0.7895548157967226</v>
      </c>
      <c r="D101" s="49">
        <v>0.7360196153985233</v>
      </c>
    </row>
    <row r="102" ht="15.75" customHeight="1">
      <c r="A102" s="18">
        <v>21401.0</v>
      </c>
      <c r="B102" s="47" t="s">
        <v>156</v>
      </c>
      <c r="C102" s="48">
        <v>1.1515227715938325</v>
      </c>
      <c r="D102" s="49">
        <v>1.031417634406807</v>
      </c>
    </row>
    <row r="103" ht="15.75" customHeight="1">
      <c r="A103" s="18">
        <v>21402.0</v>
      </c>
      <c r="B103" s="47" t="s">
        <v>157</v>
      </c>
      <c r="C103" s="48">
        <v>0.9036414854934172</v>
      </c>
      <c r="D103" s="49">
        <v>1.0252801013542534</v>
      </c>
    </row>
    <row r="104" ht="15.75" customHeight="1">
      <c r="A104" s="18">
        <v>21501.0</v>
      </c>
      <c r="B104" s="47" t="s">
        <v>158</v>
      </c>
      <c r="C104" s="48">
        <v>1.0536460429056291</v>
      </c>
      <c r="D104" s="49">
        <v>0.9476433208890513</v>
      </c>
    </row>
    <row r="105" ht="15.75" customHeight="1">
      <c r="A105" s="18">
        <v>21502.0</v>
      </c>
      <c r="B105" s="47" t="s">
        <v>159</v>
      </c>
      <c r="C105" s="48">
        <v>0.9962007946454978</v>
      </c>
      <c r="D105" s="49">
        <v>0.8648473571620899</v>
      </c>
    </row>
    <row r="106" ht="15.75" customHeight="1">
      <c r="A106" s="18">
        <v>21601.0</v>
      </c>
      <c r="B106" s="47" t="s">
        <v>160</v>
      </c>
      <c r="C106" s="48">
        <v>1.0240775144645142</v>
      </c>
      <c r="D106" s="49">
        <v>0.8226276163570303</v>
      </c>
    </row>
    <row r="107" ht="15.75" customHeight="1">
      <c r="A107" s="18">
        <v>21602.0</v>
      </c>
      <c r="B107" s="47" t="s">
        <v>161</v>
      </c>
      <c r="C107" s="48">
        <v>0.9366998519021962</v>
      </c>
      <c r="D107" s="49">
        <v>0.7565861393599181</v>
      </c>
    </row>
    <row r="108" ht="15.75" customHeight="1">
      <c r="A108" s="18">
        <v>21701.0</v>
      </c>
      <c r="B108" s="47" t="s">
        <v>162</v>
      </c>
      <c r="C108" s="48">
        <v>0.7578452603586479</v>
      </c>
      <c r="D108" s="49">
        <v>0.582154687216183</v>
      </c>
    </row>
    <row r="109" ht="15.75" customHeight="1">
      <c r="A109" s="18">
        <v>21702.0</v>
      </c>
      <c r="B109" s="47" t="s">
        <v>163</v>
      </c>
      <c r="C109" s="48">
        <v>0.8564271763143209</v>
      </c>
      <c r="D109" s="49">
        <v>0.6082555142839059</v>
      </c>
    </row>
    <row r="110" ht="15.75" customHeight="1">
      <c r="A110" s="18">
        <v>21703.0</v>
      </c>
      <c r="B110" s="47" t="s">
        <v>164</v>
      </c>
      <c r="C110" s="48">
        <v>0.8114397592582145</v>
      </c>
      <c r="D110" s="49">
        <v>0.7044223584972158</v>
      </c>
    </row>
    <row r="111" ht="15.75" customHeight="1">
      <c r="A111" s="18">
        <v>21801.0</v>
      </c>
      <c r="B111" s="47" t="s">
        <v>165</v>
      </c>
      <c r="C111" s="48">
        <v>0.9800178476117183</v>
      </c>
      <c r="D111" s="49">
        <v>0.942541720336779</v>
      </c>
    </row>
    <row r="112" ht="15.75" customHeight="1">
      <c r="A112" s="18">
        <v>21802.0</v>
      </c>
      <c r="B112" s="47" t="s">
        <v>166</v>
      </c>
      <c r="C112" s="48">
        <v>1.0015114983626083</v>
      </c>
      <c r="D112" s="49">
        <v>0.7740226336339509</v>
      </c>
    </row>
    <row r="113" ht="15.75" customHeight="1">
      <c r="A113" s="18">
        <v>21803.0</v>
      </c>
      <c r="B113" s="47" t="s">
        <v>167</v>
      </c>
      <c r="C113" s="48">
        <v>0.9699534086790601</v>
      </c>
      <c r="D113" s="49">
        <v>0.9918840525275947</v>
      </c>
    </row>
    <row r="114" ht="15.75" customHeight="1">
      <c r="A114" s="18">
        <v>21901.0</v>
      </c>
      <c r="B114" s="47" t="s">
        <v>168</v>
      </c>
      <c r="C114" s="48">
        <v>1.2467397286247996</v>
      </c>
      <c r="D114" s="49">
        <v>0.9590808437520366</v>
      </c>
    </row>
    <row r="115" ht="15.75" customHeight="1">
      <c r="A115" s="18">
        <v>21902.0</v>
      </c>
      <c r="B115" s="47" t="s">
        <v>169</v>
      </c>
      <c r="C115" s="48">
        <v>1.1955517059106278</v>
      </c>
      <c r="D115" s="49">
        <v>0.8944899081244481</v>
      </c>
    </row>
    <row r="116" ht="15.75" customHeight="1">
      <c r="A116" s="18">
        <v>22001.0</v>
      </c>
      <c r="B116" s="47" t="s">
        <v>170</v>
      </c>
      <c r="C116" s="48">
        <v>1.121983243595531</v>
      </c>
      <c r="D116" s="49">
        <v>0.9263999702170761</v>
      </c>
    </row>
    <row r="117" ht="15.75" customHeight="1">
      <c r="A117" s="18">
        <v>22002.0</v>
      </c>
      <c r="B117" s="47" t="s">
        <v>171</v>
      </c>
      <c r="C117" s="48">
        <v>1.2419401985275635</v>
      </c>
      <c r="D117" s="49">
        <v>1.0425524969282853</v>
      </c>
    </row>
    <row r="118" ht="15.75" customHeight="1">
      <c r="A118" s="18">
        <v>30101.0</v>
      </c>
      <c r="B118" s="47" t="s">
        <v>18</v>
      </c>
      <c r="C118" s="48">
        <v>2.312643587212148</v>
      </c>
      <c r="D118" s="49">
        <v>1.612788052147176</v>
      </c>
    </row>
    <row r="119" ht="15.75" customHeight="1">
      <c r="A119" s="18">
        <v>30201.0</v>
      </c>
      <c r="B119" s="47" t="s">
        <v>172</v>
      </c>
      <c r="C119" s="48">
        <v>1.002966133432524</v>
      </c>
      <c r="D119" s="49">
        <v>0.7085550585889773</v>
      </c>
    </row>
    <row r="120" ht="15.75" customHeight="1">
      <c r="A120" s="18">
        <v>30202.0</v>
      </c>
      <c r="B120" s="47" t="s">
        <v>173</v>
      </c>
      <c r="C120" s="48">
        <v>1.137324604487559</v>
      </c>
      <c r="D120" s="49">
        <v>1.0521608585352145</v>
      </c>
    </row>
    <row r="121" ht="15.75" customHeight="1">
      <c r="A121" s="18">
        <v>30203.0</v>
      </c>
      <c r="B121" s="47" t="s">
        <v>174</v>
      </c>
      <c r="C121" s="48">
        <v>1.0618887373613464</v>
      </c>
      <c r="D121" s="49">
        <v>0.7394593609965786</v>
      </c>
    </row>
    <row r="122" ht="15.75" customHeight="1">
      <c r="A122" s="18">
        <v>30301.0</v>
      </c>
      <c r="B122" s="47" t="s">
        <v>175</v>
      </c>
      <c r="C122" s="48">
        <v>0.8826772144992194</v>
      </c>
      <c r="D122" s="49">
        <v>0.6366022839103784</v>
      </c>
    </row>
    <row r="123" ht="15.75" customHeight="1">
      <c r="A123" s="18">
        <v>30302.0</v>
      </c>
      <c r="B123" s="47" t="s">
        <v>176</v>
      </c>
      <c r="C123" s="48">
        <v>1.069712277549901</v>
      </c>
      <c r="D123" s="49">
        <v>0.8085586022628892</v>
      </c>
    </row>
    <row r="124" ht="15.75" customHeight="1">
      <c r="A124" s="18">
        <v>30303.0</v>
      </c>
      <c r="B124" s="47" t="s">
        <v>177</v>
      </c>
      <c r="C124" s="48">
        <v>1.0457926745109898</v>
      </c>
      <c r="D124" s="49">
        <v>0.9538569084730109</v>
      </c>
    </row>
    <row r="125" ht="15.75" customHeight="1">
      <c r="A125" s="18">
        <v>30401.0</v>
      </c>
      <c r="B125" s="47" t="s">
        <v>178</v>
      </c>
      <c r="C125" s="48">
        <v>1.2189552141005748</v>
      </c>
      <c r="D125" s="49">
        <v>1.4318767503504843</v>
      </c>
    </row>
    <row r="126" ht="15.75" customHeight="1">
      <c r="A126" s="18">
        <v>30402.0</v>
      </c>
      <c r="B126" s="47" t="s">
        <v>179</v>
      </c>
      <c r="C126" s="48">
        <v>1.0390064907770056</v>
      </c>
      <c r="D126" s="49">
        <v>0.7473169769915975</v>
      </c>
    </row>
    <row r="127" ht="15.75" customHeight="1">
      <c r="A127" s="18">
        <v>30403.0</v>
      </c>
      <c r="B127" s="47" t="s">
        <v>180</v>
      </c>
      <c r="C127" s="48">
        <v>2.3112254731757393</v>
      </c>
      <c r="D127" s="49">
        <v>1.5081185267602077</v>
      </c>
    </row>
    <row r="128" ht="15.75" customHeight="1">
      <c r="A128" s="18">
        <v>30404.0</v>
      </c>
      <c r="B128" s="47" t="s">
        <v>181</v>
      </c>
      <c r="C128" s="48">
        <v>0.9266351526058523</v>
      </c>
      <c r="D128" s="49">
        <v>0.8388907267313991</v>
      </c>
    </row>
    <row r="129" ht="15.75" customHeight="1">
      <c r="A129" s="18">
        <v>30501.0</v>
      </c>
      <c r="B129" s="47" t="s">
        <v>182</v>
      </c>
      <c r="C129" s="48">
        <v>1.1718858936943035</v>
      </c>
      <c r="D129" s="49">
        <v>0.6438662722691292</v>
      </c>
    </row>
    <row r="130" ht="15.75" customHeight="1">
      <c r="A130" s="18">
        <v>30502.0</v>
      </c>
      <c r="B130" s="47" t="s">
        <v>183</v>
      </c>
      <c r="C130" s="48">
        <v>0.9817555316604172</v>
      </c>
      <c r="D130" s="49">
        <v>0.5824898450436033</v>
      </c>
    </row>
    <row r="131" ht="15.75" customHeight="1">
      <c r="A131" s="18">
        <v>30601.0</v>
      </c>
      <c r="B131" s="47" t="s">
        <v>184</v>
      </c>
      <c r="C131" s="48">
        <v>0.9753079707624828</v>
      </c>
      <c r="D131" s="49">
        <v>0.6397677880180752</v>
      </c>
    </row>
    <row r="132" ht="15.75" customHeight="1">
      <c r="A132" s="18">
        <v>30602.0</v>
      </c>
      <c r="B132" s="47" t="s">
        <v>185</v>
      </c>
      <c r="C132" s="48">
        <v>0.9795464978447308</v>
      </c>
      <c r="D132" s="49">
        <v>0.6732768378501398</v>
      </c>
    </row>
    <row r="133" ht="15.75" customHeight="1">
      <c r="A133" s="18">
        <v>30701.0</v>
      </c>
      <c r="B133" s="47" t="s">
        <v>186</v>
      </c>
      <c r="C133" s="48">
        <v>0.8821049685604265</v>
      </c>
      <c r="D133" s="49">
        <v>0.7171071907183603</v>
      </c>
    </row>
    <row r="134" ht="15.75" customHeight="1">
      <c r="A134" s="18">
        <v>30702.0</v>
      </c>
      <c r="B134" s="47" t="s">
        <v>187</v>
      </c>
      <c r="C134" s="48">
        <v>1.0189426569727287</v>
      </c>
      <c r="D134" s="49">
        <v>0.8829495159101329</v>
      </c>
    </row>
    <row r="135" ht="15.75" customHeight="1">
      <c r="A135" s="18">
        <v>30703.0</v>
      </c>
      <c r="B135" s="47" t="s">
        <v>188</v>
      </c>
      <c r="C135" s="48">
        <v>0.9715370163285743</v>
      </c>
      <c r="D135" s="49">
        <v>0.5243628216857215</v>
      </c>
    </row>
    <row r="136" ht="15.75" customHeight="1">
      <c r="A136" s="18">
        <v>30801.0</v>
      </c>
      <c r="B136" s="47" t="s">
        <v>189</v>
      </c>
      <c r="C136" s="48">
        <v>1.1976180257275297</v>
      </c>
      <c r="D136" s="49">
        <v>0.9452124735492395</v>
      </c>
    </row>
    <row r="137" ht="15.75" customHeight="1">
      <c r="A137" s="18">
        <v>30802.0</v>
      </c>
      <c r="B137" s="47" t="s">
        <v>190</v>
      </c>
      <c r="C137" s="48">
        <v>1.0768915898242941</v>
      </c>
      <c r="D137" s="49">
        <v>1.0338474232443808</v>
      </c>
    </row>
    <row r="138" ht="15.75" customHeight="1">
      <c r="A138" s="18">
        <v>30803.0</v>
      </c>
      <c r="B138" s="47" t="s">
        <v>191</v>
      </c>
      <c r="C138" s="48">
        <v>1.5809006260362248</v>
      </c>
      <c r="D138" s="49">
        <v>2.8942835985087205</v>
      </c>
    </row>
    <row r="139" ht="15.75" customHeight="1">
      <c r="A139" s="18">
        <v>30901.0</v>
      </c>
      <c r="B139" s="47" t="s">
        <v>192</v>
      </c>
      <c r="C139" s="48">
        <v>1.4210524277302476</v>
      </c>
      <c r="D139" s="49">
        <v>0.9966893344157934</v>
      </c>
    </row>
    <row r="140" ht="15.75" customHeight="1">
      <c r="A140" s="18">
        <v>30902.0</v>
      </c>
      <c r="B140" s="47" t="s">
        <v>193</v>
      </c>
      <c r="C140" s="48">
        <v>1.0081187700718977</v>
      </c>
      <c r="D140" s="49">
        <v>0.6858196356428325</v>
      </c>
    </row>
    <row r="141" ht="15.75" customHeight="1">
      <c r="A141" s="18">
        <v>30903.0</v>
      </c>
      <c r="B141" s="47" t="s">
        <v>194</v>
      </c>
      <c r="C141" s="48">
        <v>1.1292374660520144</v>
      </c>
      <c r="D141" s="49">
        <v>0.9818525971188934</v>
      </c>
    </row>
    <row r="142" ht="15.75" customHeight="1">
      <c r="A142" s="18">
        <v>30904.0</v>
      </c>
      <c r="B142" s="47" t="s">
        <v>195</v>
      </c>
      <c r="C142" s="48">
        <v>1.168733420226485</v>
      </c>
      <c r="D142" s="49">
        <v>0.6980587222318686</v>
      </c>
    </row>
    <row r="143" ht="15.75" customHeight="1">
      <c r="A143" s="18">
        <v>30905.0</v>
      </c>
      <c r="B143" s="47" t="s">
        <v>196</v>
      </c>
      <c r="C143" s="48">
        <v>1.4794516381956384</v>
      </c>
      <c r="D143" s="49">
        <v>1.3073106544428768</v>
      </c>
    </row>
    <row r="144" ht="15.75" customHeight="1">
      <c r="A144" s="18">
        <v>31001.0</v>
      </c>
      <c r="B144" s="47" t="s">
        <v>197</v>
      </c>
      <c r="C144" s="48">
        <v>1.2317493995316295</v>
      </c>
      <c r="D144" s="49">
        <v>0.9844862387517469</v>
      </c>
    </row>
    <row r="145" ht="15.75" customHeight="1">
      <c r="A145" s="18">
        <v>31002.0</v>
      </c>
      <c r="B145" s="47" t="s">
        <v>198</v>
      </c>
      <c r="C145" s="48">
        <v>1.0139762286652678</v>
      </c>
      <c r="D145" s="49">
        <v>0.9083158329206342</v>
      </c>
    </row>
    <row r="146" ht="15.75" customHeight="1">
      <c r="A146" s="18">
        <v>31003.0</v>
      </c>
      <c r="B146" s="47" t="s">
        <v>199</v>
      </c>
      <c r="C146" s="48">
        <v>1.0694268452025826</v>
      </c>
      <c r="D146" s="49">
        <v>0.9153179421544473</v>
      </c>
    </row>
    <row r="147" ht="15.75" customHeight="1">
      <c r="A147" s="18">
        <v>31101.0</v>
      </c>
      <c r="B147" s="47" t="s">
        <v>200</v>
      </c>
      <c r="C147" s="48">
        <v>1.0137849732288315</v>
      </c>
      <c r="D147" s="49">
        <v>0.7201208501131776</v>
      </c>
    </row>
    <row r="148" ht="15.75" customHeight="1">
      <c r="A148" s="18">
        <v>31201.0</v>
      </c>
      <c r="B148" s="47" t="s">
        <v>201</v>
      </c>
      <c r="C148" s="48">
        <v>1.1087833415017923</v>
      </c>
      <c r="D148" s="49">
        <v>0.8933343079774578</v>
      </c>
    </row>
    <row r="149" ht="15.75" customHeight="1">
      <c r="A149" s="18">
        <v>31202.0</v>
      </c>
      <c r="B149" s="47" t="s">
        <v>202</v>
      </c>
      <c r="C149" s="48">
        <v>1.0338101719994226</v>
      </c>
      <c r="D149" s="49">
        <v>0.8985654965216524</v>
      </c>
    </row>
    <row r="150" ht="15.75" customHeight="1">
      <c r="A150" s="18">
        <v>31203.0</v>
      </c>
      <c r="B150" s="47" t="s">
        <v>203</v>
      </c>
      <c r="C150" s="48">
        <v>0.9490106655026183</v>
      </c>
      <c r="D150" s="49">
        <v>0.7662816780163764</v>
      </c>
    </row>
    <row r="151" ht="15.75" customHeight="1">
      <c r="A151" s="18">
        <v>31204.0</v>
      </c>
      <c r="B151" s="47" t="s">
        <v>204</v>
      </c>
      <c r="C151" s="48">
        <v>1.1063875973721367</v>
      </c>
      <c r="D151" s="49">
        <v>0.8279256468688964</v>
      </c>
    </row>
    <row r="152" ht="15.75" customHeight="1">
      <c r="A152" s="18">
        <v>31205.0</v>
      </c>
      <c r="B152" s="47" t="s">
        <v>205</v>
      </c>
      <c r="C152" s="48">
        <v>0.9982931625749237</v>
      </c>
      <c r="D152" s="49">
        <v>0.8455340231289804</v>
      </c>
    </row>
    <row r="153" ht="15.75" customHeight="1">
      <c r="A153" s="18">
        <v>31206.0</v>
      </c>
      <c r="B153" s="47" t="s">
        <v>206</v>
      </c>
      <c r="C153" s="48">
        <v>1.033188973712583</v>
      </c>
      <c r="D153" s="49">
        <v>0.8114388705060905</v>
      </c>
    </row>
    <row r="154" ht="15.75" customHeight="1">
      <c r="A154" s="18">
        <v>31301.0</v>
      </c>
      <c r="B154" s="47" t="s">
        <v>207</v>
      </c>
      <c r="C154" s="48">
        <v>0.9517637196139532</v>
      </c>
      <c r="D154" s="49">
        <v>0.6884852745416281</v>
      </c>
    </row>
    <row r="155" ht="15.75" customHeight="1">
      <c r="A155" s="18">
        <v>31302.0</v>
      </c>
      <c r="B155" s="47" t="s">
        <v>208</v>
      </c>
      <c r="C155" s="48">
        <v>1.072063906143416</v>
      </c>
      <c r="D155" s="49">
        <v>0.751269946127807</v>
      </c>
    </row>
    <row r="156" ht="15.75" customHeight="1">
      <c r="A156" s="18">
        <v>31303.0</v>
      </c>
      <c r="B156" s="47" t="s">
        <v>209</v>
      </c>
      <c r="C156" s="48">
        <v>1.0477662108021564</v>
      </c>
      <c r="D156" s="49">
        <v>0.7582471403321118</v>
      </c>
    </row>
    <row r="157" ht="15.75" customHeight="1">
      <c r="A157" s="50">
        <v>31304.0</v>
      </c>
      <c r="B157" s="47" t="s">
        <v>210</v>
      </c>
      <c r="C157" s="48">
        <v>1.0297895217179096</v>
      </c>
      <c r="D157" s="49">
        <v>0.8791077745999419</v>
      </c>
    </row>
    <row r="158" ht="15.75" customHeight="1">
      <c r="A158" s="18">
        <v>31401.0</v>
      </c>
      <c r="B158" s="47" t="s">
        <v>211</v>
      </c>
      <c r="C158" s="48">
        <v>1.145889415131918</v>
      </c>
      <c r="D158" s="49">
        <v>1.0189014276322719</v>
      </c>
    </row>
    <row r="159" ht="15.75" customHeight="1">
      <c r="A159" s="18">
        <v>31402.0</v>
      </c>
      <c r="B159" s="47" t="s">
        <v>212</v>
      </c>
      <c r="C159" s="48">
        <v>1.0576240668456478</v>
      </c>
      <c r="D159" s="49">
        <v>0.7837800177511625</v>
      </c>
    </row>
    <row r="160" ht="15.75" customHeight="1">
      <c r="A160" s="18">
        <v>31403.0</v>
      </c>
      <c r="B160" s="47" t="s">
        <v>213</v>
      </c>
      <c r="C160" s="48">
        <v>1.1141698119861976</v>
      </c>
      <c r="D160" s="49">
        <v>0.7934233287706443</v>
      </c>
    </row>
    <row r="161" ht="15.75" customHeight="1">
      <c r="A161" s="18">
        <v>31404.0</v>
      </c>
      <c r="B161" s="47" t="s">
        <v>214</v>
      </c>
      <c r="C161" s="48">
        <v>1.0337657022680995</v>
      </c>
      <c r="D161" s="49">
        <v>1.1785714501248936</v>
      </c>
    </row>
    <row r="162" ht="15.75" customHeight="1">
      <c r="A162" s="18">
        <v>31405.0</v>
      </c>
      <c r="B162" s="47" t="s">
        <v>215</v>
      </c>
      <c r="C162" s="48">
        <v>1.1840527551567002</v>
      </c>
      <c r="D162" s="49">
        <v>0.7145309427874501</v>
      </c>
    </row>
    <row r="163" ht="15.75" customHeight="1">
      <c r="A163" s="18">
        <v>31501.0</v>
      </c>
      <c r="B163" s="47" t="s">
        <v>216</v>
      </c>
      <c r="C163" s="48">
        <v>1.0041419778869083</v>
      </c>
      <c r="D163" s="49">
        <v>0.6958207443098297</v>
      </c>
    </row>
    <row r="164" ht="15.75" customHeight="1">
      <c r="A164" s="18">
        <v>31601.0</v>
      </c>
      <c r="B164" s="47" t="s">
        <v>217</v>
      </c>
      <c r="C164" s="48">
        <v>1.0444189065674094</v>
      </c>
      <c r="D164" s="49">
        <v>0.781598606807928</v>
      </c>
    </row>
    <row r="165" ht="15.75" customHeight="1">
      <c r="A165" s="18">
        <v>31602.0</v>
      </c>
      <c r="B165" s="47" t="s">
        <v>218</v>
      </c>
      <c r="C165" s="48">
        <v>1.0101683932996637</v>
      </c>
      <c r="D165" s="49">
        <v>1.0119379737311227</v>
      </c>
    </row>
    <row r="166" ht="15.75" customHeight="1">
      <c r="A166" s="18">
        <v>40101.0</v>
      </c>
      <c r="B166" s="47" t="s">
        <v>19</v>
      </c>
      <c r="C166" s="48">
        <v>2.0795837385217744</v>
      </c>
      <c r="D166" s="49">
        <v>1.5829818545356993</v>
      </c>
    </row>
    <row r="167" ht="15.75" customHeight="1">
      <c r="A167" s="18">
        <v>40102.0</v>
      </c>
      <c r="B167" s="47" t="s">
        <v>219</v>
      </c>
      <c r="C167" s="48">
        <v>0.9344293916547706</v>
      </c>
      <c r="D167" s="49">
        <v>0.746764459595908</v>
      </c>
    </row>
    <row r="168" ht="15.75" customHeight="1">
      <c r="A168" s="18">
        <v>40103.0</v>
      </c>
      <c r="B168" s="47" t="s">
        <v>220</v>
      </c>
      <c r="C168" s="48">
        <v>1.011958695129544</v>
      </c>
      <c r="D168" s="49">
        <v>0.8555710416024451</v>
      </c>
    </row>
    <row r="169" ht="15.75" customHeight="1">
      <c r="A169" s="18">
        <v>40104.0</v>
      </c>
      <c r="B169" s="47" t="s">
        <v>221</v>
      </c>
      <c r="C169" s="48">
        <v>0.9539767431240328</v>
      </c>
      <c r="D169" s="49">
        <v>0.5858663804562557</v>
      </c>
    </row>
    <row r="170" ht="15.75" customHeight="1">
      <c r="A170" s="18">
        <v>40201.0</v>
      </c>
      <c r="B170" s="47" t="s">
        <v>222</v>
      </c>
      <c r="C170" s="48">
        <v>0.8508500117228923</v>
      </c>
      <c r="D170" s="49">
        <v>0.6454756550848362</v>
      </c>
    </row>
    <row r="171" ht="15.75" customHeight="1">
      <c r="A171" s="18">
        <v>40202.0</v>
      </c>
      <c r="B171" s="47" t="s">
        <v>223</v>
      </c>
      <c r="C171" s="48">
        <v>1.051257595751681</v>
      </c>
      <c r="D171" s="49">
        <v>0.699211309624151</v>
      </c>
    </row>
    <row r="172" ht="15.75" customHeight="1">
      <c r="A172" s="18">
        <v>40301.0</v>
      </c>
      <c r="B172" s="47" t="s">
        <v>224</v>
      </c>
      <c r="C172" s="48">
        <v>0.9445354859026063</v>
      </c>
      <c r="D172" s="49">
        <v>0.908258078242742</v>
      </c>
    </row>
    <row r="173" ht="15.75" customHeight="1">
      <c r="A173" s="18">
        <v>40302.0</v>
      </c>
      <c r="B173" s="47" t="s">
        <v>225</v>
      </c>
      <c r="C173" s="48">
        <v>1.101777701886958</v>
      </c>
      <c r="D173" s="49">
        <v>1.0567703880267032</v>
      </c>
    </row>
    <row r="174" ht="15.75" customHeight="1">
      <c r="A174" s="18">
        <v>40401.0</v>
      </c>
      <c r="B174" s="47" t="s">
        <v>226</v>
      </c>
      <c r="C174" s="48">
        <v>0.7098387648610196</v>
      </c>
      <c r="D174" s="49">
        <v>0.647596980684282</v>
      </c>
    </row>
    <row r="175" ht="15.75" customHeight="1">
      <c r="A175" s="18">
        <v>40402.0</v>
      </c>
      <c r="B175" s="47" t="s">
        <v>227</v>
      </c>
      <c r="C175" s="48">
        <v>0.8866427546028643</v>
      </c>
      <c r="D175" s="49">
        <v>0.8103024118957155</v>
      </c>
    </row>
    <row r="176" ht="15.75" customHeight="1">
      <c r="A176" s="18">
        <v>40501.0</v>
      </c>
      <c r="B176" s="47" t="s">
        <v>228</v>
      </c>
      <c r="C176" s="48">
        <v>0.2994791668849454</v>
      </c>
      <c r="D176" s="49">
        <v>0.4382432252856377</v>
      </c>
    </row>
    <row r="177" ht="15.75" customHeight="1">
      <c r="A177" s="18">
        <v>40502.0</v>
      </c>
      <c r="B177" s="47" t="s">
        <v>229</v>
      </c>
      <c r="C177" s="48">
        <v>0.9673384437054612</v>
      </c>
      <c r="D177" s="49">
        <v>0.8524504586320616</v>
      </c>
    </row>
    <row r="178" ht="15.75" customHeight="1">
      <c r="A178" s="18">
        <v>40503.0</v>
      </c>
      <c r="B178" s="47" t="s">
        <v>230</v>
      </c>
      <c r="C178" s="48">
        <v>1.0051508863293301</v>
      </c>
      <c r="D178" s="49">
        <v>1.2864882779513926</v>
      </c>
    </row>
    <row r="179" ht="15.75" customHeight="1">
      <c r="A179" s="18">
        <v>40504.0</v>
      </c>
      <c r="B179" s="47" t="s">
        <v>231</v>
      </c>
      <c r="C179" s="48">
        <v>1.1648230151630408</v>
      </c>
      <c r="D179" s="49">
        <v>2.389706028574005</v>
      </c>
    </row>
    <row r="180" ht="15.75" customHeight="1">
      <c r="A180" s="18">
        <v>40505.0</v>
      </c>
      <c r="B180" s="47" t="s">
        <v>232</v>
      </c>
      <c r="C180" s="48">
        <v>1.0587753903254815</v>
      </c>
      <c r="D180" s="49">
        <v>1.0066249621524628</v>
      </c>
    </row>
    <row r="181" ht="15.75" customHeight="1">
      <c r="A181" s="18">
        <v>40601.0</v>
      </c>
      <c r="B181" s="47" t="s">
        <v>233</v>
      </c>
      <c r="C181" s="48">
        <v>0.639490120178474</v>
      </c>
      <c r="D181" s="49">
        <v>0.4328975444019933</v>
      </c>
    </row>
    <row r="182" ht="15.75" customHeight="1">
      <c r="A182" s="18">
        <v>40602.0</v>
      </c>
      <c r="B182" s="47" t="s">
        <v>234</v>
      </c>
      <c r="C182" s="48">
        <v>0.7436094118053354</v>
      </c>
      <c r="D182" s="49">
        <v>0.5079957819089961</v>
      </c>
    </row>
    <row r="183" ht="15.75" customHeight="1">
      <c r="A183" s="18">
        <v>40603.0</v>
      </c>
      <c r="B183" s="47" t="s">
        <v>235</v>
      </c>
      <c r="C183" s="48">
        <v>0.5467974000041493</v>
      </c>
      <c r="D183" s="49">
        <v>0.5109282086378107</v>
      </c>
    </row>
    <row r="184" ht="15.75" customHeight="1">
      <c r="A184" s="18">
        <v>40701.0</v>
      </c>
      <c r="B184" s="47" t="s">
        <v>236</v>
      </c>
      <c r="C184" s="48">
        <v>0.615644947367953</v>
      </c>
      <c r="D184" s="49">
        <v>0.3511685991200505</v>
      </c>
    </row>
    <row r="185" ht="15.75" customHeight="1">
      <c r="A185" s="18">
        <v>40702.0</v>
      </c>
      <c r="B185" s="47" t="s">
        <v>237</v>
      </c>
      <c r="C185" s="48">
        <v>0.8620843159983246</v>
      </c>
      <c r="D185" s="49">
        <v>1.0611330325757728</v>
      </c>
    </row>
    <row r="186" ht="15.75" customHeight="1">
      <c r="A186" s="18">
        <v>40801.0</v>
      </c>
      <c r="B186" s="47" t="s">
        <v>238</v>
      </c>
      <c r="C186" s="48">
        <v>1.0788943265121638</v>
      </c>
      <c r="D186" s="49">
        <v>1.104269877648612</v>
      </c>
    </row>
    <row r="187" ht="15.75" customHeight="1">
      <c r="A187" s="18">
        <v>40802.0</v>
      </c>
      <c r="B187" s="47" t="s">
        <v>239</v>
      </c>
      <c r="C187" s="48">
        <v>0.9824578924788329</v>
      </c>
      <c r="D187" s="49">
        <v>0.7481853630126465</v>
      </c>
    </row>
    <row r="188" ht="15.75" customHeight="1">
      <c r="A188" s="18">
        <v>40901.0</v>
      </c>
      <c r="B188" s="47" t="s">
        <v>240</v>
      </c>
      <c r="C188" s="48">
        <v>1.3256691318193699</v>
      </c>
      <c r="D188" s="49">
        <v>0.9880973529744493</v>
      </c>
    </row>
    <row r="189" ht="15.75" customHeight="1">
      <c r="A189" s="18">
        <v>40902.0</v>
      </c>
      <c r="B189" s="47" t="s">
        <v>241</v>
      </c>
      <c r="C189" s="48">
        <v>1.0595865118331622</v>
      </c>
      <c r="D189" s="49">
        <v>0.2378040797167773</v>
      </c>
    </row>
    <row r="190" ht="15.75" customHeight="1">
      <c r="A190" s="18">
        <v>40903.0</v>
      </c>
      <c r="B190" s="47" t="s">
        <v>242</v>
      </c>
      <c r="C190" s="48">
        <v>1.0977515764040737</v>
      </c>
      <c r="D190" s="49">
        <v>1.2540122721725528</v>
      </c>
    </row>
    <row r="191" ht="15.75" customHeight="1">
      <c r="A191" s="18">
        <v>41001.0</v>
      </c>
      <c r="B191" s="47" t="s">
        <v>243</v>
      </c>
      <c r="C191" s="48">
        <v>0.9360950651009807</v>
      </c>
      <c r="D191" s="49">
        <v>0.7784801727223316</v>
      </c>
    </row>
    <row r="192" ht="15.75" customHeight="1">
      <c r="A192" s="18">
        <v>41101.0</v>
      </c>
      <c r="B192" s="47" t="s">
        <v>244</v>
      </c>
      <c r="C192" s="48">
        <v>0.7818331151232673</v>
      </c>
      <c r="D192" s="49">
        <v>0.5229624381649675</v>
      </c>
    </row>
    <row r="193" ht="15.75" customHeight="1">
      <c r="A193" s="18">
        <v>41201.0</v>
      </c>
      <c r="B193" s="47" t="s">
        <v>245</v>
      </c>
      <c r="C193" s="48">
        <v>0.9943953896473446</v>
      </c>
      <c r="D193" s="49">
        <v>0.8350180300570431</v>
      </c>
    </row>
    <row r="194" ht="15.75" customHeight="1">
      <c r="A194" s="18">
        <v>41202.0</v>
      </c>
      <c r="B194" s="47" t="s">
        <v>246</v>
      </c>
      <c r="C194" s="48">
        <v>0.8127290639537854</v>
      </c>
      <c r="D194" s="49">
        <v>0.8627232378598172</v>
      </c>
    </row>
    <row r="195" ht="15.75" customHeight="1">
      <c r="A195" s="18">
        <v>41301.0</v>
      </c>
      <c r="B195" s="47" t="s">
        <v>201</v>
      </c>
      <c r="C195" s="48">
        <v>0.9455343464930889</v>
      </c>
      <c r="D195" s="49">
        <v>0.8609059728672418</v>
      </c>
    </row>
    <row r="196" ht="15.75" customHeight="1">
      <c r="A196" s="18">
        <v>41401.0</v>
      </c>
      <c r="B196" s="47" t="s">
        <v>247</v>
      </c>
      <c r="C196" s="48">
        <v>0.9269728861500537</v>
      </c>
      <c r="D196" s="49">
        <v>0.783522310662041</v>
      </c>
    </row>
    <row r="197" ht="15.75" customHeight="1">
      <c r="A197" s="18">
        <v>41501.0</v>
      </c>
      <c r="B197" s="47" t="s">
        <v>248</v>
      </c>
      <c r="C197" s="48">
        <v>1.020516089915279</v>
      </c>
      <c r="D197" s="49">
        <v>0.6992708828799589</v>
      </c>
    </row>
    <row r="198" ht="15.75" customHeight="1">
      <c r="A198" s="18">
        <v>41502.0</v>
      </c>
      <c r="B198" s="47" t="s">
        <v>249</v>
      </c>
      <c r="C198" s="48">
        <v>1.2357586340077715</v>
      </c>
      <c r="D198" s="49">
        <v>0.5315353446951312</v>
      </c>
    </row>
    <row r="199" ht="15.75" customHeight="1">
      <c r="A199" s="18">
        <v>41503.0</v>
      </c>
      <c r="B199" s="47" t="s">
        <v>250</v>
      </c>
      <c r="C199" s="48">
        <v>0.7827316880207581</v>
      </c>
      <c r="D199" s="49">
        <v>0.4737604445215927</v>
      </c>
    </row>
    <row r="200" ht="15.75" customHeight="1">
      <c r="A200" s="18">
        <v>41601.0</v>
      </c>
      <c r="B200" s="47" t="s">
        <v>251</v>
      </c>
      <c r="C200" s="48">
        <v>0.9928663152655925</v>
      </c>
      <c r="D200" s="49">
        <v>0.831750776464807</v>
      </c>
    </row>
    <row r="201" ht="15.75" customHeight="1">
      <c r="A201" s="18">
        <v>50101.0</v>
      </c>
      <c r="B201" s="47" t="s">
        <v>20</v>
      </c>
      <c r="C201" s="48">
        <v>0.9351867578660239</v>
      </c>
      <c r="D201" s="49">
        <v>0.735777591736552</v>
      </c>
    </row>
    <row r="202" ht="15.75" customHeight="1">
      <c r="A202" s="18">
        <v>50102.0</v>
      </c>
      <c r="B202" s="47" t="s">
        <v>252</v>
      </c>
      <c r="C202" s="48">
        <v>1.1174352277218518</v>
      </c>
      <c r="D202" s="49">
        <v>0.7131926189976079</v>
      </c>
    </row>
    <row r="203" ht="15.75" customHeight="1">
      <c r="A203" s="18">
        <v>50103.0</v>
      </c>
      <c r="B203" s="47" t="s">
        <v>253</v>
      </c>
      <c r="C203" s="48">
        <v>0.7449529596293429</v>
      </c>
      <c r="D203" s="49">
        <v>0.591088165612895</v>
      </c>
    </row>
    <row r="204" ht="15.75" customHeight="1">
      <c r="A204" s="18">
        <v>50104.0</v>
      </c>
      <c r="B204" s="47" t="s">
        <v>254</v>
      </c>
      <c r="C204" s="48">
        <v>0.8207895389827702</v>
      </c>
      <c r="D204" s="49">
        <v>0.7801921001187916</v>
      </c>
    </row>
    <row r="205" ht="15.75" customHeight="1">
      <c r="A205" s="18">
        <v>50201.0</v>
      </c>
      <c r="B205" s="47" t="s">
        <v>255</v>
      </c>
      <c r="C205" s="48">
        <v>0.9673933745764772</v>
      </c>
      <c r="D205" s="49">
        <v>0.5372313681313371</v>
      </c>
    </row>
    <row r="206" ht="15.75" customHeight="1">
      <c r="A206" s="18">
        <v>50202.0</v>
      </c>
      <c r="B206" s="47" t="s">
        <v>256</v>
      </c>
      <c r="C206" s="48">
        <v>1.096105740282755</v>
      </c>
      <c r="D206" s="49">
        <v>0.4969856485499881</v>
      </c>
    </row>
    <row r="207" ht="15.75" customHeight="1">
      <c r="A207" s="18">
        <v>50203.0</v>
      </c>
      <c r="B207" s="47" t="s">
        <v>257</v>
      </c>
      <c r="C207" s="48">
        <v>1.0735820521151613</v>
      </c>
      <c r="D207" s="49">
        <v>0.6225026596186567</v>
      </c>
    </row>
    <row r="208" ht="15.75" customHeight="1">
      <c r="A208" s="18">
        <v>50204.0</v>
      </c>
      <c r="B208" s="47" t="s">
        <v>258</v>
      </c>
      <c r="C208" s="48">
        <v>0.9921943428619021</v>
      </c>
      <c r="D208" s="49">
        <v>0.44935995759132014</v>
      </c>
    </row>
    <row r="209" ht="15.75" customHeight="1">
      <c r="A209" s="18">
        <v>50301.0</v>
      </c>
      <c r="B209" s="47" t="s">
        <v>259</v>
      </c>
      <c r="C209" s="48">
        <v>0.9830009878381474</v>
      </c>
      <c r="D209" s="49">
        <v>0.6726284786050553</v>
      </c>
    </row>
    <row r="210" ht="15.75" customHeight="1">
      <c r="A210" s="18">
        <v>50302.0</v>
      </c>
      <c r="B210" s="47" t="s">
        <v>260</v>
      </c>
      <c r="C210" s="48">
        <v>0.8751451658943077</v>
      </c>
      <c r="D210" s="49">
        <v>0.7084678972462782</v>
      </c>
    </row>
    <row r="211" ht="15.75" customHeight="1">
      <c r="A211" s="18">
        <v>50303.0</v>
      </c>
      <c r="B211" s="47" t="s">
        <v>261</v>
      </c>
      <c r="C211" s="48">
        <v>0.9497540669366117</v>
      </c>
      <c r="D211" s="49">
        <v>0.6953577201972841</v>
      </c>
    </row>
    <row r="212" ht="15.75" customHeight="1">
      <c r="A212" s="18">
        <v>50401.0</v>
      </c>
      <c r="B212" s="47" t="s">
        <v>262</v>
      </c>
      <c r="C212" s="48">
        <v>0.9008926806156136</v>
      </c>
      <c r="D212" s="49">
        <v>0.5716195615239441</v>
      </c>
    </row>
    <row r="213" ht="15.75" customHeight="1">
      <c r="A213" s="18">
        <v>50402.0</v>
      </c>
      <c r="B213" s="47" t="s">
        <v>263</v>
      </c>
      <c r="C213" s="48">
        <v>0.9888639474405887</v>
      </c>
      <c r="D213" s="49">
        <v>0.8131206347173925</v>
      </c>
    </row>
    <row r="214" ht="15.75" customHeight="1">
      <c r="A214" s="18">
        <v>50403.0</v>
      </c>
      <c r="B214" s="47" t="s">
        <v>264</v>
      </c>
      <c r="C214" s="48">
        <v>0.9521189063410816</v>
      </c>
      <c r="D214" s="49">
        <v>0.6444421755879948</v>
      </c>
    </row>
    <row r="215" ht="15.75" customHeight="1">
      <c r="A215" s="18">
        <v>50404.0</v>
      </c>
      <c r="B215" s="47" t="s">
        <v>265</v>
      </c>
      <c r="C215" s="48">
        <v>1.0410501848633429</v>
      </c>
      <c r="D215" s="49">
        <v>0.754655692559743</v>
      </c>
    </row>
    <row r="216" ht="15.75" customHeight="1">
      <c r="A216" s="50">
        <v>50405.0</v>
      </c>
      <c r="B216" s="47" t="s">
        <v>266</v>
      </c>
      <c r="C216" s="48">
        <v>1.038465310752948</v>
      </c>
      <c r="D216" s="49">
        <v>0.7233239516894111</v>
      </c>
    </row>
    <row r="217" ht="15.75" customHeight="1">
      <c r="A217" s="18">
        <v>50501.0</v>
      </c>
      <c r="B217" s="47" t="s">
        <v>267</v>
      </c>
      <c r="C217" s="48">
        <v>1.0066306069935762</v>
      </c>
      <c r="D217" s="49">
        <v>0.7364827380426746</v>
      </c>
    </row>
    <row r="218" ht="15.75" customHeight="1">
      <c r="A218" s="18">
        <v>50502.0</v>
      </c>
      <c r="B218" s="47" t="s">
        <v>268</v>
      </c>
      <c r="C218" s="48">
        <v>0.9990017191418111</v>
      </c>
      <c r="D218" s="49">
        <v>0.6896542853508394</v>
      </c>
    </row>
    <row r="219" ht="15.75" customHeight="1">
      <c r="A219" s="18">
        <v>50601.0</v>
      </c>
      <c r="B219" s="47" t="s">
        <v>269</v>
      </c>
      <c r="C219" s="48">
        <v>0.9105712586113058</v>
      </c>
      <c r="D219" s="49">
        <v>0.6661146714762921</v>
      </c>
    </row>
    <row r="220" ht="15.75" customHeight="1">
      <c r="A220" s="18">
        <v>50602.0</v>
      </c>
      <c r="B220" s="47" t="s">
        <v>270</v>
      </c>
      <c r="C220" s="48">
        <v>0.7672243588116586</v>
      </c>
      <c r="D220" s="49">
        <v>0.6389762175057736</v>
      </c>
    </row>
    <row r="221" ht="15.75" customHeight="1">
      <c r="A221" s="18">
        <v>50701.0</v>
      </c>
      <c r="B221" s="47" t="s">
        <v>271</v>
      </c>
      <c r="C221" s="48">
        <v>1.0462111986669211</v>
      </c>
      <c r="D221" s="49">
        <v>0.6762285149611765</v>
      </c>
    </row>
    <row r="222" ht="15.75" customHeight="1">
      <c r="A222" s="18">
        <v>50702.0</v>
      </c>
      <c r="B222" s="47" t="s">
        <v>272</v>
      </c>
      <c r="C222" s="48">
        <v>1.0610424784518349</v>
      </c>
      <c r="D222" s="49">
        <v>0.6705056178393576</v>
      </c>
    </row>
    <row r="223" ht="15.75" customHeight="1">
      <c r="A223" s="18">
        <v>50801.0</v>
      </c>
      <c r="B223" s="47" t="s">
        <v>273</v>
      </c>
      <c r="C223" s="48">
        <v>0.9155890552039521</v>
      </c>
      <c r="D223" s="49">
        <v>0.6873671547057082</v>
      </c>
    </row>
    <row r="224" ht="15.75" customHeight="1">
      <c r="A224" s="18">
        <v>50802.0</v>
      </c>
      <c r="B224" s="47" t="s">
        <v>274</v>
      </c>
      <c r="C224" s="48">
        <v>0.6380210340300031</v>
      </c>
      <c r="D224" s="49">
        <v>0.3424454004092508</v>
      </c>
    </row>
    <row r="225" ht="15.75" customHeight="1">
      <c r="A225" s="18">
        <v>50901.0</v>
      </c>
      <c r="B225" s="47" t="s">
        <v>275</v>
      </c>
      <c r="C225" s="48">
        <v>0.776968431701214</v>
      </c>
      <c r="D225" s="49">
        <v>0.5212032689452807</v>
      </c>
    </row>
    <row r="226" ht="15.75" customHeight="1">
      <c r="A226" s="18">
        <v>50902.0</v>
      </c>
      <c r="B226" s="47" t="s">
        <v>276</v>
      </c>
      <c r="C226" s="48">
        <v>0.8822288219316106</v>
      </c>
      <c r="D226" s="49">
        <v>0.579423281868662</v>
      </c>
    </row>
    <row r="227" ht="15.75" customHeight="1">
      <c r="A227" s="18">
        <v>51001.0</v>
      </c>
      <c r="B227" s="47" t="s">
        <v>277</v>
      </c>
      <c r="C227" s="48">
        <v>0.9258125173990377</v>
      </c>
      <c r="D227" s="49">
        <v>0.5425547480291977</v>
      </c>
    </row>
    <row r="228" ht="15.75" customHeight="1">
      <c r="A228" s="18">
        <v>51002.0</v>
      </c>
      <c r="B228" s="47" t="s">
        <v>278</v>
      </c>
      <c r="C228" s="48">
        <v>1.0357638893842602</v>
      </c>
      <c r="D228" s="49">
        <v>0.6191911588243584</v>
      </c>
    </row>
    <row r="229" ht="15.75" customHeight="1">
      <c r="A229" s="18">
        <v>51003.0</v>
      </c>
      <c r="B229" s="47" t="s">
        <v>279</v>
      </c>
      <c r="C229" s="48">
        <v>0.8344549565485773</v>
      </c>
      <c r="D229" s="49">
        <v>0.4991617549485066</v>
      </c>
    </row>
    <row r="230" ht="15.75" customHeight="1">
      <c r="A230" s="18">
        <v>51101.0</v>
      </c>
      <c r="B230" s="47" t="s">
        <v>280</v>
      </c>
      <c r="C230" s="48">
        <v>0.9474838644668154</v>
      </c>
      <c r="D230" s="49">
        <v>0.6788672786383219</v>
      </c>
    </row>
    <row r="231" ht="15.75" customHeight="1">
      <c r="A231" s="18">
        <v>51102.0</v>
      </c>
      <c r="B231" s="47" t="s">
        <v>281</v>
      </c>
      <c r="C231" s="48">
        <v>0.904421428577029</v>
      </c>
      <c r="D231" s="49">
        <v>0.6894908804403697</v>
      </c>
    </row>
    <row r="232" ht="15.75" customHeight="1">
      <c r="A232" s="18">
        <v>51103.0</v>
      </c>
      <c r="B232" s="47" t="s">
        <v>282</v>
      </c>
      <c r="C232" s="48">
        <v>0.9849383028180076</v>
      </c>
      <c r="D232" s="49">
        <v>0.8621973699186168</v>
      </c>
    </row>
    <row r="233" ht="15.75" customHeight="1">
      <c r="A233" s="18">
        <v>51201.0</v>
      </c>
      <c r="B233" s="47" t="s">
        <v>283</v>
      </c>
      <c r="C233" s="48">
        <v>0.8831932819649049</v>
      </c>
      <c r="D233" s="49">
        <v>0.7121626384036246</v>
      </c>
    </row>
    <row r="234" ht="15.75" customHeight="1">
      <c r="A234" s="18">
        <v>51202.0</v>
      </c>
      <c r="B234" s="47" t="s">
        <v>284</v>
      </c>
      <c r="C234" s="48">
        <v>0.9874727272629735</v>
      </c>
      <c r="D234" s="49">
        <v>0.8211731946326962</v>
      </c>
    </row>
    <row r="235" ht="15.75" customHeight="1">
      <c r="A235" s="18">
        <v>51203.0</v>
      </c>
      <c r="B235" s="47" t="s">
        <v>285</v>
      </c>
      <c r="C235" s="48">
        <v>0.3629358319472376</v>
      </c>
      <c r="D235" s="49">
        <v>0.287747647149596</v>
      </c>
    </row>
    <row r="236" ht="15.75" customHeight="1">
      <c r="A236" s="50">
        <v>51204.0</v>
      </c>
      <c r="B236" s="47" t="s">
        <v>286</v>
      </c>
      <c r="C236" s="48">
        <v>1.043334872051299</v>
      </c>
      <c r="D236" s="49">
        <v>0.6254013737870256</v>
      </c>
    </row>
    <row r="237" ht="15.75" customHeight="1">
      <c r="A237" s="18">
        <v>51301.0</v>
      </c>
      <c r="B237" s="47" t="s">
        <v>287</v>
      </c>
      <c r="C237" s="48">
        <v>1.1628580901989285</v>
      </c>
      <c r="D237" s="49">
        <v>0.6730596737120776</v>
      </c>
    </row>
    <row r="238" ht="15.75" customHeight="1">
      <c r="A238" s="18">
        <v>51302.0</v>
      </c>
      <c r="B238" s="47" t="s">
        <v>288</v>
      </c>
      <c r="C238" s="48">
        <v>1.0157869527131864</v>
      </c>
      <c r="D238" s="49">
        <v>0.6287699711693884</v>
      </c>
    </row>
    <row r="239" ht="15.75" customHeight="1">
      <c r="A239" s="18">
        <v>51401.0</v>
      </c>
      <c r="B239" s="47" t="s">
        <v>289</v>
      </c>
      <c r="C239" s="48">
        <v>1.0669636834555252</v>
      </c>
      <c r="D239" s="49">
        <v>0.6457651003153665</v>
      </c>
    </row>
    <row r="240" ht="15.75" customHeight="1">
      <c r="A240" s="18">
        <v>51402.0</v>
      </c>
      <c r="B240" s="47" t="s">
        <v>290</v>
      </c>
      <c r="C240" s="48">
        <v>1.2503368398632468</v>
      </c>
      <c r="D240" s="49">
        <v>0.9085627380053737</v>
      </c>
    </row>
    <row r="241" ht="15.75" customHeight="1">
      <c r="A241" s="18">
        <v>51501.0</v>
      </c>
      <c r="B241" s="47" t="s">
        <v>291</v>
      </c>
      <c r="C241" s="48">
        <v>0.8073100228432653</v>
      </c>
      <c r="D241" s="49">
        <v>0.7357771994347355</v>
      </c>
    </row>
    <row r="242" ht="15.75" customHeight="1">
      <c r="A242" s="18">
        <v>51601.0</v>
      </c>
      <c r="B242" s="47" t="s">
        <v>292</v>
      </c>
      <c r="C242" s="48">
        <v>1.1661665786218942</v>
      </c>
      <c r="D242" s="49">
        <v>0.761165047449973</v>
      </c>
    </row>
    <row r="243" ht="15.75" customHeight="1">
      <c r="A243" s="18">
        <v>60101.0</v>
      </c>
      <c r="B243" s="47" t="s">
        <v>21</v>
      </c>
      <c r="C243" s="48">
        <v>0.9345912143278066</v>
      </c>
      <c r="D243" s="49">
        <v>0.6888424101260167</v>
      </c>
    </row>
    <row r="244" ht="15.75" customHeight="1">
      <c r="A244" s="18">
        <v>60201.0</v>
      </c>
      <c r="B244" s="47" t="s">
        <v>293</v>
      </c>
      <c r="C244" s="48">
        <v>1.027301260190276</v>
      </c>
      <c r="D244" s="49">
        <v>0.7309689019322472</v>
      </c>
    </row>
    <row r="245" ht="15.75" customHeight="1">
      <c r="A245" s="18">
        <v>60202.0</v>
      </c>
      <c r="B245" s="47" t="s">
        <v>294</v>
      </c>
      <c r="C245" s="48">
        <v>0.9049633304294734</v>
      </c>
      <c r="D245" s="49">
        <v>1.007187160319857</v>
      </c>
    </row>
    <row r="246" ht="15.75" customHeight="1">
      <c r="A246" s="18">
        <v>60301.0</v>
      </c>
      <c r="B246" s="47" t="s">
        <v>295</v>
      </c>
      <c r="C246" s="48">
        <v>0.844158788568993</v>
      </c>
      <c r="D246" s="49">
        <v>0.9469432764118442</v>
      </c>
    </row>
    <row r="247" ht="15.75" customHeight="1">
      <c r="A247" s="18">
        <v>60302.0</v>
      </c>
      <c r="B247" s="47" t="s">
        <v>296</v>
      </c>
      <c r="C247" s="48">
        <v>0.7937908915935731</v>
      </c>
      <c r="D247" s="49">
        <v>0.48591749902825054</v>
      </c>
    </row>
    <row r="248" ht="15.75" customHeight="1">
      <c r="A248" s="18">
        <v>60303.0</v>
      </c>
      <c r="B248" s="47" t="s">
        <v>297</v>
      </c>
      <c r="C248" s="48">
        <v>0.9488558423529743</v>
      </c>
      <c r="D248" s="49">
        <v>0.949403506375517</v>
      </c>
    </row>
    <row r="249" ht="15.75" customHeight="1">
      <c r="A249" s="18">
        <v>60401.0</v>
      </c>
      <c r="B249" s="47" t="s">
        <v>298</v>
      </c>
      <c r="C249" s="48">
        <v>0.8807451975195805</v>
      </c>
      <c r="D249" s="49">
        <v>0.5342390766359347</v>
      </c>
    </row>
    <row r="250" ht="15.75" customHeight="1">
      <c r="A250" s="18">
        <v>60402.0</v>
      </c>
      <c r="B250" s="47" t="s">
        <v>299</v>
      </c>
      <c r="C250" s="48">
        <v>0.8012059692965997</v>
      </c>
      <c r="D250" s="49">
        <v>0.8503905178022466</v>
      </c>
    </row>
    <row r="251" ht="15.75" customHeight="1">
      <c r="A251" s="18">
        <v>60501.0</v>
      </c>
      <c r="B251" s="47" t="s">
        <v>300</v>
      </c>
      <c r="C251" s="48">
        <v>0.9475789055790834</v>
      </c>
      <c r="D251" s="49">
        <v>0.6950928921333894</v>
      </c>
    </row>
    <row r="252" ht="15.75" customHeight="1">
      <c r="A252" s="18">
        <v>60502.0</v>
      </c>
      <c r="B252" s="47" t="s">
        <v>301</v>
      </c>
      <c r="C252" s="48">
        <v>0.8606332609806383</v>
      </c>
      <c r="D252" s="49">
        <v>0.48780940755198626</v>
      </c>
    </row>
    <row r="253" ht="15.75" customHeight="1">
      <c r="A253" s="18">
        <v>60601.0</v>
      </c>
      <c r="B253" s="47" t="s">
        <v>206</v>
      </c>
      <c r="C253" s="48">
        <v>0.9086692266651933</v>
      </c>
      <c r="D253" s="49">
        <v>0.7297042058417125</v>
      </c>
    </row>
    <row r="254" ht="15.75" customHeight="1">
      <c r="A254" s="18">
        <v>70101.0</v>
      </c>
      <c r="B254" s="47" t="s">
        <v>302</v>
      </c>
      <c r="C254" s="48">
        <v>1.339503450381188</v>
      </c>
      <c r="D254" s="49">
        <v>1.075326132930878</v>
      </c>
    </row>
    <row r="255" ht="15.75" customHeight="1">
      <c r="A255" s="18">
        <v>70102.0</v>
      </c>
      <c r="B255" s="47" t="s">
        <v>303</v>
      </c>
      <c r="C255" s="48">
        <v>1.087248270486975</v>
      </c>
      <c r="D255" s="49">
        <v>0.6476719556484706</v>
      </c>
    </row>
    <row r="256" ht="15.75" customHeight="1">
      <c r="A256" s="18">
        <v>70103.0</v>
      </c>
      <c r="B256" s="47" t="s">
        <v>304</v>
      </c>
      <c r="C256" s="48">
        <v>0.866336899007961</v>
      </c>
      <c r="D256" s="49">
        <v>0.8938090922505673</v>
      </c>
    </row>
    <row r="257" ht="15.75" customHeight="1">
      <c r="A257" s="18">
        <v>70104.0</v>
      </c>
      <c r="B257" s="47" t="s">
        <v>305</v>
      </c>
      <c r="C257" s="48">
        <v>0.9218593618498285</v>
      </c>
      <c r="D257" s="49">
        <v>0.7454841902685126</v>
      </c>
    </row>
    <row r="258" ht="15.75" customHeight="1">
      <c r="A258" s="18">
        <v>70105.0</v>
      </c>
      <c r="B258" s="47" t="s">
        <v>306</v>
      </c>
      <c r="C258" s="48">
        <v>0.8308933028826625</v>
      </c>
      <c r="D258" s="49">
        <v>0.5552983904592509</v>
      </c>
    </row>
    <row r="259" ht="15.75" customHeight="1">
      <c r="A259" s="18">
        <v>70201.0</v>
      </c>
      <c r="B259" s="47" t="s">
        <v>307</v>
      </c>
      <c r="C259" s="48">
        <v>0.9385026405490501</v>
      </c>
      <c r="D259" s="49">
        <v>0.7837426689074092</v>
      </c>
    </row>
    <row r="260" ht="15.75" customHeight="1">
      <c r="A260" s="18">
        <v>70202.0</v>
      </c>
      <c r="B260" s="47" t="s">
        <v>308</v>
      </c>
      <c r="C260" s="48">
        <v>1.1896022699696644</v>
      </c>
      <c r="D260" s="49">
        <v>0.5778375637228965</v>
      </c>
    </row>
    <row r="261" ht="15.75" customHeight="1">
      <c r="A261" s="18">
        <v>70301.0</v>
      </c>
      <c r="B261" s="47" t="s">
        <v>309</v>
      </c>
      <c r="C261" s="48">
        <v>1.0278109099377257</v>
      </c>
      <c r="D261" s="49">
        <v>1.2226821296113286</v>
      </c>
    </row>
    <row r="262" ht="15.75" customHeight="1">
      <c r="A262" s="18">
        <v>70302.0</v>
      </c>
      <c r="B262" s="47" t="s">
        <v>310</v>
      </c>
      <c r="C262" s="48">
        <v>0.9064307704180283</v>
      </c>
      <c r="D262" s="49">
        <v>1.1212521743671082</v>
      </c>
    </row>
    <row r="263" ht="15.75" customHeight="1">
      <c r="A263" s="18">
        <v>70303.0</v>
      </c>
      <c r="B263" s="47" t="s">
        <v>311</v>
      </c>
      <c r="C263" s="48">
        <v>0.9079886437857297</v>
      </c>
      <c r="D263" s="49">
        <v>1.190557339244438</v>
      </c>
    </row>
    <row r="264" ht="15.75" customHeight="1">
      <c r="A264" s="18">
        <v>70401.0</v>
      </c>
      <c r="B264" s="47" t="s">
        <v>312</v>
      </c>
      <c r="C264" s="48">
        <v>1.0314548116320752</v>
      </c>
      <c r="D264" s="49">
        <v>0.8615227370999459</v>
      </c>
    </row>
    <row r="265" ht="15.75" customHeight="1">
      <c r="A265" s="18">
        <v>70402.0</v>
      </c>
      <c r="B265" s="47" t="s">
        <v>313</v>
      </c>
      <c r="C265" s="48">
        <v>0.9173808698182236</v>
      </c>
      <c r="D265" s="49">
        <v>0.7001907213032545</v>
      </c>
    </row>
    <row r="266" ht="15.75" customHeight="1">
      <c r="A266" s="18">
        <v>70403.0</v>
      </c>
      <c r="B266" s="47" t="s">
        <v>314</v>
      </c>
      <c r="C266" s="48">
        <v>1.044592137892336</v>
      </c>
      <c r="D266" s="49">
        <v>0.8129986369914796</v>
      </c>
    </row>
    <row r="267" ht="15.75" customHeight="1">
      <c r="A267" s="18">
        <v>70404.0</v>
      </c>
      <c r="B267" s="47" t="s">
        <v>315</v>
      </c>
      <c r="C267" s="48">
        <v>1.0189539309344993</v>
      </c>
      <c r="D267" s="49">
        <v>0.741453478432813</v>
      </c>
    </row>
    <row r="268" ht="15.75" customHeight="1">
      <c r="A268" s="18">
        <v>70501.0</v>
      </c>
      <c r="B268" s="47" t="s">
        <v>316</v>
      </c>
      <c r="C268" s="48">
        <v>1.144445714067485</v>
      </c>
      <c r="D268" s="49">
        <v>1.7598034747141886</v>
      </c>
    </row>
    <row r="269" ht="15.75" customHeight="1">
      <c r="A269" s="18">
        <v>70502.0</v>
      </c>
      <c r="B269" s="47" t="s">
        <v>317</v>
      </c>
      <c r="C269" s="48">
        <v>1.135644157407342</v>
      </c>
      <c r="D269" s="49">
        <v>1.1605528894243038</v>
      </c>
    </row>
    <row r="270" ht="15.75" customHeight="1">
      <c r="A270" s="18">
        <v>70503.0</v>
      </c>
      <c r="B270" s="47" t="s">
        <v>318</v>
      </c>
      <c r="C270" s="48">
        <v>1.156365000410121</v>
      </c>
      <c r="D270" s="49">
        <v>1.2983553901346179</v>
      </c>
    </row>
    <row r="271" ht="15.75" customHeight="1">
      <c r="A271" s="18">
        <v>70601.0</v>
      </c>
      <c r="B271" s="47" t="s">
        <v>319</v>
      </c>
      <c r="C271" s="48">
        <v>1.042825413981562</v>
      </c>
      <c r="D271" s="49">
        <v>1.182481386035199</v>
      </c>
    </row>
    <row r="272" ht="15.75" customHeight="1">
      <c r="A272" s="18">
        <v>70602.0</v>
      </c>
      <c r="B272" s="47" t="s">
        <v>320</v>
      </c>
      <c r="C272" s="48">
        <v>1.1723421890605692</v>
      </c>
      <c r="D272" s="49">
        <v>0.7393343209931277</v>
      </c>
    </row>
    <row r="273" ht="15.75" customHeight="1">
      <c r="A273" s="18">
        <v>70603.0</v>
      </c>
      <c r="B273" s="47" t="s">
        <v>321</v>
      </c>
      <c r="C273" s="48">
        <v>0.9785448945347713</v>
      </c>
      <c r="D273" s="49">
        <v>1.1013778618159318</v>
      </c>
    </row>
    <row r="274" ht="15.75" customHeight="1">
      <c r="A274" s="18">
        <v>70701.0</v>
      </c>
      <c r="B274" s="47" t="s">
        <v>322</v>
      </c>
      <c r="C274" s="48">
        <v>0.9801908039264118</v>
      </c>
      <c r="D274" s="49">
        <v>0.45745738308556927</v>
      </c>
    </row>
    <row r="275" ht="15.75" customHeight="1">
      <c r="A275" s="18">
        <v>70702.0</v>
      </c>
      <c r="B275" s="47" t="s">
        <v>323</v>
      </c>
      <c r="C275" s="48">
        <v>1.185128224554575</v>
      </c>
      <c r="D275" s="49">
        <v>1.3343600748515443</v>
      </c>
    </row>
    <row r="276" ht="15.75" customHeight="1">
      <c r="A276" s="18">
        <v>70703.0</v>
      </c>
      <c r="B276" s="47" t="s">
        <v>324</v>
      </c>
      <c r="C276" s="48">
        <v>1.0849506540106317</v>
      </c>
      <c r="D276" s="49">
        <v>0.9343752123562619</v>
      </c>
    </row>
    <row r="277" ht="15.75" customHeight="1">
      <c r="A277" s="18">
        <v>70704.0</v>
      </c>
      <c r="B277" s="47" t="s">
        <v>325</v>
      </c>
      <c r="C277" s="48">
        <v>1.1950980041232735</v>
      </c>
      <c r="D277" s="49">
        <v>0.5624242893625809</v>
      </c>
    </row>
    <row r="278" ht="15.75" customHeight="1">
      <c r="A278" s="18">
        <v>70705.0</v>
      </c>
      <c r="B278" s="47" t="s">
        <v>326</v>
      </c>
      <c r="C278" s="48">
        <v>1.0500795404316512</v>
      </c>
      <c r="D278" s="49">
        <v>0.8862494404246672</v>
      </c>
    </row>
    <row r="279" ht="15.75" customHeight="1">
      <c r="A279" s="18">
        <v>70706.0</v>
      </c>
      <c r="B279" s="47" t="s">
        <v>327</v>
      </c>
      <c r="C279" s="48">
        <v>0.9310406637744253</v>
      </c>
      <c r="D279" s="49">
        <v>1.0107124903399527</v>
      </c>
    </row>
    <row r="280" ht="15.75" customHeight="1">
      <c r="A280" s="18">
        <v>70707.0</v>
      </c>
      <c r="B280" s="47" t="s">
        <v>328</v>
      </c>
      <c r="C280" s="48">
        <v>1.0502420093886606</v>
      </c>
      <c r="D280" s="49">
        <v>1.8230046306784953</v>
      </c>
    </row>
    <row r="281" ht="15.75" customHeight="1">
      <c r="A281" s="18">
        <v>70801.0</v>
      </c>
      <c r="B281" s="47" t="s">
        <v>329</v>
      </c>
      <c r="C281" s="48">
        <v>1.0197947975738315</v>
      </c>
      <c r="D281" s="49">
        <v>0.6592729987703299</v>
      </c>
    </row>
    <row r="282" ht="15.75" customHeight="1">
      <c r="A282" s="18">
        <v>70802.0</v>
      </c>
      <c r="B282" s="47" t="s">
        <v>330</v>
      </c>
      <c r="C282" s="48">
        <v>1.1625004495463969</v>
      </c>
      <c r="D282" s="49">
        <v>0.7356738398130533</v>
      </c>
    </row>
    <row r="283" ht="15.75" customHeight="1">
      <c r="A283" s="18">
        <v>70803.0</v>
      </c>
      <c r="B283" s="47" t="s">
        <v>331</v>
      </c>
      <c r="C283" s="48">
        <v>0.993250171827498</v>
      </c>
      <c r="D283" s="49">
        <v>0.5424746035921078</v>
      </c>
    </row>
    <row r="284" ht="15.75" customHeight="1">
      <c r="A284" s="18">
        <v>70804.0</v>
      </c>
      <c r="B284" s="47" t="s">
        <v>332</v>
      </c>
      <c r="C284" s="48">
        <v>1.4527750802045174</v>
      </c>
      <c r="D284" s="49">
        <v>0.8778247367042106</v>
      </c>
    </row>
    <row r="285" ht="15.75" customHeight="1">
      <c r="A285" s="18">
        <v>70805.0</v>
      </c>
      <c r="B285" s="47" t="s">
        <v>333</v>
      </c>
      <c r="C285" s="48">
        <v>0.9610656827641995</v>
      </c>
      <c r="D285" s="49">
        <v>0.5711711617592761</v>
      </c>
    </row>
    <row r="286" ht="15.75" customHeight="1">
      <c r="A286" s="18">
        <v>70901.0</v>
      </c>
      <c r="B286" s="47" t="s">
        <v>334</v>
      </c>
      <c r="C286" s="48">
        <v>0.9321942747488149</v>
      </c>
      <c r="D286" s="49">
        <v>0.7573213779705978</v>
      </c>
    </row>
    <row r="287" ht="15.75" customHeight="1">
      <c r="A287" s="18">
        <v>70902.0</v>
      </c>
      <c r="B287" s="47" t="s">
        <v>335</v>
      </c>
      <c r="C287" s="48">
        <v>1.1171957599876174</v>
      </c>
      <c r="D287" s="49">
        <v>1.1229424974525033</v>
      </c>
    </row>
    <row r="288" ht="15.75" customHeight="1">
      <c r="A288" s="18">
        <v>70903.0</v>
      </c>
      <c r="B288" s="47" t="s">
        <v>336</v>
      </c>
      <c r="C288" s="48">
        <v>1.2237863506078732</v>
      </c>
      <c r="D288" s="49">
        <v>0.9264489024911602</v>
      </c>
    </row>
    <row r="289" ht="15.75" customHeight="1">
      <c r="A289" s="18">
        <v>70904.0</v>
      </c>
      <c r="B289" s="47" t="s">
        <v>337</v>
      </c>
      <c r="C289" s="48">
        <v>0.7654192989439254</v>
      </c>
      <c r="D289" s="49">
        <v>0.940738892381656</v>
      </c>
    </row>
    <row r="290" ht="15.75" customHeight="1">
      <c r="A290" s="18">
        <v>71001.0</v>
      </c>
      <c r="B290" s="47" t="s">
        <v>338</v>
      </c>
      <c r="C290" s="48">
        <v>1.4628739650982463</v>
      </c>
      <c r="D290" s="49">
        <v>0.8826003551841511</v>
      </c>
    </row>
    <row r="291" ht="15.75" customHeight="1">
      <c r="A291" s="18">
        <v>71002.0</v>
      </c>
      <c r="B291" s="47" t="s">
        <v>339</v>
      </c>
      <c r="C291" s="48">
        <v>1.0581401112465538</v>
      </c>
      <c r="D291" s="49">
        <v>0.7540033013227364</v>
      </c>
    </row>
    <row r="292" ht="15.75" customHeight="1">
      <c r="A292" s="18">
        <v>71003.0</v>
      </c>
      <c r="B292" s="47" t="s">
        <v>340</v>
      </c>
      <c r="C292" s="48">
        <v>1.0279434990511804</v>
      </c>
      <c r="D292" s="49">
        <v>0.7474064482220972</v>
      </c>
    </row>
    <row r="293" ht="15.75" customHeight="1">
      <c r="A293" s="18">
        <v>71004.0</v>
      </c>
      <c r="B293" s="47" t="s">
        <v>341</v>
      </c>
      <c r="C293" s="48">
        <v>0.9043088047419843</v>
      </c>
      <c r="D293" s="49">
        <v>0.6782568413186946</v>
      </c>
    </row>
    <row r="294" ht="15.75" customHeight="1">
      <c r="A294" s="18">
        <v>71005.0</v>
      </c>
      <c r="B294" s="47" t="s">
        <v>267</v>
      </c>
      <c r="C294" s="48">
        <v>0.7049930785179567</v>
      </c>
      <c r="D294" s="49">
        <v>0.6377351517971399</v>
      </c>
    </row>
    <row r="295" ht="15.75" customHeight="1">
      <c r="A295" s="18">
        <v>71101.0</v>
      </c>
      <c r="B295" s="47" t="s">
        <v>342</v>
      </c>
      <c r="C295" s="48">
        <v>0.9082543263918575</v>
      </c>
      <c r="D295" s="49">
        <v>0.8716554029194863</v>
      </c>
    </row>
    <row r="296" ht="15.75" customHeight="1">
      <c r="A296" s="18">
        <v>71102.0</v>
      </c>
      <c r="B296" s="47" t="s">
        <v>343</v>
      </c>
      <c r="C296" s="48">
        <v>1.03045392844096</v>
      </c>
      <c r="D296" s="49">
        <v>0.7605004237450529</v>
      </c>
    </row>
    <row r="297" ht="15.75" customHeight="1">
      <c r="A297" s="18">
        <v>71103.0</v>
      </c>
      <c r="B297" s="47" t="s">
        <v>344</v>
      </c>
      <c r="C297" s="48">
        <v>0.8715519425106483</v>
      </c>
      <c r="D297" s="49">
        <v>0.629203263421242</v>
      </c>
    </row>
    <row r="298" ht="15.75" customHeight="1">
      <c r="A298" s="18">
        <v>71104.0</v>
      </c>
      <c r="B298" s="47" t="s">
        <v>345</v>
      </c>
      <c r="C298" s="48">
        <v>0.9229460352473555</v>
      </c>
      <c r="D298" s="49">
        <v>0.5396815162187397</v>
      </c>
    </row>
    <row r="299" ht="15.75" customHeight="1">
      <c r="A299" s="18">
        <v>71105.0</v>
      </c>
      <c r="B299" s="47" t="s">
        <v>346</v>
      </c>
      <c r="C299" s="48">
        <v>0.8776977039849129</v>
      </c>
      <c r="D299" s="49">
        <v>0.957705077126644</v>
      </c>
    </row>
    <row r="300" ht="15.75" customHeight="1">
      <c r="A300" s="18">
        <v>71106.0</v>
      </c>
      <c r="B300" s="47" t="s">
        <v>347</v>
      </c>
      <c r="C300" s="48">
        <v>0.7632573278801711</v>
      </c>
      <c r="D300" s="49">
        <v>0.6947950066301396</v>
      </c>
    </row>
    <row r="301" ht="15.75" customHeight="1">
      <c r="A301" s="18">
        <v>71201.0</v>
      </c>
      <c r="B301" s="47" t="s">
        <v>348</v>
      </c>
      <c r="C301" s="48">
        <v>0.9950627469534108</v>
      </c>
      <c r="D301" s="49">
        <v>0.9304233214473733</v>
      </c>
    </row>
    <row r="302" ht="15.75" customHeight="1">
      <c r="A302" s="18">
        <v>71301.0</v>
      </c>
      <c r="B302" s="47" t="s">
        <v>349</v>
      </c>
      <c r="C302" s="48">
        <v>0.8702775629886468</v>
      </c>
      <c r="D302" s="49">
        <v>0.7608135314710354</v>
      </c>
    </row>
    <row r="303" ht="15.75" customHeight="1">
      <c r="A303" s="18">
        <v>71302.0</v>
      </c>
      <c r="B303" s="47" t="s">
        <v>350</v>
      </c>
      <c r="C303" s="48">
        <v>1.041251281364645</v>
      </c>
      <c r="D303" s="49">
        <v>0.612910025698293</v>
      </c>
    </row>
    <row r="304" ht="15.75" customHeight="1">
      <c r="A304" s="18">
        <v>71401.0</v>
      </c>
      <c r="B304" s="47" t="s">
        <v>351</v>
      </c>
      <c r="C304" s="48">
        <v>1.154436196488433</v>
      </c>
      <c r="D304" s="49">
        <v>0.9740304266201675</v>
      </c>
    </row>
    <row r="305" ht="15.75" customHeight="1">
      <c r="A305" s="18">
        <v>71402.0</v>
      </c>
      <c r="B305" s="47" t="s">
        <v>352</v>
      </c>
      <c r="C305" s="48">
        <v>0.9184259153493851</v>
      </c>
      <c r="D305" s="49">
        <v>0.7991121594891198</v>
      </c>
    </row>
    <row r="306" ht="15.75" customHeight="1">
      <c r="A306" s="18">
        <v>71403.0</v>
      </c>
      <c r="B306" s="47" t="s">
        <v>353</v>
      </c>
      <c r="C306" s="48">
        <v>1.363875997500285</v>
      </c>
      <c r="D306" s="49">
        <v>1.4127962133717862</v>
      </c>
    </row>
    <row r="307" ht="15.75" customHeight="1">
      <c r="A307" s="18">
        <v>71501.0</v>
      </c>
      <c r="B307" s="47" t="s">
        <v>354</v>
      </c>
      <c r="C307" s="48">
        <v>1.0531145318776358</v>
      </c>
      <c r="D307" s="49">
        <v>0.9245049160034369</v>
      </c>
    </row>
    <row r="308" ht="15.75" customHeight="1">
      <c r="A308" s="18">
        <v>71502.0</v>
      </c>
      <c r="B308" s="47" t="s">
        <v>355</v>
      </c>
      <c r="C308" s="48">
        <v>1.027663861120657</v>
      </c>
      <c r="D308" s="49">
        <v>1.0773824333074506</v>
      </c>
    </row>
    <row r="309" ht="15.75" customHeight="1">
      <c r="A309" s="18">
        <v>71503.0</v>
      </c>
      <c r="B309" s="47" t="s">
        <v>301</v>
      </c>
      <c r="C309" s="48">
        <v>0.9048969477919464</v>
      </c>
      <c r="D309" s="49">
        <v>0.8006187110522518</v>
      </c>
    </row>
    <row r="310" ht="15.75" customHeight="1">
      <c r="A310" s="18">
        <v>80101.0</v>
      </c>
      <c r="B310" s="47" t="s">
        <v>356</v>
      </c>
      <c r="C310" s="48">
        <v>1.3260263734607867</v>
      </c>
      <c r="D310" s="49">
        <v>0.9768082215776588</v>
      </c>
    </row>
    <row r="311" ht="15.75" customHeight="1">
      <c r="A311" s="18">
        <v>80102.0</v>
      </c>
      <c r="B311" s="47" t="s">
        <v>343</v>
      </c>
      <c r="C311" s="48">
        <v>1.0886019600648102</v>
      </c>
      <c r="D311" s="49">
        <v>1.1152362973467087</v>
      </c>
    </row>
    <row r="312" ht="15.75" customHeight="1">
      <c r="A312" s="18">
        <v>80201.0</v>
      </c>
      <c r="B312" s="47" t="s">
        <v>357</v>
      </c>
      <c r="C312" s="48">
        <v>1.1968915077855657</v>
      </c>
      <c r="D312" s="49">
        <v>0.9696453541684916</v>
      </c>
    </row>
    <row r="313" ht="15.75" customHeight="1">
      <c r="A313" s="18">
        <v>80202.0</v>
      </c>
      <c r="B313" s="47" t="s">
        <v>358</v>
      </c>
      <c r="C313" s="48">
        <v>1.0719601212415417</v>
      </c>
      <c r="D313" s="49">
        <v>1.0384338973234584</v>
      </c>
    </row>
    <row r="314" ht="15.75" customHeight="1">
      <c r="A314" s="18">
        <v>80301.0</v>
      </c>
      <c r="B314" s="47" t="s">
        <v>359</v>
      </c>
      <c r="C314" s="48">
        <v>1.093817288991067</v>
      </c>
      <c r="D314" s="49">
        <v>0.8563403182343211</v>
      </c>
    </row>
    <row r="315" ht="15.75" customHeight="1">
      <c r="A315" s="18">
        <v>80302.0</v>
      </c>
      <c r="B315" s="47" t="s">
        <v>360</v>
      </c>
      <c r="C315" s="48">
        <v>1.0382102021568627</v>
      </c>
      <c r="D315" s="49">
        <v>1.2262317757745347</v>
      </c>
    </row>
    <row r="316" ht="15.75" customHeight="1">
      <c r="A316" s="18">
        <v>80303.0</v>
      </c>
      <c r="B316" s="47" t="s">
        <v>320</v>
      </c>
      <c r="C316" s="48">
        <v>0.979272109732826</v>
      </c>
      <c r="D316" s="49">
        <v>0.875171397841789</v>
      </c>
    </row>
    <row r="317" ht="15.75" customHeight="1">
      <c r="A317" s="18">
        <v>80304.0</v>
      </c>
      <c r="B317" s="47" t="s">
        <v>361</v>
      </c>
      <c r="C317" s="48">
        <v>1.1665320561810482</v>
      </c>
      <c r="D317" s="49">
        <v>1.509023021892059</v>
      </c>
    </row>
    <row r="318" ht="15.75" customHeight="1">
      <c r="A318" s="18">
        <v>80401.0</v>
      </c>
      <c r="B318" s="47" t="s">
        <v>362</v>
      </c>
      <c r="C318" s="48">
        <v>1.113407116243363</v>
      </c>
      <c r="D318" s="49">
        <v>1.2725334770406163</v>
      </c>
    </row>
    <row r="319" ht="15.75" customHeight="1">
      <c r="A319" s="18">
        <v>80402.0</v>
      </c>
      <c r="B319" s="47" t="s">
        <v>363</v>
      </c>
      <c r="C319" s="48">
        <v>1.10174096755694</v>
      </c>
      <c r="D319" s="49">
        <v>0.7446870961106609</v>
      </c>
    </row>
    <row r="320" ht="15.75" customHeight="1">
      <c r="A320" s="18">
        <v>80501.0</v>
      </c>
      <c r="B320" s="47" t="s">
        <v>309</v>
      </c>
      <c r="C320" s="48">
        <v>0.9983482941084901</v>
      </c>
      <c r="D320" s="49">
        <v>1.0286960066255957</v>
      </c>
    </row>
    <row r="321" ht="15.75" customHeight="1">
      <c r="A321" s="18">
        <v>80601.0</v>
      </c>
      <c r="B321" s="47" t="s">
        <v>364</v>
      </c>
      <c r="C321" s="48">
        <v>1.106596964579945</v>
      </c>
      <c r="D321" s="49">
        <v>0.8000317948480784</v>
      </c>
    </row>
    <row r="322" ht="15.75" customHeight="1">
      <c r="A322" s="18">
        <v>80602.0</v>
      </c>
      <c r="B322" s="47" t="s">
        <v>365</v>
      </c>
      <c r="C322" s="48">
        <v>0.8854847358062954</v>
      </c>
      <c r="D322" s="49">
        <v>0.9259704722438017</v>
      </c>
    </row>
    <row r="323" ht="15.75" customHeight="1">
      <c r="A323" s="18">
        <v>80701.0</v>
      </c>
      <c r="B323" s="47" t="s">
        <v>366</v>
      </c>
      <c r="C323" s="48">
        <v>1.188642019390073</v>
      </c>
      <c r="D323" s="49">
        <v>0.9600572090479328</v>
      </c>
    </row>
    <row r="324" ht="15.75" customHeight="1">
      <c r="A324" s="18">
        <v>80702.0</v>
      </c>
      <c r="B324" s="47" t="s">
        <v>344</v>
      </c>
      <c r="C324" s="48">
        <v>1.0318215862517353</v>
      </c>
      <c r="D324" s="49">
        <v>1.1578245355686452</v>
      </c>
    </row>
    <row r="325" ht="15.75" customHeight="1">
      <c r="A325" s="18">
        <v>80703.0</v>
      </c>
      <c r="B325" s="47" t="s">
        <v>367</v>
      </c>
      <c r="C325" s="48">
        <v>1.0085733159761345</v>
      </c>
      <c r="D325" s="49">
        <v>0.33431880794599517</v>
      </c>
    </row>
    <row r="326" ht="15.75" customHeight="1">
      <c r="A326" s="18">
        <v>80801.0</v>
      </c>
      <c r="B326" s="47" t="s">
        <v>368</v>
      </c>
      <c r="C326" s="48">
        <v>1.0778247387525368</v>
      </c>
      <c r="D326" s="49">
        <v>0.8124878549214393</v>
      </c>
    </row>
    <row r="327" ht="15.75" customHeight="1">
      <c r="A327" s="18">
        <v>80802.0</v>
      </c>
      <c r="B327" s="47" t="s">
        <v>369</v>
      </c>
      <c r="C327" s="48">
        <v>1.2208909460992714</v>
      </c>
      <c r="D327" s="49">
        <v>0.9284381291035978</v>
      </c>
    </row>
    <row r="328" ht="15.75" customHeight="1">
      <c r="A328" s="18">
        <v>80803.0</v>
      </c>
      <c r="B328" s="47" t="s">
        <v>370</v>
      </c>
      <c r="C328" s="48">
        <v>1.012045293650317</v>
      </c>
      <c r="D328" s="49">
        <v>1.5912454123462765</v>
      </c>
    </row>
    <row r="329" ht="15.75" customHeight="1">
      <c r="A329" s="50">
        <v>80901.0</v>
      </c>
      <c r="B329" s="47" t="s">
        <v>371</v>
      </c>
      <c r="C329" s="48">
        <v>1.0899672785429646</v>
      </c>
      <c r="D329" s="49">
        <v>1.1277182064140379</v>
      </c>
    </row>
    <row r="330" ht="15.75" customHeight="1">
      <c r="A330" s="18">
        <v>90101.0</v>
      </c>
      <c r="B330" s="47" t="s">
        <v>372</v>
      </c>
      <c r="C330" s="48">
        <v>1.2160649115154984</v>
      </c>
      <c r="D330" s="49">
        <v>0.9495910630803679</v>
      </c>
    </row>
    <row r="331" ht="15.75" customHeight="1">
      <c r="A331" s="18">
        <v>90102.0</v>
      </c>
      <c r="B331" s="47" t="s">
        <v>373</v>
      </c>
      <c r="C331" s="48">
        <v>1.4280498588270956</v>
      </c>
      <c r="D331" s="49">
        <v>0.7331749456793074</v>
      </c>
    </row>
    <row r="332" ht="15.75" customHeight="1">
      <c r="A332" s="18">
        <v>90103.0</v>
      </c>
      <c r="B332" s="47" t="s">
        <v>374</v>
      </c>
      <c r="C332" s="48">
        <v>0.9440634827321528</v>
      </c>
      <c r="D332" s="49">
        <v>1.7547108529594286</v>
      </c>
    </row>
    <row r="333" ht="15.75" customHeight="1">
      <c r="A333" s="18">
        <v>90104.0</v>
      </c>
      <c r="B333" s="47" t="s">
        <v>375</v>
      </c>
      <c r="C333" s="48">
        <v>0.8401093562127573</v>
      </c>
      <c r="D333" s="49">
        <v>1.2929393089626018</v>
      </c>
    </row>
    <row r="334" ht="15.75" customHeight="1">
      <c r="A334" s="18">
        <v>90201.0</v>
      </c>
      <c r="B334" s="47" t="s">
        <v>376</v>
      </c>
      <c r="C334" s="48">
        <v>1.4612359308844147</v>
      </c>
      <c r="D334" s="49">
        <v>0.7734687840162142</v>
      </c>
    </row>
    <row r="335" ht="15.75" customHeight="1">
      <c r="A335" s="18">
        <v>90202.0</v>
      </c>
      <c r="B335" s="47" t="s">
        <v>267</v>
      </c>
      <c r="C335" s="48">
        <v>0.9584840085367038</v>
      </c>
      <c r="D335" s="49">
        <v>1.2334619090583046</v>
      </c>
    </row>
    <row r="336" ht="15.75" customHeight="1">
      <c r="A336" s="18">
        <v>90203.0</v>
      </c>
      <c r="B336" s="47" t="s">
        <v>377</v>
      </c>
      <c r="C336" s="48">
        <v>0.9198484310152855</v>
      </c>
      <c r="D336" s="49">
        <v>0.6619155137033932</v>
      </c>
    </row>
    <row r="337" ht="15.75" customHeight="1">
      <c r="A337" s="18">
        <v>90301.0</v>
      </c>
      <c r="B337" s="47" t="s">
        <v>378</v>
      </c>
      <c r="C337" s="48">
        <v>0.958507665432158</v>
      </c>
      <c r="D337" s="49">
        <v>0.735301212084665</v>
      </c>
    </row>
    <row r="338" ht="15.75" customHeight="1">
      <c r="A338" s="18">
        <v>90302.0</v>
      </c>
      <c r="B338" s="47" t="s">
        <v>300</v>
      </c>
      <c r="C338" s="48">
        <v>0.9329856896714727</v>
      </c>
      <c r="D338" s="49">
        <v>0.5898824189380606</v>
      </c>
    </row>
    <row r="339" ht="15.75" customHeight="1">
      <c r="A339" s="18">
        <v>90303.0</v>
      </c>
      <c r="B339" s="47" t="s">
        <v>379</v>
      </c>
      <c r="C339" s="48">
        <v>0.9629776029685572</v>
      </c>
      <c r="D339" s="49">
        <v>0.8734041098686077</v>
      </c>
    </row>
    <row r="340" ht="15.75" customHeight="1">
      <c r="A340" s="18">
        <v>90401.0</v>
      </c>
      <c r="B340" s="47" t="s">
        <v>320</v>
      </c>
      <c r="C340" s="48">
        <v>0.8679670695932373</v>
      </c>
      <c r="D340" s="49">
        <v>1.0965407970811727</v>
      </c>
    </row>
    <row r="341" ht="15.75" customHeight="1">
      <c r="A341" s="18">
        <v>90402.0</v>
      </c>
      <c r="B341" s="47" t="s">
        <v>380</v>
      </c>
      <c r="C341" s="48">
        <v>1.1629987478531065</v>
      </c>
      <c r="D341" s="49">
        <v>0.7900105606234619</v>
      </c>
    </row>
    <row r="342" ht="15.75" customHeight="1">
      <c r="A342" s="18">
        <v>90501.0</v>
      </c>
      <c r="B342" s="47" t="s">
        <v>381</v>
      </c>
      <c r="C342" s="48">
        <v>1.0240293957698472</v>
      </c>
      <c r="D342" s="49">
        <v>0.6351090041456537</v>
      </c>
    </row>
    <row r="343" ht="15.75" customHeight="1">
      <c r="A343" s="18">
        <v>90502.0</v>
      </c>
      <c r="B343" s="47" t="s">
        <v>382</v>
      </c>
      <c r="C343" s="48">
        <v>0.97138906199952</v>
      </c>
      <c r="D343" s="49">
        <v>0.6182061559346714</v>
      </c>
    </row>
    <row r="344" ht="15.75" customHeight="1">
      <c r="A344" s="18">
        <v>90503.0</v>
      </c>
      <c r="B344" s="47" t="s">
        <v>383</v>
      </c>
      <c r="C344" s="48">
        <v>0.8895575815049311</v>
      </c>
      <c r="D344" s="49">
        <v>2.2701919481872697</v>
      </c>
    </row>
    <row r="345" ht="15.75" customHeight="1">
      <c r="A345" s="31"/>
      <c r="B345" s="51"/>
      <c r="C345" s="49"/>
      <c r="D345" s="49"/>
    </row>
    <row r="346" ht="15.75" customHeight="1">
      <c r="A346" s="18"/>
      <c r="B346" s="52"/>
      <c r="C346" s="53"/>
      <c r="D346" s="49"/>
    </row>
    <row r="347" ht="15.75" customHeight="1">
      <c r="A347" s="54"/>
      <c r="B347" s="51"/>
      <c r="C347" s="49"/>
      <c r="D347" s="49"/>
    </row>
    <row r="348" ht="15.75" customHeight="1">
      <c r="A348" s="54"/>
      <c r="B348" s="51"/>
      <c r="C348" s="49"/>
      <c r="D348" s="49"/>
    </row>
    <row r="349" ht="15.75" customHeight="1">
      <c r="A349" s="54"/>
      <c r="B349" s="51"/>
      <c r="C349" s="49"/>
      <c r="D349" s="49"/>
    </row>
    <row r="350" ht="15.75" customHeight="1">
      <c r="A350" s="54"/>
      <c r="B350" s="51"/>
      <c r="C350" s="49"/>
      <c r="D350" s="49"/>
    </row>
    <row r="351" ht="15.75" customHeight="1">
      <c r="A351" s="54"/>
      <c r="B351" s="51"/>
      <c r="C351" s="49"/>
      <c r="D351" s="49"/>
    </row>
    <row r="352" ht="15.75" customHeight="1">
      <c r="A352" s="54"/>
      <c r="B352" s="51"/>
      <c r="C352" s="49"/>
      <c r="D352" s="49"/>
    </row>
    <row r="353" ht="15.75" customHeight="1">
      <c r="A353" s="54"/>
      <c r="B353" s="51"/>
      <c r="C353" s="49"/>
      <c r="D353" s="49"/>
    </row>
    <row r="354" ht="15.75" customHeight="1">
      <c r="A354" s="54"/>
      <c r="B354" s="51"/>
      <c r="C354" s="49"/>
      <c r="D354" s="49"/>
    </row>
    <row r="355" ht="15.75" customHeight="1">
      <c r="A355" s="54"/>
      <c r="B355" s="51"/>
      <c r="C355" s="49"/>
      <c r="D355" s="49"/>
    </row>
    <row r="356" ht="15.75" customHeight="1">
      <c r="A356" s="54"/>
      <c r="B356" s="51"/>
      <c r="C356" s="49"/>
      <c r="D356" s="49"/>
    </row>
    <row r="357" ht="15.75" customHeight="1">
      <c r="A357" s="31"/>
      <c r="B357" s="51"/>
      <c r="C357" s="49"/>
      <c r="D357" s="49"/>
    </row>
    <row r="358" ht="15.75" customHeight="1">
      <c r="A358" s="31"/>
      <c r="B358" s="51"/>
      <c r="C358" s="49"/>
      <c r="D358" s="49"/>
    </row>
    <row r="359" ht="15.75" customHeight="1">
      <c r="A359" s="31"/>
      <c r="B359" s="51"/>
      <c r="C359" s="49"/>
      <c r="D359" s="49"/>
    </row>
    <row r="360" ht="15.75" customHeight="1">
      <c r="A360" s="31"/>
      <c r="B360" s="51"/>
      <c r="C360" s="49"/>
      <c r="D360" s="49"/>
    </row>
    <row r="361" ht="15.75" customHeight="1">
      <c r="A361" s="31"/>
      <c r="B361" s="51"/>
      <c r="C361" s="49"/>
      <c r="D361" s="49"/>
    </row>
    <row r="362" ht="15.75" customHeight="1">
      <c r="A362" s="31"/>
      <c r="B362" s="51"/>
      <c r="C362" s="49"/>
      <c r="D362" s="49"/>
    </row>
    <row r="363" ht="15.75" customHeight="1">
      <c r="A363" s="31"/>
      <c r="B363" s="51"/>
      <c r="C363" s="49"/>
      <c r="D363" s="49"/>
    </row>
    <row r="364" ht="15.75" customHeight="1">
      <c r="A364" s="31"/>
      <c r="B364" s="51"/>
      <c r="C364" s="49"/>
      <c r="D364" s="49"/>
    </row>
    <row r="365" ht="15.75" customHeight="1">
      <c r="A365" s="31"/>
      <c r="B365" s="51"/>
      <c r="C365" s="49"/>
      <c r="D365" s="49"/>
    </row>
    <row r="366" ht="15.75" customHeight="1">
      <c r="A366" s="31"/>
      <c r="B366" s="51"/>
      <c r="C366" s="49"/>
      <c r="D366" s="49"/>
    </row>
    <row r="367" ht="15.75" customHeight="1">
      <c r="A367" s="31"/>
      <c r="B367" s="51"/>
      <c r="C367" s="49"/>
      <c r="D367" s="49"/>
    </row>
    <row r="368" ht="15.75" customHeight="1">
      <c r="A368" s="31"/>
      <c r="B368" s="51"/>
      <c r="C368" s="49"/>
      <c r="D368" s="49"/>
    </row>
    <row r="369" ht="15.75" customHeight="1">
      <c r="A369" s="31"/>
      <c r="B369" s="51"/>
      <c r="C369" s="49"/>
      <c r="D369" s="49"/>
    </row>
    <row r="370" ht="15.75" customHeight="1">
      <c r="A370" s="31"/>
      <c r="B370" s="51"/>
      <c r="C370" s="49"/>
      <c r="D370" s="49"/>
    </row>
    <row r="371" ht="15.75" customHeight="1">
      <c r="A371" s="31"/>
      <c r="B371" s="51"/>
      <c r="C371" s="49"/>
      <c r="D371" s="49"/>
    </row>
    <row r="372" ht="15.75" customHeight="1">
      <c r="A372" s="31"/>
      <c r="B372" s="51"/>
      <c r="C372" s="49"/>
      <c r="D372" s="49"/>
    </row>
    <row r="373" ht="15.75" customHeight="1">
      <c r="A373" s="31"/>
      <c r="B373" s="51"/>
      <c r="C373" s="49"/>
      <c r="D373" s="49"/>
    </row>
    <row r="374" ht="15.75" customHeight="1">
      <c r="A374" s="31"/>
      <c r="B374" s="51"/>
      <c r="C374" s="49"/>
      <c r="D374" s="49"/>
    </row>
    <row r="375" ht="15.75" customHeight="1">
      <c r="A375" s="31"/>
      <c r="B375" s="51"/>
      <c r="C375" s="49"/>
      <c r="D375" s="49"/>
    </row>
    <row r="376" ht="15.75" customHeight="1">
      <c r="A376" s="31"/>
      <c r="B376" s="51"/>
      <c r="C376" s="49"/>
      <c r="D376" s="49"/>
    </row>
    <row r="377" ht="15.75" customHeight="1">
      <c r="A377" s="31"/>
      <c r="B377" s="51"/>
      <c r="C377" s="49"/>
      <c r="D377" s="49"/>
    </row>
    <row r="378" ht="15.75" customHeight="1">
      <c r="A378" s="31"/>
      <c r="B378" s="51"/>
      <c r="C378" s="49"/>
      <c r="D378" s="49"/>
    </row>
    <row r="379" ht="15.75" customHeight="1">
      <c r="A379" s="31"/>
      <c r="B379" s="51"/>
      <c r="C379" s="49"/>
      <c r="D379" s="49"/>
    </row>
    <row r="380" ht="15.75" customHeight="1">
      <c r="A380" s="31"/>
      <c r="B380" s="51"/>
      <c r="C380" s="49"/>
      <c r="D380" s="49"/>
    </row>
    <row r="381" ht="15.75" customHeight="1">
      <c r="A381" s="31"/>
      <c r="B381" s="51"/>
      <c r="C381" s="49"/>
      <c r="D381" s="49"/>
    </row>
    <row r="382" ht="15.75" customHeight="1">
      <c r="A382" s="31"/>
      <c r="B382" s="51"/>
      <c r="C382" s="49"/>
      <c r="D382" s="49"/>
    </row>
    <row r="383" ht="15.75" customHeight="1">
      <c r="A383" s="31"/>
      <c r="B383" s="51"/>
      <c r="C383" s="49"/>
      <c r="D383" s="49"/>
    </row>
    <row r="384" ht="15.75" customHeight="1">
      <c r="A384" s="31"/>
      <c r="B384" s="51"/>
      <c r="C384" s="49"/>
      <c r="D384" s="49"/>
    </row>
    <row r="385" ht="15.75" customHeight="1">
      <c r="A385" s="31"/>
      <c r="B385" s="51"/>
      <c r="C385" s="49"/>
      <c r="D385" s="49"/>
    </row>
    <row r="386" ht="15.75" customHeight="1">
      <c r="A386" s="31"/>
      <c r="B386" s="51"/>
      <c r="C386" s="49"/>
      <c r="D386" s="49"/>
    </row>
    <row r="387" ht="15.75" customHeight="1">
      <c r="A387" s="31"/>
      <c r="B387" s="51"/>
      <c r="C387" s="49"/>
      <c r="D387" s="49"/>
    </row>
    <row r="388" ht="15.75" customHeight="1">
      <c r="A388" s="31"/>
      <c r="B388" s="51"/>
      <c r="C388" s="49"/>
      <c r="D388" s="49"/>
    </row>
    <row r="389" ht="15.75" customHeight="1">
      <c r="A389" s="31"/>
      <c r="B389" s="51"/>
      <c r="C389" s="49"/>
      <c r="D389" s="49"/>
    </row>
    <row r="390" ht="15.75" customHeight="1">
      <c r="A390" s="31"/>
      <c r="B390" s="51"/>
      <c r="C390" s="49"/>
      <c r="D390" s="49"/>
    </row>
    <row r="391" ht="15.75" customHeight="1">
      <c r="A391" s="31"/>
      <c r="B391" s="51"/>
      <c r="C391" s="49"/>
      <c r="D391" s="49"/>
    </row>
    <row r="392" ht="15.75" customHeight="1">
      <c r="A392" s="31"/>
      <c r="B392" s="51"/>
      <c r="C392" s="49"/>
      <c r="D392" s="49"/>
    </row>
    <row r="393" ht="15.75" customHeight="1">
      <c r="A393" s="31"/>
      <c r="B393" s="51"/>
      <c r="C393" s="49"/>
      <c r="D393" s="49"/>
    </row>
    <row r="394" ht="15.75" customHeight="1">
      <c r="A394" s="31"/>
      <c r="B394" s="51"/>
      <c r="C394" s="49"/>
      <c r="D394" s="49"/>
    </row>
    <row r="395" ht="15.75" customHeight="1">
      <c r="A395" s="31"/>
      <c r="B395" s="51"/>
      <c r="C395" s="49"/>
      <c r="D395" s="49"/>
    </row>
    <row r="396" ht="15.75" customHeight="1">
      <c r="A396" s="31"/>
      <c r="B396" s="51"/>
      <c r="C396" s="49"/>
      <c r="D396" s="49"/>
    </row>
    <row r="397" ht="15.75" customHeight="1">
      <c r="A397" s="31"/>
      <c r="B397" s="51"/>
      <c r="C397" s="49"/>
      <c r="D397" s="49"/>
    </row>
    <row r="398" ht="15.75" customHeight="1">
      <c r="A398" s="31"/>
      <c r="B398" s="51"/>
      <c r="C398" s="49"/>
      <c r="D398" s="49"/>
    </row>
    <row r="399" ht="15.75" customHeight="1">
      <c r="A399" s="31"/>
      <c r="B399" s="51"/>
      <c r="C399" s="49"/>
      <c r="D399" s="49"/>
    </row>
    <row r="400" ht="15.75" customHeight="1">
      <c r="A400" s="31"/>
      <c r="B400" s="51"/>
      <c r="C400" s="49"/>
      <c r="D400" s="49"/>
    </row>
    <row r="401" ht="15.75" customHeight="1">
      <c r="A401" s="31"/>
      <c r="B401" s="51"/>
      <c r="C401" s="49"/>
      <c r="D401" s="49"/>
    </row>
    <row r="402" ht="15.75" customHeight="1">
      <c r="A402" s="31"/>
      <c r="B402" s="51"/>
      <c r="C402" s="49"/>
      <c r="D402" s="49"/>
    </row>
    <row r="403" ht="15.75" customHeight="1">
      <c r="A403" s="31"/>
      <c r="B403" s="51"/>
      <c r="C403" s="49"/>
      <c r="D403" s="49"/>
    </row>
    <row r="404" ht="15.75" customHeight="1">
      <c r="A404" s="31"/>
      <c r="B404" s="51"/>
      <c r="C404" s="49"/>
      <c r="D404" s="49"/>
    </row>
    <row r="405" ht="15.75" customHeight="1">
      <c r="A405" s="31"/>
      <c r="B405" s="51"/>
      <c r="C405" s="49"/>
      <c r="D405" s="49"/>
    </row>
    <row r="406" ht="15.75" customHeight="1">
      <c r="A406" s="31"/>
      <c r="B406" s="51"/>
      <c r="C406" s="49"/>
      <c r="D406" s="49"/>
    </row>
    <row r="407" ht="15.75" customHeight="1">
      <c r="A407" s="31"/>
      <c r="B407" s="51"/>
      <c r="C407" s="49"/>
      <c r="D407" s="49"/>
    </row>
    <row r="408" ht="15.75" customHeight="1">
      <c r="A408" s="31"/>
      <c r="B408" s="51"/>
      <c r="C408" s="49"/>
      <c r="D408" s="49"/>
    </row>
    <row r="409" ht="15.75" customHeight="1">
      <c r="A409" s="31"/>
      <c r="B409" s="51"/>
      <c r="C409" s="49"/>
      <c r="D409" s="49"/>
    </row>
    <row r="410" ht="15.75" customHeight="1">
      <c r="A410" s="31"/>
      <c r="B410" s="51"/>
      <c r="C410" s="49"/>
      <c r="D410" s="49"/>
    </row>
    <row r="411" ht="15.75" customHeight="1">
      <c r="A411" s="31"/>
      <c r="B411" s="51"/>
      <c r="C411" s="49"/>
      <c r="D411" s="49"/>
    </row>
    <row r="412" ht="15.75" customHeight="1">
      <c r="A412" s="31"/>
      <c r="B412" s="51"/>
      <c r="C412" s="49"/>
      <c r="D412" s="49"/>
    </row>
    <row r="413" ht="15.75" customHeight="1">
      <c r="A413" s="31"/>
      <c r="B413" s="51"/>
      <c r="C413" s="49"/>
      <c r="D413" s="49"/>
    </row>
    <row r="414" ht="15.75" customHeight="1">
      <c r="A414" s="31"/>
      <c r="B414" s="51"/>
      <c r="C414" s="49"/>
      <c r="D414" s="49"/>
    </row>
    <row r="415" ht="15.75" customHeight="1">
      <c r="A415" s="31"/>
      <c r="B415" s="51"/>
      <c r="C415" s="49"/>
      <c r="D415" s="49"/>
    </row>
    <row r="416" ht="15.75" customHeight="1">
      <c r="A416" s="31"/>
      <c r="B416" s="51"/>
      <c r="C416" s="49"/>
      <c r="D416" s="49"/>
    </row>
    <row r="417" ht="15.75" customHeight="1">
      <c r="A417" s="31"/>
      <c r="B417" s="51"/>
      <c r="C417" s="49"/>
      <c r="D417" s="49"/>
    </row>
    <row r="418" ht="15.75" customHeight="1">
      <c r="A418" s="31"/>
      <c r="B418" s="51"/>
      <c r="C418" s="49"/>
      <c r="D418" s="49"/>
    </row>
    <row r="419" ht="15.75" customHeight="1">
      <c r="A419" s="31"/>
      <c r="B419" s="51"/>
      <c r="C419" s="49"/>
      <c r="D419" s="49"/>
    </row>
    <row r="420" ht="15.75" customHeight="1">
      <c r="A420" s="31"/>
      <c r="B420" s="51"/>
      <c r="C420" s="49"/>
      <c r="D420" s="49"/>
    </row>
    <row r="421" ht="15.75" customHeight="1">
      <c r="A421" s="31"/>
      <c r="B421" s="51"/>
      <c r="C421" s="49"/>
      <c r="D421" s="49"/>
    </row>
    <row r="422" ht="15.75" customHeight="1">
      <c r="A422" s="31"/>
      <c r="B422" s="51"/>
      <c r="C422" s="49"/>
      <c r="D422" s="49"/>
    </row>
    <row r="423" ht="15.75" customHeight="1">
      <c r="A423" s="31"/>
      <c r="B423" s="51"/>
      <c r="C423" s="49"/>
      <c r="D423" s="49"/>
    </row>
    <row r="424" ht="15.75" customHeight="1">
      <c r="A424" s="31"/>
      <c r="B424" s="51"/>
      <c r="C424" s="49"/>
      <c r="D424" s="49"/>
    </row>
    <row r="425" ht="15.75" customHeight="1">
      <c r="A425" s="31"/>
      <c r="B425" s="51"/>
      <c r="C425" s="49"/>
      <c r="D425" s="49"/>
    </row>
    <row r="426" ht="15.75" customHeight="1">
      <c r="A426" s="31"/>
      <c r="B426" s="51"/>
      <c r="C426" s="49"/>
      <c r="D426" s="49"/>
    </row>
    <row r="427" ht="15.75" customHeight="1">
      <c r="A427" s="31"/>
      <c r="B427" s="51"/>
      <c r="C427" s="49"/>
      <c r="D427" s="49"/>
    </row>
    <row r="428" ht="15.75" customHeight="1">
      <c r="A428" s="31"/>
      <c r="B428" s="51"/>
      <c r="C428" s="49"/>
      <c r="D428" s="49"/>
    </row>
    <row r="429" ht="15.75" customHeight="1">
      <c r="A429" s="31"/>
      <c r="B429" s="51"/>
      <c r="C429" s="49"/>
      <c r="D429" s="49"/>
    </row>
    <row r="430" ht="15.75" customHeight="1">
      <c r="A430" s="31"/>
      <c r="B430" s="51"/>
      <c r="C430" s="49"/>
      <c r="D430" s="49"/>
    </row>
    <row r="431" ht="15.75" customHeight="1">
      <c r="A431" s="31"/>
      <c r="B431" s="51"/>
      <c r="C431" s="49"/>
      <c r="D431" s="49"/>
    </row>
    <row r="432" ht="15.75" customHeight="1">
      <c r="A432" s="31"/>
      <c r="B432" s="51"/>
      <c r="C432" s="49"/>
      <c r="D432" s="49"/>
    </row>
    <row r="433" ht="15.75" customHeight="1">
      <c r="A433" s="31"/>
      <c r="B433" s="51"/>
      <c r="C433" s="49"/>
      <c r="D433" s="49"/>
    </row>
    <row r="434" ht="15.75" customHeight="1">
      <c r="A434" s="31"/>
      <c r="B434" s="51"/>
      <c r="C434" s="49"/>
      <c r="D434" s="49"/>
    </row>
    <row r="435" ht="15.75" customHeight="1">
      <c r="A435" s="31"/>
      <c r="B435" s="51"/>
      <c r="C435" s="49"/>
      <c r="D435" s="49"/>
    </row>
    <row r="436" ht="15.75" customHeight="1">
      <c r="A436" s="31"/>
      <c r="B436" s="51"/>
      <c r="C436" s="49"/>
      <c r="D436" s="49"/>
    </row>
    <row r="437" ht="15.75" customHeight="1">
      <c r="A437" s="31"/>
      <c r="B437" s="51"/>
      <c r="C437" s="49"/>
      <c r="D437" s="49"/>
    </row>
    <row r="438" ht="15.75" customHeight="1">
      <c r="A438" s="31"/>
      <c r="B438" s="51"/>
      <c r="C438" s="49"/>
      <c r="D438" s="49"/>
    </row>
    <row r="439" ht="15.75" customHeight="1">
      <c r="A439" s="31"/>
      <c r="B439" s="51"/>
      <c r="C439" s="49"/>
      <c r="D439" s="49"/>
    </row>
    <row r="440" ht="15.75" customHeight="1">
      <c r="A440" s="31"/>
      <c r="B440" s="51"/>
      <c r="C440" s="49"/>
      <c r="D440" s="49"/>
    </row>
    <row r="441" ht="15.75" customHeight="1">
      <c r="A441" s="31"/>
      <c r="B441" s="51"/>
      <c r="C441" s="49"/>
      <c r="D441" s="49"/>
    </row>
    <row r="442" ht="15.75" customHeight="1">
      <c r="A442" s="31"/>
      <c r="B442" s="51"/>
      <c r="C442" s="49"/>
      <c r="D442" s="49"/>
    </row>
    <row r="443" ht="15.75" customHeight="1">
      <c r="A443" s="31"/>
      <c r="B443" s="51"/>
      <c r="C443" s="49"/>
      <c r="D443" s="49"/>
    </row>
    <row r="444" ht="15.75" customHeight="1">
      <c r="A444" s="31"/>
      <c r="B444" s="51"/>
      <c r="C444" s="49"/>
      <c r="D444" s="49"/>
    </row>
    <row r="445" ht="15.75" customHeight="1">
      <c r="A445" s="31"/>
      <c r="B445" s="51"/>
      <c r="C445" s="49"/>
      <c r="D445" s="49"/>
    </row>
    <row r="446" ht="15.75" customHeight="1">
      <c r="A446" s="31"/>
      <c r="B446" s="51"/>
      <c r="C446" s="49"/>
      <c r="D446" s="49"/>
    </row>
    <row r="447" ht="15.75" customHeight="1">
      <c r="A447" s="31"/>
      <c r="B447" s="51"/>
      <c r="C447" s="49"/>
      <c r="D447" s="49"/>
    </row>
    <row r="448" ht="15.75" customHeight="1">
      <c r="A448" s="31"/>
      <c r="B448" s="51"/>
      <c r="C448" s="49"/>
      <c r="D448" s="49"/>
    </row>
    <row r="449" ht="15.75" customHeight="1">
      <c r="A449" s="31"/>
      <c r="B449" s="51"/>
      <c r="C449" s="49"/>
      <c r="D449" s="49"/>
    </row>
    <row r="450" ht="15.75" customHeight="1">
      <c r="A450" s="31"/>
      <c r="B450" s="51"/>
      <c r="C450" s="49"/>
      <c r="D450" s="49"/>
    </row>
    <row r="451" ht="15.75" customHeight="1">
      <c r="A451" s="31"/>
      <c r="B451" s="51"/>
      <c r="C451" s="49"/>
      <c r="D451" s="49"/>
    </row>
    <row r="452" ht="15.75" customHeight="1">
      <c r="A452" s="31"/>
      <c r="B452" s="51"/>
      <c r="C452" s="49"/>
      <c r="D452" s="49"/>
    </row>
    <row r="453" ht="15.75" customHeight="1">
      <c r="A453" s="31"/>
      <c r="B453" s="51"/>
      <c r="C453" s="49"/>
      <c r="D453" s="49"/>
    </row>
    <row r="454" ht="15.75" customHeight="1">
      <c r="A454" s="31"/>
      <c r="B454" s="51"/>
      <c r="C454" s="49"/>
      <c r="D454" s="49"/>
    </row>
    <row r="455" ht="15.75" customHeight="1">
      <c r="A455" s="31"/>
      <c r="B455" s="51"/>
      <c r="C455" s="49"/>
      <c r="D455" s="49"/>
    </row>
    <row r="456" ht="15.75" customHeight="1">
      <c r="A456" s="31"/>
      <c r="B456" s="51"/>
      <c r="C456" s="49"/>
      <c r="D456" s="49"/>
    </row>
    <row r="457" ht="15.75" customHeight="1">
      <c r="A457" s="31"/>
      <c r="B457" s="51"/>
      <c r="C457" s="49"/>
      <c r="D457" s="49"/>
    </row>
    <row r="458" ht="15.75" customHeight="1">
      <c r="A458" s="31"/>
      <c r="B458" s="51"/>
      <c r="C458" s="49"/>
      <c r="D458" s="49"/>
    </row>
    <row r="459" ht="15.75" customHeight="1">
      <c r="A459" s="31"/>
      <c r="B459" s="51"/>
      <c r="C459" s="49"/>
      <c r="D459" s="49"/>
    </row>
    <row r="460" ht="15.75" customHeight="1">
      <c r="A460" s="31"/>
      <c r="B460" s="51"/>
      <c r="C460" s="49"/>
      <c r="D460" s="49"/>
    </row>
    <row r="461" ht="15.75" customHeight="1">
      <c r="A461" s="31"/>
      <c r="B461" s="51"/>
      <c r="C461" s="49"/>
      <c r="D461" s="49"/>
    </row>
    <row r="462" ht="15.75" customHeight="1">
      <c r="A462" s="31"/>
      <c r="B462" s="51"/>
      <c r="C462" s="49"/>
      <c r="D462" s="49"/>
    </row>
    <row r="463" ht="15.75" customHeight="1">
      <c r="A463" s="31"/>
      <c r="B463" s="51"/>
      <c r="C463" s="49"/>
      <c r="D463" s="49"/>
    </row>
    <row r="464" ht="15.75" customHeight="1">
      <c r="A464" s="31"/>
      <c r="B464" s="51"/>
      <c r="C464" s="49"/>
      <c r="D464" s="49"/>
    </row>
    <row r="465" ht="15.75" customHeight="1">
      <c r="A465" s="31"/>
      <c r="B465" s="51"/>
      <c r="C465" s="49"/>
      <c r="D465" s="49"/>
    </row>
    <row r="466" ht="15.75" customHeight="1">
      <c r="A466" s="31"/>
      <c r="B466" s="51"/>
      <c r="C466" s="49"/>
      <c r="D466" s="49"/>
    </row>
    <row r="467" ht="15.75" customHeight="1">
      <c r="A467" s="31"/>
      <c r="B467" s="51"/>
      <c r="C467" s="49"/>
      <c r="D467" s="49"/>
    </row>
    <row r="468" ht="15.75" customHeight="1">
      <c r="A468" s="31"/>
      <c r="B468" s="51"/>
      <c r="C468" s="49"/>
      <c r="D468" s="49"/>
    </row>
    <row r="469" ht="15.75" customHeight="1">
      <c r="A469" s="31"/>
      <c r="B469" s="51"/>
      <c r="C469" s="49"/>
      <c r="D469" s="49"/>
    </row>
    <row r="470" ht="15.75" customHeight="1">
      <c r="A470" s="31"/>
      <c r="B470" s="51"/>
      <c r="C470" s="49"/>
      <c r="D470" s="49"/>
    </row>
    <row r="471" ht="15.75" customHeight="1">
      <c r="A471" s="31"/>
      <c r="B471" s="51"/>
      <c r="C471" s="49"/>
      <c r="D471" s="49"/>
    </row>
    <row r="472" ht="15.75" customHeight="1">
      <c r="A472" s="31"/>
      <c r="B472" s="51"/>
      <c r="C472" s="49"/>
      <c r="D472" s="49"/>
    </row>
    <row r="473" ht="15.75" customHeight="1">
      <c r="A473" s="31"/>
      <c r="B473" s="51"/>
      <c r="C473" s="49"/>
      <c r="D473" s="49"/>
    </row>
    <row r="474" ht="15.75" customHeight="1">
      <c r="A474" s="31"/>
      <c r="B474" s="51"/>
      <c r="C474" s="49"/>
      <c r="D474" s="49"/>
    </row>
    <row r="475" ht="15.75" customHeight="1">
      <c r="A475" s="31"/>
      <c r="B475" s="51"/>
      <c r="C475" s="49"/>
      <c r="D475" s="49"/>
    </row>
    <row r="476" ht="15.75" customHeight="1">
      <c r="A476" s="31"/>
      <c r="B476" s="51"/>
      <c r="C476" s="49"/>
      <c r="D476" s="49"/>
    </row>
    <row r="477" ht="15.75" customHeight="1">
      <c r="A477" s="31"/>
      <c r="B477" s="51"/>
      <c r="C477" s="49"/>
      <c r="D477" s="49"/>
    </row>
    <row r="478" ht="15.75" customHeight="1">
      <c r="A478" s="31"/>
      <c r="B478" s="51"/>
      <c r="C478" s="49"/>
      <c r="D478" s="49"/>
    </row>
    <row r="479" ht="15.75" customHeight="1">
      <c r="A479" s="31"/>
      <c r="B479" s="51"/>
      <c r="C479" s="49"/>
      <c r="D479" s="49"/>
    </row>
    <row r="480" ht="15.75" customHeight="1">
      <c r="A480" s="31"/>
      <c r="B480" s="51"/>
      <c r="C480" s="49"/>
      <c r="D480" s="49"/>
    </row>
    <row r="481" ht="15.75" customHeight="1">
      <c r="A481" s="31"/>
      <c r="B481" s="51"/>
      <c r="C481" s="49"/>
      <c r="D481" s="49"/>
    </row>
    <row r="482" ht="15.75" customHeight="1">
      <c r="A482" s="31"/>
      <c r="B482" s="51"/>
      <c r="C482" s="49"/>
      <c r="D482" s="49"/>
    </row>
    <row r="483" ht="15.75" customHeight="1">
      <c r="A483" s="31"/>
      <c r="B483" s="51"/>
      <c r="C483" s="49"/>
      <c r="D483" s="49"/>
    </row>
    <row r="484" ht="15.75" customHeight="1">
      <c r="A484" s="31"/>
      <c r="B484" s="51"/>
      <c r="C484" s="49"/>
      <c r="D484" s="49"/>
    </row>
    <row r="485" ht="15.75" customHeight="1">
      <c r="A485" s="31"/>
      <c r="B485" s="51"/>
      <c r="C485" s="49"/>
      <c r="D485" s="49"/>
    </row>
    <row r="486" ht="15.75" customHeight="1">
      <c r="A486" s="31"/>
      <c r="B486" s="51"/>
      <c r="C486" s="49"/>
      <c r="D486" s="49"/>
    </row>
    <row r="487" ht="15.75" customHeight="1">
      <c r="A487" s="31"/>
      <c r="B487" s="51"/>
      <c r="C487" s="49"/>
      <c r="D487" s="49"/>
    </row>
    <row r="488" ht="15.75" customHeight="1">
      <c r="A488" s="31"/>
      <c r="B488" s="51"/>
      <c r="C488" s="49"/>
      <c r="D488" s="49"/>
    </row>
    <row r="489" ht="15.75" customHeight="1">
      <c r="A489" s="31"/>
      <c r="B489" s="51"/>
      <c r="C489" s="49"/>
      <c r="D489" s="49"/>
    </row>
    <row r="490" ht="15.75" customHeight="1">
      <c r="A490" s="31"/>
      <c r="B490" s="51"/>
      <c r="C490" s="49"/>
      <c r="D490" s="49"/>
    </row>
    <row r="491" ht="15.75" customHeight="1">
      <c r="A491" s="31"/>
      <c r="B491" s="51"/>
      <c r="C491" s="49"/>
      <c r="D491" s="49"/>
    </row>
    <row r="492" ht="15.75" customHeight="1">
      <c r="A492" s="31"/>
      <c r="B492" s="51"/>
      <c r="C492" s="49"/>
      <c r="D492" s="49"/>
    </row>
    <row r="493" ht="15.75" customHeight="1">
      <c r="A493" s="31"/>
      <c r="B493" s="51"/>
      <c r="C493" s="49"/>
      <c r="D493" s="49"/>
    </row>
    <row r="494" ht="15.75" customHeight="1">
      <c r="A494" s="31"/>
      <c r="B494" s="51"/>
      <c r="C494" s="49"/>
      <c r="D494" s="49"/>
    </row>
    <row r="495" ht="15.75" customHeight="1">
      <c r="A495" s="31"/>
      <c r="B495" s="51"/>
      <c r="C495" s="49"/>
      <c r="D495" s="49"/>
    </row>
    <row r="496" ht="15.75" customHeight="1">
      <c r="A496" s="31"/>
      <c r="B496" s="51"/>
      <c r="C496" s="49"/>
      <c r="D496" s="49"/>
    </row>
    <row r="497" ht="15.75" customHeight="1">
      <c r="A497" s="31"/>
      <c r="B497" s="51"/>
      <c r="C497" s="49"/>
      <c r="D497" s="49"/>
    </row>
    <row r="498" ht="15.75" customHeight="1">
      <c r="A498" s="31"/>
      <c r="B498" s="51"/>
      <c r="C498" s="49"/>
      <c r="D498" s="49"/>
    </row>
    <row r="499" ht="15.75" customHeight="1">
      <c r="A499" s="31"/>
      <c r="B499" s="51"/>
      <c r="C499" s="49"/>
      <c r="D499" s="49"/>
    </row>
    <row r="500" ht="15.75" customHeight="1">
      <c r="A500" s="31"/>
      <c r="B500" s="51"/>
      <c r="C500" s="49"/>
      <c r="D500" s="49"/>
    </row>
    <row r="501" ht="15.75" customHeight="1">
      <c r="A501" s="31"/>
      <c r="B501" s="51"/>
      <c r="C501" s="49"/>
      <c r="D501" s="49"/>
    </row>
    <row r="502" ht="15.75" customHeight="1">
      <c r="A502" s="31"/>
      <c r="B502" s="51"/>
      <c r="C502" s="49"/>
      <c r="D502" s="49"/>
    </row>
    <row r="503" ht="15.75" customHeight="1">
      <c r="A503" s="31"/>
      <c r="B503" s="51"/>
      <c r="C503" s="49"/>
      <c r="D503" s="49"/>
    </row>
    <row r="504" ht="15.75" customHeight="1">
      <c r="A504" s="31"/>
      <c r="B504" s="51"/>
      <c r="C504" s="49"/>
      <c r="D504" s="49"/>
    </row>
    <row r="505" ht="15.75" customHeight="1">
      <c r="A505" s="31"/>
      <c r="B505" s="51"/>
      <c r="C505" s="49"/>
      <c r="D505" s="49"/>
    </row>
    <row r="506" ht="15.75" customHeight="1">
      <c r="A506" s="31"/>
      <c r="B506" s="51"/>
      <c r="C506" s="49"/>
      <c r="D506" s="49"/>
    </row>
    <row r="507" ht="15.75" customHeight="1">
      <c r="A507" s="31"/>
      <c r="B507" s="51"/>
      <c r="C507" s="49"/>
      <c r="D507" s="49"/>
    </row>
    <row r="508" ht="15.75" customHeight="1">
      <c r="A508" s="31"/>
      <c r="B508" s="51"/>
      <c r="C508" s="49"/>
      <c r="D508" s="49"/>
    </row>
    <row r="509" ht="15.75" customHeight="1">
      <c r="A509" s="31"/>
      <c r="B509" s="51"/>
      <c r="C509" s="49"/>
      <c r="D509" s="49"/>
    </row>
    <row r="510" ht="15.75" customHeight="1">
      <c r="A510" s="31"/>
      <c r="B510" s="51"/>
      <c r="C510" s="49"/>
      <c r="D510" s="49"/>
    </row>
    <row r="511" ht="15.75" customHeight="1">
      <c r="A511" s="31"/>
      <c r="B511" s="51"/>
      <c r="C511" s="49"/>
      <c r="D511" s="49"/>
    </row>
    <row r="512" ht="15.75" customHeight="1">
      <c r="A512" s="31"/>
      <c r="B512" s="51"/>
      <c r="C512" s="49"/>
      <c r="D512" s="49"/>
    </row>
    <row r="513" ht="15.75" customHeight="1">
      <c r="A513" s="31"/>
      <c r="B513" s="51"/>
      <c r="C513" s="49"/>
      <c r="D513" s="49"/>
    </row>
    <row r="514" ht="15.75" customHeight="1">
      <c r="A514" s="31"/>
      <c r="B514" s="51"/>
      <c r="C514" s="49"/>
      <c r="D514" s="49"/>
    </row>
    <row r="515" ht="15.75" customHeight="1">
      <c r="A515" s="31"/>
      <c r="B515" s="51"/>
      <c r="C515" s="49"/>
      <c r="D515" s="49"/>
    </row>
    <row r="516" ht="15.75" customHeight="1">
      <c r="A516" s="31"/>
      <c r="B516" s="51"/>
      <c r="C516" s="49"/>
      <c r="D516" s="49"/>
    </row>
    <row r="517" ht="15.75" customHeight="1">
      <c r="A517" s="31"/>
      <c r="B517" s="51"/>
      <c r="C517" s="49"/>
      <c r="D517" s="49"/>
    </row>
    <row r="518" ht="15.75" customHeight="1">
      <c r="A518" s="31"/>
      <c r="B518" s="51"/>
      <c r="C518" s="49"/>
      <c r="D518" s="49"/>
    </row>
    <row r="519" ht="15.75" customHeight="1">
      <c r="A519" s="31"/>
      <c r="B519" s="51"/>
      <c r="C519" s="49"/>
      <c r="D519" s="49"/>
    </row>
    <row r="520" ht="15.75" customHeight="1">
      <c r="A520" s="31"/>
      <c r="B520" s="51"/>
      <c r="C520" s="49"/>
      <c r="D520" s="49"/>
    </row>
    <row r="521" ht="15.75" customHeight="1">
      <c r="A521" s="31"/>
      <c r="B521" s="51"/>
      <c r="C521" s="49"/>
      <c r="D521" s="49"/>
    </row>
    <row r="522" ht="15.75" customHeight="1">
      <c r="A522" s="31"/>
      <c r="B522" s="51"/>
      <c r="C522" s="49"/>
      <c r="D522" s="49"/>
    </row>
    <row r="523" ht="15.75" customHeight="1">
      <c r="A523" s="31"/>
      <c r="B523" s="51"/>
      <c r="C523" s="49"/>
      <c r="D523" s="49"/>
    </row>
    <row r="524" ht="15.75" customHeight="1">
      <c r="A524" s="31"/>
      <c r="B524" s="51"/>
      <c r="C524" s="49"/>
      <c r="D524" s="49"/>
    </row>
    <row r="525" ht="15.75" customHeight="1">
      <c r="A525" s="31"/>
      <c r="B525" s="51"/>
      <c r="C525" s="49"/>
      <c r="D525" s="49"/>
    </row>
    <row r="526" ht="15.75" customHeight="1">
      <c r="A526" s="31"/>
      <c r="B526" s="51"/>
      <c r="C526" s="49"/>
      <c r="D526" s="49"/>
    </row>
    <row r="527" ht="15.75" customHeight="1">
      <c r="A527" s="31"/>
      <c r="B527" s="51"/>
      <c r="C527" s="49"/>
      <c r="D527" s="49"/>
    </row>
    <row r="528" ht="15.75" customHeight="1">
      <c r="A528" s="31"/>
      <c r="B528" s="51"/>
      <c r="C528" s="49"/>
      <c r="D528" s="49"/>
    </row>
    <row r="529" ht="15.75" customHeight="1">
      <c r="A529" s="31"/>
      <c r="B529" s="51"/>
      <c r="C529" s="49"/>
      <c r="D529" s="49"/>
    </row>
    <row r="530" ht="15.75" customHeight="1">
      <c r="A530" s="31"/>
      <c r="B530" s="51"/>
      <c r="C530" s="49"/>
      <c r="D530" s="49"/>
    </row>
    <row r="531" ht="15.75" customHeight="1">
      <c r="A531" s="31"/>
      <c r="B531" s="51"/>
      <c r="C531" s="49"/>
      <c r="D531" s="49"/>
    </row>
    <row r="532" ht="15.75" customHeight="1">
      <c r="A532" s="31"/>
      <c r="B532" s="51"/>
      <c r="C532" s="49"/>
      <c r="D532" s="49"/>
    </row>
    <row r="533" ht="15.75" customHeight="1">
      <c r="A533" s="31"/>
      <c r="B533" s="51"/>
      <c r="C533" s="49"/>
      <c r="D533" s="49"/>
    </row>
    <row r="534" ht="15.75" customHeight="1">
      <c r="A534" s="31"/>
      <c r="B534" s="51"/>
      <c r="C534" s="49"/>
      <c r="D534" s="49"/>
    </row>
    <row r="535" ht="15.75" customHeight="1">
      <c r="A535" s="31"/>
      <c r="B535" s="51"/>
      <c r="C535" s="49"/>
      <c r="D535" s="49"/>
    </row>
    <row r="536" ht="15.75" customHeight="1">
      <c r="A536" s="31"/>
      <c r="B536" s="51"/>
      <c r="C536" s="49"/>
      <c r="D536" s="49"/>
    </row>
    <row r="537" ht="15.75" customHeight="1">
      <c r="A537" s="31"/>
      <c r="B537" s="51"/>
      <c r="C537" s="49"/>
      <c r="D537" s="49"/>
    </row>
    <row r="538" ht="15.75" customHeight="1">
      <c r="A538" s="31"/>
      <c r="B538" s="51"/>
      <c r="C538" s="49"/>
      <c r="D538" s="49"/>
    </row>
    <row r="539" ht="15.75" customHeight="1">
      <c r="A539" s="31"/>
      <c r="B539" s="51"/>
      <c r="C539" s="49"/>
      <c r="D539" s="49"/>
    </row>
    <row r="540" ht="15.75" customHeight="1">
      <c r="A540" s="31"/>
      <c r="B540" s="51"/>
      <c r="C540" s="49"/>
      <c r="D540" s="49"/>
    </row>
    <row r="541" ht="15.75" customHeight="1">
      <c r="A541" s="31"/>
      <c r="B541" s="51"/>
      <c r="C541" s="49"/>
      <c r="D541" s="49"/>
    </row>
    <row r="542" ht="15.75" customHeight="1">
      <c r="A542" s="31"/>
      <c r="B542" s="51"/>
      <c r="C542" s="49"/>
      <c r="D542" s="49"/>
    </row>
    <row r="543" ht="15.75" customHeight="1">
      <c r="A543" s="31"/>
      <c r="B543" s="51"/>
      <c r="C543" s="49"/>
      <c r="D543" s="49"/>
    </row>
    <row r="544" ht="15.75" customHeight="1">
      <c r="A544" s="31"/>
      <c r="B544" s="51"/>
      <c r="C544" s="49"/>
      <c r="D544" s="49"/>
    </row>
    <row r="545" ht="15.75" customHeight="1">
      <c r="A545" s="55"/>
      <c r="C545" s="56"/>
      <c r="D545" s="56"/>
    </row>
    <row r="546" ht="15.75" customHeight="1">
      <c r="A546" s="55"/>
      <c r="C546" s="56"/>
      <c r="D546" s="56"/>
    </row>
    <row r="547" ht="15.75" customHeight="1">
      <c r="A547" s="55"/>
      <c r="C547" s="56"/>
      <c r="D547" s="56"/>
    </row>
    <row r="548" ht="15.75" customHeight="1">
      <c r="A548" s="55"/>
      <c r="C548" s="56"/>
      <c r="D548" s="56"/>
    </row>
    <row r="549" ht="15.75" customHeight="1">
      <c r="A549" s="55"/>
      <c r="C549" s="56"/>
      <c r="D549" s="56"/>
    </row>
    <row r="550" ht="15.75" customHeight="1">
      <c r="A550" s="55"/>
      <c r="C550" s="56"/>
      <c r="D550" s="56"/>
    </row>
    <row r="551" ht="15.75" customHeight="1">
      <c r="A551" s="55"/>
      <c r="C551" s="56"/>
      <c r="D551" s="56"/>
    </row>
    <row r="552" ht="15.75" customHeight="1">
      <c r="A552" s="55"/>
      <c r="C552" s="56"/>
      <c r="D552" s="56"/>
    </row>
    <row r="553" ht="15.75" customHeight="1">
      <c r="A553" s="55"/>
      <c r="C553" s="56"/>
      <c r="D553" s="56"/>
    </row>
    <row r="554" ht="15.75" customHeight="1">
      <c r="A554" s="55"/>
      <c r="C554" s="56"/>
      <c r="D554" s="56"/>
    </row>
    <row r="555" ht="15.75" customHeight="1">
      <c r="A555" s="55"/>
      <c r="C555" s="56"/>
      <c r="D555" s="56"/>
    </row>
    <row r="556" ht="15.75" customHeight="1">
      <c r="A556" s="55"/>
      <c r="C556" s="56"/>
      <c r="D556" s="56"/>
    </row>
    <row r="557" ht="15.75" customHeight="1">
      <c r="A557" s="55"/>
      <c r="C557" s="56"/>
      <c r="D557" s="56"/>
    </row>
    <row r="558" ht="15.75" customHeight="1">
      <c r="A558" s="55"/>
      <c r="C558" s="56"/>
      <c r="D558" s="56"/>
    </row>
    <row r="559" ht="15.75" customHeight="1">
      <c r="A559" s="55"/>
      <c r="C559" s="56"/>
      <c r="D559" s="56"/>
    </row>
    <row r="560" ht="15.75" customHeight="1">
      <c r="A560" s="55"/>
      <c r="C560" s="56"/>
      <c r="D560" s="56"/>
    </row>
    <row r="561" ht="15.75" customHeight="1">
      <c r="A561" s="55"/>
      <c r="C561" s="56"/>
      <c r="D561" s="56"/>
    </row>
    <row r="562" ht="15.75" customHeight="1">
      <c r="A562" s="55"/>
      <c r="C562" s="56"/>
      <c r="D562" s="56"/>
    </row>
    <row r="563" ht="15.75" customHeight="1">
      <c r="A563" s="55"/>
      <c r="C563" s="56"/>
      <c r="D563" s="56"/>
    </row>
    <row r="564" ht="15.75" customHeight="1">
      <c r="A564" s="55"/>
      <c r="C564" s="56"/>
      <c r="D564" s="56"/>
    </row>
    <row r="565" ht="15.75" customHeight="1">
      <c r="A565" s="55"/>
      <c r="C565" s="56"/>
      <c r="D565" s="56"/>
    </row>
    <row r="566" ht="15.75" customHeight="1">
      <c r="A566" s="55"/>
      <c r="C566" s="56"/>
      <c r="D566" s="56"/>
    </row>
    <row r="567" ht="15.75" customHeight="1">
      <c r="A567" s="55"/>
      <c r="C567" s="56"/>
      <c r="D567" s="56"/>
    </row>
    <row r="568" ht="15.75" customHeight="1">
      <c r="A568" s="55"/>
      <c r="C568" s="56"/>
      <c r="D568" s="56"/>
    </row>
    <row r="569" ht="15.75" customHeight="1">
      <c r="A569" s="55"/>
      <c r="C569" s="56"/>
      <c r="D569" s="56"/>
    </row>
    <row r="570" ht="15.75" customHeight="1">
      <c r="A570" s="55"/>
      <c r="C570" s="56"/>
      <c r="D570" s="56"/>
    </row>
    <row r="571" ht="15.75" customHeight="1">
      <c r="A571" s="55"/>
      <c r="C571" s="56"/>
      <c r="D571" s="56"/>
    </row>
    <row r="572" ht="15.75" customHeight="1">
      <c r="A572" s="55"/>
      <c r="C572" s="56"/>
      <c r="D572" s="56"/>
    </row>
    <row r="573" ht="15.75" customHeight="1">
      <c r="A573" s="55"/>
      <c r="C573" s="56"/>
      <c r="D573" s="56"/>
    </row>
    <row r="574" ht="15.75" customHeight="1">
      <c r="A574" s="55"/>
      <c r="C574" s="56"/>
      <c r="D574" s="56"/>
    </row>
    <row r="575" ht="15.75" customHeight="1">
      <c r="A575" s="55"/>
      <c r="C575" s="56"/>
      <c r="D575" s="56"/>
    </row>
    <row r="576" ht="15.75" customHeight="1">
      <c r="A576" s="55"/>
      <c r="C576" s="56"/>
      <c r="D576" s="56"/>
    </row>
    <row r="577" ht="15.75" customHeight="1">
      <c r="A577" s="55"/>
      <c r="C577" s="56"/>
      <c r="D577" s="56"/>
    </row>
    <row r="578" ht="15.75" customHeight="1">
      <c r="A578" s="55"/>
      <c r="C578" s="56"/>
      <c r="D578" s="56"/>
    </row>
    <row r="579" ht="15.75" customHeight="1">
      <c r="A579" s="55"/>
      <c r="C579" s="56"/>
      <c r="D579" s="56"/>
    </row>
    <row r="580" ht="15.75" customHeight="1">
      <c r="A580" s="55"/>
      <c r="C580" s="56"/>
      <c r="D580" s="56"/>
    </row>
    <row r="581" ht="15.75" customHeight="1">
      <c r="A581" s="55"/>
      <c r="C581" s="56"/>
      <c r="D581" s="56"/>
    </row>
    <row r="582" ht="15.75" customHeight="1">
      <c r="A582" s="55"/>
      <c r="C582" s="56"/>
      <c r="D582" s="56"/>
    </row>
    <row r="583" ht="15.75" customHeight="1">
      <c r="A583" s="55"/>
      <c r="C583" s="56"/>
      <c r="D583" s="56"/>
    </row>
    <row r="584" ht="15.75" customHeight="1">
      <c r="A584" s="55"/>
      <c r="C584" s="56"/>
      <c r="D584" s="56"/>
    </row>
    <row r="585" ht="15.75" customHeight="1">
      <c r="A585" s="55"/>
      <c r="C585" s="56"/>
      <c r="D585" s="56"/>
    </row>
    <row r="586" ht="15.75" customHeight="1">
      <c r="A586" s="55"/>
      <c r="C586" s="56"/>
      <c r="D586" s="56"/>
    </row>
    <row r="587" ht="15.75" customHeight="1">
      <c r="A587" s="55"/>
      <c r="C587" s="56"/>
      <c r="D587" s="56"/>
    </row>
    <row r="588" ht="15.75" customHeight="1">
      <c r="A588" s="55"/>
      <c r="C588" s="56"/>
      <c r="D588" s="56"/>
    </row>
    <row r="589" ht="15.75" customHeight="1">
      <c r="A589" s="55"/>
      <c r="C589" s="56"/>
      <c r="D589" s="56"/>
    </row>
    <row r="590" ht="15.75" customHeight="1">
      <c r="A590" s="55"/>
      <c r="C590" s="56"/>
      <c r="D590" s="56"/>
    </row>
    <row r="591" ht="15.75" customHeight="1">
      <c r="A591" s="55"/>
      <c r="C591" s="56"/>
      <c r="D591" s="56"/>
    </row>
    <row r="592" ht="15.75" customHeight="1">
      <c r="A592" s="55"/>
      <c r="C592" s="56"/>
      <c r="D592" s="56"/>
    </row>
    <row r="593" ht="15.75" customHeight="1">
      <c r="A593" s="55"/>
      <c r="C593" s="56"/>
      <c r="D593" s="56"/>
    </row>
    <row r="594" ht="15.75" customHeight="1">
      <c r="A594" s="55"/>
      <c r="C594" s="56"/>
      <c r="D594" s="56"/>
    </row>
    <row r="595" ht="15.75" customHeight="1">
      <c r="A595" s="55"/>
      <c r="C595" s="56"/>
      <c r="D595" s="56"/>
    </row>
    <row r="596" ht="15.75" customHeight="1">
      <c r="A596" s="55"/>
      <c r="C596" s="56"/>
      <c r="D596" s="56"/>
    </row>
    <row r="597" ht="15.75" customHeight="1">
      <c r="A597" s="55"/>
      <c r="C597" s="56"/>
      <c r="D597" s="56"/>
    </row>
    <row r="598" ht="15.75" customHeight="1">
      <c r="A598" s="55"/>
      <c r="C598" s="56"/>
      <c r="D598" s="56"/>
    </row>
    <row r="599" ht="15.75" customHeight="1">
      <c r="A599" s="55"/>
      <c r="C599" s="56"/>
      <c r="D599" s="56"/>
    </row>
    <row r="600" ht="15.75" customHeight="1">
      <c r="A600" s="55"/>
      <c r="C600" s="56"/>
      <c r="D600" s="56"/>
    </row>
    <row r="601" ht="15.75" customHeight="1">
      <c r="A601" s="55"/>
      <c r="C601" s="56"/>
      <c r="D601" s="56"/>
    </row>
    <row r="602" ht="15.75" customHeight="1">
      <c r="A602" s="55"/>
      <c r="C602" s="56"/>
      <c r="D602" s="56"/>
    </row>
    <row r="603" ht="15.75" customHeight="1">
      <c r="A603" s="55"/>
      <c r="C603" s="56"/>
      <c r="D603" s="56"/>
    </row>
    <row r="604" ht="15.75" customHeight="1">
      <c r="A604" s="55"/>
      <c r="C604" s="56"/>
      <c r="D604" s="56"/>
    </row>
    <row r="605" ht="15.75" customHeight="1">
      <c r="A605" s="55"/>
      <c r="C605" s="56"/>
      <c r="D605" s="56"/>
    </row>
    <row r="606" ht="15.75" customHeight="1">
      <c r="A606" s="55"/>
      <c r="C606" s="56"/>
      <c r="D606" s="56"/>
    </row>
    <row r="607" ht="15.75" customHeight="1">
      <c r="A607" s="55"/>
      <c r="C607" s="56"/>
      <c r="D607" s="56"/>
    </row>
    <row r="608" ht="15.75" customHeight="1">
      <c r="A608" s="55"/>
      <c r="C608" s="56"/>
      <c r="D608" s="56"/>
    </row>
    <row r="609" ht="15.75" customHeight="1">
      <c r="A609" s="55"/>
      <c r="C609" s="56"/>
      <c r="D609" s="56"/>
    </row>
    <row r="610" ht="15.75" customHeight="1">
      <c r="A610" s="55"/>
      <c r="C610" s="56"/>
      <c r="D610" s="56"/>
    </row>
    <row r="611" ht="15.75" customHeight="1">
      <c r="A611" s="55"/>
      <c r="C611" s="56"/>
      <c r="D611" s="56"/>
    </row>
    <row r="612" ht="15.75" customHeight="1">
      <c r="A612" s="55"/>
      <c r="C612" s="56"/>
      <c r="D612" s="56"/>
    </row>
    <row r="613" ht="15.75" customHeight="1">
      <c r="A613" s="55"/>
      <c r="C613" s="56"/>
      <c r="D613" s="56"/>
    </row>
    <row r="614" ht="15.75" customHeight="1">
      <c r="A614" s="55"/>
      <c r="C614" s="56"/>
      <c r="D614" s="56"/>
    </row>
    <row r="615" ht="15.75" customHeight="1">
      <c r="A615" s="55"/>
      <c r="C615" s="56"/>
      <c r="D615" s="56"/>
    </row>
    <row r="616" ht="15.75" customHeight="1">
      <c r="A616" s="55"/>
      <c r="C616" s="56"/>
      <c r="D616" s="56"/>
    </row>
    <row r="617" ht="15.75" customHeight="1">
      <c r="A617" s="55"/>
      <c r="C617" s="56"/>
      <c r="D617" s="56"/>
    </row>
    <row r="618" ht="15.75" customHeight="1">
      <c r="A618" s="55"/>
      <c r="C618" s="56"/>
      <c r="D618" s="56"/>
    </row>
    <row r="619" ht="15.75" customHeight="1">
      <c r="A619" s="55"/>
      <c r="C619" s="56"/>
      <c r="D619" s="56"/>
    </row>
    <row r="620" ht="15.75" customHeight="1">
      <c r="A620" s="55"/>
      <c r="C620" s="56"/>
      <c r="D620" s="56"/>
    </row>
    <row r="621" ht="15.75" customHeight="1">
      <c r="A621" s="55"/>
      <c r="C621" s="56"/>
      <c r="D621" s="56"/>
    </row>
    <row r="622" ht="15.75" customHeight="1">
      <c r="A622" s="55"/>
      <c r="C622" s="56"/>
      <c r="D622" s="56"/>
    </row>
    <row r="623" ht="15.75" customHeight="1">
      <c r="A623" s="55"/>
      <c r="C623" s="56"/>
      <c r="D623" s="56"/>
    </row>
    <row r="624" ht="15.75" customHeight="1">
      <c r="A624" s="55"/>
      <c r="C624" s="56"/>
      <c r="D624" s="56"/>
    </row>
    <row r="625" ht="15.75" customHeight="1">
      <c r="A625" s="55"/>
      <c r="C625" s="56"/>
      <c r="D625" s="56"/>
    </row>
    <row r="626" ht="15.75" customHeight="1">
      <c r="A626" s="55"/>
      <c r="C626" s="56"/>
      <c r="D626" s="56"/>
    </row>
    <row r="627" ht="15.75" customHeight="1">
      <c r="A627" s="55"/>
      <c r="C627" s="56"/>
      <c r="D627" s="56"/>
    </row>
    <row r="628" ht="15.75" customHeight="1">
      <c r="A628" s="55"/>
      <c r="C628" s="56"/>
      <c r="D628" s="56"/>
    </row>
    <row r="629" ht="15.75" customHeight="1">
      <c r="A629" s="55"/>
      <c r="C629" s="56"/>
      <c r="D629" s="56"/>
    </row>
    <row r="630" ht="15.75" customHeight="1">
      <c r="A630" s="55"/>
      <c r="C630" s="56"/>
      <c r="D630" s="56"/>
    </row>
    <row r="631" ht="15.75" customHeight="1">
      <c r="A631" s="55"/>
      <c r="C631" s="56"/>
      <c r="D631" s="56"/>
    </row>
    <row r="632" ht="15.75" customHeight="1">
      <c r="A632" s="55"/>
      <c r="C632" s="56"/>
      <c r="D632" s="56"/>
    </row>
    <row r="633" ht="15.75" customHeight="1">
      <c r="A633" s="55"/>
      <c r="C633" s="56"/>
      <c r="D633" s="56"/>
    </row>
    <row r="634" ht="15.75" customHeight="1">
      <c r="A634" s="55"/>
      <c r="C634" s="56"/>
      <c r="D634" s="56"/>
    </row>
    <row r="635" ht="15.75" customHeight="1">
      <c r="A635" s="55"/>
      <c r="C635" s="56"/>
      <c r="D635" s="56"/>
    </row>
    <row r="636" ht="15.75" customHeight="1">
      <c r="A636" s="55"/>
      <c r="C636" s="56"/>
      <c r="D636" s="56"/>
    </row>
    <row r="637" ht="15.75" customHeight="1">
      <c r="A637" s="55"/>
      <c r="C637" s="56"/>
      <c r="D637" s="56"/>
    </row>
    <row r="638" ht="15.75" customHeight="1">
      <c r="A638" s="55"/>
      <c r="C638" s="56"/>
      <c r="D638" s="56"/>
    </row>
    <row r="639" ht="15.75" customHeight="1">
      <c r="A639" s="55"/>
      <c r="C639" s="56"/>
      <c r="D639" s="56"/>
    </row>
    <row r="640" ht="15.75" customHeight="1">
      <c r="A640" s="55"/>
      <c r="C640" s="56"/>
      <c r="D640" s="56"/>
    </row>
    <row r="641" ht="15.75" customHeight="1">
      <c r="A641" s="55"/>
      <c r="C641" s="56"/>
      <c r="D641" s="56"/>
    </row>
    <row r="642" ht="15.75" customHeight="1">
      <c r="A642" s="55"/>
      <c r="C642" s="56"/>
      <c r="D642" s="56"/>
    </row>
    <row r="643" ht="15.75" customHeight="1">
      <c r="A643" s="55"/>
      <c r="C643" s="56"/>
      <c r="D643" s="56"/>
    </row>
    <row r="644" ht="15.75" customHeight="1">
      <c r="A644" s="55"/>
      <c r="C644" s="56"/>
      <c r="D644" s="56"/>
    </row>
    <row r="645" ht="15.75" customHeight="1">
      <c r="A645" s="55"/>
      <c r="C645" s="56"/>
      <c r="D645" s="56"/>
    </row>
    <row r="646" ht="15.75" customHeight="1">
      <c r="A646" s="55"/>
      <c r="C646" s="56"/>
      <c r="D646" s="56"/>
    </row>
    <row r="647" ht="15.75" customHeight="1">
      <c r="A647" s="55"/>
      <c r="C647" s="56"/>
      <c r="D647" s="56"/>
    </row>
    <row r="648" ht="15.75" customHeight="1">
      <c r="A648" s="55"/>
      <c r="C648" s="56"/>
      <c r="D648" s="56"/>
    </row>
    <row r="649" ht="15.75" customHeight="1">
      <c r="A649" s="55"/>
      <c r="C649" s="56"/>
      <c r="D649" s="56"/>
    </row>
    <row r="650" ht="15.75" customHeight="1">
      <c r="A650" s="55"/>
      <c r="C650" s="56"/>
      <c r="D650" s="56"/>
    </row>
    <row r="651" ht="15.75" customHeight="1">
      <c r="A651" s="55"/>
      <c r="C651" s="56"/>
      <c r="D651" s="56"/>
    </row>
    <row r="652" ht="15.75" customHeight="1">
      <c r="A652" s="55"/>
      <c r="C652" s="56"/>
      <c r="D652" s="56"/>
    </row>
    <row r="653" ht="15.75" customHeight="1">
      <c r="A653" s="55"/>
      <c r="C653" s="56"/>
      <c r="D653" s="56"/>
    </row>
    <row r="654" ht="15.75" customHeight="1">
      <c r="A654" s="55"/>
      <c r="C654" s="56"/>
      <c r="D654" s="56"/>
    </row>
    <row r="655" ht="15.75" customHeight="1">
      <c r="A655" s="55"/>
      <c r="C655" s="56"/>
      <c r="D655" s="56"/>
    </row>
    <row r="656" ht="15.75" customHeight="1">
      <c r="A656" s="55"/>
      <c r="C656" s="56"/>
      <c r="D656" s="56"/>
    </row>
    <row r="657" ht="15.75" customHeight="1">
      <c r="A657" s="55"/>
      <c r="C657" s="56"/>
      <c r="D657" s="56"/>
    </row>
    <row r="658" ht="15.75" customHeight="1">
      <c r="A658" s="55"/>
      <c r="C658" s="56"/>
      <c r="D658" s="56"/>
    </row>
    <row r="659" ht="15.75" customHeight="1">
      <c r="A659" s="55"/>
      <c r="C659" s="56"/>
      <c r="D659" s="56"/>
    </row>
    <row r="660" ht="15.75" customHeight="1">
      <c r="A660" s="55"/>
      <c r="C660" s="56"/>
      <c r="D660" s="56"/>
    </row>
    <row r="661" ht="15.75" customHeight="1">
      <c r="A661" s="55"/>
      <c r="C661" s="56"/>
      <c r="D661" s="56"/>
    </row>
    <row r="662" ht="15.75" customHeight="1">
      <c r="A662" s="55"/>
      <c r="C662" s="56"/>
      <c r="D662" s="56"/>
    </row>
    <row r="663" ht="15.75" customHeight="1">
      <c r="A663" s="55"/>
      <c r="C663" s="56"/>
      <c r="D663" s="56"/>
    </row>
    <row r="664" ht="15.75" customHeight="1">
      <c r="A664" s="55"/>
      <c r="C664" s="56"/>
      <c r="D664" s="56"/>
    </row>
    <row r="665" ht="15.75" customHeight="1">
      <c r="A665" s="55"/>
      <c r="C665" s="56"/>
      <c r="D665" s="56"/>
    </row>
    <row r="666" ht="15.75" customHeight="1">
      <c r="A666" s="55"/>
      <c r="C666" s="56"/>
      <c r="D666" s="56"/>
    </row>
    <row r="667" ht="15.75" customHeight="1">
      <c r="A667" s="55"/>
      <c r="C667" s="56"/>
      <c r="D667" s="56"/>
    </row>
    <row r="668" ht="15.75" customHeight="1">
      <c r="A668" s="55"/>
      <c r="C668" s="56"/>
      <c r="D668" s="56"/>
    </row>
    <row r="669" ht="15.75" customHeight="1">
      <c r="A669" s="55"/>
      <c r="C669" s="56"/>
      <c r="D669" s="56"/>
    </row>
    <row r="670" ht="15.75" customHeight="1">
      <c r="A670" s="55"/>
      <c r="C670" s="56"/>
      <c r="D670" s="56"/>
    </row>
    <row r="671" ht="15.75" customHeight="1">
      <c r="A671" s="55"/>
      <c r="C671" s="56"/>
      <c r="D671" s="56"/>
    </row>
    <row r="672" ht="15.75" customHeight="1">
      <c r="A672" s="55"/>
      <c r="C672" s="56"/>
      <c r="D672" s="56"/>
    </row>
    <row r="673" ht="15.75" customHeight="1">
      <c r="A673" s="55"/>
      <c r="C673" s="56"/>
      <c r="D673" s="56"/>
    </row>
    <row r="674" ht="15.75" customHeight="1">
      <c r="A674" s="55"/>
      <c r="C674" s="56"/>
      <c r="D674" s="56"/>
    </row>
    <row r="675" ht="15.75" customHeight="1">
      <c r="A675" s="55"/>
      <c r="C675" s="56"/>
      <c r="D675" s="56"/>
    </row>
    <row r="676" ht="15.75" customHeight="1">
      <c r="A676" s="55"/>
      <c r="C676" s="56"/>
      <c r="D676" s="56"/>
    </row>
    <row r="677" ht="15.75" customHeight="1">
      <c r="A677" s="55"/>
      <c r="C677" s="56"/>
      <c r="D677" s="56"/>
    </row>
    <row r="678" ht="15.75" customHeight="1">
      <c r="A678" s="55"/>
      <c r="C678" s="56"/>
      <c r="D678" s="56"/>
    </row>
    <row r="679" ht="15.75" customHeight="1">
      <c r="A679" s="55"/>
      <c r="C679" s="56"/>
      <c r="D679" s="56"/>
    </row>
    <row r="680" ht="15.75" customHeight="1">
      <c r="A680" s="55"/>
      <c r="C680" s="56"/>
      <c r="D680" s="56"/>
    </row>
    <row r="681" ht="15.75" customHeight="1">
      <c r="A681" s="55"/>
      <c r="C681" s="56"/>
      <c r="D681" s="56"/>
    </row>
    <row r="682" ht="15.75" customHeight="1">
      <c r="A682" s="55"/>
      <c r="C682" s="56"/>
      <c r="D682" s="56"/>
    </row>
    <row r="683" ht="15.75" customHeight="1">
      <c r="A683" s="55"/>
      <c r="C683" s="56"/>
      <c r="D683" s="56"/>
    </row>
    <row r="684" ht="15.75" customHeight="1">
      <c r="A684" s="55"/>
      <c r="C684" s="56"/>
      <c r="D684" s="56"/>
    </row>
    <row r="685" ht="15.75" customHeight="1">
      <c r="A685" s="55"/>
      <c r="C685" s="56"/>
      <c r="D685" s="56"/>
    </row>
    <row r="686" ht="15.75" customHeight="1">
      <c r="A686" s="55"/>
      <c r="C686" s="56"/>
      <c r="D686" s="56"/>
    </row>
    <row r="687" ht="15.75" customHeight="1">
      <c r="A687" s="55"/>
      <c r="C687" s="56"/>
      <c r="D687" s="56"/>
    </row>
    <row r="688" ht="15.75" customHeight="1">
      <c r="A688" s="55"/>
      <c r="C688" s="56"/>
      <c r="D688" s="56"/>
    </row>
    <row r="689" ht="15.75" customHeight="1">
      <c r="A689" s="55"/>
      <c r="C689" s="56"/>
      <c r="D689" s="56"/>
    </row>
    <row r="690" ht="15.75" customHeight="1">
      <c r="A690" s="55"/>
      <c r="C690" s="56"/>
      <c r="D690" s="56"/>
    </row>
    <row r="691" ht="15.75" customHeight="1">
      <c r="A691" s="55"/>
      <c r="C691" s="56"/>
      <c r="D691" s="56"/>
    </row>
    <row r="692" ht="15.75" customHeight="1">
      <c r="A692" s="55"/>
      <c r="C692" s="56"/>
      <c r="D692" s="56"/>
    </row>
    <row r="693" ht="15.75" customHeight="1">
      <c r="A693" s="55"/>
      <c r="C693" s="56"/>
      <c r="D693" s="56"/>
    </row>
    <row r="694" ht="15.75" customHeight="1">
      <c r="A694" s="55"/>
      <c r="C694" s="56"/>
      <c r="D694" s="56"/>
    </row>
    <row r="695" ht="15.75" customHeight="1">
      <c r="A695" s="55"/>
      <c r="C695" s="56"/>
      <c r="D695" s="56"/>
    </row>
    <row r="696" ht="15.75" customHeight="1">
      <c r="A696" s="55"/>
      <c r="C696" s="56"/>
      <c r="D696" s="56"/>
    </row>
    <row r="697" ht="15.75" customHeight="1">
      <c r="A697" s="55"/>
      <c r="C697" s="56"/>
      <c r="D697" s="56"/>
    </row>
    <row r="698" ht="15.75" customHeight="1">
      <c r="A698" s="55"/>
      <c r="C698" s="56"/>
      <c r="D698" s="56"/>
    </row>
    <row r="699" ht="15.75" customHeight="1">
      <c r="A699" s="55"/>
      <c r="C699" s="56"/>
      <c r="D699" s="56"/>
    </row>
    <row r="700" ht="15.75" customHeight="1">
      <c r="A700" s="55"/>
      <c r="C700" s="56"/>
      <c r="D700" s="56"/>
    </row>
    <row r="701" ht="15.75" customHeight="1">
      <c r="A701" s="55"/>
      <c r="C701" s="56"/>
      <c r="D701" s="56"/>
    </row>
    <row r="702" ht="15.75" customHeight="1">
      <c r="A702" s="55"/>
      <c r="C702" s="56"/>
      <c r="D702" s="56"/>
    </row>
    <row r="703" ht="15.75" customHeight="1">
      <c r="A703" s="55"/>
      <c r="C703" s="56"/>
      <c r="D703" s="56"/>
    </row>
    <row r="704" ht="15.75" customHeight="1">
      <c r="A704" s="55"/>
      <c r="C704" s="56"/>
      <c r="D704" s="56"/>
    </row>
    <row r="705" ht="15.75" customHeight="1">
      <c r="A705" s="55"/>
      <c r="C705" s="56"/>
      <c r="D705" s="56"/>
    </row>
    <row r="706" ht="15.75" customHeight="1">
      <c r="A706" s="55"/>
      <c r="C706" s="56"/>
      <c r="D706" s="56"/>
    </row>
    <row r="707" ht="15.75" customHeight="1">
      <c r="A707" s="55"/>
      <c r="C707" s="56"/>
      <c r="D707" s="56"/>
    </row>
    <row r="708" ht="15.75" customHeight="1">
      <c r="A708" s="55"/>
      <c r="C708" s="56"/>
      <c r="D708" s="56"/>
    </row>
    <row r="709" ht="15.75" customHeight="1">
      <c r="A709" s="55"/>
      <c r="C709" s="56"/>
      <c r="D709" s="56"/>
    </row>
    <row r="710" ht="15.75" customHeight="1">
      <c r="A710" s="55"/>
      <c r="C710" s="56"/>
      <c r="D710" s="56"/>
    </row>
    <row r="711" ht="15.75" customHeight="1">
      <c r="A711" s="55"/>
      <c r="C711" s="56"/>
      <c r="D711" s="56"/>
    </row>
    <row r="712" ht="15.75" customHeight="1">
      <c r="A712" s="55"/>
      <c r="C712" s="56"/>
      <c r="D712" s="56"/>
    </row>
    <row r="713" ht="15.75" customHeight="1">
      <c r="A713" s="55"/>
      <c r="C713" s="56"/>
      <c r="D713" s="56"/>
    </row>
    <row r="714" ht="15.75" customHeight="1">
      <c r="A714" s="55"/>
      <c r="C714" s="56"/>
      <c r="D714" s="56"/>
    </row>
    <row r="715" ht="15.75" customHeight="1">
      <c r="A715" s="55"/>
      <c r="C715" s="56"/>
      <c r="D715" s="56"/>
    </row>
    <row r="716" ht="15.75" customHeight="1">
      <c r="A716" s="55"/>
      <c r="C716" s="56"/>
      <c r="D716" s="56"/>
    </row>
    <row r="717" ht="15.75" customHeight="1">
      <c r="A717" s="55"/>
      <c r="C717" s="56"/>
      <c r="D717" s="56"/>
    </row>
    <row r="718" ht="15.75" customHeight="1">
      <c r="A718" s="55"/>
      <c r="C718" s="56"/>
      <c r="D718" s="56"/>
    </row>
    <row r="719" ht="15.75" customHeight="1">
      <c r="A719" s="55"/>
      <c r="C719" s="56"/>
      <c r="D719" s="56"/>
    </row>
    <row r="720" ht="15.75" customHeight="1">
      <c r="A720" s="55"/>
      <c r="C720" s="56"/>
      <c r="D720" s="56"/>
    </row>
    <row r="721" ht="15.75" customHeight="1">
      <c r="A721" s="55"/>
      <c r="C721" s="56"/>
      <c r="D721" s="56"/>
    </row>
    <row r="722" ht="15.75" customHeight="1">
      <c r="A722" s="55"/>
      <c r="C722" s="56"/>
      <c r="D722" s="56"/>
    </row>
    <row r="723" ht="15.75" customHeight="1">
      <c r="A723" s="55"/>
      <c r="C723" s="56"/>
      <c r="D723" s="56"/>
    </row>
    <row r="724" ht="15.75" customHeight="1">
      <c r="A724" s="55"/>
      <c r="C724" s="56"/>
      <c r="D724" s="56"/>
    </row>
    <row r="725" ht="15.75" customHeight="1">
      <c r="A725" s="55"/>
      <c r="C725" s="56"/>
      <c r="D725" s="56"/>
    </row>
    <row r="726" ht="15.75" customHeight="1">
      <c r="A726" s="55"/>
      <c r="C726" s="56"/>
      <c r="D726" s="56"/>
    </row>
    <row r="727" ht="15.75" customHeight="1">
      <c r="A727" s="55"/>
      <c r="C727" s="56"/>
      <c r="D727" s="56"/>
    </row>
    <row r="728" ht="15.75" customHeight="1">
      <c r="A728" s="55"/>
      <c r="C728" s="56"/>
      <c r="D728" s="56"/>
    </row>
    <row r="729" ht="15.75" customHeight="1">
      <c r="A729" s="55"/>
      <c r="C729" s="56"/>
      <c r="D729" s="56"/>
    </row>
    <row r="730" ht="15.75" customHeight="1">
      <c r="A730" s="55"/>
      <c r="C730" s="56"/>
      <c r="D730" s="56"/>
    </row>
    <row r="731" ht="15.75" customHeight="1">
      <c r="A731" s="55"/>
      <c r="C731" s="56"/>
      <c r="D731" s="56"/>
    </row>
    <row r="732" ht="15.75" customHeight="1">
      <c r="A732" s="55"/>
      <c r="C732" s="56"/>
      <c r="D732" s="56"/>
    </row>
    <row r="733" ht="15.75" customHeight="1">
      <c r="A733" s="55"/>
      <c r="C733" s="56"/>
      <c r="D733" s="56"/>
    </row>
    <row r="734" ht="15.75" customHeight="1">
      <c r="A734" s="55"/>
      <c r="C734" s="56"/>
      <c r="D734" s="56"/>
    </row>
    <row r="735" ht="15.75" customHeight="1">
      <c r="A735" s="55"/>
      <c r="C735" s="56"/>
      <c r="D735" s="56"/>
    </row>
    <row r="736" ht="15.75" customHeight="1">
      <c r="A736" s="55"/>
      <c r="C736" s="56"/>
      <c r="D736" s="56"/>
    </row>
    <row r="737" ht="15.75" customHeight="1">
      <c r="A737" s="55"/>
      <c r="C737" s="56"/>
      <c r="D737" s="56"/>
    </row>
    <row r="738" ht="15.75" customHeight="1">
      <c r="A738" s="55"/>
      <c r="C738" s="56"/>
      <c r="D738" s="56"/>
    </row>
    <row r="739" ht="15.75" customHeight="1">
      <c r="A739" s="55"/>
      <c r="C739" s="56"/>
      <c r="D739" s="56"/>
    </row>
    <row r="740" ht="15.75" customHeight="1">
      <c r="A740" s="55"/>
      <c r="C740" s="56"/>
      <c r="D740" s="56"/>
    </row>
    <row r="741" ht="15.75" customHeight="1">
      <c r="A741" s="55"/>
      <c r="C741" s="56"/>
      <c r="D741" s="56"/>
    </row>
    <row r="742" ht="15.75" customHeight="1">
      <c r="A742" s="55"/>
      <c r="C742" s="56"/>
      <c r="D742" s="56"/>
    </row>
    <row r="743" ht="15.75" customHeight="1">
      <c r="A743" s="55"/>
      <c r="C743" s="56"/>
      <c r="D743" s="56"/>
    </row>
    <row r="744" ht="15.75" customHeight="1">
      <c r="A744" s="55"/>
      <c r="C744" s="56"/>
      <c r="D744" s="56"/>
    </row>
    <row r="745" ht="15.75" customHeight="1">
      <c r="A745" s="55"/>
      <c r="C745" s="56"/>
      <c r="D745" s="56"/>
    </row>
    <row r="746" ht="15.75" customHeight="1">
      <c r="A746" s="55"/>
      <c r="C746" s="56"/>
      <c r="D746" s="56"/>
    </row>
    <row r="747" ht="15.75" customHeight="1">
      <c r="A747" s="55"/>
      <c r="C747" s="56"/>
      <c r="D747" s="56"/>
    </row>
    <row r="748" ht="15.75" customHeight="1">
      <c r="A748" s="55"/>
      <c r="C748" s="56"/>
      <c r="D748" s="56"/>
    </row>
    <row r="749" ht="15.75" customHeight="1">
      <c r="A749" s="55"/>
      <c r="C749" s="56"/>
      <c r="D749" s="56"/>
    </row>
    <row r="750" ht="15.75" customHeight="1">
      <c r="A750" s="55"/>
      <c r="C750" s="56"/>
      <c r="D750" s="56"/>
    </row>
    <row r="751" ht="15.75" customHeight="1">
      <c r="A751" s="55"/>
      <c r="C751" s="56"/>
      <c r="D751" s="56"/>
    </row>
    <row r="752" ht="15.75" customHeight="1">
      <c r="A752" s="55"/>
      <c r="C752" s="56"/>
      <c r="D752" s="56"/>
    </row>
    <row r="753" ht="15.75" customHeight="1">
      <c r="A753" s="55"/>
      <c r="C753" s="56"/>
      <c r="D753" s="56"/>
    </row>
    <row r="754" ht="15.75" customHeight="1">
      <c r="A754" s="55"/>
      <c r="C754" s="56"/>
      <c r="D754" s="56"/>
    </row>
    <row r="755" ht="15.75" customHeight="1">
      <c r="A755" s="55"/>
      <c r="C755" s="56"/>
      <c r="D755" s="56"/>
    </row>
    <row r="756" ht="15.75" customHeight="1">
      <c r="A756" s="55"/>
      <c r="C756" s="56"/>
      <c r="D756" s="56"/>
    </row>
    <row r="757" ht="15.75" customHeight="1">
      <c r="A757" s="55"/>
      <c r="C757" s="56"/>
      <c r="D757" s="56"/>
    </row>
    <row r="758" ht="15.75" customHeight="1">
      <c r="A758" s="55"/>
      <c r="C758" s="56"/>
      <c r="D758" s="56"/>
    </row>
    <row r="759" ht="15.75" customHeight="1">
      <c r="A759" s="55"/>
      <c r="C759" s="56"/>
      <c r="D759" s="56"/>
    </row>
    <row r="760" ht="15.75" customHeight="1">
      <c r="A760" s="55"/>
      <c r="C760" s="56"/>
      <c r="D760" s="56"/>
    </row>
    <row r="761" ht="15.75" customHeight="1">
      <c r="A761" s="55"/>
      <c r="C761" s="56"/>
      <c r="D761" s="56"/>
    </row>
    <row r="762" ht="15.75" customHeight="1">
      <c r="A762" s="55"/>
      <c r="C762" s="56"/>
      <c r="D762" s="56"/>
    </row>
    <row r="763" ht="15.75" customHeight="1">
      <c r="A763" s="55"/>
      <c r="C763" s="56"/>
      <c r="D763" s="56"/>
    </row>
    <row r="764" ht="15.75" customHeight="1">
      <c r="A764" s="55"/>
      <c r="C764" s="56"/>
      <c r="D764" s="56"/>
    </row>
    <row r="765" ht="15.75" customHeight="1">
      <c r="A765" s="55"/>
      <c r="C765" s="56"/>
      <c r="D765" s="56"/>
    </row>
    <row r="766" ht="15.75" customHeight="1">
      <c r="A766" s="55"/>
      <c r="C766" s="56"/>
      <c r="D766" s="56"/>
    </row>
    <row r="767" ht="15.75" customHeight="1">
      <c r="A767" s="55"/>
      <c r="C767" s="56"/>
      <c r="D767" s="56"/>
    </row>
    <row r="768" ht="15.75" customHeight="1">
      <c r="A768" s="55"/>
      <c r="C768" s="56"/>
      <c r="D768" s="56"/>
    </row>
    <row r="769" ht="15.75" customHeight="1">
      <c r="A769" s="55"/>
      <c r="C769" s="56"/>
      <c r="D769" s="56"/>
    </row>
    <row r="770" ht="15.75" customHeight="1">
      <c r="A770" s="55"/>
      <c r="C770" s="56"/>
      <c r="D770" s="56"/>
    </row>
    <row r="771" ht="15.75" customHeight="1">
      <c r="A771" s="55"/>
      <c r="C771" s="56"/>
      <c r="D771" s="56"/>
    </row>
    <row r="772" ht="15.75" customHeight="1">
      <c r="A772" s="55"/>
      <c r="C772" s="56"/>
      <c r="D772" s="56"/>
    </row>
    <row r="773" ht="15.75" customHeight="1">
      <c r="A773" s="55"/>
      <c r="C773" s="56"/>
      <c r="D773" s="56"/>
    </row>
    <row r="774" ht="15.75" customHeight="1">
      <c r="A774" s="55"/>
      <c r="C774" s="56"/>
      <c r="D774" s="56"/>
    </row>
    <row r="775" ht="15.75" customHeight="1">
      <c r="A775" s="55"/>
      <c r="C775" s="56"/>
      <c r="D775" s="56"/>
    </row>
    <row r="776" ht="15.75" customHeight="1">
      <c r="A776" s="55"/>
      <c r="C776" s="56"/>
      <c r="D776" s="56"/>
    </row>
    <row r="777" ht="15.75" customHeight="1">
      <c r="A777" s="55"/>
      <c r="C777" s="56"/>
      <c r="D777" s="56"/>
    </row>
    <row r="778" ht="15.75" customHeight="1">
      <c r="A778" s="55"/>
      <c r="C778" s="56"/>
      <c r="D778" s="56"/>
    </row>
    <row r="779" ht="15.75" customHeight="1">
      <c r="A779" s="55"/>
      <c r="C779" s="56"/>
      <c r="D779" s="56"/>
    </row>
    <row r="780" ht="15.75" customHeight="1">
      <c r="A780" s="55"/>
      <c r="C780" s="56"/>
      <c r="D780" s="56"/>
    </row>
    <row r="781" ht="15.75" customHeight="1">
      <c r="A781" s="55"/>
      <c r="C781" s="56"/>
      <c r="D781" s="56"/>
    </row>
    <row r="782" ht="15.75" customHeight="1">
      <c r="A782" s="55"/>
      <c r="C782" s="56"/>
      <c r="D782" s="56"/>
    </row>
    <row r="783" ht="15.75" customHeight="1">
      <c r="A783" s="55"/>
      <c r="C783" s="56"/>
      <c r="D783" s="56"/>
    </row>
    <row r="784" ht="15.75" customHeight="1">
      <c r="A784" s="55"/>
      <c r="C784" s="56"/>
      <c r="D784" s="56"/>
    </row>
    <row r="785" ht="15.75" customHeight="1">
      <c r="A785" s="55"/>
      <c r="C785" s="56"/>
      <c r="D785" s="56"/>
    </row>
    <row r="786" ht="15.75" customHeight="1">
      <c r="A786" s="55"/>
      <c r="C786" s="56"/>
      <c r="D786" s="56"/>
    </row>
    <row r="787" ht="15.75" customHeight="1">
      <c r="A787" s="55"/>
      <c r="C787" s="56"/>
      <c r="D787" s="56"/>
    </row>
    <row r="788" ht="15.75" customHeight="1">
      <c r="A788" s="55"/>
      <c r="C788" s="56"/>
      <c r="D788" s="56"/>
    </row>
    <row r="789" ht="15.75" customHeight="1">
      <c r="A789" s="55"/>
      <c r="C789" s="56"/>
      <c r="D789" s="56"/>
    </row>
    <row r="790" ht="15.75" customHeight="1">
      <c r="A790" s="55"/>
      <c r="C790" s="56"/>
      <c r="D790" s="56"/>
    </row>
    <row r="791" ht="15.75" customHeight="1">
      <c r="A791" s="55"/>
      <c r="C791" s="56"/>
      <c r="D791" s="56"/>
    </row>
    <row r="792" ht="15.75" customHeight="1">
      <c r="A792" s="55"/>
      <c r="C792" s="56"/>
      <c r="D792" s="56"/>
    </row>
    <row r="793" ht="15.75" customHeight="1">
      <c r="A793" s="55"/>
      <c r="C793" s="56"/>
      <c r="D793" s="56"/>
    </row>
    <row r="794" ht="15.75" customHeight="1">
      <c r="A794" s="55"/>
      <c r="C794" s="56"/>
      <c r="D794" s="56"/>
    </row>
    <row r="795" ht="15.75" customHeight="1">
      <c r="A795" s="55"/>
      <c r="C795" s="56"/>
      <c r="D795" s="56"/>
    </row>
    <row r="796" ht="15.75" customHeight="1">
      <c r="A796" s="55"/>
      <c r="C796" s="56"/>
      <c r="D796" s="56"/>
    </row>
    <row r="797" ht="15.75" customHeight="1">
      <c r="A797" s="55"/>
      <c r="C797" s="56"/>
      <c r="D797" s="56"/>
    </row>
    <row r="798" ht="15.75" customHeight="1">
      <c r="A798" s="55"/>
      <c r="C798" s="56"/>
      <c r="D798" s="56"/>
    </row>
    <row r="799" ht="15.75" customHeight="1">
      <c r="A799" s="55"/>
      <c r="C799" s="56"/>
      <c r="D799" s="56"/>
    </row>
    <row r="800" ht="15.75" customHeight="1">
      <c r="A800" s="55"/>
      <c r="C800" s="56"/>
      <c r="D800" s="56"/>
    </row>
    <row r="801" ht="15.75" customHeight="1">
      <c r="A801" s="55"/>
      <c r="C801" s="56"/>
      <c r="D801" s="56"/>
    </row>
    <row r="802" ht="15.75" customHeight="1">
      <c r="A802" s="55"/>
      <c r="C802" s="56"/>
      <c r="D802" s="56"/>
    </row>
    <row r="803" ht="15.75" customHeight="1">
      <c r="A803" s="55"/>
      <c r="C803" s="56"/>
      <c r="D803" s="56"/>
    </row>
    <row r="804" ht="15.75" customHeight="1">
      <c r="A804" s="55"/>
      <c r="C804" s="56"/>
      <c r="D804" s="56"/>
    </row>
    <row r="805" ht="15.75" customHeight="1">
      <c r="A805" s="55"/>
      <c r="C805" s="56"/>
      <c r="D805" s="56"/>
    </row>
    <row r="806" ht="15.75" customHeight="1">
      <c r="A806" s="55"/>
      <c r="C806" s="56"/>
      <c r="D806" s="56"/>
    </row>
    <row r="807" ht="15.75" customHeight="1">
      <c r="A807" s="55"/>
      <c r="C807" s="56"/>
      <c r="D807" s="56"/>
    </row>
    <row r="808" ht="15.75" customHeight="1">
      <c r="A808" s="55"/>
      <c r="C808" s="56"/>
      <c r="D808" s="56"/>
    </row>
    <row r="809" ht="15.75" customHeight="1">
      <c r="A809" s="55"/>
      <c r="C809" s="56"/>
      <c r="D809" s="56"/>
    </row>
    <row r="810" ht="15.75" customHeight="1">
      <c r="A810" s="55"/>
      <c r="C810" s="56"/>
      <c r="D810" s="56"/>
    </row>
    <row r="811" ht="15.75" customHeight="1">
      <c r="A811" s="55"/>
      <c r="C811" s="56"/>
      <c r="D811" s="56"/>
    </row>
    <row r="812" ht="15.75" customHeight="1">
      <c r="A812" s="55"/>
      <c r="C812" s="56"/>
      <c r="D812" s="56"/>
    </row>
    <row r="813" ht="15.75" customHeight="1">
      <c r="A813" s="55"/>
      <c r="C813" s="56"/>
      <c r="D813" s="56"/>
    </row>
    <row r="814" ht="15.75" customHeight="1">
      <c r="A814" s="55"/>
      <c r="C814" s="56"/>
      <c r="D814" s="56"/>
    </row>
    <row r="815" ht="15.75" customHeight="1">
      <c r="A815" s="55"/>
      <c r="C815" s="56"/>
      <c r="D815" s="56"/>
    </row>
    <row r="816" ht="15.75" customHeight="1">
      <c r="A816" s="55"/>
      <c r="C816" s="56"/>
      <c r="D816" s="56"/>
    </row>
    <row r="817" ht="15.75" customHeight="1">
      <c r="A817" s="55"/>
      <c r="C817" s="56"/>
      <c r="D817" s="56"/>
    </row>
    <row r="818" ht="15.75" customHeight="1">
      <c r="A818" s="55"/>
      <c r="C818" s="56"/>
      <c r="D818" s="56"/>
    </row>
    <row r="819" ht="15.75" customHeight="1">
      <c r="A819" s="55"/>
      <c r="C819" s="56"/>
      <c r="D819" s="56"/>
    </row>
    <row r="820" ht="15.75" customHeight="1">
      <c r="A820" s="55"/>
      <c r="C820" s="56"/>
      <c r="D820" s="56"/>
    </row>
    <row r="821" ht="15.75" customHeight="1">
      <c r="A821" s="55"/>
      <c r="C821" s="56"/>
      <c r="D821" s="56"/>
    </row>
    <row r="822" ht="15.75" customHeight="1">
      <c r="A822" s="55"/>
      <c r="C822" s="56"/>
      <c r="D822" s="56"/>
    </row>
    <row r="823" ht="15.75" customHeight="1">
      <c r="A823" s="55"/>
      <c r="C823" s="56"/>
      <c r="D823" s="56"/>
    </row>
    <row r="824" ht="15.75" customHeight="1">
      <c r="A824" s="55"/>
      <c r="C824" s="56"/>
      <c r="D824" s="56"/>
    </row>
    <row r="825" ht="15.75" customHeight="1">
      <c r="A825" s="55"/>
      <c r="C825" s="56"/>
      <c r="D825" s="56"/>
    </row>
    <row r="826" ht="15.75" customHeight="1">
      <c r="A826" s="55"/>
      <c r="C826" s="56"/>
      <c r="D826" s="56"/>
    </row>
    <row r="827" ht="15.75" customHeight="1">
      <c r="A827" s="55"/>
      <c r="C827" s="56"/>
      <c r="D827" s="56"/>
    </row>
    <row r="828" ht="15.75" customHeight="1">
      <c r="A828" s="55"/>
      <c r="C828" s="56"/>
      <c r="D828" s="56"/>
    </row>
    <row r="829" ht="15.75" customHeight="1">
      <c r="A829" s="55"/>
      <c r="C829" s="56"/>
      <c r="D829" s="56"/>
    </row>
    <row r="830" ht="15.75" customHeight="1">
      <c r="A830" s="55"/>
      <c r="C830" s="56"/>
      <c r="D830" s="56"/>
    </row>
    <row r="831" ht="15.75" customHeight="1">
      <c r="A831" s="55"/>
      <c r="C831" s="56"/>
      <c r="D831" s="56"/>
    </row>
    <row r="832" ht="15.75" customHeight="1">
      <c r="A832" s="55"/>
      <c r="C832" s="56"/>
      <c r="D832" s="56"/>
    </row>
    <row r="833" ht="15.75" customHeight="1">
      <c r="A833" s="55"/>
      <c r="C833" s="56"/>
      <c r="D833" s="56"/>
    </row>
    <row r="834" ht="15.75" customHeight="1">
      <c r="A834" s="55"/>
      <c r="C834" s="56"/>
      <c r="D834" s="56"/>
    </row>
    <row r="835" ht="15.75" customHeight="1">
      <c r="A835" s="55"/>
      <c r="C835" s="56"/>
      <c r="D835" s="56"/>
    </row>
    <row r="836" ht="15.75" customHeight="1">
      <c r="A836" s="55"/>
      <c r="C836" s="56"/>
      <c r="D836" s="56"/>
    </row>
    <row r="837" ht="15.75" customHeight="1">
      <c r="A837" s="55"/>
      <c r="C837" s="56"/>
      <c r="D837" s="56"/>
    </row>
    <row r="838" ht="15.75" customHeight="1">
      <c r="A838" s="55"/>
      <c r="C838" s="56"/>
      <c r="D838" s="56"/>
    </row>
    <row r="839" ht="15.75" customHeight="1">
      <c r="A839" s="55"/>
      <c r="C839" s="56"/>
      <c r="D839" s="56"/>
    </row>
    <row r="840" ht="15.75" customHeight="1">
      <c r="A840" s="55"/>
      <c r="C840" s="56"/>
      <c r="D840" s="56"/>
    </row>
    <row r="841" ht="15.75" customHeight="1">
      <c r="A841" s="55"/>
      <c r="C841" s="56"/>
      <c r="D841" s="56"/>
    </row>
    <row r="842" ht="15.75" customHeight="1">
      <c r="A842" s="55"/>
      <c r="C842" s="56"/>
      <c r="D842" s="56"/>
    </row>
    <row r="843" ht="15.75" customHeight="1">
      <c r="A843" s="55"/>
      <c r="C843" s="56"/>
      <c r="D843" s="56"/>
    </row>
    <row r="844" ht="15.75" customHeight="1">
      <c r="A844" s="55"/>
      <c r="C844" s="56"/>
      <c r="D844" s="56"/>
    </row>
    <row r="845" ht="15.75" customHeight="1">
      <c r="A845" s="55"/>
      <c r="C845" s="56"/>
      <c r="D845" s="56"/>
    </row>
    <row r="846" ht="15.75" customHeight="1">
      <c r="A846" s="55"/>
      <c r="C846" s="56"/>
      <c r="D846" s="56"/>
    </row>
    <row r="847" ht="15.75" customHeight="1">
      <c r="A847" s="55"/>
      <c r="C847" s="56"/>
      <c r="D847" s="56"/>
    </row>
    <row r="848" ht="15.75" customHeight="1">
      <c r="A848" s="55"/>
      <c r="C848" s="56"/>
      <c r="D848" s="56"/>
    </row>
    <row r="849" ht="15.75" customHeight="1">
      <c r="A849" s="55"/>
      <c r="C849" s="56"/>
      <c r="D849" s="56"/>
    </row>
    <row r="850" ht="15.75" customHeight="1">
      <c r="A850" s="55"/>
      <c r="C850" s="56"/>
      <c r="D850" s="56"/>
    </row>
    <row r="851" ht="15.75" customHeight="1">
      <c r="A851" s="55"/>
      <c r="C851" s="56"/>
      <c r="D851" s="56"/>
    </row>
    <row r="852" ht="15.75" customHeight="1">
      <c r="A852" s="55"/>
      <c r="C852" s="56"/>
      <c r="D852" s="56"/>
    </row>
    <row r="853" ht="15.75" customHeight="1">
      <c r="A853" s="55"/>
      <c r="C853" s="56"/>
      <c r="D853" s="56"/>
    </row>
    <row r="854" ht="15.75" customHeight="1">
      <c r="A854" s="55"/>
      <c r="C854" s="56"/>
      <c r="D854" s="56"/>
    </row>
    <row r="855" ht="15.75" customHeight="1">
      <c r="A855" s="55"/>
      <c r="C855" s="56"/>
      <c r="D855" s="56"/>
    </row>
    <row r="856" ht="15.75" customHeight="1">
      <c r="A856" s="55"/>
      <c r="C856" s="56"/>
      <c r="D856" s="56"/>
    </row>
    <row r="857" ht="15.75" customHeight="1">
      <c r="A857" s="55"/>
      <c r="C857" s="56"/>
      <c r="D857" s="56"/>
    </row>
    <row r="858" ht="15.75" customHeight="1">
      <c r="A858" s="55"/>
      <c r="C858" s="56"/>
      <c r="D858" s="56"/>
    </row>
    <row r="859" ht="15.75" customHeight="1">
      <c r="A859" s="55"/>
      <c r="C859" s="56"/>
      <c r="D859" s="56"/>
    </row>
    <row r="860" ht="15.75" customHeight="1">
      <c r="A860" s="55"/>
      <c r="C860" s="56"/>
      <c r="D860" s="56"/>
    </row>
    <row r="861" ht="15.75" customHeight="1">
      <c r="A861" s="55"/>
      <c r="C861" s="56"/>
      <c r="D861" s="56"/>
    </row>
    <row r="862" ht="15.75" customHeight="1">
      <c r="A862" s="55"/>
      <c r="C862" s="56"/>
      <c r="D862" s="56"/>
    </row>
    <row r="863" ht="15.75" customHeight="1">
      <c r="A863" s="55"/>
      <c r="C863" s="56"/>
      <c r="D863" s="56"/>
    </row>
    <row r="864" ht="15.75" customHeight="1">
      <c r="A864" s="55"/>
      <c r="C864" s="56"/>
      <c r="D864" s="56"/>
    </row>
    <row r="865" ht="15.75" customHeight="1">
      <c r="A865" s="55"/>
      <c r="C865" s="56"/>
      <c r="D865" s="56"/>
    </row>
    <row r="866" ht="15.75" customHeight="1">
      <c r="A866" s="55"/>
      <c r="C866" s="56"/>
      <c r="D866" s="56"/>
    </row>
    <row r="867" ht="15.75" customHeight="1">
      <c r="A867" s="55"/>
      <c r="C867" s="56"/>
      <c r="D867" s="56"/>
    </row>
    <row r="868" ht="15.75" customHeight="1">
      <c r="A868" s="55"/>
      <c r="C868" s="56"/>
      <c r="D868" s="56"/>
    </row>
    <row r="869" ht="15.75" customHeight="1">
      <c r="A869" s="55"/>
      <c r="C869" s="56"/>
      <c r="D869" s="56"/>
    </row>
    <row r="870" ht="15.75" customHeight="1">
      <c r="A870" s="55"/>
      <c r="C870" s="56"/>
      <c r="D870" s="56"/>
    </row>
    <row r="871" ht="15.75" customHeight="1">
      <c r="A871" s="55"/>
      <c r="C871" s="56"/>
      <c r="D871" s="56"/>
    </row>
    <row r="872" ht="15.75" customHeight="1">
      <c r="A872" s="55"/>
      <c r="C872" s="56"/>
      <c r="D872" s="56"/>
    </row>
    <row r="873" ht="15.75" customHeight="1">
      <c r="A873" s="55"/>
      <c r="C873" s="56"/>
      <c r="D873" s="56"/>
    </row>
    <row r="874" ht="15.75" customHeight="1">
      <c r="A874" s="55"/>
      <c r="C874" s="56"/>
      <c r="D874" s="56"/>
    </row>
    <row r="875" ht="15.75" customHeight="1">
      <c r="A875" s="55"/>
      <c r="C875" s="56"/>
      <c r="D875" s="56"/>
    </row>
    <row r="876" ht="15.75" customHeight="1">
      <c r="A876" s="55"/>
      <c r="C876" s="56"/>
      <c r="D876" s="56"/>
    </row>
    <row r="877" ht="15.75" customHeight="1">
      <c r="A877" s="55"/>
      <c r="C877" s="56"/>
      <c r="D877" s="56"/>
    </row>
    <row r="878" ht="15.75" customHeight="1">
      <c r="A878" s="55"/>
      <c r="C878" s="56"/>
      <c r="D878" s="56"/>
    </row>
    <row r="879" ht="15.75" customHeight="1">
      <c r="A879" s="55"/>
      <c r="C879" s="56"/>
      <c r="D879" s="56"/>
    </row>
    <row r="880" ht="15.75" customHeight="1">
      <c r="A880" s="55"/>
      <c r="C880" s="56"/>
      <c r="D880" s="56"/>
    </row>
    <row r="881" ht="15.75" customHeight="1">
      <c r="A881" s="55"/>
      <c r="C881" s="56"/>
      <c r="D881" s="56"/>
    </row>
    <row r="882" ht="15.75" customHeight="1">
      <c r="A882" s="55"/>
      <c r="C882" s="56"/>
      <c r="D882" s="56"/>
    </row>
    <row r="883" ht="15.75" customHeight="1">
      <c r="A883" s="55"/>
      <c r="C883" s="56"/>
      <c r="D883" s="56"/>
    </row>
    <row r="884" ht="15.75" customHeight="1">
      <c r="A884" s="55"/>
      <c r="C884" s="56"/>
      <c r="D884" s="56"/>
    </row>
    <row r="885" ht="15.75" customHeight="1">
      <c r="A885" s="55"/>
      <c r="C885" s="56"/>
      <c r="D885" s="56"/>
    </row>
    <row r="886" ht="15.75" customHeight="1">
      <c r="A886" s="55"/>
      <c r="C886" s="56"/>
      <c r="D886" s="56"/>
    </row>
    <row r="887" ht="15.75" customHeight="1">
      <c r="A887" s="55"/>
      <c r="C887" s="56"/>
      <c r="D887" s="56"/>
    </row>
    <row r="888" ht="15.75" customHeight="1">
      <c r="A888" s="55"/>
      <c r="C888" s="56"/>
      <c r="D888" s="56"/>
    </row>
    <row r="889" ht="15.75" customHeight="1">
      <c r="A889" s="55"/>
      <c r="C889" s="56"/>
      <c r="D889" s="56"/>
    </row>
    <row r="890" ht="15.75" customHeight="1">
      <c r="A890" s="55"/>
      <c r="C890" s="56"/>
      <c r="D890" s="56"/>
    </row>
    <row r="891" ht="15.75" customHeight="1">
      <c r="A891" s="55"/>
      <c r="C891" s="56"/>
      <c r="D891" s="56"/>
    </row>
    <row r="892" ht="15.75" customHeight="1">
      <c r="A892" s="55"/>
      <c r="C892" s="56"/>
      <c r="D892" s="56"/>
    </row>
    <row r="893" ht="15.75" customHeight="1">
      <c r="A893" s="55"/>
      <c r="C893" s="56"/>
      <c r="D893" s="56"/>
    </row>
    <row r="894" ht="15.75" customHeight="1">
      <c r="A894" s="55"/>
      <c r="C894" s="56"/>
      <c r="D894" s="56"/>
    </row>
    <row r="895" ht="15.75" customHeight="1">
      <c r="A895" s="55"/>
      <c r="C895" s="56"/>
      <c r="D895" s="56"/>
    </row>
    <row r="896" ht="15.75" customHeight="1">
      <c r="A896" s="55"/>
      <c r="C896" s="56"/>
      <c r="D896" s="56"/>
    </row>
    <row r="897" ht="15.75" customHeight="1">
      <c r="A897" s="55"/>
      <c r="C897" s="56"/>
      <c r="D897" s="56"/>
    </row>
    <row r="898" ht="15.75" customHeight="1">
      <c r="A898" s="55"/>
      <c r="C898" s="56"/>
      <c r="D898" s="56"/>
    </row>
    <row r="899" ht="15.75" customHeight="1">
      <c r="A899" s="55"/>
      <c r="C899" s="56"/>
      <c r="D899" s="56"/>
    </row>
    <row r="900" ht="15.75" customHeight="1">
      <c r="A900" s="55"/>
      <c r="C900" s="56"/>
      <c r="D900" s="56"/>
    </row>
    <row r="901" ht="15.75" customHeight="1">
      <c r="A901" s="55"/>
      <c r="C901" s="56"/>
      <c r="D901" s="56"/>
    </row>
    <row r="902" ht="15.75" customHeight="1">
      <c r="A902" s="55"/>
      <c r="C902" s="56"/>
      <c r="D902" s="56"/>
    </row>
    <row r="903" ht="15.75" customHeight="1">
      <c r="A903" s="55"/>
      <c r="C903" s="56"/>
      <c r="D903" s="56"/>
    </row>
    <row r="904" ht="15.75" customHeight="1">
      <c r="A904" s="55"/>
      <c r="C904" s="56"/>
      <c r="D904" s="56"/>
    </row>
    <row r="905" ht="15.75" customHeight="1">
      <c r="A905" s="55"/>
      <c r="C905" s="56"/>
      <c r="D905" s="56"/>
    </row>
    <row r="906" ht="15.75" customHeight="1">
      <c r="A906" s="55"/>
      <c r="C906" s="56"/>
      <c r="D906" s="56"/>
    </row>
    <row r="907" ht="15.75" customHeight="1">
      <c r="A907" s="55"/>
      <c r="C907" s="56"/>
      <c r="D907" s="56"/>
    </row>
    <row r="908" ht="15.75" customHeight="1">
      <c r="A908" s="55"/>
      <c r="C908" s="56"/>
      <c r="D908" s="56"/>
    </row>
    <row r="909" ht="15.75" customHeight="1">
      <c r="A909" s="55"/>
      <c r="C909" s="56"/>
      <c r="D909" s="56"/>
    </row>
    <row r="910" ht="15.75" customHeight="1">
      <c r="A910" s="55"/>
      <c r="C910" s="56"/>
      <c r="D910" s="56"/>
    </row>
    <row r="911" ht="15.75" customHeight="1">
      <c r="A911" s="55"/>
      <c r="C911" s="56"/>
      <c r="D911" s="56"/>
    </row>
    <row r="912" ht="15.75" customHeight="1">
      <c r="A912" s="55"/>
      <c r="C912" s="56"/>
      <c r="D912" s="56"/>
    </row>
    <row r="913" ht="15.75" customHeight="1">
      <c r="A913" s="55"/>
      <c r="C913" s="56"/>
      <c r="D913" s="56"/>
    </row>
    <row r="914" ht="15.75" customHeight="1">
      <c r="A914" s="55"/>
      <c r="C914" s="56"/>
      <c r="D914" s="56"/>
    </row>
    <row r="915" ht="15.75" customHeight="1">
      <c r="A915" s="55"/>
      <c r="C915" s="56"/>
      <c r="D915" s="56"/>
    </row>
    <row r="916" ht="15.75" customHeight="1">
      <c r="A916" s="55"/>
      <c r="C916" s="56"/>
      <c r="D916" s="56"/>
    </row>
    <row r="917" ht="15.75" customHeight="1">
      <c r="A917" s="55"/>
      <c r="C917" s="56"/>
      <c r="D917" s="56"/>
    </row>
    <row r="918" ht="15.75" customHeight="1">
      <c r="A918" s="55"/>
      <c r="C918" s="56"/>
      <c r="D918" s="56"/>
    </row>
    <row r="919" ht="15.75" customHeight="1">
      <c r="A919" s="55"/>
      <c r="C919" s="56"/>
      <c r="D919" s="56"/>
    </row>
    <row r="920" ht="15.75" customHeight="1">
      <c r="A920" s="55"/>
      <c r="C920" s="56"/>
      <c r="D920" s="56"/>
    </row>
    <row r="921" ht="15.75" customHeight="1">
      <c r="A921" s="55"/>
      <c r="C921" s="56"/>
      <c r="D921" s="56"/>
    </row>
    <row r="922" ht="15.75" customHeight="1">
      <c r="A922" s="55"/>
      <c r="C922" s="56"/>
      <c r="D922" s="56"/>
    </row>
    <row r="923" ht="15.75" customHeight="1">
      <c r="A923" s="55"/>
      <c r="C923" s="56"/>
      <c r="D923" s="56"/>
    </row>
    <row r="924" ht="15.75" customHeight="1">
      <c r="A924" s="55"/>
      <c r="C924" s="56"/>
      <c r="D924" s="56"/>
    </row>
    <row r="925" ht="15.75" customHeight="1">
      <c r="A925" s="55"/>
      <c r="C925" s="56"/>
      <c r="D925" s="56"/>
    </row>
    <row r="926" ht="15.75" customHeight="1">
      <c r="A926" s="55"/>
      <c r="C926" s="56"/>
      <c r="D926" s="56"/>
    </row>
    <row r="927" ht="15.75" customHeight="1">
      <c r="A927" s="55"/>
      <c r="C927" s="56"/>
      <c r="D927" s="56"/>
    </row>
    <row r="928" ht="15.75" customHeight="1">
      <c r="A928" s="55"/>
      <c r="C928" s="56"/>
      <c r="D928" s="56"/>
    </row>
    <row r="929" ht="15.75" customHeight="1">
      <c r="A929" s="55"/>
      <c r="C929" s="56"/>
      <c r="D929" s="56"/>
    </row>
    <row r="930" ht="15.75" customHeight="1">
      <c r="A930" s="55"/>
      <c r="C930" s="56"/>
      <c r="D930" s="56"/>
    </row>
    <row r="931" ht="15.75" customHeight="1">
      <c r="A931" s="55"/>
      <c r="C931" s="56"/>
      <c r="D931" s="56"/>
    </row>
    <row r="932" ht="15.75" customHeight="1">
      <c r="A932" s="55"/>
      <c r="C932" s="56"/>
      <c r="D932" s="56"/>
    </row>
    <row r="933" ht="15.75" customHeight="1">
      <c r="A933" s="55"/>
      <c r="C933" s="56"/>
      <c r="D933" s="56"/>
    </row>
    <row r="934" ht="15.75" customHeight="1">
      <c r="A934" s="55"/>
      <c r="C934" s="56"/>
      <c r="D934" s="56"/>
    </row>
    <row r="935" ht="15.75" customHeight="1">
      <c r="A935" s="55"/>
      <c r="C935" s="56"/>
      <c r="D935" s="56"/>
    </row>
    <row r="936" ht="15.75" customHeight="1">
      <c r="A936" s="55"/>
      <c r="C936" s="56"/>
      <c r="D936" s="56"/>
    </row>
    <row r="937" ht="15.75" customHeight="1">
      <c r="A937" s="55"/>
      <c r="C937" s="56"/>
      <c r="D937" s="56"/>
    </row>
    <row r="938" ht="15.75" customHeight="1">
      <c r="A938" s="55"/>
      <c r="C938" s="56"/>
      <c r="D938" s="56"/>
    </row>
    <row r="939" ht="15.75" customHeight="1">
      <c r="A939" s="55"/>
      <c r="C939" s="56"/>
      <c r="D939" s="56"/>
    </row>
    <row r="940" ht="15.75" customHeight="1">
      <c r="A940" s="55"/>
      <c r="C940" s="56"/>
      <c r="D940" s="56"/>
    </row>
    <row r="941" ht="15.75" customHeight="1">
      <c r="A941" s="55"/>
      <c r="C941" s="56"/>
      <c r="D941" s="56"/>
    </row>
    <row r="942" ht="15.75" customHeight="1">
      <c r="A942" s="55"/>
      <c r="C942" s="56"/>
      <c r="D942" s="56"/>
    </row>
    <row r="943" ht="15.75" customHeight="1">
      <c r="A943" s="55"/>
      <c r="C943" s="56"/>
      <c r="D943" s="56"/>
    </row>
    <row r="944" ht="15.75" customHeight="1">
      <c r="A944" s="55"/>
      <c r="C944" s="56"/>
      <c r="D944" s="56"/>
    </row>
    <row r="945" ht="15.75" customHeight="1">
      <c r="A945" s="55"/>
      <c r="C945" s="56"/>
      <c r="D945" s="56"/>
    </row>
    <row r="946" ht="15.75" customHeight="1">
      <c r="A946" s="55"/>
      <c r="C946" s="56"/>
      <c r="D946" s="56"/>
    </row>
    <row r="947" ht="15.75" customHeight="1">
      <c r="A947" s="55"/>
      <c r="C947" s="56"/>
      <c r="D947" s="56"/>
    </row>
    <row r="948" ht="15.75" customHeight="1">
      <c r="A948" s="55"/>
      <c r="C948" s="56"/>
      <c r="D948" s="56"/>
    </row>
    <row r="949" ht="15.75" customHeight="1">
      <c r="A949" s="55"/>
      <c r="C949" s="56"/>
      <c r="D949" s="56"/>
    </row>
    <row r="950" ht="15.75" customHeight="1">
      <c r="A950" s="55"/>
      <c r="C950" s="56"/>
      <c r="D950" s="56"/>
    </row>
    <row r="951" ht="15.75" customHeight="1">
      <c r="A951" s="55"/>
      <c r="C951" s="56"/>
      <c r="D951" s="56"/>
    </row>
    <row r="952" ht="15.75" customHeight="1">
      <c r="A952" s="55"/>
      <c r="C952" s="56"/>
      <c r="D952" s="56"/>
    </row>
    <row r="953" ht="15.75" customHeight="1">
      <c r="A953" s="55"/>
      <c r="C953" s="56"/>
      <c r="D953" s="56"/>
    </row>
    <row r="954" ht="15.75" customHeight="1">
      <c r="A954" s="55"/>
      <c r="C954" s="56"/>
      <c r="D954" s="56"/>
    </row>
    <row r="955" ht="15.75" customHeight="1">
      <c r="A955" s="55"/>
      <c r="C955" s="56"/>
      <c r="D955" s="56"/>
    </row>
    <row r="956" ht="15.75" customHeight="1">
      <c r="A956" s="55"/>
      <c r="C956" s="56"/>
      <c r="D956" s="56"/>
    </row>
    <row r="957" ht="15.75" customHeight="1">
      <c r="A957" s="55"/>
      <c r="C957" s="56"/>
      <c r="D957" s="56"/>
    </row>
    <row r="958" ht="15.75" customHeight="1">
      <c r="A958" s="55"/>
      <c r="C958" s="56"/>
      <c r="D958" s="56"/>
    </row>
    <row r="959" ht="15.75" customHeight="1">
      <c r="A959" s="55"/>
      <c r="C959" s="56"/>
      <c r="D959" s="56"/>
    </row>
    <row r="960" ht="15.75" customHeight="1">
      <c r="A960" s="55"/>
      <c r="C960" s="56"/>
      <c r="D960" s="56"/>
    </row>
    <row r="961" ht="15.75" customHeight="1">
      <c r="A961" s="55"/>
      <c r="C961" s="56"/>
      <c r="D961" s="56"/>
    </row>
    <row r="962" ht="15.75" customHeight="1">
      <c r="A962" s="55"/>
      <c r="C962" s="56"/>
      <c r="D962" s="56"/>
    </row>
    <row r="963" ht="15.75" customHeight="1">
      <c r="A963" s="55"/>
      <c r="C963" s="56"/>
      <c r="D963" s="56"/>
    </row>
    <row r="964" ht="15.75" customHeight="1">
      <c r="A964" s="55"/>
      <c r="C964" s="56"/>
      <c r="D964" s="56"/>
    </row>
    <row r="965" ht="15.75" customHeight="1">
      <c r="A965" s="55"/>
      <c r="C965" s="56"/>
      <c r="D965" s="56"/>
    </row>
    <row r="966" ht="15.75" customHeight="1">
      <c r="A966" s="55"/>
      <c r="C966" s="56"/>
      <c r="D966" s="56"/>
    </row>
    <row r="967" ht="15.75" customHeight="1">
      <c r="A967" s="55"/>
      <c r="C967" s="56"/>
      <c r="D967" s="56"/>
    </row>
    <row r="968" ht="15.75" customHeight="1">
      <c r="A968" s="55"/>
      <c r="C968" s="56"/>
      <c r="D968" s="56"/>
    </row>
    <row r="969" ht="15.75" customHeight="1">
      <c r="A969" s="55"/>
      <c r="C969" s="56"/>
      <c r="D969" s="56"/>
    </row>
    <row r="970" ht="15.75" customHeight="1">
      <c r="A970" s="55"/>
      <c r="C970" s="56"/>
      <c r="D970" s="56"/>
    </row>
    <row r="971" ht="15.75" customHeight="1">
      <c r="A971" s="55"/>
      <c r="C971" s="56"/>
      <c r="D971" s="56"/>
    </row>
    <row r="972" ht="15.75" customHeight="1">
      <c r="A972" s="55"/>
      <c r="C972" s="56"/>
      <c r="D972" s="56"/>
    </row>
    <row r="973" ht="15.75" customHeight="1">
      <c r="A973" s="55"/>
      <c r="C973" s="56"/>
      <c r="D973" s="56"/>
    </row>
    <row r="974" ht="15.75" customHeight="1">
      <c r="A974" s="55"/>
      <c r="C974" s="56"/>
      <c r="D974" s="56"/>
    </row>
    <row r="975" ht="15.75" customHeight="1">
      <c r="A975" s="55"/>
      <c r="C975" s="56"/>
      <c r="D975" s="56"/>
    </row>
    <row r="976" ht="15.75" customHeight="1">
      <c r="A976" s="55"/>
      <c r="C976" s="56"/>
      <c r="D976" s="56"/>
    </row>
    <row r="977" ht="15.75" customHeight="1">
      <c r="A977" s="55"/>
      <c r="C977" s="56"/>
      <c r="D977" s="56"/>
    </row>
    <row r="978" ht="15.75" customHeight="1">
      <c r="A978" s="55"/>
      <c r="C978" s="56"/>
      <c r="D978" s="56"/>
    </row>
    <row r="979" ht="15.75" customHeight="1">
      <c r="A979" s="55"/>
      <c r="C979" s="56"/>
      <c r="D979" s="56"/>
    </row>
    <row r="980" ht="15.75" customHeight="1">
      <c r="A980" s="55"/>
      <c r="C980" s="56"/>
      <c r="D980" s="56"/>
    </row>
    <row r="981" ht="15.75" customHeight="1">
      <c r="A981" s="55"/>
      <c r="C981" s="56"/>
      <c r="D981" s="56"/>
    </row>
    <row r="982" ht="15.75" customHeight="1">
      <c r="A982" s="55"/>
      <c r="C982" s="56"/>
      <c r="D982" s="56"/>
    </row>
    <row r="983" ht="15.75" customHeight="1">
      <c r="A983" s="55"/>
      <c r="C983" s="56"/>
      <c r="D983" s="56"/>
    </row>
    <row r="984" ht="15.75" customHeight="1">
      <c r="A984" s="55"/>
      <c r="C984" s="56"/>
      <c r="D984" s="56"/>
    </row>
    <row r="985" ht="15.75" customHeight="1">
      <c r="A985" s="55"/>
      <c r="C985" s="56"/>
      <c r="D985" s="56"/>
    </row>
    <row r="986" ht="15.75" customHeight="1">
      <c r="A986" s="55"/>
      <c r="C986" s="56"/>
      <c r="D986" s="56"/>
    </row>
    <row r="987" ht="15.75" customHeight="1">
      <c r="A987" s="55"/>
      <c r="C987" s="56"/>
      <c r="D987" s="56"/>
    </row>
    <row r="988" ht="15.75" customHeight="1">
      <c r="A988" s="55"/>
      <c r="C988" s="56"/>
      <c r="D988" s="56"/>
    </row>
    <row r="989" ht="15.75" customHeight="1">
      <c r="A989" s="55"/>
      <c r="C989" s="56"/>
      <c r="D989" s="56"/>
    </row>
    <row r="990" ht="15.75" customHeight="1">
      <c r="A990" s="55"/>
      <c r="C990" s="56"/>
      <c r="D990" s="56"/>
    </row>
    <row r="991" ht="15.75" customHeight="1">
      <c r="A991" s="55"/>
      <c r="C991" s="56"/>
      <c r="D991" s="56"/>
    </row>
    <row r="992" ht="15.75" customHeight="1">
      <c r="A992" s="55"/>
      <c r="C992" s="56"/>
      <c r="D992" s="56"/>
    </row>
    <row r="993" ht="15.75" customHeight="1">
      <c r="A993" s="55"/>
      <c r="C993" s="56"/>
      <c r="D993" s="56"/>
    </row>
    <row r="994" ht="15.75" customHeight="1">
      <c r="A994" s="55"/>
      <c r="C994" s="56"/>
      <c r="D994" s="56"/>
    </row>
    <row r="995" ht="15.75" customHeight="1">
      <c r="A995" s="55"/>
      <c r="C995" s="56"/>
      <c r="D995" s="56"/>
    </row>
    <row r="996" ht="15.75" customHeight="1">
      <c r="A996" s="55"/>
      <c r="C996" s="56"/>
      <c r="D996" s="56"/>
    </row>
    <row r="997" ht="15.75" customHeight="1">
      <c r="A997" s="55"/>
      <c r="C997" s="56"/>
      <c r="D997" s="56"/>
    </row>
    <row r="998" ht="15.75" customHeight="1">
      <c r="A998" s="55"/>
      <c r="C998" s="56"/>
      <c r="D998" s="56"/>
    </row>
    <row r="999" ht="15.75" customHeight="1">
      <c r="A999" s="55"/>
      <c r="C999" s="56"/>
      <c r="D999" s="56"/>
    </row>
    <row r="1000" ht="15.75" customHeight="1">
      <c r="A1000" s="55"/>
      <c r="C1000" s="56"/>
      <c r="D1000" s="5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44" t="s">
        <v>37</v>
      </c>
      <c r="B1" s="45" t="s">
        <v>38</v>
      </c>
      <c r="C1" s="46" t="s">
        <v>386</v>
      </c>
      <c r="D1" s="57" t="s">
        <v>45</v>
      </c>
    </row>
    <row r="2" ht="15.75" customHeight="1">
      <c r="A2" s="18">
        <v>10101.0</v>
      </c>
      <c r="B2" s="47" t="s">
        <v>46</v>
      </c>
      <c r="C2" s="48"/>
      <c r="D2" s="49"/>
    </row>
    <row r="3" ht="15.75" customHeight="1">
      <c r="A3" s="18">
        <v>10102.0</v>
      </c>
      <c r="B3" s="47" t="s">
        <v>47</v>
      </c>
      <c r="C3" s="48"/>
      <c r="D3" s="49"/>
    </row>
    <row r="4" ht="15.75" customHeight="1">
      <c r="A4" s="18">
        <v>10103.0</v>
      </c>
      <c r="B4" s="47" t="s">
        <v>49</v>
      </c>
      <c r="C4" s="48"/>
      <c r="D4" s="49"/>
    </row>
    <row r="5" ht="15.75" customHeight="1">
      <c r="A5" s="18">
        <v>10201.0</v>
      </c>
      <c r="B5" s="47" t="s">
        <v>51</v>
      </c>
      <c r="C5" s="48"/>
      <c r="D5" s="49"/>
    </row>
    <row r="6" ht="15.75" customHeight="1">
      <c r="A6" s="18">
        <v>10202.0</v>
      </c>
      <c r="B6" s="47" t="s">
        <v>52</v>
      </c>
      <c r="C6" s="48"/>
      <c r="D6" s="49"/>
    </row>
    <row r="7" ht="15.75" customHeight="1">
      <c r="A7" s="18">
        <v>10301.0</v>
      </c>
      <c r="B7" s="47" t="s">
        <v>53</v>
      </c>
      <c r="C7" s="48"/>
      <c r="D7" s="49"/>
    </row>
    <row r="8" ht="15.75" customHeight="1">
      <c r="A8" s="18">
        <v>10302.0</v>
      </c>
      <c r="B8" s="47" t="s">
        <v>55</v>
      </c>
      <c r="C8" s="48"/>
      <c r="D8" s="49"/>
    </row>
    <row r="9" ht="15.75" customHeight="1">
      <c r="A9" s="18">
        <v>10303.0</v>
      </c>
      <c r="B9" s="47" t="s">
        <v>56</v>
      </c>
      <c r="C9" s="48"/>
      <c r="D9" s="49"/>
    </row>
    <row r="10" ht="15.75" customHeight="1">
      <c r="A10" s="18">
        <v>10304.0</v>
      </c>
      <c r="B10" s="47" t="s">
        <v>57</v>
      </c>
      <c r="C10" s="48"/>
      <c r="D10" s="49"/>
    </row>
    <row r="11" ht="15.75" customHeight="1">
      <c r="A11" s="18">
        <v>10401.0</v>
      </c>
      <c r="B11" s="47" t="s">
        <v>58</v>
      </c>
      <c r="C11" s="48"/>
      <c r="D11" s="49"/>
    </row>
    <row r="12" ht="15.75" customHeight="1">
      <c r="A12" s="18">
        <v>10402.0</v>
      </c>
      <c r="B12" s="47" t="s">
        <v>59</v>
      </c>
      <c r="C12" s="48"/>
      <c r="D12" s="49"/>
    </row>
    <row r="13" ht="15.75" customHeight="1">
      <c r="A13" s="18">
        <v>10403.0</v>
      </c>
      <c r="B13" s="47" t="s">
        <v>60</v>
      </c>
      <c r="C13" s="48"/>
      <c r="D13" s="49"/>
    </row>
    <row r="14" ht="15.75" customHeight="1">
      <c r="A14" s="18">
        <v>10404.0</v>
      </c>
      <c r="B14" s="47" t="s">
        <v>61</v>
      </c>
      <c r="C14" s="48"/>
      <c r="D14" s="49"/>
    </row>
    <row r="15" ht="15.75" customHeight="1">
      <c r="A15" s="18">
        <v>10405.0</v>
      </c>
      <c r="B15" s="47" t="s">
        <v>62</v>
      </c>
      <c r="C15" s="48"/>
      <c r="D15" s="49"/>
    </row>
    <row r="16" ht="15.75" customHeight="1">
      <c r="A16" s="18">
        <v>10501.0</v>
      </c>
      <c r="B16" s="47" t="s">
        <v>63</v>
      </c>
      <c r="C16" s="48"/>
      <c r="D16" s="49"/>
    </row>
    <row r="17" ht="15.75" customHeight="1">
      <c r="A17" s="18">
        <v>10502.0</v>
      </c>
      <c r="B17" s="47" t="s">
        <v>64</v>
      </c>
      <c r="C17" s="48"/>
      <c r="D17" s="49"/>
    </row>
    <row r="18" ht="15.75" customHeight="1">
      <c r="A18" s="18">
        <v>10601.0</v>
      </c>
      <c r="B18" s="47" t="s">
        <v>67</v>
      </c>
      <c r="C18" s="48"/>
      <c r="D18" s="49"/>
    </row>
    <row r="19" ht="15.75" customHeight="1">
      <c r="A19" s="18">
        <v>10602.0</v>
      </c>
      <c r="B19" s="47" t="s">
        <v>68</v>
      </c>
      <c r="C19" s="48"/>
      <c r="D19" s="49"/>
    </row>
    <row r="20" ht="15.75" customHeight="1">
      <c r="A20" s="18">
        <v>10701.0</v>
      </c>
      <c r="B20" s="47" t="s">
        <v>70</v>
      </c>
      <c r="C20" s="48"/>
      <c r="D20" s="49"/>
    </row>
    <row r="21" ht="15.75" customHeight="1">
      <c r="A21" s="18">
        <v>10702.0</v>
      </c>
      <c r="B21" s="47" t="s">
        <v>71</v>
      </c>
      <c r="C21" s="48"/>
      <c r="D21" s="49"/>
    </row>
    <row r="22" ht="15.75" customHeight="1">
      <c r="A22" s="18">
        <v>10703.0</v>
      </c>
      <c r="B22" s="47" t="s">
        <v>74</v>
      </c>
      <c r="C22" s="48"/>
      <c r="D22" s="49"/>
    </row>
    <row r="23" ht="15.75" customHeight="1">
      <c r="A23" s="18">
        <v>10704.0</v>
      </c>
      <c r="B23" s="47" t="s">
        <v>77</v>
      </c>
      <c r="C23" s="48"/>
      <c r="D23" s="49"/>
    </row>
    <row r="24" ht="15.75" customHeight="1">
      <c r="A24" s="18">
        <v>10801.0</v>
      </c>
      <c r="B24" s="47" t="s">
        <v>78</v>
      </c>
      <c r="C24" s="48"/>
      <c r="D24" s="49"/>
    </row>
    <row r="25" ht="15.75" customHeight="1">
      <c r="A25" s="18">
        <v>10901.0</v>
      </c>
      <c r="B25" s="47" t="s">
        <v>79</v>
      </c>
      <c r="C25" s="48"/>
      <c r="D25" s="49"/>
    </row>
    <row r="26" ht="15.75" customHeight="1">
      <c r="A26" s="18">
        <v>10902.0</v>
      </c>
      <c r="B26" s="47" t="s">
        <v>80</v>
      </c>
      <c r="C26" s="48"/>
      <c r="D26" s="49"/>
    </row>
    <row r="27" ht="15.75" customHeight="1">
      <c r="A27" s="18">
        <v>10903.0</v>
      </c>
      <c r="B27" s="47" t="s">
        <v>81</v>
      </c>
      <c r="C27" s="48"/>
      <c r="D27" s="49"/>
    </row>
    <row r="28" ht="15.75" customHeight="1">
      <c r="A28" s="18">
        <v>11001.0</v>
      </c>
      <c r="B28" s="47" t="s">
        <v>82</v>
      </c>
      <c r="C28" s="48"/>
      <c r="D28" s="49"/>
    </row>
    <row r="29" ht="15.75" customHeight="1">
      <c r="A29" s="18">
        <v>11002.0</v>
      </c>
      <c r="B29" s="47" t="s">
        <v>83</v>
      </c>
      <c r="C29" s="48"/>
      <c r="D29" s="49"/>
    </row>
    <row r="30" ht="15.75" customHeight="1">
      <c r="A30" s="18">
        <v>11003.0</v>
      </c>
      <c r="B30" s="47" t="s">
        <v>84</v>
      </c>
      <c r="C30" s="48"/>
      <c r="D30" s="49"/>
    </row>
    <row r="31" ht="15.75" customHeight="1">
      <c r="A31" s="18">
        <v>20101.0</v>
      </c>
      <c r="B31" s="47" t="s">
        <v>85</v>
      </c>
      <c r="C31" s="48"/>
      <c r="D31" s="49"/>
    </row>
    <row r="32" ht="15.75" customHeight="1">
      <c r="A32" s="18">
        <v>20102.0</v>
      </c>
      <c r="B32" s="47" t="s">
        <v>86</v>
      </c>
      <c r="C32" s="48"/>
      <c r="D32" s="49"/>
    </row>
    <row r="33" ht="15.75" customHeight="1">
      <c r="A33" s="18">
        <v>20103.0</v>
      </c>
      <c r="B33" s="47" t="s">
        <v>87</v>
      </c>
      <c r="C33" s="48"/>
      <c r="D33" s="49"/>
    </row>
    <row r="34" ht="15.75" customHeight="1">
      <c r="A34" s="18">
        <v>20104.0</v>
      </c>
      <c r="B34" s="47" t="s">
        <v>88</v>
      </c>
      <c r="C34" s="48"/>
      <c r="D34" s="49"/>
    </row>
    <row r="35" ht="15.75" customHeight="1">
      <c r="A35" s="18">
        <v>20105.0</v>
      </c>
      <c r="B35" s="47" t="s">
        <v>89</v>
      </c>
      <c r="C35" s="48"/>
      <c r="D35" s="49"/>
    </row>
    <row r="36" ht="15.75" customHeight="1">
      <c r="A36" s="18">
        <v>20201.0</v>
      </c>
      <c r="B36" s="47" t="s">
        <v>90</v>
      </c>
      <c r="C36" s="48"/>
      <c r="D36" s="49"/>
    </row>
    <row r="37" ht="15.75" customHeight="1">
      <c r="A37" s="18">
        <v>20202.0</v>
      </c>
      <c r="B37" s="47" t="s">
        <v>91</v>
      </c>
      <c r="C37" s="48"/>
      <c r="D37" s="49"/>
    </row>
    <row r="38" ht="15.75" customHeight="1">
      <c r="A38" s="18">
        <v>20203.0</v>
      </c>
      <c r="B38" s="47" t="s">
        <v>92</v>
      </c>
      <c r="C38" s="48"/>
      <c r="D38" s="49"/>
    </row>
    <row r="39" ht="15.75" customHeight="1">
      <c r="A39" s="18">
        <v>20204.0</v>
      </c>
      <c r="B39" s="47" t="s">
        <v>93</v>
      </c>
      <c r="C39" s="48"/>
      <c r="D39" s="49"/>
    </row>
    <row r="40" ht="15.75" customHeight="1">
      <c r="A40" s="18">
        <v>20205.0</v>
      </c>
      <c r="B40" s="47" t="s">
        <v>94</v>
      </c>
      <c r="C40" s="48"/>
      <c r="D40" s="49"/>
    </row>
    <row r="41" ht="15.75" customHeight="1">
      <c r="A41" s="18">
        <v>20206.0</v>
      </c>
      <c r="B41" s="47" t="s">
        <v>95</v>
      </c>
      <c r="C41" s="48"/>
      <c r="D41" s="49"/>
    </row>
    <row r="42" ht="15.75" customHeight="1">
      <c r="A42" s="18">
        <v>20301.0</v>
      </c>
      <c r="B42" s="47" t="s">
        <v>96</v>
      </c>
      <c r="C42" s="48"/>
      <c r="D42" s="49"/>
    </row>
    <row r="43" ht="15.75" customHeight="1">
      <c r="A43" s="18">
        <v>20302.0</v>
      </c>
      <c r="B43" s="47" t="s">
        <v>97</v>
      </c>
      <c r="C43" s="48"/>
      <c r="D43" s="49"/>
    </row>
    <row r="44" ht="15.75" customHeight="1">
      <c r="A44" s="18">
        <v>20303.0</v>
      </c>
      <c r="B44" s="47" t="s">
        <v>98</v>
      </c>
      <c r="C44" s="48"/>
      <c r="D44" s="49"/>
    </row>
    <row r="45" ht="15.75" customHeight="1">
      <c r="A45" s="18">
        <v>20304.0</v>
      </c>
      <c r="B45" s="47" t="s">
        <v>99</v>
      </c>
      <c r="C45" s="48"/>
      <c r="D45" s="49"/>
    </row>
    <row r="46" ht="15.75" customHeight="1">
      <c r="A46" s="18">
        <v>20305.0</v>
      </c>
      <c r="B46" s="47" t="s">
        <v>100</v>
      </c>
      <c r="C46" s="48"/>
      <c r="D46" s="49"/>
    </row>
    <row r="47" ht="15.75" customHeight="1">
      <c r="A47" s="18">
        <v>20306.0</v>
      </c>
      <c r="B47" s="47" t="s">
        <v>101</v>
      </c>
      <c r="C47" s="48"/>
      <c r="D47" s="49"/>
    </row>
    <row r="48" ht="15.75" customHeight="1">
      <c r="A48" s="18">
        <v>20307.0</v>
      </c>
      <c r="B48" s="47" t="s">
        <v>102</v>
      </c>
      <c r="C48" s="48"/>
      <c r="D48" s="49"/>
    </row>
    <row r="49" ht="15.75" customHeight="1">
      <c r="A49" s="18">
        <v>20308.0</v>
      </c>
      <c r="B49" s="47" t="s">
        <v>103</v>
      </c>
      <c r="C49" s="48"/>
      <c r="D49" s="49"/>
    </row>
    <row r="50" ht="15.75" customHeight="1">
      <c r="A50" s="18">
        <v>20401.0</v>
      </c>
      <c r="B50" s="47" t="s">
        <v>104</v>
      </c>
      <c r="C50" s="48"/>
      <c r="D50" s="49"/>
    </row>
    <row r="51" ht="15.75" customHeight="1">
      <c r="A51" s="18">
        <v>20402.0</v>
      </c>
      <c r="B51" s="47" t="s">
        <v>105</v>
      </c>
      <c r="C51" s="48"/>
      <c r="D51" s="49"/>
    </row>
    <row r="52" ht="15.75" customHeight="1">
      <c r="A52" s="18">
        <v>20403.0</v>
      </c>
      <c r="B52" s="47" t="s">
        <v>106</v>
      </c>
      <c r="C52" s="48"/>
      <c r="D52" s="49"/>
    </row>
    <row r="53" ht="15.75" customHeight="1">
      <c r="A53" s="18">
        <v>20404.0</v>
      </c>
      <c r="B53" s="47" t="s">
        <v>107</v>
      </c>
      <c r="C53" s="48"/>
      <c r="D53" s="49"/>
    </row>
    <row r="54" ht="15.75" customHeight="1">
      <c r="A54" s="18">
        <v>20405.0</v>
      </c>
      <c r="B54" s="47" t="s">
        <v>108</v>
      </c>
      <c r="C54" s="48"/>
      <c r="D54" s="49"/>
    </row>
    <row r="55" ht="15.75" customHeight="1">
      <c r="A55" s="18">
        <v>20501.0</v>
      </c>
      <c r="B55" s="47" t="s">
        <v>109</v>
      </c>
      <c r="C55" s="48"/>
      <c r="D55" s="49"/>
    </row>
    <row r="56" ht="15.75" customHeight="1">
      <c r="A56" s="18">
        <v>20502.0</v>
      </c>
      <c r="B56" s="47" t="s">
        <v>110</v>
      </c>
      <c r="C56" s="48"/>
      <c r="D56" s="49"/>
    </row>
    <row r="57" ht="15.75" customHeight="1">
      <c r="A57" s="18">
        <v>20503.0</v>
      </c>
      <c r="B57" s="47" t="s">
        <v>111</v>
      </c>
      <c r="C57" s="48"/>
      <c r="D57" s="49"/>
    </row>
    <row r="58" ht="15.75" customHeight="1">
      <c r="A58" s="18">
        <v>20601.0</v>
      </c>
      <c r="B58" s="47" t="s">
        <v>112</v>
      </c>
      <c r="C58" s="48"/>
      <c r="D58" s="49"/>
    </row>
    <row r="59" ht="15.75" customHeight="1">
      <c r="A59" s="18">
        <v>20602.0</v>
      </c>
      <c r="B59" s="47" t="s">
        <v>113</v>
      </c>
      <c r="C59" s="48"/>
      <c r="D59" s="49"/>
    </row>
    <row r="60" ht="15.75" customHeight="1">
      <c r="A60" s="18">
        <v>20603.0</v>
      </c>
      <c r="B60" s="47" t="s">
        <v>114</v>
      </c>
      <c r="C60" s="48"/>
      <c r="D60" s="49"/>
    </row>
    <row r="61" ht="15.75" customHeight="1">
      <c r="A61" s="18">
        <v>20604.0</v>
      </c>
      <c r="B61" s="47" t="s">
        <v>115</v>
      </c>
      <c r="C61" s="48"/>
      <c r="D61" s="49"/>
    </row>
    <row r="62" ht="15.75" customHeight="1">
      <c r="A62" s="18">
        <v>20605.0</v>
      </c>
      <c r="B62" s="47" t="s">
        <v>116</v>
      </c>
      <c r="C62" s="48"/>
      <c r="D62" s="49"/>
    </row>
    <row r="63" ht="15.75" customHeight="1">
      <c r="A63" s="18">
        <v>20606.0</v>
      </c>
      <c r="B63" s="47" t="s">
        <v>117</v>
      </c>
      <c r="C63" s="48"/>
      <c r="D63" s="49"/>
    </row>
    <row r="64" ht="15.75" customHeight="1">
      <c r="A64" s="18">
        <v>20607.0</v>
      </c>
      <c r="B64" s="47" t="s">
        <v>118</v>
      </c>
      <c r="C64" s="48"/>
      <c r="D64" s="49"/>
    </row>
    <row r="65" ht="15.75" customHeight="1">
      <c r="A65" s="18">
        <v>20608.0</v>
      </c>
      <c r="B65" s="47" t="s">
        <v>119</v>
      </c>
      <c r="C65" s="48"/>
      <c r="D65" s="49"/>
    </row>
    <row r="66" ht="15.75" customHeight="1">
      <c r="A66" s="18">
        <v>20701.0</v>
      </c>
      <c r="B66" s="47" t="s">
        <v>120</v>
      </c>
      <c r="C66" s="48"/>
      <c r="D66" s="49"/>
    </row>
    <row r="67" ht="15.75" customHeight="1">
      <c r="A67" s="18">
        <v>20702.0</v>
      </c>
      <c r="B67" s="47" t="s">
        <v>121</v>
      </c>
      <c r="C67" s="48"/>
      <c r="D67" s="49"/>
    </row>
    <row r="68" ht="15.75" customHeight="1">
      <c r="A68" s="18">
        <v>20801.0</v>
      </c>
      <c r="B68" s="47" t="s">
        <v>122</v>
      </c>
      <c r="C68" s="48"/>
      <c r="D68" s="49"/>
    </row>
    <row r="69" ht="15.75" customHeight="1">
      <c r="A69" s="18">
        <v>20802.0</v>
      </c>
      <c r="B69" s="47" t="s">
        <v>123</v>
      </c>
      <c r="C69" s="48"/>
      <c r="D69" s="49"/>
    </row>
    <row r="70" ht="15.75" customHeight="1">
      <c r="A70" s="18">
        <v>20803.0</v>
      </c>
      <c r="B70" s="47" t="s">
        <v>124</v>
      </c>
      <c r="C70" s="48"/>
      <c r="D70" s="49"/>
    </row>
    <row r="71" ht="15.75" customHeight="1">
      <c r="A71" s="18">
        <v>20804.0</v>
      </c>
      <c r="B71" s="47" t="s">
        <v>125</v>
      </c>
      <c r="C71" s="48"/>
      <c r="D71" s="49"/>
    </row>
    <row r="72" ht="15.75" customHeight="1">
      <c r="A72" s="18">
        <v>20805.0</v>
      </c>
      <c r="B72" s="47" t="s">
        <v>126</v>
      </c>
      <c r="C72" s="48"/>
      <c r="D72" s="49"/>
    </row>
    <row r="73" ht="15.75" customHeight="1">
      <c r="A73" s="18">
        <v>20806.0</v>
      </c>
      <c r="B73" s="47" t="s">
        <v>127</v>
      </c>
      <c r="C73" s="48"/>
      <c r="D73" s="49"/>
    </row>
    <row r="74" ht="15.75" customHeight="1">
      <c r="A74" s="18">
        <v>20807.0</v>
      </c>
      <c r="B74" s="47" t="s">
        <v>128</v>
      </c>
      <c r="C74" s="48"/>
      <c r="D74" s="49"/>
    </row>
    <row r="75" ht="15.75" customHeight="1">
      <c r="A75" s="18">
        <v>20901.0</v>
      </c>
      <c r="B75" s="47" t="s">
        <v>129</v>
      </c>
      <c r="C75" s="48"/>
      <c r="D75" s="49"/>
    </row>
    <row r="76" ht="15.75" customHeight="1">
      <c r="A76" s="18">
        <v>20902.0</v>
      </c>
      <c r="B76" s="47" t="s">
        <v>130</v>
      </c>
      <c r="C76" s="48"/>
      <c r="D76" s="49"/>
    </row>
    <row r="77" ht="15.75" customHeight="1">
      <c r="A77" s="18">
        <v>20903.0</v>
      </c>
      <c r="B77" s="47" t="s">
        <v>131</v>
      </c>
      <c r="C77" s="48"/>
      <c r="D77" s="49"/>
    </row>
    <row r="78" ht="15.75" customHeight="1">
      <c r="A78" s="18">
        <v>20904.0</v>
      </c>
      <c r="B78" s="47" t="s">
        <v>132</v>
      </c>
      <c r="C78" s="48"/>
      <c r="D78" s="49"/>
    </row>
    <row r="79" ht="15.75" customHeight="1">
      <c r="A79" s="18">
        <v>20905.0</v>
      </c>
      <c r="B79" s="47" t="s">
        <v>133</v>
      </c>
      <c r="C79" s="48"/>
      <c r="D79" s="49"/>
    </row>
    <row r="80" ht="15.75" customHeight="1">
      <c r="A80" s="18">
        <v>21001.0</v>
      </c>
      <c r="B80" s="47" t="s">
        <v>134</v>
      </c>
      <c r="C80" s="48"/>
      <c r="D80" s="49"/>
    </row>
    <row r="81" ht="15.75" customHeight="1">
      <c r="A81" s="18">
        <v>21002.0</v>
      </c>
      <c r="B81" s="47" t="s">
        <v>135</v>
      </c>
      <c r="C81" s="48"/>
      <c r="D81" s="49"/>
    </row>
    <row r="82" ht="15.75" customHeight="1">
      <c r="A82" s="18">
        <v>21003.0</v>
      </c>
      <c r="B82" s="47" t="s">
        <v>136</v>
      </c>
      <c r="C82" s="48"/>
      <c r="D82" s="49"/>
    </row>
    <row r="83" ht="15.75" customHeight="1">
      <c r="A83" s="18">
        <v>21004.0</v>
      </c>
      <c r="B83" s="47" t="s">
        <v>137</v>
      </c>
      <c r="C83" s="48"/>
      <c r="D83" s="49"/>
    </row>
    <row r="84" ht="15.75" customHeight="1">
      <c r="A84" s="18">
        <v>21005.0</v>
      </c>
      <c r="B84" s="47" t="s">
        <v>138</v>
      </c>
      <c r="C84" s="48"/>
      <c r="D84" s="49"/>
    </row>
    <row r="85" ht="15.75" customHeight="1">
      <c r="A85" s="18">
        <v>21006.0</v>
      </c>
      <c r="B85" s="47" t="s">
        <v>139</v>
      </c>
      <c r="C85" s="48"/>
      <c r="D85" s="49"/>
    </row>
    <row r="86" ht="15.75" customHeight="1">
      <c r="A86" s="18">
        <v>21101.0</v>
      </c>
      <c r="B86" s="47" t="s">
        <v>140</v>
      </c>
      <c r="C86" s="48"/>
      <c r="D86" s="49"/>
    </row>
    <row r="87" ht="15.75" customHeight="1">
      <c r="A87" s="18">
        <v>21102.0</v>
      </c>
      <c r="B87" s="47" t="s">
        <v>141</v>
      </c>
      <c r="C87" s="48"/>
      <c r="D87" s="49"/>
    </row>
    <row r="88" ht="15.75" customHeight="1">
      <c r="A88" s="18">
        <v>21103.0</v>
      </c>
      <c r="B88" s="47" t="s">
        <v>142</v>
      </c>
      <c r="C88" s="48"/>
      <c r="D88" s="49"/>
    </row>
    <row r="89" ht="15.75" customHeight="1">
      <c r="A89" s="18">
        <v>21104.0</v>
      </c>
      <c r="B89" s="47" t="s">
        <v>143</v>
      </c>
      <c r="C89" s="48"/>
      <c r="D89" s="49"/>
    </row>
    <row r="90" ht="15.75" customHeight="1">
      <c r="A90" s="18">
        <v>21105.0</v>
      </c>
      <c r="B90" s="47" t="s">
        <v>144</v>
      </c>
      <c r="C90" s="48"/>
      <c r="D90" s="49"/>
    </row>
    <row r="91" ht="15.75" customHeight="1">
      <c r="A91" s="18">
        <v>21201.0</v>
      </c>
      <c r="B91" s="47" t="s">
        <v>145</v>
      </c>
      <c r="C91" s="48"/>
      <c r="D91" s="49"/>
    </row>
    <row r="92" ht="15.75" customHeight="1">
      <c r="A92" s="18">
        <v>21202.0</v>
      </c>
      <c r="B92" s="47" t="s">
        <v>146</v>
      </c>
      <c r="C92" s="48"/>
      <c r="D92" s="49"/>
    </row>
    <row r="93" ht="15.75" customHeight="1">
      <c r="A93" s="18">
        <v>21203.0</v>
      </c>
      <c r="B93" s="47" t="s">
        <v>147</v>
      </c>
      <c r="C93" s="48"/>
      <c r="D93" s="49"/>
    </row>
    <row r="94" ht="15.75" customHeight="1">
      <c r="A94" s="18">
        <v>21204.0</v>
      </c>
      <c r="B94" s="47" t="s">
        <v>148</v>
      </c>
      <c r="C94" s="48"/>
      <c r="D94" s="49"/>
    </row>
    <row r="95" ht="15.75" customHeight="1">
      <c r="A95" s="18">
        <v>21301.0</v>
      </c>
      <c r="B95" s="47" t="s">
        <v>149</v>
      </c>
      <c r="C95" s="48"/>
      <c r="D95" s="49"/>
    </row>
    <row r="96" ht="15.75" customHeight="1">
      <c r="A96" s="18">
        <v>21302.0</v>
      </c>
      <c r="B96" s="47" t="s">
        <v>150</v>
      </c>
      <c r="C96" s="48"/>
      <c r="D96" s="49"/>
    </row>
    <row r="97" ht="15.75" customHeight="1">
      <c r="A97" s="18">
        <v>21303.0</v>
      </c>
      <c r="B97" s="47" t="s">
        <v>151</v>
      </c>
      <c r="C97" s="48"/>
      <c r="D97" s="49"/>
    </row>
    <row r="98" ht="15.75" customHeight="1">
      <c r="A98" s="18">
        <v>21304.0</v>
      </c>
      <c r="B98" s="47" t="s">
        <v>152</v>
      </c>
      <c r="C98" s="48"/>
      <c r="D98" s="49"/>
    </row>
    <row r="99" ht="15.75" customHeight="1">
      <c r="A99" s="18">
        <v>21305.0</v>
      </c>
      <c r="B99" s="47" t="s">
        <v>153</v>
      </c>
      <c r="C99" s="48"/>
      <c r="D99" s="49"/>
    </row>
    <row r="100" ht="15.75" customHeight="1">
      <c r="A100" s="18">
        <v>21306.0</v>
      </c>
      <c r="B100" s="47" t="s">
        <v>154</v>
      </c>
      <c r="C100" s="48"/>
      <c r="D100" s="49"/>
    </row>
    <row r="101" ht="15.75" customHeight="1">
      <c r="A101" s="18">
        <v>21307.0</v>
      </c>
      <c r="B101" s="47" t="s">
        <v>155</v>
      </c>
      <c r="C101" s="48"/>
      <c r="D101" s="49"/>
    </row>
    <row r="102" ht="15.75" customHeight="1">
      <c r="A102" s="18">
        <v>21401.0</v>
      </c>
      <c r="B102" s="47" t="s">
        <v>156</v>
      </c>
      <c r="C102" s="48"/>
      <c r="D102" s="49"/>
    </row>
    <row r="103" ht="15.75" customHeight="1">
      <c r="A103" s="18">
        <v>21402.0</v>
      </c>
      <c r="B103" s="47" t="s">
        <v>157</v>
      </c>
      <c r="C103" s="48"/>
      <c r="D103" s="49"/>
    </row>
    <row r="104" ht="15.75" customHeight="1">
      <c r="A104" s="18">
        <v>21501.0</v>
      </c>
      <c r="B104" s="47" t="s">
        <v>158</v>
      </c>
      <c r="C104" s="48"/>
      <c r="D104" s="49"/>
    </row>
    <row r="105" ht="15.75" customHeight="1">
      <c r="A105" s="18">
        <v>21502.0</v>
      </c>
      <c r="B105" s="47" t="s">
        <v>159</v>
      </c>
      <c r="C105" s="48"/>
      <c r="D105" s="49"/>
    </row>
    <row r="106" ht="15.75" customHeight="1">
      <c r="A106" s="18">
        <v>21601.0</v>
      </c>
      <c r="B106" s="47" t="s">
        <v>160</v>
      </c>
      <c r="C106" s="48"/>
      <c r="D106" s="49"/>
    </row>
    <row r="107" ht="15.75" customHeight="1">
      <c r="A107" s="18">
        <v>21602.0</v>
      </c>
      <c r="B107" s="47" t="s">
        <v>161</v>
      </c>
      <c r="C107" s="48"/>
      <c r="D107" s="49"/>
    </row>
    <row r="108" ht="15.75" customHeight="1">
      <c r="A108" s="18">
        <v>21701.0</v>
      </c>
      <c r="B108" s="47" t="s">
        <v>162</v>
      </c>
      <c r="C108" s="48"/>
      <c r="D108" s="49"/>
    </row>
    <row r="109" ht="15.75" customHeight="1">
      <c r="A109" s="18">
        <v>21702.0</v>
      </c>
      <c r="B109" s="47" t="s">
        <v>163</v>
      </c>
      <c r="C109" s="48"/>
      <c r="D109" s="49"/>
    </row>
    <row r="110" ht="15.75" customHeight="1">
      <c r="A110" s="18">
        <v>21703.0</v>
      </c>
      <c r="B110" s="47" t="s">
        <v>164</v>
      </c>
      <c r="C110" s="48"/>
      <c r="D110" s="49"/>
    </row>
    <row r="111" ht="15.75" customHeight="1">
      <c r="A111" s="18">
        <v>21801.0</v>
      </c>
      <c r="B111" s="47" t="s">
        <v>165</v>
      </c>
      <c r="C111" s="48"/>
      <c r="D111" s="49"/>
    </row>
    <row r="112" ht="15.75" customHeight="1">
      <c r="A112" s="18">
        <v>21802.0</v>
      </c>
      <c r="B112" s="47" t="s">
        <v>166</v>
      </c>
      <c r="C112" s="48"/>
      <c r="D112" s="49"/>
    </row>
    <row r="113" ht="15.75" customHeight="1">
      <c r="A113" s="18">
        <v>21803.0</v>
      </c>
      <c r="B113" s="47" t="s">
        <v>167</v>
      </c>
      <c r="C113" s="48"/>
      <c r="D113" s="49"/>
    </row>
    <row r="114" ht="15.75" customHeight="1">
      <c r="A114" s="18">
        <v>21901.0</v>
      </c>
      <c r="B114" s="47" t="s">
        <v>168</v>
      </c>
      <c r="C114" s="48"/>
      <c r="D114" s="49"/>
    </row>
    <row r="115" ht="15.75" customHeight="1">
      <c r="A115" s="18">
        <v>21902.0</v>
      </c>
      <c r="B115" s="47" t="s">
        <v>169</v>
      </c>
      <c r="C115" s="48"/>
      <c r="D115" s="49"/>
    </row>
    <row r="116" ht="15.75" customHeight="1">
      <c r="A116" s="18">
        <v>22001.0</v>
      </c>
      <c r="B116" s="47" t="s">
        <v>170</v>
      </c>
      <c r="C116" s="48"/>
      <c r="D116" s="49"/>
    </row>
    <row r="117" ht="15.75" customHeight="1">
      <c r="A117" s="18">
        <v>22002.0</v>
      </c>
      <c r="B117" s="47" t="s">
        <v>171</v>
      </c>
      <c r="C117" s="48"/>
      <c r="D117" s="49"/>
    </row>
    <row r="118" ht="15.75" customHeight="1">
      <c r="A118" s="18">
        <v>30101.0</v>
      </c>
      <c r="B118" s="47" t="s">
        <v>18</v>
      </c>
      <c r="C118" s="48"/>
      <c r="D118" s="49"/>
    </row>
    <row r="119" ht="15.75" customHeight="1">
      <c r="A119" s="18">
        <v>30201.0</v>
      </c>
      <c r="B119" s="47" t="s">
        <v>172</v>
      </c>
      <c r="C119" s="48"/>
      <c r="D119" s="49"/>
    </row>
    <row r="120" ht="15.75" customHeight="1">
      <c r="A120" s="18">
        <v>30202.0</v>
      </c>
      <c r="B120" s="47" t="s">
        <v>173</v>
      </c>
      <c r="C120" s="48"/>
      <c r="D120" s="49"/>
    </row>
    <row r="121" ht="15.75" customHeight="1">
      <c r="A121" s="18">
        <v>30203.0</v>
      </c>
      <c r="B121" s="47" t="s">
        <v>174</v>
      </c>
      <c r="C121" s="48"/>
      <c r="D121" s="49"/>
    </row>
    <row r="122" ht="15.75" customHeight="1">
      <c r="A122" s="18">
        <v>30301.0</v>
      </c>
      <c r="B122" s="47" t="s">
        <v>175</v>
      </c>
      <c r="C122" s="48"/>
      <c r="D122" s="49"/>
    </row>
    <row r="123" ht="15.75" customHeight="1">
      <c r="A123" s="18">
        <v>30302.0</v>
      </c>
      <c r="B123" s="47" t="s">
        <v>176</v>
      </c>
      <c r="C123" s="48"/>
      <c r="D123" s="49"/>
    </row>
    <row r="124" ht="15.75" customHeight="1">
      <c r="A124" s="18">
        <v>30303.0</v>
      </c>
      <c r="B124" s="47" t="s">
        <v>177</v>
      </c>
      <c r="C124" s="48"/>
      <c r="D124" s="49"/>
    </row>
    <row r="125" ht="15.75" customHeight="1">
      <c r="A125" s="18">
        <v>30401.0</v>
      </c>
      <c r="B125" s="47" t="s">
        <v>178</v>
      </c>
      <c r="C125" s="48"/>
      <c r="D125" s="49"/>
    </row>
    <row r="126" ht="15.75" customHeight="1">
      <c r="A126" s="18">
        <v>30402.0</v>
      </c>
      <c r="B126" s="47" t="s">
        <v>179</v>
      </c>
      <c r="C126" s="48"/>
      <c r="D126" s="49"/>
    </row>
    <row r="127" ht="15.75" customHeight="1">
      <c r="A127" s="18">
        <v>30403.0</v>
      </c>
      <c r="B127" s="47" t="s">
        <v>180</v>
      </c>
      <c r="C127" s="48"/>
      <c r="D127" s="49"/>
    </row>
    <row r="128" ht="15.75" customHeight="1">
      <c r="A128" s="18">
        <v>30404.0</v>
      </c>
      <c r="B128" s="47" t="s">
        <v>181</v>
      </c>
      <c r="C128" s="48"/>
      <c r="D128" s="49"/>
    </row>
    <row r="129" ht="15.75" customHeight="1">
      <c r="A129" s="18">
        <v>30501.0</v>
      </c>
      <c r="B129" s="47" t="s">
        <v>182</v>
      </c>
      <c r="C129" s="48"/>
      <c r="D129" s="49"/>
    </row>
    <row r="130" ht="15.75" customHeight="1">
      <c r="A130" s="18">
        <v>30502.0</v>
      </c>
      <c r="B130" s="47" t="s">
        <v>183</v>
      </c>
      <c r="C130" s="48"/>
      <c r="D130" s="49"/>
    </row>
    <row r="131" ht="15.75" customHeight="1">
      <c r="A131" s="18">
        <v>30601.0</v>
      </c>
      <c r="B131" s="47" t="s">
        <v>184</v>
      </c>
      <c r="C131" s="48"/>
      <c r="D131" s="49"/>
    </row>
    <row r="132" ht="15.75" customHeight="1">
      <c r="A132" s="18">
        <v>30602.0</v>
      </c>
      <c r="B132" s="47" t="s">
        <v>185</v>
      </c>
      <c r="C132" s="48"/>
      <c r="D132" s="49"/>
    </row>
    <row r="133" ht="15.75" customHeight="1">
      <c r="A133" s="18">
        <v>30701.0</v>
      </c>
      <c r="B133" s="47" t="s">
        <v>186</v>
      </c>
      <c r="C133" s="48"/>
      <c r="D133" s="49"/>
    </row>
    <row r="134" ht="15.75" customHeight="1">
      <c r="A134" s="18">
        <v>30702.0</v>
      </c>
      <c r="B134" s="47" t="s">
        <v>187</v>
      </c>
      <c r="C134" s="48"/>
      <c r="D134" s="49"/>
    </row>
    <row r="135" ht="15.75" customHeight="1">
      <c r="A135" s="18">
        <v>30703.0</v>
      </c>
      <c r="B135" s="47" t="s">
        <v>188</v>
      </c>
      <c r="C135" s="48"/>
      <c r="D135" s="49"/>
    </row>
    <row r="136" ht="15.75" customHeight="1">
      <c r="A136" s="18">
        <v>30801.0</v>
      </c>
      <c r="B136" s="47" t="s">
        <v>189</v>
      </c>
      <c r="C136" s="48"/>
      <c r="D136" s="49"/>
    </row>
    <row r="137" ht="15.75" customHeight="1">
      <c r="A137" s="18">
        <v>30802.0</v>
      </c>
      <c r="B137" s="47" t="s">
        <v>190</v>
      </c>
      <c r="C137" s="48"/>
      <c r="D137" s="49"/>
    </row>
    <row r="138" ht="15.75" customHeight="1">
      <c r="A138" s="18">
        <v>30803.0</v>
      </c>
      <c r="B138" s="47" t="s">
        <v>191</v>
      </c>
      <c r="C138" s="48"/>
      <c r="D138" s="49"/>
    </row>
    <row r="139" ht="15.75" customHeight="1">
      <c r="A139" s="18">
        <v>30901.0</v>
      </c>
      <c r="B139" s="47" t="s">
        <v>192</v>
      </c>
      <c r="C139" s="48"/>
      <c r="D139" s="49"/>
    </row>
    <row r="140" ht="15.75" customHeight="1">
      <c r="A140" s="18">
        <v>30902.0</v>
      </c>
      <c r="B140" s="47" t="s">
        <v>193</v>
      </c>
      <c r="C140" s="48"/>
      <c r="D140" s="49"/>
    </row>
    <row r="141" ht="15.75" customHeight="1">
      <c r="A141" s="18">
        <v>30903.0</v>
      </c>
      <c r="B141" s="47" t="s">
        <v>194</v>
      </c>
      <c r="C141" s="48"/>
      <c r="D141" s="49"/>
    </row>
    <row r="142" ht="15.75" customHeight="1">
      <c r="A142" s="18">
        <v>30904.0</v>
      </c>
      <c r="B142" s="47" t="s">
        <v>195</v>
      </c>
      <c r="C142" s="48"/>
      <c r="D142" s="49"/>
    </row>
    <row r="143" ht="15.75" customHeight="1">
      <c r="A143" s="18">
        <v>30905.0</v>
      </c>
      <c r="B143" s="47" t="s">
        <v>196</v>
      </c>
      <c r="C143" s="48"/>
      <c r="D143" s="49"/>
    </row>
    <row r="144" ht="15.75" customHeight="1">
      <c r="A144" s="18">
        <v>31001.0</v>
      </c>
      <c r="B144" s="47" t="s">
        <v>197</v>
      </c>
      <c r="C144" s="48"/>
      <c r="D144" s="49"/>
    </row>
    <row r="145" ht="15.75" customHeight="1">
      <c r="A145" s="18">
        <v>31002.0</v>
      </c>
      <c r="B145" s="47" t="s">
        <v>198</v>
      </c>
      <c r="C145" s="48"/>
      <c r="D145" s="49"/>
    </row>
    <row r="146" ht="15.75" customHeight="1">
      <c r="A146" s="18">
        <v>31003.0</v>
      </c>
      <c r="B146" s="47" t="s">
        <v>199</v>
      </c>
      <c r="C146" s="48"/>
      <c r="D146" s="49"/>
    </row>
    <row r="147" ht="15.75" customHeight="1">
      <c r="A147" s="18">
        <v>31101.0</v>
      </c>
      <c r="B147" s="47" t="s">
        <v>200</v>
      </c>
      <c r="C147" s="48"/>
      <c r="D147" s="49"/>
    </row>
    <row r="148" ht="15.75" customHeight="1">
      <c r="A148" s="18">
        <v>31201.0</v>
      </c>
      <c r="B148" s="47" t="s">
        <v>201</v>
      </c>
      <c r="C148" s="48"/>
      <c r="D148" s="49"/>
    </row>
    <row r="149" ht="15.75" customHeight="1">
      <c r="A149" s="18">
        <v>31202.0</v>
      </c>
      <c r="B149" s="47" t="s">
        <v>202</v>
      </c>
      <c r="C149" s="48"/>
      <c r="D149" s="49"/>
    </row>
    <row r="150" ht="15.75" customHeight="1">
      <c r="A150" s="18">
        <v>31203.0</v>
      </c>
      <c r="B150" s="47" t="s">
        <v>203</v>
      </c>
      <c r="C150" s="48"/>
      <c r="D150" s="49"/>
    </row>
    <row r="151" ht="15.75" customHeight="1">
      <c r="A151" s="18">
        <v>31204.0</v>
      </c>
      <c r="B151" s="47" t="s">
        <v>204</v>
      </c>
      <c r="C151" s="48"/>
      <c r="D151" s="49"/>
    </row>
    <row r="152" ht="15.75" customHeight="1">
      <c r="A152" s="18">
        <v>31205.0</v>
      </c>
      <c r="B152" s="47" t="s">
        <v>205</v>
      </c>
      <c r="C152" s="48"/>
      <c r="D152" s="49"/>
    </row>
    <row r="153" ht="15.75" customHeight="1">
      <c r="A153" s="18">
        <v>31206.0</v>
      </c>
      <c r="B153" s="47" t="s">
        <v>206</v>
      </c>
      <c r="C153" s="48"/>
      <c r="D153" s="49"/>
    </row>
    <row r="154" ht="15.75" customHeight="1">
      <c r="A154" s="18">
        <v>31301.0</v>
      </c>
      <c r="B154" s="47" t="s">
        <v>207</v>
      </c>
      <c r="C154" s="48"/>
      <c r="D154" s="49"/>
    </row>
    <row r="155" ht="15.75" customHeight="1">
      <c r="A155" s="18">
        <v>31302.0</v>
      </c>
      <c r="B155" s="47" t="s">
        <v>208</v>
      </c>
      <c r="C155" s="48"/>
      <c r="D155" s="49"/>
    </row>
    <row r="156" ht="15.75" customHeight="1">
      <c r="A156" s="18">
        <v>31303.0</v>
      </c>
      <c r="B156" s="47" t="s">
        <v>209</v>
      </c>
      <c r="C156" s="48"/>
      <c r="D156" s="49"/>
    </row>
    <row r="157" ht="15.75" customHeight="1">
      <c r="A157" s="50">
        <v>31304.0</v>
      </c>
      <c r="B157" s="47" t="s">
        <v>210</v>
      </c>
      <c r="C157" s="48"/>
      <c r="D157" s="49"/>
    </row>
    <row r="158" ht="15.75" customHeight="1">
      <c r="A158" s="18">
        <v>31401.0</v>
      </c>
      <c r="B158" s="47" t="s">
        <v>211</v>
      </c>
      <c r="C158" s="48"/>
      <c r="D158" s="49"/>
    </row>
    <row r="159" ht="15.75" customHeight="1">
      <c r="A159" s="18">
        <v>31402.0</v>
      </c>
      <c r="B159" s="47" t="s">
        <v>212</v>
      </c>
      <c r="C159" s="48"/>
      <c r="D159" s="49"/>
    </row>
    <row r="160" ht="15.75" customHeight="1">
      <c r="A160" s="18">
        <v>31403.0</v>
      </c>
      <c r="B160" s="47" t="s">
        <v>213</v>
      </c>
      <c r="C160" s="48"/>
      <c r="D160" s="49"/>
    </row>
    <row r="161" ht="15.75" customHeight="1">
      <c r="A161" s="18">
        <v>31404.0</v>
      </c>
      <c r="B161" s="47" t="s">
        <v>214</v>
      </c>
      <c r="C161" s="48"/>
      <c r="D161" s="49"/>
    </row>
    <row r="162" ht="15.75" customHeight="1">
      <c r="A162" s="18">
        <v>31405.0</v>
      </c>
      <c r="B162" s="47" t="s">
        <v>215</v>
      </c>
      <c r="C162" s="48"/>
      <c r="D162" s="49"/>
    </row>
    <row r="163" ht="15.75" customHeight="1">
      <c r="A163" s="18">
        <v>31501.0</v>
      </c>
      <c r="B163" s="47" t="s">
        <v>216</v>
      </c>
      <c r="C163" s="48"/>
      <c r="D163" s="49"/>
    </row>
    <row r="164" ht="15.75" customHeight="1">
      <c r="A164" s="18">
        <v>31601.0</v>
      </c>
      <c r="B164" s="47" t="s">
        <v>217</v>
      </c>
      <c r="C164" s="48"/>
      <c r="D164" s="49"/>
    </row>
    <row r="165" ht="15.75" customHeight="1">
      <c r="A165" s="18">
        <v>31602.0</v>
      </c>
      <c r="B165" s="47" t="s">
        <v>218</v>
      </c>
      <c r="C165" s="48"/>
      <c r="D165" s="49"/>
    </row>
    <row r="166" ht="15.75" customHeight="1">
      <c r="A166" s="18">
        <v>40101.0</v>
      </c>
      <c r="B166" s="47" t="s">
        <v>19</v>
      </c>
      <c r="C166" s="48"/>
      <c r="D166" s="49"/>
    </row>
    <row r="167" ht="15.75" customHeight="1">
      <c r="A167" s="18">
        <v>40102.0</v>
      </c>
      <c r="B167" s="47" t="s">
        <v>219</v>
      </c>
      <c r="C167" s="48"/>
      <c r="D167" s="49"/>
    </row>
    <row r="168" ht="15.75" customHeight="1">
      <c r="A168" s="18">
        <v>40103.0</v>
      </c>
      <c r="B168" s="47" t="s">
        <v>220</v>
      </c>
      <c r="C168" s="48"/>
      <c r="D168" s="49"/>
    </row>
    <row r="169" ht="15.75" customHeight="1">
      <c r="A169" s="18">
        <v>40104.0</v>
      </c>
      <c r="B169" s="47" t="s">
        <v>221</v>
      </c>
      <c r="C169" s="48"/>
      <c r="D169" s="49"/>
    </row>
    <row r="170" ht="15.75" customHeight="1">
      <c r="A170" s="18">
        <v>40201.0</v>
      </c>
      <c r="B170" s="47" t="s">
        <v>222</v>
      </c>
      <c r="C170" s="48"/>
      <c r="D170" s="49"/>
    </row>
    <row r="171" ht="15.75" customHeight="1">
      <c r="A171" s="18">
        <v>40202.0</v>
      </c>
      <c r="B171" s="47" t="s">
        <v>223</v>
      </c>
      <c r="C171" s="48"/>
      <c r="D171" s="49"/>
    </row>
    <row r="172" ht="15.75" customHeight="1">
      <c r="A172" s="18">
        <v>40301.0</v>
      </c>
      <c r="B172" s="47" t="s">
        <v>224</v>
      </c>
      <c r="C172" s="48"/>
      <c r="D172" s="49"/>
    </row>
    <row r="173" ht="15.75" customHeight="1">
      <c r="A173" s="18">
        <v>40302.0</v>
      </c>
      <c r="B173" s="47" t="s">
        <v>225</v>
      </c>
      <c r="C173" s="48"/>
      <c r="D173" s="49"/>
    </row>
    <row r="174" ht="15.75" customHeight="1">
      <c r="A174" s="18">
        <v>40401.0</v>
      </c>
      <c r="B174" s="47" t="s">
        <v>226</v>
      </c>
      <c r="C174" s="48"/>
      <c r="D174" s="49"/>
    </row>
    <row r="175" ht="15.75" customHeight="1">
      <c r="A175" s="18">
        <v>40402.0</v>
      </c>
      <c r="B175" s="47" t="s">
        <v>227</v>
      </c>
      <c r="C175" s="48"/>
      <c r="D175" s="49"/>
    </row>
    <row r="176" ht="15.75" customHeight="1">
      <c r="A176" s="18">
        <v>40501.0</v>
      </c>
      <c r="B176" s="47" t="s">
        <v>228</v>
      </c>
      <c r="C176" s="48"/>
      <c r="D176" s="49"/>
    </row>
    <row r="177" ht="15.75" customHeight="1">
      <c r="A177" s="18">
        <v>40502.0</v>
      </c>
      <c r="B177" s="47" t="s">
        <v>229</v>
      </c>
      <c r="C177" s="48"/>
      <c r="D177" s="49"/>
    </row>
    <row r="178" ht="15.75" customHeight="1">
      <c r="A178" s="18">
        <v>40503.0</v>
      </c>
      <c r="B178" s="47" t="s">
        <v>230</v>
      </c>
      <c r="C178" s="48"/>
      <c r="D178" s="49"/>
    </row>
    <row r="179" ht="15.75" customHeight="1">
      <c r="A179" s="18">
        <v>40504.0</v>
      </c>
      <c r="B179" s="47" t="s">
        <v>231</v>
      </c>
      <c r="C179" s="48"/>
      <c r="D179" s="49"/>
    </row>
    <row r="180" ht="15.75" customHeight="1">
      <c r="A180" s="18">
        <v>40505.0</v>
      </c>
      <c r="B180" s="47" t="s">
        <v>232</v>
      </c>
      <c r="C180" s="48"/>
      <c r="D180" s="49"/>
    </row>
    <row r="181" ht="15.75" customHeight="1">
      <c r="A181" s="18">
        <v>40601.0</v>
      </c>
      <c r="B181" s="47" t="s">
        <v>233</v>
      </c>
      <c r="C181" s="48"/>
      <c r="D181" s="49"/>
    </row>
    <row r="182" ht="15.75" customHeight="1">
      <c r="A182" s="18">
        <v>40602.0</v>
      </c>
      <c r="B182" s="47" t="s">
        <v>234</v>
      </c>
      <c r="C182" s="48"/>
      <c r="D182" s="49"/>
    </row>
    <row r="183" ht="15.75" customHeight="1">
      <c r="A183" s="18">
        <v>40603.0</v>
      </c>
      <c r="B183" s="47" t="s">
        <v>235</v>
      </c>
      <c r="C183" s="48"/>
      <c r="D183" s="49"/>
    </row>
    <row r="184" ht="15.75" customHeight="1">
      <c r="A184" s="18">
        <v>40701.0</v>
      </c>
      <c r="B184" s="47" t="s">
        <v>236</v>
      </c>
      <c r="C184" s="48"/>
      <c r="D184" s="49"/>
    </row>
    <row r="185" ht="15.75" customHeight="1">
      <c r="A185" s="18">
        <v>40702.0</v>
      </c>
      <c r="B185" s="47" t="s">
        <v>237</v>
      </c>
      <c r="C185" s="48"/>
      <c r="D185" s="49"/>
    </row>
    <row r="186" ht="15.75" customHeight="1">
      <c r="A186" s="18">
        <v>40801.0</v>
      </c>
      <c r="B186" s="47" t="s">
        <v>238</v>
      </c>
      <c r="C186" s="48"/>
      <c r="D186" s="49"/>
    </row>
    <row r="187" ht="15.75" customHeight="1">
      <c r="A187" s="18">
        <v>40802.0</v>
      </c>
      <c r="B187" s="47" t="s">
        <v>239</v>
      </c>
      <c r="C187" s="48"/>
      <c r="D187" s="49"/>
    </row>
    <row r="188" ht="15.75" customHeight="1">
      <c r="A188" s="18">
        <v>40901.0</v>
      </c>
      <c r="B188" s="47" t="s">
        <v>240</v>
      </c>
      <c r="C188" s="48"/>
      <c r="D188" s="49"/>
    </row>
    <row r="189" ht="15.75" customHeight="1">
      <c r="A189" s="18">
        <v>40902.0</v>
      </c>
      <c r="B189" s="47" t="s">
        <v>241</v>
      </c>
      <c r="C189" s="48"/>
      <c r="D189" s="49"/>
    </row>
    <row r="190" ht="15.75" customHeight="1">
      <c r="A190" s="18">
        <v>40903.0</v>
      </c>
      <c r="B190" s="47" t="s">
        <v>242</v>
      </c>
      <c r="C190" s="48"/>
      <c r="D190" s="49"/>
    </row>
    <row r="191" ht="15.75" customHeight="1">
      <c r="A191" s="18">
        <v>41001.0</v>
      </c>
      <c r="B191" s="47" t="s">
        <v>243</v>
      </c>
      <c r="C191" s="48"/>
      <c r="D191" s="49"/>
    </row>
    <row r="192" ht="15.75" customHeight="1">
      <c r="A192" s="18">
        <v>41101.0</v>
      </c>
      <c r="B192" s="47" t="s">
        <v>244</v>
      </c>
      <c r="C192" s="48"/>
      <c r="D192" s="49"/>
    </row>
    <row r="193" ht="15.75" customHeight="1">
      <c r="A193" s="18">
        <v>41201.0</v>
      </c>
      <c r="B193" s="47" t="s">
        <v>245</v>
      </c>
      <c r="C193" s="48"/>
      <c r="D193" s="49"/>
    </row>
    <row r="194" ht="15.75" customHeight="1">
      <c r="A194" s="18">
        <v>41202.0</v>
      </c>
      <c r="B194" s="47" t="s">
        <v>246</v>
      </c>
      <c r="C194" s="48"/>
      <c r="D194" s="49"/>
    </row>
    <row r="195" ht="15.75" customHeight="1">
      <c r="A195" s="18">
        <v>41301.0</v>
      </c>
      <c r="B195" s="47" t="s">
        <v>201</v>
      </c>
      <c r="C195" s="48"/>
      <c r="D195" s="49"/>
    </row>
    <row r="196" ht="15.75" customHeight="1">
      <c r="A196" s="18">
        <v>41401.0</v>
      </c>
      <c r="B196" s="47" t="s">
        <v>247</v>
      </c>
      <c r="C196" s="48"/>
      <c r="D196" s="49"/>
    </row>
    <row r="197" ht="15.75" customHeight="1">
      <c r="A197" s="18">
        <v>41501.0</v>
      </c>
      <c r="B197" s="47" t="s">
        <v>248</v>
      </c>
      <c r="C197" s="48"/>
      <c r="D197" s="49"/>
    </row>
    <row r="198" ht="15.75" customHeight="1">
      <c r="A198" s="18">
        <v>41502.0</v>
      </c>
      <c r="B198" s="47" t="s">
        <v>249</v>
      </c>
      <c r="C198" s="48"/>
      <c r="D198" s="49"/>
    </row>
    <row r="199" ht="15.75" customHeight="1">
      <c r="A199" s="18">
        <v>41503.0</v>
      </c>
      <c r="B199" s="47" t="s">
        <v>250</v>
      </c>
      <c r="C199" s="48"/>
      <c r="D199" s="49"/>
    </row>
    <row r="200" ht="15.75" customHeight="1">
      <c r="A200" s="18">
        <v>41601.0</v>
      </c>
      <c r="B200" s="47" t="s">
        <v>251</v>
      </c>
      <c r="C200" s="48"/>
      <c r="D200" s="49"/>
    </row>
    <row r="201" ht="15.75" customHeight="1">
      <c r="A201" s="18">
        <v>50101.0</v>
      </c>
      <c r="B201" s="47" t="s">
        <v>20</v>
      </c>
      <c r="C201" s="48"/>
      <c r="D201" s="49"/>
    </row>
    <row r="202" ht="15.75" customHeight="1">
      <c r="A202" s="18">
        <v>50102.0</v>
      </c>
      <c r="B202" s="47" t="s">
        <v>252</v>
      </c>
      <c r="C202" s="48"/>
      <c r="D202" s="49"/>
    </row>
    <row r="203" ht="15.75" customHeight="1">
      <c r="A203" s="18">
        <v>50103.0</v>
      </c>
      <c r="B203" s="47" t="s">
        <v>253</v>
      </c>
      <c r="C203" s="48"/>
      <c r="D203" s="49"/>
    </row>
    <row r="204" ht="15.75" customHeight="1">
      <c r="A204" s="18">
        <v>50104.0</v>
      </c>
      <c r="B204" s="47" t="s">
        <v>254</v>
      </c>
      <c r="C204" s="48"/>
      <c r="D204" s="49"/>
    </row>
    <row r="205" ht="15.75" customHeight="1">
      <c r="A205" s="18">
        <v>50201.0</v>
      </c>
      <c r="B205" s="47" t="s">
        <v>255</v>
      </c>
      <c r="C205" s="48"/>
      <c r="D205" s="49"/>
    </row>
    <row r="206" ht="15.75" customHeight="1">
      <c r="A206" s="18">
        <v>50202.0</v>
      </c>
      <c r="B206" s="47" t="s">
        <v>256</v>
      </c>
      <c r="C206" s="48"/>
      <c r="D206" s="49"/>
    </row>
    <row r="207" ht="15.75" customHeight="1">
      <c r="A207" s="18">
        <v>50203.0</v>
      </c>
      <c r="B207" s="47" t="s">
        <v>257</v>
      </c>
      <c r="C207" s="48"/>
      <c r="D207" s="49"/>
    </row>
    <row r="208" ht="15.75" customHeight="1">
      <c r="A208" s="18">
        <v>50204.0</v>
      </c>
      <c r="B208" s="47" t="s">
        <v>258</v>
      </c>
      <c r="C208" s="48"/>
      <c r="D208" s="49"/>
    </row>
    <row r="209" ht="15.75" customHeight="1">
      <c r="A209" s="18">
        <v>50301.0</v>
      </c>
      <c r="B209" s="47" t="s">
        <v>259</v>
      </c>
      <c r="C209" s="48"/>
      <c r="D209" s="49"/>
    </row>
    <row r="210" ht="15.75" customHeight="1">
      <c r="A210" s="18">
        <v>50302.0</v>
      </c>
      <c r="B210" s="47" t="s">
        <v>260</v>
      </c>
      <c r="C210" s="48"/>
      <c r="D210" s="49"/>
    </row>
    <row r="211" ht="15.75" customHeight="1">
      <c r="A211" s="18">
        <v>50303.0</v>
      </c>
      <c r="B211" s="47" t="s">
        <v>261</v>
      </c>
      <c r="C211" s="48"/>
      <c r="D211" s="49"/>
    </row>
    <row r="212" ht="15.75" customHeight="1">
      <c r="A212" s="18">
        <v>50401.0</v>
      </c>
      <c r="B212" s="47" t="s">
        <v>262</v>
      </c>
      <c r="C212" s="48"/>
      <c r="D212" s="49"/>
    </row>
    <row r="213" ht="15.75" customHeight="1">
      <c r="A213" s="18">
        <v>50402.0</v>
      </c>
      <c r="B213" s="47" t="s">
        <v>263</v>
      </c>
      <c r="C213" s="48"/>
      <c r="D213" s="49"/>
    </row>
    <row r="214" ht="15.75" customHeight="1">
      <c r="A214" s="18">
        <v>50403.0</v>
      </c>
      <c r="B214" s="47" t="s">
        <v>264</v>
      </c>
      <c r="C214" s="48"/>
      <c r="D214" s="49"/>
    </row>
    <row r="215" ht="15.75" customHeight="1">
      <c r="A215" s="18">
        <v>50404.0</v>
      </c>
      <c r="B215" s="47" t="s">
        <v>265</v>
      </c>
      <c r="C215" s="48"/>
      <c r="D215" s="49"/>
    </row>
    <row r="216" ht="15.75" customHeight="1">
      <c r="A216" s="50">
        <v>50405.0</v>
      </c>
      <c r="B216" s="47" t="s">
        <v>266</v>
      </c>
      <c r="C216" s="48"/>
      <c r="D216" s="49"/>
    </row>
    <row r="217" ht="15.75" customHeight="1">
      <c r="A217" s="18">
        <v>50501.0</v>
      </c>
      <c r="B217" s="47" t="s">
        <v>267</v>
      </c>
      <c r="C217" s="48"/>
      <c r="D217" s="49"/>
    </row>
    <row r="218" ht="15.75" customHeight="1">
      <c r="A218" s="18">
        <v>50502.0</v>
      </c>
      <c r="B218" s="47" t="s">
        <v>268</v>
      </c>
      <c r="C218" s="48"/>
      <c r="D218" s="49"/>
    </row>
    <row r="219" ht="15.75" customHeight="1">
      <c r="A219" s="18">
        <v>50601.0</v>
      </c>
      <c r="B219" s="47" t="s">
        <v>269</v>
      </c>
      <c r="C219" s="48"/>
      <c r="D219" s="49"/>
    </row>
    <row r="220" ht="15.75" customHeight="1">
      <c r="A220" s="18">
        <v>50602.0</v>
      </c>
      <c r="B220" s="47" t="s">
        <v>270</v>
      </c>
      <c r="C220" s="48"/>
      <c r="D220" s="49"/>
    </row>
    <row r="221" ht="15.75" customHeight="1">
      <c r="A221" s="18">
        <v>50701.0</v>
      </c>
      <c r="B221" s="47" t="s">
        <v>271</v>
      </c>
      <c r="C221" s="48"/>
      <c r="D221" s="49"/>
    </row>
    <row r="222" ht="15.75" customHeight="1">
      <c r="A222" s="18">
        <v>50702.0</v>
      </c>
      <c r="B222" s="47" t="s">
        <v>272</v>
      </c>
      <c r="C222" s="48"/>
      <c r="D222" s="49"/>
    </row>
    <row r="223" ht="15.75" customHeight="1">
      <c r="A223" s="18">
        <v>50801.0</v>
      </c>
      <c r="B223" s="47" t="s">
        <v>273</v>
      </c>
      <c r="C223" s="48"/>
      <c r="D223" s="49"/>
    </row>
    <row r="224" ht="15.75" customHeight="1">
      <c r="A224" s="18">
        <v>50802.0</v>
      </c>
      <c r="B224" s="47" t="s">
        <v>274</v>
      </c>
      <c r="C224" s="48"/>
      <c r="D224" s="49"/>
    </row>
    <row r="225" ht="15.75" customHeight="1">
      <c r="A225" s="18">
        <v>50901.0</v>
      </c>
      <c r="B225" s="47" t="s">
        <v>275</v>
      </c>
      <c r="C225" s="48"/>
      <c r="D225" s="49"/>
    </row>
    <row r="226" ht="15.75" customHeight="1">
      <c r="A226" s="18">
        <v>50902.0</v>
      </c>
      <c r="B226" s="47" t="s">
        <v>276</v>
      </c>
      <c r="C226" s="48"/>
      <c r="D226" s="49"/>
    </row>
    <row r="227" ht="15.75" customHeight="1">
      <c r="A227" s="18">
        <v>51001.0</v>
      </c>
      <c r="B227" s="47" t="s">
        <v>277</v>
      </c>
      <c r="C227" s="48"/>
      <c r="D227" s="49"/>
    </row>
    <row r="228" ht="15.75" customHeight="1">
      <c r="A228" s="18">
        <v>51002.0</v>
      </c>
      <c r="B228" s="47" t="s">
        <v>278</v>
      </c>
      <c r="C228" s="48"/>
      <c r="D228" s="49"/>
    </row>
    <row r="229" ht="15.75" customHeight="1">
      <c r="A229" s="18">
        <v>51003.0</v>
      </c>
      <c r="B229" s="47" t="s">
        <v>279</v>
      </c>
      <c r="C229" s="48"/>
      <c r="D229" s="49"/>
    </row>
    <row r="230" ht="15.75" customHeight="1">
      <c r="A230" s="18">
        <v>51101.0</v>
      </c>
      <c r="B230" s="47" t="s">
        <v>280</v>
      </c>
      <c r="C230" s="48"/>
      <c r="D230" s="49"/>
    </row>
    <row r="231" ht="15.75" customHeight="1">
      <c r="A231" s="18">
        <v>51102.0</v>
      </c>
      <c r="B231" s="47" t="s">
        <v>281</v>
      </c>
      <c r="C231" s="48"/>
      <c r="D231" s="49"/>
    </row>
    <row r="232" ht="15.75" customHeight="1">
      <c r="A232" s="18">
        <v>51103.0</v>
      </c>
      <c r="B232" s="47" t="s">
        <v>282</v>
      </c>
      <c r="C232" s="48"/>
      <c r="D232" s="49"/>
    </row>
    <row r="233" ht="15.75" customHeight="1">
      <c r="A233" s="18">
        <v>51201.0</v>
      </c>
      <c r="B233" s="47" t="s">
        <v>283</v>
      </c>
      <c r="C233" s="48"/>
      <c r="D233" s="49"/>
    </row>
    <row r="234" ht="15.75" customHeight="1">
      <c r="A234" s="18">
        <v>51202.0</v>
      </c>
      <c r="B234" s="47" t="s">
        <v>284</v>
      </c>
      <c r="C234" s="48"/>
      <c r="D234" s="49"/>
    </row>
    <row r="235" ht="15.75" customHeight="1">
      <c r="A235" s="18">
        <v>51203.0</v>
      </c>
      <c r="B235" s="47" t="s">
        <v>285</v>
      </c>
      <c r="C235" s="48"/>
      <c r="D235" s="49"/>
    </row>
    <row r="236" ht="15.75" customHeight="1">
      <c r="A236" s="50">
        <v>51204.0</v>
      </c>
      <c r="B236" s="47" t="s">
        <v>286</v>
      </c>
      <c r="C236" s="48"/>
      <c r="D236" s="49"/>
    </row>
    <row r="237" ht="15.75" customHeight="1">
      <c r="A237" s="18">
        <v>51301.0</v>
      </c>
      <c r="B237" s="47" t="s">
        <v>287</v>
      </c>
      <c r="C237" s="48"/>
      <c r="D237" s="49"/>
    </row>
    <row r="238" ht="15.75" customHeight="1">
      <c r="A238" s="18">
        <v>51302.0</v>
      </c>
      <c r="B238" s="47" t="s">
        <v>288</v>
      </c>
      <c r="C238" s="48"/>
      <c r="D238" s="49"/>
    </row>
    <row r="239" ht="15.75" customHeight="1">
      <c r="A239" s="18">
        <v>51401.0</v>
      </c>
      <c r="B239" s="47" t="s">
        <v>289</v>
      </c>
      <c r="C239" s="48"/>
      <c r="D239" s="49"/>
    </row>
    <row r="240" ht="15.75" customHeight="1">
      <c r="A240" s="18">
        <v>51402.0</v>
      </c>
      <c r="B240" s="47" t="s">
        <v>290</v>
      </c>
      <c r="C240" s="48"/>
      <c r="D240" s="49"/>
    </row>
    <row r="241" ht="15.75" customHeight="1">
      <c r="A241" s="18">
        <v>51501.0</v>
      </c>
      <c r="B241" s="47" t="s">
        <v>291</v>
      </c>
      <c r="C241" s="48"/>
      <c r="D241" s="49"/>
    </row>
    <row r="242" ht="15.75" customHeight="1">
      <c r="A242" s="18">
        <v>51601.0</v>
      </c>
      <c r="B242" s="47" t="s">
        <v>292</v>
      </c>
      <c r="C242" s="48"/>
      <c r="D242" s="49"/>
    </row>
    <row r="243" ht="15.75" customHeight="1">
      <c r="A243" s="18">
        <v>60101.0</v>
      </c>
      <c r="B243" s="47" t="s">
        <v>21</v>
      </c>
      <c r="C243" s="48"/>
      <c r="D243" s="49"/>
    </row>
    <row r="244" ht="15.75" customHeight="1">
      <c r="A244" s="18">
        <v>60201.0</v>
      </c>
      <c r="B244" s="47" t="s">
        <v>293</v>
      </c>
      <c r="C244" s="48"/>
      <c r="D244" s="49"/>
    </row>
    <row r="245" ht="15.75" customHeight="1">
      <c r="A245" s="18">
        <v>60202.0</v>
      </c>
      <c r="B245" s="47" t="s">
        <v>294</v>
      </c>
      <c r="C245" s="48"/>
      <c r="D245" s="49"/>
    </row>
    <row r="246" ht="15.75" customHeight="1">
      <c r="A246" s="18">
        <v>60301.0</v>
      </c>
      <c r="B246" s="47" t="s">
        <v>295</v>
      </c>
      <c r="C246" s="48"/>
      <c r="D246" s="49"/>
    </row>
    <row r="247" ht="15.75" customHeight="1">
      <c r="A247" s="18">
        <v>60302.0</v>
      </c>
      <c r="B247" s="47" t="s">
        <v>296</v>
      </c>
      <c r="C247" s="48"/>
      <c r="D247" s="49"/>
    </row>
    <row r="248" ht="15.75" customHeight="1">
      <c r="A248" s="18">
        <v>60303.0</v>
      </c>
      <c r="B248" s="47" t="s">
        <v>297</v>
      </c>
      <c r="C248" s="48"/>
      <c r="D248" s="49"/>
    </row>
    <row r="249" ht="15.75" customHeight="1">
      <c r="A249" s="18">
        <v>60401.0</v>
      </c>
      <c r="B249" s="47" t="s">
        <v>298</v>
      </c>
      <c r="C249" s="48"/>
      <c r="D249" s="49"/>
    </row>
    <row r="250" ht="15.75" customHeight="1">
      <c r="A250" s="18">
        <v>60402.0</v>
      </c>
      <c r="B250" s="47" t="s">
        <v>299</v>
      </c>
      <c r="C250" s="48"/>
      <c r="D250" s="49"/>
    </row>
    <row r="251" ht="15.75" customHeight="1">
      <c r="A251" s="18">
        <v>60501.0</v>
      </c>
      <c r="B251" s="47" t="s">
        <v>300</v>
      </c>
      <c r="C251" s="48"/>
      <c r="D251" s="49"/>
    </row>
    <row r="252" ht="15.75" customHeight="1">
      <c r="A252" s="18">
        <v>60502.0</v>
      </c>
      <c r="B252" s="47" t="s">
        <v>301</v>
      </c>
      <c r="C252" s="48"/>
      <c r="D252" s="49"/>
    </row>
    <row r="253" ht="15.75" customHeight="1">
      <c r="A253" s="18">
        <v>60601.0</v>
      </c>
      <c r="B253" s="47" t="s">
        <v>206</v>
      </c>
      <c r="C253" s="48"/>
      <c r="D253" s="49"/>
    </row>
    <row r="254" ht="15.75" customHeight="1">
      <c r="A254" s="18">
        <v>70101.0</v>
      </c>
      <c r="B254" s="47" t="s">
        <v>302</v>
      </c>
      <c r="C254" s="48"/>
      <c r="D254" s="49"/>
    </row>
    <row r="255" ht="15.75" customHeight="1">
      <c r="A255" s="18">
        <v>70102.0</v>
      </c>
      <c r="B255" s="47" t="s">
        <v>303</v>
      </c>
      <c r="C255" s="48"/>
      <c r="D255" s="49"/>
    </row>
    <row r="256" ht="15.75" customHeight="1">
      <c r="A256" s="18">
        <v>70103.0</v>
      </c>
      <c r="B256" s="47" t="s">
        <v>304</v>
      </c>
      <c r="C256" s="48"/>
      <c r="D256" s="49"/>
    </row>
    <row r="257" ht="15.75" customHeight="1">
      <c r="A257" s="18">
        <v>70104.0</v>
      </c>
      <c r="B257" s="47" t="s">
        <v>305</v>
      </c>
      <c r="C257" s="48"/>
      <c r="D257" s="49"/>
    </row>
    <row r="258" ht="15.75" customHeight="1">
      <c r="A258" s="18">
        <v>70105.0</v>
      </c>
      <c r="B258" s="47" t="s">
        <v>306</v>
      </c>
      <c r="C258" s="48"/>
      <c r="D258" s="49"/>
    </row>
    <row r="259" ht="15.75" customHeight="1">
      <c r="A259" s="18">
        <v>70201.0</v>
      </c>
      <c r="B259" s="47" t="s">
        <v>307</v>
      </c>
      <c r="C259" s="48"/>
      <c r="D259" s="49"/>
    </row>
    <row r="260" ht="15.75" customHeight="1">
      <c r="A260" s="18">
        <v>70202.0</v>
      </c>
      <c r="B260" s="47" t="s">
        <v>308</v>
      </c>
      <c r="C260" s="48"/>
      <c r="D260" s="49"/>
    </row>
    <row r="261" ht="15.75" customHeight="1">
      <c r="A261" s="18">
        <v>70301.0</v>
      </c>
      <c r="B261" s="47" t="s">
        <v>309</v>
      </c>
      <c r="C261" s="48"/>
      <c r="D261" s="49"/>
    </row>
    <row r="262" ht="15.75" customHeight="1">
      <c r="A262" s="18">
        <v>70302.0</v>
      </c>
      <c r="B262" s="47" t="s">
        <v>310</v>
      </c>
      <c r="C262" s="48"/>
      <c r="D262" s="49"/>
    </row>
    <row r="263" ht="15.75" customHeight="1">
      <c r="A263" s="18">
        <v>70303.0</v>
      </c>
      <c r="B263" s="47" t="s">
        <v>311</v>
      </c>
      <c r="C263" s="48"/>
      <c r="D263" s="49"/>
    </row>
    <row r="264" ht="15.75" customHeight="1">
      <c r="A264" s="18">
        <v>70401.0</v>
      </c>
      <c r="B264" s="47" t="s">
        <v>312</v>
      </c>
      <c r="C264" s="48"/>
      <c r="D264" s="49"/>
    </row>
    <row r="265" ht="15.75" customHeight="1">
      <c r="A265" s="18">
        <v>70402.0</v>
      </c>
      <c r="B265" s="47" t="s">
        <v>313</v>
      </c>
      <c r="C265" s="48"/>
      <c r="D265" s="49"/>
    </row>
    <row r="266" ht="15.75" customHeight="1">
      <c r="A266" s="18">
        <v>70403.0</v>
      </c>
      <c r="B266" s="47" t="s">
        <v>314</v>
      </c>
      <c r="C266" s="48"/>
      <c r="D266" s="49"/>
    </row>
    <row r="267" ht="15.75" customHeight="1">
      <c r="A267" s="18">
        <v>70404.0</v>
      </c>
      <c r="B267" s="47" t="s">
        <v>315</v>
      </c>
      <c r="C267" s="48"/>
      <c r="D267" s="49"/>
    </row>
    <row r="268" ht="15.75" customHeight="1">
      <c r="A268" s="18">
        <v>70501.0</v>
      </c>
      <c r="B268" s="47" t="s">
        <v>316</v>
      </c>
      <c r="C268" s="48"/>
      <c r="D268" s="49"/>
    </row>
    <row r="269" ht="15.75" customHeight="1">
      <c r="A269" s="18">
        <v>70502.0</v>
      </c>
      <c r="B269" s="47" t="s">
        <v>317</v>
      </c>
      <c r="C269" s="48"/>
      <c r="D269" s="49"/>
    </row>
    <row r="270" ht="15.75" customHeight="1">
      <c r="A270" s="18">
        <v>70503.0</v>
      </c>
      <c r="B270" s="47" t="s">
        <v>318</v>
      </c>
      <c r="C270" s="48"/>
      <c r="D270" s="49"/>
    </row>
    <row r="271" ht="15.75" customHeight="1">
      <c r="A271" s="18">
        <v>70601.0</v>
      </c>
      <c r="B271" s="47" t="s">
        <v>319</v>
      </c>
      <c r="C271" s="48"/>
      <c r="D271" s="49"/>
    </row>
    <row r="272" ht="15.75" customHeight="1">
      <c r="A272" s="18">
        <v>70602.0</v>
      </c>
      <c r="B272" s="47" t="s">
        <v>320</v>
      </c>
      <c r="C272" s="48"/>
      <c r="D272" s="49"/>
    </row>
    <row r="273" ht="15.75" customHeight="1">
      <c r="A273" s="18">
        <v>70603.0</v>
      </c>
      <c r="B273" s="47" t="s">
        <v>321</v>
      </c>
      <c r="C273" s="48"/>
      <c r="D273" s="49"/>
    </row>
    <row r="274" ht="15.75" customHeight="1">
      <c r="A274" s="18">
        <v>70701.0</v>
      </c>
      <c r="B274" s="47" t="s">
        <v>322</v>
      </c>
      <c r="C274" s="48"/>
      <c r="D274" s="49"/>
    </row>
    <row r="275" ht="15.75" customHeight="1">
      <c r="A275" s="18">
        <v>70702.0</v>
      </c>
      <c r="B275" s="47" t="s">
        <v>323</v>
      </c>
      <c r="C275" s="48"/>
      <c r="D275" s="49"/>
    </row>
    <row r="276" ht="15.75" customHeight="1">
      <c r="A276" s="18">
        <v>70703.0</v>
      </c>
      <c r="B276" s="47" t="s">
        <v>324</v>
      </c>
      <c r="C276" s="48"/>
      <c r="D276" s="49"/>
    </row>
    <row r="277" ht="15.75" customHeight="1">
      <c r="A277" s="18">
        <v>70704.0</v>
      </c>
      <c r="B277" s="47" t="s">
        <v>325</v>
      </c>
      <c r="C277" s="48"/>
      <c r="D277" s="49"/>
    </row>
    <row r="278" ht="15.75" customHeight="1">
      <c r="A278" s="18">
        <v>70705.0</v>
      </c>
      <c r="B278" s="47" t="s">
        <v>326</v>
      </c>
      <c r="C278" s="48"/>
      <c r="D278" s="49"/>
    </row>
    <row r="279" ht="15.75" customHeight="1">
      <c r="A279" s="18">
        <v>70706.0</v>
      </c>
      <c r="B279" s="47" t="s">
        <v>327</v>
      </c>
      <c r="C279" s="48"/>
      <c r="D279" s="49"/>
    </row>
    <row r="280" ht="15.75" customHeight="1">
      <c r="A280" s="18">
        <v>70707.0</v>
      </c>
      <c r="B280" s="47" t="s">
        <v>328</v>
      </c>
      <c r="C280" s="48"/>
      <c r="D280" s="49"/>
    </row>
    <row r="281" ht="15.75" customHeight="1">
      <c r="A281" s="18">
        <v>70801.0</v>
      </c>
      <c r="B281" s="47" t="s">
        <v>329</v>
      </c>
      <c r="C281" s="48"/>
      <c r="D281" s="49"/>
    </row>
    <row r="282" ht="15.75" customHeight="1">
      <c r="A282" s="18">
        <v>70802.0</v>
      </c>
      <c r="B282" s="47" t="s">
        <v>330</v>
      </c>
      <c r="C282" s="48"/>
      <c r="D282" s="49"/>
    </row>
    <row r="283" ht="15.75" customHeight="1">
      <c r="A283" s="18">
        <v>70803.0</v>
      </c>
      <c r="B283" s="47" t="s">
        <v>331</v>
      </c>
      <c r="C283" s="48"/>
      <c r="D283" s="49"/>
    </row>
    <row r="284" ht="15.75" customHeight="1">
      <c r="A284" s="18">
        <v>70804.0</v>
      </c>
      <c r="B284" s="47" t="s">
        <v>332</v>
      </c>
      <c r="C284" s="48"/>
      <c r="D284" s="49"/>
    </row>
    <row r="285" ht="15.75" customHeight="1">
      <c r="A285" s="18">
        <v>70805.0</v>
      </c>
      <c r="B285" s="47" t="s">
        <v>333</v>
      </c>
      <c r="C285" s="48"/>
      <c r="D285" s="49"/>
    </row>
    <row r="286" ht="15.75" customHeight="1">
      <c r="A286" s="18">
        <v>70901.0</v>
      </c>
      <c r="B286" s="47" t="s">
        <v>334</v>
      </c>
      <c r="C286" s="48"/>
      <c r="D286" s="49"/>
    </row>
    <row r="287" ht="15.75" customHeight="1">
      <c r="A287" s="18">
        <v>70902.0</v>
      </c>
      <c r="B287" s="47" t="s">
        <v>335</v>
      </c>
      <c r="C287" s="48"/>
      <c r="D287" s="49"/>
    </row>
    <row r="288" ht="15.75" customHeight="1">
      <c r="A288" s="18">
        <v>70903.0</v>
      </c>
      <c r="B288" s="47" t="s">
        <v>336</v>
      </c>
      <c r="C288" s="48"/>
      <c r="D288" s="49"/>
    </row>
    <row r="289" ht="15.75" customHeight="1">
      <c r="A289" s="18">
        <v>70904.0</v>
      </c>
      <c r="B289" s="47" t="s">
        <v>337</v>
      </c>
      <c r="C289" s="48"/>
      <c r="D289" s="49"/>
    </row>
    <row r="290" ht="15.75" customHeight="1">
      <c r="A290" s="18">
        <v>71001.0</v>
      </c>
      <c r="B290" s="47" t="s">
        <v>338</v>
      </c>
      <c r="C290" s="48"/>
      <c r="D290" s="49"/>
    </row>
    <row r="291" ht="15.75" customHeight="1">
      <c r="A291" s="18">
        <v>71002.0</v>
      </c>
      <c r="B291" s="47" t="s">
        <v>339</v>
      </c>
      <c r="C291" s="48"/>
      <c r="D291" s="49"/>
    </row>
    <row r="292" ht="15.75" customHeight="1">
      <c r="A292" s="18">
        <v>71003.0</v>
      </c>
      <c r="B292" s="47" t="s">
        <v>340</v>
      </c>
      <c r="C292" s="48"/>
      <c r="D292" s="49"/>
    </row>
    <row r="293" ht="15.75" customHeight="1">
      <c r="A293" s="18">
        <v>71004.0</v>
      </c>
      <c r="B293" s="47" t="s">
        <v>341</v>
      </c>
      <c r="C293" s="48"/>
      <c r="D293" s="49"/>
    </row>
    <row r="294" ht="15.75" customHeight="1">
      <c r="A294" s="18">
        <v>71005.0</v>
      </c>
      <c r="B294" s="47" t="s">
        <v>267</v>
      </c>
      <c r="C294" s="48"/>
      <c r="D294" s="49"/>
    </row>
    <row r="295" ht="15.75" customHeight="1">
      <c r="A295" s="18">
        <v>71101.0</v>
      </c>
      <c r="B295" s="47" t="s">
        <v>342</v>
      </c>
      <c r="C295" s="48"/>
      <c r="D295" s="49"/>
    </row>
    <row r="296" ht="15.75" customHeight="1">
      <c r="A296" s="18">
        <v>71102.0</v>
      </c>
      <c r="B296" s="47" t="s">
        <v>343</v>
      </c>
      <c r="C296" s="48"/>
      <c r="D296" s="49"/>
    </row>
    <row r="297" ht="15.75" customHeight="1">
      <c r="A297" s="18">
        <v>71103.0</v>
      </c>
      <c r="B297" s="47" t="s">
        <v>344</v>
      </c>
      <c r="C297" s="48"/>
      <c r="D297" s="49"/>
    </row>
    <row r="298" ht="15.75" customHeight="1">
      <c r="A298" s="18">
        <v>71104.0</v>
      </c>
      <c r="B298" s="47" t="s">
        <v>345</v>
      </c>
      <c r="C298" s="48"/>
      <c r="D298" s="49"/>
    </row>
    <row r="299" ht="15.75" customHeight="1">
      <c r="A299" s="18">
        <v>71105.0</v>
      </c>
      <c r="B299" s="47" t="s">
        <v>346</v>
      </c>
      <c r="C299" s="48"/>
      <c r="D299" s="49"/>
    </row>
    <row r="300" ht="15.75" customHeight="1">
      <c r="A300" s="18">
        <v>71106.0</v>
      </c>
      <c r="B300" s="47" t="s">
        <v>347</v>
      </c>
      <c r="C300" s="48"/>
      <c r="D300" s="49"/>
    </row>
    <row r="301" ht="15.75" customHeight="1">
      <c r="A301" s="18">
        <v>71201.0</v>
      </c>
      <c r="B301" s="47" t="s">
        <v>348</v>
      </c>
      <c r="C301" s="48"/>
      <c r="D301" s="49"/>
    </row>
    <row r="302" ht="15.75" customHeight="1">
      <c r="A302" s="18">
        <v>71301.0</v>
      </c>
      <c r="B302" s="47" t="s">
        <v>349</v>
      </c>
      <c r="C302" s="48"/>
      <c r="D302" s="49"/>
    </row>
    <row r="303" ht="15.75" customHeight="1">
      <c r="A303" s="18">
        <v>71302.0</v>
      </c>
      <c r="B303" s="47" t="s">
        <v>350</v>
      </c>
      <c r="C303" s="48"/>
      <c r="D303" s="49"/>
    </row>
    <row r="304" ht="15.75" customHeight="1">
      <c r="A304" s="18">
        <v>71401.0</v>
      </c>
      <c r="B304" s="47" t="s">
        <v>351</v>
      </c>
      <c r="C304" s="48"/>
      <c r="D304" s="49"/>
    </row>
    <row r="305" ht="15.75" customHeight="1">
      <c r="A305" s="18">
        <v>71402.0</v>
      </c>
      <c r="B305" s="47" t="s">
        <v>352</v>
      </c>
      <c r="C305" s="48"/>
      <c r="D305" s="49"/>
    </row>
    <row r="306" ht="15.75" customHeight="1">
      <c r="A306" s="18">
        <v>71403.0</v>
      </c>
      <c r="B306" s="47" t="s">
        <v>353</v>
      </c>
      <c r="C306" s="48"/>
      <c r="D306" s="49"/>
    </row>
    <row r="307" ht="15.75" customHeight="1">
      <c r="A307" s="18">
        <v>71501.0</v>
      </c>
      <c r="B307" s="47" t="s">
        <v>354</v>
      </c>
      <c r="C307" s="48"/>
      <c r="D307" s="49"/>
    </row>
    <row r="308" ht="15.75" customHeight="1">
      <c r="A308" s="18">
        <v>71502.0</v>
      </c>
      <c r="B308" s="47" t="s">
        <v>355</v>
      </c>
      <c r="C308" s="48"/>
      <c r="D308" s="49"/>
    </row>
    <row r="309" ht="15.75" customHeight="1">
      <c r="A309" s="18">
        <v>71503.0</v>
      </c>
      <c r="B309" s="47" t="s">
        <v>301</v>
      </c>
      <c r="C309" s="48"/>
      <c r="D309" s="49"/>
    </row>
    <row r="310" ht="15.75" customHeight="1">
      <c r="A310" s="18">
        <v>80101.0</v>
      </c>
      <c r="B310" s="47" t="s">
        <v>356</v>
      </c>
      <c r="C310" s="48"/>
      <c r="D310" s="49"/>
    </row>
    <row r="311" ht="15.75" customHeight="1">
      <c r="A311" s="18">
        <v>80102.0</v>
      </c>
      <c r="B311" s="47" t="s">
        <v>343</v>
      </c>
      <c r="C311" s="48"/>
      <c r="D311" s="49"/>
    </row>
    <row r="312" ht="15.75" customHeight="1">
      <c r="A312" s="18">
        <v>80201.0</v>
      </c>
      <c r="B312" s="47" t="s">
        <v>357</v>
      </c>
      <c r="C312" s="48"/>
      <c r="D312" s="49"/>
    </row>
    <row r="313" ht="15.75" customHeight="1">
      <c r="A313" s="18">
        <v>80202.0</v>
      </c>
      <c r="B313" s="47" t="s">
        <v>358</v>
      </c>
      <c r="C313" s="48"/>
      <c r="D313" s="49"/>
    </row>
    <row r="314" ht="15.75" customHeight="1">
      <c r="A314" s="18">
        <v>80301.0</v>
      </c>
      <c r="B314" s="47" t="s">
        <v>359</v>
      </c>
      <c r="C314" s="48"/>
      <c r="D314" s="49"/>
    </row>
    <row r="315" ht="15.75" customHeight="1">
      <c r="A315" s="18">
        <v>80302.0</v>
      </c>
      <c r="B315" s="47" t="s">
        <v>360</v>
      </c>
      <c r="C315" s="48"/>
      <c r="D315" s="49"/>
    </row>
    <row r="316" ht="15.75" customHeight="1">
      <c r="A316" s="18">
        <v>80303.0</v>
      </c>
      <c r="B316" s="47" t="s">
        <v>320</v>
      </c>
      <c r="C316" s="48"/>
      <c r="D316" s="49"/>
    </row>
    <row r="317" ht="15.75" customHeight="1">
      <c r="A317" s="18">
        <v>80304.0</v>
      </c>
      <c r="B317" s="47" t="s">
        <v>361</v>
      </c>
      <c r="C317" s="48"/>
      <c r="D317" s="49"/>
    </row>
    <row r="318" ht="15.75" customHeight="1">
      <c r="A318" s="18">
        <v>80401.0</v>
      </c>
      <c r="B318" s="47" t="s">
        <v>362</v>
      </c>
      <c r="C318" s="48"/>
      <c r="D318" s="49"/>
    </row>
    <row r="319" ht="15.75" customHeight="1">
      <c r="A319" s="18">
        <v>80402.0</v>
      </c>
      <c r="B319" s="47" t="s">
        <v>363</v>
      </c>
      <c r="C319" s="48"/>
      <c r="D319" s="49"/>
    </row>
    <row r="320" ht="15.75" customHeight="1">
      <c r="A320" s="18">
        <v>80501.0</v>
      </c>
      <c r="B320" s="47" t="s">
        <v>309</v>
      </c>
      <c r="C320" s="48"/>
      <c r="D320" s="49"/>
    </row>
    <row r="321" ht="15.75" customHeight="1">
      <c r="A321" s="18">
        <v>80601.0</v>
      </c>
      <c r="B321" s="47" t="s">
        <v>364</v>
      </c>
      <c r="C321" s="48"/>
      <c r="D321" s="49"/>
    </row>
    <row r="322" ht="15.75" customHeight="1">
      <c r="A322" s="18">
        <v>80602.0</v>
      </c>
      <c r="B322" s="47" t="s">
        <v>365</v>
      </c>
      <c r="C322" s="48"/>
      <c r="D322" s="49"/>
    </row>
    <row r="323" ht="15.75" customHeight="1">
      <c r="A323" s="18">
        <v>80701.0</v>
      </c>
      <c r="B323" s="47" t="s">
        <v>366</v>
      </c>
      <c r="C323" s="48"/>
      <c r="D323" s="49"/>
    </row>
    <row r="324" ht="15.75" customHeight="1">
      <c r="A324" s="18">
        <v>80702.0</v>
      </c>
      <c r="B324" s="47" t="s">
        <v>344</v>
      </c>
      <c r="C324" s="48"/>
      <c r="D324" s="49"/>
    </row>
    <row r="325" ht="15.75" customHeight="1">
      <c r="A325" s="18">
        <v>80703.0</v>
      </c>
      <c r="B325" s="47" t="s">
        <v>367</v>
      </c>
      <c r="C325" s="48"/>
      <c r="D325" s="49"/>
    </row>
    <row r="326" ht="15.75" customHeight="1">
      <c r="A326" s="18">
        <v>80801.0</v>
      </c>
      <c r="B326" s="47" t="s">
        <v>368</v>
      </c>
      <c r="C326" s="48"/>
      <c r="D326" s="49"/>
    </row>
    <row r="327" ht="15.75" customHeight="1">
      <c r="A327" s="18">
        <v>80802.0</v>
      </c>
      <c r="B327" s="47" t="s">
        <v>369</v>
      </c>
      <c r="C327" s="48"/>
      <c r="D327" s="49"/>
    </row>
    <row r="328" ht="15.75" customHeight="1">
      <c r="A328" s="18">
        <v>80803.0</v>
      </c>
      <c r="B328" s="47" t="s">
        <v>370</v>
      </c>
      <c r="C328" s="48"/>
      <c r="D328" s="49"/>
    </row>
    <row r="329" ht="15.75" customHeight="1">
      <c r="A329" s="50">
        <v>80901.0</v>
      </c>
      <c r="B329" s="47" t="s">
        <v>371</v>
      </c>
      <c r="C329" s="48"/>
      <c r="D329" s="49"/>
    </row>
    <row r="330" ht="15.75" customHeight="1">
      <c r="A330" s="18">
        <v>90101.0</v>
      </c>
      <c r="B330" s="47" t="s">
        <v>372</v>
      </c>
      <c r="C330" s="48"/>
      <c r="D330" s="49"/>
    </row>
    <row r="331" ht="15.75" customHeight="1">
      <c r="A331" s="18">
        <v>90102.0</v>
      </c>
      <c r="B331" s="47" t="s">
        <v>373</v>
      </c>
      <c r="C331" s="48"/>
      <c r="D331" s="49"/>
    </row>
    <row r="332" ht="15.75" customHeight="1">
      <c r="A332" s="18">
        <v>90103.0</v>
      </c>
      <c r="B332" s="47" t="s">
        <v>374</v>
      </c>
      <c r="C332" s="48"/>
      <c r="D332" s="49"/>
    </row>
    <row r="333" ht="15.75" customHeight="1">
      <c r="A333" s="18">
        <v>90104.0</v>
      </c>
      <c r="B333" s="47" t="s">
        <v>375</v>
      </c>
      <c r="C333" s="48"/>
      <c r="D333" s="49"/>
    </row>
    <row r="334" ht="15.75" customHeight="1">
      <c r="A334" s="18">
        <v>90201.0</v>
      </c>
      <c r="B334" s="47" t="s">
        <v>376</v>
      </c>
      <c r="C334" s="48"/>
      <c r="D334" s="49"/>
    </row>
    <row r="335" ht="15.75" customHeight="1">
      <c r="A335" s="18">
        <v>90202.0</v>
      </c>
      <c r="B335" s="47" t="s">
        <v>267</v>
      </c>
      <c r="C335" s="48"/>
      <c r="D335" s="49"/>
    </row>
    <row r="336" ht="15.75" customHeight="1">
      <c r="A336" s="18">
        <v>90203.0</v>
      </c>
      <c r="B336" s="47" t="s">
        <v>377</v>
      </c>
      <c r="C336" s="48"/>
      <c r="D336" s="49"/>
    </row>
    <row r="337" ht="15.75" customHeight="1">
      <c r="A337" s="18">
        <v>90301.0</v>
      </c>
      <c r="B337" s="47" t="s">
        <v>378</v>
      </c>
      <c r="C337" s="48"/>
      <c r="D337" s="49"/>
    </row>
    <row r="338" ht="15.75" customHeight="1">
      <c r="A338" s="18">
        <v>90302.0</v>
      </c>
      <c r="B338" s="47" t="s">
        <v>300</v>
      </c>
      <c r="C338" s="48"/>
      <c r="D338" s="49"/>
    </row>
    <row r="339" ht="15.75" customHeight="1">
      <c r="A339" s="18">
        <v>90303.0</v>
      </c>
      <c r="B339" s="47" t="s">
        <v>379</v>
      </c>
      <c r="C339" s="48"/>
      <c r="D339" s="49"/>
    </row>
    <row r="340" ht="15.75" customHeight="1">
      <c r="A340" s="18">
        <v>90401.0</v>
      </c>
      <c r="B340" s="47" t="s">
        <v>320</v>
      </c>
      <c r="C340" s="48"/>
      <c r="D340" s="49"/>
    </row>
    <row r="341" ht="15.75" customHeight="1">
      <c r="A341" s="18">
        <v>90402.0</v>
      </c>
      <c r="B341" s="47" t="s">
        <v>380</v>
      </c>
      <c r="C341" s="48"/>
      <c r="D341" s="49"/>
    </row>
    <row r="342" ht="15.75" customHeight="1">
      <c r="A342" s="18">
        <v>90501.0</v>
      </c>
      <c r="B342" s="47" t="s">
        <v>381</v>
      </c>
      <c r="C342" s="48"/>
      <c r="D342" s="49"/>
    </row>
    <row r="343" ht="15.75" customHeight="1">
      <c r="A343" s="18">
        <v>90502.0</v>
      </c>
      <c r="B343" s="47" t="s">
        <v>382</v>
      </c>
      <c r="C343" s="48"/>
      <c r="D343" s="49"/>
    </row>
    <row r="344" ht="15.75" customHeight="1">
      <c r="A344" s="18">
        <v>90503.0</v>
      </c>
      <c r="B344" s="47" t="s">
        <v>383</v>
      </c>
      <c r="C344" s="48"/>
      <c r="D344" s="49"/>
    </row>
    <row r="345" ht="15.75" customHeight="1">
      <c r="A345" s="31"/>
      <c r="B345" s="51"/>
      <c r="C345" s="49"/>
      <c r="D345" s="49"/>
    </row>
    <row r="346" ht="15.75" customHeight="1">
      <c r="A346" s="54"/>
      <c r="B346" s="51"/>
      <c r="C346" s="49"/>
      <c r="D346" s="49"/>
    </row>
    <row r="347" ht="15.75" customHeight="1">
      <c r="A347" s="54"/>
      <c r="B347" s="51"/>
      <c r="C347" s="49"/>
      <c r="D347" s="49"/>
    </row>
    <row r="348" ht="15.75" customHeight="1">
      <c r="A348" s="54"/>
      <c r="B348" s="51"/>
      <c r="C348" s="49"/>
      <c r="D348" s="49"/>
    </row>
    <row r="349" ht="15.75" customHeight="1">
      <c r="A349" s="54"/>
      <c r="B349" s="51"/>
      <c r="C349" s="49"/>
      <c r="D349" s="49"/>
    </row>
    <row r="350" ht="15.75" customHeight="1">
      <c r="A350" s="54"/>
      <c r="B350" s="51"/>
      <c r="C350" s="49"/>
      <c r="D350" s="49"/>
    </row>
    <row r="351" ht="15.75" customHeight="1">
      <c r="A351" s="54"/>
      <c r="B351" s="51"/>
      <c r="C351" s="49"/>
      <c r="D351" s="49"/>
    </row>
    <row r="352" ht="15.75" customHeight="1">
      <c r="A352" s="54"/>
      <c r="B352" s="51"/>
      <c r="C352" s="49"/>
      <c r="D352" s="49"/>
    </row>
    <row r="353" ht="15.75" customHeight="1">
      <c r="A353" s="54"/>
      <c r="B353" s="51"/>
      <c r="C353" s="49"/>
      <c r="D353" s="49"/>
    </row>
    <row r="354" ht="15.75" customHeight="1">
      <c r="A354" s="54"/>
      <c r="B354" s="51"/>
      <c r="C354" s="49"/>
      <c r="D354" s="49"/>
    </row>
    <row r="355" ht="15.75" customHeight="1">
      <c r="A355" s="54"/>
      <c r="B355" s="51"/>
      <c r="C355" s="49"/>
      <c r="D355" s="49"/>
    </row>
    <row r="356" ht="15.75" customHeight="1">
      <c r="A356" s="54"/>
      <c r="B356" s="51"/>
      <c r="C356" s="49"/>
      <c r="D356" s="49"/>
    </row>
    <row r="357" ht="15.75" customHeight="1">
      <c r="A357" s="54"/>
      <c r="B357" s="51"/>
      <c r="C357" s="49"/>
      <c r="D357" s="49"/>
    </row>
    <row r="358" ht="15.75" customHeight="1">
      <c r="A358" s="31"/>
      <c r="B358" s="51"/>
      <c r="C358" s="49"/>
      <c r="D358" s="49"/>
    </row>
    <row r="359" ht="15.75" customHeight="1">
      <c r="A359" s="31"/>
      <c r="B359" s="51"/>
      <c r="C359" s="49"/>
      <c r="D359" s="49"/>
    </row>
    <row r="360" ht="15.75" customHeight="1">
      <c r="A360" s="31"/>
      <c r="B360" s="51"/>
      <c r="C360" s="49"/>
      <c r="D360" s="49"/>
    </row>
    <row r="361" ht="15.75" customHeight="1">
      <c r="A361" s="31"/>
      <c r="B361" s="51"/>
      <c r="C361" s="49"/>
      <c r="D361" s="49"/>
    </row>
    <row r="362" ht="15.75" customHeight="1">
      <c r="A362" s="31"/>
      <c r="B362" s="51"/>
      <c r="C362" s="49"/>
      <c r="D362" s="49"/>
    </row>
    <row r="363" ht="15.75" customHeight="1">
      <c r="A363" s="31"/>
      <c r="B363" s="51"/>
      <c r="C363" s="49"/>
      <c r="D363" s="49"/>
    </row>
    <row r="364" ht="15.75" customHeight="1">
      <c r="A364" s="31"/>
      <c r="B364" s="51"/>
      <c r="C364" s="49"/>
      <c r="D364" s="49"/>
    </row>
    <row r="365" ht="15.75" customHeight="1">
      <c r="A365" s="31"/>
      <c r="B365" s="51"/>
      <c r="C365" s="49"/>
      <c r="D365" s="49"/>
    </row>
    <row r="366" ht="15.75" customHeight="1">
      <c r="A366" s="31"/>
      <c r="B366" s="51"/>
      <c r="C366" s="49"/>
      <c r="D366" s="49"/>
    </row>
    <row r="367" ht="15.75" customHeight="1">
      <c r="A367" s="31"/>
      <c r="B367" s="51"/>
      <c r="C367" s="49"/>
      <c r="D367" s="49"/>
    </row>
    <row r="368" ht="15.75" customHeight="1">
      <c r="A368" s="31"/>
      <c r="B368" s="51"/>
      <c r="C368" s="49"/>
      <c r="D368" s="49"/>
    </row>
    <row r="369" ht="15.75" customHeight="1">
      <c r="A369" s="31"/>
      <c r="B369" s="51"/>
      <c r="C369" s="49"/>
      <c r="D369" s="49"/>
    </row>
    <row r="370" ht="15.75" customHeight="1">
      <c r="A370" s="31"/>
      <c r="B370" s="51"/>
      <c r="C370" s="49"/>
      <c r="D370" s="49"/>
    </row>
    <row r="371" ht="15.75" customHeight="1">
      <c r="A371" s="31"/>
      <c r="B371" s="51"/>
      <c r="C371" s="49"/>
      <c r="D371" s="49"/>
    </row>
    <row r="372" ht="15.75" customHeight="1">
      <c r="A372" s="31"/>
      <c r="B372" s="51"/>
      <c r="C372" s="49"/>
      <c r="D372" s="49"/>
    </row>
    <row r="373" ht="15.75" customHeight="1">
      <c r="A373" s="31"/>
      <c r="B373" s="51"/>
      <c r="C373" s="49"/>
      <c r="D373" s="49"/>
    </row>
    <row r="374" ht="15.75" customHeight="1">
      <c r="A374" s="31"/>
      <c r="B374" s="51"/>
      <c r="C374" s="49"/>
      <c r="D374" s="49"/>
    </row>
    <row r="375" ht="15.75" customHeight="1">
      <c r="A375" s="31"/>
      <c r="B375" s="51"/>
      <c r="C375" s="49"/>
      <c r="D375" s="49"/>
    </row>
    <row r="376" ht="15.75" customHeight="1">
      <c r="A376" s="31"/>
      <c r="B376" s="51"/>
      <c r="C376" s="49"/>
      <c r="D376" s="49"/>
    </row>
    <row r="377" ht="15.75" customHeight="1">
      <c r="A377" s="31"/>
      <c r="B377" s="51"/>
      <c r="C377" s="49"/>
      <c r="D377" s="49"/>
    </row>
    <row r="378" ht="15.75" customHeight="1">
      <c r="A378" s="31"/>
      <c r="B378" s="51"/>
      <c r="C378" s="49"/>
      <c r="D378" s="49"/>
    </row>
    <row r="379" ht="15.75" customHeight="1">
      <c r="A379" s="31"/>
      <c r="B379" s="51"/>
      <c r="C379" s="49"/>
      <c r="D379" s="49"/>
    </row>
    <row r="380" ht="15.75" customHeight="1">
      <c r="A380" s="31"/>
      <c r="B380" s="51"/>
      <c r="C380" s="49"/>
      <c r="D380" s="49"/>
    </row>
    <row r="381" ht="15.75" customHeight="1">
      <c r="A381" s="31"/>
      <c r="B381" s="51"/>
      <c r="C381" s="49"/>
      <c r="D381" s="49"/>
    </row>
    <row r="382" ht="15.75" customHeight="1">
      <c r="A382" s="31"/>
      <c r="B382" s="51"/>
      <c r="C382" s="49"/>
      <c r="D382" s="49"/>
    </row>
    <row r="383" ht="15.75" customHeight="1">
      <c r="A383" s="31"/>
      <c r="B383" s="51"/>
      <c r="C383" s="49"/>
      <c r="D383" s="49"/>
    </row>
    <row r="384" ht="15.75" customHeight="1">
      <c r="A384" s="31"/>
      <c r="B384" s="51"/>
      <c r="C384" s="49"/>
      <c r="D384" s="49"/>
    </row>
    <row r="385" ht="15.75" customHeight="1">
      <c r="A385" s="31"/>
      <c r="B385" s="51"/>
      <c r="C385" s="49"/>
      <c r="D385" s="49"/>
    </row>
    <row r="386" ht="15.75" customHeight="1">
      <c r="A386" s="31"/>
      <c r="B386" s="51"/>
      <c r="C386" s="49"/>
      <c r="D386" s="49"/>
    </row>
    <row r="387" ht="15.75" customHeight="1">
      <c r="A387" s="31"/>
      <c r="B387" s="51"/>
      <c r="C387" s="49"/>
      <c r="D387" s="49"/>
    </row>
    <row r="388" ht="15.75" customHeight="1">
      <c r="A388" s="31"/>
      <c r="B388" s="51"/>
      <c r="C388" s="49"/>
      <c r="D388" s="49"/>
    </row>
    <row r="389" ht="15.75" customHeight="1">
      <c r="A389" s="31"/>
      <c r="B389" s="51"/>
      <c r="C389" s="49"/>
      <c r="D389" s="49"/>
    </row>
    <row r="390" ht="15.75" customHeight="1">
      <c r="A390" s="31"/>
      <c r="B390" s="51"/>
      <c r="C390" s="49"/>
      <c r="D390" s="49"/>
    </row>
    <row r="391" ht="15.75" customHeight="1">
      <c r="A391" s="31"/>
      <c r="B391" s="51"/>
      <c r="C391" s="49"/>
      <c r="D391" s="49"/>
    </row>
    <row r="392" ht="15.75" customHeight="1">
      <c r="A392" s="31"/>
      <c r="B392" s="51"/>
      <c r="C392" s="49"/>
      <c r="D392" s="49"/>
    </row>
    <row r="393" ht="15.75" customHeight="1">
      <c r="A393" s="31"/>
      <c r="B393" s="51"/>
      <c r="C393" s="49"/>
      <c r="D393" s="49"/>
    </row>
    <row r="394" ht="15.75" customHeight="1">
      <c r="A394" s="31"/>
      <c r="B394" s="51"/>
      <c r="C394" s="49"/>
      <c r="D394" s="49"/>
    </row>
    <row r="395" ht="15.75" customHeight="1">
      <c r="A395" s="31"/>
      <c r="B395" s="51"/>
      <c r="C395" s="49"/>
      <c r="D395" s="49"/>
    </row>
    <row r="396" ht="15.75" customHeight="1">
      <c r="A396" s="31"/>
      <c r="B396" s="51"/>
      <c r="C396" s="49"/>
      <c r="D396" s="49"/>
    </row>
    <row r="397" ht="15.75" customHeight="1">
      <c r="A397" s="31"/>
      <c r="B397" s="51"/>
      <c r="C397" s="49"/>
      <c r="D397" s="49"/>
    </row>
    <row r="398" ht="15.75" customHeight="1">
      <c r="A398" s="31"/>
      <c r="B398" s="51"/>
      <c r="C398" s="49"/>
      <c r="D398" s="49"/>
    </row>
    <row r="399" ht="15.75" customHeight="1">
      <c r="A399" s="31"/>
      <c r="B399" s="51"/>
      <c r="C399" s="49"/>
      <c r="D399" s="49"/>
    </row>
    <row r="400" ht="15.75" customHeight="1">
      <c r="A400" s="31"/>
      <c r="B400" s="51"/>
      <c r="C400" s="49"/>
      <c r="D400" s="49"/>
    </row>
    <row r="401" ht="15.75" customHeight="1">
      <c r="A401" s="31"/>
      <c r="B401" s="51"/>
      <c r="C401" s="49"/>
      <c r="D401" s="49"/>
    </row>
    <row r="402" ht="15.75" customHeight="1">
      <c r="A402" s="31"/>
      <c r="B402" s="51"/>
      <c r="C402" s="49"/>
      <c r="D402" s="49"/>
    </row>
    <row r="403" ht="15.75" customHeight="1">
      <c r="A403" s="31"/>
      <c r="B403" s="51"/>
      <c r="C403" s="49"/>
      <c r="D403" s="49"/>
    </row>
    <row r="404" ht="15.75" customHeight="1">
      <c r="A404" s="31"/>
      <c r="B404" s="51"/>
      <c r="C404" s="49"/>
      <c r="D404" s="49"/>
    </row>
    <row r="405" ht="15.75" customHeight="1">
      <c r="A405" s="31"/>
      <c r="B405" s="51"/>
      <c r="C405" s="49"/>
      <c r="D405" s="49"/>
    </row>
    <row r="406" ht="15.75" customHeight="1">
      <c r="A406" s="31"/>
      <c r="B406" s="51"/>
      <c r="C406" s="49"/>
      <c r="D406" s="49"/>
    </row>
    <row r="407" ht="15.75" customHeight="1">
      <c r="A407" s="31"/>
      <c r="B407" s="51"/>
      <c r="C407" s="49"/>
      <c r="D407" s="49"/>
    </row>
    <row r="408" ht="15.75" customHeight="1">
      <c r="A408" s="31"/>
      <c r="B408" s="51"/>
      <c r="C408" s="49"/>
      <c r="D408" s="49"/>
    </row>
    <row r="409" ht="15.75" customHeight="1">
      <c r="A409" s="31"/>
      <c r="B409" s="51"/>
      <c r="C409" s="49"/>
      <c r="D409" s="49"/>
    </row>
    <row r="410" ht="15.75" customHeight="1">
      <c r="A410" s="31"/>
      <c r="B410" s="51"/>
      <c r="C410" s="49"/>
      <c r="D410" s="49"/>
    </row>
    <row r="411" ht="15.75" customHeight="1">
      <c r="A411" s="31"/>
      <c r="B411" s="51"/>
      <c r="C411" s="49"/>
      <c r="D411" s="49"/>
    </row>
    <row r="412" ht="15.75" customHeight="1">
      <c r="A412" s="31"/>
      <c r="B412" s="51"/>
      <c r="C412" s="49"/>
      <c r="D412" s="49"/>
    </row>
    <row r="413" ht="15.75" customHeight="1">
      <c r="A413" s="31"/>
      <c r="B413" s="51"/>
      <c r="C413" s="49"/>
      <c r="D413" s="49"/>
    </row>
    <row r="414" ht="15.75" customHeight="1">
      <c r="A414" s="31"/>
      <c r="B414" s="51"/>
      <c r="C414" s="49"/>
      <c r="D414" s="49"/>
    </row>
    <row r="415" ht="15.75" customHeight="1">
      <c r="A415" s="31"/>
      <c r="B415" s="51"/>
      <c r="C415" s="49"/>
      <c r="D415" s="49"/>
    </row>
    <row r="416" ht="15.75" customHeight="1">
      <c r="A416" s="31"/>
      <c r="B416" s="51"/>
      <c r="C416" s="49"/>
      <c r="D416" s="49"/>
    </row>
    <row r="417" ht="15.75" customHeight="1">
      <c r="A417" s="31"/>
      <c r="B417" s="51"/>
      <c r="C417" s="49"/>
      <c r="D417" s="49"/>
    </row>
    <row r="418" ht="15.75" customHeight="1">
      <c r="A418" s="31"/>
      <c r="B418" s="51"/>
      <c r="C418" s="49"/>
      <c r="D418" s="49"/>
    </row>
    <row r="419" ht="15.75" customHeight="1">
      <c r="A419" s="31"/>
      <c r="B419" s="51"/>
      <c r="C419" s="49"/>
      <c r="D419" s="49"/>
    </row>
    <row r="420" ht="15.75" customHeight="1">
      <c r="A420" s="31"/>
      <c r="B420" s="51"/>
      <c r="C420" s="49"/>
      <c r="D420" s="49"/>
    </row>
    <row r="421" ht="15.75" customHeight="1">
      <c r="A421" s="31"/>
      <c r="B421" s="51"/>
      <c r="C421" s="49"/>
      <c r="D421" s="49"/>
    </row>
    <row r="422" ht="15.75" customHeight="1">
      <c r="A422" s="31"/>
      <c r="B422" s="51"/>
      <c r="C422" s="49"/>
      <c r="D422" s="49"/>
    </row>
    <row r="423" ht="15.75" customHeight="1">
      <c r="A423" s="31"/>
      <c r="B423" s="51"/>
      <c r="C423" s="49"/>
      <c r="D423" s="49"/>
    </row>
    <row r="424" ht="15.75" customHeight="1">
      <c r="A424" s="31"/>
      <c r="B424" s="51"/>
      <c r="C424" s="49"/>
      <c r="D424" s="49"/>
    </row>
    <row r="425" ht="15.75" customHeight="1">
      <c r="A425" s="31"/>
      <c r="B425" s="51"/>
      <c r="C425" s="49"/>
      <c r="D425" s="49"/>
    </row>
    <row r="426" ht="15.75" customHeight="1">
      <c r="A426" s="31"/>
      <c r="B426" s="51"/>
      <c r="C426" s="49"/>
      <c r="D426" s="49"/>
    </row>
    <row r="427" ht="15.75" customHeight="1">
      <c r="A427" s="31"/>
      <c r="B427" s="51"/>
      <c r="C427" s="49"/>
      <c r="D427" s="49"/>
    </row>
    <row r="428" ht="15.75" customHeight="1">
      <c r="A428" s="31"/>
      <c r="B428" s="51"/>
      <c r="C428" s="49"/>
      <c r="D428" s="49"/>
    </row>
    <row r="429" ht="15.75" customHeight="1">
      <c r="A429" s="31"/>
      <c r="B429" s="51"/>
      <c r="C429" s="49"/>
      <c r="D429" s="49"/>
    </row>
    <row r="430" ht="15.75" customHeight="1">
      <c r="A430" s="31"/>
      <c r="B430" s="51"/>
      <c r="C430" s="49"/>
      <c r="D430" s="49"/>
    </row>
    <row r="431" ht="15.75" customHeight="1">
      <c r="A431" s="31"/>
      <c r="B431" s="51"/>
      <c r="C431" s="49"/>
      <c r="D431" s="49"/>
    </row>
    <row r="432" ht="15.75" customHeight="1">
      <c r="A432" s="31"/>
      <c r="B432" s="51"/>
      <c r="C432" s="49"/>
      <c r="D432" s="49"/>
    </row>
    <row r="433" ht="15.75" customHeight="1">
      <c r="A433" s="31"/>
      <c r="B433" s="51"/>
      <c r="C433" s="49"/>
      <c r="D433" s="49"/>
    </row>
    <row r="434" ht="15.75" customHeight="1">
      <c r="A434" s="31"/>
      <c r="B434" s="51"/>
      <c r="C434" s="49"/>
      <c r="D434" s="49"/>
    </row>
    <row r="435" ht="15.75" customHeight="1">
      <c r="A435" s="31"/>
      <c r="B435" s="51"/>
      <c r="C435" s="49"/>
      <c r="D435" s="49"/>
    </row>
    <row r="436" ht="15.75" customHeight="1">
      <c r="A436" s="31"/>
      <c r="B436" s="51"/>
      <c r="C436" s="49"/>
      <c r="D436" s="49"/>
    </row>
    <row r="437" ht="15.75" customHeight="1">
      <c r="A437" s="31"/>
      <c r="B437" s="51"/>
      <c r="C437" s="49"/>
      <c r="D437" s="49"/>
    </row>
    <row r="438" ht="15.75" customHeight="1">
      <c r="A438" s="31"/>
      <c r="B438" s="51"/>
      <c r="C438" s="49"/>
      <c r="D438" s="49"/>
    </row>
    <row r="439" ht="15.75" customHeight="1">
      <c r="A439" s="31"/>
      <c r="B439" s="51"/>
      <c r="C439" s="49"/>
      <c r="D439" s="49"/>
    </row>
    <row r="440" ht="15.75" customHeight="1">
      <c r="A440" s="31"/>
      <c r="B440" s="51"/>
      <c r="C440" s="49"/>
      <c r="D440" s="49"/>
    </row>
    <row r="441" ht="15.75" customHeight="1">
      <c r="A441" s="31"/>
      <c r="B441" s="51"/>
      <c r="C441" s="49"/>
      <c r="D441" s="49"/>
    </row>
    <row r="442" ht="15.75" customHeight="1">
      <c r="A442" s="31"/>
      <c r="B442" s="51"/>
      <c r="C442" s="49"/>
      <c r="D442" s="49"/>
    </row>
    <row r="443" ht="15.75" customHeight="1">
      <c r="A443" s="31"/>
      <c r="B443" s="51"/>
      <c r="C443" s="49"/>
      <c r="D443" s="49"/>
    </row>
    <row r="444" ht="15.75" customHeight="1">
      <c r="A444" s="31"/>
      <c r="B444" s="51"/>
      <c r="C444" s="49"/>
      <c r="D444" s="49"/>
    </row>
    <row r="445" ht="15.75" customHeight="1">
      <c r="A445" s="31"/>
      <c r="B445" s="51"/>
      <c r="C445" s="49"/>
      <c r="D445" s="49"/>
    </row>
    <row r="446" ht="15.75" customHeight="1">
      <c r="A446" s="31"/>
      <c r="B446" s="51"/>
      <c r="C446" s="49"/>
      <c r="D446" s="49"/>
    </row>
    <row r="447" ht="15.75" customHeight="1">
      <c r="A447" s="31"/>
      <c r="B447" s="51"/>
      <c r="C447" s="49"/>
      <c r="D447" s="49"/>
    </row>
    <row r="448" ht="15.75" customHeight="1">
      <c r="A448" s="31"/>
      <c r="B448" s="51"/>
      <c r="C448" s="49"/>
      <c r="D448" s="49"/>
    </row>
    <row r="449" ht="15.75" customHeight="1">
      <c r="A449" s="31"/>
      <c r="B449" s="51"/>
      <c r="C449" s="49"/>
      <c r="D449" s="49"/>
    </row>
    <row r="450" ht="15.75" customHeight="1">
      <c r="A450" s="31"/>
      <c r="B450" s="51"/>
      <c r="C450" s="49"/>
      <c r="D450" s="49"/>
    </row>
    <row r="451" ht="15.75" customHeight="1">
      <c r="A451" s="31"/>
      <c r="B451" s="51"/>
      <c r="C451" s="49"/>
      <c r="D451" s="49"/>
    </row>
    <row r="452" ht="15.75" customHeight="1">
      <c r="A452" s="31"/>
      <c r="B452" s="51"/>
      <c r="C452" s="49"/>
      <c r="D452" s="49"/>
    </row>
    <row r="453" ht="15.75" customHeight="1">
      <c r="A453" s="31"/>
      <c r="B453" s="51"/>
      <c r="C453" s="49"/>
      <c r="D453" s="49"/>
    </row>
    <row r="454" ht="15.75" customHeight="1">
      <c r="A454" s="31"/>
      <c r="B454" s="51"/>
      <c r="C454" s="49"/>
      <c r="D454" s="49"/>
    </row>
    <row r="455" ht="15.75" customHeight="1">
      <c r="A455" s="31"/>
      <c r="B455" s="51"/>
      <c r="C455" s="49"/>
      <c r="D455" s="49"/>
    </row>
    <row r="456" ht="15.75" customHeight="1">
      <c r="A456" s="31"/>
      <c r="B456" s="51"/>
      <c r="C456" s="49"/>
      <c r="D456" s="49"/>
    </row>
    <row r="457" ht="15.75" customHeight="1">
      <c r="A457" s="31"/>
      <c r="B457" s="51"/>
      <c r="C457" s="49"/>
      <c r="D457" s="49"/>
    </row>
    <row r="458" ht="15.75" customHeight="1">
      <c r="A458" s="31"/>
      <c r="B458" s="51"/>
      <c r="C458" s="49"/>
      <c r="D458" s="49"/>
    </row>
    <row r="459" ht="15.75" customHeight="1">
      <c r="A459" s="31"/>
      <c r="B459" s="51"/>
      <c r="C459" s="49"/>
      <c r="D459" s="49"/>
    </row>
    <row r="460" ht="15.75" customHeight="1">
      <c r="A460" s="31"/>
      <c r="B460" s="51"/>
      <c r="C460" s="49"/>
      <c r="D460" s="49"/>
    </row>
    <row r="461" ht="15.75" customHeight="1">
      <c r="A461" s="31"/>
      <c r="B461" s="51"/>
      <c r="C461" s="49"/>
      <c r="D461" s="49"/>
    </row>
    <row r="462" ht="15.75" customHeight="1">
      <c r="A462" s="31"/>
      <c r="B462" s="51"/>
      <c r="C462" s="49"/>
      <c r="D462" s="49"/>
    </row>
    <row r="463" ht="15.75" customHeight="1">
      <c r="A463" s="31"/>
      <c r="B463" s="51"/>
      <c r="C463" s="49"/>
      <c r="D463" s="49"/>
    </row>
    <row r="464" ht="15.75" customHeight="1">
      <c r="A464" s="31"/>
      <c r="B464" s="51"/>
      <c r="C464" s="49"/>
      <c r="D464" s="49"/>
    </row>
    <row r="465" ht="15.75" customHeight="1">
      <c r="A465" s="31"/>
      <c r="B465" s="51"/>
      <c r="C465" s="49"/>
      <c r="D465" s="49"/>
    </row>
    <row r="466" ht="15.75" customHeight="1">
      <c r="A466" s="31"/>
      <c r="B466" s="51"/>
      <c r="C466" s="49"/>
      <c r="D466" s="49"/>
    </row>
    <row r="467" ht="15.75" customHeight="1">
      <c r="A467" s="31"/>
      <c r="B467" s="51"/>
      <c r="C467" s="49"/>
      <c r="D467" s="49"/>
    </row>
    <row r="468" ht="15.75" customHeight="1">
      <c r="A468" s="31"/>
      <c r="B468" s="51"/>
      <c r="C468" s="49"/>
      <c r="D468" s="49"/>
    </row>
    <row r="469" ht="15.75" customHeight="1">
      <c r="A469" s="31"/>
      <c r="B469" s="51"/>
      <c r="C469" s="49"/>
      <c r="D469" s="49"/>
    </row>
    <row r="470" ht="15.75" customHeight="1">
      <c r="A470" s="31"/>
      <c r="B470" s="51"/>
      <c r="C470" s="49"/>
      <c r="D470" s="49"/>
    </row>
    <row r="471" ht="15.75" customHeight="1">
      <c r="A471" s="31"/>
      <c r="B471" s="51"/>
      <c r="C471" s="49"/>
      <c r="D471" s="49"/>
    </row>
    <row r="472" ht="15.75" customHeight="1">
      <c r="A472" s="31"/>
      <c r="B472" s="51"/>
      <c r="C472" s="49"/>
      <c r="D472" s="49"/>
    </row>
    <row r="473" ht="15.75" customHeight="1">
      <c r="A473" s="31"/>
      <c r="B473" s="51"/>
      <c r="C473" s="49"/>
      <c r="D473" s="49"/>
    </row>
    <row r="474" ht="15.75" customHeight="1">
      <c r="A474" s="31"/>
      <c r="B474" s="51"/>
      <c r="C474" s="49"/>
      <c r="D474" s="49"/>
    </row>
    <row r="475" ht="15.75" customHeight="1">
      <c r="A475" s="31"/>
      <c r="B475" s="51"/>
      <c r="C475" s="49"/>
      <c r="D475" s="49"/>
    </row>
    <row r="476" ht="15.75" customHeight="1">
      <c r="A476" s="31"/>
      <c r="B476" s="51"/>
      <c r="C476" s="49"/>
      <c r="D476" s="49"/>
    </row>
    <row r="477" ht="15.75" customHeight="1">
      <c r="A477" s="31"/>
      <c r="B477" s="51"/>
      <c r="C477" s="49"/>
      <c r="D477" s="49"/>
    </row>
    <row r="478" ht="15.75" customHeight="1">
      <c r="A478" s="31"/>
      <c r="B478" s="51"/>
      <c r="C478" s="49"/>
      <c r="D478" s="49"/>
    </row>
    <row r="479" ht="15.75" customHeight="1">
      <c r="A479" s="31"/>
      <c r="B479" s="51"/>
      <c r="C479" s="49"/>
      <c r="D479" s="49"/>
    </row>
    <row r="480" ht="15.75" customHeight="1">
      <c r="A480" s="31"/>
      <c r="B480" s="51"/>
      <c r="C480" s="49"/>
      <c r="D480" s="49"/>
    </row>
    <row r="481" ht="15.75" customHeight="1">
      <c r="A481" s="31"/>
      <c r="B481" s="51"/>
      <c r="C481" s="49"/>
      <c r="D481" s="49"/>
    </row>
    <row r="482" ht="15.75" customHeight="1">
      <c r="A482" s="31"/>
      <c r="B482" s="51"/>
      <c r="C482" s="49"/>
      <c r="D482" s="49"/>
    </row>
    <row r="483" ht="15.75" customHeight="1">
      <c r="A483" s="31"/>
      <c r="B483" s="51"/>
      <c r="C483" s="49"/>
      <c r="D483" s="49"/>
    </row>
    <row r="484" ht="15.75" customHeight="1">
      <c r="A484" s="31"/>
      <c r="B484" s="51"/>
      <c r="C484" s="49"/>
      <c r="D484" s="49"/>
    </row>
    <row r="485" ht="15.75" customHeight="1">
      <c r="A485" s="31"/>
      <c r="B485" s="51"/>
      <c r="C485" s="49"/>
      <c r="D485" s="49"/>
    </row>
    <row r="486" ht="15.75" customHeight="1">
      <c r="A486" s="31"/>
      <c r="B486" s="51"/>
      <c r="C486" s="49"/>
      <c r="D486" s="49"/>
    </row>
    <row r="487" ht="15.75" customHeight="1">
      <c r="A487" s="31"/>
      <c r="B487" s="51"/>
      <c r="C487" s="49"/>
      <c r="D487" s="49"/>
    </row>
    <row r="488" ht="15.75" customHeight="1">
      <c r="A488" s="31"/>
      <c r="B488" s="51"/>
      <c r="C488" s="49"/>
      <c r="D488" s="49"/>
    </row>
    <row r="489" ht="15.75" customHeight="1">
      <c r="A489" s="31"/>
      <c r="B489" s="51"/>
      <c r="C489" s="49"/>
      <c r="D489" s="49"/>
    </row>
    <row r="490" ht="15.75" customHeight="1">
      <c r="A490" s="31"/>
      <c r="B490" s="51"/>
      <c r="C490" s="49"/>
      <c r="D490" s="49"/>
    </row>
    <row r="491" ht="15.75" customHeight="1">
      <c r="A491" s="31"/>
      <c r="B491" s="51"/>
      <c r="C491" s="49"/>
      <c r="D491" s="49"/>
    </row>
    <row r="492" ht="15.75" customHeight="1">
      <c r="A492" s="31"/>
      <c r="B492" s="51"/>
      <c r="C492" s="49"/>
      <c r="D492" s="49"/>
    </row>
    <row r="493" ht="15.75" customHeight="1">
      <c r="A493" s="31"/>
      <c r="B493" s="51"/>
      <c r="C493" s="49"/>
      <c r="D493" s="49"/>
    </row>
    <row r="494" ht="15.75" customHeight="1">
      <c r="A494" s="31"/>
      <c r="B494" s="51"/>
      <c r="C494" s="49"/>
      <c r="D494" s="49"/>
    </row>
    <row r="495" ht="15.75" customHeight="1">
      <c r="A495" s="31"/>
      <c r="B495" s="51"/>
      <c r="C495" s="49"/>
      <c r="D495" s="49"/>
    </row>
    <row r="496" ht="15.75" customHeight="1">
      <c r="A496" s="31"/>
      <c r="B496" s="51"/>
      <c r="C496" s="49"/>
      <c r="D496" s="49"/>
    </row>
    <row r="497" ht="15.75" customHeight="1">
      <c r="A497" s="31"/>
      <c r="B497" s="51"/>
      <c r="C497" s="49"/>
      <c r="D497" s="49"/>
    </row>
    <row r="498" ht="15.75" customHeight="1">
      <c r="A498" s="31"/>
      <c r="B498" s="51"/>
      <c r="C498" s="49"/>
      <c r="D498" s="49"/>
    </row>
    <row r="499" ht="15.75" customHeight="1">
      <c r="A499" s="31"/>
      <c r="B499" s="51"/>
      <c r="C499" s="49"/>
      <c r="D499" s="49"/>
    </row>
    <row r="500" ht="15.75" customHeight="1">
      <c r="A500" s="31"/>
      <c r="B500" s="51"/>
      <c r="C500" s="49"/>
      <c r="D500" s="49"/>
    </row>
    <row r="501" ht="15.75" customHeight="1">
      <c r="A501" s="31"/>
      <c r="B501" s="51"/>
      <c r="C501" s="49"/>
      <c r="D501" s="49"/>
    </row>
    <row r="502" ht="15.75" customHeight="1">
      <c r="A502" s="31"/>
      <c r="B502" s="51"/>
      <c r="C502" s="49"/>
      <c r="D502" s="49"/>
    </row>
    <row r="503" ht="15.75" customHeight="1">
      <c r="A503" s="31"/>
      <c r="B503" s="51"/>
      <c r="C503" s="49"/>
      <c r="D503" s="49"/>
    </row>
    <row r="504" ht="15.75" customHeight="1">
      <c r="A504" s="31"/>
      <c r="B504" s="51"/>
      <c r="C504" s="49"/>
      <c r="D504" s="49"/>
    </row>
    <row r="505" ht="15.75" customHeight="1">
      <c r="A505" s="31"/>
      <c r="B505" s="51"/>
      <c r="C505" s="49"/>
      <c r="D505" s="49"/>
    </row>
    <row r="506" ht="15.75" customHeight="1">
      <c r="A506" s="31"/>
      <c r="B506" s="51"/>
      <c r="C506" s="49"/>
      <c r="D506" s="49"/>
    </row>
    <row r="507" ht="15.75" customHeight="1">
      <c r="A507" s="31"/>
      <c r="B507" s="51"/>
      <c r="C507" s="49"/>
      <c r="D507" s="49"/>
    </row>
    <row r="508" ht="15.75" customHeight="1">
      <c r="A508" s="31"/>
      <c r="B508" s="51"/>
      <c r="C508" s="49"/>
      <c r="D508" s="49"/>
    </row>
    <row r="509" ht="15.75" customHeight="1">
      <c r="A509" s="31"/>
      <c r="B509" s="51"/>
      <c r="C509" s="49"/>
      <c r="D509" s="49"/>
    </row>
    <row r="510" ht="15.75" customHeight="1">
      <c r="A510" s="31"/>
      <c r="B510" s="51"/>
      <c r="C510" s="49"/>
      <c r="D510" s="49"/>
    </row>
    <row r="511" ht="15.75" customHeight="1">
      <c r="A511" s="31"/>
      <c r="B511" s="51"/>
      <c r="C511" s="49"/>
      <c r="D511" s="49"/>
    </row>
    <row r="512" ht="15.75" customHeight="1">
      <c r="A512" s="31"/>
      <c r="B512" s="51"/>
      <c r="C512" s="49"/>
      <c r="D512" s="49"/>
    </row>
    <row r="513" ht="15.75" customHeight="1">
      <c r="A513" s="31"/>
      <c r="B513" s="51"/>
      <c r="C513" s="49"/>
      <c r="D513" s="49"/>
    </row>
    <row r="514" ht="15.75" customHeight="1">
      <c r="A514" s="31"/>
      <c r="B514" s="51"/>
      <c r="C514" s="49"/>
      <c r="D514" s="49"/>
    </row>
    <row r="515" ht="15.75" customHeight="1">
      <c r="A515" s="31"/>
      <c r="B515" s="51"/>
      <c r="C515" s="49"/>
      <c r="D515" s="49"/>
    </row>
    <row r="516" ht="15.75" customHeight="1">
      <c r="A516" s="31"/>
      <c r="B516" s="51"/>
      <c r="C516" s="49"/>
      <c r="D516" s="49"/>
    </row>
    <row r="517" ht="15.75" customHeight="1">
      <c r="A517" s="31"/>
      <c r="B517" s="51"/>
      <c r="C517" s="49"/>
      <c r="D517" s="49"/>
    </row>
    <row r="518" ht="15.75" customHeight="1">
      <c r="A518" s="31"/>
      <c r="B518" s="51"/>
      <c r="C518" s="49"/>
      <c r="D518" s="49"/>
    </row>
    <row r="519" ht="15.75" customHeight="1">
      <c r="A519" s="31"/>
      <c r="B519" s="51"/>
      <c r="C519" s="49"/>
      <c r="D519" s="49"/>
    </row>
    <row r="520" ht="15.75" customHeight="1">
      <c r="A520" s="31"/>
      <c r="B520" s="51"/>
      <c r="C520" s="49"/>
      <c r="D520" s="49"/>
    </row>
    <row r="521" ht="15.75" customHeight="1">
      <c r="A521" s="31"/>
      <c r="B521" s="51"/>
      <c r="C521" s="49"/>
      <c r="D521" s="49"/>
    </row>
    <row r="522" ht="15.75" customHeight="1">
      <c r="A522" s="31"/>
      <c r="B522" s="51"/>
      <c r="C522" s="49"/>
      <c r="D522" s="49"/>
    </row>
    <row r="523" ht="15.75" customHeight="1">
      <c r="A523" s="31"/>
      <c r="B523" s="51"/>
      <c r="C523" s="49"/>
      <c r="D523" s="49"/>
    </row>
    <row r="524" ht="15.75" customHeight="1">
      <c r="A524" s="31"/>
      <c r="B524" s="51"/>
      <c r="C524" s="49"/>
      <c r="D524" s="49"/>
    </row>
    <row r="525" ht="15.75" customHeight="1">
      <c r="A525" s="31"/>
      <c r="B525" s="51"/>
      <c r="C525" s="49"/>
      <c r="D525" s="49"/>
    </row>
    <row r="526" ht="15.75" customHeight="1">
      <c r="A526" s="31"/>
      <c r="B526" s="51"/>
      <c r="C526" s="49"/>
      <c r="D526" s="49"/>
    </row>
    <row r="527" ht="15.75" customHeight="1">
      <c r="A527" s="31"/>
      <c r="B527" s="51"/>
      <c r="C527" s="49"/>
      <c r="D527" s="49"/>
    </row>
    <row r="528" ht="15.75" customHeight="1">
      <c r="A528" s="31"/>
      <c r="B528" s="51"/>
      <c r="C528" s="49"/>
      <c r="D528" s="49"/>
    </row>
    <row r="529" ht="15.75" customHeight="1">
      <c r="A529" s="31"/>
      <c r="B529" s="51"/>
      <c r="C529" s="49"/>
      <c r="D529" s="49"/>
    </row>
    <row r="530" ht="15.75" customHeight="1">
      <c r="A530" s="31"/>
      <c r="B530" s="51"/>
      <c r="C530" s="49"/>
      <c r="D530" s="49"/>
    </row>
    <row r="531" ht="15.75" customHeight="1">
      <c r="A531" s="31"/>
      <c r="B531" s="51"/>
      <c r="C531" s="49"/>
      <c r="D531" s="49"/>
    </row>
    <row r="532" ht="15.75" customHeight="1">
      <c r="A532" s="31"/>
      <c r="B532" s="51"/>
      <c r="C532" s="49"/>
      <c r="D532" s="49"/>
    </row>
    <row r="533" ht="15.75" customHeight="1">
      <c r="A533" s="31"/>
      <c r="B533" s="51"/>
      <c r="C533" s="49"/>
      <c r="D533" s="49"/>
    </row>
    <row r="534" ht="15.75" customHeight="1">
      <c r="A534" s="31"/>
      <c r="B534" s="51"/>
      <c r="C534" s="49"/>
      <c r="D534" s="49"/>
    </row>
    <row r="535" ht="15.75" customHeight="1">
      <c r="A535" s="31"/>
      <c r="B535" s="51"/>
      <c r="C535" s="49"/>
      <c r="D535" s="49"/>
    </row>
    <row r="536" ht="15.75" customHeight="1">
      <c r="A536" s="31"/>
      <c r="B536" s="51"/>
      <c r="C536" s="49"/>
      <c r="D536" s="49"/>
    </row>
    <row r="537" ht="15.75" customHeight="1">
      <c r="A537" s="31"/>
      <c r="B537" s="51"/>
      <c r="C537" s="49"/>
      <c r="D537" s="49"/>
    </row>
    <row r="538" ht="15.75" customHeight="1">
      <c r="A538" s="31"/>
      <c r="B538" s="51"/>
      <c r="C538" s="49"/>
      <c r="D538" s="49"/>
    </row>
    <row r="539" ht="15.75" customHeight="1">
      <c r="A539" s="31"/>
      <c r="B539" s="51"/>
      <c r="C539" s="49"/>
      <c r="D539" s="49"/>
    </row>
    <row r="540" ht="15.75" customHeight="1">
      <c r="A540" s="31"/>
      <c r="B540" s="51"/>
      <c r="C540" s="49"/>
      <c r="D540" s="49"/>
    </row>
    <row r="541" ht="15.75" customHeight="1">
      <c r="A541" s="31"/>
      <c r="B541" s="51"/>
      <c r="C541" s="49"/>
      <c r="D541" s="49"/>
    </row>
    <row r="542" ht="15.75" customHeight="1">
      <c r="A542" s="31"/>
      <c r="B542" s="51"/>
      <c r="C542" s="49"/>
      <c r="D542" s="49"/>
    </row>
    <row r="543" ht="15.75" customHeight="1">
      <c r="A543" s="31"/>
      <c r="B543" s="51"/>
      <c r="C543" s="49"/>
      <c r="D543" s="49"/>
    </row>
    <row r="544" ht="15.75" customHeight="1">
      <c r="A544" s="31"/>
      <c r="B544" s="51"/>
      <c r="C544" s="49"/>
      <c r="D544" s="49"/>
    </row>
    <row r="545" ht="15.75" customHeight="1">
      <c r="A545" s="55"/>
      <c r="C545" s="56"/>
      <c r="D545" s="56"/>
    </row>
    <row r="546" ht="15.75" customHeight="1">
      <c r="A546" s="55"/>
      <c r="C546" s="56"/>
      <c r="D546" s="56"/>
    </row>
    <row r="547" ht="15.75" customHeight="1">
      <c r="A547" s="55"/>
      <c r="C547" s="56"/>
      <c r="D547" s="56"/>
    </row>
    <row r="548" ht="15.75" customHeight="1">
      <c r="A548" s="55"/>
      <c r="C548" s="56"/>
      <c r="D548" s="56"/>
    </row>
    <row r="549" ht="15.75" customHeight="1">
      <c r="A549" s="55"/>
      <c r="C549" s="56"/>
      <c r="D549" s="56"/>
    </row>
    <row r="550" ht="15.75" customHeight="1">
      <c r="A550" s="55"/>
      <c r="C550" s="56"/>
      <c r="D550" s="56"/>
    </row>
    <row r="551" ht="15.75" customHeight="1">
      <c r="A551" s="55"/>
      <c r="C551" s="56"/>
      <c r="D551" s="56"/>
    </row>
    <row r="552" ht="15.75" customHeight="1">
      <c r="A552" s="55"/>
      <c r="C552" s="56"/>
      <c r="D552" s="56"/>
    </row>
    <row r="553" ht="15.75" customHeight="1">
      <c r="A553" s="55"/>
      <c r="C553" s="56"/>
      <c r="D553" s="56"/>
    </row>
    <row r="554" ht="15.75" customHeight="1">
      <c r="A554" s="55"/>
      <c r="C554" s="56"/>
      <c r="D554" s="56"/>
    </row>
    <row r="555" ht="15.75" customHeight="1">
      <c r="A555" s="55"/>
      <c r="C555" s="56"/>
      <c r="D555" s="56"/>
    </row>
    <row r="556" ht="15.75" customHeight="1">
      <c r="A556" s="55"/>
      <c r="C556" s="56"/>
      <c r="D556" s="56"/>
    </row>
    <row r="557" ht="15.75" customHeight="1">
      <c r="A557" s="55"/>
      <c r="C557" s="56"/>
      <c r="D557" s="56"/>
    </row>
    <row r="558" ht="15.75" customHeight="1">
      <c r="A558" s="55"/>
      <c r="C558" s="56"/>
      <c r="D558" s="56"/>
    </row>
    <row r="559" ht="15.75" customHeight="1">
      <c r="A559" s="55"/>
      <c r="C559" s="56"/>
      <c r="D559" s="56"/>
    </row>
    <row r="560" ht="15.75" customHeight="1">
      <c r="A560" s="55"/>
      <c r="C560" s="56"/>
      <c r="D560" s="56"/>
    </row>
    <row r="561" ht="15.75" customHeight="1">
      <c r="A561" s="55"/>
      <c r="C561" s="56"/>
      <c r="D561" s="56"/>
    </row>
    <row r="562" ht="15.75" customHeight="1">
      <c r="A562" s="55"/>
      <c r="C562" s="56"/>
      <c r="D562" s="56"/>
    </row>
    <row r="563" ht="15.75" customHeight="1">
      <c r="A563" s="55"/>
      <c r="C563" s="56"/>
      <c r="D563" s="56"/>
    </row>
    <row r="564" ht="15.75" customHeight="1">
      <c r="A564" s="55"/>
      <c r="C564" s="56"/>
      <c r="D564" s="56"/>
    </row>
    <row r="565" ht="15.75" customHeight="1">
      <c r="A565" s="55"/>
      <c r="C565" s="56"/>
      <c r="D565" s="56"/>
    </row>
    <row r="566" ht="15.75" customHeight="1">
      <c r="A566" s="55"/>
      <c r="C566" s="56"/>
      <c r="D566" s="56"/>
    </row>
    <row r="567" ht="15.75" customHeight="1">
      <c r="A567" s="55"/>
      <c r="C567" s="56"/>
      <c r="D567" s="56"/>
    </row>
    <row r="568" ht="15.75" customHeight="1">
      <c r="A568" s="55"/>
      <c r="C568" s="56"/>
      <c r="D568" s="56"/>
    </row>
    <row r="569" ht="15.75" customHeight="1">
      <c r="A569" s="55"/>
      <c r="C569" s="56"/>
      <c r="D569" s="56"/>
    </row>
    <row r="570" ht="15.75" customHeight="1">
      <c r="A570" s="55"/>
      <c r="C570" s="56"/>
      <c r="D570" s="56"/>
    </row>
    <row r="571" ht="15.75" customHeight="1">
      <c r="A571" s="55"/>
      <c r="C571" s="56"/>
      <c r="D571" s="56"/>
    </row>
    <row r="572" ht="15.75" customHeight="1">
      <c r="A572" s="55"/>
      <c r="C572" s="56"/>
      <c r="D572" s="56"/>
    </row>
    <row r="573" ht="15.75" customHeight="1">
      <c r="A573" s="55"/>
      <c r="C573" s="56"/>
      <c r="D573" s="56"/>
    </row>
    <row r="574" ht="15.75" customHeight="1">
      <c r="A574" s="55"/>
      <c r="C574" s="56"/>
      <c r="D574" s="56"/>
    </row>
    <row r="575" ht="15.75" customHeight="1">
      <c r="A575" s="55"/>
      <c r="C575" s="56"/>
      <c r="D575" s="56"/>
    </row>
    <row r="576" ht="15.75" customHeight="1">
      <c r="A576" s="55"/>
      <c r="C576" s="56"/>
      <c r="D576" s="56"/>
    </row>
    <row r="577" ht="15.75" customHeight="1">
      <c r="A577" s="55"/>
      <c r="C577" s="56"/>
      <c r="D577" s="56"/>
    </row>
    <row r="578" ht="15.75" customHeight="1">
      <c r="A578" s="55"/>
      <c r="C578" s="56"/>
      <c r="D578" s="56"/>
    </row>
    <row r="579" ht="15.75" customHeight="1">
      <c r="A579" s="55"/>
      <c r="C579" s="56"/>
      <c r="D579" s="56"/>
    </row>
    <row r="580" ht="15.75" customHeight="1">
      <c r="A580" s="55"/>
      <c r="C580" s="56"/>
      <c r="D580" s="56"/>
    </row>
    <row r="581" ht="15.75" customHeight="1">
      <c r="A581" s="55"/>
      <c r="C581" s="56"/>
      <c r="D581" s="56"/>
    </row>
    <row r="582" ht="15.75" customHeight="1">
      <c r="A582" s="55"/>
      <c r="C582" s="56"/>
      <c r="D582" s="56"/>
    </row>
    <row r="583" ht="15.75" customHeight="1">
      <c r="A583" s="55"/>
      <c r="C583" s="56"/>
      <c r="D583" s="56"/>
    </row>
    <row r="584" ht="15.75" customHeight="1">
      <c r="A584" s="55"/>
      <c r="C584" s="56"/>
      <c r="D584" s="56"/>
    </row>
    <row r="585" ht="15.75" customHeight="1">
      <c r="A585" s="55"/>
      <c r="C585" s="56"/>
      <c r="D585" s="56"/>
    </row>
    <row r="586" ht="15.75" customHeight="1">
      <c r="A586" s="55"/>
      <c r="C586" s="56"/>
      <c r="D586" s="56"/>
    </row>
    <row r="587" ht="15.75" customHeight="1">
      <c r="A587" s="55"/>
      <c r="C587" s="56"/>
      <c r="D587" s="56"/>
    </row>
    <row r="588" ht="15.75" customHeight="1">
      <c r="A588" s="55"/>
      <c r="C588" s="56"/>
      <c r="D588" s="56"/>
    </row>
    <row r="589" ht="15.75" customHeight="1">
      <c r="A589" s="55"/>
      <c r="C589" s="56"/>
      <c r="D589" s="56"/>
    </row>
    <row r="590" ht="15.75" customHeight="1">
      <c r="A590" s="55"/>
      <c r="C590" s="56"/>
      <c r="D590" s="56"/>
    </row>
    <row r="591" ht="15.75" customHeight="1">
      <c r="A591" s="55"/>
      <c r="C591" s="56"/>
      <c r="D591" s="56"/>
    </row>
    <row r="592" ht="15.75" customHeight="1">
      <c r="A592" s="55"/>
      <c r="C592" s="56"/>
      <c r="D592" s="56"/>
    </row>
    <row r="593" ht="15.75" customHeight="1">
      <c r="A593" s="55"/>
      <c r="C593" s="56"/>
      <c r="D593" s="56"/>
    </row>
    <row r="594" ht="15.75" customHeight="1">
      <c r="A594" s="55"/>
      <c r="C594" s="56"/>
      <c r="D594" s="56"/>
    </row>
    <row r="595" ht="15.75" customHeight="1">
      <c r="A595" s="55"/>
      <c r="C595" s="56"/>
      <c r="D595" s="56"/>
    </row>
    <row r="596" ht="15.75" customHeight="1">
      <c r="A596" s="55"/>
      <c r="C596" s="56"/>
      <c r="D596" s="56"/>
    </row>
    <row r="597" ht="15.75" customHeight="1">
      <c r="A597" s="55"/>
      <c r="C597" s="56"/>
      <c r="D597" s="56"/>
    </row>
    <row r="598" ht="15.75" customHeight="1">
      <c r="A598" s="55"/>
      <c r="C598" s="56"/>
      <c r="D598" s="56"/>
    </row>
    <row r="599" ht="15.75" customHeight="1">
      <c r="A599" s="55"/>
      <c r="C599" s="56"/>
      <c r="D599" s="56"/>
    </row>
    <row r="600" ht="15.75" customHeight="1">
      <c r="A600" s="55"/>
      <c r="C600" s="56"/>
      <c r="D600" s="56"/>
    </row>
    <row r="601" ht="15.75" customHeight="1">
      <c r="A601" s="55"/>
      <c r="C601" s="56"/>
      <c r="D601" s="56"/>
    </row>
    <row r="602" ht="15.75" customHeight="1">
      <c r="A602" s="55"/>
      <c r="C602" s="56"/>
      <c r="D602" s="56"/>
    </row>
    <row r="603" ht="15.75" customHeight="1">
      <c r="A603" s="55"/>
      <c r="C603" s="56"/>
      <c r="D603" s="56"/>
    </row>
    <row r="604" ht="15.75" customHeight="1">
      <c r="A604" s="55"/>
      <c r="C604" s="56"/>
      <c r="D604" s="56"/>
    </row>
    <row r="605" ht="15.75" customHeight="1">
      <c r="A605" s="55"/>
      <c r="C605" s="56"/>
      <c r="D605" s="56"/>
    </row>
    <row r="606" ht="15.75" customHeight="1">
      <c r="A606" s="55"/>
      <c r="C606" s="56"/>
      <c r="D606" s="56"/>
    </row>
    <row r="607" ht="15.75" customHeight="1">
      <c r="A607" s="55"/>
      <c r="C607" s="56"/>
      <c r="D607" s="56"/>
    </row>
    <row r="608" ht="15.75" customHeight="1">
      <c r="A608" s="55"/>
      <c r="C608" s="56"/>
      <c r="D608" s="56"/>
    </row>
    <row r="609" ht="15.75" customHeight="1">
      <c r="A609" s="55"/>
      <c r="C609" s="56"/>
      <c r="D609" s="56"/>
    </row>
    <row r="610" ht="15.75" customHeight="1">
      <c r="A610" s="55"/>
      <c r="C610" s="56"/>
      <c r="D610" s="56"/>
    </row>
    <row r="611" ht="15.75" customHeight="1">
      <c r="A611" s="55"/>
      <c r="C611" s="56"/>
      <c r="D611" s="56"/>
    </row>
    <row r="612" ht="15.75" customHeight="1">
      <c r="A612" s="55"/>
      <c r="C612" s="56"/>
      <c r="D612" s="56"/>
    </row>
    <row r="613" ht="15.75" customHeight="1">
      <c r="A613" s="55"/>
      <c r="C613" s="56"/>
      <c r="D613" s="56"/>
    </row>
    <row r="614" ht="15.75" customHeight="1">
      <c r="A614" s="55"/>
      <c r="C614" s="56"/>
      <c r="D614" s="56"/>
    </row>
    <row r="615" ht="15.75" customHeight="1">
      <c r="A615" s="55"/>
      <c r="C615" s="56"/>
      <c r="D615" s="56"/>
    </row>
    <row r="616" ht="15.75" customHeight="1">
      <c r="A616" s="55"/>
      <c r="C616" s="56"/>
      <c r="D616" s="56"/>
    </row>
    <row r="617" ht="15.75" customHeight="1">
      <c r="A617" s="55"/>
      <c r="C617" s="56"/>
      <c r="D617" s="56"/>
    </row>
    <row r="618" ht="15.75" customHeight="1">
      <c r="A618" s="55"/>
      <c r="C618" s="56"/>
      <c r="D618" s="56"/>
    </row>
    <row r="619" ht="15.75" customHeight="1">
      <c r="A619" s="55"/>
      <c r="C619" s="56"/>
      <c r="D619" s="56"/>
    </row>
    <row r="620" ht="15.75" customHeight="1">
      <c r="A620" s="55"/>
      <c r="C620" s="56"/>
      <c r="D620" s="56"/>
    </row>
    <row r="621" ht="15.75" customHeight="1">
      <c r="A621" s="55"/>
      <c r="C621" s="56"/>
      <c r="D621" s="56"/>
    </row>
    <row r="622" ht="15.75" customHeight="1">
      <c r="A622" s="55"/>
      <c r="C622" s="56"/>
      <c r="D622" s="56"/>
    </row>
    <row r="623" ht="15.75" customHeight="1">
      <c r="A623" s="55"/>
      <c r="C623" s="56"/>
      <c r="D623" s="56"/>
    </row>
    <row r="624" ht="15.75" customHeight="1">
      <c r="A624" s="55"/>
      <c r="C624" s="56"/>
      <c r="D624" s="56"/>
    </row>
    <row r="625" ht="15.75" customHeight="1">
      <c r="A625" s="55"/>
      <c r="C625" s="56"/>
      <c r="D625" s="56"/>
    </row>
    <row r="626" ht="15.75" customHeight="1">
      <c r="A626" s="55"/>
      <c r="C626" s="56"/>
      <c r="D626" s="56"/>
    </row>
    <row r="627" ht="15.75" customHeight="1">
      <c r="A627" s="55"/>
      <c r="C627" s="56"/>
      <c r="D627" s="56"/>
    </row>
    <row r="628" ht="15.75" customHeight="1">
      <c r="A628" s="55"/>
      <c r="C628" s="56"/>
      <c r="D628" s="56"/>
    </row>
    <row r="629" ht="15.75" customHeight="1">
      <c r="A629" s="55"/>
      <c r="C629" s="56"/>
      <c r="D629" s="56"/>
    </row>
    <row r="630" ht="15.75" customHeight="1">
      <c r="A630" s="55"/>
      <c r="C630" s="56"/>
      <c r="D630" s="56"/>
    </row>
    <row r="631" ht="15.75" customHeight="1">
      <c r="A631" s="55"/>
      <c r="C631" s="56"/>
      <c r="D631" s="56"/>
    </row>
    <row r="632" ht="15.75" customHeight="1">
      <c r="A632" s="55"/>
      <c r="C632" s="56"/>
      <c r="D632" s="56"/>
    </row>
    <row r="633" ht="15.75" customHeight="1">
      <c r="A633" s="55"/>
      <c r="C633" s="56"/>
      <c r="D633" s="56"/>
    </row>
    <row r="634" ht="15.75" customHeight="1">
      <c r="A634" s="55"/>
      <c r="C634" s="56"/>
      <c r="D634" s="56"/>
    </row>
    <row r="635" ht="15.75" customHeight="1">
      <c r="A635" s="55"/>
      <c r="C635" s="56"/>
      <c r="D635" s="56"/>
    </row>
    <row r="636" ht="15.75" customHeight="1">
      <c r="A636" s="55"/>
      <c r="C636" s="56"/>
      <c r="D636" s="56"/>
    </row>
    <row r="637" ht="15.75" customHeight="1">
      <c r="A637" s="55"/>
      <c r="C637" s="56"/>
      <c r="D637" s="56"/>
    </row>
    <row r="638" ht="15.75" customHeight="1">
      <c r="A638" s="55"/>
      <c r="C638" s="56"/>
      <c r="D638" s="56"/>
    </row>
    <row r="639" ht="15.75" customHeight="1">
      <c r="A639" s="55"/>
      <c r="C639" s="56"/>
      <c r="D639" s="56"/>
    </row>
    <row r="640" ht="15.75" customHeight="1">
      <c r="A640" s="55"/>
      <c r="C640" s="56"/>
      <c r="D640" s="56"/>
    </row>
    <row r="641" ht="15.75" customHeight="1">
      <c r="A641" s="55"/>
      <c r="C641" s="56"/>
      <c r="D641" s="56"/>
    </row>
    <row r="642" ht="15.75" customHeight="1">
      <c r="A642" s="55"/>
      <c r="C642" s="56"/>
      <c r="D642" s="56"/>
    </row>
    <row r="643" ht="15.75" customHeight="1">
      <c r="A643" s="55"/>
      <c r="C643" s="56"/>
      <c r="D643" s="56"/>
    </row>
    <row r="644" ht="15.75" customHeight="1">
      <c r="A644" s="55"/>
      <c r="C644" s="56"/>
      <c r="D644" s="56"/>
    </row>
    <row r="645" ht="15.75" customHeight="1">
      <c r="A645" s="55"/>
      <c r="C645" s="56"/>
      <c r="D645" s="56"/>
    </row>
    <row r="646" ht="15.75" customHeight="1">
      <c r="A646" s="55"/>
      <c r="C646" s="56"/>
      <c r="D646" s="56"/>
    </row>
    <row r="647" ht="15.75" customHeight="1">
      <c r="A647" s="55"/>
      <c r="C647" s="56"/>
      <c r="D647" s="56"/>
    </row>
    <row r="648" ht="15.75" customHeight="1">
      <c r="A648" s="55"/>
      <c r="C648" s="56"/>
      <c r="D648" s="56"/>
    </row>
    <row r="649" ht="15.75" customHeight="1">
      <c r="A649" s="55"/>
      <c r="C649" s="56"/>
      <c r="D649" s="56"/>
    </row>
    <row r="650" ht="15.75" customHeight="1">
      <c r="A650" s="55"/>
      <c r="C650" s="56"/>
      <c r="D650" s="56"/>
    </row>
    <row r="651" ht="15.75" customHeight="1">
      <c r="A651" s="55"/>
      <c r="C651" s="56"/>
      <c r="D651" s="56"/>
    </row>
    <row r="652" ht="15.75" customHeight="1">
      <c r="A652" s="55"/>
      <c r="C652" s="56"/>
      <c r="D652" s="56"/>
    </row>
    <row r="653" ht="15.75" customHeight="1">
      <c r="A653" s="55"/>
      <c r="C653" s="56"/>
      <c r="D653" s="56"/>
    </row>
    <row r="654" ht="15.75" customHeight="1">
      <c r="A654" s="55"/>
      <c r="C654" s="56"/>
      <c r="D654" s="56"/>
    </row>
    <row r="655" ht="15.75" customHeight="1">
      <c r="A655" s="55"/>
      <c r="C655" s="56"/>
      <c r="D655" s="56"/>
    </row>
    <row r="656" ht="15.75" customHeight="1">
      <c r="A656" s="55"/>
      <c r="C656" s="56"/>
      <c r="D656" s="56"/>
    </row>
    <row r="657" ht="15.75" customHeight="1">
      <c r="A657" s="55"/>
      <c r="C657" s="56"/>
      <c r="D657" s="56"/>
    </row>
    <row r="658" ht="15.75" customHeight="1">
      <c r="A658" s="55"/>
      <c r="C658" s="56"/>
      <c r="D658" s="56"/>
    </row>
    <row r="659" ht="15.75" customHeight="1">
      <c r="A659" s="55"/>
      <c r="C659" s="56"/>
      <c r="D659" s="56"/>
    </row>
    <row r="660" ht="15.75" customHeight="1">
      <c r="A660" s="55"/>
      <c r="C660" s="56"/>
      <c r="D660" s="56"/>
    </row>
    <row r="661" ht="15.75" customHeight="1">
      <c r="A661" s="55"/>
      <c r="C661" s="56"/>
      <c r="D661" s="56"/>
    </row>
    <row r="662" ht="15.75" customHeight="1">
      <c r="A662" s="55"/>
      <c r="C662" s="56"/>
      <c r="D662" s="56"/>
    </row>
    <row r="663" ht="15.75" customHeight="1">
      <c r="A663" s="55"/>
      <c r="C663" s="56"/>
      <c r="D663" s="56"/>
    </row>
    <row r="664" ht="15.75" customHeight="1">
      <c r="A664" s="55"/>
      <c r="C664" s="56"/>
      <c r="D664" s="56"/>
    </row>
    <row r="665" ht="15.75" customHeight="1">
      <c r="A665" s="55"/>
      <c r="C665" s="56"/>
      <c r="D665" s="56"/>
    </row>
    <row r="666" ht="15.75" customHeight="1">
      <c r="A666" s="55"/>
      <c r="C666" s="56"/>
      <c r="D666" s="56"/>
    </row>
    <row r="667" ht="15.75" customHeight="1">
      <c r="A667" s="55"/>
      <c r="C667" s="56"/>
      <c r="D667" s="56"/>
    </row>
    <row r="668" ht="15.75" customHeight="1">
      <c r="A668" s="55"/>
      <c r="C668" s="56"/>
      <c r="D668" s="56"/>
    </row>
    <row r="669" ht="15.75" customHeight="1">
      <c r="A669" s="55"/>
      <c r="C669" s="56"/>
      <c r="D669" s="56"/>
    </row>
    <row r="670" ht="15.75" customHeight="1">
      <c r="A670" s="55"/>
      <c r="C670" s="56"/>
      <c r="D670" s="56"/>
    </row>
    <row r="671" ht="15.75" customHeight="1">
      <c r="A671" s="55"/>
      <c r="C671" s="56"/>
      <c r="D671" s="56"/>
    </row>
    <row r="672" ht="15.75" customHeight="1">
      <c r="A672" s="55"/>
      <c r="C672" s="56"/>
      <c r="D672" s="56"/>
    </row>
    <row r="673" ht="15.75" customHeight="1">
      <c r="A673" s="55"/>
      <c r="C673" s="56"/>
      <c r="D673" s="56"/>
    </row>
    <row r="674" ht="15.75" customHeight="1">
      <c r="A674" s="55"/>
      <c r="C674" s="56"/>
      <c r="D674" s="56"/>
    </row>
    <row r="675" ht="15.75" customHeight="1">
      <c r="A675" s="55"/>
      <c r="C675" s="56"/>
      <c r="D675" s="56"/>
    </row>
    <row r="676" ht="15.75" customHeight="1">
      <c r="A676" s="55"/>
      <c r="C676" s="56"/>
      <c r="D676" s="56"/>
    </row>
    <row r="677" ht="15.75" customHeight="1">
      <c r="A677" s="55"/>
      <c r="C677" s="56"/>
      <c r="D677" s="56"/>
    </row>
    <row r="678" ht="15.75" customHeight="1">
      <c r="A678" s="55"/>
      <c r="C678" s="56"/>
      <c r="D678" s="56"/>
    </row>
    <row r="679" ht="15.75" customHeight="1">
      <c r="A679" s="55"/>
      <c r="C679" s="56"/>
      <c r="D679" s="56"/>
    </row>
    <row r="680" ht="15.75" customHeight="1">
      <c r="A680" s="55"/>
      <c r="C680" s="56"/>
      <c r="D680" s="56"/>
    </row>
    <row r="681" ht="15.75" customHeight="1">
      <c r="A681" s="55"/>
      <c r="C681" s="56"/>
      <c r="D681" s="56"/>
    </row>
    <row r="682" ht="15.75" customHeight="1">
      <c r="A682" s="55"/>
      <c r="C682" s="56"/>
      <c r="D682" s="56"/>
    </row>
    <row r="683" ht="15.75" customHeight="1">
      <c r="A683" s="55"/>
      <c r="C683" s="56"/>
      <c r="D683" s="56"/>
    </row>
    <row r="684" ht="15.75" customHeight="1">
      <c r="A684" s="55"/>
      <c r="C684" s="56"/>
      <c r="D684" s="56"/>
    </row>
    <row r="685" ht="15.75" customHeight="1">
      <c r="A685" s="55"/>
      <c r="C685" s="56"/>
      <c r="D685" s="56"/>
    </row>
    <row r="686" ht="15.75" customHeight="1">
      <c r="A686" s="55"/>
      <c r="C686" s="56"/>
      <c r="D686" s="56"/>
    </row>
    <row r="687" ht="15.75" customHeight="1">
      <c r="A687" s="55"/>
      <c r="C687" s="56"/>
      <c r="D687" s="56"/>
    </row>
    <row r="688" ht="15.75" customHeight="1">
      <c r="A688" s="55"/>
      <c r="C688" s="56"/>
      <c r="D688" s="56"/>
    </row>
    <row r="689" ht="15.75" customHeight="1">
      <c r="A689" s="55"/>
      <c r="C689" s="56"/>
      <c r="D689" s="56"/>
    </row>
    <row r="690" ht="15.75" customHeight="1">
      <c r="A690" s="55"/>
      <c r="C690" s="56"/>
      <c r="D690" s="56"/>
    </row>
    <row r="691" ht="15.75" customHeight="1">
      <c r="A691" s="55"/>
      <c r="C691" s="56"/>
      <c r="D691" s="56"/>
    </row>
    <row r="692" ht="15.75" customHeight="1">
      <c r="A692" s="55"/>
      <c r="C692" s="56"/>
      <c r="D692" s="56"/>
    </row>
    <row r="693" ht="15.75" customHeight="1">
      <c r="A693" s="55"/>
      <c r="C693" s="56"/>
      <c r="D693" s="56"/>
    </row>
    <row r="694" ht="15.75" customHeight="1">
      <c r="A694" s="55"/>
      <c r="C694" s="56"/>
      <c r="D694" s="56"/>
    </row>
    <row r="695" ht="15.75" customHeight="1">
      <c r="A695" s="55"/>
      <c r="C695" s="56"/>
      <c r="D695" s="56"/>
    </row>
    <row r="696" ht="15.75" customHeight="1">
      <c r="A696" s="55"/>
      <c r="C696" s="56"/>
      <c r="D696" s="56"/>
    </row>
    <row r="697" ht="15.75" customHeight="1">
      <c r="A697" s="55"/>
      <c r="C697" s="56"/>
      <c r="D697" s="56"/>
    </row>
    <row r="698" ht="15.75" customHeight="1">
      <c r="A698" s="55"/>
      <c r="C698" s="56"/>
      <c r="D698" s="56"/>
    </row>
    <row r="699" ht="15.75" customHeight="1">
      <c r="A699" s="55"/>
      <c r="C699" s="56"/>
      <c r="D699" s="56"/>
    </row>
    <row r="700" ht="15.75" customHeight="1">
      <c r="A700" s="55"/>
      <c r="C700" s="56"/>
      <c r="D700" s="56"/>
    </row>
    <row r="701" ht="15.75" customHeight="1">
      <c r="A701" s="55"/>
      <c r="C701" s="56"/>
      <c r="D701" s="56"/>
    </row>
    <row r="702" ht="15.75" customHeight="1">
      <c r="A702" s="55"/>
      <c r="C702" s="56"/>
      <c r="D702" s="56"/>
    </row>
    <row r="703" ht="15.75" customHeight="1">
      <c r="A703" s="55"/>
      <c r="C703" s="56"/>
      <c r="D703" s="56"/>
    </row>
    <row r="704" ht="15.75" customHeight="1">
      <c r="A704" s="55"/>
      <c r="C704" s="56"/>
      <c r="D704" s="56"/>
    </row>
    <row r="705" ht="15.75" customHeight="1">
      <c r="A705" s="55"/>
      <c r="C705" s="56"/>
      <c r="D705" s="56"/>
    </row>
    <row r="706" ht="15.75" customHeight="1">
      <c r="A706" s="55"/>
      <c r="C706" s="56"/>
      <c r="D706" s="56"/>
    </row>
    <row r="707" ht="15.75" customHeight="1">
      <c r="A707" s="55"/>
      <c r="C707" s="56"/>
      <c r="D707" s="56"/>
    </row>
    <row r="708" ht="15.75" customHeight="1">
      <c r="A708" s="55"/>
      <c r="C708" s="56"/>
      <c r="D708" s="56"/>
    </row>
    <row r="709" ht="15.75" customHeight="1">
      <c r="A709" s="55"/>
      <c r="C709" s="56"/>
      <c r="D709" s="56"/>
    </row>
    <row r="710" ht="15.75" customHeight="1">
      <c r="A710" s="55"/>
      <c r="C710" s="56"/>
      <c r="D710" s="56"/>
    </row>
    <row r="711" ht="15.75" customHeight="1">
      <c r="A711" s="55"/>
      <c r="C711" s="56"/>
      <c r="D711" s="56"/>
    </row>
    <row r="712" ht="15.75" customHeight="1">
      <c r="A712" s="55"/>
      <c r="C712" s="56"/>
      <c r="D712" s="56"/>
    </row>
    <row r="713" ht="15.75" customHeight="1">
      <c r="A713" s="55"/>
      <c r="C713" s="56"/>
      <c r="D713" s="56"/>
    </row>
    <row r="714" ht="15.75" customHeight="1">
      <c r="A714" s="55"/>
      <c r="C714" s="56"/>
      <c r="D714" s="56"/>
    </row>
    <row r="715" ht="15.75" customHeight="1">
      <c r="A715" s="55"/>
      <c r="C715" s="56"/>
      <c r="D715" s="56"/>
    </row>
    <row r="716" ht="15.75" customHeight="1">
      <c r="A716" s="55"/>
      <c r="C716" s="56"/>
      <c r="D716" s="56"/>
    </row>
    <row r="717" ht="15.75" customHeight="1">
      <c r="A717" s="55"/>
      <c r="C717" s="56"/>
      <c r="D717" s="56"/>
    </row>
    <row r="718" ht="15.75" customHeight="1">
      <c r="A718" s="55"/>
      <c r="C718" s="56"/>
      <c r="D718" s="56"/>
    </row>
    <row r="719" ht="15.75" customHeight="1">
      <c r="A719" s="55"/>
      <c r="C719" s="56"/>
      <c r="D719" s="56"/>
    </row>
    <row r="720" ht="15.75" customHeight="1">
      <c r="A720" s="55"/>
      <c r="C720" s="56"/>
      <c r="D720" s="56"/>
    </row>
    <row r="721" ht="15.75" customHeight="1">
      <c r="A721" s="55"/>
      <c r="C721" s="56"/>
      <c r="D721" s="56"/>
    </row>
    <row r="722" ht="15.75" customHeight="1">
      <c r="A722" s="55"/>
      <c r="C722" s="56"/>
      <c r="D722" s="56"/>
    </row>
    <row r="723" ht="15.75" customHeight="1">
      <c r="A723" s="55"/>
      <c r="C723" s="56"/>
      <c r="D723" s="56"/>
    </row>
    <row r="724" ht="15.75" customHeight="1">
      <c r="A724" s="55"/>
      <c r="C724" s="56"/>
      <c r="D724" s="56"/>
    </row>
    <row r="725" ht="15.75" customHeight="1">
      <c r="A725" s="55"/>
      <c r="C725" s="56"/>
      <c r="D725" s="56"/>
    </row>
    <row r="726" ht="15.75" customHeight="1">
      <c r="A726" s="55"/>
      <c r="C726" s="56"/>
      <c r="D726" s="56"/>
    </row>
    <row r="727" ht="15.75" customHeight="1">
      <c r="A727" s="55"/>
      <c r="C727" s="56"/>
      <c r="D727" s="56"/>
    </row>
    <row r="728" ht="15.75" customHeight="1">
      <c r="A728" s="55"/>
      <c r="C728" s="56"/>
      <c r="D728" s="56"/>
    </row>
    <row r="729" ht="15.75" customHeight="1">
      <c r="A729" s="55"/>
      <c r="C729" s="56"/>
      <c r="D729" s="56"/>
    </row>
    <row r="730" ht="15.75" customHeight="1">
      <c r="A730" s="55"/>
      <c r="C730" s="56"/>
      <c r="D730" s="56"/>
    </row>
    <row r="731" ht="15.75" customHeight="1">
      <c r="A731" s="55"/>
      <c r="C731" s="56"/>
      <c r="D731" s="56"/>
    </row>
    <row r="732" ht="15.75" customHeight="1">
      <c r="A732" s="55"/>
      <c r="C732" s="56"/>
      <c r="D732" s="56"/>
    </row>
    <row r="733" ht="15.75" customHeight="1">
      <c r="A733" s="55"/>
      <c r="C733" s="56"/>
      <c r="D733" s="56"/>
    </row>
    <row r="734" ht="15.75" customHeight="1">
      <c r="A734" s="55"/>
      <c r="C734" s="56"/>
      <c r="D734" s="56"/>
    </row>
    <row r="735" ht="15.75" customHeight="1">
      <c r="A735" s="55"/>
      <c r="C735" s="56"/>
      <c r="D735" s="56"/>
    </row>
    <row r="736" ht="15.75" customHeight="1">
      <c r="A736" s="55"/>
      <c r="C736" s="56"/>
      <c r="D736" s="56"/>
    </row>
    <row r="737" ht="15.75" customHeight="1">
      <c r="A737" s="55"/>
      <c r="C737" s="56"/>
      <c r="D737" s="56"/>
    </row>
    <row r="738" ht="15.75" customHeight="1">
      <c r="A738" s="55"/>
      <c r="C738" s="56"/>
      <c r="D738" s="56"/>
    </row>
    <row r="739" ht="15.75" customHeight="1">
      <c r="A739" s="55"/>
      <c r="C739" s="56"/>
      <c r="D739" s="56"/>
    </row>
    <row r="740" ht="15.75" customHeight="1">
      <c r="A740" s="55"/>
      <c r="C740" s="56"/>
      <c r="D740" s="56"/>
    </row>
    <row r="741" ht="15.75" customHeight="1">
      <c r="A741" s="55"/>
      <c r="C741" s="56"/>
      <c r="D741" s="56"/>
    </row>
    <row r="742" ht="15.75" customHeight="1">
      <c r="A742" s="55"/>
      <c r="C742" s="56"/>
      <c r="D742" s="56"/>
    </row>
    <row r="743" ht="15.75" customHeight="1">
      <c r="A743" s="55"/>
      <c r="C743" s="56"/>
      <c r="D743" s="56"/>
    </row>
    <row r="744" ht="15.75" customHeight="1">
      <c r="A744" s="55"/>
      <c r="C744" s="56"/>
      <c r="D744" s="56"/>
    </row>
    <row r="745" ht="15.75" customHeight="1">
      <c r="A745" s="55"/>
      <c r="C745" s="56"/>
      <c r="D745" s="56"/>
    </row>
    <row r="746" ht="15.75" customHeight="1">
      <c r="A746" s="55"/>
      <c r="C746" s="56"/>
      <c r="D746" s="56"/>
    </row>
    <row r="747" ht="15.75" customHeight="1">
      <c r="A747" s="55"/>
      <c r="C747" s="56"/>
      <c r="D747" s="56"/>
    </row>
    <row r="748" ht="15.75" customHeight="1">
      <c r="A748" s="55"/>
      <c r="C748" s="56"/>
      <c r="D748" s="56"/>
    </row>
    <row r="749" ht="15.75" customHeight="1">
      <c r="A749" s="55"/>
      <c r="C749" s="56"/>
      <c r="D749" s="56"/>
    </row>
    <row r="750" ht="15.75" customHeight="1">
      <c r="A750" s="55"/>
      <c r="C750" s="56"/>
      <c r="D750" s="56"/>
    </row>
    <row r="751" ht="15.75" customHeight="1">
      <c r="A751" s="55"/>
      <c r="C751" s="56"/>
      <c r="D751" s="56"/>
    </row>
    <row r="752" ht="15.75" customHeight="1">
      <c r="A752" s="55"/>
      <c r="C752" s="56"/>
      <c r="D752" s="56"/>
    </row>
    <row r="753" ht="15.75" customHeight="1">
      <c r="A753" s="55"/>
      <c r="C753" s="56"/>
      <c r="D753" s="56"/>
    </row>
    <row r="754" ht="15.75" customHeight="1">
      <c r="A754" s="55"/>
      <c r="C754" s="56"/>
      <c r="D754" s="56"/>
    </row>
    <row r="755" ht="15.75" customHeight="1">
      <c r="A755" s="55"/>
      <c r="C755" s="56"/>
      <c r="D755" s="56"/>
    </row>
    <row r="756" ht="15.75" customHeight="1">
      <c r="A756" s="55"/>
      <c r="C756" s="56"/>
      <c r="D756" s="56"/>
    </row>
    <row r="757" ht="15.75" customHeight="1">
      <c r="A757" s="55"/>
      <c r="C757" s="56"/>
      <c r="D757" s="56"/>
    </row>
    <row r="758" ht="15.75" customHeight="1">
      <c r="A758" s="55"/>
      <c r="C758" s="56"/>
      <c r="D758" s="56"/>
    </row>
    <row r="759" ht="15.75" customHeight="1">
      <c r="A759" s="55"/>
      <c r="C759" s="56"/>
      <c r="D759" s="56"/>
    </row>
    <row r="760" ht="15.75" customHeight="1">
      <c r="A760" s="55"/>
      <c r="C760" s="56"/>
      <c r="D760" s="56"/>
    </row>
    <row r="761" ht="15.75" customHeight="1">
      <c r="A761" s="55"/>
      <c r="C761" s="56"/>
      <c r="D761" s="56"/>
    </row>
    <row r="762" ht="15.75" customHeight="1">
      <c r="A762" s="55"/>
      <c r="C762" s="56"/>
      <c r="D762" s="56"/>
    </row>
    <row r="763" ht="15.75" customHeight="1">
      <c r="A763" s="55"/>
      <c r="C763" s="56"/>
      <c r="D763" s="56"/>
    </row>
    <row r="764" ht="15.75" customHeight="1">
      <c r="A764" s="55"/>
      <c r="C764" s="56"/>
      <c r="D764" s="56"/>
    </row>
    <row r="765" ht="15.75" customHeight="1">
      <c r="A765" s="55"/>
      <c r="C765" s="56"/>
      <c r="D765" s="56"/>
    </row>
    <row r="766" ht="15.75" customHeight="1">
      <c r="A766" s="55"/>
      <c r="C766" s="56"/>
      <c r="D766" s="56"/>
    </row>
    <row r="767" ht="15.75" customHeight="1">
      <c r="A767" s="55"/>
      <c r="C767" s="56"/>
      <c r="D767" s="56"/>
    </row>
    <row r="768" ht="15.75" customHeight="1">
      <c r="A768" s="55"/>
      <c r="C768" s="56"/>
      <c r="D768" s="56"/>
    </row>
    <row r="769" ht="15.75" customHeight="1">
      <c r="A769" s="55"/>
      <c r="C769" s="56"/>
      <c r="D769" s="56"/>
    </row>
    <row r="770" ht="15.75" customHeight="1">
      <c r="A770" s="55"/>
      <c r="C770" s="56"/>
      <c r="D770" s="56"/>
    </row>
    <row r="771" ht="15.75" customHeight="1">
      <c r="A771" s="55"/>
      <c r="C771" s="56"/>
      <c r="D771" s="56"/>
    </row>
    <row r="772" ht="15.75" customHeight="1">
      <c r="A772" s="55"/>
      <c r="C772" s="56"/>
      <c r="D772" s="56"/>
    </row>
    <row r="773" ht="15.75" customHeight="1">
      <c r="A773" s="55"/>
      <c r="C773" s="56"/>
      <c r="D773" s="56"/>
    </row>
    <row r="774" ht="15.75" customHeight="1">
      <c r="A774" s="55"/>
      <c r="C774" s="56"/>
      <c r="D774" s="56"/>
    </row>
    <row r="775" ht="15.75" customHeight="1">
      <c r="A775" s="55"/>
      <c r="C775" s="56"/>
      <c r="D775" s="56"/>
    </row>
    <row r="776" ht="15.75" customHeight="1">
      <c r="A776" s="55"/>
      <c r="C776" s="56"/>
      <c r="D776" s="56"/>
    </row>
    <row r="777" ht="15.75" customHeight="1">
      <c r="A777" s="55"/>
      <c r="C777" s="56"/>
      <c r="D777" s="56"/>
    </row>
    <row r="778" ht="15.75" customHeight="1">
      <c r="A778" s="55"/>
      <c r="C778" s="56"/>
      <c r="D778" s="56"/>
    </row>
    <row r="779" ht="15.75" customHeight="1">
      <c r="A779" s="55"/>
      <c r="C779" s="56"/>
      <c r="D779" s="56"/>
    </row>
    <row r="780" ht="15.75" customHeight="1">
      <c r="A780" s="55"/>
      <c r="C780" s="56"/>
      <c r="D780" s="56"/>
    </row>
    <row r="781" ht="15.75" customHeight="1">
      <c r="A781" s="55"/>
      <c r="C781" s="56"/>
      <c r="D781" s="56"/>
    </row>
    <row r="782" ht="15.75" customHeight="1">
      <c r="A782" s="55"/>
      <c r="C782" s="56"/>
      <c r="D782" s="56"/>
    </row>
    <row r="783" ht="15.75" customHeight="1">
      <c r="A783" s="55"/>
      <c r="C783" s="56"/>
      <c r="D783" s="56"/>
    </row>
    <row r="784" ht="15.75" customHeight="1">
      <c r="A784" s="55"/>
      <c r="C784" s="56"/>
      <c r="D784" s="56"/>
    </row>
    <row r="785" ht="15.75" customHeight="1">
      <c r="A785" s="55"/>
      <c r="C785" s="56"/>
      <c r="D785" s="56"/>
    </row>
    <row r="786" ht="15.75" customHeight="1">
      <c r="A786" s="55"/>
      <c r="C786" s="56"/>
      <c r="D786" s="56"/>
    </row>
    <row r="787" ht="15.75" customHeight="1">
      <c r="A787" s="55"/>
      <c r="C787" s="56"/>
      <c r="D787" s="56"/>
    </row>
    <row r="788" ht="15.75" customHeight="1">
      <c r="A788" s="55"/>
      <c r="C788" s="56"/>
      <c r="D788" s="56"/>
    </row>
    <row r="789" ht="15.75" customHeight="1">
      <c r="A789" s="55"/>
      <c r="C789" s="56"/>
      <c r="D789" s="56"/>
    </row>
    <row r="790" ht="15.75" customHeight="1">
      <c r="A790" s="55"/>
      <c r="C790" s="56"/>
      <c r="D790" s="56"/>
    </row>
    <row r="791" ht="15.75" customHeight="1">
      <c r="A791" s="55"/>
      <c r="C791" s="56"/>
      <c r="D791" s="56"/>
    </row>
    <row r="792" ht="15.75" customHeight="1">
      <c r="A792" s="55"/>
      <c r="C792" s="56"/>
      <c r="D792" s="56"/>
    </row>
    <row r="793" ht="15.75" customHeight="1">
      <c r="A793" s="55"/>
      <c r="C793" s="56"/>
      <c r="D793" s="56"/>
    </row>
    <row r="794" ht="15.75" customHeight="1">
      <c r="A794" s="55"/>
      <c r="C794" s="56"/>
      <c r="D794" s="56"/>
    </row>
    <row r="795" ht="15.75" customHeight="1">
      <c r="A795" s="55"/>
      <c r="C795" s="56"/>
      <c r="D795" s="56"/>
    </row>
    <row r="796" ht="15.75" customHeight="1">
      <c r="A796" s="55"/>
      <c r="C796" s="56"/>
      <c r="D796" s="56"/>
    </row>
    <row r="797" ht="15.75" customHeight="1">
      <c r="A797" s="55"/>
      <c r="C797" s="56"/>
      <c r="D797" s="56"/>
    </row>
    <row r="798" ht="15.75" customHeight="1">
      <c r="A798" s="55"/>
      <c r="C798" s="56"/>
      <c r="D798" s="56"/>
    </row>
    <row r="799" ht="15.75" customHeight="1">
      <c r="A799" s="55"/>
      <c r="C799" s="56"/>
      <c r="D799" s="56"/>
    </row>
    <row r="800" ht="15.75" customHeight="1">
      <c r="A800" s="55"/>
      <c r="C800" s="56"/>
      <c r="D800" s="56"/>
    </row>
    <row r="801" ht="15.75" customHeight="1">
      <c r="A801" s="55"/>
      <c r="C801" s="56"/>
      <c r="D801" s="56"/>
    </row>
    <row r="802" ht="15.75" customHeight="1">
      <c r="A802" s="55"/>
      <c r="C802" s="56"/>
      <c r="D802" s="56"/>
    </row>
    <row r="803" ht="15.75" customHeight="1">
      <c r="A803" s="55"/>
      <c r="C803" s="56"/>
      <c r="D803" s="56"/>
    </row>
    <row r="804" ht="15.75" customHeight="1">
      <c r="A804" s="55"/>
      <c r="C804" s="56"/>
      <c r="D804" s="56"/>
    </row>
    <row r="805" ht="15.75" customHeight="1">
      <c r="A805" s="55"/>
      <c r="C805" s="56"/>
      <c r="D805" s="56"/>
    </row>
    <row r="806" ht="15.75" customHeight="1">
      <c r="A806" s="55"/>
      <c r="C806" s="56"/>
      <c r="D806" s="56"/>
    </row>
    <row r="807" ht="15.75" customHeight="1">
      <c r="A807" s="55"/>
      <c r="C807" s="56"/>
      <c r="D807" s="56"/>
    </row>
    <row r="808" ht="15.75" customHeight="1">
      <c r="A808" s="55"/>
      <c r="C808" s="56"/>
      <c r="D808" s="56"/>
    </row>
    <row r="809" ht="15.75" customHeight="1">
      <c r="A809" s="55"/>
      <c r="C809" s="56"/>
      <c r="D809" s="56"/>
    </row>
    <row r="810" ht="15.75" customHeight="1">
      <c r="A810" s="55"/>
      <c r="C810" s="56"/>
      <c r="D810" s="56"/>
    </row>
    <row r="811" ht="15.75" customHeight="1">
      <c r="A811" s="55"/>
      <c r="C811" s="56"/>
      <c r="D811" s="56"/>
    </row>
    <row r="812" ht="15.75" customHeight="1">
      <c r="A812" s="55"/>
      <c r="C812" s="56"/>
      <c r="D812" s="56"/>
    </row>
    <row r="813" ht="15.75" customHeight="1">
      <c r="A813" s="55"/>
      <c r="C813" s="56"/>
      <c r="D813" s="56"/>
    </row>
    <row r="814" ht="15.75" customHeight="1">
      <c r="A814" s="55"/>
      <c r="C814" s="56"/>
      <c r="D814" s="56"/>
    </row>
    <row r="815" ht="15.75" customHeight="1">
      <c r="A815" s="55"/>
      <c r="C815" s="56"/>
      <c r="D815" s="56"/>
    </row>
    <row r="816" ht="15.75" customHeight="1">
      <c r="A816" s="55"/>
      <c r="C816" s="56"/>
      <c r="D816" s="56"/>
    </row>
    <row r="817" ht="15.75" customHeight="1">
      <c r="A817" s="55"/>
      <c r="C817" s="56"/>
      <c r="D817" s="56"/>
    </row>
    <row r="818" ht="15.75" customHeight="1">
      <c r="A818" s="55"/>
      <c r="C818" s="56"/>
      <c r="D818" s="56"/>
    </row>
    <row r="819" ht="15.75" customHeight="1">
      <c r="A819" s="55"/>
      <c r="C819" s="56"/>
      <c r="D819" s="56"/>
    </row>
    <row r="820" ht="15.75" customHeight="1">
      <c r="A820" s="55"/>
      <c r="C820" s="56"/>
      <c r="D820" s="56"/>
    </row>
    <row r="821" ht="15.75" customHeight="1">
      <c r="A821" s="55"/>
      <c r="C821" s="56"/>
      <c r="D821" s="56"/>
    </row>
    <row r="822" ht="15.75" customHeight="1">
      <c r="A822" s="55"/>
      <c r="C822" s="56"/>
      <c r="D822" s="56"/>
    </row>
    <row r="823" ht="15.75" customHeight="1">
      <c r="A823" s="55"/>
      <c r="C823" s="56"/>
      <c r="D823" s="56"/>
    </row>
    <row r="824" ht="15.75" customHeight="1">
      <c r="A824" s="55"/>
      <c r="C824" s="56"/>
      <c r="D824" s="56"/>
    </row>
    <row r="825" ht="15.75" customHeight="1">
      <c r="A825" s="55"/>
      <c r="C825" s="56"/>
      <c r="D825" s="56"/>
    </row>
    <row r="826" ht="15.75" customHeight="1">
      <c r="A826" s="55"/>
      <c r="C826" s="56"/>
      <c r="D826" s="56"/>
    </row>
    <row r="827" ht="15.75" customHeight="1">
      <c r="A827" s="55"/>
      <c r="C827" s="56"/>
      <c r="D827" s="56"/>
    </row>
    <row r="828" ht="15.75" customHeight="1">
      <c r="A828" s="55"/>
      <c r="C828" s="56"/>
      <c r="D828" s="56"/>
    </row>
    <row r="829" ht="15.75" customHeight="1">
      <c r="A829" s="55"/>
      <c r="C829" s="56"/>
      <c r="D829" s="56"/>
    </row>
    <row r="830" ht="15.75" customHeight="1">
      <c r="A830" s="55"/>
      <c r="C830" s="56"/>
      <c r="D830" s="56"/>
    </row>
    <row r="831" ht="15.75" customHeight="1">
      <c r="A831" s="55"/>
      <c r="C831" s="56"/>
      <c r="D831" s="56"/>
    </row>
    <row r="832" ht="15.75" customHeight="1">
      <c r="A832" s="55"/>
      <c r="C832" s="56"/>
      <c r="D832" s="56"/>
    </row>
    <row r="833" ht="15.75" customHeight="1">
      <c r="A833" s="55"/>
      <c r="C833" s="56"/>
      <c r="D833" s="56"/>
    </row>
    <row r="834" ht="15.75" customHeight="1">
      <c r="A834" s="55"/>
      <c r="C834" s="56"/>
      <c r="D834" s="56"/>
    </row>
    <row r="835" ht="15.75" customHeight="1">
      <c r="A835" s="55"/>
      <c r="C835" s="56"/>
      <c r="D835" s="56"/>
    </row>
    <row r="836" ht="15.75" customHeight="1">
      <c r="A836" s="55"/>
      <c r="C836" s="56"/>
      <c r="D836" s="56"/>
    </row>
    <row r="837" ht="15.75" customHeight="1">
      <c r="A837" s="55"/>
      <c r="C837" s="56"/>
      <c r="D837" s="56"/>
    </row>
    <row r="838" ht="15.75" customHeight="1">
      <c r="A838" s="55"/>
      <c r="C838" s="56"/>
      <c r="D838" s="56"/>
    </row>
    <row r="839" ht="15.75" customHeight="1">
      <c r="A839" s="55"/>
      <c r="C839" s="56"/>
      <c r="D839" s="56"/>
    </row>
    <row r="840" ht="15.75" customHeight="1">
      <c r="A840" s="55"/>
      <c r="C840" s="56"/>
      <c r="D840" s="56"/>
    </row>
    <row r="841" ht="15.75" customHeight="1">
      <c r="A841" s="55"/>
      <c r="C841" s="56"/>
      <c r="D841" s="56"/>
    </row>
    <row r="842" ht="15.75" customHeight="1">
      <c r="A842" s="55"/>
      <c r="C842" s="56"/>
      <c r="D842" s="56"/>
    </row>
    <row r="843" ht="15.75" customHeight="1">
      <c r="A843" s="55"/>
      <c r="C843" s="56"/>
      <c r="D843" s="56"/>
    </row>
    <row r="844" ht="15.75" customHeight="1">
      <c r="A844" s="55"/>
      <c r="C844" s="56"/>
      <c r="D844" s="56"/>
    </row>
    <row r="845" ht="15.75" customHeight="1">
      <c r="A845" s="55"/>
      <c r="C845" s="56"/>
      <c r="D845" s="56"/>
    </row>
    <row r="846" ht="15.75" customHeight="1">
      <c r="A846" s="55"/>
      <c r="C846" s="56"/>
      <c r="D846" s="56"/>
    </row>
    <row r="847" ht="15.75" customHeight="1">
      <c r="A847" s="55"/>
      <c r="C847" s="56"/>
      <c r="D847" s="56"/>
    </row>
    <row r="848" ht="15.75" customHeight="1">
      <c r="A848" s="55"/>
      <c r="C848" s="56"/>
      <c r="D848" s="56"/>
    </row>
    <row r="849" ht="15.75" customHeight="1">
      <c r="A849" s="55"/>
      <c r="C849" s="56"/>
      <c r="D849" s="56"/>
    </row>
    <row r="850" ht="15.75" customHeight="1">
      <c r="A850" s="55"/>
      <c r="C850" s="56"/>
      <c r="D850" s="56"/>
    </row>
    <row r="851" ht="15.75" customHeight="1">
      <c r="A851" s="55"/>
      <c r="C851" s="56"/>
      <c r="D851" s="56"/>
    </row>
    <row r="852" ht="15.75" customHeight="1">
      <c r="A852" s="55"/>
      <c r="C852" s="56"/>
      <c r="D852" s="56"/>
    </row>
    <row r="853" ht="15.75" customHeight="1">
      <c r="A853" s="55"/>
      <c r="C853" s="56"/>
      <c r="D853" s="56"/>
    </row>
    <row r="854" ht="15.75" customHeight="1">
      <c r="A854" s="55"/>
      <c r="C854" s="56"/>
      <c r="D854" s="56"/>
    </row>
    <row r="855" ht="15.75" customHeight="1">
      <c r="A855" s="55"/>
      <c r="C855" s="56"/>
      <c r="D855" s="56"/>
    </row>
    <row r="856" ht="15.75" customHeight="1">
      <c r="A856" s="55"/>
      <c r="C856" s="56"/>
      <c r="D856" s="56"/>
    </row>
    <row r="857" ht="15.75" customHeight="1">
      <c r="A857" s="55"/>
      <c r="C857" s="56"/>
      <c r="D857" s="56"/>
    </row>
    <row r="858" ht="15.75" customHeight="1">
      <c r="A858" s="55"/>
      <c r="C858" s="56"/>
      <c r="D858" s="56"/>
    </row>
    <row r="859" ht="15.75" customHeight="1">
      <c r="A859" s="55"/>
      <c r="C859" s="56"/>
      <c r="D859" s="56"/>
    </row>
    <row r="860" ht="15.75" customHeight="1">
      <c r="A860" s="55"/>
      <c r="C860" s="56"/>
      <c r="D860" s="56"/>
    </row>
    <row r="861" ht="15.75" customHeight="1">
      <c r="A861" s="55"/>
      <c r="C861" s="56"/>
      <c r="D861" s="56"/>
    </row>
    <row r="862" ht="15.75" customHeight="1">
      <c r="A862" s="55"/>
      <c r="C862" s="56"/>
      <c r="D862" s="56"/>
    </row>
    <row r="863" ht="15.75" customHeight="1">
      <c r="A863" s="55"/>
      <c r="C863" s="56"/>
      <c r="D863" s="56"/>
    </row>
    <row r="864" ht="15.75" customHeight="1">
      <c r="A864" s="55"/>
      <c r="C864" s="56"/>
      <c r="D864" s="56"/>
    </row>
    <row r="865" ht="15.75" customHeight="1">
      <c r="A865" s="55"/>
      <c r="C865" s="56"/>
      <c r="D865" s="56"/>
    </row>
    <row r="866" ht="15.75" customHeight="1">
      <c r="A866" s="55"/>
      <c r="C866" s="56"/>
      <c r="D866" s="56"/>
    </row>
    <row r="867" ht="15.75" customHeight="1">
      <c r="A867" s="55"/>
      <c r="C867" s="56"/>
      <c r="D867" s="56"/>
    </row>
    <row r="868" ht="15.75" customHeight="1">
      <c r="A868" s="55"/>
      <c r="C868" s="56"/>
      <c r="D868" s="56"/>
    </row>
    <row r="869" ht="15.75" customHeight="1">
      <c r="A869" s="55"/>
      <c r="C869" s="56"/>
      <c r="D869" s="56"/>
    </row>
    <row r="870" ht="15.75" customHeight="1">
      <c r="A870" s="55"/>
      <c r="C870" s="56"/>
      <c r="D870" s="56"/>
    </row>
    <row r="871" ht="15.75" customHeight="1">
      <c r="A871" s="55"/>
      <c r="C871" s="56"/>
      <c r="D871" s="56"/>
    </row>
    <row r="872" ht="15.75" customHeight="1">
      <c r="A872" s="55"/>
      <c r="C872" s="56"/>
      <c r="D872" s="56"/>
    </row>
    <row r="873" ht="15.75" customHeight="1">
      <c r="A873" s="55"/>
      <c r="C873" s="56"/>
      <c r="D873" s="56"/>
    </row>
    <row r="874" ht="15.75" customHeight="1">
      <c r="A874" s="55"/>
      <c r="C874" s="56"/>
      <c r="D874" s="56"/>
    </row>
    <row r="875" ht="15.75" customHeight="1">
      <c r="A875" s="55"/>
      <c r="C875" s="56"/>
      <c r="D875" s="56"/>
    </row>
    <row r="876" ht="15.75" customHeight="1">
      <c r="A876" s="55"/>
      <c r="C876" s="56"/>
      <c r="D876" s="56"/>
    </row>
    <row r="877" ht="15.75" customHeight="1">
      <c r="A877" s="55"/>
      <c r="C877" s="56"/>
      <c r="D877" s="56"/>
    </row>
    <row r="878" ht="15.75" customHeight="1">
      <c r="A878" s="55"/>
      <c r="C878" s="56"/>
      <c r="D878" s="56"/>
    </row>
    <row r="879" ht="15.75" customHeight="1">
      <c r="A879" s="55"/>
      <c r="C879" s="56"/>
      <c r="D879" s="56"/>
    </row>
    <row r="880" ht="15.75" customHeight="1">
      <c r="A880" s="55"/>
      <c r="C880" s="56"/>
      <c r="D880" s="56"/>
    </row>
    <row r="881" ht="15.75" customHeight="1">
      <c r="A881" s="55"/>
      <c r="C881" s="56"/>
      <c r="D881" s="56"/>
    </row>
    <row r="882" ht="15.75" customHeight="1">
      <c r="A882" s="55"/>
      <c r="C882" s="56"/>
      <c r="D882" s="56"/>
    </row>
    <row r="883" ht="15.75" customHeight="1">
      <c r="A883" s="55"/>
      <c r="C883" s="56"/>
      <c r="D883" s="56"/>
    </row>
    <row r="884" ht="15.75" customHeight="1">
      <c r="A884" s="55"/>
      <c r="C884" s="56"/>
      <c r="D884" s="56"/>
    </row>
    <row r="885" ht="15.75" customHeight="1">
      <c r="A885" s="55"/>
      <c r="C885" s="56"/>
      <c r="D885" s="56"/>
    </row>
    <row r="886" ht="15.75" customHeight="1">
      <c r="A886" s="55"/>
      <c r="C886" s="56"/>
      <c r="D886" s="56"/>
    </row>
    <row r="887" ht="15.75" customHeight="1">
      <c r="A887" s="55"/>
      <c r="C887" s="56"/>
      <c r="D887" s="56"/>
    </row>
    <row r="888" ht="15.75" customHeight="1">
      <c r="A888" s="55"/>
      <c r="C888" s="56"/>
      <c r="D888" s="56"/>
    </row>
    <row r="889" ht="15.75" customHeight="1">
      <c r="A889" s="55"/>
      <c r="C889" s="56"/>
      <c r="D889" s="56"/>
    </row>
    <row r="890" ht="15.75" customHeight="1">
      <c r="A890" s="55"/>
      <c r="C890" s="56"/>
      <c r="D890" s="56"/>
    </row>
    <row r="891" ht="15.75" customHeight="1">
      <c r="A891" s="55"/>
      <c r="C891" s="56"/>
      <c r="D891" s="56"/>
    </row>
    <row r="892" ht="15.75" customHeight="1">
      <c r="A892" s="55"/>
      <c r="C892" s="56"/>
      <c r="D892" s="56"/>
    </row>
    <row r="893" ht="15.75" customHeight="1">
      <c r="A893" s="55"/>
      <c r="C893" s="56"/>
      <c r="D893" s="56"/>
    </row>
    <row r="894" ht="15.75" customHeight="1">
      <c r="A894" s="55"/>
      <c r="C894" s="56"/>
      <c r="D894" s="56"/>
    </row>
    <row r="895" ht="15.75" customHeight="1">
      <c r="A895" s="55"/>
      <c r="C895" s="56"/>
      <c r="D895" s="56"/>
    </row>
    <row r="896" ht="15.75" customHeight="1">
      <c r="A896" s="55"/>
      <c r="C896" s="56"/>
      <c r="D896" s="56"/>
    </row>
    <row r="897" ht="15.75" customHeight="1">
      <c r="A897" s="55"/>
      <c r="C897" s="56"/>
      <c r="D897" s="56"/>
    </row>
    <row r="898" ht="15.75" customHeight="1">
      <c r="A898" s="55"/>
      <c r="C898" s="56"/>
      <c r="D898" s="56"/>
    </row>
    <row r="899" ht="15.75" customHeight="1">
      <c r="A899" s="55"/>
      <c r="C899" s="56"/>
      <c r="D899" s="56"/>
    </row>
    <row r="900" ht="15.75" customHeight="1">
      <c r="A900" s="55"/>
      <c r="C900" s="56"/>
      <c r="D900" s="56"/>
    </row>
    <row r="901" ht="15.75" customHeight="1">
      <c r="A901" s="55"/>
      <c r="C901" s="56"/>
      <c r="D901" s="56"/>
    </row>
    <row r="902" ht="15.75" customHeight="1">
      <c r="A902" s="55"/>
      <c r="C902" s="56"/>
      <c r="D902" s="56"/>
    </row>
    <row r="903" ht="15.75" customHeight="1">
      <c r="A903" s="55"/>
      <c r="C903" s="56"/>
      <c r="D903" s="56"/>
    </row>
    <row r="904" ht="15.75" customHeight="1">
      <c r="A904" s="55"/>
      <c r="C904" s="56"/>
      <c r="D904" s="56"/>
    </row>
    <row r="905" ht="15.75" customHeight="1">
      <c r="A905" s="55"/>
      <c r="C905" s="56"/>
      <c r="D905" s="56"/>
    </row>
    <row r="906" ht="15.75" customHeight="1">
      <c r="A906" s="55"/>
      <c r="C906" s="56"/>
      <c r="D906" s="56"/>
    </row>
    <row r="907" ht="15.75" customHeight="1">
      <c r="A907" s="55"/>
      <c r="C907" s="56"/>
      <c r="D907" s="56"/>
    </row>
    <row r="908" ht="15.75" customHeight="1">
      <c r="A908" s="55"/>
      <c r="C908" s="56"/>
      <c r="D908" s="56"/>
    </row>
    <row r="909" ht="15.75" customHeight="1">
      <c r="A909" s="55"/>
      <c r="C909" s="56"/>
      <c r="D909" s="56"/>
    </row>
    <row r="910" ht="15.75" customHeight="1">
      <c r="A910" s="55"/>
      <c r="C910" s="56"/>
      <c r="D910" s="56"/>
    </row>
    <row r="911" ht="15.75" customHeight="1">
      <c r="A911" s="55"/>
      <c r="C911" s="56"/>
      <c r="D911" s="56"/>
    </row>
    <row r="912" ht="15.75" customHeight="1">
      <c r="A912" s="55"/>
      <c r="C912" s="56"/>
      <c r="D912" s="56"/>
    </row>
    <row r="913" ht="15.75" customHeight="1">
      <c r="A913" s="55"/>
      <c r="C913" s="56"/>
      <c r="D913" s="56"/>
    </row>
    <row r="914" ht="15.75" customHeight="1">
      <c r="A914" s="55"/>
      <c r="C914" s="56"/>
      <c r="D914" s="56"/>
    </row>
    <row r="915" ht="15.75" customHeight="1">
      <c r="A915" s="55"/>
      <c r="C915" s="56"/>
      <c r="D915" s="56"/>
    </row>
    <row r="916" ht="15.75" customHeight="1">
      <c r="A916" s="55"/>
      <c r="C916" s="56"/>
      <c r="D916" s="56"/>
    </row>
    <row r="917" ht="15.75" customHeight="1">
      <c r="A917" s="55"/>
      <c r="C917" s="56"/>
      <c r="D917" s="56"/>
    </row>
    <row r="918" ht="15.75" customHeight="1">
      <c r="A918" s="55"/>
      <c r="C918" s="56"/>
      <c r="D918" s="56"/>
    </row>
    <row r="919" ht="15.75" customHeight="1">
      <c r="A919" s="55"/>
      <c r="C919" s="56"/>
      <c r="D919" s="56"/>
    </row>
    <row r="920" ht="15.75" customHeight="1">
      <c r="A920" s="55"/>
      <c r="C920" s="56"/>
      <c r="D920" s="56"/>
    </row>
    <row r="921" ht="15.75" customHeight="1">
      <c r="A921" s="55"/>
      <c r="C921" s="56"/>
      <c r="D921" s="56"/>
    </row>
    <row r="922" ht="15.75" customHeight="1">
      <c r="A922" s="55"/>
      <c r="C922" s="56"/>
      <c r="D922" s="56"/>
    </row>
    <row r="923" ht="15.75" customHeight="1">
      <c r="A923" s="55"/>
      <c r="C923" s="56"/>
      <c r="D923" s="56"/>
    </row>
    <row r="924" ht="15.75" customHeight="1">
      <c r="A924" s="55"/>
      <c r="C924" s="56"/>
      <c r="D924" s="56"/>
    </row>
    <row r="925" ht="15.75" customHeight="1">
      <c r="A925" s="55"/>
      <c r="C925" s="56"/>
      <c r="D925" s="56"/>
    </row>
    <row r="926" ht="15.75" customHeight="1">
      <c r="A926" s="55"/>
      <c r="C926" s="56"/>
      <c r="D926" s="56"/>
    </row>
    <row r="927" ht="15.75" customHeight="1">
      <c r="A927" s="55"/>
      <c r="C927" s="56"/>
      <c r="D927" s="56"/>
    </row>
    <row r="928" ht="15.75" customHeight="1">
      <c r="A928" s="55"/>
      <c r="C928" s="56"/>
      <c r="D928" s="56"/>
    </row>
    <row r="929" ht="15.75" customHeight="1">
      <c r="A929" s="55"/>
      <c r="C929" s="56"/>
      <c r="D929" s="56"/>
    </row>
    <row r="930" ht="15.75" customHeight="1">
      <c r="A930" s="55"/>
      <c r="C930" s="56"/>
      <c r="D930" s="56"/>
    </row>
    <row r="931" ht="15.75" customHeight="1">
      <c r="A931" s="55"/>
      <c r="C931" s="56"/>
      <c r="D931" s="56"/>
    </row>
    <row r="932" ht="15.75" customHeight="1">
      <c r="A932" s="55"/>
      <c r="C932" s="56"/>
      <c r="D932" s="56"/>
    </row>
    <row r="933" ht="15.75" customHeight="1">
      <c r="A933" s="55"/>
      <c r="C933" s="56"/>
      <c r="D933" s="56"/>
    </row>
    <row r="934" ht="15.75" customHeight="1">
      <c r="A934" s="55"/>
      <c r="C934" s="56"/>
      <c r="D934" s="56"/>
    </row>
    <row r="935" ht="15.75" customHeight="1">
      <c r="A935" s="55"/>
      <c r="C935" s="56"/>
      <c r="D935" s="56"/>
    </row>
    <row r="936" ht="15.75" customHeight="1">
      <c r="A936" s="55"/>
      <c r="C936" s="56"/>
      <c r="D936" s="56"/>
    </row>
    <row r="937" ht="15.75" customHeight="1">
      <c r="A937" s="55"/>
      <c r="C937" s="56"/>
      <c r="D937" s="56"/>
    </row>
    <row r="938" ht="15.75" customHeight="1">
      <c r="A938" s="55"/>
      <c r="C938" s="56"/>
      <c r="D938" s="56"/>
    </row>
    <row r="939" ht="15.75" customHeight="1">
      <c r="A939" s="55"/>
      <c r="C939" s="56"/>
      <c r="D939" s="56"/>
    </row>
    <row r="940" ht="15.75" customHeight="1">
      <c r="A940" s="55"/>
      <c r="C940" s="56"/>
      <c r="D940" s="56"/>
    </row>
    <row r="941" ht="15.75" customHeight="1">
      <c r="A941" s="55"/>
      <c r="C941" s="56"/>
      <c r="D941" s="56"/>
    </row>
    <row r="942" ht="15.75" customHeight="1">
      <c r="A942" s="55"/>
      <c r="C942" s="56"/>
      <c r="D942" s="56"/>
    </row>
    <row r="943" ht="15.75" customHeight="1">
      <c r="A943" s="55"/>
      <c r="C943" s="56"/>
      <c r="D943" s="56"/>
    </row>
    <row r="944" ht="15.75" customHeight="1">
      <c r="A944" s="55"/>
      <c r="C944" s="56"/>
      <c r="D944" s="56"/>
    </row>
    <row r="945" ht="15.75" customHeight="1">
      <c r="A945" s="55"/>
      <c r="C945" s="56"/>
      <c r="D945" s="56"/>
    </row>
    <row r="946" ht="15.75" customHeight="1">
      <c r="A946" s="55"/>
      <c r="C946" s="56"/>
      <c r="D946" s="56"/>
    </row>
    <row r="947" ht="15.75" customHeight="1">
      <c r="A947" s="55"/>
      <c r="C947" s="56"/>
      <c r="D947" s="56"/>
    </row>
    <row r="948" ht="15.75" customHeight="1">
      <c r="A948" s="55"/>
      <c r="C948" s="56"/>
      <c r="D948" s="56"/>
    </row>
    <row r="949" ht="15.75" customHeight="1">
      <c r="A949" s="55"/>
      <c r="C949" s="56"/>
      <c r="D949" s="56"/>
    </row>
    <row r="950" ht="15.75" customHeight="1">
      <c r="A950" s="55"/>
      <c r="C950" s="56"/>
      <c r="D950" s="56"/>
    </row>
    <row r="951" ht="15.75" customHeight="1">
      <c r="A951" s="55"/>
      <c r="C951" s="56"/>
      <c r="D951" s="56"/>
    </row>
    <row r="952" ht="15.75" customHeight="1">
      <c r="A952" s="55"/>
      <c r="C952" s="56"/>
      <c r="D952" s="56"/>
    </row>
    <row r="953" ht="15.75" customHeight="1">
      <c r="A953" s="55"/>
      <c r="C953" s="56"/>
      <c r="D953" s="56"/>
    </row>
    <row r="954" ht="15.75" customHeight="1">
      <c r="A954" s="55"/>
      <c r="C954" s="56"/>
      <c r="D954" s="56"/>
    </row>
    <row r="955" ht="15.75" customHeight="1">
      <c r="A955" s="55"/>
      <c r="C955" s="56"/>
      <c r="D955" s="56"/>
    </row>
    <row r="956" ht="15.75" customHeight="1">
      <c r="A956" s="55"/>
      <c r="C956" s="56"/>
      <c r="D956" s="56"/>
    </row>
    <row r="957" ht="15.75" customHeight="1">
      <c r="A957" s="55"/>
      <c r="C957" s="56"/>
      <c r="D957" s="56"/>
    </row>
    <row r="958" ht="15.75" customHeight="1">
      <c r="A958" s="55"/>
      <c r="C958" s="56"/>
      <c r="D958" s="56"/>
    </row>
    <row r="959" ht="15.75" customHeight="1">
      <c r="A959" s="55"/>
      <c r="C959" s="56"/>
      <c r="D959" s="56"/>
    </row>
    <row r="960" ht="15.75" customHeight="1">
      <c r="A960" s="55"/>
      <c r="C960" s="56"/>
      <c r="D960" s="56"/>
    </row>
    <row r="961" ht="15.75" customHeight="1">
      <c r="A961" s="55"/>
      <c r="C961" s="56"/>
      <c r="D961" s="56"/>
    </row>
    <row r="962" ht="15.75" customHeight="1">
      <c r="A962" s="55"/>
      <c r="C962" s="56"/>
      <c r="D962" s="56"/>
    </row>
    <row r="963" ht="15.75" customHeight="1">
      <c r="A963" s="55"/>
      <c r="C963" s="56"/>
      <c r="D963" s="56"/>
    </row>
    <row r="964" ht="15.75" customHeight="1">
      <c r="A964" s="55"/>
      <c r="C964" s="56"/>
      <c r="D964" s="56"/>
    </row>
    <row r="965" ht="15.75" customHeight="1">
      <c r="A965" s="55"/>
      <c r="C965" s="56"/>
      <c r="D965" s="56"/>
    </row>
    <row r="966" ht="15.75" customHeight="1">
      <c r="A966" s="55"/>
      <c r="C966" s="56"/>
      <c r="D966" s="56"/>
    </row>
    <row r="967" ht="15.75" customHeight="1">
      <c r="A967" s="55"/>
      <c r="C967" s="56"/>
      <c r="D967" s="56"/>
    </row>
    <row r="968" ht="15.75" customHeight="1">
      <c r="A968" s="55"/>
      <c r="C968" s="56"/>
      <c r="D968" s="56"/>
    </row>
    <row r="969" ht="15.75" customHeight="1">
      <c r="A969" s="55"/>
      <c r="C969" s="56"/>
      <c r="D969" s="56"/>
    </row>
    <row r="970" ht="15.75" customHeight="1">
      <c r="A970" s="55"/>
      <c r="C970" s="56"/>
      <c r="D970" s="56"/>
    </row>
    <row r="971" ht="15.75" customHeight="1">
      <c r="A971" s="55"/>
      <c r="C971" s="56"/>
      <c r="D971" s="56"/>
    </row>
    <row r="972" ht="15.75" customHeight="1">
      <c r="A972" s="55"/>
      <c r="C972" s="56"/>
      <c r="D972" s="56"/>
    </row>
    <row r="973" ht="15.75" customHeight="1">
      <c r="A973" s="55"/>
      <c r="C973" s="56"/>
      <c r="D973" s="56"/>
    </row>
    <row r="974" ht="15.75" customHeight="1">
      <c r="A974" s="55"/>
      <c r="C974" s="56"/>
      <c r="D974" s="56"/>
    </row>
    <row r="975" ht="15.75" customHeight="1">
      <c r="A975" s="55"/>
      <c r="C975" s="56"/>
      <c r="D975" s="56"/>
    </row>
    <row r="976" ht="15.75" customHeight="1">
      <c r="A976" s="55"/>
      <c r="C976" s="56"/>
      <c r="D976" s="56"/>
    </row>
    <row r="977" ht="15.75" customHeight="1">
      <c r="A977" s="55"/>
      <c r="C977" s="56"/>
      <c r="D977" s="56"/>
    </row>
    <row r="978" ht="15.75" customHeight="1">
      <c r="A978" s="55"/>
      <c r="C978" s="56"/>
      <c r="D978" s="56"/>
    </row>
    <row r="979" ht="15.75" customHeight="1">
      <c r="A979" s="55"/>
      <c r="C979" s="56"/>
      <c r="D979" s="56"/>
    </row>
    <row r="980" ht="15.75" customHeight="1">
      <c r="A980" s="55"/>
      <c r="C980" s="56"/>
      <c r="D980" s="56"/>
    </row>
    <row r="981" ht="15.75" customHeight="1">
      <c r="A981" s="55"/>
      <c r="C981" s="56"/>
      <c r="D981" s="56"/>
    </row>
    <row r="982" ht="15.75" customHeight="1">
      <c r="A982" s="55"/>
      <c r="C982" s="56"/>
      <c r="D982" s="56"/>
    </row>
    <row r="983" ht="15.75" customHeight="1">
      <c r="A983" s="55"/>
      <c r="C983" s="56"/>
      <c r="D983" s="56"/>
    </row>
    <row r="984" ht="15.75" customHeight="1">
      <c r="A984" s="55"/>
      <c r="C984" s="56"/>
      <c r="D984" s="56"/>
    </row>
    <row r="985" ht="15.75" customHeight="1">
      <c r="A985" s="55"/>
      <c r="C985" s="56"/>
      <c r="D985" s="56"/>
    </row>
    <row r="986" ht="15.75" customHeight="1">
      <c r="A986" s="55"/>
      <c r="C986" s="56"/>
      <c r="D986" s="56"/>
    </row>
    <row r="987" ht="15.75" customHeight="1">
      <c r="A987" s="55"/>
      <c r="C987" s="56"/>
      <c r="D987" s="56"/>
    </row>
    <row r="988" ht="15.75" customHeight="1">
      <c r="A988" s="55"/>
      <c r="C988" s="56"/>
      <c r="D988" s="56"/>
    </row>
    <row r="989" ht="15.75" customHeight="1">
      <c r="A989" s="55"/>
      <c r="C989" s="56"/>
      <c r="D989" s="56"/>
    </row>
    <row r="990" ht="15.75" customHeight="1">
      <c r="A990" s="55"/>
      <c r="C990" s="56"/>
      <c r="D990" s="56"/>
    </row>
    <row r="991" ht="15.75" customHeight="1">
      <c r="A991" s="55"/>
      <c r="C991" s="56"/>
      <c r="D991" s="56"/>
    </row>
    <row r="992" ht="15.75" customHeight="1">
      <c r="A992" s="55"/>
      <c r="C992" s="56"/>
      <c r="D992" s="56"/>
    </row>
    <row r="993" ht="15.75" customHeight="1">
      <c r="A993" s="55"/>
      <c r="C993" s="56"/>
      <c r="D993" s="56"/>
    </row>
    <row r="994" ht="15.75" customHeight="1">
      <c r="A994" s="55"/>
      <c r="C994" s="56"/>
      <c r="D994" s="56"/>
    </row>
    <row r="995" ht="15.75" customHeight="1">
      <c r="A995" s="55"/>
      <c r="C995" s="56"/>
      <c r="D995" s="56"/>
    </row>
    <row r="996" ht="15.75" customHeight="1">
      <c r="A996" s="55"/>
      <c r="C996" s="56"/>
      <c r="D996" s="56"/>
    </row>
    <row r="997" ht="15.75" customHeight="1">
      <c r="A997" s="55"/>
      <c r="C997" s="56"/>
      <c r="D997" s="56"/>
    </row>
    <row r="998" ht="15.75" customHeight="1">
      <c r="A998" s="55"/>
      <c r="C998" s="56"/>
      <c r="D998" s="56"/>
    </row>
    <row r="999" ht="15.75" customHeight="1">
      <c r="A999" s="55"/>
      <c r="C999" s="56"/>
      <c r="D999" s="56"/>
    </row>
    <row r="1000" ht="15.75" customHeight="1">
      <c r="A1000" s="55"/>
      <c r="C1000" s="56"/>
      <c r="D1000" s="5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44" t="s">
        <v>14</v>
      </c>
      <c r="B1" s="45" t="s">
        <v>15</v>
      </c>
      <c r="C1" s="46" t="s">
        <v>389</v>
      </c>
      <c r="D1" s="57" t="s">
        <v>390</v>
      </c>
    </row>
    <row r="2" ht="15.75" customHeight="1">
      <c r="A2" s="18">
        <v>1.0</v>
      </c>
      <c r="B2" s="47" t="s">
        <v>16</v>
      </c>
      <c r="C2" s="48"/>
      <c r="D2" s="48"/>
    </row>
    <row r="3" ht="15.75" customHeight="1">
      <c r="A3" s="18">
        <v>2.0</v>
      </c>
      <c r="B3" s="47" t="s">
        <v>17</v>
      </c>
      <c r="C3" s="48"/>
      <c r="D3" s="48"/>
    </row>
    <row r="4" ht="15.75" customHeight="1">
      <c r="A4" s="18">
        <v>3.0</v>
      </c>
      <c r="B4" s="47" t="s">
        <v>18</v>
      </c>
      <c r="C4" s="48"/>
      <c r="D4" s="48"/>
    </row>
    <row r="5" ht="15.75" customHeight="1">
      <c r="A5" s="18">
        <v>4.0</v>
      </c>
      <c r="B5" s="47" t="s">
        <v>19</v>
      </c>
      <c r="C5" s="48"/>
      <c r="D5" s="48"/>
    </row>
    <row r="6" ht="15.75" customHeight="1">
      <c r="A6" s="18">
        <v>5.0</v>
      </c>
      <c r="B6" s="47" t="s">
        <v>20</v>
      </c>
      <c r="C6" s="48"/>
      <c r="D6" s="48"/>
    </row>
    <row r="7" ht="15.75" customHeight="1">
      <c r="A7" s="18">
        <v>6.0</v>
      </c>
      <c r="B7" s="47" t="s">
        <v>21</v>
      </c>
      <c r="C7" s="48"/>
      <c r="D7" s="48"/>
    </row>
    <row r="8" ht="15.75" customHeight="1">
      <c r="A8" s="18">
        <v>7.0</v>
      </c>
      <c r="B8" s="47" t="s">
        <v>22</v>
      </c>
      <c r="C8" s="48"/>
      <c r="D8" s="48"/>
    </row>
    <row r="9" ht="15.75" customHeight="1">
      <c r="A9" s="18">
        <v>8.0</v>
      </c>
      <c r="B9" s="47" t="s">
        <v>23</v>
      </c>
      <c r="C9" s="48"/>
      <c r="D9" s="48"/>
    </row>
    <row r="10" ht="15.75" customHeight="1">
      <c r="A10" s="18">
        <v>9.0</v>
      </c>
      <c r="B10" s="47" t="s">
        <v>24</v>
      </c>
      <c r="C10" s="48"/>
      <c r="D10" s="48"/>
    </row>
    <row r="11" ht="15.75" customHeight="1">
      <c r="A11" s="31">
        <v>10.0</v>
      </c>
      <c r="B11" s="58" t="s">
        <v>25</v>
      </c>
      <c r="C11" s="49"/>
      <c r="D11" s="49"/>
    </row>
    <row r="12" ht="15.75" customHeight="1">
      <c r="A12" s="31">
        <v>11.0</v>
      </c>
      <c r="B12" s="58" t="s">
        <v>26</v>
      </c>
      <c r="C12" s="49"/>
      <c r="D12" s="49"/>
    </row>
    <row r="13" ht="15.75" customHeight="1">
      <c r="A13" s="31"/>
      <c r="B13" s="58"/>
      <c r="C13" s="49"/>
      <c r="D13" s="49"/>
    </row>
    <row r="14" ht="15.75" customHeight="1">
      <c r="A14" s="31"/>
      <c r="B14" s="58"/>
      <c r="C14" s="49"/>
      <c r="D14" s="49"/>
    </row>
    <row r="15" ht="15.75" customHeight="1">
      <c r="A15" s="31"/>
      <c r="B15" s="58"/>
      <c r="C15" s="49"/>
      <c r="D15" s="49"/>
    </row>
    <row r="16" ht="15.75" customHeight="1">
      <c r="A16" s="31"/>
      <c r="B16" s="58"/>
      <c r="C16" s="49"/>
      <c r="D16" s="49"/>
    </row>
    <row r="17" ht="15.75" customHeight="1">
      <c r="A17" s="31"/>
      <c r="B17" s="58"/>
      <c r="C17" s="49"/>
      <c r="D17" s="49"/>
    </row>
    <row r="18" ht="15.75" customHeight="1">
      <c r="A18" s="31"/>
      <c r="B18" s="58"/>
      <c r="C18" s="49"/>
      <c r="D18" s="49"/>
    </row>
    <row r="19" ht="15.75" customHeight="1">
      <c r="A19" s="31"/>
      <c r="B19" s="58"/>
      <c r="C19" s="49"/>
      <c r="D19" s="49"/>
    </row>
    <row r="20" ht="15.75" customHeight="1">
      <c r="A20" s="31"/>
      <c r="B20" s="58"/>
      <c r="C20" s="49"/>
      <c r="D20" s="49"/>
    </row>
    <row r="21" ht="15.75" customHeight="1">
      <c r="A21" s="31"/>
      <c r="B21" s="58"/>
      <c r="C21" s="49"/>
      <c r="D21" s="49"/>
    </row>
    <row r="22" ht="15.75" customHeight="1">
      <c r="A22" s="31"/>
      <c r="B22" s="58"/>
      <c r="C22" s="49"/>
      <c r="D22" s="49"/>
    </row>
    <row r="23" ht="15.75" customHeight="1">
      <c r="A23" s="31"/>
      <c r="B23" s="58"/>
      <c r="C23" s="49"/>
      <c r="D23" s="49"/>
    </row>
    <row r="24" ht="15.75" customHeight="1">
      <c r="A24" s="31"/>
      <c r="B24" s="58"/>
      <c r="C24" s="49"/>
      <c r="D24" s="49"/>
    </row>
    <row r="25" ht="15.75" customHeight="1">
      <c r="A25" s="31"/>
      <c r="B25" s="58"/>
      <c r="C25" s="49"/>
      <c r="D25" s="49"/>
    </row>
    <row r="26" ht="15.75" customHeight="1">
      <c r="A26" s="31"/>
      <c r="B26" s="58"/>
      <c r="C26" s="49"/>
      <c r="D26" s="49"/>
    </row>
    <row r="27" ht="15.75" customHeight="1">
      <c r="A27" s="31"/>
      <c r="B27" s="58"/>
      <c r="C27" s="49"/>
      <c r="D27" s="49"/>
    </row>
    <row r="28" ht="15.75" customHeight="1">
      <c r="A28" s="31"/>
      <c r="B28" s="58"/>
      <c r="C28" s="49"/>
      <c r="D28" s="49"/>
    </row>
    <row r="29" ht="15.75" customHeight="1">
      <c r="A29" s="31"/>
      <c r="B29" s="58"/>
      <c r="C29" s="49"/>
      <c r="D29" s="49"/>
    </row>
    <row r="30" ht="15.75" customHeight="1">
      <c r="A30" s="31"/>
      <c r="B30" s="58"/>
      <c r="C30" s="49"/>
      <c r="D30" s="49"/>
    </row>
    <row r="31" ht="15.75" customHeight="1">
      <c r="A31" s="31"/>
      <c r="B31" s="58"/>
      <c r="C31" s="49"/>
      <c r="D31" s="49"/>
    </row>
    <row r="32" ht="15.75" customHeight="1">
      <c r="A32" s="31"/>
      <c r="B32" s="58"/>
      <c r="C32" s="49"/>
      <c r="D32" s="49"/>
    </row>
    <row r="33" ht="15.75" customHeight="1">
      <c r="A33" s="31"/>
      <c r="B33" s="58"/>
      <c r="C33" s="49"/>
      <c r="D33" s="49"/>
    </row>
    <row r="34" ht="15.75" customHeight="1">
      <c r="A34" s="31"/>
      <c r="B34" s="58"/>
      <c r="C34" s="49"/>
      <c r="D34" s="49"/>
    </row>
    <row r="35" ht="15.75" customHeight="1">
      <c r="A35" s="31"/>
      <c r="B35" s="58"/>
      <c r="C35" s="49"/>
      <c r="D35" s="49"/>
    </row>
    <row r="36" ht="15.75" customHeight="1">
      <c r="A36" s="31"/>
      <c r="B36" s="58"/>
      <c r="C36" s="49"/>
      <c r="D36" s="49"/>
    </row>
    <row r="37" ht="15.75" customHeight="1">
      <c r="A37" s="31"/>
      <c r="B37" s="58"/>
      <c r="C37" s="49"/>
      <c r="D37" s="49"/>
    </row>
    <row r="38" ht="15.75" customHeight="1">
      <c r="A38" s="31"/>
      <c r="B38" s="58"/>
      <c r="C38" s="49"/>
      <c r="D38" s="49"/>
    </row>
    <row r="39" ht="15.75" customHeight="1">
      <c r="A39" s="31"/>
      <c r="B39" s="58"/>
      <c r="C39" s="49"/>
      <c r="D39" s="49"/>
    </row>
    <row r="40" ht="15.75" customHeight="1">
      <c r="A40" s="31"/>
      <c r="B40" s="58"/>
      <c r="C40" s="49"/>
      <c r="D40" s="49"/>
    </row>
    <row r="41" ht="15.75" customHeight="1">
      <c r="A41" s="31"/>
      <c r="B41" s="58"/>
      <c r="C41" s="49"/>
      <c r="D41" s="49"/>
    </row>
    <row r="42" ht="15.75" customHeight="1">
      <c r="A42" s="31"/>
      <c r="B42" s="58"/>
      <c r="C42" s="49"/>
      <c r="D42" s="49"/>
    </row>
    <row r="43" ht="15.75" customHeight="1">
      <c r="A43" s="31"/>
      <c r="B43" s="58"/>
      <c r="C43" s="49"/>
      <c r="D43" s="49"/>
    </row>
    <row r="44" ht="15.75" customHeight="1">
      <c r="A44" s="31"/>
      <c r="B44" s="58"/>
      <c r="C44" s="49"/>
      <c r="D44" s="49"/>
    </row>
    <row r="45" ht="15.75" customHeight="1">
      <c r="A45" s="31"/>
      <c r="B45" s="58"/>
      <c r="C45" s="49"/>
      <c r="D45" s="49"/>
    </row>
    <row r="46" ht="15.75" customHeight="1">
      <c r="A46" s="31"/>
      <c r="B46" s="58"/>
      <c r="C46" s="49"/>
      <c r="D46" s="49"/>
    </row>
    <row r="47" ht="15.75" customHeight="1">
      <c r="A47" s="31"/>
      <c r="B47" s="58"/>
      <c r="C47" s="49"/>
      <c r="D47" s="49"/>
    </row>
    <row r="48" ht="15.75" customHeight="1">
      <c r="A48" s="31"/>
      <c r="B48" s="58"/>
      <c r="C48" s="49"/>
      <c r="D48" s="49"/>
    </row>
    <row r="49" ht="15.75" customHeight="1">
      <c r="A49" s="31"/>
      <c r="B49" s="58"/>
      <c r="C49" s="49"/>
      <c r="D49" s="49"/>
    </row>
    <row r="50" ht="15.75" customHeight="1">
      <c r="A50" s="31"/>
      <c r="B50" s="58"/>
      <c r="C50" s="49"/>
      <c r="D50" s="49"/>
    </row>
    <row r="51" ht="15.75" customHeight="1">
      <c r="A51" s="31"/>
      <c r="B51" s="58"/>
      <c r="C51" s="49"/>
      <c r="D51" s="49"/>
    </row>
    <row r="52" ht="15.75" customHeight="1">
      <c r="A52" s="31"/>
      <c r="B52" s="58"/>
      <c r="C52" s="49"/>
      <c r="D52" s="49"/>
    </row>
    <row r="53" ht="15.75" customHeight="1">
      <c r="A53" s="31"/>
      <c r="B53" s="58"/>
      <c r="C53" s="49"/>
      <c r="D53" s="49"/>
    </row>
    <row r="54" ht="15.75" customHeight="1">
      <c r="A54" s="31"/>
      <c r="B54" s="58"/>
      <c r="C54" s="49"/>
      <c r="D54" s="49"/>
    </row>
    <row r="55" ht="15.75" customHeight="1">
      <c r="A55" s="31"/>
      <c r="B55" s="58"/>
      <c r="C55" s="49"/>
      <c r="D55" s="49"/>
    </row>
    <row r="56" ht="15.75" customHeight="1">
      <c r="A56" s="31"/>
      <c r="B56" s="58"/>
      <c r="C56" s="49"/>
      <c r="D56" s="49"/>
    </row>
    <row r="57" ht="15.75" customHeight="1">
      <c r="A57" s="31"/>
      <c r="B57" s="58"/>
      <c r="C57" s="49"/>
      <c r="D57" s="49"/>
    </row>
    <row r="58" ht="15.75" customHeight="1">
      <c r="A58" s="31"/>
      <c r="B58" s="58"/>
      <c r="C58" s="49"/>
      <c r="D58" s="49"/>
    </row>
    <row r="59" ht="15.75" customHeight="1">
      <c r="A59" s="31"/>
      <c r="B59" s="58"/>
      <c r="C59" s="49"/>
      <c r="D59" s="49"/>
    </row>
    <row r="60" ht="15.75" customHeight="1">
      <c r="A60" s="31"/>
      <c r="B60" s="58"/>
      <c r="C60" s="49"/>
      <c r="D60" s="49"/>
    </row>
    <row r="61" ht="15.75" customHeight="1">
      <c r="A61" s="31"/>
      <c r="B61" s="58"/>
      <c r="C61" s="49"/>
      <c r="D61" s="49"/>
    </row>
    <row r="62" ht="15.75" customHeight="1">
      <c r="A62" s="31"/>
      <c r="B62" s="58"/>
      <c r="C62" s="49"/>
      <c r="D62" s="49"/>
    </row>
    <row r="63" ht="15.75" customHeight="1">
      <c r="A63" s="31"/>
      <c r="B63" s="58"/>
      <c r="C63" s="49"/>
      <c r="D63" s="49"/>
    </row>
    <row r="64" ht="15.75" customHeight="1">
      <c r="A64" s="31"/>
      <c r="B64" s="58"/>
      <c r="C64" s="49"/>
      <c r="D64" s="49"/>
    </row>
    <row r="65" ht="15.75" customHeight="1">
      <c r="A65" s="31"/>
      <c r="B65" s="58"/>
      <c r="C65" s="49"/>
      <c r="D65" s="49"/>
    </row>
    <row r="66" ht="15.75" customHeight="1">
      <c r="A66" s="31"/>
      <c r="B66" s="58"/>
      <c r="C66" s="49"/>
      <c r="D66" s="49"/>
    </row>
    <row r="67" ht="15.75" customHeight="1">
      <c r="A67" s="31"/>
      <c r="B67" s="58"/>
      <c r="C67" s="49"/>
      <c r="D67" s="49"/>
    </row>
    <row r="68" ht="15.75" customHeight="1">
      <c r="A68" s="31"/>
      <c r="B68" s="58"/>
      <c r="C68" s="49"/>
      <c r="D68" s="49"/>
    </row>
    <row r="69" ht="15.75" customHeight="1">
      <c r="A69" s="31"/>
      <c r="B69" s="58"/>
      <c r="C69" s="49"/>
      <c r="D69" s="49"/>
    </row>
    <row r="70" ht="15.75" customHeight="1">
      <c r="A70" s="31"/>
      <c r="B70" s="58"/>
      <c r="C70" s="49"/>
      <c r="D70" s="49"/>
    </row>
    <row r="71" ht="15.75" customHeight="1">
      <c r="A71" s="31"/>
      <c r="B71" s="58"/>
      <c r="C71" s="49"/>
      <c r="D71" s="49"/>
    </row>
    <row r="72" ht="15.75" customHeight="1">
      <c r="A72" s="31"/>
      <c r="B72" s="58"/>
      <c r="C72" s="49"/>
      <c r="D72" s="49"/>
    </row>
    <row r="73" ht="15.75" customHeight="1">
      <c r="A73" s="31"/>
      <c r="B73" s="58"/>
      <c r="C73" s="49"/>
      <c r="D73" s="49"/>
    </row>
    <row r="74" ht="15.75" customHeight="1">
      <c r="A74" s="31"/>
      <c r="B74" s="58"/>
      <c r="C74" s="49"/>
      <c r="D74" s="49"/>
    </row>
    <row r="75" ht="15.75" customHeight="1">
      <c r="A75" s="31"/>
      <c r="B75" s="58"/>
      <c r="C75" s="49"/>
      <c r="D75" s="49"/>
    </row>
    <row r="76" ht="15.75" customHeight="1">
      <c r="A76" s="31"/>
      <c r="B76" s="58"/>
      <c r="C76" s="49"/>
      <c r="D76" s="49"/>
    </row>
    <row r="77" ht="15.75" customHeight="1">
      <c r="A77" s="31"/>
      <c r="B77" s="58"/>
      <c r="C77" s="49"/>
      <c r="D77" s="49"/>
    </row>
    <row r="78" ht="15.75" customHeight="1">
      <c r="A78" s="31"/>
      <c r="B78" s="58"/>
      <c r="C78" s="49"/>
      <c r="D78" s="49"/>
    </row>
    <row r="79" ht="15.75" customHeight="1">
      <c r="A79" s="31"/>
      <c r="B79" s="58"/>
      <c r="C79" s="49"/>
      <c r="D79" s="49"/>
    </row>
    <row r="80" ht="15.75" customHeight="1">
      <c r="A80" s="31"/>
      <c r="B80" s="58"/>
      <c r="C80" s="49"/>
      <c r="D80" s="49"/>
    </row>
    <row r="81" ht="15.75" customHeight="1">
      <c r="A81" s="31"/>
      <c r="B81" s="58"/>
      <c r="C81" s="49"/>
      <c r="D81" s="49"/>
    </row>
    <row r="82" ht="15.75" customHeight="1">
      <c r="A82" s="31"/>
      <c r="B82" s="58"/>
      <c r="C82" s="49"/>
      <c r="D82" s="49"/>
    </row>
    <row r="83" ht="15.75" customHeight="1">
      <c r="A83" s="31"/>
      <c r="B83" s="58"/>
      <c r="C83" s="49"/>
      <c r="D83" s="49"/>
    </row>
    <row r="84" ht="15.75" customHeight="1">
      <c r="A84" s="31"/>
      <c r="B84" s="58"/>
      <c r="C84" s="49"/>
      <c r="D84" s="49"/>
    </row>
    <row r="85" ht="15.75" customHeight="1">
      <c r="A85" s="31"/>
      <c r="B85" s="58"/>
      <c r="C85" s="49"/>
      <c r="D85" s="49"/>
    </row>
    <row r="86" ht="15.75" customHeight="1">
      <c r="A86" s="31"/>
      <c r="B86" s="58"/>
      <c r="C86" s="49"/>
      <c r="D86" s="49"/>
    </row>
    <row r="87" ht="15.75" customHeight="1">
      <c r="A87" s="31"/>
      <c r="B87" s="58"/>
      <c r="C87" s="49"/>
      <c r="D87" s="49"/>
    </row>
    <row r="88" ht="15.75" customHeight="1">
      <c r="A88" s="31"/>
      <c r="B88" s="58"/>
      <c r="C88" s="49"/>
      <c r="D88" s="49"/>
    </row>
    <row r="89" ht="15.75" customHeight="1">
      <c r="A89" s="31"/>
      <c r="B89" s="58"/>
      <c r="C89" s="49"/>
      <c r="D89" s="49"/>
    </row>
    <row r="90" ht="15.75" customHeight="1">
      <c r="A90" s="31"/>
      <c r="B90" s="58"/>
      <c r="C90" s="49"/>
      <c r="D90" s="49"/>
    </row>
    <row r="91" ht="15.75" customHeight="1">
      <c r="A91" s="31"/>
      <c r="B91" s="58"/>
      <c r="C91" s="49"/>
      <c r="D91" s="49"/>
    </row>
    <row r="92" ht="15.75" customHeight="1">
      <c r="A92" s="31"/>
      <c r="B92" s="58"/>
      <c r="C92" s="49"/>
      <c r="D92" s="49"/>
    </row>
    <row r="93" ht="15.75" customHeight="1">
      <c r="A93" s="31"/>
      <c r="B93" s="58"/>
      <c r="C93" s="49"/>
      <c r="D93" s="49"/>
    </row>
    <row r="94" ht="15.75" customHeight="1">
      <c r="A94" s="31"/>
      <c r="B94" s="58"/>
      <c r="C94" s="49"/>
      <c r="D94" s="49"/>
    </row>
    <row r="95" ht="15.75" customHeight="1">
      <c r="A95" s="31"/>
      <c r="B95" s="58"/>
      <c r="C95" s="49"/>
      <c r="D95" s="49"/>
    </row>
    <row r="96" ht="15.75" customHeight="1">
      <c r="A96" s="31"/>
      <c r="B96" s="58"/>
      <c r="C96" s="49"/>
      <c r="D96" s="49"/>
    </row>
    <row r="97" ht="15.75" customHeight="1">
      <c r="A97" s="31"/>
      <c r="B97" s="58"/>
      <c r="C97" s="49"/>
      <c r="D97" s="49"/>
    </row>
    <row r="98" ht="15.75" customHeight="1">
      <c r="A98" s="31"/>
      <c r="B98" s="58"/>
      <c r="C98" s="49"/>
      <c r="D98" s="49"/>
    </row>
    <row r="99" ht="15.75" customHeight="1">
      <c r="A99" s="31"/>
      <c r="B99" s="58"/>
      <c r="C99" s="49"/>
      <c r="D99" s="49"/>
    </row>
    <row r="100" ht="15.75" customHeight="1">
      <c r="A100" s="31"/>
      <c r="B100" s="58"/>
      <c r="C100" s="49"/>
      <c r="D100" s="49"/>
    </row>
    <row r="101" ht="15.75" customHeight="1">
      <c r="A101" s="31"/>
      <c r="B101" s="58"/>
      <c r="C101" s="49"/>
      <c r="D101" s="49"/>
    </row>
    <row r="102" ht="15.75" customHeight="1">
      <c r="A102" s="31"/>
      <c r="B102" s="58"/>
      <c r="C102" s="49"/>
      <c r="D102" s="49"/>
    </row>
    <row r="103" ht="15.75" customHeight="1">
      <c r="A103" s="31"/>
      <c r="B103" s="58"/>
      <c r="C103" s="49"/>
      <c r="D103" s="49"/>
    </row>
    <row r="104" ht="15.75" customHeight="1">
      <c r="A104" s="31"/>
      <c r="B104" s="58"/>
      <c r="C104" s="49"/>
      <c r="D104" s="49"/>
    </row>
    <row r="105" ht="15.75" customHeight="1">
      <c r="A105" s="31"/>
      <c r="B105" s="58"/>
      <c r="C105" s="49"/>
      <c r="D105" s="49"/>
    </row>
    <row r="106" ht="15.75" customHeight="1">
      <c r="A106" s="31"/>
      <c r="B106" s="58"/>
      <c r="C106" s="49"/>
      <c r="D106" s="49"/>
    </row>
    <row r="107" ht="15.75" customHeight="1">
      <c r="A107" s="31"/>
      <c r="B107" s="58"/>
      <c r="C107" s="49"/>
      <c r="D107" s="49"/>
    </row>
    <row r="108" ht="15.75" customHeight="1">
      <c r="A108" s="31"/>
      <c r="B108" s="58"/>
      <c r="C108" s="49"/>
      <c r="D108" s="49"/>
    </row>
    <row r="109" ht="15.75" customHeight="1">
      <c r="A109" s="31"/>
      <c r="B109" s="58"/>
      <c r="C109" s="49"/>
      <c r="D109" s="49"/>
    </row>
    <row r="110" ht="15.75" customHeight="1">
      <c r="A110" s="31"/>
      <c r="B110" s="58"/>
      <c r="C110" s="49"/>
      <c r="D110" s="49"/>
    </row>
    <row r="111" ht="15.75" customHeight="1">
      <c r="A111" s="31"/>
      <c r="B111" s="58"/>
      <c r="C111" s="49"/>
      <c r="D111" s="49"/>
    </row>
    <row r="112" ht="15.75" customHeight="1">
      <c r="A112" s="31"/>
      <c r="B112" s="58"/>
      <c r="C112" s="49"/>
      <c r="D112" s="49"/>
    </row>
    <row r="113" ht="15.75" customHeight="1">
      <c r="A113" s="31"/>
      <c r="B113" s="58"/>
      <c r="C113" s="49"/>
      <c r="D113" s="49"/>
    </row>
    <row r="114" ht="15.75" customHeight="1">
      <c r="A114" s="31"/>
      <c r="B114" s="58"/>
      <c r="C114" s="49"/>
      <c r="D114" s="49"/>
    </row>
    <row r="115" ht="15.75" customHeight="1">
      <c r="A115" s="31"/>
      <c r="B115" s="58"/>
      <c r="C115" s="49"/>
      <c r="D115" s="49"/>
    </row>
    <row r="116" ht="15.75" customHeight="1">
      <c r="A116" s="31"/>
      <c r="B116" s="58"/>
      <c r="C116" s="49"/>
      <c r="D116" s="49"/>
    </row>
    <row r="117" ht="15.75" customHeight="1">
      <c r="A117" s="31"/>
      <c r="B117" s="58"/>
      <c r="C117" s="49"/>
      <c r="D117" s="49"/>
    </row>
    <row r="118" ht="15.75" customHeight="1">
      <c r="A118" s="31"/>
      <c r="B118" s="58"/>
      <c r="C118" s="49"/>
      <c r="D118" s="49"/>
    </row>
    <row r="119" ht="15.75" customHeight="1">
      <c r="A119" s="31"/>
      <c r="B119" s="58"/>
      <c r="C119" s="49"/>
      <c r="D119" s="49"/>
    </row>
    <row r="120" ht="15.75" customHeight="1">
      <c r="A120" s="31"/>
      <c r="B120" s="58"/>
      <c r="C120" s="49"/>
      <c r="D120" s="49"/>
    </row>
    <row r="121" ht="15.75" customHeight="1">
      <c r="A121" s="31"/>
      <c r="B121" s="58"/>
      <c r="C121" s="49"/>
      <c r="D121" s="49"/>
    </row>
    <row r="122" ht="15.75" customHeight="1">
      <c r="A122" s="31"/>
      <c r="B122" s="58"/>
      <c r="C122" s="49"/>
      <c r="D122" s="49"/>
    </row>
    <row r="123" ht="15.75" customHeight="1">
      <c r="A123" s="31"/>
      <c r="B123" s="58"/>
      <c r="C123" s="49"/>
      <c r="D123" s="49"/>
    </row>
    <row r="124" ht="15.75" customHeight="1">
      <c r="A124" s="31"/>
      <c r="B124" s="58"/>
      <c r="C124" s="49"/>
      <c r="D124" s="49"/>
    </row>
    <row r="125" ht="15.75" customHeight="1">
      <c r="A125" s="31"/>
      <c r="B125" s="58"/>
      <c r="C125" s="49"/>
      <c r="D125" s="49"/>
    </row>
    <row r="126" ht="15.75" customHeight="1">
      <c r="A126" s="31"/>
      <c r="B126" s="58"/>
      <c r="C126" s="49"/>
      <c r="D126" s="49"/>
    </row>
    <row r="127" ht="15.75" customHeight="1">
      <c r="A127" s="31"/>
      <c r="B127" s="58"/>
      <c r="C127" s="49"/>
      <c r="D127" s="49"/>
    </row>
    <row r="128" ht="15.75" customHeight="1">
      <c r="A128" s="31"/>
      <c r="B128" s="58"/>
      <c r="C128" s="49"/>
      <c r="D128" s="49"/>
    </row>
    <row r="129" ht="15.75" customHeight="1">
      <c r="A129" s="31"/>
      <c r="B129" s="58"/>
      <c r="C129" s="49"/>
      <c r="D129" s="49"/>
    </row>
    <row r="130" ht="15.75" customHeight="1">
      <c r="A130" s="31"/>
      <c r="B130" s="58"/>
      <c r="C130" s="49"/>
      <c r="D130" s="49"/>
    </row>
    <row r="131" ht="15.75" customHeight="1">
      <c r="A131" s="31"/>
      <c r="B131" s="58"/>
      <c r="C131" s="49"/>
      <c r="D131" s="49"/>
    </row>
    <row r="132" ht="15.75" customHeight="1">
      <c r="A132" s="31"/>
      <c r="B132" s="58"/>
      <c r="C132" s="49"/>
      <c r="D132" s="49"/>
    </row>
    <row r="133" ht="15.75" customHeight="1">
      <c r="A133" s="31"/>
      <c r="B133" s="58"/>
      <c r="C133" s="49"/>
      <c r="D133" s="49"/>
    </row>
    <row r="134" ht="15.75" customHeight="1">
      <c r="A134" s="31"/>
      <c r="B134" s="58"/>
      <c r="C134" s="49"/>
      <c r="D134" s="49"/>
    </row>
    <row r="135" ht="15.75" customHeight="1">
      <c r="A135" s="31"/>
      <c r="B135" s="58"/>
      <c r="C135" s="49"/>
      <c r="D135" s="49"/>
    </row>
    <row r="136" ht="15.75" customHeight="1">
      <c r="A136" s="31"/>
      <c r="B136" s="58"/>
      <c r="C136" s="49"/>
      <c r="D136" s="49"/>
    </row>
    <row r="137" ht="15.75" customHeight="1">
      <c r="A137" s="31"/>
      <c r="B137" s="58"/>
      <c r="C137" s="49"/>
      <c r="D137" s="49"/>
    </row>
    <row r="138" ht="15.75" customHeight="1">
      <c r="A138" s="31"/>
      <c r="B138" s="58"/>
      <c r="C138" s="49"/>
      <c r="D138" s="49"/>
    </row>
    <row r="139" ht="15.75" customHeight="1">
      <c r="A139" s="31"/>
      <c r="B139" s="58"/>
      <c r="C139" s="49"/>
      <c r="D139" s="49"/>
    </row>
    <row r="140" ht="15.75" customHeight="1">
      <c r="A140" s="31"/>
      <c r="B140" s="58"/>
      <c r="C140" s="49"/>
      <c r="D140" s="49"/>
    </row>
    <row r="141" ht="15.75" customHeight="1">
      <c r="A141" s="31"/>
      <c r="B141" s="58"/>
      <c r="C141" s="49"/>
      <c r="D141" s="49"/>
    </row>
    <row r="142" ht="15.75" customHeight="1">
      <c r="A142" s="31"/>
      <c r="B142" s="58"/>
      <c r="C142" s="49"/>
      <c r="D142" s="49"/>
    </row>
    <row r="143" ht="15.75" customHeight="1">
      <c r="A143" s="31"/>
      <c r="B143" s="58"/>
      <c r="C143" s="49"/>
      <c r="D143" s="49"/>
    </row>
    <row r="144" ht="15.75" customHeight="1">
      <c r="A144" s="31"/>
      <c r="B144" s="58"/>
      <c r="C144" s="49"/>
      <c r="D144" s="49"/>
    </row>
    <row r="145" ht="15.75" customHeight="1">
      <c r="A145" s="31"/>
      <c r="B145" s="58"/>
      <c r="C145" s="49"/>
      <c r="D145" s="49"/>
    </row>
    <row r="146" ht="15.75" customHeight="1">
      <c r="A146" s="31"/>
      <c r="B146" s="58"/>
      <c r="C146" s="49"/>
      <c r="D146" s="49"/>
    </row>
    <row r="147" ht="15.75" customHeight="1">
      <c r="A147" s="31"/>
      <c r="B147" s="58"/>
      <c r="C147" s="49"/>
      <c r="D147" s="49"/>
    </row>
    <row r="148" ht="15.75" customHeight="1">
      <c r="A148" s="31"/>
      <c r="B148" s="58"/>
      <c r="C148" s="49"/>
      <c r="D148" s="49"/>
    </row>
    <row r="149" ht="15.75" customHeight="1">
      <c r="A149" s="31"/>
      <c r="B149" s="58"/>
      <c r="C149" s="49"/>
      <c r="D149" s="49"/>
    </row>
    <row r="150" ht="15.75" customHeight="1">
      <c r="A150" s="31"/>
      <c r="B150" s="58"/>
      <c r="C150" s="49"/>
      <c r="D150" s="49"/>
    </row>
    <row r="151" ht="15.75" customHeight="1">
      <c r="A151" s="31"/>
      <c r="B151" s="58"/>
      <c r="C151" s="49"/>
      <c r="D151" s="49"/>
    </row>
    <row r="152" ht="15.75" customHeight="1">
      <c r="A152" s="31"/>
      <c r="B152" s="58"/>
      <c r="C152" s="49"/>
      <c r="D152" s="49"/>
    </row>
    <row r="153" ht="15.75" customHeight="1">
      <c r="A153" s="31"/>
      <c r="B153" s="58"/>
      <c r="C153" s="49"/>
      <c r="D153" s="49"/>
    </row>
    <row r="154" ht="15.75" customHeight="1">
      <c r="A154" s="31"/>
      <c r="B154" s="58"/>
      <c r="C154" s="49"/>
      <c r="D154" s="49"/>
    </row>
    <row r="155" ht="15.75" customHeight="1">
      <c r="A155" s="31"/>
      <c r="B155" s="58"/>
      <c r="C155" s="49"/>
      <c r="D155" s="49"/>
    </row>
    <row r="156" ht="15.75" customHeight="1">
      <c r="A156" s="31"/>
      <c r="B156" s="58"/>
      <c r="C156" s="49"/>
      <c r="D156" s="49"/>
    </row>
    <row r="157" ht="15.75" customHeight="1">
      <c r="A157" s="31"/>
      <c r="B157" s="58"/>
      <c r="C157" s="49"/>
      <c r="D157" s="49"/>
    </row>
    <row r="158" ht="15.75" customHeight="1">
      <c r="A158" s="31"/>
      <c r="B158" s="58"/>
      <c r="C158" s="49"/>
      <c r="D158" s="49"/>
    </row>
    <row r="159" ht="15.75" customHeight="1">
      <c r="A159" s="31"/>
      <c r="B159" s="58"/>
      <c r="C159" s="49"/>
      <c r="D159" s="49"/>
    </row>
    <row r="160" ht="15.75" customHeight="1">
      <c r="A160" s="31"/>
      <c r="B160" s="58"/>
      <c r="C160" s="49"/>
      <c r="D160" s="49"/>
    </row>
    <row r="161" ht="15.75" customHeight="1">
      <c r="A161" s="31"/>
      <c r="B161" s="58"/>
      <c r="C161" s="49"/>
      <c r="D161" s="49"/>
    </row>
    <row r="162" ht="15.75" customHeight="1">
      <c r="A162" s="31"/>
      <c r="B162" s="58"/>
      <c r="C162" s="49"/>
      <c r="D162" s="49"/>
    </row>
    <row r="163" ht="15.75" customHeight="1">
      <c r="A163" s="31"/>
      <c r="B163" s="58"/>
      <c r="C163" s="49"/>
      <c r="D163" s="49"/>
    </row>
    <row r="164" ht="15.75" customHeight="1">
      <c r="A164" s="31"/>
      <c r="B164" s="58"/>
      <c r="C164" s="49"/>
      <c r="D164" s="49"/>
    </row>
    <row r="165" ht="15.75" customHeight="1">
      <c r="A165" s="31"/>
      <c r="B165" s="58"/>
      <c r="C165" s="49"/>
      <c r="D165" s="49"/>
    </row>
    <row r="166" ht="15.75" customHeight="1">
      <c r="A166" s="31"/>
      <c r="B166" s="58"/>
      <c r="C166" s="49"/>
      <c r="D166" s="49"/>
    </row>
    <row r="167" ht="15.75" customHeight="1">
      <c r="A167" s="31"/>
      <c r="B167" s="58"/>
      <c r="C167" s="49"/>
      <c r="D167" s="49"/>
    </row>
    <row r="168" ht="15.75" customHeight="1">
      <c r="A168" s="31"/>
      <c r="B168" s="58"/>
      <c r="C168" s="49"/>
      <c r="D168" s="49"/>
    </row>
    <row r="169" ht="15.75" customHeight="1">
      <c r="A169" s="31"/>
      <c r="B169" s="58"/>
      <c r="C169" s="49"/>
      <c r="D169" s="49"/>
    </row>
    <row r="170" ht="15.75" customHeight="1">
      <c r="A170" s="31"/>
      <c r="B170" s="58"/>
      <c r="C170" s="49"/>
      <c r="D170" s="49"/>
    </row>
    <row r="171" ht="15.75" customHeight="1">
      <c r="A171" s="31"/>
      <c r="B171" s="58"/>
      <c r="C171" s="49"/>
      <c r="D171" s="49"/>
    </row>
    <row r="172" ht="15.75" customHeight="1">
      <c r="A172" s="31"/>
      <c r="B172" s="58"/>
      <c r="C172" s="49"/>
      <c r="D172" s="49"/>
    </row>
    <row r="173" ht="15.75" customHeight="1">
      <c r="A173" s="31"/>
      <c r="B173" s="58"/>
      <c r="C173" s="49"/>
      <c r="D173" s="49"/>
    </row>
    <row r="174" ht="15.75" customHeight="1">
      <c r="A174" s="31"/>
      <c r="B174" s="58"/>
      <c r="C174" s="49"/>
      <c r="D174" s="49"/>
    </row>
    <row r="175" ht="15.75" customHeight="1">
      <c r="A175" s="31"/>
      <c r="B175" s="58"/>
      <c r="C175" s="49"/>
      <c r="D175" s="49"/>
    </row>
    <row r="176" ht="15.75" customHeight="1">
      <c r="A176" s="31"/>
      <c r="B176" s="58"/>
      <c r="C176" s="49"/>
      <c r="D176" s="49"/>
    </row>
    <row r="177" ht="15.75" customHeight="1">
      <c r="A177" s="31"/>
      <c r="B177" s="58"/>
      <c r="C177" s="49"/>
      <c r="D177" s="49"/>
    </row>
    <row r="178" ht="15.75" customHeight="1">
      <c r="A178" s="31"/>
      <c r="B178" s="58"/>
      <c r="C178" s="49"/>
      <c r="D178" s="49"/>
    </row>
    <row r="179" ht="15.75" customHeight="1">
      <c r="A179" s="31"/>
      <c r="B179" s="58"/>
      <c r="C179" s="49"/>
      <c r="D179" s="49"/>
    </row>
    <row r="180" ht="15.75" customHeight="1">
      <c r="A180" s="31"/>
      <c r="B180" s="58"/>
      <c r="C180" s="49"/>
      <c r="D180" s="49"/>
    </row>
    <row r="181" ht="15.75" customHeight="1">
      <c r="A181" s="31"/>
      <c r="B181" s="58"/>
      <c r="C181" s="49"/>
      <c r="D181" s="49"/>
    </row>
    <row r="182" ht="15.75" customHeight="1">
      <c r="A182" s="31"/>
      <c r="B182" s="58"/>
      <c r="C182" s="49"/>
      <c r="D182" s="49"/>
    </row>
    <row r="183" ht="15.75" customHeight="1">
      <c r="A183" s="31"/>
      <c r="B183" s="58"/>
      <c r="C183" s="49"/>
      <c r="D183" s="49"/>
    </row>
    <row r="184" ht="15.75" customHeight="1">
      <c r="A184" s="31"/>
      <c r="B184" s="58"/>
      <c r="C184" s="49"/>
      <c r="D184" s="49"/>
    </row>
    <row r="185" ht="15.75" customHeight="1">
      <c r="A185" s="31"/>
      <c r="B185" s="58"/>
      <c r="C185" s="49"/>
      <c r="D185" s="49"/>
    </row>
    <row r="186" ht="15.75" customHeight="1">
      <c r="A186" s="31"/>
      <c r="B186" s="58"/>
      <c r="C186" s="49"/>
      <c r="D186" s="49"/>
    </row>
    <row r="187" ht="15.75" customHeight="1">
      <c r="A187" s="31"/>
      <c r="B187" s="58"/>
      <c r="C187" s="49"/>
      <c r="D187" s="49"/>
    </row>
    <row r="188" ht="15.75" customHeight="1">
      <c r="A188" s="31"/>
      <c r="B188" s="58"/>
      <c r="C188" s="49"/>
      <c r="D188" s="49"/>
    </row>
    <row r="189" ht="15.75" customHeight="1">
      <c r="A189" s="31"/>
      <c r="B189" s="58"/>
      <c r="C189" s="49"/>
      <c r="D189" s="49"/>
    </row>
    <row r="190" ht="15.75" customHeight="1">
      <c r="A190" s="31"/>
      <c r="B190" s="58"/>
      <c r="C190" s="49"/>
      <c r="D190" s="49"/>
    </row>
    <row r="191" ht="15.75" customHeight="1">
      <c r="A191" s="31"/>
      <c r="B191" s="58"/>
      <c r="C191" s="49"/>
      <c r="D191" s="49"/>
    </row>
    <row r="192" ht="15.75" customHeight="1">
      <c r="A192" s="31"/>
      <c r="B192" s="58"/>
      <c r="C192" s="49"/>
      <c r="D192" s="49"/>
    </row>
    <row r="193" ht="15.75" customHeight="1">
      <c r="A193" s="31"/>
      <c r="B193" s="58"/>
      <c r="C193" s="49"/>
      <c r="D193" s="49"/>
    </row>
    <row r="194" ht="15.75" customHeight="1">
      <c r="A194" s="31"/>
      <c r="B194" s="58"/>
      <c r="C194" s="49"/>
      <c r="D194" s="49"/>
    </row>
    <row r="195" ht="15.75" customHeight="1">
      <c r="A195" s="31"/>
      <c r="B195" s="58"/>
      <c r="C195" s="49"/>
      <c r="D195" s="49"/>
    </row>
    <row r="196" ht="15.75" customHeight="1">
      <c r="A196" s="31"/>
      <c r="B196" s="58"/>
      <c r="C196" s="49"/>
      <c r="D196" s="49"/>
    </row>
    <row r="197" ht="15.75" customHeight="1">
      <c r="A197" s="31"/>
      <c r="B197" s="58"/>
      <c r="C197" s="49"/>
      <c r="D197" s="49"/>
    </row>
    <row r="198" ht="15.75" customHeight="1">
      <c r="A198" s="31"/>
      <c r="B198" s="58"/>
      <c r="C198" s="49"/>
      <c r="D198" s="49"/>
    </row>
    <row r="199" ht="15.75" customHeight="1">
      <c r="A199" s="31"/>
      <c r="B199" s="58"/>
      <c r="C199" s="49"/>
      <c r="D199" s="49"/>
    </row>
    <row r="200" ht="15.75" customHeight="1">
      <c r="A200" s="31"/>
      <c r="B200" s="58"/>
      <c r="C200" s="49"/>
      <c r="D200" s="49"/>
    </row>
    <row r="201" ht="15.75" customHeight="1">
      <c r="A201" s="31"/>
      <c r="B201" s="58"/>
      <c r="C201" s="49"/>
      <c r="D201" s="49"/>
    </row>
    <row r="202" ht="15.75" customHeight="1">
      <c r="A202" s="31"/>
      <c r="B202" s="58"/>
      <c r="C202" s="49"/>
      <c r="D202" s="49"/>
    </row>
    <row r="203" ht="15.75" customHeight="1">
      <c r="A203" s="31"/>
      <c r="B203" s="58"/>
      <c r="C203" s="49"/>
      <c r="D203" s="49"/>
    </row>
    <row r="204" ht="15.75" customHeight="1">
      <c r="A204" s="31"/>
      <c r="B204" s="58"/>
      <c r="C204" s="49"/>
      <c r="D204" s="49"/>
    </row>
    <row r="205" ht="15.75" customHeight="1">
      <c r="A205" s="31"/>
      <c r="B205" s="58"/>
      <c r="C205" s="49"/>
      <c r="D205" s="49"/>
    </row>
    <row r="206" ht="15.75" customHeight="1">
      <c r="A206" s="31"/>
      <c r="B206" s="58"/>
      <c r="C206" s="49"/>
      <c r="D206" s="49"/>
    </row>
    <row r="207" ht="15.75" customHeight="1">
      <c r="A207" s="31"/>
      <c r="B207" s="58"/>
      <c r="C207" s="49"/>
      <c r="D207" s="49"/>
    </row>
    <row r="208" ht="15.75" customHeight="1">
      <c r="A208" s="31"/>
      <c r="B208" s="58"/>
      <c r="C208" s="49"/>
      <c r="D208" s="49"/>
    </row>
    <row r="209" ht="15.75" customHeight="1">
      <c r="A209" s="31"/>
      <c r="B209" s="58"/>
      <c r="C209" s="49"/>
      <c r="D209" s="49"/>
    </row>
    <row r="210" ht="15.75" customHeight="1">
      <c r="A210" s="31"/>
      <c r="B210" s="58"/>
      <c r="C210" s="49"/>
      <c r="D210" s="49"/>
    </row>
    <row r="211" ht="15.75" customHeight="1">
      <c r="A211" s="31"/>
      <c r="B211" s="58"/>
      <c r="C211" s="49"/>
      <c r="D211" s="49"/>
    </row>
    <row r="212" ht="15.75" customHeight="1">
      <c r="A212" s="31"/>
      <c r="B212" s="58"/>
      <c r="C212" s="49"/>
      <c r="D212" s="49"/>
    </row>
    <row r="213" ht="15.75" customHeight="1">
      <c r="A213" s="31"/>
      <c r="B213" s="58"/>
      <c r="C213" s="49"/>
      <c r="D213" s="49"/>
    </row>
    <row r="214" ht="15.75" customHeight="1">
      <c r="A214" s="31"/>
      <c r="B214" s="58"/>
      <c r="C214" s="49"/>
      <c r="D214" s="49"/>
    </row>
    <row r="215" ht="15.75" customHeight="1">
      <c r="A215" s="31"/>
      <c r="B215" s="58"/>
      <c r="C215" s="49"/>
      <c r="D215" s="49"/>
    </row>
    <row r="216" ht="15.75" customHeight="1">
      <c r="A216" s="31"/>
      <c r="B216" s="58"/>
      <c r="C216" s="49"/>
      <c r="D216" s="49"/>
    </row>
    <row r="217" ht="15.75" customHeight="1">
      <c r="A217" s="31"/>
      <c r="B217" s="58"/>
      <c r="C217" s="49"/>
      <c r="D217" s="49"/>
    </row>
    <row r="218" ht="15.75" customHeight="1">
      <c r="A218" s="31"/>
      <c r="B218" s="58"/>
      <c r="C218" s="49"/>
      <c r="D218" s="49"/>
    </row>
    <row r="219" ht="15.75" customHeight="1">
      <c r="A219" s="31"/>
      <c r="B219" s="58"/>
      <c r="C219" s="49"/>
      <c r="D219" s="49"/>
    </row>
    <row r="220" ht="15.75" customHeight="1">
      <c r="A220" s="31"/>
      <c r="B220" s="58"/>
      <c r="C220" s="49"/>
      <c r="D220" s="49"/>
    </row>
    <row r="221" ht="15.75" customHeight="1">
      <c r="A221" s="55"/>
    </row>
    <row r="222" ht="15.75" customHeight="1">
      <c r="A222" s="55"/>
    </row>
    <row r="223" ht="15.75" customHeight="1">
      <c r="A223" s="55"/>
    </row>
    <row r="224" ht="15.75" customHeight="1">
      <c r="A224" s="55"/>
    </row>
    <row r="225" ht="15.75" customHeight="1">
      <c r="A225" s="55"/>
    </row>
    <row r="226" ht="15.75" customHeight="1">
      <c r="A226" s="55"/>
    </row>
    <row r="227" ht="15.75" customHeight="1">
      <c r="A227" s="55"/>
    </row>
    <row r="228" ht="15.75" customHeight="1">
      <c r="A228" s="55"/>
    </row>
    <row r="229" ht="15.75" customHeight="1">
      <c r="A229" s="55"/>
    </row>
    <row r="230" ht="15.75" customHeight="1">
      <c r="A230" s="55"/>
    </row>
    <row r="231" ht="15.75" customHeight="1">
      <c r="A231" s="55"/>
    </row>
    <row r="232" ht="15.75" customHeight="1">
      <c r="A232" s="55"/>
    </row>
    <row r="233" ht="15.75" customHeight="1">
      <c r="A233" s="55"/>
    </row>
    <row r="234" ht="15.75" customHeight="1">
      <c r="A234" s="55"/>
    </row>
    <row r="235" ht="15.75" customHeight="1">
      <c r="A235" s="55"/>
    </row>
    <row r="236" ht="15.75" customHeight="1">
      <c r="A236" s="55"/>
    </row>
    <row r="237" ht="15.75" customHeight="1">
      <c r="A237" s="55"/>
    </row>
    <row r="238" ht="15.75" customHeight="1">
      <c r="A238" s="55"/>
    </row>
    <row r="239" ht="15.75" customHeight="1">
      <c r="A239" s="55"/>
    </row>
    <row r="240" ht="15.75" customHeight="1">
      <c r="A240" s="55"/>
    </row>
    <row r="241" ht="15.75" customHeight="1">
      <c r="A241" s="55"/>
    </row>
    <row r="242" ht="15.75" customHeight="1">
      <c r="A242" s="55"/>
    </row>
    <row r="243" ht="15.75" customHeight="1">
      <c r="A243" s="55"/>
    </row>
    <row r="244" ht="15.75" customHeight="1">
      <c r="A244" s="55"/>
    </row>
    <row r="245" ht="15.75" customHeight="1">
      <c r="A245" s="55"/>
    </row>
    <row r="246" ht="15.75" customHeight="1">
      <c r="A246" s="55"/>
    </row>
    <row r="247" ht="15.75" customHeight="1">
      <c r="A247" s="55"/>
    </row>
    <row r="248" ht="15.75" customHeight="1">
      <c r="A248" s="55"/>
    </row>
    <row r="249" ht="15.75" customHeight="1">
      <c r="A249" s="55"/>
    </row>
    <row r="250" ht="15.75" customHeight="1">
      <c r="A250" s="55"/>
    </row>
    <row r="251" ht="15.75" customHeight="1">
      <c r="A251" s="55"/>
    </row>
    <row r="252" ht="15.75" customHeight="1">
      <c r="A252" s="55"/>
    </row>
    <row r="253" ht="15.75" customHeight="1">
      <c r="A253" s="55"/>
    </row>
    <row r="254" ht="15.75" customHeight="1">
      <c r="A254" s="55"/>
    </row>
    <row r="255" ht="15.75" customHeight="1">
      <c r="A255" s="55"/>
    </row>
    <row r="256" ht="15.75" customHeight="1">
      <c r="A256" s="55"/>
    </row>
    <row r="257" ht="15.75" customHeight="1">
      <c r="A257" s="55"/>
    </row>
    <row r="258" ht="15.75" customHeight="1">
      <c r="A258" s="55"/>
    </row>
    <row r="259" ht="15.75" customHeight="1">
      <c r="A259" s="55"/>
    </row>
    <row r="260" ht="15.75" customHeight="1">
      <c r="A260" s="55"/>
    </row>
    <row r="261" ht="15.75" customHeight="1">
      <c r="A261" s="55"/>
    </row>
    <row r="262" ht="15.75" customHeight="1">
      <c r="A262" s="55"/>
    </row>
    <row r="263" ht="15.75" customHeight="1">
      <c r="A263" s="55"/>
    </row>
    <row r="264" ht="15.75" customHeight="1">
      <c r="A264" s="55"/>
    </row>
    <row r="265" ht="15.75" customHeight="1">
      <c r="A265" s="55"/>
    </row>
    <row r="266" ht="15.75" customHeight="1">
      <c r="A266" s="55"/>
    </row>
    <row r="267" ht="15.75" customHeight="1">
      <c r="A267" s="55"/>
    </row>
    <row r="268" ht="15.75" customHeight="1">
      <c r="A268" s="55"/>
    </row>
    <row r="269" ht="15.75" customHeight="1">
      <c r="A269" s="55"/>
    </row>
    <row r="270" ht="15.75" customHeight="1">
      <c r="A270" s="55"/>
    </row>
    <row r="271" ht="15.75" customHeight="1">
      <c r="A271" s="55"/>
    </row>
    <row r="272" ht="15.75" customHeight="1">
      <c r="A272" s="55"/>
    </row>
    <row r="273" ht="15.75" customHeight="1">
      <c r="A273" s="55"/>
    </row>
    <row r="274" ht="15.75" customHeight="1">
      <c r="A274" s="55"/>
    </row>
    <row r="275" ht="15.75" customHeight="1">
      <c r="A275" s="55"/>
    </row>
    <row r="276" ht="15.75" customHeight="1">
      <c r="A276" s="55"/>
    </row>
    <row r="277" ht="15.75" customHeight="1">
      <c r="A277" s="55"/>
    </row>
    <row r="278" ht="15.75" customHeight="1">
      <c r="A278" s="55"/>
    </row>
    <row r="279" ht="15.75" customHeight="1">
      <c r="A279" s="55"/>
    </row>
    <row r="280" ht="15.75" customHeight="1">
      <c r="A280" s="55"/>
    </row>
    <row r="281" ht="15.75" customHeight="1">
      <c r="A281" s="55"/>
    </row>
    <row r="282" ht="15.75" customHeight="1">
      <c r="A282" s="55"/>
    </row>
    <row r="283" ht="15.75" customHeight="1">
      <c r="A283" s="55"/>
    </row>
    <row r="284" ht="15.75" customHeight="1">
      <c r="A284" s="55"/>
    </row>
    <row r="285" ht="15.75" customHeight="1">
      <c r="A285" s="55"/>
    </row>
    <row r="286" ht="15.75" customHeight="1">
      <c r="A286" s="55"/>
    </row>
    <row r="287" ht="15.75" customHeight="1">
      <c r="A287" s="55"/>
    </row>
    <row r="288" ht="15.75" customHeight="1">
      <c r="A288" s="55"/>
    </row>
    <row r="289" ht="15.75" customHeight="1">
      <c r="A289" s="55"/>
    </row>
    <row r="290" ht="15.75" customHeight="1">
      <c r="A290" s="55"/>
    </row>
    <row r="291" ht="15.75" customHeight="1">
      <c r="A291" s="55"/>
    </row>
    <row r="292" ht="15.75" customHeight="1">
      <c r="A292" s="55"/>
    </row>
    <row r="293" ht="15.75" customHeight="1">
      <c r="A293" s="55"/>
    </row>
    <row r="294" ht="15.75" customHeight="1">
      <c r="A294" s="55"/>
    </row>
    <row r="295" ht="15.75" customHeight="1">
      <c r="A295" s="55"/>
    </row>
    <row r="296" ht="15.75" customHeight="1">
      <c r="A296" s="55"/>
    </row>
    <row r="297" ht="15.75" customHeight="1">
      <c r="A297" s="55"/>
    </row>
    <row r="298" ht="15.75" customHeight="1">
      <c r="A298" s="55"/>
    </row>
    <row r="299" ht="15.75" customHeight="1">
      <c r="A299" s="55"/>
    </row>
    <row r="300" ht="15.75" customHeight="1">
      <c r="A300" s="55"/>
    </row>
    <row r="301" ht="15.75" customHeight="1">
      <c r="A301" s="55"/>
    </row>
    <row r="302" ht="15.75" customHeight="1">
      <c r="A302" s="55"/>
    </row>
    <row r="303" ht="15.75" customHeight="1">
      <c r="A303" s="55"/>
    </row>
    <row r="304" ht="15.75" customHeight="1">
      <c r="A304" s="55"/>
    </row>
    <row r="305" ht="15.75" customHeight="1">
      <c r="A305" s="55"/>
    </row>
    <row r="306" ht="15.75" customHeight="1">
      <c r="A306" s="55"/>
    </row>
    <row r="307" ht="15.75" customHeight="1">
      <c r="A307" s="55"/>
    </row>
    <row r="308" ht="15.75" customHeight="1">
      <c r="A308" s="55"/>
    </row>
    <row r="309" ht="15.75" customHeight="1">
      <c r="A309" s="55"/>
    </row>
    <row r="310" ht="15.75" customHeight="1">
      <c r="A310" s="55"/>
    </row>
    <row r="311" ht="15.75" customHeight="1">
      <c r="A311" s="55"/>
    </row>
    <row r="312" ht="15.75" customHeight="1">
      <c r="A312" s="55"/>
    </row>
    <row r="313" ht="15.75" customHeight="1">
      <c r="A313" s="55"/>
    </row>
    <row r="314" ht="15.75" customHeight="1">
      <c r="A314" s="55"/>
    </row>
    <row r="315" ht="15.75" customHeight="1">
      <c r="A315" s="55"/>
    </row>
    <row r="316" ht="15.75" customHeight="1">
      <c r="A316" s="55"/>
    </row>
    <row r="317" ht="15.75" customHeight="1">
      <c r="A317" s="55"/>
    </row>
    <row r="318" ht="15.75" customHeight="1">
      <c r="A318" s="55"/>
    </row>
    <row r="319" ht="15.75" customHeight="1">
      <c r="A319" s="55"/>
    </row>
    <row r="320" ht="15.75" customHeight="1">
      <c r="A320" s="55"/>
    </row>
    <row r="321" ht="15.75" customHeight="1">
      <c r="A321" s="55"/>
    </row>
    <row r="322" ht="15.75" customHeight="1">
      <c r="A322" s="55"/>
    </row>
    <row r="323" ht="15.75" customHeight="1">
      <c r="A323" s="55"/>
    </row>
    <row r="324" ht="15.75" customHeight="1">
      <c r="A324" s="55"/>
    </row>
    <row r="325" ht="15.75" customHeight="1">
      <c r="A325" s="55"/>
    </row>
    <row r="326" ht="15.75" customHeight="1">
      <c r="A326" s="55"/>
    </row>
    <row r="327" ht="15.75" customHeight="1">
      <c r="A327" s="55"/>
    </row>
    <row r="328" ht="15.75" customHeight="1">
      <c r="A328" s="55"/>
    </row>
    <row r="329" ht="15.75" customHeight="1">
      <c r="A329" s="55"/>
    </row>
    <row r="330" ht="15.75" customHeight="1">
      <c r="A330" s="55"/>
    </row>
    <row r="331" ht="15.75" customHeight="1">
      <c r="A331" s="55"/>
    </row>
    <row r="332" ht="15.75" customHeight="1">
      <c r="A332" s="55"/>
    </row>
    <row r="333" ht="15.75" customHeight="1">
      <c r="A333" s="55"/>
    </row>
    <row r="334" ht="15.75" customHeight="1">
      <c r="A334" s="55"/>
    </row>
    <row r="335" ht="15.75" customHeight="1">
      <c r="A335" s="55"/>
    </row>
    <row r="336" ht="15.75" customHeight="1">
      <c r="A336" s="55"/>
    </row>
    <row r="337" ht="15.75" customHeight="1">
      <c r="A337" s="55"/>
    </row>
    <row r="338" ht="15.75" customHeight="1">
      <c r="A338" s="55"/>
    </row>
    <row r="339" ht="15.75" customHeight="1">
      <c r="A339" s="55"/>
    </row>
    <row r="340" ht="15.75" customHeight="1">
      <c r="A340" s="55"/>
    </row>
    <row r="341" ht="15.75" customHeight="1">
      <c r="A341" s="55"/>
    </row>
    <row r="342" ht="15.75" customHeight="1">
      <c r="A342" s="55"/>
    </row>
    <row r="343" ht="15.75" customHeight="1">
      <c r="A343" s="55"/>
    </row>
    <row r="344" ht="15.75" customHeight="1">
      <c r="A344" s="55"/>
    </row>
    <row r="345" ht="15.75" customHeight="1">
      <c r="A345" s="55"/>
    </row>
    <row r="346" ht="15.75" customHeight="1">
      <c r="A346" s="55"/>
    </row>
    <row r="347" ht="15.75" customHeight="1">
      <c r="A347" s="55"/>
    </row>
    <row r="348" ht="15.75" customHeight="1">
      <c r="A348" s="55"/>
    </row>
    <row r="349" ht="15.75" customHeight="1">
      <c r="A349" s="55"/>
    </row>
    <row r="350" ht="15.75" customHeight="1">
      <c r="A350" s="55"/>
    </row>
    <row r="351" ht="15.75" customHeight="1">
      <c r="A351" s="55"/>
    </row>
    <row r="352" ht="15.75" customHeight="1">
      <c r="A352" s="55"/>
    </row>
    <row r="353" ht="15.75" customHeight="1">
      <c r="A353" s="55"/>
    </row>
    <row r="354" ht="15.75" customHeight="1">
      <c r="A354" s="55"/>
    </row>
    <row r="355" ht="15.75" customHeight="1">
      <c r="A355" s="55"/>
    </row>
    <row r="356" ht="15.75" customHeight="1">
      <c r="A356" s="55"/>
    </row>
    <row r="357" ht="15.75" customHeight="1">
      <c r="A357" s="55"/>
    </row>
    <row r="358" ht="15.75" customHeight="1">
      <c r="A358" s="55"/>
    </row>
    <row r="359" ht="15.75" customHeight="1">
      <c r="A359" s="55"/>
    </row>
    <row r="360" ht="15.75" customHeight="1">
      <c r="A360" s="55"/>
    </row>
    <row r="361" ht="15.75" customHeight="1">
      <c r="A361" s="55"/>
    </row>
    <row r="362" ht="15.75" customHeight="1">
      <c r="A362" s="55"/>
    </row>
    <row r="363" ht="15.75" customHeight="1">
      <c r="A363" s="55"/>
    </row>
    <row r="364" ht="15.75" customHeight="1">
      <c r="A364" s="55"/>
    </row>
    <row r="365" ht="15.75" customHeight="1">
      <c r="A365" s="55"/>
    </row>
    <row r="366" ht="15.75" customHeight="1">
      <c r="A366" s="55"/>
    </row>
    <row r="367" ht="15.75" customHeight="1">
      <c r="A367" s="55"/>
    </row>
    <row r="368" ht="15.75" customHeight="1">
      <c r="A368" s="55"/>
    </row>
    <row r="369" ht="15.75" customHeight="1">
      <c r="A369" s="55"/>
    </row>
    <row r="370" ht="15.75" customHeight="1">
      <c r="A370" s="55"/>
    </row>
    <row r="371" ht="15.75" customHeight="1">
      <c r="A371" s="55"/>
    </row>
    <row r="372" ht="15.75" customHeight="1">
      <c r="A372" s="55"/>
    </row>
    <row r="373" ht="15.75" customHeight="1">
      <c r="A373" s="55"/>
    </row>
    <row r="374" ht="15.75" customHeight="1">
      <c r="A374" s="55"/>
    </row>
    <row r="375" ht="15.75" customHeight="1">
      <c r="A375" s="55"/>
    </row>
    <row r="376" ht="15.75" customHeight="1">
      <c r="A376" s="55"/>
    </row>
    <row r="377" ht="15.75" customHeight="1">
      <c r="A377" s="55"/>
    </row>
    <row r="378" ht="15.75" customHeight="1">
      <c r="A378" s="55"/>
    </row>
    <row r="379" ht="15.75" customHeight="1">
      <c r="A379" s="55"/>
    </row>
    <row r="380" ht="15.75" customHeight="1">
      <c r="A380" s="55"/>
    </row>
    <row r="381" ht="15.75" customHeight="1">
      <c r="A381" s="55"/>
    </row>
    <row r="382" ht="15.75" customHeight="1">
      <c r="A382" s="55"/>
    </row>
    <row r="383" ht="15.75" customHeight="1">
      <c r="A383" s="55"/>
    </row>
    <row r="384" ht="15.75" customHeight="1">
      <c r="A384" s="55"/>
    </row>
    <row r="385" ht="15.75" customHeight="1">
      <c r="A385" s="55"/>
    </row>
    <row r="386" ht="15.75" customHeight="1">
      <c r="A386" s="55"/>
    </row>
    <row r="387" ht="15.75" customHeight="1">
      <c r="A387" s="55"/>
    </row>
    <row r="388" ht="15.75" customHeight="1">
      <c r="A388" s="55"/>
    </row>
    <row r="389" ht="15.75" customHeight="1">
      <c r="A389" s="55"/>
    </row>
    <row r="390" ht="15.75" customHeight="1">
      <c r="A390" s="55"/>
    </row>
    <row r="391" ht="15.75" customHeight="1">
      <c r="A391" s="55"/>
    </row>
    <row r="392" ht="15.75" customHeight="1">
      <c r="A392" s="55"/>
    </row>
    <row r="393" ht="15.75" customHeight="1">
      <c r="A393" s="55"/>
    </row>
    <row r="394" ht="15.75" customHeight="1">
      <c r="A394" s="55"/>
    </row>
    <row r="395" ht="15.75" customHeight="1">
      <c r="A395" s="55"/>
    </row>
    <row r="396" ht="15.75" customHeight="1">
      <c r="A396" s="55"/>
    </row>
    <row r="397" ht="15.75" customHeight="1">
      <c r="A397" s="55"/>
    </row>
    <row r="398" ht="15.75" customHeight="1">
      <c r="A398" s="55"/>
    </row>
    <row r="399" ht="15.75" customHeight="1">
      <c r="A399" s="55"/>
    </row>
    <row r="400" ht="15.75" customHeight="1">
      <c r="A400" s="55"/>
    </row>
    <row r="401" ht="15.75" customHeight="1">
      <c r="A401" s="55"/>
    </row>
    <row r="402" ht="15.75" customHeight="1">
      <c r="A402" s="55"/>
    </row>
    <row r="403" ht="15.75" customHeight="1">
      <c r="A403" s="55"/>
    </row>
    <row r="404" ht="15.75" customHeight="1">
      <c r="A404" s="55"/>
    </row>
    <row r="405" ht="15.75" customHeight="1">
      <c r="A405" s="55"/>
    </row>
    <row r="406" ht="15.75" customHeight="1">
      <c r="A406" s="55"/>
    </row>
    <row r="407" ht="15.75" customHeight="1">
      <c r="A407" s="55"/>
    </row>
    <row r="408" ht="15.75" customHeight="1">
      <c r="A408" s="55"/>
    </row>
    <row r="409" ht="15.75" customHeight="1">
      <c r="A409" s="55"/>
    </row>
    <row r="410" ht="15.75" customHeight="1">
      <c r="A410" s="55"/>
    </row>
    <row r="411" ht="15.75" customHeight="1">
      <c r="A411" s="55"/>
    </row>
    <row r="412" ht="15.75" customHeight="1">
      <c r="A412" s="55"/>
    </row>
    <row r="413" ht="15.75" customHeight="1">
      <c r="A413" s="55"/>
    </row>
    <row r="414" ht="15.75" customHeight="1">
      <c r="A414" s="55"/>
    </row>
    <row r="415" ht="15.75" customHeight="1">
      <c r="A415" s="55"/>
    </row>
    <row r="416" ht="15.75" customHeight="1">
      <c r="A416" s="55"/>
    </row>
    <row r="417" ht="15.75" customHeight="1">
      <c r="A417" s="55"/>
    </row>
    <row r="418" ht="15.75" customHeight="1">
      <c r="A418" s="55"/>
    </row>
    <row r="419" ht="15.75" customHeight="1">
      <c r="A419" s="55"/>
    </row>
    <row r="420" ht="15.75" customHeight="1">
      <c r="A420" s="55"/>
    </row>
    <row r="421" ht="15.75" customHeight="1">
      <c r="A421" s="55"/>
    </row>
    <row r="422" ht="15.75" customHeight="1">
      <c r="A422" s="55"/>
    </row>
    <row r="423" ht="15.75" customHeight="1">
      <c r="A423" s="55"/>
    </row>
    <row r="424" ht="15.75" customHeight="1">
      <c r="A424" s="55"/>
    </row>
    <row r="425" ht="15.75" customHeight="1">
      <c r="A425" s="55"/>
    </row>
    <row r="426" ht="15.75" customHeight="1">
      <c r="A426" s="55"/>
    </row>
    <row r="427" ht="15.75" customHeight="1">
      <c r="A427" s="55"/>
    </row>
    <row r="428" ht="15.75" customHeight="1">
      <c r="A428" s="55"/>
    </row>
    <row r="429" ht="15.75" customHeight="1">
      <c r="A429" s="55"/>
    </row>
    <row r="430" ht="15.75" customHeight="1">
      <c r="A430" s="55"/>
    </row>
    <row r="431" ht="15.75" customHeight="1">
      <c r="A431" s="55"/>
    </row>
    <row r="432" ht="15.75" customHeight="1">
      <c r="A432" s="55"/>
    </row>
    <row r="433" ht="15.75" customHeight="1">
      <c r="A433" s="55"/>
    </row>
    <row r="434" ht="15.75" customHeight="1">
      <c r="A434" s="55"/>
    </row>
    <row r="435" ht="15.75" customHeight="1">
      <c r="A435" s="55"/>
    </row>
    <row r="436" ht="15.75" customHeight="1">
      <c r="A436" s="55"/>
    </row>
    <row r="437" ht="15.75" customHeight="1">
      <c r="A437" s="55"/>
    </row>
    <row r="438" ht="15.75" customHeight="1">
      <c r="A438" s="55"/>
    </row>
    <row r="439" ht="15.75" customHeight="1">
      <c r="A439" s="55"/>
    </row>
    <row r="440" ht="15.75" customHeight="1">
      <c r="A440" s="55"/>
    </row>
    <row r="441" ht="15.75" customHeight="1">
      <c r="A441" s="55"/>
    </row>
    <row r="442" ht="15.75" customHeight="1">
      <c r="A442" s="55"/>
    </row>
    <row r="443" ht="15.75" customHeight="1">
      <c r="A443" s="55"/>
    </row>
    <row r="444" ht="15.75" customHeight="1">
      <c r="A444" s="55"/>
    </row>
    <row r="445" ht="15.75" customHeight="1">
      <c r="A445" s="55"/>
    </row>
    <row r="446" ht="15.75" customHeight="1">
      <c r="A446" s="55"/>
    </row>
    <row r="447" ht="15.75" customHeight="1">
      <c r="A447" s="55"/>
    </row>
    <row r="448" ht="15.75" customHeight="1">
      <c r="A448" s="55"/>
    </row>
    <row r="449" ht="15.75" customHeight="1">
      <c r="A449" s="55"/>
    </row>
    <row r="450" ht="15.75" customHeight="1">
      <c r="A450" s="55"/>
    </row>
    <row r="451" ht="15.75" customHeight="1">
      <c r="A451" s="55"/>
    </row>
    <row r="452" ht="15.75" customHeight="1">
      <c r="A452" s="55"/>
    </row>
    <row r="453" ht="15.75" customHeight="1">
      <c r="A453" s="55"/>
    </row>
    <row r="454" ht="15.75" customHeight="1">
      <c r="A454" s="55"/>
    </row>
    <row r="455" ht="15.75" customHeight="1">
      <c r="A455" s="55"/>
    </row>
    <row r="456" ht="15.75" customHeight="1">
      <c r="A456" s="55"/>
    </row>
    <row r="457" ht="15.75" customHeight="1">
      <c r="A457" s="55"/>
    </row>
    <row r="458" ht="15.75" customHeight="1">
      <c r="A458" s="55"/>
    </row>
    <row r="459" ht="15.75" customHeight="1">
      <c r="A459" s="55"/>
    </row>
    <row r="460" ht="15.75" customHeight="1">
      <c r="A460" s="55"/>
    </row>
    <row r="461" ht="15.75" customHeight="1">
      <c r="A461" s="55"/>
    </row>
    <row r="462" ht="15.75" customHeight="1">
      <c r="A462" s="55"/>
    </row>
    <row r="463" ht="15.75" customHeight="1">
      <c r="A463" s="55"/>
    </row>
    <row r="464" ht="15.75" customHeight="1">
      <c r="A464" s="55"/>
    </row>
    <row r="465" ht="15.75" customHeight="1">
      <c r="A465" s="55"/>
    </row>
    <row r="466" ht="15.75" customHeight="1">
      <c r="A466" s="55"/>
    </row>
    <row r="467" ht="15.75" customHeight="1">
      <c r="A467" s="55"/>
    </row>
    <row r="468" ht="15.75" customHeight="1">
      <c r="A468" s="55"/>
    </row>
    <row r="469" ht="15.75" customHeight="1">
      <c r="A469" s="55"/>
    </row>
    <row r="470" ht="15.75" customHeight="1">
      <c r="A470" s="55"/>
    </row>
    <row r="471" ht="15.75" customHeight="1">
      <c r="A471" s="55"/>
    </row>
    <row r="472" ht="15.75" customHeight="1">
      <c r="A472" s="55"/>
    </row>
    <row r="473" ht="15.75" customHeight="1">
      <c r="A473" s="55"/>
    </row>
    <row r="474" ht="15.75" customHeight="1">
      <c r="A474" s="55"/>
    </row>
    <row r="475" ht="15.75" customHeight="1">
      <c r="A475" s="55"/>
    </row>
    <row r="476" ht="15.75" customHeight="1">
      <c r="A476" s="55"/>
    </row>
    <row r="477" ht="15.75" customHeight="1">
      <c r="A477" s="55"/>
    </row>
    <row r="478" ht="15.75" customHeight="1">
      <c r="A478" s="55"/>
    </row>
    <row r="479" ht="15.75" customHeight="1">
      <c r="A479" s="55"/>
    </row>
    <row r="480" ht="15.75" customHeight="1">
      <c r="A480" s="55"/>
    </row>
    <row r="481" ht="15.75" customHeight="1">
      <c r="A481" s="55"/>
    </row>
    <row r="482" ht="15.75" customHeight="1">
      <c r="A482" s="55"/>
    </row>
    <row r="483" ht="15.75" customHeight="1">
      <c r="A483" s="55"/>
    </row>
    <row r="484" ht="15.75" customHeight="1">
      <c r="A484" s="55"/>
    </row>
    <row r="485" ht="15.75" customHeight="1">
      <c r="A485" s="55"/>
    </row>
    <row r="486" ht="15.75" customHeight="1">
      <c r="A486" s="55"/>
    </row>
    <row r="487" ht="15.75" customHeight="1">
      <c r="A487" s="55"/>
    </row>
    <row r="488" ht="15.75" customHeight="1">
      <c r="A488" s="55"/>
    </row>
    <row r="489" ht="15.75" customHeight="1">
      <c r="A489" s="55"/>
    </row>
    <row r="490" ht="15.75" customHeight="1">
      <c r="A490" s="55"/>
    </row>
    <row r="491" ht="15.75" customHeight="1">
      <c r="A491" s="55"/>
    </row>
    <row r="492" ht="15.75" customHeight="1">
      <c r="A492" s="55"/>
    </row>
    <row r="493" ht="15.75" customHeight="1">
      <c r="A493" s="55"/>
    </row>
    <row r="494" ht="15.75" customHeight="1">
      <c r="A494" s="55"/>
    </row>
    <row r="495" ht="15.75" customHeight="1">
      <c r="A495" s="55"/>
    </row>
    <row r="496" ht="15.75" customHeight="1">
      <c r="A496" s="55"/>
    </row>
    <row r="497" ht="15.75" customHeight="1">
      <c r="A497" s="55"/>
    </row>
    <row r="498" ht="15.75" customHeight="1">
      <c r="A498" s="55"/>
    </row>
    <row r="499" ht="15.75" customHeight="1">
      <c r="A499" s="55"/>
    </row>
    <row r="500" ht="15.75" customHeight="1">
      <c r="A500" s="55"/>
    </row>
    <row r="501" ht="15.75" customHeight="1">
      <c r="A501" s="55"/>
    </row>
    <row r="502" ht="15.75" customHeight="1">
      <c r="A502" s="55"/>
    </row>
    <row r="503" ht="15.75" customHeight="1">
      <c r="A503" s="55"/>
    </row>
    <row r="504" ht="15.75" customHeight="1">
      <c r="A504" s="55"/>
    </row>
    <row r="505" ht="15.75" customHeight="1">
      <c r="A505" s="55"/>
    </row>
    <row r="506" ht="15.75" customHeight="1">
      <c r="A506" s="55"/>
    </row>
    <row r="507" ht="15.75" customHeight="1">
      <c r="A507" s="55"/>
    </row>
    <row r="508" ht="15.75" customHeight="1">
      <c r="A508" s="55"/>
    </row>
    <row r="509" ht="15.75" customHeight="1">
      <c r="A509" s="55"/>
    </row>
    <row r="510" ht="15.75" customHeight="1">
      <c r="A510" s="55"/>
    </row>
    <row r="511" ht="15.75" customHeight="1">
      <c r="A511" s="55"/>
    </row>
    <row r="512" ht="15.75" customHeight="1">
      <c r="A512" s="55"/>
    </row>
    <row r="513" ht="15.75" customHeight="1">
      <c r="A513" s="55"/>
    </row>
    <row r="514" ht="15.75" customHeight="1">
      <c r="A514" s="55"/>
    </row>
    <row r="515" ht="15.75" customHeight="1">
      <c r="A515" s="55"/>
    </row>
    <row r="516" ht="15.75" customHeight="1">
      <c r="A516" s="55"/>
    </row>
    <row r="517" ht="15.75" customHeight="1">
      <c r="A517" s="55"/>
    </row>
    <row r="518" ht="15.75" customHeight="1">
      <c r="A518" s="55"/>
    </row>
    <row r="519" ht="15.75" customHeight="1">
      <c r="A519" s="55"/>
    </row>
    <row r="520" ht="15.75" customHeight="1">
      <c r="A520" s="55"/>
    </row>
    <row r="521" ht="15.75" customHeight="1">
      <c r="A521" s="55"/>
    </row>
    <row r="522" ht="15.75" customHeight="1">
      <c r="A522" s="55"/>
    </row>
    <row r="523" ht="15.75" customHeight="1">
      <c r="A523" s="55"/>
    </row>
    <row r="524" ht="15.75" customHeight="1">
      <c r="A524" s="55"/>
    </row>
    <row r="525" ht="15.75" customHeight="1">
      <c r="A525" s="55"/>
    </row>
    <row r="526" ht="15.75" customHeight="1">
      <c r="A526" s="55"/>
    </row>
    <row r="527" ht="15.75" customHeight="1">
      <c r="A527" s="55"/>
    </row>
    <row r="528" ht="15.75" customHeight="1">
      <c r="A528" s="55"/>
    </row>
    <row r="529" ht="15.75" customHeight="1">
      <c r="A529" s="55"/>
    </row>
    <row r="530" ht="15.75" customHeight="1">
      <c r="A530" s="55"/>
    </row>
    <row r="531" ht="15.75" customHeight="1">
      <c r="A531" s="55"/>
    </row>
    <row r="532" ht="15.75" customHeight="1">
      <c r="A532" s="55"/>
    </row>
    <row r="533" ht="15.75" customHeight="1">
      <c r="A533" s="55"/>
    </row>
    <row r="534" ht="15.75" customHeight="1">
      <c r="A534" s="55"/>
    </row>
    <row r="535" ht="15.75" customHeight="1">
      <c r="A535" s="55"/>
    </row>
    <row r="536" ht="15.75" customHeight="1">
      <c r="A536" s="55"/>
    </row>
    <row r="537" ht="15.75" customHeight="1">
      <c r="A537" s="55"/>
    </row>
    <row r="538" ht="15.75" customHeight="1">
      <c r="A538" s="55"/>
    </row>
    <row r="539" ht="15.75" customHeight="1">
      <c r="A539" s="55"/>
    </row>
    <row r="540" ht="15.75" customHeight="1">
      <c r="A540" s="55"/>
    </row>
    <row r="541" ht="15.75" customHeight="1">
      <c r="A541" s="55"/>
    </row>
    <row r="542" ht="15.75" customHeight="1">
      <c r="A542" s="55"/>
    </row>
    <row r="543" ht="15.75" customHeight="1">
      <c r="A543" s="55"/>
    </row>
    <row r="544" ht="15.75" customHeight="1">
      <c r="A544" s="55"/>
    </row>
    <row r="545" ht="15.75" customHeight="1">
      <c r="A545" s="55"/>
    </row>
    <row r="546" ht="15.75" customHeight="1">
      <c r="A546" s="55"/>
    </row>
    <row r="547" ht="15.75" customHeight="1">
      <c r="A547" s="55"/>
    </row>
    <row r="548" ht="15.75" customHeight="1">
      <c r="A548" s="55"/>
    </row>
    <row r="549" ht="15.75" customHeight="1">
      <c r="A549" s="55"/>
    </row>
    <row r="550" ht="15.75" customHeight="1">
      <c r="A550" s="55"/>
    </row>
    <row r="551" ht="15.75" customHeight="1">
      <c r="A551" s="55"/>
    </row>
    <row r="552" ht="15.75" customHeight="1">
      <c r="A552" s="55"/>
    </row>
    <row r="553" ht="15.75" customHeight="1">
      <c r="A553" s="55"/>
    </row>
    <row r="554" ht="15.75" customHeight="1">
      <c r="A554" s="55"/>
    </row>
    <row r="555" ht="15.75" customHeight="1">
      <c r="A555" s="55"/>
    </row>
    <row r="556" ht="15.75" customHeight="1">
      <c r="A556" s="55"/>
    </row>
    <row r="557" ht="15.75" customHeight="1">
      <c r="A557" s="55"/>
    </row>
    <row r="558" ht="15.75" customHeight="1">
      <c r="A558" s="55"/>
    </row>
    <row r="559" ht="15.75" customHeight="1">
      <c r="A559" s="55"/>
    </row>
    <row r="560" ht="15.75" customHeight="1">
      <c r="A560" s="55"/>
    </row>
    <row r="561" ht="15.75" customHeight="1">
      <c r="A561" s="55"/>
    </row>
    <row r="562" ht="15.75" customHeight="1">
      <c r="A562" s="55"/>
    </row>
    <row r="563" ht="15.75" customHeight="1">
      <c r="A563" s="55"/>
    </row>
    <row r="564" ht="15.75" customHeight="1">
      <c r="A564" s="55"/>
    </row>
    <row r="565" ht="15.75" customHeight="1">
      <c r="A565" s="55"/>
    </row>
    <row r="566" ht="15.75" customHeight="1">
      <c r="A566" s="55"/>
    </row>
    <row r="567" ht="15.75" customHeight="1">
      <c r="A567" s="55"/>
    </row>
    <row r="568" ht="15.75" customHeight="1">
      <c r="A568" s="55"/>
    </row>
    <row r="569" ht="15.75" customHeight="1">
      <c r="A569" s="55"/>
    </row>
    <row r="570" ht="15.75" customHeight="1">
      <c r="A570" s="55"/>
    </row>
    <row r="571" ht="15.75" customHeight="1">
      <c r="A571" s="55"/>
    </row>
    <row r="572" ht="15.75" customHeight="1">
      <c r="A572" s="55"/>
    </row>
    <row r="573" ht="15.75" customHeight="1">
      <c r="A573" s="55"/>
    </row>
    <row r="574" ht="15.75" customHeight="1">
      <c r="A574" s="55"/>
    </row>
    <row r="575" ht="15.75" customHeight="1">
      <c r="A575" s="55"/>
    </row>
    <row r="576" ht="15.75" customHeight="1">
      <c r="A576" s="55"/>
    </row>
    <row r="577" ht="15.75" customHeight="1">
      <c r="A577" s="55"/>
    </row>
    <row r="578" ht="15.75" customHeight="1">
      <c r="A578" s="55"/>
    </row>
    <row r="579" ht="15.75" customHeight="1">
      <c r="A579" s="55"/>
    </row>
    <row r="580" ht="15.75" customHeight="1">
      <c r="A580" s="55"/>
    </row>
    <row r="581" ht="15.75" customHeight="1">
      <c r="A581" s="55"/>
    </row>
    <row r="582" ht="15.75" customHeight="1">
      <c r="A582" s="55"/>
    </row>
    <row r="583" ht="15.75" customHeight="1">
      <c r="A583" s="55"/>
    </row>
    <row r="584" ht="15.75" customHeight="1">
      <c r="A584" s="55"/>
    </row>
    <row r="585" ht="15.75" customHeight="1">
      <c r="A585" s="55"/>
    </row>
    <row r="586" ht="15.75" customHeight="1">
      <c r="A586" s="55"/>
    </row>
    <row r="587" ht="15.75" customHeight="1">
      <c r="A587" s="55"/>
    </row>
    <row r="588" ht="15.75" customHeight="1">
      <c r="A588" s="55"/>
    </row>
    <row r="589" ht="15.75" customHeight="1">
      <c r="A589" s="55"/>
    </row>
    <row r="590" ht="15.75" customHeight="1">
      <c r="A590" s="55"/>
    </row>
    <row r="591" ht="15.75" customHeight="1">
      <c r="A591" s="55"/>
    </row>
    <row r="592" ht="15.75" customHeight="1">
      <c r="A592" s="55"/>
    </row>
    <row r="593" ht="15.75" customHeight="1">
      <c r="A593" s="55"/>
    </row>
    <row r="594" ht="15.75" customHeight="1">
      <c r="A594" s="55"/>
    </row>
    <row r="595" ht="15.75" customHeight="1">
      <c r="A595" s="55"/>
    </row>
    <row r="596" ht="15.75" customHeight="1">
      <c r="A596" s="55"/>
    </row>
    <row r="597" ht="15.75" customHeight="1">
      <c r="A597" s="55"/>
    </row>
    <row r="598" ht="15.75" customHeight="1">
      <c r="A598" s="55"/>
    </row>
    <row r="599" ht="15.75" customHeight="1">
      <c r="A599" s="55"/>
    </row>
    <row r="600" ht="15.75" customHeight="1">
      <c r="A600" s="55"/>
    </row>
    <row r="601" ht="15.75" customHeight="1">
      <c r="A601" s="55"/>
    </row>
    <row r="602" ht="15.75" customHeight="1">
      <c r="A602" s="55"/>
    </row>
    <row r="603" ht="15.75" customHeight="1">
      <c r="A603" s="55"/>
    </row>
    <row r="604" ht="15.75" customHeight="1">
      <c r="A604" s="55"/>
    </row>
    <row r="605" ht="15.75" customHeight="1">
      <c r="A605" s="55"/>
    </row>
    <row r="606" ht="15.75" customHeight="1">
      <c r="A606" s="55"/>
    </row>
    <row r="607" ht="15.75" customHeight="1">
      <c r="A607" s="55"/>
    </row>
    <row r="608" ht="15.75" customHeight="1">
      <c r="A608" s="55"/>
    </row>
    <row r="609" ht="15.75" customHeight="1">
      <c r="A609" s="55"/>
    </row>
    <row r="610" ht="15.75" customHeight="1">
      <c r="A610" s="55"/>
    </row>
    <row r="611" ht="15.75" customHeight="1">
      <c r="A611" s="55"/>
    </row>
    <row r="612" ht="15.75" customHeight="1">
      <c r="A612" s="55"/>
    </row>
    <row r="613" ht="15.75" customHeight="1">
      <c r="A613" s="55"/>
    </row>
    <row r="614" ht="15.75" customHeight="1">
      <c r="A614" s="55"/>
    </row>
    <row r="615" ht="15.75" customHeight="1">
      <c r="A615" s="55"/>
    </row>
    <row r="616" ht="15.75" customHeight="1">
      <c r="A616" s="55"/>
    </row>
    <row r="617" ht="15.75" customHeight="1">
      <c r="A617" s="55"/>
    </row>
    <row r="618" ht="15.75" customHeight="1">
      <c r="A618" s="55"/>
    </row>
    <row r="619" ht="15.75" customHeight="1">
      <c r="A619" s="55"/>
    </row>
    <row r="620" ht="15.75" customHeight="1">
      <c r="A620" s="55"/>
    </row>
    <row r="621" ht="15.75" customHeight="1">
      <c r="A621" s="55"/>
    </row>
    <row r="622" ht="15.75" customHeight="1">
      <c r="A622" s="55"/>
    </row>
    <row r="623" ht="15.75" customHeight="1">
      <c r="A623" s="55"/>
    </row>
    <row r="624" ht="15.75" customHeight="1">
      <c r="A624" s="55"/>
    </row>
    <row r="625" ht="15.75" customHeight="1">
      <c r="A625" s="55"/>
    </row>
    <row r="626" ht="15.75" customHeight="1">
      <c r="A626" s="55"/>
    </row>
    <row r="627" ht="15.75" customHeight="1">
      <c r="A627" s="55"/>
    </row>
    <row r="628" ht="15.75" customHeight="1">
      <c r="A628" s="55"/>
    </row>
    <row r="629" ht="15.75" customHeight="1">
      <c r="A629" s="55"/>
    </row>
    <row r="630" ht="15.75" customHeight="1">
      <c r="A630" s="55"/>
    </row>
    <row r="631" ht="15.75" customHeight="1">
      <c r="A631" s="55"/>
    </row>
    <row r="632" ht="15.75" customHeight="1">
      <c r="A632" s="55"/>
    </row>
    <row r="633" ht="15.75" customHeight="1">
      <c r="A633" s="55"/>
    </row>
    <row r="634" ht="15.75" customHeight="1">
      <c r="A634" s="55"/>
    </row>
    <row r="635" ht="15.75" customHeight="1">
      <c r="A635" s="55"/>
    </row>
    <row r="636" ht="15.75" customHeight="1">
      <c r="A636" s="55"/>
    </row>
    <row r="637" ht="15.75" customHeight="1">
      <c r="A637" s="55"/>
    </row>
    <row r="638" ht="15.75" customHeight="1">
      <c r="A638" s="55"/>
    </row>
    <row r="639" ht="15.75" customHeight="1">
      <c r="A639" s="55"/>
    </row>
    <row r="640" ht="15.75" customHeight="1">
      <c r="A640" s="55"/>
    </row>
    <row r="641" ht="15.75" customHeight="1">
      <c r="A641" s="55"/>
    </row>
    <row r="642" ht="15.75" customHeight="1">
      <c r="A642" s="55"/>
    </row>
    <row r="643" ht="15.75" customHeight="1">
      <c r="A643" s="55"/>
    </row>
    <row r="644" ht="15.75" customHeight="1">
      <c r="A644" s="55"/>
    </row>
    <row r="645" ht="15.75" customHeight="1">
      <c r="A645" s="55"/>
    </row>
    <row r="646" ht="15.75" customHeight="1">
      <c r="A646" s="55"/>
    </row>
    <row r="647" ht="15.75" customHeight="1">
      <c r="A647" s="55"/>
    </row>
    <row r="648" ht="15.75" customHeight="1">
      <c r="A648" s="55"/>
    </row>
    <row r="649" ht="15.75" customHeight="1">
      <c r="A649" s="55"/>
    </row>
    <row r="650" ht="15.75" customHeight="1">
      <c r="A650" s="55"/>
    </row>
    <row r="651" ht="15.75" customHeight="1">
      <c r="A651" s="55"/>
    </row>
    <row r="652" ht="15.75" customHeight="1">
      <c r="A652" s="55"/>
    </row>
    <row r="653" ht="15.75" customHeight="1">
      <c r="A653" s="55"/>
    </row>
    <row r="654" ht="15.75" customHeight="1">
      <c r="A654" s="55"/>
    </row>
    <row r="655" ht="15.75" customHeight="1">
      <c r="A655" s="55"/>
    </row>
    <row r="656" ht="15.75" customHeight="1">
      <c r="A656" s="55"/>
    </row>
    <row r="657" ht="15.75" customHeight="1">
      <c r="A657" s="55"/>
    </row>
    <row r="658" ht="15.75" customHeight="1">
      <c r="A658" s="55"/>
    </row>
    <row r="659" ht="15.75" customHeight="1">
      <c r="A659" s="55"/>
    </row>
    <row r="660" ht="15.75" customHeight="1">
      <c r="A660" s="55"/>
    </row>
    <row r="661" ht="15.75" customHeight="1">
      <c r="A661" s="55"/>
    </row>
    <row r="662" ht="15.75" customHeight="1">
      <c r="A662" s="55"/>
    </row>
    <row r="663" ht="15.75" customHeight="1">
      <c r="A663" s="55"/>
    </row>
    <row r="664" ht="15.75" customHeight="1">
      <c r="A664" s="55"/>
    </row>
    <row r="665" ht="15.75" customHeight="1">
      <c r="A665" s="55"/>
    </row>
    <row r="666" ht="15.75" customHeight="1">
      <c r="A666" s="55"/>
    </row>
    <row r="667" ht="15.75" customHeight="1">
      <c r="A667" s="55"/>
    </row>
    <row r="668" ht="15.75" customHeight="1">
      <c r="A668" s="55"/>
    </row>
    <row r="669" ht="15.75" customHeight="1">
      <c r="A669" s="55"/>
    </row>
    <row r="670" ht="15.75" customHeight="1">
      <c r="A670" s="55"/>
    </row>
    <row r="671" ht="15.75" customHeight="1">
      <c r="A671" s="55"/>
    </row>
    <row r="672" ht="15.75" customHeight="1">
      <c r="A672" s="55"/>
    </row>
    <row r="673" ht="15.75" customHeight="1">
      <c r="A673" s="55"/>
    </row>
    <row r="674" ht="15.75" customHeight="1">
      <c r="A674" s="55"/>
    </row>
    <row r="675" ht="15.75" customHeight="1">
      <c r="A675" s="55"/>
    </row>
    <row r="676" ht="15.75" customHeight="1">
      <c r="A676" s="55"/>
    </row>
    <row r="677" ht="15.75" customHeight="1">
      <c r="A677" s="55"/>
    </row>
    <row r="678" ht="15.75" customHeight="1">
      <c r="A678" s="55"/>
    </row>
    <row r="679" ht="15.75" customHeight="1">
      <c r="A679" s="55"/>
    </row>
    <row r="680" ht="15.75" customHeight="1">
      <c r="A680" s="55"/>
    </row>
    <row r="681" ht="15.75" customHeight="1">
      <c r="A681" s="55"/>
    </row>
    <row r="682" ht="15.75" customHeight="1">
      <c r="A682" s="55"/>
    </row>
    <row r="683" ht="15.75" customHeight="1">
      <c r="A683" s="55"/>
    </row>
    <row r="684" ht="15.75" customHeight="1">
      <c r="A684" s="55"/>
    </row>
    <row r="685" ht="15.75" customHeight="1">
      <c r="A685" s="55"/>
    </row>
    <row r="686" ht="15.75" customHeight="1">
      <c r="A686" s="55"/>
    </row>
    <row r="687" ht="15.75" customHeight="1">
      <c r="A687" s="55"/>
    </row>
    <row r="688" ht="15.75" customHeight="1">
      <c r="A688" s="55"/>
    </row>
    <row r="689" ht="15.75" customHeight="1">
      <c r="A689" s="55"/>
    </row>
    <row r="690" ht="15.75" customHeight="1">
      <c r="A690" s="55"/>
    </row>
    <row r="691" ht="15.75" customHeight="1">
      <c r="A691" s="55"/>
    </row>
    <row r="692" ht="15.75" customHeight="1">
      <c r="A692" s="55"/>
    </row>
    <row r="693" ht="15.75" customHeight="1">
      <c r="A693" s="55"/>
    </row>
    <row r="694" ht="15.75" customHeight="1">
      <c r="A694" s="55"/>
    </row>
    <row r="695" ht="15.75" customHeight="1">
      <c r="A695" s="55"/>
    </row>
    <row r="696" ht="15.75" customHeight="1">
      <c r="A696" s="55"/>
    </row>
    <row r="697" ht="15.75" customHeight="1">
      <c r="A697" s="55"/>
    </row>
    <row r="698" ht="15.75" customHeight="1">
      <c r="A698" s="55"/>
    </row>
    <row r="699" ht="15.75" customHeight="1">
      <c r="A699" s="55"/>
    </row>
    <row r="700" ht="15.75" customHeight="1">
      <c r="A700" s="55"/>
    </row>
    <row r="701" ht="15.75" customHeight="1">
      <c r="A701" s="55"/>
    </row>
    <row r="702" ht="15.75" customHeight="1">
      <c r="A702" s="55"/>
    </row>
    <row r="703" ht="15.75" customHeight="1">
      <c r="A703" s="55"/>
    </row>
    <row r="704" ht="15.75" customHeight="1">
      <c r="A704" s="55"/>
    </row>
    <row r="705" ht="15.75" customHeight="1">
      <c r="A705" s="55"/>
    </row>
    <row r="706" ht="15.75" customHeight="1">
      <c r="A706" s="55"/>
    </row>
    <row r="707" ht="15.75" customHeight="1">
      <c r="A707" s="55"/>
    </row>
    <row r="708" ht="15.75" customHeight="1">
      <c r="A708" s="55"/>
    </row>
    <row r="709" ht="15.75" customHeight="1">
      <c r="A709" s="55"/>
    </row>
    <row r="710" ht="15.75" customHeight="1">
      <c r="A710" s="55"/>
    </row>
    <row r="711" ht="15.75" customHeight="1">
      <c r="A711" s="55"/>
    </row>
    <row r="712" ht="15.75" customHeight="1">
      <c r="A712" s="55"/>
    </row>
    <row r="713" ht="15.75" customHeight="1">
      <c r="A713" s="55"/>
    </row>
    <row r="714" ht="15.75" customHeight="1">
      <c r="A714" s="55"/>
    </row>
    <row r="715" ht="15.75" customHeight="1">
      <c r="A715" s="55"/>
    </row>
    <row r="716" ht="15.75" customHeight="1">
      <c r="A716" s="55"/>
    </row>
    <row r="717" ht="15.75" customHeight="1">
      <c r="A717" s="55"/>
    </row>
    <row r="718" ht="15.75" customHeight="1">
      <c r="A718" s="55"/>
    </row>
    <row r="719" ht="15.75" customHeight="1">
      <c r="A719" s="55"/>
    </row>
    <row r="720" ht="15.75" customHeight="1">
      <c r="A720" s="55"/>
    </row>
    <row r="721" ht="15.75" customHeight="1">
      <c r="A721" s="55"/>
    </row>
    <row r="722" ht="15.75" customHeight="1">
      <c r="A722" s="55"/>
    </row>
    <row r="723" ht="15.75" customHeight="1">
      <c r="A723" s="55"/>
    </row>
    <row r="724" ht="15.75" customHeight="1">
      <c r="A724" s="55"/>
    </row>
    <row r="725" ht="15.75" customHeight="1">
      <c r="A725" s="55"/>
    </row>
    <row r="726" ht="15.75" customHeight="1">
      <c r="A726" s="55"/>
    </row>
    <row r="727" ht="15.75" customHeight="1">
      <c r="A727" s="55"/>
    </row>
    <row r="728" ht="15.75" customHeight="1">
      <c r="A728" s="55"/>
    </row>
    <row r="729" ht="15.75" customHeight="1">
      <c r="A729" s="55"/>
    </row>
    <row r="730" ht="15.75" customHeight="1">
      <c r="A730" s="55"/>
    </row>
    <row r="731" ht="15.75" customHeight="1">
      <c r="A731" s="55"/>
    </row>
    <row r="732" ht="15.75" customHeight="1">
      <c r="A732" s="55"/>
    </row>
    <row r="733" ht="15.75" customHeight="1">
      <c r="A733" s="55"/>
    </row>
    <row r="734" ht="15.75" customHeight="1">
      <c r="A734" s="55"/>
    </row>
    <row r="735" ht="15.75" customHeight="1">
      <c r="A735" s="55"/>
    </row>
    <row r="736" ht="15.75" customHeight="1">
      <c r="A736" s="55"/>
    </row>
    <row r="737" ht="15.75" customHeight="1">
      <c r="A737" s="55"/>
    </row>
    <row r="738" ht="15.75" customHeight="1">
      <c r="A738" s="55"/>
    </row>
    <row r="739" ht="15.75" customHeight="1">
      <c r="A739" s="55"/>
    </row>
    <row r="740" ht="15.75" customHeight="1">
      <c r="A740" s="55"/>
    </row>
    <row r="741" ht="15.75" customHeight="1">
      <c r="A741" s="55"/>
    </row>
    <row r="742" ht="15.75" customHeight="1">
      <c r="A742" s="55"/>
    </row>
    <row r="743" ht="15.75" customHeight="1">
      <c r="A743" s="55"/>
    </row>
    <row r="744" ht="15.75" customHeight="1">
      <c r="A744" s="55"/>
    </row>
    <row r="745" ht="15.75" customHeight="1">
      <c r="A745" s="55"/>
    </row>
    <row r="746" ht="15.75" customHeight="1">
      <c r="A746" s="55"/>
    </row>
    <row r="747" ht="15.75" customHeight="1">
      <c r="A747" s="55"/>
    </row>
    <row r="748" ht="15.75" customHeight="1">
      <c r="A748" s="55"/>
    </row>
    <row r="749" ht="15.75" customHeight="1">
      <c r="A749" s="55"/>
    </row>
    <row r="750" ht="15.75" customHeight="1">
      <c r="A750" s="55"/>
    </row>
    <row r="751" ht="15.75" customHeight="1">
      <c r="A751" s="55"/>
    </row>
    <row r="752" ht="15.75" customHeight="1">
      <c r="A752" s="55"/>
    </row>
    <row r="753" ht="15.75" customHeight="1">
      <c r="A753" s="55"/>
    </row>
    <row r="754" ht="15.75" customHeight="1">
      <c r="A754" s="55"/>
    </row>
    <row r="755" ht="15.75" customHeight="1">
      <c r="A755" s="55"/>
    </row>
    <row r="756" ht="15.75" customHeight="1">
      <c r="A756" s="55"/>
    </row>
    <row r="757" ht="15.75" customHeight="1">
      <c r="A757" s="55"/>
    </row>
    <row r="758" ht="15.75" customHeight="1">
      <c r="A758" s="55"/>
    </row>
    <row r="759" ht="15.75" customHeight="1">
      <c r="A759" s="55"/>
    </row>
    <row r="760" ht="15.75" customHeight="1">
      <c r="A760" s="55"/>
    </row>
    <row r="761" ht="15.75" customHeight="1">
      <c r="A761" s="55"/>
    </row>
    <row r="762" ht="15.75" customHeight="1">
      <c r="A762" s="55"/>
    </row>
    <row r="763" ht="15.75" customHeight="1">
      <c r="A763" s="55"/>
    </row>
    <row r="764" ht="15.75" customHeight="1">
      <c r="A764" s="55"/>
    </row>
    <row r="765" ht="15.75" customHeight="1">
      <c r="A765" s="55"/>
    </row>
    <row r="766" ht="15.75" customHeight="1">
      <c r="A766" s="55"/>
    </row>
    <row r="767" ht="15.75" customHeight="1">
      <c r="A767" s="55"/>
    </row>
    <row r="768" ht="15.75" customHeight="1">
      <c r="A768" s="55"/>
    </row>
    <row r="769" ht="15.75" customHeight="1">
      <c r="A769" s="55"/>
    </row>
    <row r="770" ht="15.75" customHeight="1">
      <c r="A770" s="55"/>
    </row>
    <row r="771" ht="15.75" customHeight="1">
      <c r="A771" s="55"/>
    </row>
    <row r="772" ht="15.75" customHeight="1">
      <c r="A772" s="55"/>
    </row>
    <row r="773" ht="15.75" customHeight="1">
      <c r="A773" s="55"/>
    </row>
    <row r="774" ht="15.75" customHeight="1">
      <c r="A774" s="55"/>
    </row>
    <row r="775" ht="15.75" customHeight="1">
      <c r="A775" s="55"/>
    </row>
    <row r="776" ht="15.75" customHeight="1">
      <c r="A776" s="55"/>
    </row>
    <row r="777" ht="15.75" customHeight="1">
      <c r="A777" s="55"/>
    </row>
    <row r="778" ht="15.75" customHeight="1">
      <c r="A778" s="55"/>
    </row>
    <row r="779" ht="15.75" customHeight="1">
      <c r="A779" s="55"/>
    </row>
    <row r="780" ht="15.75" customHeight="1">
      <c r="A780" s="55"/>
    </row>
    <row r="781" ht="15.75" customHeight="1">
      <c r="A781" s="55"/>
    </row>
    <row r="782" ht="15.75" customHeight="1">
      <c r="A782" s="55"/>
    </row>
    <row r="783" ht="15.75" customHeight="1">
      <c r="A783" s="55"/>
    </row>
    <row r="784" ht="15.75" customHeight="1">
      <c r="A784" s="55"/>
    </row>
    <row r="785" ht="15.75" customHeight="1">
      <c r="A785" s="55"/>
    </row>
    <row r="786" ht="15.75" customHeight="1">
      <c r="A786" s="55"/>
    </row>
    <row r="787" ht="15.75" customHeight="1">
      <c r="A787" s="55"/>
    </row>
    <row r="788" ht="15.75" customHeight="1">
      <c r="A788" s="55"/>
    </row>
    <row r="789" ht="15.75" customHeight="1">
      <c r="A789" s="55"/>
    </row>
    <row r="790" ht="15.75" customHeight="1">
      <c r="A790" s="55"/>
    </row>
    <row r="791" ht="15.75" customHeight="1">
      <c r="A791" s="55"/>
    </row>
    <row r="792" ht="15.75" customHeight="1">
      <c r="A792" s="55"/>
    </row>
    <row r="793" ht="15.75" customHeight="1">
      <c r="A793" s="55"/>
    </row>
    <row r="794" ht="15.75" customHeight="1">
      <c r="A794" s="55"/>
    </row>
    <row r="795" ht="15.75" customHeight="1">
      <c r="A795" s="55"/>
    </row>
    <row r="796" ht="15.75" customHeight="1">
      <c r="A796" s="55"/>
    </row>
    <row r="797" ht="15.75" customHeight="1">
      <c r="A797" s="55"/>
    </row>
    <row r="798" ht="15.75" customHeight="1">
      <c r="A798" s="55"/>
    </row>
    <row r="799" ht="15.75" customHeight="1">
      <c r="A799" s="55"/>
    </row>
    <row r="800" ht="15.75" customHeight="1">
      <c r="A800" s="55"/>
    </row>
    <row r="801" ht="15.75" customHeight="1">
      <c r="A801" s="55"/>
    </row>
    <row r="802" ht="15.75" customHeight="1">
      <c r="A802" s="55"/>
    </row>
    <row r="803" ht="15.75" customHeight="1">
      <c r="A803" s="55"/>
    </row>
    <row r="804" ht="15.75" customHeight="1">
      <c r="A804" s="55"/>
    </row>
    <row r="805" ht="15.75" customHeight="1">
      <c r="A805" s="55"/>
    </row>
    <row r="806" ht="15.75" customHeight="1">
      <c r="A806" s="55"/>
    </row>
    <row r="807" ht="15.75" customHeight="1">
      <c r="A807" s="55"/>
    </row>
    <row r="808" ht="15.75" customHeight="1">
      <c r="A808" s="55"/>
    </row>
    <row r="809" ht="15.75" customHeight="1">
      <c r="A809" s="55"/>
    </row>
    <row r="810" ht="15.75" customHeight="1">
      <c r="A810" s="55"/>
    </row>
    <row r="811" ht="15.75" customHeight="1">
      <c r="A811" s="55"/>
    </row>
    <row r="812" ht="15.75" customHeight="1">
      <c r="A812" s="55"/>
    </row>
    <row r="813" ht="15.75" customHeight="1">
      <c r="A813" s="55"/>
    </row>
    <row r="814" ht="15.75" customHeight="1">
      <c r="A814" s="55"/>
    </row>
    <row r="815" ht="15.75" customHeight="1">
      <c r="A815" s="55"/>
    </row>
    <row r="816" ht="15.75" customHeight="1">
      <c r="A816" s="55"/>
    </row>
    <row r="817" ht="15.75" customHeight="1">
      <c r="A817" s="55"/>
    </row>
    <row r="818" ht="15.75" customHeight="1">
      <c r="A818" s="55"/>
    </row>
    <row r="819" ht="15.75" customHeight="1">
      <c r="A819" s="55"/>
    </row>
    <row r="820" ht="15.75" customHeight="1">
      <c r="A820" s="55"/>
    </row>
    <row r="821" ht="15.75" customHeight="1">
      <c r="A821" s="55"/>
    </row>
    <row r="822" ht="15.75" customHeight="1">
      <c r="A822" s="55"/>
    </row>
    <row r="823" ht="15.75" customHeight="1">
      <c r="A823" s="55"/>
    </row>
    <row r="824" ht="15.75" customHeight="1">
      <c r="A824" s="55"/>
    </row>
    <row r="825" ht="15.75" customHeight="1">
      <c r="A825" s="55"/>
    </row>
    <row r="826" ht="15.75" customHeight="1">
      <c r="A826" s="55"/>
    </row>
    <row r="827" ht="15.75" customHeight="1">
      <c r="A827" s="55"/>
    </row>
    <row r="828" ht="15.75" customHeight="1">
      <c r="A828" s="55"/>
    </row>
    <row r="829" ht="15.75" customHeight="1">
      <c r="A829" s="55"/>
    </row>
    <row r="830" ht="15.75" customHeight="1">
      <c r="A830" s="55"/>
    </row>
    <row r="831" ht="15.75" customHeight="1">
      <c r="A831" s="55"/>
    </row>
    <row r="832" ht="15.75" customHeight="1">
      <c r="A832" s="55"/>
    </row>
    <row r="833" ht="15.75" customHeight="1">
      <c r="A833" s="55"/>
    </row>
    <row r="834" ht="15.75" customHeight="1">
      <c r="A834" s="55"/>
    </row>
    <row r="835" ht="15.75" customHeight="1">
      <c r="A835" s="55"/>
    </row>
    <row r="836" ht="15.75" customHeight="1">
      <c r="A836" s="55"/>
    </row>
    <row r="837" ht="15.75" customHeight="1">
      <c r="A837" s="55"/>
    </row>
    <row r="838" ht="15.75" customHeight="1">
      <c r="A838" s="55"/>
    </row>
    <row r="839" ht="15.75" customHeight="1">
      <c r="A839" s="55"/>
    </row>
    <row r="840" ht="15.75" customHeight="1">
      <c r="A840" s="55"/>
    </row>
    <row r="841" ht="15.75" customHeight="1">
      <c r="A841" s="55"/>
    </row>
    <row r="842" ht="15.75" customHeight="1">
      <c r="A842" s="55"/>
    </row>
    <row r="843" ht="15.75" customHeight="1">
      <c r="A843" s="55"/>
    </row>
    <row r="844" ht="15.75" customHeight="1">
      <c r="A844" s="55"/>
    </row>
    <row r="845" ht="15.75" customHeight="1">
      <c r="A845" s="55"/>
    </row>
    <row r="846" ht="15.75" customHeight="1">
      <c r="A846" s="55"/>
    </row>
    <row r="847" ht="15.75" customHeight="1">
      <c r="A847" s="55"/>
    </row>
    <row r="848" ht="15.75" customHeight="1">
      <c r="A848" s="55"/>
    </row>
    <row r="849" ht="15.75" customHeight="1">
      <c r="A849" s="55"/>
    </row>
    <row r="850" ht="15.75" customHeight="1">
      <c r="A850" s="55"/>
    </row>
    <row r="851" ht="15.75" customHeight="1">
      <c r="A851" s="55"/>
    </row>
    <row r="852" ht="15.75" customHeight="1">
      <c r="A852" s="55"/>
    </row>
    <row r="853" ht="15.75" customHeight="1">
      <c r="A853" s="55"/>
    </row>
    <row r="854" ht="15.75" customHeight="1">
      <c r="A854" s="55"/>
    </row>
    <row r="855" ht="15.75" customHeight="1">
      <c r="A855" s="55"/>
    </row>
    <row r="856" ht="15.75" customHeight="1">
      <c r="A856" s="55"/>
    </row>
    <row r="857" ht="15.75" customHeight="1">
      <c r="A857" s="55"/>
    </row>
    <row r="858" ht="15.75" customHeight="1">
      <c r="A858" s="55"/>
    </row>
    <row r="859" ht="15.75" customHeight="1">
      <c r="A859" s="55"/>
    </row>
    <row r="860" ht="15.75" customHeight="1">
      <c r="A860" s="55"/>
    </row>
    <row r="861" ht="15.75" customHeight="1">
      <c r="A861" s="55"/>
    </row>
    <row r="862" ht="15.75" customHeight="1">
      <c r="A862" s="55"/>
    </row>
    <row r="863" ht="15.75" customHeight="1">
      <c r="A863" s="55"/>
    </row>
    <row r="864" ht="15.75" customHeight="1">
      <c r="A864" s="55"/>
    </row>
    <row r="865" ht="15.75" customHeight="1">
      <c r="A865" s="55"/>
    </row>
    <row r="866" ht="15.75" customHeight="1">
      <c r="A866" s="55"/>
    </row>
    <row r="867" ht="15.75" customHeight="1">
      <c r="A867" s="55"/>
    </row>
    <row r="868" ht="15.75" customHeight="1">
      <c r="A868" s="55"/>
    </row>
    <row r="869" ht="15.75" customHeight="1">
      <c r="A869" s="55"/>
    </row>
    <row r="870" ht="15.75" customHeight="1">
      <c r="A870" s="55"/>
    </row>
    <row r="871" ht="15.75" customHeight="1">
      <c r="A871" s="55"/>
    </row>
    <row r="872" ht="15.75" customHeight="1">
      <c r="A872" s="55"/>
    </row>
    <row r="873" ht="15.75" customHeight="1">
      <c r="A873" s="55"/>
    </row>
    <row r="874" ht="15.75" customHeight="1">
      <c r="A874" s="55"/>
    </row>
    <row r="875" ht="15.75" customHeight="1">
      <c r="A875" s="55"/>
    </row>
    <row r="876" ht="15.75" customHeight="1">
      <c r="A876" s="55"/>
    </row>
    <row r="877" ht="15.75" customHeight="1">
      <c r="A877" s="55"/>
    </row>
    <row r="878" ht="15.75" customHeight="1">
      <c r="A878" s="55"/>
    </row>
    <row r="879" ht="15.75" customHeight="1">
      <c r="A879" s="55"/>
    </row>
    <row r="880" ht="15.75" customHeight="1">
      <c r="A880" s="55"/>
    </row>
    <row r="881" ht="15.75" customHeight="1">
      <c r="A881" s="55"/>
    </row>
    <row r="882" ht="15.75" customHeight="1">
      <c r="A882" s="55"/>
    </row>
    <row r="883" ht="15.75" customHeight="1">
      <c r="A883" s="55"/>
    </row>
    <row r="884" ht="15.75" customHeight="1">
      <c r="A884" s="55"/>
    </row>
    <row r="885" ht="15.75" customHeight="1">
      <c r="A885" s="55"/>
    </row>
    <row r="886" ht="15.75" customHeight="1">
      <c r="A886" s="55"/>
    </row>
    <row r="887" ht="15.75" customHeight="1">
      <c r="A887" s="55"/>
    </row>
    <row r="888" ht="15.75" customHeight="1">
      <c r="A888" s="55"/>
    </row>
    <row r="889" ht="15.75" customHeight="1">
      <c r="A889" s="55"/>
    </row>
    <row r="890" ht="15.75" customHeight="1">
      <c r="A890" s="55"/>
    </row>
    <row r="891" ht="15.75" customHeight="1">
      <c r="A891" s="55"/>
    </row>
    <row r="892" ht="15.75" customHeight="1">
      <c r="A892" s="55"/>
    </row>
    <row r="893" ht="15.75" customHeight="1">
      <c r="A893" s="55"/>
    </row>
    <row r="894" ht="15.75" customHeight="1">
      <c r="A894" s="55"/>
    </row>
    <row r="895" ht="15.75" customHeight="1">
      <c r="A895" s="55"/>
    </row>
    <row r="896" ht="15.75" customHeight="1">
      <c r="A896" s="55"/>
    </row>
    <row r="897" ht="15.75" customHeight="1">
      <c r="A897" s="55"/>
    </row>
    <row r="898" ht="15.75" customHeight="1">
      <c r="A898" s="55"/>
    </row>
    <row r="899" ht="15.75" customHeight="1">
      <c r="A899" s="55"/>
    </row>
    <row r="900" ht="15.75" customHeight="1">
      <c r="A900" s="55"/>
    </row>
    <row r="901" ht="15.75" customHeight="1">
      <c r="A901" s="55"/>
    </row>
    <row r="902" ht="15.75" customHeight="1">
      <c r="A902" s="55"/>
    </row>
    <row r="903" ht="15.75" customHeight="1">
      <c r="A903" s="55"/>
    </row>
    <row r="904" ht="15.75" customHeight="1">
      <c r="A904" s="55"/>
    </row>
    <row r="905" ht="15.75" customHeight="1">
      <c r="A905" s="55"/>
    </row>
    <row r="906" ht="15.75" customHeight="1">
      <c r="A906" s="55"/>
    </row>
    <row r="907" ht="15.75" customHeight="1">
      <c r="A907" s="55"/>
    </row>
    <row r="908" ht="15.75" customHeight="1">
      <c r="A908" s="55"/>
    </row>
    <row r="909" ht="15.75" customHeight="1">
      <c r="A909" s="55"/>
    </row>
    <row r="910" ht="15.75" customHeight="1">
      <c r="A910" s="55"/>
    </row>
    <row r="911" ht="15.75" customHeight="1">
      <c r="A911" s="55"/>
    </row>
    <row r="912" ht="15.75" customHeight="1">
      <c r="A912" s="55"/>
    </row>
    <row r="913" ht="15.75" customHeight="1">
      <c r="A913" s="55"/>
    </row>
    <row r="914" ht="15.75" customHeight="1">
      <c r="A914" s="55"/>
    </row>
    <row r="915" ht="15.75" customHeight="1">
      <c r="A915" s="55"/>
    </row>
    <row r="916" ht="15.75" customHeight="1">
      <c r="A916" s="55"/>
    </row>
    <row r="917" ht="15.75" customHeight="1">
      <c r="A917" s="55"/>
    </row>
    <row r="918" ht="15.75" customHeight="1">
      <c r="A918" s="55"/>
    </row>
    <row r="919" ht="15.75" customHeight="1">
      <c r="A919" s="55"/>
    </row>
    <row r="920" ht="15.75" customHeight="1">
      <c r="A920" s="55"/>
    </row>
    <row r="921" ht="15.75" customHeight="1">
      <c r="A921" s="55"/>
    </row>
    <row r="922" ht="15.75" customHeight="1">
      <c r="A922" s="55"/>
    </row>
    <row r="923" ht="15.75" customHeight="1">
      <c r="A923" s="55"/>
    </row>
    <row r="924" ht="15.75" customHeight="1">
      <c r="A924" s="55"/>
    </row>
    <row r="925" ht="15.75" customHeight="1">
      <c r="A925" s="55"/>
    </row>
    <row r="926" ht="15.75" customHeight="1">
      <c r="A926" s="55"/>
    </row>
    <row r="927" ht="15.75" customHeight="1">
      <c r="A927" s="55"/>
    </row>
    <row r="928" ht="15.75" customHeight="1">
      <c r="A928" s="55"/>
    </row>
    <row r="929" ht="15.75" customHeight="1">
      <c r="A929" s="55"/>
    </row>
    <row r="930" ht="15.75" customHeight="1">
      <c r="A930" s="55"/>
    </row>
    <row r="931" ht="15.75" customHeight="1">
      <c r="A931" s="55"/>
    </row>
    <row r="932" ht="15.75" customHeight="1">
      <c r="A932" s="55"/>
    </row>
    <row r="933" ht="15.75" customHeight="1">
      <c r="A933" s="55"/>
    </row>
    <row r="934" ht="15.75" customHeight="1">
      <c r="A934" s="55"/>
    </row>
    <row r="935" ht="15.75" customHeight="1">
      <c r="A935" s="55"/>
    </row>
    <row r="936" ht="15.75" customHeight="1">
      <c r="A936" s="55"/>
    </row>
    <row r="937" ht="15.75" customHeight="1">
      <c r="A937" s="55"/>
    </row>
    <row r="938" ht="15.75" customHeight="1">
      <c r="A938" s="55"/>
    </row>
    <row r="939" ht="15.75" customHeight="1">
      <c r="A939" s="55"/>
    </row>
    <row r="940" ht="15.75" customHeight="1">
      <c r="A940" s="55"/>
    </row>
    <row r="941" ht="15.75" customHeight="1">
      <c r="A941" s="55"/>
    </row>
    <row r="942" ht="15.75" customHeight="1">
      <c r="A942" s="55"/>
    </row>
    <row r="943" ht="15.75" customHeight="1">
      <c r="A943" s="55"/>
    </row>
    <row r="944" ht="15.75" customHeight="1">
      <c r="A944" s="55"/>
    </row>
    <row r="945" ht="15.75" customHeight="1">
      <c r="A945" s="55"/>
    </row>
    <row r="946" ht="15.75" customHeight="1">
      <c r="A946" s="55"/>
    </row>
    <row r="947" ht="15.75" customHeight="1">
      <c r="A947" s="55"/>
    </row>
    <row r="948" ht="15.75" customHeight="1">
      <c r="A948" s="55"/>
    </row>
    <row r="949" ht="15.75" customHeight="1">
      <c r="A949" s="55"/>
    </row>
    <row r="950" ht="15.75" customHeight="1">
      <c r="A950" s="55"/>
    </row>
    <row r="951" ht="15.75" customHeight="1">
      <c r="A951" s="55"/>
    </row>
    <row r="952" ht="15.75" customHeight="1">
      <c r="A952" s="55"/>
    </row>
    <row r="953" ht="15.75" customHeight="1">
      <c r="A953" s="55"/>
    </row>
    <row r="954" ht="15.75" customHeight="1">
      <c r="A954" s="55"/>
    </row>
    <row r="955" ht="15.75" customHeight="1">
      <c r="A955" s="55"/>
    </row>
    <row r="956" ht="15.75" customHeight="1">
      <c r="A956" s="55"/>
    </row>
    <row r="957" ht="15.75" customHeight="1">
      <c r="A957" s="55"/>
    </row>
    <row r="958" ht="15.75" customHeight="1">
      <c r="A958" s="55"/>
    </row>
    <row r="959" ht="15.75" customHeight="1">
      <c r="A959" s="55"/>
    </row>
    <row r="960" ht="15.75" customHeight="1">
      <c r="A960" s="55"/>
    </row>
    <row r="961" ht="15.75" customHeight="1">
      <c r="A961" s="55"/>
    </row>
    <row r="962" ht="15.75" customHeight="1">
      <c r="A962" s="55"/>
    </row>
    <row r="963" ht="15.75" customHeight="1">
      <c r="A963" s="55"/>
    </row>
    <row r="964" ht="15.75" customHeight="1">
      <c r="A964" s="55"/>
    </row>
    <row r="965" ht="15.75" customHeight="1">
      <c r="A965" s="55"/>
    </row>
    <row r="966" ht="15.75" customHeight="1">
      <c r="A966" s="55"/>
    </row>
    <row r="967" ht="15.75" customHeight="1">
      <c r="A967" s="55"/>
    </row>
    <row r="968" ht="15.75" customHeight="1">
      <c r="A968" s="55"/>
    </row>
    <row r="969" ht="15.75" customHeight="1">
      <c r="A969" s="55"/>
    </row>
    <row r="970" ht="15.75" customHeight="1">
      <c r="A970" s="55"/>
    </row>
    <row r="971" ht="15.75" customHeight="1">
      <c r="A971" s="55"/>
    </row>
    <row r="972" ht="15.75" customHeight="1">
      <c r="A972" s="55"/>
    </row>
    <row r="973" ht="15.75" customHeight="1">
      <c r="A973" s="55"/>
    </row>
    <row r="974" ht="15.75" customHeight="1">
      <c r="A974" s="55"/>
    </row>
    <row r="975" ht="15.75" customHeight="1">
      <c r="A975" s="55"/>
    </row>
    <row r="976" ht="15.75" customHeight="1">
      <c r="A976" s="55"/>
    </row>
    <row r="977" ht="15.75" customHeight="1">
      <c r="A977" s="55"/>
    </row>
    <row r="978" ht="15.75" customHeight="1">
      <c r="A978" s="55"/>
    </row>
    <row r="979" ht="15.75" customHeight="1">
      <c r="A979" s="55"/>
    </row>
    <row r="980" ht="15.75" customHeight="1">
      <c r="A980" s="55"/>
    </row>
    <row r="981" ht="15.75" customHeight="1">
      <c r="A981" s="55"/>
    </row>
    <row r="982" ht="15.75" customHeight="1">
      <c r="A982" s="55"/>
    </row>
    <row r="983" ht="15.75" customHeight="1">
      <c r="A983" s="55"/>
    </row>
    <row r="984" ht="15.75" customHeight="1">
      <c r="A984" s="55"/>
    </row>
    <row r="985" ht="15.75" customHeight="1">
      <c r="A985" s="55"/>
    </row>
    <row r="986" ht="15.75" customHeight="1">
      <c r="A986" s="55"/>
    </row>
    <row r="987" ht="15.75" customHeight="1">
      <c r="A987" s="55"/>
    </row>
    <row r="988" ht="15.75" customHeight="1">
      <c r="A988" s="55"/>
    </row>
    <row r="989" ht="15.75" customHeight="1">
      <c r="A989" s="55"/>
    </row>
    <row r="990" ht="15.75" customHeight="1">
      <c r="A990" s="55"/>
    </row>
    <row r="991" ht="15.75" customHeight="1">
      <c r="A991" s="55"/>
    </row>
    <row r="992" ht="15.75" customHeight="1">
      <c r="A992" s="55"/>
    </row>
    <row r="993" ht="15.75" customHeight="1">
      <c r="A993" s="55"/>
    </row>
    <row r="994" ht="15.75" customHeight="1">
      <c r="A994" s="55"/>
    </row>
    <row r="995" ht="15.75" customHeight="1">
      <c r="A995" s="55"/>
    </row>
    <row r="996" ht="15.75" customHeight="1">
      <c r="A996" s="55"/>
    </row>
    <row r="997" ht="15.75" customHeight="1">
      <c r="A997" s="55"/>
    </row>
    <row r="998" ht="15.75" customHeight="1">
      <c r="A998" s="55"/>
    </row>
    <row r="999" ht="15.75" customHeight="1">
      <c r="A999" s="55"/>
    </row>
    <row r="1000" ht="15.75" customHeight="1">
      <c r="A1000" s="5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44" t="s">
        <v>14</v>
      </c>
      <c r="B1" s="45" t="s">
        <v>15</v>
      </c>
      <c r="C1" s="46" t="s">
        <v>389</v>
      </c>
      <c r="D1" s="57" t="s">
        <v>390</v>
      </c>
    </row>
    <row r="2" ht="15.75" customHeight="1">
      <c r="A2" s="18">
        <v>1.0</v>
      </c>
      <c r="B2" s="47" t="s">
        <v>16</v>
      </c>
      <c r="C2" s="59">
        <v>0.8761871514655452</v>
      </c>
      <c r="D2" s="48">
        <v>0.5121382162042677</v>
      </c>
      <c r="E2" s="4"/>
    </row>
    <row r="3" ht="15.75" customHeight="1">
      <c r="A3" s="18">
        <v>2.0</v>
      </c>
      <c r="B3" s="47" t="s">
        <v>17</v>
      </c>
      <c r="C3" s="59">
        <v>0.8744141103611726</v>
      </c>
      <c r="D3" s="48">
        <v>0.6614881192506313</v>
      </c>
      <c r="E3" s="11"/>
    </row>
    <row r="4" ht="15.75" customHeight="1">
      <c r="A4" s="18">
        <v>3.0</v>
      </c>
      <c r="B4" s="47" t="s">
        <v>18</v>
      </c>
      <c r="C4" s="59">
        <v>1.3301598656173057</v>
      </c>
      <c r="D4" s="48">
        <v>0.8927897486604093</v>
      </c>
      <c r="E4" s="11"/>
    </row>
    <row r="5" ht="15.75" customHeight="1">
      <c r="A5" s="18">
        <v>4.0</v>
      </c>
      <c r="B5" s="47" t="s">
        <v>19</v>
      </c>
      <c r="C5" s="59">
        <v>0.8524190235543236</v>
      </c>
      <c r="D5" s="48">
        <v>0.6185853139700295</v>
      </c>
      <c r="E5" s="11"/>
    </row>
    <row r="6" ht="15.75" customHeight="1">
      <c r="A6" s="18">
        <v>5.0</v>
      </c>
      <c r="B6" s="47" t="s">
        <v>20</v>
      </c>
      <c r="C6" s="59">
        <v>0.8985587025887991</v>
      </c>
      <c r="D6" s="48">
        <v>0.5437340657529545</v>
      </c>
      <c r="E6" s="11"/>
    </row>
    <row r="7" ht="15.75" customHeight="1">
      <c r="A7" s="18">
        <v>6.0</v>
      </c>
      <c r="B7" s="47" t="s">
        <v>21</v>
      </c>
      <c r="C7" s="59">
        <v>0.8796549582506829</v>
      </c>
      <c r="D7" s="48">
        <v>0.5462044984791807</v>
      </c>
      <c r="E7" s="11"/>
    </row>
    <row r="8" ht="15.75" customHeight="1">
      <c r="A8" s="18">
        <v>7.0</v>
      </c>
      <c r="B8" s="47" t="s">
        <v>22</v>
      </c>
      <c r="C8" s="59">
        <v>1.0867236916165666</v>
      </c>
      <c r="D8" s="48">
        <v>0.8900752612577016</v>
      </c>
      <c r="E8" s="11"/>
    </row>
    <row r="9" ht="15.75" customHeight="1">
      <c r="A9" s="18">
        <v>8.0</v>
      </c>
      <c r="B9" s="47" t="s">
        <v>23</v>
      </c>
      <c r="C9" s="59">
        <v>1.1403230702286877</v>
      </c>
      <c r="D9" s="48">
        <v>1.014453125776331</v>
      </c>
      <c r="E9" s="11"/>
    </row>
    <row r="10" ht="15.75" customHeight="1">
      <c r="A10" s="18">
        <v>9.0</v>
      </c>
      <c r="B10" s="47" t="s">
        <v>24</v>
      </c>
      <c r="C10" s="59">
        <v>1.0565269365843493</v>
      </c>
      <c r="D10" s="48">
        <v>0.8427597535454064</v>
      </c>
      <c r="E10" s="11"/>
    </row>
    <row r="11" ht="15.75" customHeight="1">
      <c r="A11" s="31">
        <v>10.0</v>
      </c>
      <c r="B11" s="58" t="s">
        <v>25</v>
      </c>
      <c r="C11" s="60">
        <v>0.8753522008358905</v>
      </c>
      <c r="D11" s="49">
        <v>0.9976490888372535</v>
      </c>
      <c r="E11" s="11"/>
    </row>
    <row r="12" ht="15.75" customHeight="1">
      <c r="A12" s="31">
        <v>11.0</v>
      </c>
      <c r="B12" s="58" t="s">
        <v>26</v>
      </c>
      <c r="C12" s="60">
        <v>0.9769361736506175</v>
      </c>
      <c r="D12" s="49">
        <v>0.692150198404087</v>
      </c>
      <c r="E12" s="11"/>
    </row>
    <row r="13" ht="15.75" customHeight="1">
      <c r="A13" s="31"/>
      <c r="B13" s="58"/>
      <c r="C13" s="49"/>
      <c r="D13" s="49"/>
      <c r="E13" s="11"/>
    </row>
    <row r="14" ht="15.75" customHeight="1">
      <c r="A14" s="31"/>
      <c r="B14" s="58"/>
      <c r="C14" s="49"/>
      <c r="D14" s="49"/>
      <c r="E14" s="11"/>
    </row>
    <row r="15" ht="15.75" customHeight="1">
      <c r="A15" s="31"/>
      <c r="B15" s="58"/>
      <c r="C15" s="49"/>
      <c r="D15" s="49"/>
      <c r="E15" s="11"/>
    </row>
    <row r="16" ht="15.75" customHeight="1">
      <c r="A16" s="31"/>
      <c r="B16" s="58"/>
      <c r="C16" s="49"/>
      <c r="D16" s="49"/>
      <c r="E16" s="11"/>
    </row>
    <row r="17" ht="15.75" customHeight="1">
      <c r="A17" s="31"/>
      <c r="B17" s="58"/>
      <c r="C17" s="49"/>
      <c r="D17" s="49"/>
      <c r="E17" s="11"/>
    </row>
    <row r="18" ht="15.75" customHeight="1">
      <c r="A18" s="31"/>
      <c r="B18" s="58"/>
      <c r="C18" s="49"/>
      <c r="D18" s="49"/>
      <c r="E18" s="11"/>
    </row>
    <row r="19" ht="15.75" customHeight="1">
      <c r="A19" s="31"/>
      <c r="B19" s="58"/>
      <c r="C19" s="49"/>
      <c r="D19" s="49"/>
      <c r="E19" s="11"/>
    </row>
    <row r="20" ht="15.75" customHeight="1">
      <c r="A20" s="31"/>
      <c r="B20" s="58"/>
      <c r="C20" s="49"/>
      <c r="D20" s="49"/>
      <c r="E20" s="11"/>
    </row>
    <row r="21" ht="15.75" customHeight="1">
      <c r="A21" s="31"/>
      <c r="B21" s="58"/>
      <c r="C21" s="49"/>
      <c r="D21" s="49"/>
      <c r="E21" s="11"/>
    </row>
    <row r="22" ht="15.75" customHeight="1">
      <c r="A22" s="31"/>
      <c r="B22" s="58"/>
      <c r="C22" s="49"/>
      <c r="D22" s="49"/>
      <c r="E22" s="11"/>
    </row>
    <row r="23" ht="15.75" customHeight="1">
      <c r="A23" s="31"/>
      <c r="B23" s="58"/>
      <c r="C23" s="49"/>
      <c r="D23" s="49"/>
      <c r="E23" s="11"/>
    </row>
    <row r="24" ht="15.75" customHeight="1">
      <c r="A24" s="31"/>
      <c r="B24" s="58"/>
      <c r="C24" s="49"/>
      <c r="D24" s="49"/>
      <c r="E24" s="11"/>
    </row>
    <row r="25" ht="15.75" customHeight="1">
      <c r="A25" s="31"/>
      <c r="B25" s="58"/>
      <c r="C25" s="49"/>
      <c r="D25" s="49"/>
      <c r="E25" s="11"/>
    </row>
    <row r="26" ht="15.75" customHeight="1">
      <c r="A26" s="31"/>
      <c r="B26" s="58"/>
      <c r="C26" s="49"/>
      <c r="D26" s="49"/>
      <c r="E26" s="11"/>
    </row>
    <row r="27" ht="15.75" customHeight="1">
      <c r="A27" s="31"/>
      <c r="B27" s="58"/>
      <c r="C27" s="49"/>
      <c r="D27" s="49"/>
      <c r="E27" s="11"/>
    </row>
    <row r="28" ht="15.75" customHeight="1">
      <c r="A28" s="31"/>
      <c r="B28" s="58"/>
      <c r="C28" s="49"/>
      <c r="D28" s="49"/>
      <c r="E28" s="11"/>
    </row>
    <row r="29" ht="15.75" customHeight="1">
      <c r="A29" s="31"/>
      <c r="B29" s="58"/>
      <c r="C29" s="49"/>
      <c r="D29" s="49"/>
      <c r="E29" s="11"/>
    </row>
    <row r="30" ht="15.75" customHeight="1">
      <c r="A30" s="31"/>
      <c r="B30" s="58"/>
      <c r="C30" s="49"/>
      <c r="D30" s="49"/>
      <c r="E30" s="11"/>
    </row>
    <row r="31" ht="15.75" customHeight="1">
      <c r="A31" s="31"/>
      <c r="B31" s="58"/>
      <c r="C31" s="49"/>
      <c r="D31" s="49"/>
      <c r="E31" s="11"/>
    </row>
    <row r="32" ht="15.75" customHeight="1">
      <c r="A32" s="31"/>
      <c r="B32" s="58"/>
      <c r="C32" s="49"/>
      <c r="D32" s="49"/>
      <c r="E32" s="11"/>
    </row>
    <row r="33" ht="15.75" customHeight="1">
      <c r="A33" s="31"/>
      <c r="B33" s="58"/>
      <c r="C33" s="49"/>
      <c r="D33" s="49"/>
      <c r="E33" s="11"/>
    </row>
    <row r="34" ht="15.75" customHeight="1">
      <c r="A34" s="31"/>
      <c r="B34" s="58"/>
      <c r="C34" s="49"/>
      <c r="D34" s="49"/>
      <c r="E34" s="11"/>
    </row>
    <row r="35" ht="15.75" customHeight="1">
      <c r="A35" s="31"/>
      <c r="B35" s="58"/>
      <c r="C35" s="49"/>
      <c r="D35" s="49"/>
      <c r="E35" s="11"/>
    </row>
    <row r="36" ht="15.75" customHeight="1">
      <c r="A36" s="31"/>
      <c r="B36" s="58"/>
      <c r="C36" s="49"/>
      <c r="D36" s="49"/>
      <c r="E36" s="11"/>
    </row>
    <row r="37" ht="15.75" customHeight="1">
      <c r="A37" s="31"/>
      <c r="B37" s="58"/>
      <c r="C37" s="49"/>
      <c r="D37" s="49"/>
      <c r="E37" s="11"/>
    </row>
    <row r="38" ht="15.75" customHeight="1">
      <c r="A38" s="31"/>
      <c r="B38" s="58"/>
      <c r="C38" s="49"/>
      <c r="D38" s="49"/>
      <c r="E38" s="11"/>
    </row>
    <row r="39" ht="15.75" customHeight="1">
      <c r="A39" s="31"/>
      <c r="B39" s="58"/>
      <c r="C39" s="49"/>
      <c r="D39" s="49"/>
      <c r="E39" s="11"/>
    </row>
    <row r="40" ht="15.75" customHeight="1">
      <c r="A40" s="31"/>
      <c r="B40" s="58"/>
      <c r="C40" s="49"/>
      <c r="D40" s="49"/>
      <c r="E40" s="11"/>
    </row>
    <row r="41" ht="15.75" customHeight="1">
      <c r="A41" s="31"/>
      <c r="B41" s="58"/>
      <c r="C41" s="49"/>
      <c r="D41" s="49"/>
      <c r="E41" s="11"/>
    </row>
    <row r="42" ht="15.75" customHeight="1">
      <c r="A42" s="31"/>
      <c r="B42" s="58"/>
      <c r="C42" s="49"/>
      <c r="D42" s="49"/>
      <c r="E42" s="11"/>
    </row>
    <row r="43" ht="15.75" customHeight="1">
      <c r="A43" s="31"/>
      <c r="B43" s="58"/>
      <c r="C43" s="49"/>
      <c r="D43" s="49"/>
      <c r="E43" s="11"/>
    </row>
    <row r="44" ht="15.75" customHeight="1">
      <c r="A44" s="31"/>
      <c r="B44" s="58"/>
      <c r="C44" s="49"/>
      <c r="D44" s="49"/>
      <c r="E44" s="11"/>
    </row>
    <row r="45" ht="15.75" customHeight="1">
      <c r="A45" s="31"/>
      <c r="B45" s="58"/>
      <c r="C45" s="49"/>
      <c r="D45" s="49"/>
      <c r="E45" s="11"/>
    </row>
    <row r="46" ht="15.75" customHeight="1">
      <c r="A46" s="31"/>
      <c r="B46" s="58"/>
      <c r="C46" s="49"/>
      <c r="D46" s="49"/>
      <c r="E46" s="11"/>
    </row>
    <row r="47" ht="15.75" customHeight="1">
      <c r="A47" s="31"/>
      <c r="B47" s="58"/>
      <c r="C47" s="49"/>
      <c r="D47" s="49"/>
      <c r="E47" s="11"/>
    </row>
    <row r="48" ht="15.75" customHeight="1">
      <c r="A48" s="31"/>
      <c r="B48" s="58"/>
      <c r="C48" s="49"/>
      <c r="D48" s="49"/>
      <c r="E48" s="11"/>
    </row>
    <row r="49" ht="15.75" customHeight="1">
      <c r="A49" s="31"/>
      <c r="B49" s="58"/>
      <c r="C49" s="49"/>
      <c r="D49" s="49"/>
      <c r="E49" s="11"/>
    </row>
    <row r="50" ht="15.75" customHeight="1">
      <c r="A50" s="31"/>
      <c r="B50" s="58"/>
      <c r="C50" s="49"/>
      <c r="D50" s="49"/>
      <c r="E50" s="11"/>
    </row>
    <row r="51" ht="15.75" customHeight="1">
      <c r="A51" s="31"/>
      <c r="B51" s="58"/>
      <c r="C51" s="49"/>
      <c r="D51" s="49"/>
      <c r="E51" s="11"/>
    </row>
    <row r="52" ht="15.75" customHeight="1">
      <c r="A52" s="31"/>
      <c r="B52" s="58"/>
      <c r="C52" s="49"/>
      <c r="D52" s="49"/>
      <c r="E52" s="11"/>
    </row>
    <row r="53" ht="15.75" customHeight="1">
      <c r="A53" s="31"/>
      <c r="B53" s="58"/>
      <c r="C53" s="49"/>
      <c r="D53" s="49"/>
      <c r="E53" s="11"/>
    </row>
    <row r="54" ht="15.75" customHeight="1">
      <c r="A54" s="31"/>
      <c r="B54" s="58"/>
      <c r="C54" s="49"/>
      <c r="D54" s="49"/>
      <c r="E54" s="11"/>
    </row>
    <row r="55" ht="15.75" customHeight="1">
      <c r="A55" s="31"/>
      <c r="B55" s="58"/>
      <c r="C55" s="49"/>
      <c r="D55" s="49"/>
      <c r="E55" s="11"/>
    </row>
    <row r="56" ht="15.75" customHeight="1">
      <c r="A56" s="31"/>
      <c r="B56" s="58"/>
      <c r="C56" s="49"/>
      <c r="D56" s="49"/>
      <c r="E56" s="11"/>
    </row>
    <row r="57" ht="15.75" customHeight="1">
      <c r="A57" s="31"/>
      <c r="B57" s="58"/>
      <c r="C57" s="49"/>
      <c r="D57" s="49"/>
      <c r="E57" s="11"/>
    </row>
    <row r="58" ht="15.75" customHeight="1">
      <c r="A58" s="31"/>
      <c r="B58" s="58"/>
      <c r="C58" s="49"/>
      <c r="D58" s="49"/>
      <c r="E58" s="11"/>
    </row>
    <row r="59" ht="15.75" customHeight="1">
      <c r="A59" s="31"/>
      <c r="B59" s="58"/>
      <c r="C59" s="49"/>
      <c r="D59" s="49"/>
      <c r="E59" s="11"/>
    </row>
    <row r="60" ht="15.75" customHeight="1">
      <c r="A60" s="31"/>
      <c r="B60" s="58"/>
      <c r="C60" s="49"/>
      <c r="D60" s="49"/>
      <c r="E60" s="11"/>
    </row>
    <row r="61" ht="15.75" customHeight="1">
      <c r="A61" s="31"/>
      <c r="B61" s="58"/>
      <c r="C61" s="49"/>
      <c r="D61" s="49"/>
      <c r="E61" s="11"/>
    </row>
    <row r="62" ht="15.75" customHeight="1">
      <c r="A62" s="31"/>
      <c r="B62" s="58"/>
      <c r="C62" s="49"/>
      <c r="D62" s="49"/>
      <c r="E62" s="11"/>
    </row>
    <row r="63" ht="15.75" customHeight="1">
      <c r="A63" s="31"/>
      <c r="B63" s="58"/>
      <c r="C63" s="49"/>
      <c r="D63" s="49"/>
      <c r="E63" s="11"/>
    </row>
    <row r="64" ht="15.75" customHeight="1">
      <c r="A64" s="31"/>
      <c r="B64" s="58"/>
      <c r="C64" s="49"/>
      <c r="D64" s="49"/>
      <c r="E64" s="11"/>
    </row>
    <row r="65" ht="15.75" customHeight="1">
      <c r="A65" s="31"/>
      <c r="B65" s="58"/>
      <c r="C65" s="49"/>
      <c r="D65" s="49"/>
      <c r="E65" s="11"/>
    </row>
    <row r="66" ht="15.75" customHeight="1">
      <c r="A66" s="31"/>
      <c r="B66" s="58"/>
      <c r="C66" s="49"/>
      <c r="D66" s="49"/>
      <c r="E66" s="11"/>
    </row>
    <row r="67" ht="15.75" customHeight="1">
      <c r="A67" s="31"/>
      <c r="B67" s="58"/>
      <c r="C67" s="49"/>
      <c r="D67" s="49"/>
      <c r="E67" s="11"/>
    </row>
    <row r="68" ht="15.75" customHeight="1">
      <c r="A68" s="31"/>
      <c r="B68" s="58"/>
      <c r="C68" s="49"/>
      <c r="D68" s="49"/>
      <c r="E68" s="11"/>
    </row>
    <row r="69" ht="15.75" customHeight="1">
      <c r="A69" s="31"/>
      <c r="B69" s="58"/>
      <c r="C69" s="49"/>
      <c r="D69" s="49"/>
      <c r="E69" s="11"/>
    </row>
    <row r="70" ht="15.75" customHeight="1">
      <c r="A70" s="31"/>
      <c r="B70" s="58"/>
      <c r="C70" s="49"/>
      <c r="D70" s="49"/>
      <c r="E70" s="11"/>
    </row>
    <row r="71" ht="15.75" customHeight="1">
      <c r="A71" s="31"/>
      <c r="B71" s="58"/>
      <c r="C71" s="49"/>
      <c r="D71" s="49"/>
      <c r="E71" s="11"/>
    </row>
    <row r="72" ht="15.75" customHeight="1">
      <c r="A72" s="31"/>
      <c r="B72" s="58"/>
      <c r="C72" s="49"/>
      <c r="D72" s="49"/>
      <c r="E72" s="11"/>
    </row>
    <row r="73" ht="15.75" customHeight="1">
      <c r="A73" s="31"/>
      <c r="B73" s="58"/>
      <c r="C73" s="49"/>
      <c r="D73" s="49"/>
      <c r="E73" s="11"/>
    </row>
    <row r="74" ht="15.75" customHeight="1">
      <c r="A74" s="31"/>
      <c r="B74" s="58"/>
      <c r="C74" s="49"/>
      <c r="D74" s="49"/>
      <c r="E74" s="11"/>
    </row>
    <row r="75" ht="15.75" customHeight="1">
      <c r="A75" s="31"/>
      <c r="B75" s="58"/>
      <c r="C75" s="49"/>
      <c r="D75" s="49"/>
      <c r="E75" s="11"/>
    </row>
    <row r="76" ht="15.75" customHeight="1">
      <c r="A76" s="31"/>
      <c r="B76" s="58"/>
      <c r="C76" s="49"/>
      <c r="D76" s="49"/>
      <c r="E76" s="11"/>
    </row>
    <row r="77" ht="15.75" customHeight="1">
      <c r="A77" s="31"/>
      <c r="B77" s="58"/>
      <c r="C77" s="49"/>
      <c r="D77" s="49"/>
      <c r="E77" s="11"/>
    </row>
    <row r="78" ht="15.75" customHeight="1">
      <c r="A78" s="31"/>
      <c r="B78" s="58"/>
      <c r="C78" s="49"/>
      <c r="D78" s="49"/>
      <c r="E78" s="11"/>
    </row>
    <row r="79" ht="15.75" customHeight="1">
      <c r="A79" s="31"/>
      <c r="B79" s="58"/>
      <c r="C79" s="49"/>
      <c r="D79" s="49"/>
      <c r="E79" s="11"/>
    </row>
    <row r="80" ht="15.75" customHeight="1">
      <c r="A80" s="31"/>
      <c r="B80" s="58"/>
      <c r="C80" s="49"/>
      <c r="D80" s="49"/>
      <c r="E80" s="11"/>
    </row>
    <row r="81" ht="15.75" customHeight="1">
      <c r="A81" s="31"/>
      <c r="B81" s="58"/>
      <c r="C81" s="49"/>
      <c r="D81" s="49"/>
      <c r="E81" s="11"/>
    </row>
    <row r="82" ht="15.75" customHeight="1">
      <c r="A82" s="31"/>
      <c r="B82" s="58"/>
      <c r="C82" s="49"/>
      <c r="D82" s="49"/>
      <c r="E82" s="11"/>
    </row>
    <row r="83" ht="15.75" customHeight="1">
      <c r="A83" s="31"/>
      <c r="B83" s="58"/>
      <c r="C83" s="49"/>
      <c r="D83" s="49"/>
      <c r="E83" s="11"/>
    </row>
    <row r="84" ht="15.75" customHeight="1">
      <c r="A84" s="31"/>
      <c r="B84" s="58"/>
      <c r="C84" s="49"/>
      <c r="D84" s="49"/>
      <c r="E84" s="11"/>
    </row>
    <row r="85" ht="15.75" customHeight="1">
      <c r="A85" s="31"/>
      <c r="B85" s="58"/>
      <c r="C85" s="49"/>
      <c r="D85" s="49"/>
      <c r="E85" s="11"/>
    </row>
    <row r="86" ht="15.75" customHeight="1">
      <c r="A86" s="31"/>
      <c r="B86" s="58"/>
      <c r="C86" s="49"/>
      <c r="D86" s="49"/>
      <c r="E86" s="11"/>
    </row>
    <row r="87" ht="15.75" customHeight="1">
      <c r="A87" s="31"/>
      <c r="B87" s="58"/>
      <c r="C87" s="49"/>
      <c r="D87" s="49"/>
      <c r="E87" s="11"/>
    </row>
    <row r="88" ht="15.75" customHeight="1">
      <c r="A88" s="31"/>
      <c r="B88" s="58"/>
      <c r="C88" s="49"/>
      <c r="D88" s="49"/>
      <c r="E88" s="11"/>
    </row>
    <row r="89" ht="15.75" customHeight="1">
      <c r="A89" s="31"/>
      <c r="B89" s="58"/>
      <c r="C89" s="49"/>
      <c r="D89" s="49"/>
      <c r="E89" s="11"/>
    </row>
    <row r="90" ht="15.75" customHeight="1">
      <c r="A90" s="31"/>
      <c r="B90" s="58"/>
      <c r="C90" s="49"/>
      <c r="D90" s="49"/>
      <c r="E90" s="11"/>
    </row>
    <row r="91" ht="15.75" customHeight="1">
      <c r="A91" s="31"/>
      <c r="B91" s="58"/>
      <c r="C91" s="49"/>
      <c r="D91" s="49"/>
      <c r="E91" s="11"/>
    </row>
    <row r="92" ht="15.75" customHeight="1">
      <c r="A92" s="31"/>
      <c r="B92" s="58"/>
      <c r="C92" s="49"/>
      <c r="D92" s="49"/>
      <c r="E92" s="11"/>
    </row>
    <row r="93" ht="15.75" customHeight="1">
      <c r="A93" s="31"/>
      <c r="B93" s="58"/>
      <c r="C93" s="49"/>
      <c r="D93" s="49"/>
      <c r="E93" s="11"/>
    </row>
    <row r="94" ht="15.75" customHeight="1">
      <c r="A94" s="31"/>
      <c r="B94" s="58"/>
      <c r="C94" s="49"/>
      <c r="D94" s="49"/>
      <c r="E94" s="11"/>
    </row>
    <row r="95" ht="15.75" customHeight="1">
      <c r="A95" s="31"/>
      <c r="B95" s="58"/>
      <c r="C95" s="49"/>
      <c r="D95" s="49"/>
      <c r="E95" s="11"/>
    </row>
    <row r="96" ht="15.75" customHeight="1">
      <c r="A96" s="31"/>
      <c r="B96" s="58"/>
      <c r="C96" s="49"/>
      <c r="D96" s="49"/>
      <c r="E96" s="11"/>
    </row>
    <row r="97" ht="15.75" customHeight="1">
      <c r="A97" s="31"/>
      <c r="B97" s="58"/>
      <c r="C97" s="49"/>
      <c r="D97" s="49"/>
      <c r="E97" s="11"/>
    </row>
    <row r="98" ht="15.75" customHeight="1">
      <c r="A98" s="31"/>
      <c r="B98" s="58"/>
      <c r="C98" s="49"/>
      <c r="D98" s="49"/>
      <c r="E98" s="11"/>
    </row>
    <row r="99" ht="15.75" customHeight="1">
      <c r="A99" s="31"/>
      <c r="B99" s="58"/>
      <c r="C99" s="49"/>
      <c r="D99" s="49"/>
      <c r="E99" s="11"/>
    </row>
    <row r="100" ht="15.75" customHeight="1">
      <c r="A100" s="31"/>
      <c r="B100" s="58"/>
      <c r="C100" s="49"/>
      <c r="D100" s="49"/>
      <c r="E100" s="11"/>
    </row>
    <row r="101" ht="15.75" customHeight="1">
      <c r="A101" s="31"/>
      <c r="B101" s="58"/>
      <c r="C101" s="49"/>
      <c r="D101" s="49"/>
      <c r="E101" s="11"/>
    </row>
    <row r="102" ht="15.75" customHeight="1">
      <c r="A102" s="31"/>
      <c r="B102" s="58"/>
      <c r="C102" s="49"/>
      <c r="D102" s="49"/>
      <c r="E102" s="11"/>
    </row>
    <row r="103" ht="15.75" customHeight="1">
      <c r="A103" s="31"/>
      <c r="B103" s="58"/>
      <c r="C103" s="49"/>
      <c r="D103" s="49"/>
      <c r="E103" s="11"/>
    </row>
    <row r="104" ht="15.75" customHeight="1">
      <c r="A104" s="31"/>
      <c r="B104" s="58"/>
      <c r="C104" s="49"/>
      <c r="D104" s="49"/>
      <c r="E104" s="11"/>
    </row>
    <row r="105" ht="15.75" customHeight="1">
      <c r="A105" s="31"/>
      <c r="B105" s="58"/>
      <c r="C105" s="49"/>
      <c r="D105" s="49"/>
      <c r="E105" s="11"/>
    </row>
    <row r="106" ht="15.75" customHeight="1">
      <c r="A106" s="31"/>
      <c r="B106" s="58"/>
      <c r="C106" s="49"/>
      <c r="D106" s="49"/>
      <c r="E106" s="11"/>
    </row>
    <row r="107" ht="15.75" customHeight="1">
      <c r="A107" s="31"/>
      <c r="B107" s="58"/>
      <c r="C107" s="49"/>
      <c r="D107" s="49"/>
      <c r="E107" s="11"/>
    </row>
    <row r="108" ht="15.75" customHeight="1">
      <c r="A108" s="31"/>
      <c r="B108" s="58"/>
      <c r="C108" s="49"/>
      <c r="D108" s="49"/>
      <c r="E108" s="11"/>
    </row>
    <row r="109" ht="15.75" customHeight="1">
      <c r="A109" s="31"/>
      <c r="B109" s="58"/>
      <c r="C109" s="49"/>
      <c r="D109" s="49"/>
      <c r="E109" s="11"/>
    </row>
    <row r="110" ht="15.75" customHeight="1">
      <c r="A110" s="31"/>
      <c r="B110" s="58"/>
      <c r="C110" s="49"/>
      <c r="D110" s="49"/>
      <c r="E110" s="11"/>
    </row>
    <row r="111" ht="15.75" customHeight="1">
      <c r="A111" s="31"/>
      <c r="B111" s="58"/>
      <c r="C111" s="49"/>
      <c r="D111" s="49"/>
      <c r="E111" s="11"/>
    </row>
    <row r="112" ht="15.75" customHeight="1">
      <c r="A112" s="31"/>
      <c r="B112" s="58"/>
      <c r="C112" s="49"/>
      <c r="D112" s="49"/>
      <c r="E112" s="11"/>
    </row>
    <row r="113" ht="15.75" customHeight="1">
      <c r="A113" s="31"/>
      <c r="B113" s="58"/>
      <c r="C113" s="49"/>
      <c r="D113" s="49"/>
      <c r="E113" s="11"/>
    </row>
    <row r="114" ht="15.75" customHeight="1">
      <c r="A114" s="31"/>
      <c r="B114" s="58"/>
      <c r="C114" s="49"/>
      <c r="D114" s="49"/>
      <c r="E114" s="11"/>
    </row>
    <row r="115" ht="15.75" customHeight="1">
      <c r="A115" s="31"/>
      <c r="B115" s="58"/>
      <c r="C115" s="49"/>
      <c r="D115" s="49"/>
      <c r="E115" s="11"/>
    </row>
    <row r="116" ht="15.75" customHeight="1">
      <c r="A116" s="31"/>
      <c r="B116" s="58"/>
      <c r="C116" s="49"/>
      <c r="D116" s="49"/>
      <c r="E116" s="11"/>
    </row>
    <row r="117" ht="15.75" customHeight="1">
      <c r="A117" s="31"/>
      <c r="B117" s="58"/>
      <c r="C117" s="49"/>
      <c r="D117" s="49"/>
      <c r="E117" s="11"/>
    </row>
    <row r="118" ht="15.75" customHeight="1">
      <c r="A118" s="31"/>
      <c r="B118" s="58"/>
      <c r="C118" s="49"/>
      <c r="D118" s="49"/>
      <c r="E118" s="11"/>
    </row>
    <row r="119" ht="15.75" customHeight="1">
      <c r="A119" s="31"/>
      <c r="B119" s="58"/>
      <c r="C119" s="49"/>
      <c r="D119" s="49"/>
      <c r="E119" s="11"/>
    </row>
    <row r="120" ht="15.75" customHeight="1">
      <c r="A120" s="31"/>
      <c r="B120" s="58"/>
      <c r="C120" s="49"/>
      <c r="D120" s="49"/>
      <c r="E120" s="11"/>
    </row>
    <row r="121" ht="15.75" customHeight="1">
      <c r="A121" s="31"/>
      <c r="B121" s="58"/>
      <c r="C121" s="49"/>
      <c r="D121" s="49"/>
      <c r="E121" s="11"/>
    </row>
    <row r="122" ht="15.75" customHeight="1">
      <c r="A122" s="31"/>
      <c r="B122" s="58"/>
      <c r="C122" s="49"/>
      <c r="D122" s="49"/>
      <c r="E122" s="11"/>
    </row>
    <row r="123" ht="15.75" customHeight="1">
      <c r="A123" s="31"/>
      <c r="B123" s="58"/>
      <c r="C123" s="49"/>
      <c r="D123" s="49"/>
      <c r="E123" s="11"/>
    </row>
    <row r="124" ht="15.75" customHeight="1">
      <c r="A124" s="31"/>
      <c r="B124" s="58"/>
      <c r="C124" s="49"/>
      <c r="D124" s="49"/>
      <c r="E124" s="11"/>
    </row>
    <row r="125" ht="15.75" customHeight="1">
      <c r="A125" s="31"/>
      <c r="B125" s="58"/>
      <c r="C125" s="49"/>
      <c r="D125" s="49"/>
      <c r="E125" s="11"/>
    </row>
    <row r="126" ht="15.75" customHeight="1">
      <c r="A126" s="31"/>
      <c r="B126" s="58"/>
      <c r="C126" s="49"/>
      <c r="D126" s="49"/>
      <c r="E126" s="11"/>
    </row>
    <row r="127" ht="15.75" customHeight="1">
      <c r="A127" s="31"/>
      <c r="B127" s="58"/>
      <c r="C127" s="49"/>
      <c r="D127" s="49"/>
      <c r="E127" s="11"/>
    </row>
    <row r="128" ht="15.75" customHeight="1">
      <c r="A128" s="31"/>
      <c r="B128" s="58"/>
      <c r="C128" s="49"/>
      <c r="D128" s="49"/>
      <c r="E128" s="11"/>
    </row>
    <row r="129" ht="15.75" customHeight="1">
      <c r="A129" s="31"/>
      <c r="B129" s="58"/>
      <c r="C129" s="49"/>
      <c r="D129" s="49"/>
      <c r="E129" s="11"/>
    </row>
    <row r="130" ht="15.75" customHeight="1">
      <c r="A130" s="31"/>
      <c r="B130" s="58"/>
      <c r="C130" s="49"/>
      <c r="D130" s="49"/>
      <c r="E130" s="11"/>
    </row>
    <row r="131" ht="15.75" customHeight="1">
      <c r="A131" s="31"/>
      <c r="B131" s="58"/>
      <c r="C131" s="49"/>
      <c r="D131" s="49"/>
      <c r="E131" s="11"/>
    </row>
    <row r="132" ht="15.75" customHeight="1">
      <c r="A132" s="31"/>
      <c r="B132" s="58"/>
      <c r="C132" s="49"/>
      <c r="D132" s="49"/>
      <c r="E132" s="11"/>
    </row>
    <row r="133" ht="15.75" customHeight="1">
      <c r="A133" s="31"/>
      <c r="B133" s="58"/>
      <c r="C133" s="49"/>
      <c r="D133" s="49"/>
      <c r="E133" s="11"/>
    </row>
    <row r="134" ht="15.75" customHeight="1">
      <c r="A134" s="31"/>
      <c r="B134" s="58"/>
      <c r="C134" s="49"/>
      <c r="D134" s="49"/>
      <c r="E134" s="11"/>
    </row>
    <row r="135" ht="15.75" customHeight="1">
      <c r="A135" s="31"/>
      <c r="B135" s="58"/>
      <c r="C135" s="49"/>
      <c r="D135" s="49"/>
      <c r="E135" s="11"/>
    </row>
    <row r="136" ht="15.75" customHeight="1">
      <c r="A136" s="31"/>
      <c r="B136" s="58"/>
      <c r="C136" s="49"/>
      <c r="D136" s="49"/>
      <c r="E136" s="11"/>
    </row>
    <row r="137" ht="15.75" customHeight="1">
      <c r="A137" s="31"/>
      <c r="B137" s="58"/>
      <c r="C137" s="49"/>
      <c r="D137" s="49"/>
      <c r="E137" s="11"/>
    </row>
    <row r="138" ht="15.75" customHeight="1">
      <c r="A138" s="31"/>
      <c r="B138" s="58"/>
      <c r="C138" s="49"/>
      <c r="D138" s="49"/>
      <c r="E138" s="11"/>
    </row>
    <row r="139" ht="15.75" customHeight="1">
      <c r="A139" s="31"/>
      <c r="B139" s="58"/>
      <c r="C139" s="49"/>
      <c r="D139" s="49"/>
      <c r="E139" s="11"/>
    </row>
    <row r="140" ht="15.75" customHeight="1">
      <c r="A140" s="31"/>
      <c r="B140" s="58"/>
      <c r="C140" s="49"/>
      <c r="D140" s="49"/>
      <c r="E140" s="11"/>
    </row>
    <row r="141" ht="15.75" customHeight="1">
      <c r="A141" s="31"/>
      <c r="B141" s="58"/>
      <c r="C141" s="49"/>
      <c r="D141" s="49"/>
      <c r="E141" s="11"/>
    </row>
    <row r="142" ht="15.75" customHeight="1">
      <c r="A142" s="31"/>
      <c r="B142" s="58"/>
      <c r="C142" s="49"/>
      <c r="D142" s="49"/>
      <c r="E142" s="11"/>
    </row>
    <row r="143" ht="15.75" customHeight="1">
      <c r="A143" s="31"/>
      <c r="B143" s="58"/>
      <c r="C143" s="49"/>
      <c r="D143" s="49"/>
      <c r="E143" s="11"/>
    </row>
    <row r="144" ht="15.75" customHeight="1">
      <c r="A144" s="31"/>
      <c r="B144" s="58"/>
      <c r="C144" s="49"/>
      <c r="D144" s="49"/>
      <c r="E144" s="11"/>
    </row>
    <row r="145" ht="15.75" customHeight="1">
      <c r="A145" s="31"/>
      <c r="B145" s="58"/>
      <c r="C145" s="49"/>
      <c r="D145" s="49"/>
      <c r="E145" s="11"/>
    </row>
    <row r="146" ht="15.75" customHeight="1">
      <c r="A146" s="31"/>
      <c r="B146" s="58"/>
      <c r="C146" s="49"/>
      <c r="D146" s="49"/>
      <c r="E146" s="11"/>
    </row>
    <row r="147" ht="15.75" customHeight="1">
      <c r="A147" s="31"/>
      <c r="B147" s="58"/>
      <c r="C147" s="49"/>
      <c r="D147" s="49"/>
      <c r="E147" s="11"/>
    </row>
    <row r="148" ht="15.75" customHeight="1">
      <c r="A148" s="31"/>
      <c r="B148" s="58"/>
      <c r="C148" s="49"/>
      <c r="D148" s="49"/>
      <c r="E148" s="11"/>
    </row>
    <row r="149" ht="15.75" customHeight="1">
      <c r="A149" s="31"/>
      <c r="B149" s="58"/>
      <c r="C149" s="49"/>
      <c r="D149" s="49"/>
      <c r="E149" s="11"/>
    </row>
    <row r="150" ht="15.75" customHeight="1">
      <c r="A150" s="31"/>
      <c r="B150" s="58"/>
      <c r="C150" s="49"/>
      <c r="D150" s="49"/>
      <c r="E150" s="11"/>
    </row>
    <row r="151" ht="15.75" customHeight="1">
      <c r="A151" s="31"/>
      <c r="B151" s="58"/>
      <c r="C151" s="49"/>
      <c r="D151" s="49"/>
      <c r="E151" s="11"/>
    </row>
    <row r="152" ht="15.75" customHeight="1">
      <c r="A152" s="31"/>
      <c r="B152" s="58"/>
      <c r="C152" s="49"/>
      <c r="D152" s="49"/>
      <c r="E152" s="11"/>
    </row>
    <row r="153" ht="15.75" customHeight="1">
      <c r="A153" s="31"/>
      <c r="B153" s="58"/>
      <c r="C153" s="49"/>
      <c r="D153" s="49"/>
      <c r="E153" s="11"/>
    </row>
    <row r="154" ht="15.75" customHeight="1">
      <c r="A154" s="31"/>
      <c r="B154" s="58"/>
      <c r="C154" s="49"/>
      <c r="D154" s="49"/>
      <c r="E154" s="11"/>
    </row>
    <row r="155" ht="15.75" customHeight="1">
      <c r="A155" s="31"/>
      <c r="B155" s="58"/>
      <c r="C155" s="49"/>
      <c r="D155" s="49"/>
      <c r="E155" s="11"/>
    </row>
    <row r="156" ht="15.75" customHeight="1">
      <c r="A156" s="31"/>
      <c r="B156" s="58"/>
      <c r="C156" s="49"/>
      <c r="D156" s="49"/>
      <c r="E156" s="11"/>
    </row>
    <row r="157" ht="15.75" customHeight="1">
      <c r="A157" s="31"/>
      <c r="B157" s="58"/>
      <c r="C157" s="49"/>
      <c r="D157" s="49"/>
      <c r="E157" s="11"/>
    </row>
    <row r="158" ht="15.75" customHeight="1">
      <c r="A158" s="31"/>
      <c r="B158" s="58"/>
      <c r="C158" s="49"/>
      <c r="D158" s="49"/>
      <c r="E158" s="11"/>
    </row>
    <row r="159" ht="15.75" customHeight="1">
      <c r="A159" s="31"/>
      <c r="B159" s="58"/>
      <c r="C159" s="49"/>
      <c r="D159" s="49"/>
      <c r="E159" s="11"/>
    </row>
    <row r="160" ht="15.75" customHeight="1">
      <c r="A160" s="31"/>
      <c r="B160" s="58"/>
      <c r="C160" s="49"/>
      <c r="D160" s="49"/>
      <c r="E160" s="11"/>
    </row>
    <row r="161" ht="15.75" customHeight="1">
      <c r="A161" s="31"/>
      <c r="B161" s="58"/>
      <c r="C161" s="49"/>
      <c r="D161" s="49"/>
      <c r="E161" s="11"/>
    </row>
    <row r="162" ht="15.75" customHeight="1">
      <c r="A162" s="31"/>
      <c r="B162" s="58"/>
      <c r="C162" s="49"/>
      <c r="D162" s="49"/>
      <c r="E162" s="11"/>
    </row>
    <row r="163" ht="15.75" customHeight="1">
      <c r="A163" s="31"/>
      <c r="B163" s="58"/>
      <c r="C163" s="49"/>
      <c r="D163" s="49"/>
      <c r="E163" s="11"/>
    </row>
    <row r="164" ht="15.75" customHeight="1">
      <c r="A164" s="31"/>
      <c r="B164" s="58"/>
      <c r="C164" s="49"/>
      <c r="D164" s="49"/>
      <c r="E164" s="11"/>
    </row>
    <row r="165" ht="15.75" customHeight="1">
      <c r="A165" s="31"/>
      <c r="B165" s="58"/>
      <c r="C165" s="49"/>
      <c r="D165" s="49"/>
      <c r="E165" s="11"/>
    </row>
    <row r="166" ht="15.75" customHeight="1">
      <c r="A166" s="31"/>
      <c r="B166" s="58"/>
      <c r="C166" s="49"/>
      <c r="D166" s="49"/>
      <c r="E166" s="11"/>
    </row>
    <row r="167" ht="15.75" customHeight="1">
      <c r="A167" s="31"/>
      <c r="B167" s="58"/>
      <c r="C167" s="49"/>
      <c r="D167" s="49"/>
      <c r="E167" s="11"/>
    </row>
    <row r="168" ht="15.75" customHeight="1">
      <c r="A168" s="31"/>
      <c r="B168" s="58"/>
      <c r="C168" s="49"/>
      <c r="D168" s="49"/>
      <c r="E168" s="11"/>
    </row>
    <row r="169" ht="15.75" customHeight="1">
      <c r="A169" s="31"/>
      <c r="B169" s="58"/>
      <c r="C169" s="49"/>
      <c r="D169" s="49"/>
      <c r="E169" s="11"/>
    </row>
    <row r="170" ht="15.75" customHeight="1">
      <c r="A170" s="31"/>
      <c r="B170" s="58"/>
      <c r="C170" s="49"/>
      <c r="D170" s="49"/>
      <c r="E170" s="11"/>
    </row>
    <row r="171" ht="15.75" customHeight="1">
      <c r="A171" s="31"/>
      <c r="B171" s="58"/>
      <c r="C171" s="49"/>
      <c r="D171" s="49"/>
      <c r="E171" s="11"/>
    </row>
    <row r="172" ht="15.75" customHeight="1">
      <c r="A172" s="31"/>
      <c r="B172" s="58"/>
      <c r="C172" s="49"/>
      <c r="D172" s="49"/>
      <c r="E172" s="11"/>
    </row>
    <row r="173" ht="15.75" customHeight="1">
      <c r="A173" s="31"/>
      <c r="B173" s="58"/>
      <c r="C173" s="49"/>
      <c r="D173" s="49"/>
      <c r="E173" s="11"/>
    </row>
    <row r="174" ht="15.75" customHeight="1">
      <c r="A174" s="31"/>
      <c r="B174" s="58"/>
      <c r="C174" s="49"/>
      <c r="D174" s="49"/>
      <c r="E174" s="11"/>
    </row>
    <row r="175" ht="15.75" customHeight="1">
      <c r="A175" s="31"/>
      <c r="B175" s="58"/>
      <c r="C175" s="49"/>
      <c r="D175" s="49"/>
      <c r="E175" s="11"/>
    </row>
    <row r="176" ht="15.75" customHeight="1">
      <c r="A176" s="31"/>
      <c r="B176" s="58"/>
      <c r="C176" s="49"/>
      <c r="D176" s="49"/>
      <c r="E176" s="11"/>
    </row>
    <row r="177" ht="15.75" customHeight="1">
      <c r="A177" s="31"/>
      <c r="B177" s="58"/>
      <c r="C177" s="49"/>
      <c r="D177" s="49"/>
      <c r="E177" s="11"/>
    </row>
    <row r="178" ht="15.75" customHeight="1">
      <c r="A178" s="31"/>
      <c r="B178" s="58"/>
      <c r="C178" s="49"/>
      <c r="D178" s="49"/>
      <c r="E178" s="11"/>
    </row>
    <row r="179" ht="15.75" customHeight="1">
      <c r="A179" s="31"/>
      <c r="B179" s="58"/>
      <c r="C179" s="49"/>
      <c r="D179" s="49"/>
      <c r="E179" s="11"/>
    </row>
    <row r="180" ht="15.75" customHeight="1">
      <c r="A180" s="31"/>
      <c r="B180" s="58"/>
      <c r="C180" s="49"/>
      <c r="D180" s="49"/>
      <c r="E180" s="11"/>
    </row>
    <row r="181" ht="15.75" customHeight="1">
      <c r="A181" s="31"/>
      <c r="B181" s="58"/>
      <c r="C181" s="49"/>
      <c r="D181" s="49"/>
      <c r="E181" s="11"/>
    </row>
    <row r="182" ht="15.75" customHeight="1">
      <c r="A182" s="31"/>
      <c r="B182" s="58"/>
      <c r="C182" s="49"/>
      <c r="D182" s="49"/>
      <c r="E182" s="11"/>
    </row>
    <row r="183" ht="15.75" customHeight="1">
      <c r="A183" s="31"/>
      <c r="B183" s="58"/>
      <c r="C183" s="49"/>
      <c r="D183" s="49"/>
      <c r="E183" s="11"/>
    </row>
    <row r="184" ht="15.75" customHeight="1">
      <c r="A184" s="31"/>
      <c r="B184" s="58"/>
      <c r="C184" s="49"/>
      <c r="D184" s="49"/>
      <c r="E184" s="11"/>
    </row>
    <row r="185" ht="15.75" customHeight="1">
      <c r="A185" s="31"/>
      <c r="B185" s="58"/>
      <c r="C185" s="49"/>
      <c r="D185" s="49"/>
      <c r="E185" s="11"/>
    </row>
    <row r="186" ht="15.75" customHeight="1">
      <c r="A186" s="31"/>
      <c r="B186" s="58"/>
      <c r="C186" s="49"/>
      <c r="D186" s="49"/>
      <c r="E186" s="11"/>
    </row>
    <row r="187" ht="15.75" customHeight="1">
      <c r="A187" s="31"/>
      <c r="B187" s="58"/>
      <c r="C187" s="49"/>
      <c r="D187" s="49"/>
      <c r="E187" s="11"/>
    </row>
    <row r="188" ht="15.75" customHeight="1">
      <c r="A188" s="31"/>
      <c r="B188" s="58"/>
      <c r="C188" s="49"/>
      <c r="D188" s="49"/>
      <c r="E188" s="11"/>
    </row>
    <row r="189" ht="15.75" customHeight="1">
      <c r="A189" s="31"/>
      <c r="B189" s="58"/>
      <c r="C189" s="49"/>
      <c r="D189" s="49"/>
      <c r="E189" s="11"/>
    </row>
    <row r="190" ht="15.75" customHeight="1">
      <c r="A190" s="31"/>
      <c r="B190" s="58"/>
      <c r="C190" s="49"/>
      <c r="D190" s="49"/>
      <c r="E190" s="11"/>
    </row>
    <row r="191" ht="15.75" customHeight="1">
      <c r="A191" s="31"/>
      <c r="B191" s="58"/>
      <c r="C191" s="49"/>
      <c r="D191" s="49"/>
      <c r="E191" s="11"/>
    </row>
    <row r="192" ht="15.75" customHeight="1">
      <c r="A192" s="31"/>
      <c r="B192" s="58"/>
      <c r="C192" s="49"/>
      <c r="D192" s="49"/>
      <c r="E192" s="11"/>
    </row>
    <row r="193" ht="15.75" customHeight="1">
      <c r="A193" s="31"/>
      <c r="B193" s="58"/>
      <c r="C193" s="49"/>
      <c r="D193" s="49"/>
      <c r="E193" s="11"/>
    </row>
    <row r="194" ht="15.75" customHeight="1">
      <c r="A194" s="31"/>
      <c r="B194" s="58"/>
      <c r="C194" s="49"/>
      <c r="D194" s="49"/>
      <c r="E194" s="11"/>
    </row>
    <row r="195" ht="15.75" customHeight="1">
      <c r="A195" s="31"/>
      <c r="B195" s="58"/>
      <c r="C195" s="49"/>
      <c r="D195" s="49"/>
      <c r="E195" s="11"/>
    </row>
    <row r="196" ht="15.75" customHeight="1">
      <c r="A196" s="31"/>
      <c r="B196" s="58"/>
      <c r="C196" s="49"/>
      <c r="D196" s="49"/>
      <c r="E196" s="11"/>
    </row>
    <row r="197" ht="15.75" customHeight="1">
      <c r="A197" s="31"/>
      <c r="B197" s="58"/>
      <c r="C197" s="49"/>
      <c r="D197" s="49"/>
      <c r="E197" s="11"/>
    </row>
    <row r="198" ht="15.75" customHeight="1">
      <c r="A198" s="31"/>
      <c r="B198" s="58"/>
      <c r="C198" s="49"/>
      <c r="D198" s="49"/>
      <c r="E198" s="11"/>
    </row>
    <row r="199" ht="15.75" customHeight="1">
      <c r="A199" s="31"/>
      <c r="B199" s="58"/>
      <c r="C199" s="49"/>
      <c r="D199" s="49"/>
      <c r="E199" s="11"/>
    </row>
    <row r="200" ht="15.75" customHeight="1">
      <c r="A200" s="31"/>
      <c r="B200" s="58"/>
      <c r="C200" s="49"/>
      <c r="D200" s="49"/>
      <c r="E200" s="11"/>
    </row>
    <row r="201" ht="15.75" customHeight="1">
      <c r="A201" s="31"/>
      <c r="B201" s="58"/>
      <c r="C201" s="49"/>
      <c r="D201" s="49"/>
      <c r="E201" s="11"/>
    </row>
    <row r="202" ht="15.75" customHeight="1">
      <c r="A202" s="31"/>
      <c r="B202" s="58"/>
      <c r="C202" s="49"/>
      <c r="D202" s="49"/>
      <c r="E202" s="11"/>
    </row>
    <row r="203" ht="15.75" customHeight="1">
      <c r="A203" s="31"/>
      <c r="B203" s="58"/>
      <c r="C203" s="49"/>
      <c r="D203" s="49"/>
      <c r="E203" s="11"/>
    </row>
    <row r="204" ht="15.75" customHeight="1">
      <c r="A204" s="31"/>
      <c r="B204" s="58"/>
      <c r="C204" s="49"/>
      <c r="D204" s="49"/>
      <c r="E204" s="11"/>
    </row>
    <row r="205" ht="15.75" customHeight="1">
      <c r="A205" s="31"/>
      <c r="B205" s="58"/>
      <c r="C205" s="49"/>
      <c r="D205" s="49"/>
      <c r="E205" s="11"/>
    </row>
    <row r="206" ht="15.75" customHeight="1">
      <c r="A206" s="31"/>
      <c r="B206" s="58"/>
      <c r="C206" s="49"/>
      <c r="D206" s="49"/>
      <c r="E206" s="11"/>
    </row>
    <row r="207" ht="15.75" customHeight="1">
      <c r="A207" s="31"/>
      <c r="B207" s="58"/>
      <c r="C207" s="49"/>
      <c r="D207" s="49"/>
      <c r="E207" s="11"/>
    </row>
    <row r="208" ht="15.75" customHeight="1">
      <c r="A208" s="31"/>
      <c r="B208" s="58"/>
      <c r="C208" s="49"/>
      <c r="D208" s="49"/>
      <c r="E208" s="11"/>
    </row>
    <row r="209" ht="15.75" customHeight="1">
      <c r="A209" s="31"/>
      <c r="B209" s="58"/>
      <c r="C209" s="49"/>
      <c r="D209" s="49"/>
      <c r="E209" s="11"/>
    </row>
    <row r="210" ht="15.75" customHeight="1">
      <c r="A210" s="31"/>
      <c r="B210" s="58"/>
      <c r="C210" s="49"/>
      <c r="D210" s="49"/>
      <c r="E210" s="11"/>
    </row>
    <row r="211" ht="15.75" customHeight="1">
      <c r="A211" s="31"/>
      <c r="B211" s="58"/>
      <c r="C211" s="49"/>
      <c r="D211" s="49"/>
      <c r="E211" s="11"/>
    </row>
    <row r="212" ht="15.75" customHeight="1">
      <c r="A212" s="31"/>
      <c r="B212" s="58"/>
      <c r="C212" s="49"/>
      <c r="D212" s="49"/>
      <c r="E212" s="11"/>
    </row>
    <row r="213" ht="15.75" customHeight="1">
      <c r="A213" s="31"/>
      <c r="B213" s="58"/>
      <c r="C213" s="49"/>
      <c r="D213" s="49"/>
      <c r="E213" s="11"/>
    </row>
    <row r="214" ht="15.75" customHeight="1">
      <c r="A214" s="31"/>
      <c r="B214" s="58"/>
      <c r="C214" s="49"/>
      <c r="D214" s="49"/>
      <c r="E214" s="11"/>
    </row>
    <row r="215" ht="15.75" customHeight="1">
      <c r="A215" s="31"/>
      <c r="B215" s="58"/>
      <c r="C215" s="49"/>
      <c r="D215" s="49"/>
      <c r="E215" s="11"/>
    </row>
    <row r="216" ht="15.75" customHeight="1">
      <c r="A216" s="31"/>
      <c r="B216" s="58"/>
      <c r="C216" s="49"/>
      <c r="D216" s="49"/>
      <c r="E216" s="11"/>
    </row>
    <row r="217" ht="15.75" customHeight="1">
      <c r="A217" s="31"/>
      <c r="B217" s="58"/>
      <c r="C217" s="49"/>
      <c r="D217" s="49"/>
      <c r="E217" s="11"/>
    </row>
    <row r="218" ht="15.75" customHeight="1">
      <c r="A218" s="31"/>
      <c r="B218" s="58"/>
      <c r="C218" s="49"/>
      <c r="D218" s="49"/>
      <c r="E218" s="11"/>
    </row>
    <row r="219" ht="15.75" customHeight="1">
      <c r="A219" s="31"/>
      <c r="B219" s="58"/>
      <c r="C219" s="49"/>
      <c r="D219" s="49"/>
      <c r="E219" s="11"/>
    </row>
    <row r="220" ht="15.75" customHeight="1">
      <c r="A220" s="31"/>
      <c r="B220" s="58"/>
      <c r="C220" s="49"/>
      <c r="D220" s="49"/>
      <c r="E220" s="11"/>
    </row>
    <row r="221" ht="15.75" customHeight="1">
      <c r="A221" s="55"/>
      <c r="E221" s="11"/>
    </row>
    <row r="222" ht="15.75" customHeight="1">
      <c r="A222" s="55"/>
      <c r="E222" s="11"/>
    </row>
    <row r="223" ht="15.75" customHeight="1">
      <c r="A223" s="55"/>
      <c r="E223" s="11"/>
    </row>
    <row r="224" ht="15.75" customHeight="1">
      <c r="A224" s="55"/>
      <c r="E224" s="11"/>
    </row>
    <row r="225" ht="15.75" customHeight="1">
      <c r="A225" s="55"/>
      <c r="E225" s="11"/>
    </row>
    <row r="226" ht="15.75" customHeight="1">
      <c r="A226" s="55"/>
      <c r="E226" s="11"/>
    </row>
    <row r="227" ht="15.75" customHeight="1">
      <c r="A227" s="55"/>
      <c r="E227" s="11"/>
    </row>
    <row r="228" ht="15.75" customHeight="1">
      <c r="A228" s="55"/>
      <c r="E228" s="11"/>
    </row>
    <row r="229" ht="15.75" customHeight="1">
      <c r="A229" s="55"/>
      <c r="E229" s="11"/>
    </row>
    <row r="230" ht="15.75" customHeight="1">
      <c r="A230" s="55"/>
      <c r="E230" s="11"/>
    </row>
    <row r="231" ht="15.75" customHeight="1">
      <c r="A231" s="55"/>
      <c r="E231" s="11"/>
    </row>
    <row r="232" ht="15.75" customHeight="1">
      <c r="A232" s="55"/>
      <c r="E232" s="11"/>
    </row>
    <row r="233" ht="15.75" customHeight="1">
      <c r="A233" s="55"/>
      <c r="E233" s="11"/>
    </row>
    <row r="234" ht="15.75" customHeight="1">
      <c r="A234" s="55"/>
      <c r="E234" s="11"/>
    </row>
    <row r="235" ht="15.75" customHeight="1">
      <c r="A235" s="55"/>
      <c r="E235" s="11"/>
    </row>
    <row r="236" ht="15.75" customHeight="1">
      <c r="A236" s="55"/>
      <c r="E236" s="11"/>
    </row>
    <row r="237" ht="15.75" customHeight="1">
      <c r="A237" s="55"/>
      <c r="E237" s="11"/>
    </row>
    <row r="238" ht="15.75" customHeight="1">
      <c r="A238" s="55"/>
      <c r="E238" s="11"/>
    </row>
    <row r="239" ht="15.75" customHeight="1">
      <c r="A239" s="55"/>
      <c r="E239" s="11"/>
    </row>
    <row r="240" ht="15.75" customHeight="1">
      <c r="A240" s="55"/>
      <c r="E240" s="11"/>
    </row>
    <row r="241" ht="15.75" customHeight="1">
      <c r="A241" s="55"/>
      <c r="E241" s="11"/>
    </row>
    <row r="242" ht="15.75" customHeight="1">
      <c r="A242" s="55"/>
      <c r="E242" s="11"/>
    </row>
    <row r="243" ht="15.75" customHeight="1">
      <c r="A243" s="55"/>
      <c r="E243" s="11"/>
    </row>
    <row r="244" ht="15.75" customHeight="1">
      <c r="A244" s="55"/>
      <c r="E244" s="11"/>
    </row>
    <row r="245" ht="15.75" customHeight="1">
      <c r="A245" s="55"/>
      <c r="E245" s="11"/>
    </row>
    <row r="246" ht="15.75" customHeight="1">
      <c r="A246" s="55"/>
      <c r="E246" s="11"/>
    </row>
    <row r="247" ht="15.75" customHeight="1">
      <c r="A247" s="55"/>
      <c r="E247" s="11"/>
    </row>
    <row r="248" ht="15.75" customHeight="1">
      <c r="A248" s="55"/>
      <c r="E248" s="11"/>
    </row>
    <row r="249" ht="15.75" customHeight="1">
      <c r="A249" s="55"/>
      <c r="E249" s="11"/>
    </row>
    <row r="250" ht="15.75" customHeight="1">
      <c r="A250" s="55"/>
      <c r="E250" s="11"/>
    </row>
    <row r="251" ht="15.75" customHeight="1">
      <c r="A251" s="55"/>
      <c r="E251" s="11"/>
    </row>
    <row r="252" ht="15.75" customHeight="1">
      <c r="A252" s="55"/>
      <c r="E252" s="11"/>
    </row>
    <row r="253" ht="15.75" customHeight="1">
      <c r="A253" s="55"/>
      <c r="E253" s="11"/>
    </row>
    <row r="254" ht="15.75" customHeight="1">
      <c r="A254" s="55"/>
      <c r="E254" s="11"/>
    </row>
    <row r="255" ht="15.75" customHeight="1">
      <c r="A255" s="55"/>
      <c r="E255" s="11"/>
    </row>
    <row r="256" ht="15.75" customHeight="1">
      <c r="A256" s="55"/>
      <c r="E256" s="11"/>
    </row>
    <row r="257" ht="15.75" customHeight="1">
      <c r="A257" s="55"/>
      <c r="E257" s="11"/>
    </row>
    <row r="258" ht="15.75" customHeight="1">
      <c r="A258" s="55"/>
      <c r="E258" s="11"/>
    </row>
    <row r="259" ht="15.75" customHeight="1">
      <c r="A259" s="55"/>
      <c r="E259" s="11"/>
    </row>
    <row r="260" ht="15.75" customHeight="1">
      <c r="A260" s="55"/>
      <c r="E260" s="11"/>
    </row>
    <row r="261" ht="15.75" customHeight="1">
      <c r="A261" s="55"/>
      <c r="E261" s="11"/>
    </row>
    <row r="262" ht="15.75" customHeight="1">
      <c r="A262" s="55"/>
      <c r="E262" s="11"/>
    </row>
    <row r="263" ht="15.75" customHeight="1">
      <c r="A263" s="55"/>
      <c r="E263" s="11"/>
    </row>
    <row r="264" ht="15.75" customHeight="1">
      <c r="A264" s="55"/>
      <c r="E264" s="11"/>
    </row>
    <row r="265" ht="15.75" customHeight="1">
      <c r="A265" s="55"/>
      <c r="E265" s="11"/>
    </row>
    <row r="266" ht="15.75" customHeight="1">
      <c r="A266" s="55"/>
      <c r="E266" s="11"/>
    </row>
    <row r="267" ht="15.75" customHeight="1">
      <c r="A267" s="55"/>
      <c r="E267" s="11"/>
    </row>
    <row r="268" ht="15.75" customHeight="1">
      <c r="A268" s="55"/>
      <c r="E268" s="11"/>
    </row>
    <row r="269" ht="15.75" customHeight="1">
      <c r="A269" s="55"/>
      <c r="E269" s="11"/>
    </row>
    <row r="270" ht="15.75" customHeight="1">
      <c r="A270" s="55"/>
      <c r="E270" s="11"/>
    </row>
    <row r="271" ht="15.75" customHeight="1">
      <c r="A271" s="55"/>
      <c r="E271" s="11"/>
    </row>
    <row r="272" ht="15.75" customHeight="1">
      <c r="A272" s="55"/>
      <c r="E272" s="11"/>
    </row>
    <row r="273" ht="15.75" customHeight="1">
      <c r="A273" s="55"/>
      <c r="E273" s="11"/>
    </row>
    <row r="274" ht="15.75" customHeight="1">
      <c r="A274" s="55"/>
      <c r="E274" s="11"/>
    </row>
    <row r="275" ht="15.75" customHeight="1">
      <c r="A275" s="55"/>
      <c r="E275" s="11"/>
    </row>
    <row r="276" ht="15.75" customHeight="1">
      <c r="A276" s="55"/>
      <c r="E276" s="11"/>
    </row>
    <row r="277" ht="15.75" customHeight="1">
      <c r="A277" s="55"/>
      <c r="E277" s="11"/>
    </row>
    <row r="278" ht="15.75" customHeight="1">
      <c r="A278" s="55"/>
      <c r="E278" s="11"/>
    </row>
    <row r="279" ht="15.75" customHeight="1">
      <c r="A279" s="55"/>
      <c r="E279" s="11"/>
    </row>
    <row r="280" ht="15.75" customHeight="1">
      <c r="A280" s="55"/>
      <c r="E280" s="11"/>
    </row>
    <row r="281" ht="15.75" customHeight="1">
      <c r="A281" s="55"/>
      <c r="E281" s="11"/>
    </row>
    <row r="282" ht="15.75" customHeight="1">
      <c r="A282" s="55"/>
      <c r="E282" s="11"/>
    </row>
    <row r="283" ht="15.75" customHeight="1">
      <c r="A283" s="55"/>
      <c r="E283" s="11"/>
    </row>
    <row r="284" ht="15.75" customHeight="1">
      <c r="A284" s="55"/>
      <c r="E284" s="11"/>
    </row>
    <row r="285" ht="15.75" customHeight="1">
      <c r="A285" s="55"/>
      <c r="E285" s="11"/>
    </row>
    <row r="286" ht="15.75" customHeight="1">
      <c r="A286" s="55"/>
      <c r="E286" s="11"/>
    </row>
    <row r="287" ht="15.75" customHeight="1">
      <c r="A287" s="55"/>
      <c r="E287" s="11"/>
    </row>
    <row r="288" ht="15.75" customHeight="1">
      <c r="A288" s="55"/>
      <c r="E288" s="11"/>
    </row>
    <row r="289" ht="15.75" customHeight="1">
      <c r="A289" s="55"/>
      <c r="E289" s="11"/>
    </row>
    <row r="290" ht="15.75" customHeight="1">
      <c r="A290" s="55"/>
      <c r="E290" s="11"/>
    </row>
    <row r="291" ht="15.75" customHeight="1">
      <c r="A291" s="55"/>
      <c r="E291" s="11"/>
    </row>
    <row r="292" ht="15.75" customHeight="1">
      <c r="A292" s="55"/>
      <c r="E292" s="11"/>
    </row>
    <row r="293" ht="15.75" customHeight="1">
      <c r="A293" s="55"/>
      <c r="E293" s="11"/>
    </row>
    <row r="294" ht="15.75" customHeight="1">
      <c r="A294" s="55"/>
      <c r="E294" s="11"/>
    </row>
    <row r="295" ht="15.75" customHeight="1">
      <c r="A295" s="55"/>
      <c r="E295" s="11"/>
    </row>
    <row r="296" ht="15.75" customHeight="1">
      <c r="A296" s="55"/>
      <c r="E296" s="11"/>
    </row>
    <row r="297" ht="15.75" customHeight="1">
      <c r="A297" s="55"/>
      <c r="E297" s="11"/>
    </row>
    <row r="298" ht="15.75" customHeight="1">
      <c r="A298" s="55"/>
      <c r="E298" s="11"/>
    </row>
    <row r="299" ht="15.75" customHeight="1">
      <c r="A299" s="55"/>
      <c r="E299" s="11"/>
    </row>
    <row r="300" ht="15.75" customHeight="1">
      <c r="A300" s="55"/>
      <c r="E300" s="11"/>
    </row>
    <row r="301" ht="15.75" customHeight="1">
      <c r="A301" s="55"/>
      <c r="E301" s="11"/>
    </row>
    <row r="302" ht="15.75" customHeight="1">
      <c r="A302" s="55"/>
      <c r="E302" s="11"/>
    </row>
    <row r="303" ht="15.75" customHeight="1">
      <c r="A303" s="55"/>
      <c r="E303" s="11"/>
    </row>
    <row r="304" ht="15.75" customHeight="1">
      <c r="A304" s="55"/>
      <c r="E304" s="11"/>
    </row>
    <row r="305" ht="15.75" customHeight="1">
      <c r="A305" s="55"/>
      <c r="E305" s="11"/>
    </row>
    <row r="306" ht="15.75" customHeight="1">
      <c r="A306" s="55"/>
      <c r="E306" s="11"/>
    </row>
    <row r="307" ht="15.75" customHeight="1">
      <c r="A307" s="55"/>
      <c r="E307" s="11"/>
    </row>
    <row r="308" ht="15.75" customHeight="1">
      <c r="A308" s="55"/>
      <c r="E308" s="11"/>
    </row>
    <row r="309" ht="15.75" customHeight="1">
      <c r="A309" s="55"/>
      <c r="E309" s="11"/>
    </row>
    <row r="310" ht="15.75" customHeight="1">
      <c r="A310" s="55"/>
      <c r="E310" s="11"/>
    </row>
    <row r="311" ht="15.75" customHeight="1">
      <c r="A311" s="55"/>
      <c r="E311" s="11"/>
    </row>
    <row r="312" ht="15.75" customHeight="1">
      <c r="A312" s="55"/>
      <c r="E312" s="11"/>
    </row>
    <row r="313" ht="15.75" customHeight="1">
      <c r="A313" s="55"/>
      <c r="E313" s="11"/>
    </row>
    <row r="314" ht="15.75" customHeight="1">
      <c r="A314" s="55"/>
      <c r="E314" s="11"/>
    </row>
    <row r="315" ht="15.75" customHeight="1">
      <c r="A315" s="55"/>
      <c r="E315" s="11"/>
    </row>
    <row r="316" ht="15.75" customHeight="1">
      <c r="A316" s="55"/>
      <c r="E316" s="11"/>
    </row>
    <row r="317" ht="15.75" customHeight="1">
      <c r="A317" s="55"/>
      <c r="E317" s="11"/>
    </row>
    <row r="318" ht="15.75" customHeight="1">
      <c r="A318" s="55"/>
      <c r="E318" s="11"/>
    </row>
    <row r="319" ht="15.75" customHeight="1">
      <c r="A319" s="55"/>
      <c r="E319" s="11"/>
    </row>
    <row r="320" ht="15.75" customHeight="1">
      <c r="A320" s="55"/>
      <c r="E320" s="11"/>
    </row>
    <row r="321" ht="15.75" customHeight="1">
      <c r="A321" s="55"/>
      <c r="E321" s="11"/>
    </row>
    <row r="322" ht="15.75" customHeight="1">
      <c r="A322" s="55"/>
      <c r="E322" s="11"/>
    </row>
    <row r="323" ht="15.75" customHeight="1">
      <c r="A323" s="55"/>
      <c r="E323" s="11"/>
    </row>
    <row r="324" ht="15.75" customHeight="1">
      <c r="A324" s="55"/>
      <c r="E324" s="11"/>
    </row>
    <row r="325" ht="15.75" customHeight="1">
      <c r="A325" s="55"/>
      <c r="E325" s="11"/>
    </row>
    <row r="326" ht="15.75" customHeight="1">
      <c r="A326" s="55"/>
      <c r="E326" s="11"/>
    </row>
    <row r="327" ht="15.75" customHeight="1">
      <c r="A327" s="55"/>
      <c r="E327" s="11"/>
    </row>
    <row r="328" ht="15.75" customHeight="1">
      <c r="A328" s="55"/>
      <c r="E328" s="11"/>
    </row>
    <row r="329" ht="15.75" customHeight="1">
      <c r="A329" s="55"/>
      <c r="E329" s="11"/>
    </row>
    <row r="330" ht="15.75" customHeight="1">
      <c r="A330" s="55"/>
      <c r="E330" s="11"/>
    </row>
    <row r="331" ht="15.75" customHeight="1">
      <c r="A331" s="55"/>
      <c r="E331" s="11"/>
    </row>
    <row r="332" ht="15.75" customHeight="1">
      <c r="A332" s="55"/>
      <c r="E332" s="11"/>
    </row>
    <row r="333" ht="15.75" customHeight="1">
      <c r="A333" s="55"/>
      <c r="E333" s="11"/>
    </row>
    <row r="334" ht="15.75" customHeight="1">
      <c r="A334" s="55"/>
      <c r="E334" s="11"/>
    </row>
    <row r="335" ht="15.75" customHeight="1">
      <c r="A335" s="55"/>
      <c r="E335" s="11"/>
    </row>
    <row r="336" ht="15.75" customHeight="1">
      <c r="A336" s="55"/>
      <c r="E336" s="11"/>
    </row>
    <row r="337" ht="15.75" customHeight="1">
      <c r="A337" s="55"/>
      <c r="E337" s="11"/>
    </row>
    <row r="338" ht="15.75" customHeight="1">
      <c r="A338" s="55"/>
      <c r="E338" s="11"/>
    </row>
    <row r="339" ht="15.75" customHeight="1">
      <c r="A339" s="55"/>
      <c r="E339" s="11"/>
    </row>
    <row r="340" ht="15.75" customHeight="1">
      <c r="A340" s="55"/>
      <c r="E340" s="11"/>
    </row>
    <row r="341" ht="15.75" customHeight="1">
      <c r="A341" s="55"/>
      <c r="E341" s="11"/>
    </row>
    <row r="342" ht="15.75" customHeight="1">
      <c r="A342" s="55"/>
      <c r="E342" s="11"/>
    </row>
    <row r="343" ht="15.75" customHeight="1">
      <c r="A343" s="55"/>
      <c r="E343" s="11"/>
    </row>
    <row r="344" ht="15.75" customHeight="1">
      <c r="A344" s="55"/>
      <c r="E344" s="11"/>
    </row>
    <row r="345" ht="15.75" customHeight="1">
      <c r="A345" s="55"/>
      <c r="E345" s="11"/>
    </row>
    <row r="346" ht="15.75" customHeight="1">
      <c r="A346" s="55"/>
      <c r="E346" s="11"/>
    </row>
    <row r="347" ht="15.75" customHeight="1">
      <c r="A347" s="55"/>
      <c r="E347" s="11"/>
    </row>
    <row r="348" ht="15.75" customHeight="1">
      <c r="A348" s="55"/>
      <c r="E348" s="11"/>
    </row>
    <row r="349" ht="15.75" customHeight="1">
      <c r="A349" s="55"/>
      <c r="E349" s="11"/>
    </row>
    <row r="350" ht="15.75" customHeight="1">
      <c r="A350" s="55"/>
      <c r="E350" s="11"/>
    </row>
    <row r="351" ht="15.75" customHeight="1">
      <c r="A351" s="55"/>
      <c r="E351" s="11"/>
    </row>
    <row r="352" ht="15.75" customHeight="1">
      <c r="A352" s="55"/>
      <c r="E352" s="11"/>
    </row>
    <row r="353" ht="15.75" customHeight="1">
      <c r="A353" s="55"/>
      <c r="E353" s="11"/>
    </row>
    <row r="354" ht="15.75" customHeight="1">
      <c r="A354" s="55"/>
      <c r="E354" s="11"/>
    </row>
    <row r="355" ht="15.75" customHeight="1">
      <c r="A355" s="55"/>
      <c r="E355" s="11"/>
    </row>
    <row r="356" ht="15.75" customHeight="1">
      <c r="A356" s="55"/>
      <c r="E356" s="11"/>
    </row>
    <row r="357" ht="15.75" customHeight="1">
      <c r="A357" s="55"/>
      <c r="E357" s="11"/>
    </row>
    <row r="358" ht="15.75" customHeight="1">
      <c r="A358" s="55"/>
      <c r="E358" s="11"/>
    </row>
    <row r="359" ht="15.75" customHeight="1">
      <c r="A359" s="55"/>
      <c r="E359" s="11"/>
    </row>
    <row r="360" ht="15.75" customHeight="1">
      <c r="A360" s="55"/>
      <c r="E360" s="11"/>
    </row>
    <row r="361" ht="15.75" customHeight="1">
      <c r="A361" s="55"/>
      <c r="E361" s="11"/>
    </row>
    <row r="362" ht="15.75" customHeight="1">
      <c r="A362" s="55"/>
      <c r="E362" s="11"/>
    </row>
    <row r="363" ht="15.75" customHeight="1">
      <c r="A363" s="55"/>
      <c r="E363" s="11"/>
    </row>
    <row r="364" ht="15.75" customHeight="1">
      <c r="A364" s="55"/>
      <c r="E364" s="11"/>
    </row>
    <row r="365" ht="15.75" customHeight="1">
      <c r="A365" s="55"/>
      <c r="E365" s="11"/>
    </row>
    <row r="366" ht="15.75" customHeight="1">
      <c r="A366" s="55"/>
      <c r="E366" s="11"/>
    </row>
    <row r="367" ht="15.75" customHeight="1">
      <c r="A367" s="55"/>
      <c r="E367" s="11"/>
    </row>
    <row r="368" ht="15.75" customHeight="1">
      <c r="A368" s="55"/>
      <c r="E368" s="11"/>
    </row>
    <row r="369" ht="15.75" customHeight="1">
      <c r="A369" s="55"/>
      <c r="E369" s="11"/>
    </row>
    <row r="370" ht="15.75" customHeight="1">
      <c r="A370" s="55"/>
      <c r="E370" s="11"/>
    </row>
    <row r="371" ht="15.75" customHeight="1">
      <c r="A371" s="55"/>
      <c r="E371" s="11"/>
    </row>
    <row r="372" ht="15.75" customHeight="1">
      <c r="A372" s="55"/>
      <c r="E372" s="11"/>
    </row>
    <row r="373" ht="15.75" customHeight="1">
      <c r="A373" s="55"/>
      <c r="E373" s="11"/>
    </row>
    <row r="374" ht="15.75" customHeight="1">
      <c r="A374" s="55"/>
      <c r="E374" s="11"/>
    </row>
    <row r="375" ht="15.75" customHeight="1">
      <c r="A375" s="55"/>
      <c r="E375" s="11"/>
    </row>
    <row r="376" ht="15.75" customHeight="1">
      <c r="A376" s="55"/>
      <c r="E376" s="11"/>
    </row>
    <row r="377" ht="15.75" customHeight="1">
      <c r="A377" s="55"/>
      <c r="E377" s="11"/>
    </row>
    <row r="378" ht="15.75" customHeight="1">
      <c r="A378" s="55"/>
      <c r="E378" s="11"/>
    </row>
    <row r="379" ht="15.75" customHeight="1">
      <c r="A379" s="55"/>
      <c r="E379" s="11"/>
    </row>
    <row r="380" ht="15.75" customHeight="1">
      <c r="A380" s="55"/>
      <c r="E380" s="11"/>
    </row>
    <row r="381" ht="15.75" customHeight="1">
      <c r="A381" s="55"/>
      <c r="E381" s="11"/>
    </row>
    <row r="382" ht="15.75" customHeight="1">
      <c r="A382" s="55"/>
      <c r="E382" s="11"/>
    </row>
    <row r="383" ht="15.75" customHeight="1">
      <c r="A383" s="55"/>
      <c r="E383" s="11"/>
    </row>
    <row r="384" ht="15.75" customHeight="1">
      <c r="A384" s="55"/>
      <c r="E384" s="11"/>
    </row>
    <row r="385" ht="15.75" customHeight="1">
      <c r="A385" s="55"/>
      <c r="E385" s="11"/>
    </row>
    <row r="386" ht="15.75" customHeight="1">
      <c r="A386" s="55"/>
      <c r="E386" s="11"/>
    </row>
    <row r="387" ht="15.75" customHeight="1">
      <c r="A387" s="55"/>
      <c r="E387" s="11"/>
    </row>
    <row r="388" ht="15.75" customHeight="1">
      <c r="A388" s="55"/>
      <c r="E388" s="11"/>
    </row>
    <row r="389" ht="15.75" customHeight="1">
      <c r="A389" s="55"/>
      <c r="E389" s="11"/>
    </row>
    <row r="390" ht="15.75" customHeight="1">
      <c r="A390" s="55"/>
      <c r="E390" s="11"/>
    </row>
    <row r="391" ht="15.75" customHeight="1">
      <c r="A391" s="55"/>
      <c r="E391" s="11"/>
    </row>
    <row r="392" ht="15.75" customHeight="1">
      <c r="A392" s="55"/>
      <c r="E392" s="11"/>
    </row>
    <row r="393" ht="15.75" customHeight="1">
      <c r="A393" s="55"/>
      <c r="E393" s="11"/>
    </row>
    <row r="394" ht="15.75" customHeight="1">
      <c r="A394" s="55"/>
      <c r="E394" s="11"/>
    </row>
    <row r="395" ht="15.75" customHeight="1">
      <c r="A395" s="55"/>
      <c r="E395" s="11"/>
    </row>
    <row r="396" ht="15.75" customHeight="1">
      <c r="A396" s="55"/>
      <c r="E396" s="11"/>
    </row>
    <row r="397" ht="15.75" customHeight="1">
      <c r="A397" s="55"/>
      <c r="E397" s="11"/>
    </row>
    <row r="398" ht="15.75" customHeight="1">
      <c r="A398" s="55"/>
      <c r="E398" s="11"/>
    </row>
    <row r="399" ht="15.75" customHeight="1">
      <c r="A399" s="55"/>
      <c r="E399" s="11"/>
    </row>
    <row r="400" ht="15.75" customHeight="1">
      <c r="A400" s="55"/>
      <c r="E400" s="11"/>
    </row>
    <row r="401" ht="15.75" customHeight="1">
      <c r="A401" s="55"/>
      <c r="E401" s="11"/>
    </row>
    <row r="402" ht="15.75" customHeight="1">
      <c r="A402" s="55"/>
      <c r="E402" s="11"/>
    </row>
    <row r="403" ht="15.75" customHeight="1">
      <c r="A403" s="55"/>
      <c r="E403" s="11"/>
    </row>
    <row r="404" ht="15.75" customHeight="1">
      <c r="A404" s="55"/>
      <c r="E404" s="11"/>
    </row>
    <row r="405" ht="15.75" customHeight="1">
      <c r="A405" s="55"/>
      <c r="E405" s="11"/>
    </row>
    <row r="406" ht="15.75" customHeight="1">
      <c r="A406" s="55"/>
      <c r="E406" s="11"/>
    </row>
    <row r="407" ht="15.75" customHeight="1">
      <c r="A407" s="55"/>
      <c r="E407" s="11"/>
    </row>
    <row r="408" ht="15.75" customHeight="1">
      <c r="A408" s="55"/>
      <c r="E408" s="11"/>
    </row>
    <row r="409" ht="15.75" customHeight="1">
      <c r="A409" s="55"/>
      <c r="E409" s="11"/>
    </row>
    <row r="410" ht="15.75" customHeight="1">
      <c r="A410" s="55"/>
      <c r="E410" s="11"/>
    </row>
    <row r="411" ht="15.75" customHeight="1">
      <c r="A411" s="55"/>
      <c r="E411" s="11"/>
    </row>
    <row r="412" ht="15.75" customHeight="1">
      <c r="A412" s="55"/>
      <c r="E412" s="11"/>
    </row>
    <row r="413" ht="15.75" customHeight="1">
      <c r="A413" s="55"/>
      <c r="E413" s="11"/>
    </row>
    <row r="414" ht="15.75" customHeight="1">
      <c r="A414" s="55"/>
      <c r="E414" s="11"/>
    </row>
    <row r="415" ht="15.75" customHeight="1">
      <c r="A415" s="55"/>
      <c r="E415" s="11"/>
    </row>
    <row r="416" ht="15.75" customHeight="1">
      <c r="A416" s="55"/>
      <c r="E416" s="11"/>
    </row>
    <row r="417" ht="15.75" customHeight="1">
      <c r="A417" s="55"/>
      <c r="E417" s="11"/>
    </row>
    <row r="418" ht="15.75" customHeight="1">
      <c r="A418" s="55"/>
      <c r="E418" s="11"/>
    </row>
    <row r="419" ht="15.75" customHeight="1">
      <c r="A419" s="55"/>
      <c r="E419" s="11"/>
    </row>
    <row r="420" ht="15.75" customHeight="1">
      <c r="A420" s="55"/>
      <c r="E420" s="11"/>
    </row>
    <row r="421" ht="15.75" customHeight="1">
      <c r="A421" s="55"/>
      <c r="E421" s="11"/>
    </row>
    <row r="422" ht="15.75" customHeight="1">
      <c r="A422" s="55"/>
      <c r="E422" s="11"/>
    </row>
    <row r="423" ht="15.75" customHeight="1">
      <c r="A423" s="55"/>
      <c r="E423" s="11"/>
    </row>
    <row r="424" ht="15.75" customHeight="1">
      <c r="A424" s="55"/>
      <c r="E424" s="11"/>
    </row>
    <row r="425" ht="15.75" customHeight="1">
      <c r="A425" s="55"/>
      <c r="E425" s="11"/>
    </row>
    <row r="426" ht="15.75" customHeight="1">
      <c r="A426" s="55"/>
      <c r="E426" s="11"/>
    </row>
    <row r="427" ht="15.75" customHeight="1">
      <c r="A427" s="55"/>
      <c r="E427" s="11"/>
    </row>
    <row r="428" ht="15.75" customHeight="1">
      <c r="A428" s="55"/>
      <c r="E428" s="11"/>
    </row>
    <row r="429" ht="15.75" customHeight="1">
      <c r="A429" s="55"/>
      <c r="E429" s="11"/>
    </row>
    <row r="430" ht="15.75" customHeight="1">
      <c r="A430" s="55"/>
      <c r="E430" s="11"/>
    </row>
    <row r="431" ht="15.75" customHeight="1">
      <c r="A431" s="55"/>
      <c r="E431" s="11"/>
    </row>
    <row r="432" ht="15.75" customHeight="1">
      <c r="A432" s="55"/>
      <c r="E432" s="11"/>
    </row>
    <row r="433" ht="15.75" customHeight="1">
      <c r="A433" s="55"/>
      <c r="E433" s="11"/>
    </row>
    <row r="434" ht="15.75" customHeight="1">
      <c r="A434" s="55"/>
      <c r="E434" s="11"/>
    </row>
    <row r="435" ht="15.75" customHeight="1">
      <c r="A435" s="55"/>
      <c r="E435" s="11"/>
    </row>
    <row r="436" ht="15.75" customHeight="1">
      <c r="A436" s="55"/>
      <c r="E436" s="11"/>
    </row>
    <row r="437" ht="15.75" customHeight="1">
      <c r="A437" s="55"/>
      <c r="E437" s="11"/>
    </row>
    <row r="438" ht="15.75" customHeight="1">
      <c r="A438" s="55"/>
      <c r="E438" s="11"/>
    </row>
    <row r="439" ht="15.75" customHeight="1">
      <c r="A439" s="55"/>
      <c r="E439" s="11"/>
    </row>
    <row r="440" ht="15.75" customHeight="1">
      <c r="A440" s="55"/>
      <c r="E440" s="11"/>
    </row>
    <row r="441" ht="15.75" customHeight="1">
      <c r="A441" s="55"/>
      <c r="E441" s="11"/>
    </row>
    <row r="442" ht="15.75" customHeight="1">
      <c r="A442" s="55"/>
      <c r="E442" s="11"/>
    </row>
    <row r="443" ht="15.75" customHeight="1">
      <c r="A443" s="55"/>
      <c r="E443" s="11"/>
    </row>
    <row r="444" ht="15.75" customHeight="1">
      <c r="A444" s="55"/>
      <c r="E444" s="11"/>
    </row>
    <row r="445" ht="15.75" customHeight="1">
      <c r="A445" s="55"/>
      <c r="E445" s="11"/>
    </row>
    <row r="446" ht="15.75" customHeight="1">
      <c r="A446" s="55"/>
      <c r="E446" s="11"/>
    </row>
    <row r="447" ht="15.75" customHeight="1">
      <c r="A447" s="55"/>
      <c r="E447" s="11"/>
    </row>
    <row r="448" ht="15.75" customHeight="1">
      <c r="A448" s="55"/>
      <c r="E448" s="11"/>
    </row>
    <row r="449" ht="15.75" customHeight="1">
      <c r="A449" s="55"/>
      <c r="E449" s="11"/>
    </row>
    <row r="450" ht="15.75" customHeight="1">
      <c r="A450" s="55"/>
      <c r="E450" s="11"/>
    </row>
    <row r="451" ht="15.75" customHeight="1">
      <c r="A451" s="55"/>
      <c r="E451" s="11"/>
    </row>
    <row r="452" ht="15.75" customHeight="1">
      <c r="A452" s="55"/>
      <c r="E452" s="11"/>
    </row>
    <row r="453" ht="15.75" customHeight="1">
      <c r="A453" s="55"/>
      <c r="E453" s="11"/>
    </row>
    <row r="454" ht="15.75" customHeight="1">
      <c r="A454" s="55"/>
      <c r="E454" s="11"/>
    </row>
    <row r="455" ht="15.75" customHeight="1">
      <c r="A455" s="55"/>
      <c r="E455" s="11"/>
    </row>
    <row r="456" ht="15.75" customHeight="1">
      <c r="A456" s="55"/>
      <c r="E456" s="11"/>
    </row>
    <row r="457" ht="15.75" customHeight="1">
      <c r="A457" s="55"/>
      <c r="E457" s="11"/>
    </row>
    <row r="458" ht="15.75" customHeight="1">
      <c r="A458" s="55"/>
      <c r="E458" s="11"/>
    </row>
    <row r="459" ht="15.75" customHeight="1">
      <c r="A459" s="55"/>
      <c r="E459" s="11"/>
    </row>
    <row r="460" ht="15.75" customHeight="1">
      <c r="A460" s="55"/>
      <c r="E460" s="11"/>
    </row>
    <row r="461" ht="15.75" customHeight="1">
      <c r="A461" s="55"/>
      <c r="E461" s="11"/>
    </row>
    <row r="462" ht="15.75" customHeight="1">
      <c r="A462" s="55"/>
      <c r="E462" s="11"/>
    </row>
    <row r="463" ht="15.75" customHeight="1">
      <c r="A463" s="55"/>
      <c r="E463" s="11"/>
    </row>
    <row r="464" ht="15.75" customHeight="1">
      <c r="A464" s="55"/>
      <c r="E464" s="11"/>
    </row>
    <row r="465" ht="15.75" customHeight="1">
      <c r="A465" s="55"/>
      <c r="E465" s="11"/>
    </row>
    <row r="466" ht="15.75" customHeight="1">
      <c r="A466" s="55"/>
      <c r="E466" s="11"/>
    </row>
    <row r="467" ht="15.75" customHeight="1">
      <c r="A467" s="55"/>
      <c r="E467" s="11"/>
    </row>
    <row r="468" ht="15.75" customHeight="1">
      <c r="A468" s="55"/>
      <c r="E468" s="11"/>
    </row>
    <row r="469" ht="15.75" customHeight="1">
      <c r="A469" s="55"/>
      <c r="E469" s="11"/>
    </row>
    <row r="470" ht="15.75" customHeight="1">
      <c r="A470" s="55"/>
      <c r="E470" s="11"/>
    </row>
    <row r="471" ht="15.75" customHeight="1">
      <c r="A471" s="55"/>
      <c r="E471" s="11"/>
    </row>
    <row r="472" ht="15.75" customHeight="1">
      <c r="A472" s="55"/>
      <c r="E472" s="11"/>
    </row>
    <row r="473" ht="15.75" customHeight="1">
      <c r="A473" s="55"/>
      <c r="E473" s="11"/>
    </row>
    <row r="474" ht="15.75" customHeight="1">
      <c r="A474" s="55"/>
      <c r="E474" s="11"/>
    </row>
    <row r="475" ht="15.75" customHeight="1">
      <c r="A475" s="55"/>
      <c r="E475" s="11"/>
    </row>
    <row r="476" ht="15.75" customHeight="1">
      <c r="A476" s="55"/>
      <c r="E476" s="11"/>
    </row>
    <row r="477" ht="15.75" customHeight="1">
      <c r="A477" s="55"/>
      <c r="E477" s="11"/>
    </row>
    <row r="478" ht="15.75" customHeight="1">
      <c r="A478" s="55"/>
      <c r="E478" s="11"/>
    </row>
    <row r="479" ht="15.75" customHeight="1">
      <c r="A479" s="55"/>
      <c r="E479" s="11"/>
    </row>
    <row r="480" ht="15.75" customHeight="1">
      <c r="A480" s="55"/>
      <c r="E480" s="11"/>
    </row>
    <row r="481" ht="15.75" customHeight="1">
      <c r="A481" s="55"/>
      <c r="E481" s="11"/>
    </row>
    <row r="482" ht="15.75" customHeight="1">
      <c r="A482" s="55"/>
      <c r="E482" s="11"/>
    </row>
    <row r="483" ht="15.75" customHeight="1">
      <c r="A483" s="55"/>
      <c r="E483" s="11"/>
    </row>
    <row r="484" ht="15.75" customHeight="1">
      <c r="A484" s="55"/>
      <c r="E484" s="11"/>
    </row>
    <row r="485" ht="15.75" customHeight="1">
      <c r="A485" s="55"/>
      <c r="E485" s="11"/>
    </row>
    <row r="486" ht="15.75" customHeight="1">
      <c r="A486" s="55"/>
      <c r="E486" s="11"/>
    </row>
    <row r="487" ht="15.75" customHeight="1">
      <c r="A487" s="55"/>
      <c r="E487" s="11"/>
    </row>
    <row r="488" ht="15.75" customHeight="1">
      <c r="A488" s="55"/>
      <c r="E488" s="11"/>
    </row>
    <row r="489" ht="15.75" customHeight="1">
      <c r="A489" s="55"/>
      <c r="E489" s="11"/>
    </row>
    <row r="490" ht="15.75" customHeight="1">
      <c r="A490" s="55"/>
      <c r="E490" s="11"/>
    </row>
    <row r="491" ht="15.75" customHeight="1">
      <c r="A491" s="55"/>
      <c r="E491" s="11"/>
    </row>
    <row r="492" ht="15.75" customHeight="1">
      <c r="A492" s="55"/>
      <c r="E492" s="11"/>
    </row>
    <row r="493" ht="15.75" customHeight="1">
      <c r="A493" s="55"/>
      <c r="E493" s="11"/>
    </row>
    <row r="494" ht="15.75" customHeight="1">
      <c r="A494" s="55"/>
      <c r="E494" s="11"/>
    </row>
    <row r="495" ht="15.75" customHeight="1">
      <c r="A495" s="55"/>
      <c r="E495" s="11"/>
    </row>
    <row r="496" ht="15.75" customHeight="1">
      <c r="A496" s="55"/>
      <c r="E496" s="11"/>
    </row>
    <row r="497" ht="15.75" customHeight="1">
      <c r="A497" s="55"/>
      <c r="E497" s="11"/>
    </row>
    <row r="498" ht="15.75" customHeight="1">
      <c r="A498" s="55"/>
      <c r="E498" s="11"/>
    </row>
    <row r="499" ht="15.75" customHeight="1">
      <c r="A499" s="55"/>
      <c r="E499" s="11"/>
    </row>
    <row r="500" ht="15.75" customHeight="1">
      <c r="A500" s="55"/>
      <c r="E500" s="11"/>
    </row>
    <row r="501" ht="15.75" customHeight="1">
      <c r="A501" s="55"/>
      <c r="E501" s="11"/>
    </row>
    <row r="502" ht="15.75" customHeight="1">
      <c r="A502" s="55"/>
      <c r="E502" s="11"/>
    </row>
    <row r="503" ht="15.75" customHeight="1">
      <c r="A503" s="55"/>
      <c r="E503" s="11"/>
    </row>
    <row r="504" ht="15.75" customHeight="1">
      <c r="A504" s="55"/>
      <c r="E504" s="11"/>
    </row>
    <row r="505" ht="15.75" customHeight="1">
      <c r="A505" s="55"/>
      <c r="E505" s="11"/>
    </row>
    <row r="506" ht="15.75" customHeight="1">
      <c r="A506" s="55"/>
      <c r="E506" s="11"/>
    </row>
    <row r="507" ht="15.75" customHeight="1">
      <c r="A507" s="55"/>
      <c r="E507" s="11"/>
    </row>
    <row r="508" ht="15.75" customHeight="1">
      <c r="A508" s="55"/>
      <c r="E508" s="11"/>
    </row>
    <row r="509" ht="15.75" customHeight="1">
      <c r="A509" s="55"/>
      <c r="E509" s="11"/>
    </row>
    <row r="510" ht="15.75" customHeight="1">
      <c r="A510" s="55"/>
      <c r="E510" s="11"/>
    </row>
    <row r="511" ht="15.75" customHeight="1">
      <c r="A511" s="55"/>
      <c r="E511" s="11"/>
    </row>
    <row r="512" ht="15.75" customHeight="1">
      <c r="A512" s="55"/>
      <c r="E512" s="11"/>
    </row>
    <row r="513" ht="15.75" customHeight="1">
      <c r="A513" s="55"/>
      <c r="E513" s="11"/>
    </row>
    <row r="514" ht="15.75" customHeight="1">
      <c r="A514" s="55"/>
      <c r="E514" s="11"/>
    </row>
    <row r="515" ht="15.75" customHeight="1">
      <c r="A515" s="55"/>
      <c r="E515" s="11"/>
    </row>
    <row r="516" ht="15.75" customHeight="1">
      <c r="A516" s="55"/>
      <c r="E516" s="11"/>
    </row>
    <row r="517" ht="15.75" customHeight="1">
      <c r="A517" s="55"/>
      <c r="E517" s="11"/>
    </row>
    <row r="518" ht="15.75" customHeight="1">
      <c r="A518" s="55"/>
      <c r="E518" s="11"/>
    </row>
    <row r="519" ht="15.75" customHeight="1">
      <c r="A519" s="55"/>
      <c r="E519" s="11"/>
    </row>
    <row r="520" ht="15.75" customHeight="1">
      <c r="A520" s="55"/>
      <c r="E520" s="11"/>
    </row>
    <row r="521" ht="15.75" customHeight="1">
      <c r="A521" s="55"/>
      <c r="E521" s="11"/>
    </row>
    <row r="522" ht="15.75" customHeight="1">
      <c r="A522" s="55"/>
      <c r="E522" s="11"/>
    </row>
    <row r="523" ht="15.75" customHeight="1">
      <c r="A523" s="55"/>
      <c r="E523" s="11"/>
    </row>
    <row r="524" ht="15.75" customHeight="1">
      <c r="A524" s="55"/>
      <c r="E524" s="11"/>
    </row>
    <row r="525" ht="15.75" customHeight="1">
      <c r="A525" s="55"/>
      <c r="E525" s="11"/>
    </row>
    <row r="526" ht="15.75" customHeight="1">
      <c r="A526" s="55"/>
      <c r="E526" s="11"/>
    </row>
    <row r="527" ht="15.75" customHeight="1">
      <c r="A527" s="55"/>
      <c r="E527" s="11"/>
    </row>
    <row r="528" ht="15.75" customHeight="1">
      <c r="A528" s="55"/>
      <c r="E528" s="11"/>
    </row>
    <row r="529" ht="15.75" customHeight="1">
      <c r="A529" s="55"/>
      <c r="E529" s="11"/>
    </row>
    <row r="530" ht="15.75" customHeight="1">
      <c r="A530" s="55"/>
      <c r="E530" s="11"/>
    </row>
    <row r="531" ht="15.75" customHeight="1">
      <c r="A531" s="55"/>
      <c r="E531" s="11"/>
    </row>
    <row r="532" ht="15.75" customHeight="1">
      <c r="A532" s="55"/>
      <c r="E532" s="11"/>
    </row>
    <row r="533" ht="15.75" customHeight="1">
      <c r="A533" s="55"/>
      <c r="E533" s="11"/>
    </row>
    <row r="534" ht="15.75" customHeight="1">
      <c r="A534" s="55"/>
      <c r="E534" s="11"/>
    </row>
    <row r="535" ht="15.75" customHeight="1">
      <c r="A535" s="55"/>
      <c r="E535" s="11"/>
    </row>
    <row r="536" ht="15.75" customHeight="1">
      <c r="A536" s="55"/>
      <c r="E536" s="11"/>
    </row>
    <row r="537" ht="15.75" customHeight="1">
      <c r="A537" s="55"/>
      <c r="E537" s="11"/>
    </row>
    <row r="538" ht="15.75" customHeight="1">
      <c r="A538" s="55"/>
      <c r="E538" s="11"/>
    </row>
    <row r="539" ht="15.75" customHeight="1">
      <c r="A539" s="55"/>
      <c r="E539" s="11"/>
    </row>
    <row r="540" ht="15.75" customHeight="1">
      <c r="A540" s="55"/>
      <c r="E540" s="11"/>
    </row>
    <row r="541" ht="15.75" customHeight="1">
      <c r="A541" s="55"/>
      <c r="E541" s="11"/>
    </row>
    <row r="542" ht="15.75" customHeight="1">
      <c r="A542" s="55"/>
      <c r="E542" s="15"/>
    </row>
    <row r="543" ht="15.75" customHeight="1">
      <c r="A543" s="55"/>
      <c r="E543" s="15"/>
    </row>
    <row r="544" ht="15.75" customHeight="1">
      <c r="A544" s="55"/>
      <c r="E544" s="15"/>
    </row>
    <row r="545" ht="15.75" customHeight="1">
      <c r="A545" s="55"/>
      <c r="E545" s="15"/>
    </row>
    <row r="546" ht="15.75" customHeight="1">
      <c r="A546" s="55"/>
      <c r="E546" s="15"/>
    </row>
    <row r="547" ht="15.75" customHeight="1">
      <c r="A547" s="55"/>
      <c r="E547" s="15"/>
    </row>
    <row r="548" ht="15.75" customHeight="1">
      <c r="A548" s="55"/>
      <c r="E548" s="15"/>
    </row>
    <row r="549" ht="15.75" customHeight="1">
      <c r="A549" s="55"/>
      <c r="E549" s="15"/>
    </row>
    <row r="550" ht="15.75" customHeight="1">
      <c r="A550" s="55"/>
      <c r="E550" s="15"/>
    </row>
    <row r="551" ht="15.75" customHeight="1">
      <c r="A551" s="55"/>
      <c r="E551" s="15"/>
    </row>
    <row r="552" ht="15.75" customHeight="1">
      <c r="A552" s="55"/>
      <c r="E552" s="15"/>
    </row>
    <row r="553" ht="15.75" customHeight="1">
      <c r="A553" s="55"/>
      <c r="E553" s="15"/>
    </row>
    <row r="554" ht="15.75" customHeight="1">
      <c r="A554" s="55"/>
      <c r="E554" s="15"/>
    </row>
    <row r="555" ht="15.75" customHeight="1">
      <c r="A555" s="55"/>
      <c r="E555" s="15"/>
    </row>
    <row r="556" ht="15.75" customHeight="1">
      <c r="A556" s="55"/>
      <c r="E556" s="15"/>
    </row>
    <row r="557" ht="15.75" customHeight="1">
      <c r="A557" s="55"/>
      <c r="E557" s="15"/>
    </row>
    <row r="558" ht="15.75" customHeight="1">
      <c r="A558" s="55"/>
      <c r="E558" s="15"/>
    </row>
    <row r="559" ht="15.75" customHeight="1">
      <c r="A559" s="55"/>
      <c r="E559" s="15"/>
    </row>
    <row r="560" ht="15.75" customHeight="1">
      <c r="A560" s="55"/>
      <c r="E560" s="15"/>
    </row>
    <row r="561" ht="15.75" customHeight="1">
      <c r="A561" s="55"/>
      <c r="E561" s="15"/>
    </row>
    <row r="562" ht="15.75" customHeight="1">
      <c r="A562" s="55"/>
      <c r="E562" s="15"/>
    </row>
    <row r="563" ht="15.75" customHeight="1">
      <c r="A563" s="55"/>
      <c r="E563" s="15"/>
    </row>
    <row r="564" ht="15.75" customHeight="1">
      <c r="A564" s="55"/>
      <c r="E564" s="15"/>
    </row>
    <row r="565" ht="15.75" customHeight="1">
      <c r="A565" s="55"/>
      <c r="E565" s="15"/>
    </row>
    <row r="566" ht="15.75" customHeight="1">
      <c r="A566" s="55"/>
      <c r="E566" s="15"/>
    </row>
    <row r="567" ht="15.75" customHeight="1">
      <c r="A567" s="55"/>
      <c r="E567" s="15"/>
    </row>
    <row r="568" ht="15.75" customHeight="1">
      <c r="A568" s="55"/>
      <c r="E568" s="15"/>
    </row>
    <row r="569" ht="15.75" customHeight="1">
      <c r="A569" s="55"/>
      <c r="E569" s="15"/>
    </row>
    <row r="570" ht="15.75" customHeight="1">
      <c r="A570" s="55"/>
      <c r="E570" s="15"/>
    </row>
    <row r="571" ht="15.75" customHeight="1">
      <c r="A571" s="55"/>
      <c r="E571" s="15"/>
    </row>
    <row r="572" ht="15.75" customHeight="1">
      <c r="A572" s="55"/>
      <c r="E572" s="15"/>
    </row>
    <row r="573" ht="15.75" customHeight="1">
      <c r="A573" s="55"/>
      <c r="E573" s="15"/>
    </row>
    <row r="574" ht="15.75" customHeight="1">
      <c r="A574" s="55"/>
      <c r="E574" s="15"/>
    </row>
    <row r="575" ht="15.75" customHeight="1">
      <c r="A575" s="55"/>
      <c r="E575" s="15"/>
    </row>
    <row r="576" ht="15.75" customHeight="1">
      <c r="A576" s="55"/>
      <c r="E576" s="15"/>
    </row>
    <row r="577" ht="15.75" customHeight="1">
      <c r="A577" s="55"/>
      <c r="E577" s="15"/>
    </row>
    <row r="578" ht="15.75" customHeight="1">
      <c r="A578" s="55"/>
      <c r="E578" s="15"/>
    </row>
    <row r="579" ht="15.75" customHeight="1">
      <c r="A579" s="55"/>
      <c r="E579" s="15"/>
    </row>
    <row r="580" ht="15.75" customHeight="1">
      <c r="A580" s="55"/>
      <c r="E580" s="15"/>
    </row>
    <row r="581" ht="15.75" customHeight="1">
      <c r="A581" s="55"/>
      <c r="E581" s="15"/>
    </row>
    <row r="582" ht="15.75" customHeight="1">
      <c r="A582" s="55"/>
      <c r="E582" s="15"/>
    </row>
    <row r="583" ht="15.75" customHeight="1">
      <c r="A583" s="55"/>
      <c r="E583" s="15"/>
    </row>
    <row r="584" ht="15.75" customHeight="1">
      <c r="A584" s="55"/>
      <c r="E584" s="15"/>
    </row>
    <row r="585" ht="15.75" customHeight="1">
      <c r="A585" s="55"/>
      <c r="E585" s="15"/>
    </row>
    <row r="586" ht="15.75" customHeight="1">
      <c r="A586" s="55"/>
      <c r="E586" s="15"/>
    </row>
    <row r="587" ht="15.75" customHeight="1">
      <c r="A587" s="55"/>
      <c r="E587" s="15"/>
    </row>
    <row r="588" ht="15.75" customHeight="1">
      <c r="A588" s="55"/>
      <c r="E588" s="15"/>
    </row>
    <row r="589" ht="15.75" customHeight="1">
      <c r="A589" s="55"/>
      <c r="E589" s="15"/>
    </row>
    <row r="590" ht="15.75" customHeight="1">
      <c r="A590" s="55"/>
      <c r="E590" s="15"/>
    </row>
    <row r="591" ht="15.75" customHeight="1">
      <c r="A591" s="55"/>
      <c r="E591" s="15"/>
    </row>
    <row r="592" ht="15.75" customHeight="1">
      <c r="A592" s="55"/>
      <c r="E592" s="15"/>
    </row>
    <row r="593" ht="15.75" customHeight="1">
      <c r="A593" s="55"/>
      <c r="E593" s="15"/>
    </row>
    <row r="594" ht="15.75" customHeight="1">
      <c r="A594" s="55"/>
      <c r="E594" s="15"/>
    </row>
    <row r="595" ht="15.75" customHeight="1">
      <c r="A595" s="55"/>
      <c r="E595" s="15"/>
    </row>
    <row r="596" ht="15.75" customHeight="1">
      <c r="A596" s="55"/>
      <c r="E596" s="15"/>
    </row>
    <row r="597" ht="15.75" customHeight="1">
      <c r="A597" s="55"/>
      <c r="E597" s="15"/>
    </row>
    <row r="598" ht="15.75" customHeight="1">
      <c r="A598" s="55"/>
      <c r="E598" s="15"/>
    </row>
    <row r="599" ht="15.75" customHeight="1">
      <c r="A599" s="55"/>
      <c r="E599" s="15"/>
    </row>
    <row r="600" ht="15.75" customHeight="1">
      <c r="A600" s="55"/>
      <c r="E600" s="15"/>
    </row>
    <row r="601" ht="15.75" customHeight="1">
      <c r="A601" s="55"/>
      <c r="E601" s="15"/>
    </row>
    <row r="602" ht="15.75" customHeight="1">
      <c r="A602" s="55"/>
      <c r="E602" s="15"/>
    </row>
    <row r="603" ht="15.75" customHeight="1">
      <c r="A603" s="55"/>
      <c r="E603" s="15"/>
    </row>
    <row r="604" ht="15.75" customHeight="1">
      <c r="A604" s="55"/>
      <c r="E604" s="15"/>
    </row>
    <row r="605" ht="15.75" customHeight="1">
      <c r="A605" s="55"/>
      <c r="E605" s="15"/>
    </row>
    <row r="606" ht="15.75" customHeight="1">
      <c r="A606" s="55"/>
      <c r="E606" s="15"/>
    </row>
    <row r="607" ht="15.75" customHeight="1">
      <c r="A607" s="55"/>
      <c r="E607" s="15"/>
    </row>
    <row r="608" ht="15.75" customHeight="1">
      <c r="A608" s="55"/>
      <c r="E608" s="15"/>
    </row>
    <row r="609" ht="15.75" customHeight="1">
      <c r="A609" s="55"/>
      <c r="E609" s="15"/>
    </row>
    <row r="610" ht="15.75" customHeight="1">
      <c r="A610" s="55"/>
      <c r="E610" s="15"/>
    </row>
    <row r="611" ht="15.75" customHeight="1">
      <c r="A611" s="55"/>
      <c r="E611" s="15"/>
    </row>
    <row r="612" ht="15.75" customHeight="1">
      <c r="A612" s="55"/>
      <c r="E612" s="15"/>
    </row>
    <row r="613" ht="15.75" customHeight="1">
      <c r="A613" s="55"/>
      <c r="E613" s="15"/>
    </row>
    <row r="614" ht="15.75" customHeight="1">
      <c r="A614" s="55"/>
      <c r="E614" s="15"/>
    </row>
    <row r="615" ht="15.75" customHeight="1">
      <c r="A615" s="55"/>
      <c r="E615" s="15"/>
    </row>
    <row r="616" ht="15.75" customHeight="1">
      <c r="A616" s="55"/>
      <c r="E616" s="15"/>
    </row>
    <row r="617" ht="15.75" customHeight="1">
      <c r="A617" s="55"/>
      <c r="E617" s="15"/>
    </row>
    <row r="618" ht="15.75" customHeight="1">
      <c r="A618" s="55"/>
      <c r="E618" s="15"/>
    </row>
    <row r="619" ht="15.75" customHeight="1">
      <c r="A619" s="55"/>
      <c r="E619" s="15"/>
    </row>
    <row r="620" ht="15.75" customHeight="1">
      <c r="A620" s="55"/>
      <c r="E620" s="15"/>
    </row>
    <row r="621" ht="15.75" customHeight="1">
      <c r="A621" s="55"/>
      <c r="E621" s="15"/>
    </row>
    <row r="622" ht="15.75" customHeight="1">
      <c r="A622" s="55"/>
      <c r="E622" s="15"/>
    </row>
    <row r="623" ht="15.75" customHeight="1">
      <c r="A623" s="55"/>
      <c r="E623" s="15"/>
    </row>
    <row r="624" ht="15.75" customHeight="1">
      <c r="A624" s="55"/>
      <c r="E624" s="15"/>
    </row>
    <row r="625" ht="15.75" customHeight="1">
      <c r="A625" s="55"/>
      <c r="E625" s="15"/>
    </row>
    <row r="626" ht="15.75" customHeight="1">
      <c r="A626" s="55"/>
      <c r="E626" s="15"/>
    </row>
    <row r="627" ht="15.75" customHeight="1">
      <c r="A627" s="55"/>
      <c r="E627" s="15"/>
    </row>
    <row r="628" ht="15.75" customHeight="1">
      <c r="A628" s="55"/>
      <c r="E628" s="15"/>
    </row>
    <row r="629" ht="15.75" customHeight="1">
      <c r="A629" s="55"/>
      <c r="E629" s="15"/>
    </row>
    <row r="630" ht="15.75" customHeight="1">
      <c r="A630" s="55"/>
      <c r="E630" s="15"/>
    </row>
    <row r="631" ht="15.75" customHeight="1">
      <c r="A631" s="55"/>
      <c r="E631" s="15"/>
    </row>
    <row r="632" ht="15.75" customHeight="1">
      <c r="A632" s="55"/>
      <c r="E632" s="15"/>
    </row>
    <row r="633" ht="15.75" customHeight="1">
      <c r="A633" s="55"/>
      <c r="E633" s="15"/>
    </row>
    <row r="634" ht="15.75" customHeight="1">
      <c r="A634" s="55"/>
      <c r="E634" s="15"/>
    </row>
    <row r="635" ht="15.75" customHeight="1">
      <c r="A635" s="55"/>
      <c r="E635" s="15"/>
    </row>
    <row r="636" ht="15.75" customHeight="1">
      <c r="A636" s="55"/>
      <c r="E636" s="15"/>
    </row>
    <row r="637" ht="15.75" customHeight="1">
      <c r="A637" s="55"/>
      <c r="E637" s="15"/>
    </row>
    <row r="638" ht="15.75" customHeight="1">
      <c r="A638" s="55"/>
      <c r="E638" s="15"/>
    </row>
    <row r="639" ht="15.75" customHeight="1">
      <c r="A639" s="55"/>
      <c r="E639" s="15"/>
    </row>
    <row r="640" ht="15.75" customHeight="1">
      <c r="A640" s="55"/>
      <c r="E640" s="15"/>
    </row>
    <row r="641" ht="15.75" customHeight="1">
      <c r="A641" s="55"/>
      <c r="E641" s="15"/>
    </row>
    <row r="642" ht="15.75" customHeight="1">
      <c r="A642" s="55"/>
      <c r="E642" s="15"/>
    </row>
    <row r="643" ht="15.75" customHeight="1">
      <c r="A643" s="55"/>
      <c r="E643" s="15"/>
    </row>
    <row r="644" ht="15.75" customHeight="1">
      <c r="A644" s="55"/>
      <c r="E644" s="15"/>
    </row>
    <row r="645" ht="15.75" customHeight="1">
      <c r="A645" s="55"/>
      <c r="E645" s="15"/>
    </row>
    <row r="646" ht="15.75" customHeight="1">
      <c r="A646" s="55"/>
      <c r="E646" s="15"/>
    </row>
    <row r="647" ht="15.75" customHeight="1">
      <c r="A647" s="55"/>
      <c r="E647" s="15"/>
    </row>
    <row r="648" ht="15.75" customHeight="1">
      <c r="A648" s="55"/>
      <c r="E648" s="15"/>
    </row>
    <row r="649" ht="15.75" customHeight="1">
      <c r="A649" s="55"/>
      <c r="E649" s="15"/>
    </row>
    <row r="650" ht="15.75" customHeight="1">
      <c r="A650" s="55"/>
      <c r="E650" s="15"/>
    </row>
    <row r="651" ht="15.75" customHeight="1">
      <c r="A651" s="55"/>
      <c r="E651" s="15"/>
    </row>
    <row r="652" ht="15.75" customHeight="1">
      <c r="A652" s="55"/>
      <c r="E652" s="15"/>
    </row>
    <row r="653" ht="15.75" customHeight="1">
      <c r="A653" s="55"/>
      <c r="E653" s="15"/>
    </row>
    <row r="654" ht="15.75" customHeight="1">
      <c r="A654" s="55"/>
      <c r="E654" s="15"/>
    </row>
    <row r="655" ht="15.75" customHeight="1">
      <c r="A655" s="55"/>
      <c r="E655" s="15"/>
    </row>
    <row r="656" ht="15.75" customHeight="1">
      <c r="A656" s="55"/>
      <c r="E656" s="15"/>
    </row>
    <row r="657" ht="15.75" customHeight="1">
      <c r="A657" s="55"/>
      <c r="E657" s="15"/>
    </row>
    <row r="658" ht="15.75" customHeight="1">
      <c r="A658" s="55"/>
      <c r="E658" s="15"/>
    </row>
    <row r="659" ht="15.75" customHeight="1">
      <c r="A659" s="55"/>
      <c r="E659" s="15"/>
    </row>
    <row r="660" ht="15.75" customHeight="1">
      <c r="A660" s="55"/>
      <c r="E660" s="15"/>
    </row>
    <row r="661" ht="15.75" customHeight="1">
      <c r="A661" s="55"/>
      <c r="E661" s="15"/>
    </row>
    <row r="662" ht="15.75" customHeight="1">
      <c r="A662" s="55"/>
      <c r="E662" s="15"/>
    </row>
    <row r="663" ht="15.75" customHeight="1">
      <c r="A663" s="55"/>
      <c r="E663" s="15"/>
    </row>
    <row r="664" ht="15.75" customHeight="1">
      <c r="A664" s="55"/>
      <c r="E664" s="15"/>
    </row>
    <row r="665" ht="15.75" customHeight="1">
      <c r="A665" s="55"/>
      <c r="E665" s="15"/>
    </row>
    <row r="666" ht="15.75" customHeight="1">
      <c r="A666" s="55"/>
      <c r="E666" s="15"/>
    </row>
    <row r="667" ht="15.75" customHeight="1">
      <c r="A667" s="55"/>
      <c r="E667" s="15"/>
    </row>
    <row r="668" ht="15.75" customHeight="1">
      <c r="A668" s="55"/>
      <c r="E668" s="15"/>
    </row>
    <row r="669" ht="15.75" customHeight="1">
      <c r="A669" s="55"/>
      <c r="E669" s="15"/>
    </row>
    <row r="670" ht="15.75" customHeight="1">
      <c r="A670" s="55"/>
      <c r="E670" s="15"/>
    </row>
    <row r="671" ht="15.75" customHeight="1">
      <c r="A671" s="55"/>
      <c r="E671" s="15"/>
    </row>
    <row r="672" ht="15.75" customHeight="1">
      <c r="A672" s="55"/>
      <c r="E672" s="15"/>
    </row>
    <row r="673" ht="15.75" customHeight="1">
      <c r="A673" s="55"/>
      <c r="E673" s="15"/>
    </row>
    <row r="674" ht="15.75" customHeight="1">
      <c r="A674" s="55"/>
      <c r="E674" s="15"/>
    </row>
    <row r="675" ht="15.75" customHeight="1">
      <c r="A675" s="55"/>
      <c r="E675" s="15"/>
    </row>
    <row r="676" ht="15.75" customHeight="1">
      <c r="A676" s="55"/>
      <c r="E676" s="15"/>
    </row>
    <row r="677" ht="15.75" customHeight="1">
      <c r="A677" s="55"/>
      <c r="E677" s="15"/>
    </row>
    <row r="678" ht="15.75" customHeight="1">
      <c r="A678" s="55"/>
      <c r="E678" s="15"/>
    </row>
    <row r="679" ht="15.75" customHeight="1">
      <c r="A679" s="55"/>
      <c r="E679" s="15"/>
    </row>
    <row r="680" ht="15.75" customHeight="1">
      <c r="A680" s="55"/>
      <c r="E680" s="15"/>
    </row>
    <row r="681" ht="15.75" customHeight="1">
      <c r="A681" s="55"/>
      <c r="E681" s="15"/>
    </row>
    <row r="682" ht="15.75" customHeight="1">
      <c r="A682" s="55"/>
      <c r="E682" s="15"/>
    </row>
    <row r="683" ht="15.75" customHeight="1">
      <c r="A683" s="55"/>
      <c r="E683" s="15"/>
    </row>
    <row r="684" ht="15.75" customHeight="1">
      <c r="A684" s="55"/>
      <c r="E684" s="15"/>
    </row>
    <row r="685" ht="15.75" customHeight="1">
      <c r="A685" s="55"/>
      <c r="E685" s="15"/>
    </row>
    <row r="686" ht="15.75" customHeight="1">
      <c r="A686" s="55"/>
      <c r="E686" s="15"/>
    </row>
    <row r="687" ht="15.75" customHeight="1">
      <c r="A687" s="55"/>
      <c r="E687" s="15"/>
    </row>
    <row r="688" ht="15.75" customHeight="1">
      <c r="A688" s="55"/>
      <c r="E688" s="15"/>
    </row>
    <row r="689" ht="15.75" customHeight="1">
      <c r="A689" s="55"/>
      <c r="E689" s="15"/>
    </row>
    <row r="690" ht="15.75" customHeight="1">
      <c r="A690" s="55"/>
      <c r="E690" s="15"/>
    </row>
    <row r="691" ht="15.75" customHeight="1">
      <c r="A691" s="55"/>
      <c r="E691" s="15"/>
    </row>
    <row r="692" ht="15.75" customHeight="1">
      <c r="A692" s="55"/>
      <c r="E692" s="15"/>
    </row>
    <row r="693" ht="15.75" customHeight="1">
      <c r="A693" s="55"/>
      <c r="E693" s="15"/>
    </row>
    <row r="694" ht="15.75" customHeight="1">
      <c r="A694" s="55"/>
      <c r="E694" s="15"/>
    </row>
    <row r="695" ht="15.75" customHeight="1">
      <c r="A695" s="55"/>
      <c r="E695" s="15"/>
    </row>
    <row r="696" ht="15.75" customHeight="1">
      <c r="A696" s="55"/>
      <c r="E696" s="15"/>
    </row>
    <row r="697" ht="15.75" customHeight="1">
      <c r="A697" s="55"/>
      <c r="E697" s="15"/>
    </row>
    <row r="698" ht="15.75" customHeight="1">
      <c r="A698" s="55"/>
      <c r="E698" s="15"/>
    </row>
    <row r="699" ht="15.75" customHeight="1">
      <c r="A699" s="55"/>
      <c r="E699" s="15"/>
    </row>
    <row r="700" ht="15.75" customHeight="1">
      <c r="A700" s="55"/>
      <c r="E700" s="15"/>
    </row>
    <row r="701" ht="15.75" customHeight="1">
      <c r="A701" s="55"/>
      <c r="E701" s="15"/>
    </row>
    <row r="702" ht="15.75" customHeight="1">
      <c r="A702" s="55"/>
      <c r="E702" s="15"/>
    </row>
    <row r="703" ht="15.75" customHeight="1">
      <c r="A703" s="55"/>
      <c r="E703" s="15"/>
    </row>
    <row r="704" ht="15.75" customHeight="1">
      <c r="A704" s="55"/>
      <c r="E704" s="15"/>
    </row>
    <row r="705" ht="15.75" customHeight="1">
      <c r="A705" s="55"/>
      <c r="E705" s="15"/>
    </row>
    <row r="706" ht="15.75" customHeight="1">
      <c r="A706" s="55"/>
      <c r="E706" s="15"/>
    </row>
    <row r="707" ht="15.75" customHeight="1">
      <c r="A707" s="55"/>
      <c r="E707" s="15"/>
    </row>
    <row r="708" ht="15.75" customHeight="1">
      <c r="A708" s="55"/>
      <c r="E708" s="15"/>
    </row>
    <row r="709" ht="15.75" customHeight="1">
      <c r="A709" s="55"/>
      <c r="E709" s="15"/>
    </row>
    <row r="710" ht="15.75" customHeight="1">
      <c r="A710" s="55"/>
      <c r="E710" s="15"/>
    </row>
    <row r="711" ht="15.75" customHeight="1">
      <c r="A711" s="55"/>
      <c r="E711" s="15"/>
    </row>
    <row r="712" ht="15.75" customHeight="1">
      <c r="A712" s="55"/>
      <c r="E712" s="15"/>
    </row>
    <row r="713" ht="15.75" customHeight="1">
      <c r="A713" s="55"/>
      <c r="E713" s="15"/>
    </row>
    <row r="714" ht="15.75" customHeight="1">
      <c r="A714" s="55"/>
      <c r="E714" s="15"/>
    </row>
    <row r="715" ht="15.75" customHeight="1">
      <c r="A715" s="55"/>
      <c r="E715" s="15"/>
    </row>
    <row r="716" ht="15.75" customHeight="1">
      <c r="A716" s="55"/>
      <c r="E716" s="15"/>
    </row>
    <row r="717" ht="15.75" customHeight="1">
      <c r="A717" s="55"/>
      <c r="E717" s="15"/>
    </row>
    <row r="718" ht="15.75" customHeight="1">
      <c r="A718" s="55"/>
      <c r="E718" s="15"/>
    </row>
    <row r="719" ht="15.75" customHeight="1">
      <c r="A719" s="55"/>
      <c r="E719" s="15"/>
    </row>
    <row r="720" ht="15.75" customHeight="1">
      <c r="A720" s="55"/>
      <c r="E720" s="15"/>
    </row>
    <row r="721" ht="15.75" customHeight="1">
      <c r="A721" s="55"/>
      <c r="E721" s="15"/>
    </row>
    <row r="722" ht="15.75" customHeight="1">
      <c r="A722" s="55"/>
      <c r="E722" s="15"/>
    </row>
    <row r="723" ht="15.75" customHeight="1">
      <c r="A723" s="55"/>
      <c r="E723" s="15"/>
    </row>
    <row r="724" ht="15.75" customHeight="1">
      <c r="A724" s="55"/>
      <c r="E724" s="15"/>
    </row>
    <row r="725" ht="15.75" customHeight="1">
      <c r="A725" s="55"/>
      <c r="E725" s="15"/>
    </row>
    <row r="726" ht="15.75" customHeight="1">
      <c r="A726" s="55"/>
      <c r="E726" s="15"/>
    </row>
    <row r="727" ht="15.75" customHeight="1">
      <c r="A727" s="55"/>
      <c r="E727" s="15"/>
    </row>
    <row r="728" ht="15.75" customHeight="1">
      <c r="A728" s="55"/>
      <c r="E728" s="15"/>
    </row>
    <row r="729" ht="15.75" customHeight="1">
      <c r="A729" s="55"/>
      <c r="E729" s="15"/>
    </row>
    <row r="730" ht="15.75" customHeight="1">
      <c r="A730" s="55"/>
      <c r="E730" s="15"/>
    </row>
    <row r="731" ht="15.75" customHeight="1">
      <c r="A731" s="55"/>
      <c r="E731" s="15"/>
    </row>
    <row r="732" ht="15.75" customHeight="1">
      <c r="A732" s="55"/>
      <c r="E732" s="15"/>
    </row>
    <row r="733" ht="15.75" customHeight="1">
      <c r="A733" s="55"/>
      <c r="E733" s="15"/>
    </row>
    <row r="734" ht="15.75" customHeight="1">
      <c r="A734" s="55"/>
      <c r="E734" s="15"/>
    </row>
    <row r="735" ht="15.75" customHeight="1">
      <c r="A735" s="55"/>
      <c r="E735" s="15"/>
    </row>
    <row r="736" ht="15.75" customHeight="1">
      <c r="A736" s="55"/>
      <c r="E736" s="15"/>
    </row>
    <row r="737" ht="15.75" customHeight="1">
      <c r="A737" s="55"/>
      <c r="E737" s="15"/>
    </row>
    <row r="738" ht="15.75" customHeight="1">
      <c r="A738" s="55"/>
      <c r="E738" s="15"/>
    </row>
    <row r="739" ht="15.75" customHeight="1">
      <c r="A739" s="55"/>
      <c r="E739" s="15"/>
    </row>
    <row r="740" ht="15.75" customHeight="1">
      <c r="A740" s="55"/>
      <c r="E740" s="15"/>
    </row>
    <row r="741" ht="15.75" customHeight="1">
      <c r="A741" s="55"/>
      <c r="E741" s="15"/>
    </row>
    <row r="742" ht="15.75" customHeight="1">
      <c r="A742" s="55"/>
      <c r="E742" s="15"/>
    </row>
    <row r="743" ht="15.75" customHeight="1">
      <c r="A743" s="55"/>
      <c r="E743" s="15"/>
    </row>
    <row r="744" ht="15.75" customHeight="1">
      <c r="A744" s="55"/>
      <c r="E744" s="15"/>
    </row>
    <row r="745" ht="15.75" customHeight="1">
      <c r="A745" s="55"/>
      <c r="E745" s="15"/>
    </row>
    <row r="746" ht="15.75" customHeight="1">
      <c r="A746" s="55"/>
      <c r="E746" s="15"/>
    </row>
    <row r="747" ht="15.75" customHeight="1">
      <c r="A747" s="55"/>
      <c r="E747" s="15"/>
    </row>
    <row r="748" ht="15.75" customHeight="1">
      <c r="A748" s="55"/>
      <c r="E748" s="15"/>
    </row>
    <row r="749" ht="15.75" customHeight="1">
      <c r="A749" s="55"/>
      <c r="E749" s="15"/>
    </row>
    <row r="750" ht="15.75" customHeight="1">
      <c r="A750" s="55"/>
      <c r="E750" s="15"/>
    </row>
    <row r="751" ht="15.75" customHeight="1">
      <c r="A751" s="55"/>
      <c r="E751" s="15"/>
    </row>
    <row r="752" ht="15.75" customHeight="1">
      <c r="A752" s="55"/>
      <c r="E752" s="15"/>
    </row>
    <row r="753" ht="15.75" customHeight="1">
      <c r="A753" s="55"/>
      <c r="E753" s="15"/>
    </row>
    <row r="754" ht="15.75" customHeight="1">
      <c r="A754" s="55"/>
      <c r="E754" s="15"/>
    </row>
    <row r="755" ht="15.75" customHeight="1">
      <c r="A755" s="55"/>
      <c r="E755" s="15"/>
    </row>
    <row r="756" ht="15.75" customHeight="1">
      <c r="A756" s="55"/>
      <c r="E756" s="15"/>
    </row>
    <row r="757" ht="15.75" customHeight="1">
      <c r="A757" s="55"/>
      <c r="E757" s="15"/>
    </row>
    <row r="758" ht="15.75" customHeight="1">
      <c r="A758" s="55"/>
      <c r="E758" s="15"/>
    </row>
    <row r="759" ht="15.75" customHeight="1">
      <c r="A759" s="55"/>
      <c r="E759" s="15"/>
    </row>
    <row r="760" ht="15.75" customHeight="1">
      <c r="A760" s="55"/>
      <c r="E760" s="15"/>
    </row>
    <row r="761" ht="15.75" customHeight="1">
      <c r="A761" s="55"/>
      <c r="E761" s="15"/>
    </row>
    <row r="762" ht="15.75" customHeight="1">
      <c r="A762" s="55"/>
      <c r="E762" s="15"/>
    </row>
    <row r="763" ht="15.75" customHeight="1">
      <c r="A763" s="55"/>
      <c r="E763" s="15"/>
    </row>
    <row r="764" ht="15.75" customHeight="1">
      <c r="A764" s="55"/>
      <c r="E764" s="15"/>
    </row>
    <row r="765" ht="15.75" customHeight="1">
      <c r="A765" s="55"/>
      <c r="E765" s="15"/>
    </row>
    <row r="766" ht="15.75" customHeight="1">
      <c r="A766" s="55"/>
      <c r="E766" s="15"/>
    </row>
    <row r="767" ht="15.75" customHeight="1">
      <c r="A767" s="55"/>
      <c r="E767" s="15"/>
    </row>
    <row r="768" ht="15.75" customHeight="1">
      <c r="A768" s="55"/>
      <c r="E768" s="15"/>
    </row>
    <row r="769" ht="15.75" customHeight="1">
      <c r="A769" s="55"/>
      <c r="E769" s="15"/>
    </row>
    <row r="770" ht="15.75" customHeight="1">
      <c r="A770" s="55"/>
      <c r="E770" s="15"/>
    </row>
    <row r="771" ht="15.75" customHeight="1">
      <c r="A771" s="55"/>
      <c r="E771" s="15"/>
    </row>
    <row r="772" ht="15.75" customHeight="1">
      <c r="A772" s="55"/>
      <c r="E772" s="15"/>
    </row>
    <row r="773" ht="15.75" customHeight="1">
      <c r="A773" s="55"/>
      <c r="E773" s="15"/>
    </row>
    <row r="774" ht="15.75" customHeight="1">
      <c r="A774" s="55"/>
      <c r="E774" s="15"/>
    </row>
    <row r="775" ht="15.75" customHeight="1">
      <c r="A775" s="55"/>
      <c r="E775" s="15"/>
    </row>
    <row r="776" ht="15.75" customHeight="1">
      <c r="A776" s="55"/>
      <c r="E776" s="15"/>
    </row>
    <row r="777" ht="15.75" customHeight="1">
      <c r="A777" s="55"/>
      <c r="E777" s="15"/>
    </row>
    <row r="778" ht="15.75" customHeight="1">
      <c r="A778" s="55"/>
      <c r="E778" s="15"/>
    </row>
    <row r="779" ht="15.75" customHeight="1">
      <c r="A779" s="55"/>
      <c r="E779" s="15"/>
    </row>
    <row r="780" ht="15.75" customHeight="1">
      <c r="A780" s="55"/>
      <c r="E780" s="15"/>
    </row>
    <row r="781" ht="15.75" customHeight="1">
      <c r="A781" s="55"/>
      <c r="E781" s="15"/>
    </row>
    <row r="782" ht="15.75" customHeight="1">
      <c r="A782" s="55"/>
      <c r="E782" s="15"/>
    </row>
    <row r="783" ht="15.75" customHeight="1">
      <c r="A783" s="55"/>
      <c r="E783" s="15"/>
    </row>
    <row r="784" ht="15.75" customHeight="1">
      <c r="A784" s="55"/>
      <c r="E784" s="15"/>
    </row>
    <row r="785" ht="15.75" customHeight="1">
      <c r="A785" s="55"/>
      <c r="E785" s="15"/>
    </row>
    <row r="786" ht="15.75" customHeight="1">
      <c r="A786" s="55"/>
      <c r="E786" s="15"/>
    </row>
    <row r="787" ht="15.75" customHeight="1">
      <c r="A787" s="55"/>
      <c r="E787" s="15"/>
    </row>
    <row r="788" ht="15.75" customHeight="1">
      <c r="A788" s="55"/>
      <c r="E788" s="15"/>
    </row>
    <row r="789" ht="15.75" customHeight="1">
      <c r="A789" s="55"/>
      <c r="E789" s="15"/>
    </row>
    <row r="790" ht="15.75" customHeight="1">
      <c r="A790" s="55"/>
      <c r="E790" s="15"/>
    </row>
    <row r="791" ht="15.75" customHeight="1">
      <c r="A791" s="55"/>
      <c r="E791" s="15"/>
    </row>
    <row r="792" ht="15.75" customHeight="1">
      <c r="A792" s="55"/>
      <c r="E792" s="15"/>
    </row>
    <row r="793" ht="15.75" customHeight="1">
      <c r="A793" s="55"/>
      <c r="E793" s="15"/>
    </row>
    <row r="794" ht="15.75" customHeight="1">
      <c r="A794" s="55"/>
      <c r="E794" s="15"/>
    </row>
    <row r="795" ht="15.75" customHeight="1">
      <c r="A795" s="55"/>
      <c r="E795" s="15"/>
    </row>
    <row r="796" ht="15.75" customHeight="1">
      <c r="A796" s="55"/>
      <c r="E796" s="15"/>
    </row>
    <row r="797" ht="15.75" customHeight="1">
      <c r="A797" s="55"/>
      <c r="E797" s="15"/>
    </row>
    <row r="798" ht="15.75" customHeight="1">
      <c r="A798" s="55"/>
      <c r="E798" s="15"/>
    </row>
    <row r="799" ht="15.75" customHeight="1">
      <c r="A799" s="55"/>
      <c r="E799" s="15"/>
    </row>
    <row r="800" ht="15.75" customHeight="1">
      <c r="A800" s="55"/>
      <c r="E800" s="15"/>
    </row>
    <row r="801" ht="15.75" customHeight="1">
      <c r="A801" s="55"/>
      <c r="E801" s="15"/>
    </row>
    <row r="802" ht="15.75" customHeight="1">
      <c r="A802" s="55"/>
      <c r="E802" s="15"/>
    </row>
    <row r="803" ht="15.75" customHeight="1">
      <c r="A803" s="55"/>
      <c r="E803" s="15"/>
    </row>
    <row r="804" ht="15.75" customHeight="1">
      <c r="A804" s="55"/>
      <c r="E804" s="15"/>
    </row>
    <row r="805" ht="15.75" customHeight="1">
      <c r="A805" s="55"/>
      <c r="E805" s="15"/>
    </row>
    <row r="806" ht="15.75" customHeight="1">
      <c r="A806" s="55"/>
      <c r="E806" s="15"/>
    </row>
    <row r="807" ht="15.75" customHeight="1">
      <c r="A807" s="55"/>
      <c r="E807" s="15"/>
    </row>
    <row r="808" ht="15.75" customHeight="1">
      <c r="A808" s="55"/>
      <c r="E808" s="15"/>
    </row>
    <row r="809" ht="15.75" customHeight="1">
      <c r="A809" s="55"/>
      <c r="E809" s="15"/>
    </row>
    <row r="810" ht="15.75" customHeight="1">
      <c r="A810" s="55"/>
      <c r="E810" s="15"/>
    </row>
    <row r="811" ht="15.75" customHeight="1">
      <c r="A811" s="55"/>
      <c r="E811" s="15"/>
    </row>
    <row r="812" ht="15.75" customHeight="1">
      <c r="A812" s="55"/>
      <c r="E812" s="15"/>
    </row>
    <row r="813" ht="15.75" customHeight="1">
      <c r="A813" s="55"/>
      <c r="E813" s="15"/>
    </row>
    <row r="814" ht="15.75" customHeight="1">
      <c r="A814" s="55"/>
      <c r="E814" s="15"/>
    </row>
    <row r="815" ht="15.75" customHeight="1">
      <c r="A815" s="55"/>
      <c r="E815" s="15"/>
    </row>
    <row r="816" ht="15.75" customHeight="1">
      <c r="A816" s="55"/>
      <c r="E816" s="15"/>
    </row>
    <row r="817" ht="15.75" customHeight="1">
      <c r="A817" s="55"/>
      <c r="E817" s="15"/>
    </row>
    <row r="818" ht="15.75" customHeight="1">
      <c r="A818" s="55"/>
      <c r="E818" s="15"/>
    </row>
    <row r="819" ht="15.75" customHeight="1">
      <c r="A819" s="55"/>
      <c r="E819" s="15"/>
    </row>
    <row r="820" ht="15.75" customHeight="1">
      <c r="A820" s="55"/>
      <c r="E820" s="15"/>
    </row>
    <row r="821" ht="15.75" customHeight="1">
      <c r="A821" s="55"/>
      <c r="E821" s="15"/>
    </row>
    <row r="822" ht="15.75" customHeight="1">
      <c r="A822" s="55"/>
      <c r="E822" s="15"/>
    </row>
    <row r="823" ht="15.75" customHeight="1">
      <c r="A823" s="55"/>
      <c r="E823" s="15"/>
    </row>
    <row r="824" ht="15.75" customHeight="1">
      <c r="A824" s="55"/>
      <c r="E824" s="15"/>
    </row>
    <row r="825" ht="15.75" customHeight="1">
      <c r="A825" s="55"/>
      <c r="E825" s="15"/>
    </row>
    <row r="826" ht="15.75" customHeight="1">
      <c r="A826" s="55"/>
      <c r="E826" s="15"/>
    </row>
    <row r="827" ht="15.75" customHeight="1">
      <c r="A827" s="55"/>
      <c r="E827" s="15"/>
    </row>
    <row r="828" ht="15.75" customHeight="1">
      <c r="A828" s="55"/>
      <c r="E828" s="15"/>
    </row>
    <row r="829" ht="15.75" customHeight="1">
      <c r="A829" s="55"/>
      <c r="E829" s="15"/>
    </row>
    <row r="830" ht="15.75" customHeight="1">
      <c r="A830" s="55"/>
      <c r="E830" s="15"/>
    </row>
    <row r="831" ht="15.75" customHeight="1">
      <c r="A831" s="55"/>
      <c r="E831" s="15"/>
    </row>
    <row r="832" ht="15.75" customHeight="1">
      <c r="A832" s="55"/>
      <c r="E832" s="15"/>
    </row>
    <row r="833" ht="15.75" customHeight="1">
      <c r="A833" s="55"/>
      <c r="E833" s="15"/>
    </row>
    <row r="834" ht="15.75" customHeight="1">
      <c r="A834" s="55"/>
      <c r="E834" s="15"/>
    </row>
    <row r="835" ht="15.75" customHeight="1">
      <c r="A835" s="55"/>
      <c r="E835" s="15"/>
    </row>
    <row r="836" ht="15.75" customHeight="1">
      <c r="A836" s="55"/>
      <c r="E836" s="15"/>
    </row>
    <row r="837" ht="15.75" customHeight="1">
      <c r="A837" s="55"/>
      <c r="E837" s="15"/>
    </row>
    <row r="838" ht="15.75" customHeight="1">
      <c r="A838" s="55"/>
      <c r="E838" s="15"/>
    </row>
    <row r="839" ht="15.75" customHeight="1">
      <c r="A839" s="55"/>
      <c r="E839" s="15"/>
    </row>
    <row r="840" ht="15.75" customHeight="1">
      <c r="A840" s="55"/>
      <c r="E840" s="15"/>
    </row>
    <row r="841" ht="15.75" customHeight="1">
      <c r="A841" s="55"/>
      <c r="E841" s="15"/>
    </row>
    <row r="842" ht="15.75" customHeight="1">
      <c r="A842" s="55"/>
      <c r="E842" s="15"/>
    </row>
    <row r="843" ht="15.75" customHeight="1">
      <c r="A843" s="55"/>
      <c r="E843" s="15"/>
    </row>
    <row r="844" ht="15.75" customHeight="1">
      <c r="A844" s="55"/>
      <c r="E844" s="15"/>
    </row>
    <row r="845" ht="15.75" customHeight="1">
      <c r="A845" s="55"/>
      <c r="E845" s="15"/>
    </row>
    <row r="846" ht="15.75" customHeight="1">
      <c r="A846" s="55"/>
      <c r="E846" s="15"/>
    </row>
    <row r="847" ht="15.75" customHeight="1">
      <c r="A847" s="55"/>
      <c r="E847" s="15"/>
    </row>
    <row r="848" ht="15.75" customHeight="1">
      <c r="A848" s="55"/>
      <c r="E848" s="15"/>
    </row>
    <row r="849" ht="15.75" customHeight="1">
      <c r="A849" s="55"/>
      <c r="E849" s="15"/>
    </row>
    <row r="850" ht="15.75" customHeight="1">
      <c r="A850" s="55"/>
      <c r="E850" s="15"/>
    </row>
    <row r="851" ht="15.75" customHeight="1">
      <c r="A851" s="55"/>
      <c r="E851" s="15"/>
    </row>
    <row r="852" ht="15.75" customHeight="1">
      <c r="A852" s="55"/>
      <c r="E852" s="15"/>
    </row>
    <row r="853" ht="15.75" customHeight="1">
      <c r="A853" s="55"/>
      <c r="E853" s="15"/>
    </row>
    <row r="854" ht="15.75" customHeight="1">
      <c r="A854" s="55"/>
      <c r="E854" s="15"/>
    </row>
    <row r="855" ht="15.75" customHeight="1">
      <c r="A855" s="55"/>
      <c r="E855" s="15"/>
    </row>
    <row r="856" ht="15.75" customHeight="1">
      <c r="A856" s="55"/>
      <c r="E856" s="15"/>
    </row>
    <row r="857" ht="15.75" customHeight="1">
      <c r="A857" s="55"/>
      <c r="E857" s="15"/>
    </row>
    <row r="858" ht="15.75" customHeight="1">
      <c r="A858" s="55"/>
      <c r="E858" s="15"/>
    </row>
    <row r="859" ht="15.75" customHeight="1">
      <c r="A859" s="55"/>
      <c r="E859" s="15"/>
    </row>
    <row r="860" ht="15.75" customHeight="1">
      <c r="A860" s="55"/>
      <c r="E860" s="15"/>
    </row>
    <row r="861" ht="15.75" customHeight="1">
      <c r="A861" s="55"/>
      <c r="E861" s="15"/>
    </row>
    <row r="862" ht="15.75" customHeight="1">
      <c r="A862" s="55"/>
      <c r="E862" s="15"/>
    </row>
    <row r="863" ht="15.75" customHeight="1">
      <c r="A863" s="55"/>
      <c r="E863" s="15"/>
    </row>
    <row r="864" ht="15.75" customHeight="1">
      <c r="A864" s="55"/>
      <c r="E864" s="15"/>
    </row>
    <row r="865" ht="15.75" customHeight="1">
      <c r="A865" s="55"/>
      <c r="E865" s="15"/>
    </row>
    <row r="866" ht="15.75" customHeight="1">
      <c r="A866" s="55"/>
      <c r="E866" s="15"/>
    </row>
    <row r="867" ht="15.75" customHeight="1">
      <c r="A867" s="55"/>
      <c r="E867" s="15"/>
    </row>
    <row r="868" ht="15.75" customHeight="1">
      <c r="A868" s="55"/>
      <c r="E868" s="15"/>
    </row>
    <row r="869" ht="15.75" customHeight="1">
      <c r="A869" s="55"/>
      <c r="E869" s="15"/>
    </row>
    <row r="870" ht="15.75" customHeight="1">
      <c r="A870" s="55"/>
      <c r="E870" s="15"/>
    </row>
    <row r="871" ht="15.75" customHeight="1">
      <c r="A871" s="55"/>
      <c r="E871" s="15"/>
    </row>
    <row r="872" ht="15.75" customHeight="1">
      <c r="A872" s="55"/>
      <c r="E872" s="15"/>
    </row>
    <row r="873" ht="15.75" customHeight="1">
      <c r="A873" s="55"/>
      <c r="E873" s="15"/>
    </row>
    <row r="874" ht="15.75" customHeight="1">
      <c r="A874" s="55"/>
      <c r="E874" s="15"/>
    </row>
    <row r="875" ht="15.75" customHeight="1">
      <c r="A875" s="55"/>
      <c r="E875" s="15"/>
    </row>
    <row r="876" ht="15.75" customHeight="1">
      <c r="A876" s="55"/>
      <c r="E876" s="15"/>
    </row>
    <row r="877" ht="15.75" customHeight="1">
      <c r="A877" s="55"/>
      <c r="E877" s="15"/>
    </row>
    <row r="878" ht="15.75" customHeight="1">
      <c r="A878" s="55"/>
      <c r="E878" s="15"/>
    </row>
    <row r="879" ht="15.75" customHeight="1">
      <c r="A879" s="55"/>
      <c r="E879" s="15"/>
    </row>
    <row r="880" ht="15.75" customHeight="1">
      <c r="A880" s="55"/>
      <c r="E880" s="15"/>
    </row>
    <row r="881" ht="15.75" customHeight="1">
      <c r="A881" s="55"/>
      <c r="E881" s="15"/>
    </row>
    <row r="882" ht="15.75" customHeight="1">
      <c r="A882" s="55"/>
      <c r="E882" s="15"/>
    </row>
    <row r="883" ht="15.75" customHeight="1">
      <c r="A883" s="55"/>
      <c r="E883" s="15"/>
    </row>
    <row r="884" ht="15.75" customHeight="1">
      <c r="A884" s="55"/>
      <c r="E884" s="15"/>
    </row>
    <row r="885" ht="15.75" customHeight="1">
      <c r="A885" s="55"/>
      <c r="E885" s="15"/>
    </row>
    <row r="886" ht="15.75" customHeight="1">
      <c r="A886" s="55"/>
      <c r="E886" s="15"/>
    </row>
    <row r="887" ht="15.75" customHeight="1">
      <c r="A887" s="55"/>
      <c r="E887" s="15"/>
    </row>
    <row r="888" ht="15.75" customHeight="1">
      <c r="A888" s="55"/>
      <c r="E888" s="15"/>
    </row>
    <row r="889" ht="15.75" customHeight="1">
      <c r="A889" s="55"/>
      <c r="E889" s="15"/>
    </row>
    <row r="890" ht="15.75" customHeight="1">
      <c r="A890" s="55"/>
      <c r="E890" s="15"/>
    </row>
    <row r="891" ht="15.75" customHeight="1">
      <c r="A891" s="55"/>
      <c r="E891" s="15"/>
    </row>
    <row r="892" ht="15.75" customHeight="1">
      <c r="A892" s="55"/>
      <c r="E892" s="15"/>
    </row>
    <row r="893" ht="15.75" customHeight="1">
      <c r="A893" s="55"/>
      <c r="E893" s="15"/>
    </row>
    <row r="894" ht="15.75" customHeight="1">
      <c r="A894" s="55"/>
      <c r="E894" s="15"/>
    </row>
    <row r="895" ht="15.75" customHeight="1">
      <c r="A895" s="55"/>
      <c r="E895" s="15"/>
    </row>
    <row r="896" ht="15.75" customHeight="1">
      <c r="A896" s="55"/>
      <c r="E896" s="15"/>
    </row>
    <row r="897" ht="15.75" customHeight="1">
      <c r="A897" s="55"/>
      <c r="E897" s="15"/>
    </row>
    <row r="898" ht="15.75" customHeight="1">
      <c r="A898" s="55"/>
      <c r="E898" s="15"/>
    </row>
    <row r="899" ht="15.75" customHeight="1">
      <c r="A899" s="55"/>
      <c r="E899" s="15"/>
    </row>
    <row r="900" ht="15.75" customHeight="1">
      <c r="A900" s="55"/>
      <c r="E900" s="15"/>
    </row>
    <row r="901" ht="15.75" customHeight="1">
      <c r="A901" s="55"/>
      <c r="E901" s="15"/>
    </row>
    <row r="902" ht="15.75" customHeight="1">
      <c r="A902" s="55"/>
      <c r="E902" s="15"/>
    </row>
    <row r="903" ht="15.75" customHeight="1">
      <c r="A903" s="55"/>
      <c r="E903" s="15"/>
    </row>
    <row r="904" ht="15.75" customHeight="1">
      <c r="A904" s="55"/>
      <c r="E904" s="15"/>
    </row>
    <row r="905" ht="15.75" customHeight="1">
      <c r="A905" s="55"/>
      <c r="E905" s="15"/>
    </row>
    <row r="906" ht="15.75" customHeight="1">
      <c r="A906" s="55"/>
      <c r="E906" s="15"/>
    </row>
    <row r="907" ht="15.75" customHeight="1">
      <c r="A907" s="55"/>
      <c r="E907" s="15"/>
    </row>
    <row r="908" ht="15.75" customHeight="1">
      <c r="A908" s="55"/>
      <c r="E908" s="15"/>
    </row>
    <row r="909" ht="15.75" customHeight="1">
      <c r="A909" s="55"/>
      <c r="E909" s="15"/>
    </row>
    <row r="910" ht="15.75" customHeight="1">
      <c r="A910" s="55"/>
      <c r="E910" s="15"/>
    </row>
    <row r="911" ht="15.75" customHeight="1">
      <c r="A911" s="55"/>
      <c r="E911" s="15"/>
    </row>
    <row r="912" ht="15.75" customHeight="1">
      <c r="A912" s="55"/>
      <c r="E912" s="15"/>
    </row>
    <row r="913" ht="15.75" customHeight="1">
      <c r="A913" s="55"/>
      <c r="E913" s="15"/>
    </row>
    <row r="914" ht="15.75" customHeight="1">
      <c r="A914" s="55"/>
      <c r="E914" s="15"/>
    </row>
    <row r="915" ht="15.75" customHeight="1">
      <c r="A915" s="55"/>
      <c r="E915" s="15"/>
    </row>
    <row r="916" ht="15.75" customHeight="1">
      <c r="A916" s="55"/>
      <c r="E916" s="15"/>
    </row>
    <row r="917" ht="15.75" customHeight="1">
      <c r="A917" s="55"/>
      <c r="E917" s="15"/>
    </row>
    <row r="918" ht="15.75" customHeight="1">
      <c r="A918" s="55"/>
      <c r="E918" s="15"/>
    </row>
    <row r="919" ht="15.75" customHeight="1">
      <c r="A919" s="55"/>
      <c r="E919" s="15"/>
    </row>
    <row r="920" ht="15.75" customHeight="1">
      <c r="A920" s="55"/>
      <c r="E920" s="15"/>
    </row>
    <row r="921" ht="15.75" customHeight="1">
      <c r="A921" s="55"/>
      <c r="E921" s="15"/>
    </row>
    <row r="922" ht="15.75" customHeight="1">
      <c r="A922" s="55"/>
      <c r="E922" s="15"/>
    </row>
    <row r="923" ht="15.75" customHeight="1">
      <c r="A923" s="55"/>
      <c r="E923" s="15"/>
    </row>
    <row r="924" ht="15.75" customHeight="1">
      <c r="A924" s="55"/>
      <c r="E924" s="15"/>
    </row>
    <row r="925" ht="15.75" customHeight="1">
      <c r="A925" s="55"/>
      <c r="E925" s="15"/>
    </row>
    <row r="926" ht="15.75" customHeight="1">
      <c r="A926" s="55"/>
      <c r="E926" s="15"/>
    </row>
    <row r="927" ht="15.75" customHeight="1">
      <c r="A927" s="55"/>
      <c r="E927" s="15"/>
    </row>
    <row r="928" ht="15.75" customHeight="1">
      <c r="A928" s="55"/>
      <c r="E928" s="15"/>
    </row>
    <row r="929" ht="15.75" customHeight="1">
      <c r="A929" s="55"/>
      <c r="E929" s="15"/>
    </row>
    <row r="930" ht="15.75" customHeight="1">
      <c r="A930" s="55"/>
      <c r="E930" s="15"/>
    </row>
    <row r="931" ht="15.75" customHeight="1">
      <c r="A931" s="55"/>
      <c r="E931" s="15"/>
    </row>
    <row r="932" ht="15.75" customHeight="1">
      <c r="A932" s="55"/>
      <c r="E932" s="15"/>
    </row>
    <row r="933" ht="15.75" customHeight="1">
      <c r="A933" s="55"/>
      <c r="E933" s="15"/>
    </row>
    <row r="934" ht="15.75" customHeight="1">
      <c r="A934" s="55"/>
      <c r="E934" s="15"/>
    </row>
    <row r="935" ht="15.75" customHeight="1">
      <c r="A935" s="55"/>
      <c r="E935" s="15"/>
    </row>
    <row r="936" ht="15.75" customHeight="1">
      <c r="A936" s="55"/>
      <c r="E936" s="15"/>
    </row>
    <row r="937" ht="15.75" customHeight="1">
      <c r="A937" s="55"/>
      <c r="E937" s="15"/>
    </row>
    <row r="938" ht="15.75" customHeight="1">
      <c r="A938" s="55"/>
      <c r="E938" s="15"/>
    </row>
    <row r="939" ht="15.75" customHeight="1">
      <c r="A939" s="55"/>
      <c r="E939" s="15"/>
    </row>
    <row r="940" ht="15.75" customHeight="1">
      <c r="A940" s="55"/>
      <c r="E940" s="15"/>
    </row>
    <row r="941" ht="15.75" customHeight="1">
      <c r="A941" s="55"/>
      <c r="E941" s="15"/>
    </row>
    <row r="942" ht="15.75" customHeight="1">
      <c r="A942" s="55"/>
      <c r="E942" s="15"/>
    </row>
    <row r="943" ht="15.75" customHeight="1">
      <c r="A943" s="55"/>
      <c r="E943" s="15"/>
    </row>
    <row r="944" ht="15.75" customHeight="1">
      <c r="A944" s="55"/>
      <c r="E944" s="15"/>
    </row>
    <row r="945" ht="15.75" customHeight="1">
      <c r="A945" s="55"/>
      <c r="E945" s="15"/>
    </row>
    <row r="946" ht="15.75" customHeight="1">
      <c r="A946" s="55"/>
      <c r="E946" s="15"/>
    </row>
    <row r="947" ht="15.75" customHeight="1">
      <c r="A947" s="55"/>
      <c r="E947" s="15"/>
    </row>
    <row r="948" ht="15.75" customHeight="1">
      <c r="A948" s="55"/>
      <c r="E948" s="15"/>
    </row>
    <row r="949" ht="15.75" customHeight="1">
      <c r="A949" s="55"/>
      <c r="E949" s="15"/>
    </row>
    <row r="950" ht="15.75" customHeight="1">
      <c r="A950" s="55"/>
      <c r="E950" s="15"/>
    </row>
    <row r="951" ht="15.75" customHeight="1">
      <c r="A951" s="55"/>
      <c r="E951" s="15"/>
    </row>
    <row r="952" ht="15.75" customHeight="1">
      <c r="A952" s="55"/>
      <c r="E952" s="15"/>
    </row>
    <row r="953" ht="15.75" customHeight="1">
      <c r="A953" s="55"/>
      <c r="E953" s="15"/>
    </row>
    <row r="954" ht="15.75" customHeight="1">
      <c r="A954" s="55"/>
      <c r="E954" s="15"/>
    </row>
    <row r="955" ht="15.75" customHeight="1">
      <c r="A955" s="55"/>
      <c r="E955" s="15"/>
    </row>
    <row r="956" ht="15.75" customHeight="1">
      <c r="A956" s="55"/>
      <c r="E956" s="15"/>
    </row>
    <row r="957" ht="15.75" customHeight="1">
      <c r="A957" s="55"/>
      <c r="E957" s="15"/>
    </row>
    <row r="958" ht="15.75" customHeight="1">
      <c r="A958" s="55"/>
      <c r="E958" s="15"/>
    </row>
    <row r="959" ht="15.75" customHeight="1">
      <c r="A959" s="55"/>
      <c r="E959" s="15"/>
    </row>
    <row r="960" ht="15.75" customHeight="1">
      <c r="A960" s="55"/>
      <c r="E960" s="15"/>
    </row>
    <row r="961" ht="15.75" customHeight="1">
      <c r="A961" s="55"/>
      <c r="E961" s="15"/>
    </row>
    <row r="962" ht="15.75" customHeight="1">
      <c r="A962" s="55"/>
      <c r="E962" s="15"/>
    </row>
    <row r="963" ht="15.75" customHeight="1">
      <c r="A963" s="55"/>
      <c r="E963" s="15"/>
    </row>
    <row r="964" ht="15.75" customHeight="1">
      <c r="A964" s="55"/>
      <c r="E964" s="15"/>
    </row>
    <row r="965" ht="15.75" customHeight="1">
      <c r="A965" s="55"/>
      <c r="E965" s="15"/>
    </row>
    <row r="966" ht="15.75" customHeight="1">
      <c r="A966" s="55"/>
      <c r="E966" s="15"/>
    </row>
    <row r="967" ht="15.75" customHeight="1">
      <c r="A967" s="55"/>
      <c r="E967" s="15"/>
    </row>
    <row r="968" ht="15.75" customHeight="1">
      <c r="A968" s="55"/>
      <c r="E968" s="15"/>
    </row>
    <row r="969" ht="15.75" customHeight="1">
      <c r="A969" s="55"/>
      <c r="E969" s="15"/>
    </row>
    <row r="970" ht="15.75" customHeight="1">
      <c r="A970" s="55"/>
      <c r="E970" s="15"/>
    </row>
    <row r="971" ht="15.75" customHeight="1">
      <c r="A971" s="55"/>
      <c r="E971" s="15"/>
    </row>
    <row r="972" ht="15.75" customHeight="1">
      <c r="A972" s="55"/>
      <c r="E972" s="15"/>
    </row>
    <row r="973" ht="15.75" customHeight="1">
      <c r="A973" s="55"/>
      <c r="E973" s="15"/>
    </row>
    <row r="974" ht="15.75" customHeight="1">
      <c r="A974" s="55"/>
      <c r="E974" s="15"/>
    </row>
    <row r="975" ht="15.75" customHeight="1">
      <c r="A975" s="55"/>
      <c r="E975" s="15"/>
    </row>
    <row r="976" ht="15.75" customHeight="1">
      <c r="A976" s="55"/>
      <c r="E976" s="15"/>
    </row>
    <row r="977" ht="15.75" customHeight="1">
      <c r="A977" s="55"/>
      <c r="E977" s="15"/>
    </row>
    <row r="978" ht="15.75" customHeight="1">
      <c r="A978" s="55"/>
      <c r="E978" s="15"/>
    </row>
    <row r="979" ht="15.75" customHeight="1">
      <c r="A979" s="55"/>
      <c r="E979" s="15"/>
    </row>
    <row r="980" ht="15.75" customHeight="1">
      <c r="A980" s="55"/>
      <c r="E980" s="15"/>
    </row>
    <row r="981" ht="15.75" customHeight="1">
      <c r="A981" s="55"/>
      <c r="E981" s="15"/>
    </row>
    <row r="982" ht="15.75" customHeight="1">
      <c r="A982" s="55"/>
      <c r="E982" s="15"/>
    </row>
    <row r="983" ht="15.75" customHeight="1">
      <c r="A983" s="55"/>
      <c r="E983" s="15"/>
    </row>
    <row r="984" ht="15.75" customHeight="1">
      <c r="A984" s="55"/>
      <c r="E984" s="15"/>
    </row>
    <row r="985" ht="15.75" customHeight="1">
      <c r="A985" s="55"/>
      <c r="E985" s="15"/>
    </row>
    <row r="986" ht="15.75" customHeight="1">
      <c r="A986" s="55"/>
      <c r="E986" s="15"/>
    </row>
    <row r="987" ht="15.75" customHeight="1">
      <c r="A987" s="55"/>
      <c r="E987" s="15"/>
    </row>
    <row r="988" ht="15.75" customHeight="1">
      <c r="A988" s="55"/>
      <c r="E988" s="15"/>
    </row>
    <row r="989" ht="15.75" customHeight="1">
      <c r="A989" s="55"/>
      <c r="E989" s="15"/>
    </row>
    <row r="990" ht="15.75" customHeight="1">
      <c r="A990" s="55"/>
      <c r="E990" s="15"/>
    </row>
    <row r="991" ht="15.75" customHeight="1">
      <c r="A991" s="55"/>
      <c r="E991" s="15"/>
    </row>
    <row r="992" ht="15.75" customHeight="1">
      <c r="A992" s="55"/>
      <c r="E992" s="15"/>
    </row>
    <row r="993" ht="15.75" customHeight="1">
      <c r="A993" s="55"/>
      <c r="E993" s="15"/>
    </row>
    <row r="994" ht="15.75" customHeight="1">
      <c r="A994" s="55"/>
      <c r="E994" s="15"/>
    </row>
    <row r="995" ht="15.75" customHeight="1">
      <c r="A995" s="55"/>
      <c r="E995" s="15"/>
    </row>
    <row r="996" ht="15.75" customHeight="1">
      <c r="A996" s="55"/>
      <c r="E996" s="15"/>
    </row>
    <row r="997" ht="15.75" customHeight="1">
      <c r="A997" s="55"/>
      <c r="E997" s="15"/>
    </row>
    <row r="998" ht="15.75" customHeight="1">
      <c r="A998" s="55"/>
      <c r="E998" s="15"/>
    </row>
    <row r="999" ht="15.75" customHeight="1">
      <c r="A999" s="55"/>
      <c r="E999" s="15"/>
    </row>
    <row r="1000" ht="15.75" customHeight="1">
      <c r="A1000" s="55"/>
      <c r="E1000" s="15"/>
    </row>
    <row r="1001" ht="15.75" customHeight="1">
      <c r="A1001" s="55"/>
      <c r="E1001" s="1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1" max="11" width="16.5"/>
  </cols>
  <sheetData>
    <row r="1">
      <c r="A1" s="61" t="s">
        <v>391</v>
      </c>
      <c r="B1" s="61" t="s">
        <v>392</v>
      </c>
      <c r="C1" s="62" t="s">
        <v>393</v>
      </c>
      <c r="D1" s="63" t="s">
        <v>394</v>
      </c>
      <c r="E1" s="64" t="s">
        <v>395</v>
      </c>
      <c r="F1" s="65" t="s">
        <v>396</v>
      </c>
      <c r="G1" s="66" t="s">
        <v>397</v>
      </c>
      <c r="H1" s="66" t="s">
        <v>398</v>
      </c>
      <c r="I1" s="67" t="s">
        <v>399</v>
      </c>
      <c r="J1" s="67" t="s">
        <v>400</v>
      </c>
      <c r="K1" s="68" t="s">
        <v>401</v>
      </c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>
      <c r="A2" s="70">
        <v>10.0</v>
      </c>
      <c r="B2" s="71" t="s">
        <v>402</v>
      </c>
      <c r="C2" s="72">
        <v>999.0</v>
      </c>
      <c r="D2" s="73">
        <v>1.0</v>
      </c>
      <c r="E2" s="73">
        <v>1.0</v>
      </c>
      <c r="F2" s="74">
        <v>0.75</v>
      </c>
      <c r="G2" s="74">
        <v>0.75</v>
      </c>
      <c r="H2" s="75">
        <v>0.5</v>
      </c>
      <c r="I2" s="75">
        <v>0.5</v>
      </c>
      <c r="J2" s="76">
        <v>0.0</v>
      </c>
      <c r="K2" s="77" t="s">
        <v>403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ht="15.75" customHeight="1"/>
    <row r="4" ht="15.75" customHeight="1"/>
    <row r="5" ht="15.75" customHeight="1">
      <c r="C5" s="29"/>
      <c r="D5" s="29"/>
    </row>
    <row r="6" ht="15.75" customHeight="1">
      <c r="C6" s="29"/>
      <c r="D6" s="29"/>
    </row>
    <row r="7" ht="15.75" customHeight="1">
      <c r="C7" s="29"/>
      <c r="D7" s="29"/>
    </row>
    <row r="8" ht="15.75" customHeight="1">
      <c r="C8" s="29"/>
    </row>
    <row r="9" ht="15.75" customHeight="1">
      <c r="C9" s="29"/>
    </row>
    <row r="10" ht="15.75" customHeight="1">
      <c r="C10" s="29"/>
    </row>
    <row r="11" ht="15.75" customHeight="1">
      <c r="C11" s="29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