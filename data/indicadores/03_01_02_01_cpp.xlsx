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</sheets>
  <definedNames/>
  <calcPr/>
  <extLst>
    <ext uri="GoogleSheetsCustomDataVersion2">
      <go:sheetsCustomData xmlns:go="http://customooxmlschemas.google.com/" r:id="rId10" roundtripDataChecksum="UXBOLWyorsFg9bxaoAxDILkLwdX0V+TEsuQOwBNUTQs="/>
    </ext>
  </extLst>
</workbook>
</file>

<file path=xl/sharedStrings.xml><?xml version="1.0" encoding="utf-8"?>
<sst xmlns="http://schemas.openxmlformats.org/spreadsheetml/2006/main" count="1112" uniqueCount="380">
  <si>
    <t>id</t>
  </si>
  <si>
    <t>Municipio</t>
  </si>
  <si>
    <t>atendidas2012</t>
  </si>
  <si>
    <t>noatendidas2012</t>
  </si>
  <si>
    <t>mujer15parto_2012</t>
  </si>
  <si>
    <t>atendidas_2024</t>
  </si>
  <si>
    <t>noatendidas_2024</t>
  </si>
  <si>
    <t>mujer15parto_2024</t>
  </si>
  <si>
    <t>cobertura2012</t>
  </si>
  <si>
    <t>cobertura2024</t>
  </si>
  <si>
    <t>idep</t>
  </si>
  <si>
    <t>Departamento</t>
  </si>
  <si>
    <t>noatendidos2012</t>
  </si>
  <si>
    <t>mujer15aparto_2012</t>
  </si>
  <si>
    <t>atendidas2024</t>
  </si>
  <si>
    <t>noatendidas2024</t>
  </si>
  <si>
    <t>mujer15aparto_2024</t>
  </si>
  <si>
    <t>Sucre</t>
  </si>
  <si>
    <t>Chuquisaca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</si>
  <si>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</si>
  <si>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</si>
  <si>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</si>
  <si>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</si>
  <si>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</si>
  <si>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</si>
  <si>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</si>
  <si>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</si>
  <si>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</si>
  <si>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</si>
  <si>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</si>
  <si>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</si>
  <si>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</si>
  <si>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</si>
  <si>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</si>
  <si>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</si>
  <si>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</si>
  <si>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</si>
  <si>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</si>
  <si>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</si>
  <si>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</si>
  <si>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</si>
  <si>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</si>
  <si>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</si>
  <si>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</si>
  <si>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</si>
  <si>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</si>
  <si>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</si>
  <si>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</si>
  <si>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</si>
  <si>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</si>
  <si>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</si>
  <si>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</si>
  <si>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</si>
  <si>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</si>
  <si>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</si>
  <si>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</si>
  <si>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</si>
  <si>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</si>
  <si>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</si>
  <si>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</si>
  <si>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</si>
  <si>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</si>
  <si>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</si>
  <si>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</si>
  <si>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</si>
  <si>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</si>
  <si>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</si>
  <si>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</si>
  <si>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</si>
  <si>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</si>
  <si>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</si>
  <si>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</si>
  <si>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</si>
  <si>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</si>
  <si>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</si>
  <si>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</si>
  <si>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</si>
  <si>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</si>
  <si>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</si>
  <si>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</si>
  <si>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</si>
  <si>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</si>
  <si>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</si>
  <si>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</si>
  <si>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</si>
  <si>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</si>
  <si>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</si>
  <si>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</si>
  <si>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</si>
  <si>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</si>
  <si>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</si>
  <si>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</si>
  <si>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</si>
  <si>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</si>
  <si>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</si>
  <si>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</si>
  <si>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</si>
  <si>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</si>
  <si>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</si>
  <si>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</si>
  <si>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</si>
  <si>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</si>
  <si>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</si>
  <si>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</si>
  <si>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</si>
  <si>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</si>
  <si>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</si>
  <si>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</si>
  <si>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</si>
  <si>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</si>
  <si>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</si>
  <si>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</si>
  <si>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</si>
  <si>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</si>
  <si>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</si>
  <si>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</si>
  <si>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</si>
  <si>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</si>
  <si>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</si>
  <si>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</si>
  <si>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</si>
  <si>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</si>
  <si>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</si>
  <si>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</si>
  <si>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</si>
  <si>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</si>
  <si>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</si>
  <si>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</si>
  <si>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</si>
  <si>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</si>
  <si>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</si>
  <si>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</si>
  <si>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</si>
  <si>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</si>
  <si>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</si>
  <si>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</si>
  <si>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</si>
  <si>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</si>
  <si>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</si>
  <si>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</si>
  <si>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</si>
  <si>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</si>
  <si>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</si>
  <si>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</si>
  <si>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</si>
  <si>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</si>
  <si>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</si>
  <si>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</si>
  <si>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</si>
  <si>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</si>
  <si>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</si>
  <si>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</si>
  <si>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</si>
  <si>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</si>
  <si>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</si>
  <si>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</si>
  <si>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</si>
  <si>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</si>
  <si>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</si>
  <si>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</si>
  <si>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</si>
  <si>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</si>
  <si>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</si>
  <si>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</si>
  <si>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</si>
  <si>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</si>
  <si>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</si>
  <si>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</si>
  <si>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</si>
  <si>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</si>
  <si>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</si>
  <si>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</si>
  <si>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</si>
  <si>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</si>
  <si>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</si>
  <si>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</si>
  <si>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</si>
  <si>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</si>
  <si>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</si>
  <si>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</si>
  <si>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</si>
  <si>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</si>
  <si>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</si>
  <si>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</si>
  <si>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</si>
  <si>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</si>
  <si>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</si>
  <si>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</si>
  <si>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</si>
  <si>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</si>
  <si>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</si>
  <si>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</si>
  <si>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</si>
  <si>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</si>
  <si>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</si>
  <si>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</si>
  <si>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</si>
  <si>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</si>
  <si>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</si>
  <si>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</si>
  <si>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</si>
  <si>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</si>
  <si>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</si>
  <si>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</si>
  <si>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</si>
  <si>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</si>
  <si>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</si>
  <si>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</si>
  <si>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</si>
  <si>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</si>
  <si>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</si>
  <si>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</si>
  <si>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</si>
  <si>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</si>
  <si>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</si>
  <si>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</si>
  <si>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</si>
  <si>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</si>
  <si>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</si>
  <si>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</si>
  <si>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</si>
  <si>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</si>
  <si>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</si>
  <si>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</si>
  <si>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</si>
  <si>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</si>
  <si>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</si>
  <si>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</si>
  <si>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</si>
  <si>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</si>
  <si>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</si>
  <si>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</si>
  <si>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</si>
  <si>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</si>
  <si>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</si>
  <si>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</si>
  <si>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</si>
  <si>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</si>
  <si>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</si>
  <si>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</si>
  <si>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</si>
  <si>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</si>
  <si>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</si>
  <si>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</si>
  <si>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</si>
  <si>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</si>
  <si>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</si>
  <si>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</si>
  <si>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</si>
  <si>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</si>
  <si>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</si>
  <si>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</si>
  <si>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</si>
  <si>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</si>
  <si>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</si>
  <si>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</si>
  <si>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</si>
  <si>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</si>
  <si>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</si>
  <si>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</si>
  <si>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</si>
  <si>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</si>
  <si>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</si>
  <si>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</si>
  <si>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</si>
  <si>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</si>
  <si>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</si>
  <si>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</si>
  <si>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</si>
  <si>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</si>
  <si>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</si>
  <si>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</si>
  <si>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</si>
  <si>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</si>
  <si>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</si>
  <si>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</si>
  <si>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</si>
  <si>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</si>
  <si>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</si>
  <si>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</si>
  <si>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</si>
  <si>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</si>
  <si>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</si>
  <si>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</si>
  <si>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</si>
  <si>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</si>
  <si>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</si>
  <si>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</si>
  <si>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</si>
  <si>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</si>
  <si>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</si>
  <si>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</si>
  <si>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</si>
  <si>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</si>
  <si>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</si>
  <si>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</si>
  <si>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</si>
  <si>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</si>
  <si>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</si>
  <si>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</si>
  <si>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</si>
  <si>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</si>
  <si>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</si>
  <si>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</si>
  <si>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</si>
  <si>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</si>
  <si>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</si>
  <si>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</si>
  <si>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</si>
  <si>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</si>
  <si>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</si>
  <si>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</si>
  <si>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</si>
  <si>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</si>
  <si>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</si>
  <si>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</si>
  <si>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</si>
  <si>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</si>
  <si>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</si>
  <si>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</si>
  <si>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</si>
  <si>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</si>
  <si>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</si>
  <si>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</si>
  <si>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</si>
  <si>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</si>
  <si>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</si>
  <si>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</si>
  <si>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</si>
  <si>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</si>
  <si>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</si>
  <si>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</si>
  <si>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</si>
  <si>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</si>
  <si>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</si>
  <si>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</si>
  <si>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</si>
  <si>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</si>
  <si>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</si>
  <si>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</si>
  <si>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</si>
  <si>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</si>
  <si>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</si>
  <si>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</si>
  <si>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</si>
  <si>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</si>
  <si>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</si>
  <si>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</si>
  <si>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</si>
  <si>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</si>
  <si>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</si>
  <si>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</si>
  <si>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</si>
  <si>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</si>
  <si>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</si>
  <si>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</si>
  <si>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</si>
  <si>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</si>
  <si>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</si>
  <si>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</si>
  <si>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</si>
  <si>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</si>
  <si>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 xml:space="preserve">Gran Chaco </t>
  </si>
  <si>
    <t>Cobertura de partos atendidos por personal de salud calificado(%), 2012</t>
  </si>
  <si>
    <t>Cobertura de partos atendidos por personal de salud calificado(%), 2024</t>
  </si>
  <si>
    <t>Número de partos no atentidos por personal de salud calificado, 2012</t>
  </si>
  <si>
    <t>Número de partos no atentidos por personal de salud calificado,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</si>
  <si>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</si>
  <si>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</si>
  <si>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</si>
  <si>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</si>
  <si>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</si>
  <si>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</si>
  <si>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</si>
  <si>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</si>
  <si>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</si>
  <si>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</si>
  <si>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</si>
  <si>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Cobertura de partos atendidos por personal de salud calificado(%)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</si>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</sst>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sz val="9.0"/>
      <color theme="1"/>
      <name val="Play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0" fillId="2" fontId="3" numFmtId="0" xfId="0" applyAlignment="1" applyFill="1" applyFont="1">
      <alignment horizontal="right"/>
    </xf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1" fillId="0" fontId="3" numFmtId="1" xfId="0" applyAlignment="1" applyBorder="1" applyFont="1" applyNumberFormat="1">
      <alignment horizontal="right"/>
    </xf>
    <xf borderId="1" fillId="0" fontId="3" numFmtId="49" xfId="0" applyBorder="1" applyFont="1" applyNumberFormat="1"/>
    <xf borderId="1" fillId="0" fontId="4" numFmtId="164" xfId="0" applyBorder="1" applyFont="1" applyNumberFormat="1"/>
    <xf borderId="2" fillId="0" fontId="4" numFmtId="164" xfId="0" applyBorder="1" applyFont="1" applyNumberFormat="1"/>
    <xf borderId="1" fillId="0" fontId="4" numFmtId="0" xfId="0" applyBorder="1" applyFont="1"/>
    <xf borderId="1" fillId="0" fontId="3" numFmtId="1" xfId="0" applyBorder="1" applyFont="1" applyNumberFormat="1"/>
    <xf borderId="1" fillId="2" fontId="3" numFmtId="1" xfId="0" applyAlignment="1" applyBorder="1" applyFont="1" applyNumberFormat="1">
      <alignment horizontal="right"/>
    </xf>
    <xf borderId="1" fillId="0" fontId="4" numFmtId="1" xfId="0" applyBorder="1" applyFont="1" applyNumberFormat="1"/>
    <xf borderId="1" fillId="0" fontId="3" numFmtId="0" xfId="0" applyAlignment="1" applyBorder="1" applyFont="1">
      <alignment horizontal="right"/>
    </xf>
    <xf borderId="3" fillId="2" fontId="3" numFmtId="0" xfId="0" applyAlignment="1" applyBorder="1" applyFont="1">
      <alignment horizontal="right"/>
    </xf>
    <xf borderId="4" fillId="2" fontId="3" numFmtId="0" xfId="0" applyBorder="1" applyFont="1"/>
    <xf borderId="4" fillId="2" fontId="3" numFmtId="0" xfId="0" applyAlignment="1" applyBorder="1" applyFont="1">
      <alignment horizontal="right"/>
    </xf>
    <xf borderId="4" fillId="2" fontId="4" numFmtId="164" xfId="0" applyBorder="1" applyFont="1" applyNumberFormat="1"/>
    <xf borderId="4" fillId="2" fontId="4" numFmtId="0" xfId="0" applyBorder="1" applyFont="1"/>
    <xf borderId="4" fillId="2" fontId="4" numFmtId="0" xfId="0" applyBorder="1" applyFont="1"/>
    <xf borderId="4" fillId="2" fontId="3" numFmtId="1" xfId="0" applyAlignment="1" applyBorder="1" applyFont="1" applyNumberFormat="1">
      <alignment horizontal="right"/>
    </xf>
    <xf borderId="4" fillId="2" fontId="4" numFmtId="165" xfId="0" applyBorder="1" applyFont="1" applyNumberFormat="1"/>
    <xf borderId="0" fillId="2" fontId="3" numFmtId="0" xfId="0" applyAlignment="1" applyFont="1">
      <alignment horizontal="right"/>
    </xf>
    <xf borderId="0" fillId="2" fontId="3" numFmtId="0" xfId="0" applyAlignment="1" applyFont="1">
      <alignment horizontal="right"/>
    </xf>
    <xf borderId="0" fillId="2" fontId="3" numFmtId="1" xfId="0" applyAlignment="1" applyFont="1" applyNumberFormat="1">
      <alignment horizontal="right"/>
    </xf>
    <xf borderId="0" fillId="2" fontId="4" numFmtId="164" xfId="0" applyFont="1" applyNumberFormat="1"/>
    <xf borderId="0" fillId="2" fontId="4" numFmtId="0" xfId="0" applyFont="1"/>
    <xf borderId="0" fillId="2" fontId="3" numFmtId="164" xfId="0" applyAlignment="1" applyFont="1" applyNumberFormat="1">
      <alignment horizontal="right"/>
    </xf>
    <xf borderId="5" fillId="0" fontId="3" numFmtId="0" xfId="0" applyBorder="1" applyFont="1"/>
    <xf borderId="5" fillId="0" fontId="3" numFmtId="49" xfId="0" applyBorder="1" applyFont="1" applyNumberFormat="1"/>
    <xf borderId="5" fillId="0" fontId="3" numFmtId="1" xfId="0" applyBorder="1" applyFont="1" applyNumberFormat="1"/>
    <xf borderId="5" fillId="0" fontId="4" numFmtId="164" xfId="0" applyBorder="1" applyFont="1" applyNumberFormat="1"/>
    <xf borderId="6" fillId="0" fontId="4" numFmtId="0" xfId="0" applyBorder="1" applyFont="1"/>
    <xf borderId="0" fillId="2" fontId="4" numFmtId="0" xfId="0" applyFont="1"/>
    <xf borderId="0" fillId="0" fontId="3" numFmtId="0" xfId="0" applyFont="1"/>
    <xf borderId="7" fillId="0" fontId="3" numFmtId="0" xfId="0" applyBorder="1" applyFont="1"/>
    <xf borderId="7" fillId="0" fontId="3" numFmtId="49" xfId="0" applyBorder="1" applyFont="1" applyNumberFormat="1"/>
    <xf borderId="7" fillId="0" fontId="3" numFmtId="1" xfId="0" applyBorder="1" applyFont="1" applyNumberFormat="1"/>
    <xf borderId="7" fillId="0" fontId="3" numFmtId="1" xfId="0" applyAlignment="1" applyBorder="1" applyFont="1" applyNumberFormat="1">
      <alignment horizontal="right"/>
    </xf>
    <xf borderId="7" fillId="0" fontId="4" numFmtId="164" xfId="0" applyBorder="1" applyFont="1" applyNumberFormat="1"/>
    <xf borderId="7" fillId="0" fontId="4" numFmtId="0" xfId="0" applyBorder="1" applyFont="1"/>
    <xf borderId="0" fillId="0" fontId="3" numFmtId="49" xfId="0" applyFont="1" applyNumberFormat="1"/>
    <xf borderId="0" fillId="0" fontId="4" numFmtId="164" xfId="0" applyFont="1" applyNumberFormat="1"/>
    <xf borderId="0" fillId="2" fontId="3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8" fillId="0" fontId="4" numFmtId="49" xfId="0" applyBorder="1" applyFont="1" applyNumberFormat="1"/>
    <xf borderId="8" fillId="0" fontId="4" numFmtId="4" xfId="0" applyBorder="1" applyFont="1" applyNumberFormat="1"/>
    <xf borderId="1" fillId="0" fontId="4" numFmtId="0" xfId="0" applyBorder="1" applyFont="1"/>
    <xf borderId="1" fillId="0" fontId="4" numFmtId="49" xfId="0" applyBorder="1" applyFont="1" applyNumberFormat="1"/>
    <xf borderId="1" fillId="0" fontId="4" numFmtId="4" xfId="0" applyBorder="1" applyFont="1" applyNumberFormat="1"/>
    <xf borderId="0" fillId="0" fontId="4" numFmtId="0" xfId="0" applyFont="1"/>
    <xf borderId="0" fillId="0" fontId="4" numFmtId="49" xfId="0" applyFont="1" applyNumberFormat="1"/>
    <xf borderId="0" fillId="0" fontId="4" numFmtId="4" xfId="0" applyFont="1" applyNumberFormat="1"/>
    <xf borderId="1" fillId="2" fontId="1" numFmtId="0" xfId="0" applyAlignment="1" applyBorder="1" applyFont="1">
      <alignment shrinkToFit="0" wrapText="1"/>
    </xf>
    <xf borderId="1" fillId="2" fontId="2" numFmtId="49" xfId="0" applyAlignment="1" applyBorder="1" applyFont="1" applyNumberFormat="1">
      <alignment shrinkToFit="0" wrapText="1"/>
    </xf>
    <xf borderId="1" fillId="0" fontId="5" numFmtId="0" xfId="0" applyAlignment="1" applyBorder="1" applyFont="1">
      <alignment shrinkToFit="0" wrapText="1"/>
    </xf>
    <xf borderId="9" fillId="2" fontId="3" numFmtId="0" xfId="0" applyAlignment="1" applyBorder="1" applyFont="1">
      <alignment horizontal="right"/>
    </xf>
    <xf borderId="9" fillId="2" fontId="3" numFmtId="49" xfId="0" applyBorder="1" applyFont="1" applyNumberFormat="1"/>
    <xf borderId="9" fillId="2" fontId="3" numFmtId="3" xfId="0" applyAlignment="1" applyBorder="1" applyFont="1" applyNumberFormat="1">
      <alignment horizontal="right"/>
    </xf>
    <xf borderId="1" fillId="2" fontId="3" numFmtId="0" xfId="0" applyAlignment="1" applyBorder="1" applyFont="1">
      <alignment horizontal="right"/>
    </xf>
    <xf borderId="1" fillId="2" fontId="3" numFmtId="49" xfId="0" applyBorder="1" applyFont="1" applyNumberFormat="1"/>
    <xf borderId="1" fillId="2" fontId="3" numFmtId="3" xfId="0" applyAlignment="1" applyBorder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/>
    </xf>
    <xf borderId="1" fillId="0" fontId="2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right"/>
    </xf>
    <xf borderId="8" fillId="0" fontId="3" numFmtId="49" xfId="0" applyBorder="1" applyFont="1" applyNumberFormat="1"/>
    <xf borderId="9" fillId="2" fontId="4" numFmtId="4" xfId="0" applyBorder="1" applyFont="1" applyNumberFormat="1"/>
    <xf borderId="1" fillId="0" fontId="3" numFmtId="0" xfId="0" applyAlignment="1" applyBorder="1" applyFont="1">
      <alignment horizontal="right"/>
    </xf>
    <xf borderId="1" fillId="0" fontId="3" numFmtId="49" xfId="0" applyBorder="1" applyFont="1" applyNumberFormat="1"/>
    <xf borderId="1" fillId="2" fontId="4" numFmtId="4" xfId="0" applyBorder="1" applyFont="1" applyNumberFormat="1"/>
    <xf borderId="4" fillId="2" fontId="4" numFmtId="4" xfId="0" applyBorder="1" applyFont="1" applyNumberFormat="1"/>
    <xf borderId="0" fillId="2" fontId="6" numFmtId="0" xfId="0" applyFont="1"/>
    <xf borderId="1" fillId="0" fontId="1" numFmtId="4" xfId="0" applyAlignment="1" applyBorder="1" applyFont="1" applyNumberFormat="1">
      <alignment horizontal="center" shrinkToFit="0" vertical="center" wrapText="1"/>
    </xf>
    <xf borderId="1" fillId="0" fontId="4" numFmtId="3" xfId="0" applyBorder="1" applyFont="1" applyNumberFormat="1"/>
    <xf borderId="1" fillId="3" fontId="2" numFmtId="0" xfId="0" applyBorder="1" applyFill="1" applyFont="1"/>
    <xf borderId="1" fillId="4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1" fillId="6" fontId="7" numFmtId="0" xfId="0" applyAlignment="1" applyBorder="1" applyFill="1" applyFont="1">
      <alignment horizontal="center" shrinkToFit="0" wrapText="1"/>
    </xf>
    <xf borderId="1" fillId="7" fontId="7" numFmtId="0" xfId="0" applyAlignment="1" applyBorder="1" applyFill="1" applyFont="1">
      <alignment horizontal="center" shrinkToFit="0" wrapText="1"/>
    </xf>
    <xf borderId="1" fillId="8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Datos procesados-style">
      <tableStyleElement dxfId="1" type="headerRow"/>
      <tableStyleElement dxfId="2" type="firstRowStripe"/>
      <tableStyleElement dxfId="3" type="secondRowStripe"/>
    </tableStyle>
    <tableStyle count="3" pivot="0" name="Datos procesados-style 2">
      <tableStyleElement dxfId="1" type="headerRow"/>
      <tableStyleElement dxfId="2" type="firstRowStripe"/>
      <tableStyleElement dxfId="3" type="secondRowStripe"/>
    </tableStyle>
    <tableStyle count="3" pivot="0" name="Indicador_DE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344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tos procesad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1:V1000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tos procesado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C1:D220" displayName="Table_3" name="Table_3" id="3">
  <tableColumns count="2">
    <tableColumn name="Cobertura de partos atendidos por personal de salud calificado(%), 2012" id="1"/>
    <tableColumn name="Cobertura de partos atendidos por personal de salud calificado(%), 2024" id="2"/>
  </tableColumns>
  <tableStyleInfo name="Indicador_D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13"/>
    <col customWidth="1" min="4" max="4" width="18.38"/>
    <col customWidth="1" min="5" max="5" width="11.38"/>
    <col customWidth="1" min="6" max="6" width="13.75"/>
    <col customWidth="1" min="7" max="7" width="14.63"/>
    <col customWidth="1" min="8" max="8" width="11.13"/>
    <col customWidth="1" min="11" max="11" width="14.38"/>
  </cols>
  <sheetData>
    <row r="1" ht="54.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1">
        <f>COUNTIF(K2:K344,"mejoro")</f>
        <v>337</v>
      </c>
      <c r="L1" s="6"/>
      <c r="M1" s="7" t="s">
        <v>10</v>
      </c>
      <c r="N1" s="7" t="s">
        <v>11</v>
      </c>
      <c r="O1" s="8" t="s">
        <v>2</v>
      </c>
      <c r="P1" s="8" t="s">
        <v>12</v>
      </c>
      <c r="Q1" s="9" t="s">
        <v>13</v>
      </c>
      <c r="R1" s="7" t="s">
        <v>14</v>
      </c>
      <c r="S1" s="7" t="s">
        <v>15</v>
      </c>
      <c r="T1" s="9" t="s">
        <v>16</v>
      </c>
      <c r="U1" s="10" t="s">
        <v>8</v>
      </c>
      <c r="V1" s="10" t="s">
        <v>9</v>
      </c>
      <c r="W1" s="11"/>
      <c r="X1" s="11"/>
      <c r="Y1" s="11"/>
      <c r="Z1" s="11"/>
      <c r="AA1" s="11"/>
      <c r="AB1" s="11"/>
      <c r="AC1" s="11"/>
      <c r="AD1" s="11"/>
      <c r="AE1" s="11"/>
    </row>
    <row r="2" ht="15.75" customHeight="1">
      <c r="A2" s="12">
        <v>10101.0</v>
      </c>
      <c r="B2" s="13" t="s">
        <v>17</v>
      </c>
      <c r="C2" s="12">
        <v>7156.0</v>
      </c>
      <c r="D2" s="12">
        <v>404.0</v>
      </c>
      <c r="E2" s="12">
        <f>'Datos procesados'!$C2+'Datos procesados'!$D2</f>
        <v>7560</v>
      </c>
      <c r="F2" s="12">
        <v>5816.0</v>
      </c>
      <c r="G2" s="12">
        <v>148.0</v>
      </c>
      <c r="H2" s="12">
        <f>'Datos procesados'!$F2+'Datos procesados'!$G2</f>
        <v>5964</v>
      </c>
      <c r="I2" s="14">
        <f>'Datos procesados'!$C2/'Datos procesados'!$E2*100</f>
        <v>94.65608466</v>
      </c>
      <c r="J2" s="15">
        <f>'Datos procesados'!$F2/'Datos procesados'!$H2*100</f>
        <v>97.518444</v>
      </c>
      <c r="K2" s="16" t="str">
        <f t="shared" ref="K2:K345" si="3">IF(J2&gt;I2,"mejoro","empeoro")</f>
        <v>mejoro</v>
      </c>
      <c r="L2" s="6"/>
      <c r="M2" s="12">
        <v>1.0</v>
      </c>
      <c r="N2" s="17" t="s">
        <v>18</v>
      </c>
      <c r="O2" s="18">
        <f t="shared" ref="O2:P2" si="1">SUM(C2:C30)</f>
        <v>12305</v>
      </c>
      <c r="P2" s="18">
        <f t="shared" si="1"/>
        <v>1723</v>
      </c>
      <c r="Q2" s="12">
        <f t="shared" ref="Q2:Q10" si="5">O2+P2</f>
        <v>14028</v>
      </c>
      <c r="R2" s="12">
        <f t="shared" ref="R2:S2" si="2">SUM(F2:F30)</f>
        <v>11435</v>
      </c>
      <c r="S2" s="12">
        <f t="shared" si="2"/>
        <v>636</v>
      </c>
      <c r="T2" s="19">
        <f t="shared" ref="T2:T10" si="7">R2+S2</f>
        <v>12071</v>
      </c>
      <c r="U2" s="14">
        <f t="shared" ref="U2:U12" si="8">(O2/Q2)*100</f>
        <v>87.7174223</v>
      </c>
      <c r="V2" s="14">
        <f t="shared" ref="V2:V12" si="9">(R2/T2)*100</f>
        <v>94.73117389</v>
      </c>
    </row>
    <row r="3" ht="15.75" customHeight="1">
      <c r="A3" s="12">
        <v>10102.0</v>
      </c>
      <c r="B3" s="13" t="s">
        <v>19</v>
      </c>
      <c r="C3" s="12">
        <v>200.0</v>
      </c>
      <c r="D3" s="12">
        <v>10.0</v>
      </c>
      <c r="E3" s="12">
        <f>'Datos procesados'!$C3+'Datos procesados'!$D3</f>
        <v>210</v>
      </c>
      <c r="F3" s="12">
        <v>165.0</v>
      </c>
      <c r="G3" s="12">
        <v>1.0</v>
      </c>
      <c r="H3" s="12">
        <f>'Datos procesados'!$F3+'Datos procesados'!$G3</f>
        <v>166</v>
      </c>
      <c r="I3" s="14">
        <f>'Datos procesados'!$C3/'Datos procesados'!$E3*100</f>
        <v>95.23809524</v>
      </c>
      <c r="J3" s="15">
        <f>'Datos procesados'!$F3/'Datos procesados'!$H3*100</f>
        <v>99.39759036</v>
      </c>
      <c r="K3" s="16" t="str">
        <f t="shared" si="3"/>
        <v>mejoro</v>
      </c>
      <c r="L3" s="6"/>
      <c r="M3" s="12">
        <v>2.0</v>
      </c>
      <c r="N3" s="17" t="s">
        <v>20</v>
      </c>
      <c r="O3" s="18">
        <f t="shared" ref="O3:P3" si="4">+SUM(C31:C117)</f>
        <v>54271</v>
      </c>
      <c r="P3" s="18">
        <f t="shared" si="4"/>
        <v>13225</v>
      </c>
      <c r="Q3" s="12">
        <f t="shared" si="5"/>
        <v>67496</v>
      </c>
      <c r="R3" s="12">
        <f t="shared" ref="R3:S3" si="6">+SUM(F31:F117)</f>
        <v>52818</v>
      </c>
      <c r="S3" s="12">
        <f t="shared" si="6"/>
        <v>5289</v>
      </c>
      <c r="T3" s="19">
        <f t="shared" si="7"/>
        <v>58107</v>
      </c>
      <c r="U3" s="14">
        <f t="shared" si="8"/>
        <v>80.4062463</v>
      </c>
      <c r="V3" s="14">
        <f t="shared" si="9"/>
        <v>90.89782642</v>
      </c>
    </row>
    <row r="4" ht="15.75" customHeight="1">
      <c r="A4" s="12">
        <v>10103.0</v>
      </c>
      <c r="B4" s="13" t="s">
        <v>21</v>
      </c>
      <c r="C4" s="12">
        <v>176.0</v>
      </c>
      <c r="D4" s="12">
        <v>113.0</v>
      </c>
      <c r="E4" s="12">
        <f>'Datos procesados'!$C4+'Datos procesados'!$D4</f>
        <v>289</v>
      </c>
      <c r="F4" s="12">
        <v>243.0</v>
      </c>
      <c r="G4" s="12">
        <v>40.0</v>
      </c>
      <c r="H4" s="12">
        <f>'Datos procesados'!$F4+'Datos procesados'!$G4</f>
        <v>283</v>
      </c>
      <c r="I4" s="14">
        <f>'Datos procesados'!$C4/'Datos procesados'!$E4*100</f>
        <v>60.89965398</v>
      </c>
      <c r="J4" s="15">
        <f>'Datos procesados'!$F4/'Datos procesados'!$H4*100</f>
        <v>85.86572438</v>
      </c>
      <c r="K4" s="16" t="str">
        <f t="shared" si="3"/>
        <v>mejoro</v>
      </c>
      <c r="L4" s="6"/>
      <c r="M4" s="12">
        <v>3.0</v>
      </c>
      <c r="N4" s="17" t="s">
        <v>22</v>
      </c>
      <c r="O4" s="18">
        <f t="shared" ref="O4:P4" si="10">+SUM(C118:C165)</f>
        <v>41441</v>
      </c>
      <c r="P4" s="18">
        <f t="shared" si="10"/>
        <v>5315</v>
      </c>
      <c r="Q4" s="12">
        <f t="shared" si="5"/>
        <v>46756</v>
      </c>
      <c r="R4" s="12">
        <f t="shared" ref="R4:S4" si="11">+SUM(F118:F165)</f>
        <v>39967</v>
      </c>
      <c r="S4" s="12">
        <f t="shared" si="11"/>
        <v>2087</v>
      </c>
      <c r="T4" s="19">
        <f t="shared" si="7"/>
        <v>42054</v>
      </c>
      <c r="U4" s="14">
        <f t="shared" si="8"/>
        <v>88.63247498</v>
      </c>
      <c r="V4" s="14">
        <f t="shared" si="9"/>
        <v>95.03733295</v>
      </c>
    </row>
    <row r="5" ht="15.75" customHeight="1">
      <c r="A5" s="12">
        <v>10201.0</v>
      </c>
      <c r="B5" s="13" t="s">
        <v>23</v>
      </c>
      <c r="C5" s="12">
        <v>103.0</v>
      </c>
      <c r="D5" s="12">
        <v>79.0</v>
      </c>
      <c r="E5" s="12">
        <f>'Datos procesados'!$C5+'Datos procesados'!$D5</f>
        <v>182</v>
      </c>
      <c r="F5" s="12">
        <v>127.0</v>
      </c>
      <c r="G5" s="12">
        <v>29.0</v>
      </c>
      <c r="H5" s="12">
        <f>'Datos procesados'!$F5+'Datos procesados'!$G5</f>
        <v>156</v>
      </c>
      <c r="I5" s="14">
        <f>'Datos procesados'!$C5/'Datos procesados'!$E5*100</f>
        <v>56.59340659</v>
      </c>
      <c r="J5" s="15">
        <f>'Datos procesados'!$F5/'Datos procesados'!$H5*100</f>
        <v>81.41025641</v>
      </c>
      <c r="K5" s="16" t="str">
        <f t="shared" si="3"/>
        <v>mejoro</v>
      </c>
      <c r="L5" s="6"/>
      <c r="M5" s="12">
        <v>4.0</v>
      </c>
      <c r="N5" s="17" t="s">
        <v>24</v>
      </c>
      <c r="O5" s="18">
        <f t="shared" ref="O5:P5" si="12">+SUM(C166:C200)</f>
        <v>10686</v>
      </c>
      <c r="P5" s="18">
        <f t="shared" si="12"/>
        <v>2197</v>
      </c>
      <c r="Q5" s="12">
        <f t="shared" si="5"/>
        <v>12883</v>
      </c>
      <c r="R5" s="12">
        <f t="shared" ref="R5:S5" si="13">+SUM(F166:F200)</f>
        <v>10279</v>
      </c>
      <c r="S5" s="12">
        <f t="shared" si="13"/>
        <v>858</v>
      </c>
      <c r="T5" s="19">
        <f t="shared" si="7"/>
        <v>11137</v>
      </c>
      <c r="U5" s="14">
        <f t="shared" si="8"/>
        <v>82.94651867</v>
      </c>
      <c r="V5" s="14">
        <f t="shared" si="9"/>
        <v>92.29595044</v>
      </c>
    </row>
    <row r="6" ht="15.75" customHeight="1">
      <c r="A6" s="12">
        <v>10202.0</v>
      </c>
      <c r="B6" s="13" t="s">
        <v>25</v>
      </c>
      <c r="C6" s="12">
        <v>190.0</v>
      </c>
      <c r="D6" s="12">
        <v>44.0</v>
      </c>
      <c r="E6" s="12">
        <f>'Datos procesados'!$C6+'Datos procesados'!$D6</f>
        <v>234</v>
      </c>
      <c r="F6" s="12">
        <v>305.0</v>
      </c>
      <c r="G6" s="12">
        <v>18.0</v>
      </c>
      <c r="H6" s="12">
        <f>'Datos procesados'!$F6+'Datos procesados'!$G6</f>
        <v>323</v>
      </c>
      <c r="I6" s="14">
        <f>'Datos procesados'!$C6/'Datos procesados'!$E6*100</f>
        <v>81.1965812</v>
      </c>
      <c r="J6" s="15">
        <f>'Datos procesados'!$F6/'Datos procesados'!$H6*100</f>
        <v>94.42724458</v>
      </c>
      <c r="K6" s="16" t="str">
        <f t="shared" si="3"/>
        <v>mejoro</v>
      </c>
      <c r="L6" s="6"/>
      <c r="M6" s="12">
        <v>5.0</v>
      </c>
      <c r="N6" s="17" t="s">
        <v>26</v>
      </c>
      <c r="O6" s="18">
        <f t="shared" ref="O6:P6" si="14">+SUM(C201:C242)</f>
        <v>14342</v>
      </c>
      <c r="P6" s="18">
        <f t="shared" si="14"/>
        <v>4719</v>
      </c>
      <c r="Q6" s="12">
        <f t="shared" si="5"/>
        <v>19061</v>
      </c>
      <c r="R6" s="12">
        <f t="shared" ref="R6:S6" si="15">+SUM(F201:F242)</f>
        <v>15591</v>
      </c>
      <c r="S6" s="12">
        <f t="shared" si="15"/>
        <v>1980</v>
      </c>
      <c r="T6" s="19">
        <f t="shared" si="7"/>
        <v>17571</v>
      </c>
      <c r="U6" s="14">
        <f t="shared" si="8"/>
        <v>75.24264204</v>
      </c>
      <c r="V6" s="14">
        <f t="shared" si="9"/>
        <v>88.73143247</v>
      </c>
    </row>
    <row r="7" ht="15.75" customHeight="1">
      <c r="A7" s="12">
        <v>10301.0</v>
      </c>
      <c r="B7" s="13" t="s">
        <v>27</v>
      </c>
      <c r="C7" s="12">
        <v>231.0</v>
      </c>
      <c r="D7" s="12">
        <v>36.0</v>
      </c>
      <c r="E7" s="12">
        <f>'Datos procesados'!$C7+'Datos procesados'!$D7</f>
        <v>267</v>
      </c>
      <c r="F7" s="12">
        <v>303.0</v>
      </c>
      <c r="G7" s="12">
        <v>14.0</v>
      </c>
      <c r="H7" s="12">
        <f>'Datos procesados'!$F7+'Datos procesados'!$G7</f>
        <v>317</v>
      </c>
      <c r="I7" s="14">
        <f>'Datos procesados'!$C7/'Datos procesados'!$E7*100</f>
        <v>86.51685393</v>
      </c>
      <c r="J7" s="15">
        <f>'Datos procesados'!$F7/'Datos procesados'!$H7*100</f>
        <v>95.58359621</v>
      </c>
      <c r="K7" s="16" t="str">
        <f t="shared" si="3"/>
        <v>mejoro</v>
      </c>
      <c r="L7" s="6"/>
      <c r="M7" s="12">
        <v>6.0</v>
      </c>
      <c r="N7" s="17" t="s">
        <v>28</v>
      </c>
      <c r="O7" s="18">
        <f t="shared" ref="O7:P7" si="16">+SUM(C243:C253)</f>
        <v>13561</v>
      </c>
      <c r="P7" s="18">
        <f t="shared" si="16"/>
        <v>992</v>
      </c>
      <c r="Q7" s="12">
        <f t="shared" si="5"/>
        <v>14553</v>
      </c>
      <c r="R7" s="12">
        <f t="shared" ref="R7:S7" si="17">+SUM(F243:F253)</f>
        <v>10208</v>
      </c>
      <c r="S7" s="12">
        <f t="shared" si="17"/>
        <v>248</v>
      </c>
      <c r="T7" s="19">
        <f t="shared" si="7"/>
        <v>10456</v>
      </c>
      <c r="U7" s="14">
        <f t="shared" si="8"/>
        <v>93.18353604</v>
      </c>
      <c r="V7" s="14">
        <f t="shared" si="9"/>
        <v>97.62815608</v>
      </c>
    </row>
    <row r="8" ht="15.75" customHeight="1">
      <c r="A8" s="12">
        <v>10302.0</v>
      </c>
      <c r="B8" s="13" t="s">
        <v>29</v>
      </c>
      <c r="C8" s="12">
        <v>189.0</v>
      </c>
      <c r="D8" s="12">
        <v>103.0</v>
      </c>
      <c r="E8" s="12">
        <f>'Datos procesados'!$C8+'Datos procesados'!$D8</f>
        <v>292</v>
      </c>
      <c r="F8" s="12">
        <v>206.0</v>
      </c>
      <c r="G8" s="12">
        <v>47.0</v>
      </c>
      <c r="H8" s="12">
        <f>'Datos procesados'!$F8+'Datos procesados'!$G8</f>
        <v>253</v>
      </c>
      <c r="I8" s="14">
        <f>'Datos procesados'!$C8/'Datos procesados'!$E8*100</f>
        <v>64.7260274</v>
      </c>
      <c r="J8" s="15">
        <f>'Datos procesados'!$F8/'Datos procesados'!$H8*100</f>
        <v>81.4229249</v>
      </c>
      <c r="K8" s="16" t="str">
        <f t="shared" si="3"/>
        <v>mejoro</v>
      </c>
      <c r="L8" s="6"/>
      <c r="M8" s="12">
        <v>7.0</v>
      </c>
      <c r="N8" s="17" t="s">
        <v>30</v>
      </c>
      <c r="O8" s="18">
        <f t="shared" ref="O8:P8" si="18">+SUM(C254:C309)</f>
        <v>72406</v>
      </c>
      <c r="P8" s="18">
        <f t="shared" si="18"/>
        <v>4505</v>
      </c>
      <c r="Q8" s="12">
        <f t="shared" si="5"/>
        <v>76911</v>
      </c>
      <c r="R8" s="12">
        <f t="shared" ref="R8:S8" si="19">+SUM(F254:F309)</f>
        <v>62899</v>
      </c>
      <c r="S8" s="12">
        <f t="shared" si="19"/>
        <v>1254</v>
      </c>
      <c r="T8" s="19">
        <f t="shared" si="7"/>
        <v>64153</v>
      </c>
      <c r="U8" s="14">
        <f t="shared" si="8"/>
        <v>94.14258039</v>
      </c>
      <c r="V8" s="14">
        <f t="shared" si="9"/>
        <v>98.04529796</v>
      </c>
    </row>
    <row r="9" ht="15.75" customHeight="1">
      <c r="A9" s="12">
        <v>10303.0</v>
      </c>
      <c r="B9" s="13" t="s">
        <v>31</v>
      </c>
      <c r="C9" s="12">
        <v>121.0</v>
      </c>
      <c r="D9" s="12">
        <v>37.0</v>
      </c>
      <c r="E9" s="12">
        <f>'Datos procesados'!$C9+'Datos procesados'!$D9</f>
        <v>158</v>
      </c>
      <c r="F9" s="12">
        <v>159.0</v>
      </c>
      <c r="G9" s="12">
        <v>5.0</v>
      </c>
      <c r="H9" s="12">
        <f>'Datos procesados'!$F9+'Datos procesados'!$G9</f>
        <v>164</v>
      </c>
      <c r="I9" s="14">
        <f>'Datos procesados'!$C9/'Datos procesados'!$E9*100</f>
        <v>76.58227848</v>
      </c>
      <c r="J9" s="15">
        <f>'Datos procesados'!$F9/'Datos procesados'!$H9*100</f>
        <v>96.95121951</v>
      </c>
      <c r="K9" s="16" t="str">
        <f t="shared" si="3"/>
        <v>mejoro</v>
      </c>
      <c r="L9" s="6"/>
      <c r="M9" s="12">
        <v>8.0</v>
      </c>
      <c r="N9" s="17" t="s">
        <v>32</v>
      </c>
      <c r="O9" s="18">
        <f t="shared" ref="O9:P9" si="20">+SUM(C310:C329)</f>
        <v>10166</v>
      </c>
      <c r="P9" s="18">
        <f t="shared" si="20"/>
        <v>1173</v>
      </c>
      <c r="Q9" s="12">
        <f t="shared" si="5"/>
        <v>11339</v>
      </c>
      <c r="R9" s="12">
        <f t="shared" ref="R9:S9" si="21">+SUM(F310:F329)</f>
        <v>9579</v>
      </c>
      <c r="S9" s="12">
        <f t="shared" si="21"/>
        <v>657</v>
      </c>
      <c r="T9" s="19">
        <f t="shared" si="7"/>
        <v>10236</v>
      </c>
      <c r="U9" s="14">
        <f t="shared" si="8"/>
        <v>89.65517241</v>
      </c>
      <c r="V9" s="14">
        <f t="shared" si="9"/>
        <v>93.58147714</v>
      </c>
    </row>
    <row r="10" ht="15.75" customHeight="1">
      <c r="A10" s="12">
        <v>10304.0</v>
      </c>
      <c r="B10" s="13" t="s">
        <v>33</v>
      </c>
      <c r="C10" s="12">
        <v>86.0</v>
      </c>
      <c r="D10" s="12">
        <v>27.0</v>
      </c>
      <c r="E10" s="12">
        <f>'Datos procesados'!$C10+'Datos procesados'!$D10</f>
        <v>113</v>
      </c>
      <c r="F10" s="12">
        <v>194.0</v>
      </c>
      <c r="G10" s="12">
        <v>15.0</v>
      </c>
      <c r="H10" s="12">
        <f>'Datos procesados'!$F10+'Datos procesados'!$G10</f>
        <v>209</v>
      </c>
      <c r="I10" s="14">
        <f>'Datos procesados'!$C10/'Datos procesados'!$E10*100</f>
        <v>76.10619469</v>
      </c>
      <c r="J10" s="15">
        <f>'Datos procesados'!$F10/'Datos procesados'!$H10*100</f>
        <v>92.82296651</v>
      </c>
      <c r="K10" s="16" t="str">
        <f t="shared" si="3"/>
        <v>mejoro</v>
      </c>
      <c r="L10" s="6"/>
      <c r="M10" s="12">
        <v>9.0</v>
      </c>
      <c r="N10" s="17" t="s">
        <v>34</v>
      </c>
      <c r="O10" s="18">
        <f t="shared" ref="O10:P10" si="22">+SUM(C330:C344)</f>
        <v>2739</v>
      </c>
      <c r="P10" s="18">
        <f t="shared" si="22"/>
        <v>347</v>
      </c>
      <c r="Q10" s="12">
        <f t="shared" si="5"/>
        <v>3086</v>
      </c>
      <c r="R10" s="12">
        <f t="shared" ref="R10:S10" si="23">+SUM(F330:F344)</f>
        <v>2665</v>
      </c>
      <c r="S10" s="12">
        <f t="shared" si="23"/>
        <v>124</v>
      </c>
      <c r="T10" s="19">
        <f t="shared" si="7"/>
        <v>2789</v>
      </c>
      <c r="U10" s="14">
        <f t="shared" si="8"/>
        <v>88.75567077</v>
      </c>
      <c r="V10" s="14">
        <f t="shared" si="9"/>
        <v>95.55396199</v>
      </c>
    </row>
    <row r="11" ht="15.75" customHeight="1">
      <c r="A11" s="12">
        <v>10401.0</v>
      </c>
      <c r="B11" s="13" t="s">
        <v>35</v>
      </c>
      <c r="C11" s="12">
        <v>227.0</v>
      </c>
      <c r="D11" s="12">
        <v>10.0</v>
      </c>
      <c r="E11" s="12">
        <f>'Datos procesados'!$C11+'Datos procesados'!$D11</f>
        <v>237</v>
      </c>
      <c r="F11" s="12">
        <v>180.0</v>
      </c>
      <c r="G11" s="12">
        <v>3.0</v>
      </c>
      <c r="H11" s="12">
        <f>'Datos procesados'!$F11+'Datos procesados'!$G11</f>
        <v>183</v>
      </c>
      <c r="I11" s="14">
        <f>'Datos procesados'!$C11/'Datos procesados'!$E11*100</f>
        <v>95.78059072</v>
      </c>
      <c r="J11" s="15">
        <f>'Datos procesados'!$F11/'Datos procesados'!$H11*100</f>
        <v>98.36065574</v>
      </c>
      <c r="K11" s="16" t="str">
        <f t="shared" si="3"/>
        <v>mejoro</v>
      </c>
      <c r="L11" s="6"/>
      <c r="M11" s="20">
        <v>10.0</v>
      </c>
      <c r="N11" s="13" t="s">
        <v>36</v>
      </c>
      <c r="O11" s="17">
        <v>3937.0</v>
      </c>
      <c r="P11" s="17">
        <v>280.0</v>
      </c>
      <c r="Q11" s="12">
        <v>4217.0</v>
      </c>
      <c r="R11" s="17">
        <v>3074.0</v>
      </c>
      <c r="S11" s="17">
        <v>73.0</v>
      </c>
      <c r="T11" s="19">
        <v>3147.0</v>
      </c>
      <c r="U11" s="14">
        <f t="shared" si="8"/>
        <v>93.36020868</v>
      </c>
      <c r="V11" s="14">
        <f t="shared" si="9"/>
        <v>97.68033047</v>
      </c>
    </row>
    <row r="12" ht="15.75" customHeight="1">
      <c r="A12" s="12">
        <v>10402.0</v>
      </c>
      <c r="B12" s="13" t="s">
        <v>37</v>
      </c>
      <c r="C12" s="12">
        <v>178.0</v>
      </c>
      <c r="D12" s="12">
        <v>12.0</v>
      </c>
      <c r="E12" s="12">
        <f>'Datos procesados'!$C12+'Datos procesados'!$D12</f>
        <v>190</v>
      </c>
      <c r="F12" s="12">
        <v>207.0</v>
      </c>
      <c r="G12" s="12">
        <v>4.0</v>
      </c>
      <c r="H12" s="12">
        <f>'Datos procesados'!$F12+'Datos procesados'!$G12</f>
        <v>211</v>
      </c>
      <c r="I12" s="14">
        <f>'Datos procesados'!$C12/'Datos procesados'!$E12*100</f>
        <v>93.68421053</v>
      </c>
      <c r="J12" s="15">
        <f>'Datos procesados'!$F12/'Datos procesados'!$H12*100</f>
        <v>98.1042654</v>
      </c>
      <c r="K12" s="16" t="str">
        <f t="shared" si="3"/>
        <v>mejoro</v>
      </c>
      <c r="L12" s="6"/>
      <c r="M12" s="20">
        <v>11.0</v>
      </c>
      <c r="N12" s="13" t="s">
        <v>38</v>
      </c>
      <c r="O12" s="17">
        <f t="shared" ref="O12:T12" si="24">SUM(O2:O10)</f>
        <v>231917</v>
      </c>
      <c r="P12" s="17">
        <f t="shared" si="24"/>
        <v>34196</v>
      </c>
      <c r="Q12" s="17">
        <f t="shared" si="24"/>
        <v>266113</v>
      </c>
      <c r="R12" s="17">
        <f t="shared" si="24"/>
        <v>215441</v>
      </c>
      <c r="S12" s="17">
        <f t="shared" si="24"/>
        <v>13133</v>
      </c>
      <c r="T12" s="17">
        <f t="shared" si="24"/>
        <v>228574</v>
      </c>
      <c r="U12" s="14">
        <f t="shared" si="8"/>
        <v>87.14981981</v>
      </c>
      <c r="V12" s="14">
        <f t="shared" si="9"/>
        <v>94.25437714</v>
      </c>
    </row>
    <row r="13" ht="15.75" customHeight="1">
      <c r="A13" s="12">
        <v>10403.0</v>
      </c>
      <c r="B13" s="13" t="s">
        <v>39</v>
      </c>
      <c r="C13" s="12">
        <v>113.0</v>
      </c>
      <c r="D13" s="12">
        <v>29.0</v>
      </c>
      <c r="E13" s="12">
        <f>'Datos procesados'!$C13+'Datos procesados'!$D13</f>
        <v>142</v>
      </c>
      <c r="F13" s="12">
        <v>141.0</v>
      </c>
      <c r="G13" s="12">
        <v>10.0</v>
      </c>
      <c r="H13" s="12">
        <f>'Datos procesados'!$F13+'Datos procesados'!$G13</f>
        <v>151</v>
      </c>
      <c r="I13" s="14">
        <f>'Datos procesados'!$C13/'Datos procesados'!$E13*100</f>
        <v>79.57746479</v>
      </c>
      <c r="J13" s="15">
        <f>'Datos procesados'!$F13/'Datos procesados'!$H13*100</f>
        <v>93.37748344</v>
      </c>
      <c r="K13" s="16" t="str">
        <f t="shared" si="3"/>
        <v>mejoro</v>
      </c>
      <c r="L13" s="6"/>
      <c r="M13" s="21"/>
      <c r="N13" s="22"/>
      <c r="O13" s="22"/>
      <c r="P13" s="23"/>
      <c r="Q13" s="23"/>
      <c r="R13" s="23"/>
      <c r="S13" s="22"/>
      <c r="T13" s="24"/>
      <c r="U13" s="24"/>
      <c r="V13" s="25"/>
      <c r="W13" s="26"/>
    </row>
    <row r="14" ht="15.75" customHeight="1">
      <c r="A14" s="12">
        <v>10404.0</v>
      </c>
      <c r="B14" s="13" t="s">
        <v>40</v>
      </c>
      <c r="C14" s="12">
        <v>108.0</v>
      </c>
      <c r="D14" s="12">
        <v>8.0</v>
      </c>
      <c r="E14" s="12">
        <f>'Datos procesados'!$C14+'Datos procesados'!$D14</f>
        <v>116</v>
      </c>
      <c r="F14" s="12">
        <v>71.0</v>
      </c>
      <c r="G14" s="12">
        <v>2.0</v>
      </c>
      <c r="H14" s="12">
        <f>'Datos procesados'!$F14+'Datos procesados'!$G14</f>
        <v>73</v>
      </c>
      <c r="I14" s="14">
        <f>'Datos procesados'!$C14/'Datos procesados'!$E14*100</f>
        <v>93.10344828</v>
      </c>
      <c r="J14" s="15">
        <f>'Datos procesados'!$F14/'Datos procesados'!$H14*100</f>
        <v>97.26027397</v>
      </c>
      <c r="K14" s="16" t="str">
        <f t="shared" si="3"/>
        <v>mejoro</v>
      </c>
      <c r="L14" s="6"/>
      <c r="M14" s="23"/>
      <c r="N14" s="22"/>
      <c r="O14" s="22"/>
      <c r="P14" s="23"/>
      <c r="Q14" s="23"/>
      <c r="R14" s="23"/>
      <c r="S14" s="27"/>
      <c r="T14" s="27"/>
      <c r="U14" s="28"/>
      <c r="V14" s="25"/>
      <c r="W14" s="26"/>
    </row>
    <row r="15" ht="15.75" customHeight="1">
      <c r="A15" s="12">
        <v>10405.0</v>
      </c>
      <c r="B15" s="13" t="s">
        <v>41</v>
      </c>
      <c r="C15" s="12">
        <v>81.0</v>
      </c>
      <c r="D15" s="12">
        <v>7.0</v>
      </c>
      <c r="E15" s="12">
        <f>'Datos procesados'!$C15+'Datos procesados'!$D15</f>
        <v>88</v>
      </c>
      <c r="F15" s="12">
        <v>117.0</v>
      </c>
      <c r="G15" s="12">
        <v>1.0</v>
      </c>
      <c r="H15" s="12">
        <f>'Datos procesados'!$F15+'Datos procesados'!$G15</f>
        <v>118</v>
      </c>
      <c r="I15" s="14">
        <f>'Datos procesados'!$C15/'Datos procesados'!$E15*100</f>
        <v>92.04545455</v>
      </c>
      <c r="J15" s="15">
        <f>'Datos procesados'!$F15/'Datos procesados'!$H15*100</f>
        <v>99.15254237</v>
      </c>
      <c r="K15" s="16" t="str">
        <f t="shared" si="3"/>
        <v>mejoro</v>
      </c>
      <c r="L15" s="6"/>
      <c r="M15" s="23"/>
      <c r="N15" s="22"/>
      <c r="O15" s="22"/>
      <c r="P15" s="23"/>
      <c r="Q15" s="23"/>
      <c r="R15" s="23"/>
      <c r="S15" s="27"/>
      <c r="T15" s="27"/>
      <c r="U15" s="24"/>
      <c r="V15" s="25"/>
      <c r="W15" s="26"/>
    </row>
    <row r="16" ht="15.75" customHeight="1">
      <c r="A16" s="12">
        <v>10501.0</v>
      </c>
      <c r="B16" s="13" t="s">
        <v>42</v>
      </c>
      <c r="C16" s="12">
        <v>513.0</v>
      </c>
      <c r="D16" s="12">
        <v>35.0</v>
      </c>
      <c r="E16" s="12">
        <f>'Datos procesados'!$C16+'Datos procesados'!$D16</f>
        <v>548</v>
      </c>
      <c r="F16" s="12">
        <v>438.0</v>
      </c>
      <c r="G16" s="12">
        <v>9.0</v>
      </c>
      <c r="H16" s="12">
        <f>'Datos procesados'!$F16+'Datos procesados'!$G16</f>
        <v>447</v>
      </c>
      <c r="I16" s="14">
        <f>'Datos procesados'!$C16/'Datos procesados'!$E16*100</f>
        <v>93.61313869</v>
      </c>
      <c r="J16" s="15">
        <f>'Datos procesados'!$F16/'Datos procesados'!$H16*100</f>
        <v>97.98657718</v>
      </c>
      <c r="K16" s="16" t="str">
        <f t="shared" si="3"/>
        <v>mejoro</v>
      </c>
      <c r="L16" s="6"/>
      <c r="M16" s="23"/>
      <c r="N16" s="22"/>
      <c r="O16" s="22"/>
      <c r="P16" s="23"/>
      <c r="Q16" s="23"/>
      <c r="R16" s="23"/>
      <c r="S16" s="27"/>
      <c r="T16" s="27"/>
      <c r="U16" s="24"/>
      <c r="V16" s="25"/>
      <c r="W16" s="26"/>
    </row>
    <row r="17" ht="15.75" customHeight="1">
      <c r="A17" s="12">
        <v>10502.0</v>
      </c>
      <c r="B17" s="13" t="s">
        <v>43</v>
      </c>
      <c r="C17" s="12">
        <v>126.0</v>
      </c>
      <c r="D17" s="12">
        <v>25.0</v>
      </c>
      <c r="E17" s="12">
        <f>'Datos procesados'!$C17+'Datos procesados'!$D17</f>
        <v>151</v>
      </c>
      <c r="F17" s="12">
        <v>106.0</v>
      </c>
      <c r="G17" s="12">
        <v>2.0</v>
      </c>
      <c r="H17" s="12">
        <f>'Datos procesados'!$F17+'Datos procesados'!$G17</f>
        <v>108</v>
      </c>
      <c r="I17" s="14">
        <f>'Datos procesados'!$C17/'Datos procesados'!$E17*100</f>
        <v>83.44370861</v>
      </c>
      <c r="J17" s="15">
        <f>'Datos procesados'!$F17/'Datos procesados'!$H17*100</f>
        <v>98.14814815</v>
      </c>
      <c r="K17" s="16" t="str">
        <f t="shared" si="3"/>
        <v>mejoro</v>
      </c>
      <c r="L17" s="6"/>
      <c r="M17" s="23"/>
      <c r="N17" s="22"/>
      <c r="O17" s="22"/>
      <c r="P17" s="23"/>
      <c r="Q17" s="23"/>
      <c r="R17" s="23"/>
      <c r="S17" s="27"/>
      <c r="T17" s="27"/>
      <c r="U17" s="24"/>
      <c r="V17" s="25"/>
      <c r="W17" s="26"/>
    </row>
    <row r="18" ht="15.75" customHeight="1">
      <c r="A18" s="12">
        <v>10601.0</v>
      </c>
      <c r="B18" s="13" t="s">
        <v>44</v>
      </c>
      <c r="C18" s="12">
        <v>220.0</v>
      </c>
      <c r="D18" s="12">
        <v>75.0</v>
      </c>
      <c r="E18" s="12">
        <f>'Datos procesados'!$C18+'Datos procesados'!$D18</f>
        <v>295</v>
      </c>
      <c r="F18" s="12">
        <v>220.0</v>
      </c>
      <c r="G18" s="12">
        <v>30.0</v>
      </c>
      <c r="H18" s="12">
        <f>'Datos procesados'!$F18+'Datos procesados'!$G18</f>
        <v>250</v>
      </c>
      <c r="I18" s="14">
        <f>'Datos procesados'!$C18/'Datos procesados'!$E18*100</f>
        <v>74.57627119</v>
      </c>
      <c r="J18" s="15">
        <f>'Datos procesados'!$F18/'Datos procesados'!$H18*100</f>
        <v>88</v>
      </c>
      <c r="K18" s="16" t="str">
        <f t="shared" si="3"/>
        <v>mejoro</v>
      </c>
      <c r="L18" s="6"/>
      <c r="M18" s="23"/>
      <c r="N18" s="22"/>
      <c r="O18" s="22"/>
      <c r="P18" s="23"/>
      <c r="Q18" s="23"/>
      <c r="R18" s="23"/>
      <c r="S18" s="27"/>
      <c r="T18" s="27"/>
      <c r="U18" s="24"/>
      <c r="V18" s="25"/>
      <c r="W18" s="26"/>
    </row>
    <row r="19" ht="15.75" customHeight="1">
      <c r="A19" s="12">
        <v>10602.0</v>
      </c>
      <c r="B19" s="13" t="s">
        <v>45</v>
      </c>
      <c r="C19" s="12">
        <v>149.0</v>
      </c>
      <c r="D19" s="12">
        <v>17.0</v>
      </c>
      <c r="E19" s="12">
        <f>'Datos procesados'!$C19+'Datos procesados'!$D19</f>
        <v>166</v>
      </c>
      <c r="F19" s="12">
        <v>156.0</v>
      </c>
      <c r="G19" s="12">
        <v>7.0</v>
      </c>
      <c r="H19" s="12">
        <f>'Datos procesados'!$F19+'Datos procesados'!$G19</f>
        <v>163</v>
      </c>
      <c r="I19" s="14">
        <f>'Datos procesados'!$C19/'Datos procesados'!$E19*100</f>
        <v>89.75903614</v>
      </c>
      <c r="J19" s="15">
        <f>'Datos procesados'!$F19/'Datos procesados'!$H19*100</f>
        <v>95.70552147</v>
      </c>
      <c r="K19" s="16" t="str">
        <f t="shared" si="3"/>
        <v>mejoro</v>
      </c>
      <c r="L19" s="6"/>
      <c r="M19" s="29"/>
      <c r="N19" s="22"/>
      <c r="O19" s="22"/>
      <c r="P19" s="23"/>
      <c r="Q19" s="30"/>
      <c r="R19" s="30"/>
      <c r="S19" s="31"/>
      <c r="T19" s="31"/>
      <c r="U19" s="32"/>
      <c r="V19" s="33"/>
    </row>
    <row r="20" ht="15.75" customHeight="1">
      <c r="A20" s="12">
        <v>10701.0</v>
      </c>
      <c r="B20" s="13" t="s">
        <v>46</v>
      </c>
      <c r="C20" s="12">
        <v>304.0</v>
      </c>
      <c r="D20" s="12">
        <v>48.0</v>
      </c>
      <c r="E20" s="12">
        <f>'Datos procesados'!$C20+'Datos procesados'!$D20</f>
        <v>352</v>
      </c>
      <c r="F20" s="12">
        <v>245.0</v>
      </c>
      <c r="G20" s="12">
        <v>10.0</v>
      </c>
      <c r="H20" s="12">
        <f>'Datos procesados'!$F20+'Datos procesados'!$G20</f>
        <v>255</v>
      </c>
      <c r="I20" s="14">
        <f>'Datos procesados'!$C20/'Datos procesados'!$E20*100</f>
        <v>86.36363636</v>
      </c>
      <c r="J20" s="15">
        <f>'Datos procesados'!$F20/'Datos procesados'!$H20*100</f>
        <v>96.07843137</v>
      </c>
      <c r="K20" s="16" t="str">
        <f t="shared" si="3"/>
        <v>mejoro</v>
      </c>
      <c r="L20" s="6"/>
      <c r="M20" s="34"/>
      <c r="N20" s="22"/>
      <c r="O20" s="22"/>
      <c r="P20" s="23"/>
      <c r="Q20" s="30"/>
      <c r="R20" s="30"/>
      <c r="S20" s="31"/>
      <c r="T20" s="31"/>
      <c r="U20" s="32"/>
      <c r="V20" s="33"/>
    </row>
    <row r="21" ht="15.75" customHeight="1">
      <c r="A21" s="12">
        <v>10702.0</v>
      </c>
      <c r="B21" s="13" t="s">
        <v>47</v>
      </c>
      <c r="C21" s="12">
        <v>374.0</v>
      </c>
      <c r="D21" s="12">
        <v>194.0</v>
      </c>
      <c r="E21" s="12">
        <f>'Datos procesados'!$C21+'Datos procesados'!$D21</f>
        <v>568</v>
      </c>
      <c r="F21" s="12">
        <v>489.0</v>
      </c>
      <c r="G21" s="12">
        <v>66.0</v>
      </c>
      <c r="H21" s="12">
        <f>'Datos procesados'!$F21+'Datos procesados'!$G21</f>
        <v>555</v>
      </c>
      <c r="I21" s="14">
        <f>'Datos procesados'!$C21/'Datos procesados'!$E21*100</f>
        <v>65.84507042</v>
      </c>
      <c r="J21" s="15">
        <f>'Datos procesados'!$F21/'Datos procesados'!$H21*100</f>
        <v>88.10810811</v>
      </c>
      <c r="K21" s="16" t="str">
        <f t="shared" si="3"/>
        <v>mejoro</v>
      </c>
      <c r="L21" s="6"/>
      <c r="M21" s="23"/>
      <c r="N21" s="22"/>
      <c r="O21" s="22"/>
      <c r="P21" s="23"/>
      <c r="Q21" s="30"/>
      <c r="R21" s="30"/>
      <c r="S21" s="31"/>
      <c r="T21" s="31"/>
      <c r="U21" s="32"/>
      <c r="V21" s="33"/>
    </row>
    <row r="22" ht="15.75" customHeight="1">
      <c r="A22" s="12">
        <v>10703.0</v>
      </c>
      <c r="B22" s="13" t="s">
        <v>48</v>
      </c>
      <c r="C22" s="12">
        <v>205.0</v>
      </c>
      <c r="D22" s="12">
        <v>119.0</v>
      </c>
      <c r="E22" s="12">
        <f>'Datos procesados'!$C22+'Datos procesados'!$D22</f>
        <v>324</v>
      </c>
      <c r="F22" s="12">
        <v>261.0</v>
      </c>
      <c r="G22" s="12">
        <v>65.0</v>
      </c>
      <c r="H22" s="12">
        <f>'Datos procesados'!$F22+'Datos procesados'!$G22</f>
        <v>326</v>
      </c>
      <c r="I22" s="14">
        <f>'Datos procesados'!$C22/'Datos procesados'!$E22*100</f>
        <v>63.27160494</v>
      </c>
      <c r="J22" s="15">
        <f>'Datos procesados'!$F22/'Datos procesados'!$H22*100</f>
        <v>80.06134969</v>
      </c>
      <c r="K22" s="16" t="str">
        <f t="shared" si="3"/>
        <v>mejoro</v>
      </c>
      <c r="L22" s="6"/>
      <c r="M22" s="23"/>
      <c r="N22" s="22"/>
      <c r="O22" s="22"/>
      <c r="P22" s="23"/>
      <c r="Q22" s="30"/>
      <c r="R22" s="30"/>
      <c r="S22" s="31"/>
      <c r="T22" s="31"/>
      <c r="U22" s="32"/>
      <c r="V22" s="33"/>
    </row>
    <row r="23" ht="15.75" customHeight="1">
      <c r="A23" s="12">
        <v>10704.0</v>
      </c>
      <c r="B23" s="13" t="s">
        <v>49</v>
      </c>
      <c r="C23" s="12">
        <v>248.0</v>
      </c>
      <c r="D23" s="12">
        <v>117.0</v>
      </c>
      <c r="E23" s="12">
        <f>'Datos procesados'!$C23+'Datos procesados'!$D23</f>
        <v>365</v>
      </c>
      <c r="F23" s="12">
        <v>316.0</v>
      </c>
      <c r="G23" s="12">
        <v>37.0</v>
      </c>
      <c r="H23" s="12">
        <f>'Datos procesados'!$F23+'Datos procesados'!$G23</f>
        <v>353</v>
      </c>
      <c r="I23" s="14">
        <f>'Datos procesados'!$C23/'Datos procesados'!$E23*100</f>
        <v>67.94520548</v>
      </c>
      <c r="J23" s="15">
        <f>'Datos procesados'!$F23/'Datos procesados'!$H23*100</f>
        <v>89.5184136</v>
      </c>
      <c r="K23" s="16" t="str">
        <f t="shared" si="3"/>
        <v>mejoro</v>
      </c>
      <c r="L23" s="6"/>
      <c r="M23" s="23"/>
      <c r="N23" s="22"/>
      <c r="O23" s="22"/>
      <c r="P23" s="23"/>
      <c r="Q23" s="30"/>
      <c r="R23" s="30"/>
      <c r="S23" s="30"/>
      <c r="T23" s="34"/>
      <c r="U23" s="32"/>
      <c r="V23" s="33"/>
    </row>
    <row r="24" ht="15.75" customHeight="1">
      <c r="A24" s="12">
        <v>10801.0</v>
      </c>
      <c r="B24" s="13" t="s">
        <v>50</v>
      </c>
      <c r="C24" s="12">
        <v>194.0</v>
      </c>
      <c r="D24" s="12">
        <v>25.0</v>
      </c>
      <c r="E24" s="12">
        <f>'Datos procesados'!$C24+'Datos procesados'!$D24</f>
        <v>219</v>
      </c>
      <c r="F24" s="12">
        <v>156.0</v>
      </c>
      <c r="G24" s="12">
        <v>3.0</v>
      </c>
      <c r="H24" s="12">
        <f>'Datos procesados'!$F24+'Datos procesados'!$G24</f>
        <v>159</v>
      </c>
      <c r="I24" s="14">
        <f>'Datos procesados'!$C24/'Datos procesados'!$E24*100</f>
        <v>88.58447489</v>
      </c>
      <c r="J24" s="15">
        <f>'Datos procesados'!$F24/'Datos procesados'!$H24*100</f>
        <v>98.11320755</v>
      </c>
      <c r="K24" s="16" t="str">
        <f t="shared" si="3"/>
        <v>mejoro</v>
      </c>
      <c r="L24" s="6"/>
      <c r="M24" s="23"/>
      <c r="N24" s="22"/>
      <c r="O24" s="22"/>
      <c r="P24" s="23"/>
      <c r="Q24" s="30"/>
      <c r="R24" s="30"/>
      <c r="S24" s="30"/>
      <c r="T24" s="34"/>
      <c r="U24" s="32"/>
      <c r="V24" s="33"/>
    </row>
    <row r="25" ht="15.75" customHeight="1">
      <c r="A25" s="12">
        <v>10901.0</v>
      </c>
      <c r="B25" s="13" t="s">
        <v>51</v>
      </c>
      <c r="C25" s="12">
        <v>71.0</v>
      </c>
      <c r="D25" s="12">
        <v>9.0</v>
      </c>
      <c r="E25" s="12">
        <f>'Datos procesados'!$C25+'Datos procesados'!$D25</f>
        <v>80</v>
      </c>
      <c r="F25" s="12">
        <v>109.0</v>
      </c>
      <c r="G25" s="12">
        <v>4.0</v>
      </c>
      <c r="H25" s="12">
        <f>'Datos procesados'!$F25+'Datos procesados'!$G25</f>
        <v>113</v>
      </c>
      <c r="I25" s="14">
        <f>'Datos procesados'!$C25/'Datos procesados'!$E25*100</f>
        <v>88.75</v>
      </c>
      <c r="J25" s="15">
        <f>'Datos procesados'!$F25/'Datos procesados'!$H25*100</f>
        <v>96.46017699</v>
      </c>
      <c r="K25" s="16" t="str">
        <f t="shared" si="3"/>
        <v>mejoro</v>
      </c>
      <c r="L25" s="6"/>
      <c r="M25" s="23"/>
      <c r="N25" s="22"/>
      <c r="O25" s="22"/>
      <c r="P25" s="23"/>
      <c r="Q25" s="30"/>
      <c r="R25" s="30"/>
      <c r="S25" s="30"/>
      <c r="T25" s="34"/>
      <c r="U25" s="32"/>
      <c r="V25" s="33"/>
    </row>
    <row r="26" ht="15.75" customHeight="1">
      <c r="A26" s="12">
        <v>10902.0</v>
      </c>
      <c r="B26" s="13" t="s">
        <v>52</v>
      </c>
      <c r="C26" s="12">
        <v>273.0</v>
      </c>
      <c r="D26" s="12">
        <v>90.0</v>
      </c>
      <c r="E26" s="12">
        <f>'Datos procesados'!$C26+'Datos procesados'!$D26</f>
        <v>363</v>
      </c>
      <c r="F26" s="12">
        <v>248.0</v>
      </c>
      <c r="G26" s="12">
        <v>38.0</v>
      </c>
      <c r="H26" s="12">
        <f>'Datos procesados'!$F26+'Datos procesados'!$G26</f>
        <v>286</v>
      </c>
      <c r="I26" s="14">
        <f>'Datos procesados'!$C26/'Datos procesados'!$E26*100</f>
        <v>75.20661157</v>
      </c>
      <c r="J26" s="15">
        <f>'Datos procesados'!$F26/'Datos procesados'!$H26*100</f>
        <v>86.71328671</v>
      </c>
      <c r="K26" s="16" t="str">
        <f t="shared" si="3"/>
        <v>mejoro</v>
      </c>
      <c r="L26" s="6"/>
      <c r="M26" s="23"/>
      <c r="N26" s="22"/>
      <c r="O26" s="22"/>
      <c r="P26" s="23"/>
      <c r="Q26" s="30"/>
      <c r="R26" s="30"/>
      <c r="S26" s="30"/>
      <c r="T26" s="34"/>
      <c r="U26" s="32"/>
      <c r="V26" s="33"/>
    </row>
    <row r="27" ht="15.75" customHeight="1">
      <c r="A27" s="12">
        <v>10903.0</v>
      </c>
      <c r="B27" s="13" t="s">
        <v>53</v>
      </c>
      <c r="C27" s="12">
        <v>85.0</v>
      </c>
      <c r="D27" s="12">
        <v>8.0</v>
      </c>
      <c r="E27" s="12">
        <f>'Datos procesados'!$C27+'Datos procesados'!$D27</f>
        <v>93</v>
      </c>
      <c r="F27" s="12">
        <v>78.0</v>
      </c>
      <c r="G27" s="12">
        <v>5.0</v>
      </c>
      <c r="H27" s="12">
        <f>'Datos procesados'!$F27+'Datos procesados'!$G27</f>
        <v>83</v>
      </c>
      <c r="I27" s="14">
        <f>'Datos procesados'!$C27/'Datos procesados'!$E27*100</f>
        <v>91.39784946</v>
      </c>
      <c r="J27" s="15">
        <f>'Datos procesados'!$F27/'Datos procesados'!$H27*100</f>
        <v>93.97590361</v>
      </c>
      <c r="K27" s="16" t="str">
        <f t="shared" si="3"/>
        <v>mejoro</v>
      </c>
      <c r="L27" s="6"/>
      <c r="M27" s="23"/>
      <c r="N27" s="22"/>
      <c r="O27" s="22"/>
      <c r="P27" s="23"/>
      <c r="Q27" s="30"/>
      <c r="R27" s="30"/>
      <c r="S27" s="30"/>
      <c r="T27" s="34"/>
      <c r="U27" s="32"/>
      <c r="V27" s="33"/>
    </row>
    <row r="28" ht="15.75" customHeight="1">
      <c r="A28" s="12">
        <v>11001.0</v>
      </c>
      <c r="B28" s="13" t="s">
        <v>54</v>
      </c>
      <c r="C28" s="12">
        <v>188.0</v>
      </c>
      <c r="D28" s="12">
        <v>21.0</v>
      </c>
      <c r="E28" s="12">
        <f>'Datos procesados'!$C28+'Datos procesados'!$D28</f>
        <v>209</v>
      </c>
      <c r="F28" s="12">
        <v>199.0</v>
      </c>
      <c r="G28" s="12">
        <v>14.0</v>
      </c>
      <c r="H28" s="12">
        <f>'Datos procesados'!$F28+'Datos procesados'!$G28</f>
        <v>213</v>
      </c>
      <c r="I28" s="14">
        <f>'Datos procesados'!$C28/'Datos procesados'!$E28*100</f>
        <v>89.95215311</v>
      </c>
      <c r="J28" s="15">
        <f>'Datos procesados'!$F28/'Datos procesados'!$H28*100</f>
        <v>93.42723005</v>
      </c>
      <c r="K28" s="16" t="str">
        <f t="shared" si="3"/>
        <v>mejoro</v>
      </c>
      <c r="L28" s="6"/>
      <c r="M28" s="23"/>
      <c r="N28" s="22"/>
      <c r="O28" s="22"/>
      <c r="P28" s="23"/>
      <c r="Q28" s="30"/>
      <c r="R28" s="30"/>
      <c r="S28" s="30"/>
      <c r="T28" s="34"/>
      <c r="U28" s="32"/>
      <c r="V28" s="33"/>
    </row>
    <row r="29" ht="15.75" customHeight="1">
      <c r="A29" s="12">
        <v>11002.0</v>
      </c>
      <c r="B29" s="13" t="s">
        <v>55</v>
      </c>
      <c r="C29" s="12">
        <v>41.0</v>
      </c>
      <c r="D29" s="12">
        <v>4.0</v>
      </c>
      <c r="E29" s="12">
        <f>'Datos procesados'!$C29+'Datos procesados'!$D29</f>
        <v>45</v>
      </c>
      <c r="F29" s="12">
        <v>44.0</v>
      </c>
      <c r="G29" s="12">
        <v>3.0</v>
      </c>
      <c r="H29" s="12">
        <f>'Datos procesados'!$F29+'Datos procesados'!$G29</f>
        <v>47</v>
      </c>
      <c r="I29" s="14">
        <f>'Datos procesados'!$C29/'Datos procesados'!$E29*100</f>
        <v>91.11111111</v>
      </c>
      <c r="J29" s="15">
        <f>'Datos procesados'!$F29/'Datos procesados'!$H29*100</f>
        <v>93.61702128</v>
      </c>
      <c r="K29" s="16" t="str">
        <f t="shared" si="3"/>
        <v>mejoro</v>
      </c>
      <c r="L29" s="6"/>
      <c r="M29" s="23"/>
      <c r="N29" s="22"/>
      <c r="O29" s="22"/>
      <c r="P29" s="23"/>
      <c r="Q29" s="30"/>
      <c r="R29" s="30"/>
      <c r="S29" s="30"/>
      <c r="T29" s="34"/>
      <c r="U29" s="32"/>
      <c r="V29" s="33"/>
    </row>
    <row r="30" ht="15.75" customHeight="1">
      <c r="A30" s="12">
        <v>11003.0</v>
      </c>
      <c r="B30" s="13" t="s">
        <v>56</v>
      </c>
      <c r="C30" s="12">
        <v>155.0</v>
      </c>
      <c r="D30" s="12">
        <v>17.0</v>
      </c>
      <c r="E30" s="12">
        <f>'Datos procesados'!$C30+'Datos procesados'!$D30</f>
        <v>172</v>
      </c>
      <c r="F30" s="12">
        <v>136.0</v>
      </c>
      <c r="G30" s="12">
        <v>6.0</v>
      </c>
      <c r="H30" s="12">
        <f>'Datos procesados'!$F30+'Datos procesados'!$G30</f>
        <v>142</v>
      </c>
      <c r="I30" s="14">
        <f>'Datos procesados'!$C30/'Datos procesados'!$E30*100</f>
        <v>90.11627907</v>
      </c>
      <c r="J30" s="15">
        <f>'Datos procesados'!$F30/'Datos procesados'!$H30*100</f>
        <v>95.77464789</v>
      </c>
      <c r="K30" s="16" t="str">
        <f t="shared" si="3"/>
        <v>mejoro</v>
      </c>
      <c r="L30" s="6"/>
      <c r="M30" s="23"/>
      <c r="N30" s="22"/>
      <c r="O30" s="22"/>
      <c r="P30" s="23"/>
      <c r="Q30" s="30"/>
      <c r="R30" s="30"/>
      <c r="S30" s="30"/>
      <c r="T30" s="34"/>
      <c r="U30" s="32"/>
      <c r="V30" s="33"/>
    </row>
    <row r="31" ht="15.75" customHeight="1">
      <c r="A31" s="12">
        <v>20101.0</v>
      </c>
      <c r="B31" s="13" t="s">
        <v>57</v>
      </c>
      <c r="C31" s="12">
        <v>19507.0</v>
      </c>
      <c r="D31" s="12">
        <v>862.0</v>
      </c>
      <c r="E31" s="12">
        <f>'Datos procesados'!$C31+'Datos procesados'!$D31</f>
        <v>20369</v>
      </c>
      <c r="F31" s="12">
        <v>12643.0</v>
      </c>
      <c r="G31" s="12">
        <v>187.0</v>
      </c>
      <c r="H31" s="12">
        <f>'Datos procesados'!$F31+'Datos procesados'!$G31</f>
        <v>12830</v>
      </c>
      <c r="I31" s="14">
        <f>'Datos procesados'!$C31/'Datos procesados'!$E31*100</f>
        <v>95.76807894</v>
      </c>
      <c r="J31" s="15">
        <f>'Datos procesados'!$F31/'Datos procesados'!$H31*100</f>
        <v>98.54247857</v>
      </c>
      <c r="K31" s="16" t="str">
        <f t="shared" si="3"/>
        <v>mejoro</v>
      </c>
      <c r="L31" s="6"/>
      <c r="M31" s="23"/>
      <c r="N31" s="22"/>
      <c r="O31" s="22"/>
      <c r="P31" s="23"/>
      <c r="Q31" s="30"/>
      <c r="R31" s="30"/>
      <c r="S31" s="30"/>
      <c r="T31" s="34"/>
      <c r="U31" s="32"/>
      <c r="V31" s="33"/>
    </row>
    <row r="32" ht="15.75" customHeight="1">
      <c r="A32" s="12">
        <v>20102.0</v>
      </c>
      <c r="B32" s="13" t="s">
        <v>58</v>
      </c>
      <c r="C32" s="12">
        <v>189.0</v>
      </c>
      <c r="D32" s="12">
        <v>224.0</v>
      </c>
      <c r="E32" s="12">
        <f>'Datos procesados'!$C32+'Datos procesados'!$D32</f>
        <v>413</v>
      </c>
      <c r="F32" s="12">
        <v>357.0</v>
      </c>
      <c r="G32" s="12">
        <v>107.0</v>
      </c>
      <c r="H32" s="12">
        <f>'Datos procesados'!$F32+'Datos procesados'!$G32</f>
        <v>464</v>
      </c>
      <c r="I32" s="14">
        <f>'Datos procesados'!$C32/'Datos procesados'!$E32*100</f>
        <v>45.76271186</v>
      </c>
      <c r="J32" s="15">
        <f>'Datos procesados'!$F32/'Datos procesados'!$H32*100</f>
        <v>76.93965517</v>
      </c>
      <c r="K32" s="16" t="str">
        <f t="shared" si="3"/>
        <v>mejoro</v>
      </c>
      <c r="L32" s="6"/>
      <c r="M32" s="23"/>
      <c r="N32" s="22"/>
      <c r="O32" s="22"/>
      <c r="P32" s="23"/>
      <c r="Q32" s="30"/>
      <c r="R32" s="30"/>
      <c r="S32" s="30"/>
      <c r="T32" s="34"/>
      <c r="U32" s="32"/>
      <c r="V32" s="33"/>
    </row>
    <row r="33" ht="15.75" customHeight="1">
      <c r="A33" s="12">
        <v>20103.0</v>
      </c>
      <c r="B33" s="13" t="s">
        <v>59</v>
      </c>
      <c r="C33" s="12">
        <v>247.0</v>
      </c>
      <c r="D33" s="12">
        <v>106.0</v>
      </c>
      <c r="E33" s="12">
        <f>'Datos procesados'!$C33+'Datos procesados'!$D33</f>
        <v>353</v>
      </c>
      <c r="F33" s="12">
        <v>332.0</v>
      </c>
      <c r="G33" s="12">
        <v>42.0</v>
      </c>
      <c r="H33" s="12">
        <f>'Datos procesados'!$F33+'Datos procesados'!$G33</f>
        <v>374</v>
      </c>
      <c r="I33" s="14">
        <f>'Datos procesados'!$C33/'Datos procesados'!$E33*100</f>
        <v>69.97167139</v>
      </c>
      <c r="J33" s="15">
        <f>'Datos procesados'!$F33/'Datos procesados'!$H33*100</f>
        <v>88.77005348</v>
      </c>
      <c r="K33" s="16" t="str">
        <f t="shared" si="3"/>
        <v>mejoro</v>
      </c>
      <c r="L33" s="6"/>
      <c r="M33" s="23"/>
      <c r="N33" s="22"/>
      <c r="O33" s="22"/>
      <c r="P33" s="23"/>
      <c r="Q33" s="30"/>
      <c r="R33" s="30"/>
      <c r="S33" s="30"/>
      <c r="T33" s="34"/>
      <c r="U33" s="32"/>
      <c r="V33" s="33"/>
    </row>
    <row r="34" ht="15.75" customHeight="1">
      <c r="A34" s="12">
        <v>20104.0</v>
      </c>
      <c r="B34" s="13" t="s">
        <v>60</v>
      </c>
      <c r="C34" s="12">
        <v>371.0</v>
      </c>
      <c r="D34" s="12">
        <v>127.0</v>
      </c>
      <c r="E34" s="12">
        <f>'Datos procesados'!$C34+'Datos procesados'!$D34</f>
        <v>498</v>
      </c>
      <c r="F34" s="12">
        <v>856.0</v>
      </c>
      <c r="G34" s="12">
        <v>67.0</v>
      </c>
      <c r="H34" s="12">
        <f>'Datos procesados'!$F34+'Datos procesados'!$G34</f>
        <v>923</v>
      </c>
      <c r="I34" s="14">
        <f>'Datos procesados'!$C34/'Datos procesados'!$E34*100</f>
        <v>74.49799197</v>
      </c>
      <c r="J34" s="15">
        <f>'Datos procesados'!$F34/'Datos procesados'!$H34*100</f>
        <v>92.74106176</v>
      </c>
      <c r="K34" s="16" t="str">
        <f t="shared" si="3"/>
        <v>mejoro</v>
      </c>
      <c r="L34" s="6"/>
      <c r="M34" s="23"/>
      <c r="N34" s="22"/>
      <c r="O34" s="22"/>
      <c r="P34" s="23"/>
      <c r="Q34" s="30"/>
      <c r="R34" s="30"/>
      <c r="S34" s="30"/>
      <c r="T34" s="34"/>
      <c r="U34" s="32"/>
      <c r="V34" s="33"/>
    </row>
    <row r="35" ht="15.75" customHeight="1">
      <c r="A35" s="12">
        <v>20105.0</v>
      </c>
      <c r="B35" s="13" t="s">
        <v>61</v>
      </c>
      <c r="C35" s="12">
        <v>20266.0</v>
      </c>
      <c r="D35" s="12">
        <v>3539.0</v>
      </c>
      <c r="E35" s="12">
        <f>'Datos procesados'!$C35+'Datos procesados'!$D35</f>
        <v>23805</v>
      </c>
      <c r="F35" s="12">
        <v>18429.0</v>
      </c>
      <c r="G35" s="12">
        <v>1132.0</v>
      </c>
      <c r="H35" s="12">
        <f>'Datos procesados'!$F35+'Datos procesados'!$G35</f>
        <v>19561</v>
      </c>
      <c r="I35" s="14">
        <f>'Datos procesados'!$C35/'Datos procesados'!$E35*100</f>
        <v>85.13337534</v>
      </c>
      <c r="J35" s="15">
        <f>'Datos procesados'!$F35/'Datos procesados'!$H35*100</f>
        <v>94.2129748</v>
      </c>
      <c r="K35" s="16" t="str">
        <f t="shared" si="3"/>
        <v>mejoro</v>
      </c>
      <c r="L35" s="6"/>
      <c r="M35" s="23"/>
      <c r="N35" s="22"/>
      <c r="O35" s="22"/>
      <c r="P35" s="23"/>
      <c r="Q35" s="30"/>
      <c r="R35" s="30"/>
      <c r="S35" s="30"/>
      <c r="T35" s="34"/>
      <c r="U35" s="32"/>
      <c r="V35" s="33"/>
    </row>
    <row r="36" ht="15.75" customHeight="1">
      <c r="A36" s="12">
        <v>20201.0</v>
      </c>
      <c r="B36" s="13" t="s">
        <v>62</v>
      </c>
      <c r="C36" s="12">
        <v>466.0</v>
      </c>
      <c r="D36" s="12">
        <v>396.0</v>
      </c>
      <c r="E36" s="12">
        <f>'Datos procesados'!$C36+'Datos procesados'!$D36</f>
        <v>862</v>
      </c>
      <c r="F36" s="12">
        <v>608.0</v>
      </c>
      <c r="G36" s="12">
        <v>126.0</v>
      </c>
      <c r="H36" s="12">
        <f>'Datos procesados'!$F36+'Datos procesados'!$G36</f>
        <v>734</v>
      </c>
      <c r="I36" s="14">
        <f>'Datos procesados'!$C36/'Datos procesados'!$E36*100</f>
        <v>54.06032483</v>
      </c>
      <c r="J36" s="15">
        <f>'Datos procesados'!$F36/'Datos procesados'!$H36*100</f>
        <v>82.83378747</v>
      </c>
      <c r="K36" s="16" t="str">
        <f t="shared" si="3"/>
        <v>mejoro</v>
      </c>
      <c r="L36" s="6"/>
      <c r="M36" s="23"/>
      <c r="N36" s="22"/>
      <c r="O36" s="22"/>
      <c r="P36" s="23"/>
      <c r="Q36" s="30"/>
      <c r="R36" s="30"/>
      <c r="S36" s="30"/>
      <c r="T36" s="34"/>
      <c r="U36" s="32"/>
      <c r="V36" s="33"/>
    </row>
    <row r="37" ht="15.75" customHeight="1">
      <c r="A37" s="12">
        <v>20202.0</v>
      </c>
      <c r="B37" s="13" t="s">
        <v>63</v>
      </c>
      <c r="C37" s="12">
        <v>79.0</v>
      </c>
      <c r="D37" s="12">
        <v>131.0</v>
      </c>
      <c r="E37" s="12">
        <f>'Datos procesados'!$C37+'Datos procesados'!$D37</f>
        <v>210</v>
      </c>
      <c r="F37" s="12">
        <v>147.0</v>
      </c>
      <c r="G37" s="12">
        <v>64.0</v>
      </c>
      <c r="H37" s="12">
        <f>'Datos procesados'!$F37+'Datos procesados'!$G37</f>
        <v>211</v>
      </c>
      <c r="I37" s="14">
        <f>'Datos procesados'!$C37/'Datos procesados'!$E37*100</f>
        <v>37.61904762</v>
      </c>
      <c r="J37" s="15">
        <f>'Datos procesados'!$F37/'Datos procesados'!$H37*100</f>
        <v>69.66824645</v>
      </c>
      <c r="K37" s="16" t="str">
        <f t="shared" si="3"/>
        <v>mejoro</v>
      </c>
      <c r="L37" s="6"/>
      <c r="M37" s="23"/>
      <c r="N37" s="22"/>
      <c r="O37" s="22"/>
      <c r="P37" s="23"/>
      <c r="Q37" s="30"/>
      <c r="R37" s="30"/>
      <c r="S37" s="30"/>
      <c r="T37" s="34"/>
      <c r="U37" s="32"/>
      <c r="V37" s="33"/>
    </row>
    <row r="38" ht="15.75" customHeight="1">
      <c r="A38" s="12">
        <v>20203.0</v>
      </c>
      <c r="B38" s="13" t="s">
        <v>64</v>
      </c>
      <c r="C38" s="12">
        <v>72.0</v>
      </c>
      <c r="D38" s="12">
        <v>58.0</v>
      </c>
      <c r="E38" s="12">
        <f>'Datos procesados'!$C38+'Datos procesados'!$D38</f>
        <v>130</v>
      </c>
      <c r="F38" s="12">
        <v>89.0</v>
      </c>
      <c r="G38" s="12">
        <v>12.0</v>
      </c>
      <c r="H38" s="12">
        <f>'Datos procesados'!$F38+'Datos procesados'!$G38</f>
        <v>101</v>
      </c>
      <c r="I38" s="14">
        <f>'Datos procesados'!$C38/'Datos procesados'!$E38*100</f>
        <v>55.38461538</v>
      </c>
      <c r="J38" s="15">
        <f>'Datos procesados'!$F38/'Datos procesados'!$H38*100</f>
        <v>88.11881188</v>
      </c>
      <c r="K38" s="16" t="str">
        <f t="shared" si="3"/>
        <v>mejoro</v>
      </c>
      <c r="L38" s="6"/>
      <c r="M38" s="23"/>
      <c r="N38" s="22"/>
      <c r="O38" s="22"/>
      <c r="P38" s="23"/>
      <c r="Q38" s="30"/>
      <c r="R38" s="30"/>
      <c r="S38" s="30"/>
      <c r="T38" s="34"/>
      <c r="U38" s="32"/>
      <c r="V38" s="33"/>
    </row>
    <row r="39" ht="15.75" customHeight="1">
      <c r="A39" s="12">
        <v>20204.0</v>
      </c>
      <c r="B39" s="13" t="s">
        <v>65</v>
      </c>
      <c r="C39" s="12">
        <v>57.0</v>
      </c>
      <c r="D39" s="12">
        <v>66.0</v>
      </c>
      <c r="E39" s="12">
        <f>'Datos procesados'!$C39+'Datos procesados'!$D39</f>
        <v>123</v>
      </c>
      <c r="F39" s="12">
        <v>114.0</v>
      </c>
      <c r="G39" s="12">
        <v>14.0</v>
      </c>
      <c r="H39" s="12">
        <f>'Datos procesados'!$F39+'Datos procesados'!$G39</f>
        <v>128</v>
      </c>
      <c r="I39" s="14">
        <f>'Datos procesados'!$C39/'Datos procesados'!$E39*100</f>
        <v>46.34146341</v>
      </c>
      <c r="J39" s="15">
        <f>'Datos procesados'!$F39/'Datos procesados'!$H39*100</f>
        <v>89.0625</v>
      </c>
      <c r="K39" s="16" t="str">
        <f t="shared" si="3"/>
        <v>mejoro</v>
      </c>
      <c r="L39" s="6"/>
      <c r="M39" s="23"/>
      <c r="N39" s="22"/>
      <c r="O39" s="22"/>
      <c r="P39" s="23"/>
      <c r="Q39" s="30"/>
      <c r="R39" s="30"/>
      <c r="S39" s="30"/>
      <c r="T39" s="34"/>
      <c r="U39" s="32"/>
      <c r="V39" s="33"/>
    </row>
    <row r="40" ht="15.75" customHeight="1">
      <c r="A40" s="12">
        <v>20205.0</v>
      </c>
      <c r="B40" s="13" t="s">
        <v>66</v>
      </c>
      <c r="C40" s="12">
        <v>47.0</v>
      </c>
      <c r="D40" s="12">
        <v>13.0</v>
      </c>
      <c r="E40" s="12">
        <f>'Datos procesados'!$C40+'Datos procesados'!$D40</f>
        <v>60</v>
      </c>
      <c r="F40" s="12">
        <v>104.0</v>
      </c>
      <c r="G40" s="12">
        <v>16.0</v>
      </c>
      <c r="H40" s="12">
        <f>'Datos procesados'!$F40+'Datos procesados'!$G40</f>
        <v>120</v>
      </c>
      <c r="I40" s="14">
        <f>'Datos procesados'!$C40/'Datos procesados'!$E40*100</f>
        <v>78.33333333</v>
      </c>
      <c r="J40" s="15">
        <f>'Datos procesados'!$F40/'Datos procesados'!$H40*100</f>
        <v>86.66666667</v>
      </c>
      <c r="K40" s="16" t="str">
        <f t="shared" si="3"/>
        <v>mejoro</v>
      </c>
      <c r="L40" s="6"/>
      <c r="M40" s="23"/>
      <c r="N40" s="22"/>
      <c r="O40" s="22"/>
      <c r="P40" s="23"/>
      <c r="Q40" s="30"/>
      <c r="R40" s="30"/>
      <c r="S40" s="30"/>
      <c r="T40" s="34"/>
      <c r="U40" s="32"/>
      <c r="V40" s="33"/>
    </row>
    <row r="41" ht="15.75" customHeight="1">
      <c r="A41" s="12">
        <v>20206.0</v>
      </c>
      <c r="B41" s="13" t="s">
        <v>67</v>
      </c>
      <c r="C41" s="12">
        <v>45.0</v>
      </c>
      <c r="D41" s="12">
        <v>28.0</v>
      </c>
      <c r="E41" s="12">
        <f>'Datos procesados'!$C41+'Datos procesados'!$D41</f>
        <v>73</v>
      </c>
      <c r="F41" s="12">
        <v>63.0</v>
      </c>
      <c r="G41" s="12">
        <v>4.0</v>
      </c>
      <c r="H41" s="12">
        <f>'Datos procesados'!$F41+'Datos procesados'!$G41</f>
        <v>67</v>
      </c>
      <c r="I41" s="14">
        <f>'Datos procesados'!$C41/'Datos procesados'!$E41*100</f>
        <v>61.64383562</v>
      </c>
      <c r="J41" s="15">
        <f>'Datos procesados'!$F41/'Datos procesados'!$H41*100</f>
        <v>94.02985075</v>
      </c>
      <c r="K41" s="16" t="str">
        <f t="shared" si="3"/>
        <v>mejoro</v>
      </c>
      <c r="L41" s="6"/>
      <c r="M41" s="23"/>
      <c r="N41" s="22"/>
      <c r="O41" s="22"/>
      <c r="P41" s="23"/>
      <c r="Q41" s="30"/>
      <c r="R41" s="30"/>
      <c r="S41" s="30"/>
      <c r="T41" s="34"/>
      <c r="U41" s="32"/>
      <c r="V41" s="33"/>
    </row>
    <row r="42" ht="15.75" customHeight="1">
      <c r="A42" s="12">
        <v>20301.0</v>
      </c>
      <c r="B42" s="13" t="s">
        <v>68</v>
      </c>
      <c r="C42" s="12">
        <v>103.0</v>
      </c>
      <c r="D42" s="12">
        <v>96.0</v>
      </c>
      <c r="E42" s="12">
        <f>'Datos procesados'!$C42+'Datos procesados'!$D42</f>
        <v>199</v>
      </c>
      <c r="F42" s="12">
        <v>154.0</v>
      </c>
      <c r="G42" s="12">
        <v>30.0</v>
      </c>
      <c r="H42" s="12">
        <f>'Datos procesados'!$F42+'Datos procesados'!$G42</f>
        <v>184</v>
      </c>
      <c r="I42" s="14">
        <f>'Datos procesados'!$C42/'Datos procesados'!$E42*100</f>
        <v>51.75879397</v>
      </c>
      <c r="J42" s="15">
        <f>'Datos procesados'!$F42/'Datos procesados'!$H42*100</f>
        <v>83.69565217</v>
      </c>
      <c r="K42" s="16" t="str">
        <f t="shared" si="3"/>
        <v>mejoro</v>
      </c>
      <c r="L42" s="6"/>
      <c r="M42" s="23"/>
      <c r="N42" s="22"/>
      <c r="O42" s="22"/>
      <c r="P42" s="23"/>
      <c r="Q42" s="30"/>
      <c r="R42" s="30"/>
      <c r="S42" s="30"/>
      <c r="T42" s="34"/>
      <c r="U42" s="32"/>
      <c r="V42" s="33"/>
    </row>
    <row r="43" ht="15.75" customHeight="1">
      <c r="A43" s="12">
        <v>20302.0</v>
      </c>
      <c r="B43" s="13" t="s">
        <v>69</v>
      </c>
      <c r="C43" s="12">
        <v>103.0</v>
      </c>
      <c r="D43" s="12">
        <v>125.0</v>
      </c>
      <c r="E43" s="12">
        <f>'Datos procesados'!$C43+'Datos procesados'!$D43</f>
        <v>228</v>
      </c>
      <c r="F43" s="12">
        <v>162.0</v>
      </c>
      <c r="G43" s="12">
        <v>42.0</v>
      </c>
      <c r="H43" s="12">
        <f>'Datos procesados'!$F43+'Datos procesados'!$G43</f>
        <v>204</v>
      </c>
      <c r="I43" s="14">
        <f>'Datos procesados'!$C43/'Datos procesados'!$E43*100</f>
        <v>45.1754386</v>
      </c>
      <c r="J43" s="15">
        <f>'Datos procesados'!$F43/'Datos procesados'!$H43*100</f>
        <v>79.41176471</v>
      </c>
      <c r="K43" s="16" t="str">
        <f t="shared" si="3"/>
        <v>mejoro</v>
      </c>
      <c r="L43" s="6"/>
      <c r="M43" s="23"/>
      <c r="N43" s="22"/>
      <c r="O43" s="22"/>
      <c r="P43" s="23"/>
      <c r="Q43" s="30"/>
      <c r="R43" s="30"/>
      <c r="S43" s="30"/>
      <c r="T43" s="34"/>
      <c r="U43" s="32"/>
      <c r="V43" s="33"/>
    </row>
    <row r="44" ht="15.75" customHeight="1">
      <c r="A44" s="12">
        <v>20303.0</v>
      </c>
      <c r="B44" s="13" t="s">
        <v>70</v>
      </c>
      <c r="C44" s="12">
        <v>61.0</v>
      </c>
      <c r="D44" s="12">
        <v>115.0</v>
      </c>
      <c r="E44" s="12">
        <f>'Datos procesados'!$C44+'Datos procesados'!$D44</f>
        <v>176</v>
      </c>
      <c r="F44" s="12">
        <v>140.0</v>
      </c>
      <c r="G44" s="12">
        <v>29.0</v>
      </c>
      <c r="H44" s="12">
        <f>'Datos procesados'!$F44+'Datos procesados'!$G44</f>
        <v>169</v>
      </c>
      <c r="I44" s="14">
        <f>'Datos procesados'!$C44/'Datos procesados'!$E44*100</f>
        <v>34.65909091</v>
      </c>
      <c r="J44" s="15">
        <f>'Datos procesados'!$F44/'Datos procesados'!$H44*100</f>
        <v>82.84023669</v>
      </c>
      <c r="K44" s="16" t="str">
        <f t="shared" si="3"/>
        <v>mejoro</v>
      </c>
      <c r="L44" s="6"/>
      <c r="M44" s="23"/>
      <c r="N44" s="22"/>
      <c r="O44" s="22"/>
      <c r="P44" s="23"/>
      <c r="Q44" s="30"/>
      <c r="R44" s="30"/>
      <c r="S44" s="30"/>
      <c r="T44" s="34"/>
      <c r="U44" s="32"/>
      <c r="V44" s="33"/>
    </row>
    <row r="45" ht="15.75" customHeight="1">
      <c r="A45" s="12">
        <v>20304.0</v>
      </c>
      <c r="B45" s="13" t="s">
        <v>71</v>
      </c>
      <c r="C45" s="12">
        <v>29.0</v>
      </c>
      <c r="D45" s="12">
        <v>35.0</v>
      </c>
      <c r="E45" s="12">
        <f>'Datos procesados'!$C45+'Datos procesados'!$D45</f>
        <v>64</v>
      </c>
      <c r="F45" s="12">
        <v>83.0</v>
      </c>
      <c r="G45" s="12">
        <v>16.0</v>
      </c>
      <c r="H45" s="12">
        <f>'Datos procesados'!$F45+'Datos procesados'!$G45</f>
        <v>99</v>
      </c>
      <c r="I45" s="14">
        <f>'Datos procesados'!$C45/'Datos procesados'!$E45*100</f>
        <v>45.3125</v>
      </c>
      <c r="J45" s="15">
        <f>'Datos procesados'!$F45/'Datos procesados'!$H45*100</f>
        <v>83.83838384</v>
      </c>
      <c r="K45" s="16" t="str">
        <f t="shared" si="3"/>
        <v>mejoro</v>
      </c>
      <c r="L45" s="6"/>
      <c r="M45" s="23"/>
      <c r="N45" s="22"/>
      <c r="O45" s="22"/>
      <c r="P45" s="23"/>
      <c r="Q45" s="30"/>
      <c r="R45" s="30"/>
      <c r="S45" s="30"/>
      <c r="T45" s="34"/>
      <c r="U45" s="32"/>
      <c r="V45" s="33"/>
    </row>
    <row r="46" ht="15.75" customHeight="1">
      <c r="A46" s="12">
        <v>20305.0</v>
      </c>
      <c r="B46" s="13" t="s">
        <v>72</v>
      </c>
      <c r="C46" s="12">
        <v>31.0</v>
      </c>
      <c r="D46" s="12">
        <v>23.0</v>
      </c>
      <c r="E46" s="12">
        <f>'Datos procesados'!$C46+'Datos procesados'!$D46</f>
        <v>54</v>
      </c>
      <c r="F46" s="12">
        <v>46.0</v>
      </c>
      <c r="G46" s="12">
        <v>13.0</v>
      </c>
      <c r="H46" s="12">
        <f>'Datos procesados'!$F46+'Datos procesados'!$G46</f>
        <v>59</v>
      </c>
      <c r="I46" s="14">
        <f>'Datos procesados'!$C46/'Datos procesados'!$E46*100</f>
        <v>57.40740741</v>
      </c>
      <c r="J46" s="15">
        <f>'Datos procesados'!$F46/'Datos procesados'!$H46*100</f>
        <v>77.96610169</v>
      </c>
      <c r="K46" s="16" t="str">
        <f t="shared" si="3"/>
        <v>mejoro</v>
      </c>
      <c r="L46" s="6"/>
      <c r="M46" s="23"/>
      <c r="N46" s="22"/>
      <c r="O46" s="22"/>
      <c r="P46" s="23"/>
      <c r="Q46" s="30"/>
      <c r="R46" s="30"/>
      <c r="S46" s="30"/>
      <c r="T46" s="34"/>
      <c r="U46" s="32"/>
      <c r="V46" s="33"/>
    </row>
    <row r="47" ht="15.75" customHeight="1">
      <c r="A47" s="12">
        <v>20306.0</v>
      </c>
      <c r="B47" s="13" t="s">
        <v>73</v>
      </c>
      <c r="C47" s="12">
        <v>41.0</v>
      </c>
      <c r="D47" s="12">
        <v>74.0</v>
      </c>
      <c r="E47" s="12">
        <f>'Datos procesados'!$C47+'Datos procesados'!$D47</f>
        <v>115</v>
      </c>
      <c r="F47" s="12">
        <v>57.0</v>
      </c>
      <c r="G47" s="12">
        <v>10.0</v>
      </c>
      <c r="H47" s="12">
        <f>'Datos procesados'!$F47+'Datos procesados'!$G47</f>
        <v>67</v>
      </c>
      <c r="I47" s="14">
        <f>'Datos procesados'!$C47/'Datos procesados'!$E47*100</f>
        <v>35.65217391</v>
      </c>
      <c r="J47" s="15">
        <f>'Datos procesados'!$F47/'Datos procesados'!$H47*100</f>
        <v>85.07462687</v>
      </c>
      <c r="K47" s="16" t="str">
        <f t="shared" si="3"/>
        <v>mejoro</v>
      </c>
      <c r="L47" s="6"/>
      <c r="M47" s="23"/>
      <c r="N47" s="22"/>
      <c r="O47" s="22"/>
      <c r="P47" s="23"/>
      <c r="Q47" s="30"/>
      <c r="R47" s="30"/>
      <c r="S47" s="30"/>
      <c r="T47" s="34"/>
      <c r="U47" s="32"/>
      <c r="V47" s="33"/>
    </row>
    <row r="48" ht="15.75" customHeight="1">
      <c r="A48" s="12">
        <v>20307.0</v>
      </c>
      <c r="B48" s="13" t="s">
        <v>74</v>
      </c>
      <c r="C48" s="12">
        <v>8.0</v>
      </c>
      <c r="D48" s="12">
        <v>13.0</v>
      </c>
      <c r="E48" s="12">
        <f>'Datos procesados'!$C48+'Datos procesados'!$D48</f>
        <v>21</v>
      </c>
      <c r="F48" s="12">
        <v>57.0</v>
      </c>
      <c r="G48" s="12">
        <v>14.0</v>
      </c>
      <c r="H48" s="12">
        <f>'Datos procesados'!$F48+'Datos procesados'!$G48</f>
        <v>71</v>
      </c>
      <c r="I48" s="14">
        <f>'Datos procesados'!$C48/'Datos procesados'!$E48*100</f>
        <v>38.0952381</v>
      </c>
      <c r="J48" s="15">
        <f>'Datos procesados'!$F48/'Datos procesados'!$H48*100</f>
        <v>80.28169014</v>
      </c>
      <c r="K48" s="16" t="str">
        <f t="shared" si="3"/>
        <v>mejoro</v>
      </c>
      <c r="L48" s="6"/>
      <c r="M48" s="23"/>
      <c r="N48" s="22"/>
      <c r="O48" s="22"/>
      <c r="P48" s="23"/>
      <c r="Q48" s="30"/>
      <c r="R48" s="30"/>
      <c r="S48" s="30"/>
      <c r="T48" s="34"/>
      <c r="U48" s="32"/>
      <c r="V48" s="33"/>
    </row>
    <row r="49" ht="15.75" customHeight="1">
      <c r="A49" s="12">
        <v>20308.0</v>
      </c>
      <c r="B49" s="13" t="s">
        <v>75</v>
      </c>
      <c r="C49" s="12">
        <v>47.0</v>
      </c>
      <c r="D49" s="12">
        <v>53.0</v>
      </c>
      <c r="E49" s="12">
        <f>'Datos procesados'!$C49+'Datos procesados'!$D49</f>
        <v>100</v>
      </c>
      <c r="F49" s="12">
        <v>81.0</v>
      </c>
      <c r="G49" s="12">
        <v>19.0</v>
      </c>
      <c r="H49" s="12">
        <f>'Datos procesados'!$F49+'Datos procesados'!$G49</f>
        <v>100</v>
      </c>
      <c r="I49" s="14">
        <f>'Datos procesados'!$C49/'Datos procesados'!$E49*100</f>
        <v>47</v>
      </c>
      <c r="J49" s="15">
        <f>'Datos procesados'!$F49/'Datos procesados'!$H49*100</f>
        <v>81</v>
      </c>
      <c r="K49" s="16" t="str">
        <f t="shared" si="3"/>
        <v>mejoro</v>
      </c>
      <c r="L49" s="6"/>
      <c r="M49" s="23"/>
      <c r="N49" s="22"/>
      <c r="O49" s="22"/>
      <c r="P49" s="23"/>
      <c r="Q49" s="30"/>
      <c r="R49" s="30"/>
      <c r="S49" s="30"/>
      <c r="T49" s="34"/>
      <c r="U49" s="32"/>
      <c r="V49" s="33"/>
    </row>
    <row r="50" ht="15.75" customHeight="1">
      <c r="A50" s="12">
        <v>20401.0</v>
      </c>
      <c r="B50" s="13" t="s">
        <v>76</v>
      </c>
      <c r="C50" s="12">
        <v>73.0</v>
      </c>
      <c r="D50" s="12">
        <v>101.0</v>
      </c>
      <c r="E50" s="12">
        <f>'Datos procesados'!$C50+'Datos procesados'!$D50</f>
        <v>174</v>
      </c>
      <c r="F50" s="12">
        <v>138.0</v>
      </c>
      <c r="G50" s="12">
        <v>49.0</v>
      </c>
      <c r="H50" s="12">
        <f>'Datos procesados'!$F50+'Datos procesados'!$G50</f>
        <v>187</v>
      </c>
      <c r="I50" s="14">
        <f>'Datos procesados'!$C50/'Datos procesados'!$E50*100</f>
        <v>41.95402299</v>
      </c>
      <c r="J50" s="15">
        <f>'Datos procesados'!$F50/'Datos procesados'!$H50*100</f>
        <v>73.79679144</v>
      </c>
      <c r="K50" s="16" t="str">
        <f t="shared" si="3"/>
        <v>mejoro</v>
      </c>
      <c r="L50" s="6"/>
      <c r="M50" s="23"/>
      <c r="N50" s="22"/>
      <c r="O50" s="22"/>
      <c r="P50" s="23"/>
      <c r="Q50" s="30"/>
      <c r="R50" s="30"/>
      <c r="S50" s="30"/>
      <c r="T50" s="34"/>
      <c r="U50" s="32"/>
      <c r="V50" s="33"/>
    </row>
    <row r="51" ht="15.75" customHeight="1">
      <c r="A51" s="12">
        <v>20402.0</v>
      </c>
      <c r="B51" s="13" t="s">
        <v>77</v>
      </c>
      <c r="C51" s="12">
        <v>71.0</v>
      </c>
      <c r="D51" s="12">
        <v>147.0</v>
      </c>
      <c r="E51" s="12">
        <f>'Datos procesados'!$C51+'Datos procesados'!$D51</f>
        <v>218</v>
      </c>
      <c r="F51" s="12">
        <v>174.0</v>
      </c>
      <c r="G51" s="12">
        <v>80.0</v>
      </c>
      <c r="H51" s="12">
        <f>'Datos procesados'!$F51+'Datos procesados'!$G51</f>
        <v>254</v>
      </c>
      <c r="I51" s="14">
        <f>'Datos procesados'!$C51/'Datos procesados'!$E51*100</f>
        <v>32.56880734</v>
      </c>
      <c r="J51" s="15">
        <f>'Datos procesados'!$F51/'Datos procesados'!$H51*100</f>
        <v>68.50393701</v>
      </c>
      <c r="K51" s="16" t="str">
        <f t="shared" si="3"/>
        <v>mejoro</v>
      </c>
      <c r="L51" s="6"/>
      <c r="M51" s="23"/>
      <c r="N51" s="22"/>
      <c r="O51" s="22"/>
      <c r="P51" s="23"/>
      <c r="Q51" s="30"/>
      <c r="R51" s="30"/>
      <c r="S51" s="30"/>
      <c r="T51" s="34"/>
      <c r="U51" s="32"/>
      <c r="V51" s="33"/>
    </row>
    <row r="52" ht="15.75" customHeight="1">
      <c r="A52" s="12">
        <v>20403.0</v>
      </c>
      <c r="B52" s="13" t="s">
        <v>78</v>
      </c>
      <c r="C52" s="12">
        <v>112.0</v>
      </c>
      <c r="D52" s="12">
        <v>186.0</v>
      </c>
      <c r="E52" s="12">
        <f>'Datos procesados'!$C52+'Datos procesados'!$D52</f>
        <v>298</v>
      </c>
      <c r="F52" s="12">
        <v>164.0</v>
      </c>
      <c r="G52" s="12">
        <v>66.0</v>
      </c>
      <c r="H52" s="12">
        <f>'Datos procesados'!$F52+'Datos procesados'!$G52</f>
        <v>230</v>
      </c>
      <c r="I52" s="14">
        <f>'Datos procesados'!$C52/'Datos procesados'!$E52*100</f>
        <v>37.58389262</v>
      </c>
      <c r="J52" s="15">
        <f>'Datos procesados'!$F52/'Datos procesados'!$H52*100</f>
        <v>71.30434783</v>
      </c>
      <c r="K52" s="16" t="str">
        <f t="shared" si="3"/>
        <v>mejoro</v>
      </c>
      <c r="L52" s="6"/>
      <c r="M52" s="23"/>
      <c r="N52" s="22"/>
      <c r="O52" s="22"/>
      <c r="P52" s="23"/>
      <c r="Q52" s="30"/>
      <c r="R52" s="30"/>
      <c r="S52" s="30"/>
      <c r="T52" s="34"/>
      <c r="U52" s="32"/>
      <c r="V52" s="33"/>
    </row>
    <row r="53" ht="15.75" customHeight="1">
      <c r="A53" s="12">
        <v>20404.0</v>
      </c>
      <c r="B53" s="13" t="s">
        <v>79</v>
      </c>
      <c r="C53" s="12">
        <v>8.0</v>
      </c>
      <c r="D53" s="12">
        <v>60.0</v>
      </c>
      <c r="E53" s="12">
        <f>'Datos procesados'!$C53+'Datos procesados'!$D53</f>
        <v>68</v>
      </c>
      <c r="F53" s="12">
        <v>44.0</v>
      </c>
      <c r="G53" s="12">
        <v>20.0</v>
      </c>
      <c r="H53" s="12">
        <f>'Datos procesados'!$F53+'Datos procesados'!$G53</f>
        <v>64</v>
      </c>
      <c r="I53" s="14">
        <f>'Datos procesados'!$C53/'Datos procesados'!$E53*100</f>
        <v>11.76470588</v>
      </c>
      <c r="J53" s="15">
        <f>'Datos procesados'!$F53/'Datos procesados'!$H53*100</f>
        <v>68.75</v>
      </c>
      <c r="K53" s="16" t="str">
        <f t="shared" si="3"/>
        <v>mejoro</v>
      </c>
      <c r="L53" s="6"/>
      <c r="M53" s="23"/>
      <c r="N53" s="22"/>
      <c r="O53" s="22"/>
      <c r="P53" s="23"/>
      <c r="Q53" s="30"/>
      <c r="R53" s="30"/>
      <c r="S53" s="30"/>
      <c r="T53" s="34"/>
      <c r="U53" s="32"/>
      <c r="V53" s="33"/>
    </row>
    <row r="54" ht="15.75" customHeight="1">
      <c r="A54" s="12">
        <v>20405.0</v>
      </c>
      <c r="B54" s="13" t="s">
        <v>80</v>
      </c>
      <c r="C54" s="12">
        <v>25.0</v>
      </c>
      <c r="D54" s="12">
        <v>56.0</v>
      </c>
      <c r="E54" s="12">
        <f>'Datos procesados'!$C54+'Datos procesados'!$D54</f>
        <v>81</v>
      </c>
      <c r="F54" s="12">
        <v>103.0</v>
      </c>
      <c r="G54" s="12">
        <v>26.0</v>
      </c>
      <c r="H54" s="12">
        <f>'Datos procesados'!$F54+'Datos procesados'!$G54</f>
        <v>129</v>
      </c>
      <c r="I54" s="14">
        <f>'Datos procesados'!$C54/'Datos procesados'!$E54*100</f>
        <v>30.86419753</v>
      </c>
      <c r="J54" s="15">
        <f>'Datos procesados'!$F54/'Datos procesados'!$H54*100</f>
        <v>79.84496124</v>
      </c>
      <c r="K54" s="16" t="str">
        <f t="shared" si="3"/>
        <v>mejoro</v>
      </c>
      <c r="L54" s="6"/>
      <c r="M54" s="23"/>
      <c r="N54" s="22"/>
      <c r="O54" s="22"/>
      <c r="P54" s="23"/>
      <c r="Q54" s="30"/>
      <c r="R54" s="30"/>
      <c r="S54" s="30"/>
      <c r="T54" s="34"/>
      <c r="U54" s="32"/>
      <c r="V54" s="33"/>
    </row>
    <row r="55" ht="15.75" customHeight="1">
      <c r="A55" s="12">
        <v>20501.0</v>
      </c>
      <c r="B55" s="13" t="s">
        <v>81</v>
      </c>
      <c r="C55" s="12">
        <v>78.0</v>
      </c>
      <c r="D55" s="12">
        <v>121.0</v>
      </c>
      <c r="E55" s="12">
        <f>'Datos procesados'!$C55+'Datos procesados'!$D55</f>
        <v>199</v>
      </c>
      <c r="F55" s="12">
        <v>225.0</v>
      </c>
      <c r="G55" s="12">
        <v>102.0</v>
      </c>
      <c r="H55" s="12">
        <f>'Datos procesados'!$F55+'Datos procesados'!$G55</f>
        <v>327</v>
      </c>
      <c r="I55" s="14">
        <f>'Datos procesados'!$C55/'Datos procesados'!$E55*100</f>
        <v>39.1959799</v>
      </c>
      <c r="J55" s="15">
        <f>'Datos procesados'!$F55/'Datos procesados'!$H55*100</f>
        <v>68.80733945</v>
      </c>
      <c r="K55" s="16" t="str">
        <f t="shared" si="3"/>
        <v>mejoro</v>
      </c>
      <c r="L55" s="6"/>
      <c r="M55" s="23"/>
      <c r="N55" s="22"/>
      <c r="O55" s="22"/>
      <c r="P55" s="23"/>
      <c r="Q55" s="30"/>
      <c r="R55" s="30"/>
      <c r="S55" s="30"/>
      <c r="T55" s="34"/>
      <c r="U55" s="32"/>
      <c r="V55" s="33"/>
    </row>
    <row r="56" ht="15.75" customHeight="1">
      <c r="A56" s="12">
        <v>20502.0</v>
      </c>
      <c r="B56" s="13" t="s">
        <v>82</v>
      </c>
      <c r="C56" s="12">
        <v>47.0</v>
      </c>
      <c r="D56" s="12">
        <v>75.0</v>
      </c>
      <c r="E56" s="12">
        <f>'Datos procesados'!$C56+'Datos procesados'!$D56</f>
        <v>122</v>
      </c>
      <c r="F56" s="12">
        <v>93.0</v>
      </c>
      <c r="G56" s="12">
        <v>61.0</v>
      </c>
      <c r="H56" s="12">
        <f>'Datos procesados'!$F56+'Datos procesados'!$G56</f>
        <v>154</v>
      </c>
      <c r="I56" s="14">
        <f>'Datos procesados'!$C56/'Datos procesados'!$E56*100</f>
        <v>38.52459016</v>
      </c>
      <c r="J56" s="15">
        <f>'Datos procesados'!$F56/'Datos procesados'!$H56*100</f>
        <v>60.38961039</v>
      </c>
      <c r="K56" s="16" t="str">
        <f t="shared" si="3"/>
        <v>mejoro</v>
      </c>
      <c r="L56" s="6"/>
      <c r="M56" s="23"/>
      <c r="N56" s="22"/>
      <c r="O56" s="22"/>
      <c r="P56" s="23"/>
      <c r="Q56" s="30"/>
      <c r="R56" s="30"/>
      <c r="S56" s="30"/>
      <c r="T56" s="34"/>
      <c r="U56" s="32"/>
      <c r="V56" s="33"/>
    </row>
    <row r="57" ht="15.75" customHeight="1">
      <c r="A57" s="12">
        <v>20503.0</v>
      </c>
      <c r="B57" s="13" t="s">
        <v>83</v>
      </c>
      <c r="C57" s="12">
        <v>49.0</v>
      </c>
      <c r="D57" s="12">
        <v>54.0</v>
      </c>
      <c r="E57" s="12">
        <f>'Datos procesados'!$C57+'Datos procesados'!$D57</f>
        <v>103</v>
      </c>
      <c r="F57" s="12">
        <v>98.0</v>
      </c>
      <c r="G57" s="12">
        <v>42.0</v>
      </c>
      <c r="H57" s="12">
        <f>'Datos procesados'!$F57+'Datos procesados'!$G57</f>
        <v>140</v>
      </c>
      <c r="I57" s="14">
        <f>'Datos procesados'!$C57/'Datos procesados'!$E57*100</f>
        <v>47.57281553</v>
      </c>
      <c r="J57" s="15">
        <f>'Datos procesados'!$F57/'Datos procesados'!$H57*100</f>
        <v>70</v>
      </c>
      <c r="K57" s="16" t="str">
        <f t="shared" si="3"/>
        <v>mejoro</v>
      </c>
      <c r="L57" s="6"/>
      <c r="M57" s="23"/>
      <c r="N57" s="22"/>
      <c r="O57" s="22"/>
      <c r="P57" s="23"/>
      <c r="Q57" s="30"/>
      <c r="R57" s="30"/>
      <c r="S57" s="30"/>
      <c r="T57" s="34"/>
      <c r="U57" s="32"/>
      <c r="V57" s="33"/>
    </row>
    <row r="58" ht="15.75" customHeight="1">
      <c r="A58" s="12">
        <v>20601.0</v>
      </c>
      <c r="B58" s="13" t="s">
        <v>84</v>
      </c>
      <c r="C58" s="12">
        <v>311.0</v>
      </c>
      <c r="D58" s="12">
        <v>255.0</v>
      </c>
      <c r="E58" s="12">
        <f>'Datos procesados'!$C58+'Datos procesados'!$D58</f>
        <v>566</v>
      </c>
      <c r="F58" s="12">
        <v>535.0</v>
      </c>
      <c r="G58" s="12">
        <v>100.0</v>
      </c>
      <c r="H58" s="12">
        <f>'Datos procesados'!$F58+'Datos procesados'!$G58</f>
        <v>635</v>
      </c>
      <c r="I58" s="14">
        <f>'Datos procesados'!$C58/'Datos procesados'!$E58*100</f>
        <v>54.94699647</v>
      </c>
      <c r="J58" s="15">
        <f>'Datos procesados'!$F58/'Datos procesados'!$H58*100</f>
        <v>84.2519685</v>
      </c>
      <c r="K58" s="16" t="str">
        <f t="shared" si="3"/>
        <v>mejoro</v>
      </c>
      <c r="L58" s="6"/>
      <c r="M58" s="23"/>
      <c r="N58" s="22"/>
      <c r="O58" s="22"/>
      <c r="P58" s="23"/>
      <c r="Q58" s="30"/>
      <c r="R58" s="30"/>
      <c r="S58" s="30"/>
      <c r="T58" s="34"/>
      <c r="U58" s="32"/>
      <c r="V58" s="33"/>
    </row>
    <row r="59" ht="15.75" customHeight="1">
      <c r="A59" s="12">
        <v>20602.0</v>
      </c>
      <c r="B59" s="13" t="s">
        <v>85</v>
      </c>
      <c r="C59" s="12">
        <v>301.0</v>
      </c>
      <c r="D59" s="12">
        <v>81.0</v>
      </c>
      <c r="E59" s="12">
        <f>'Datos procesados'!$C59+'Datos procesados'!$D59</f>
        <v>382</v>
      </c>
      <c r="F59" s="12">
        <v>326.0</v>
      </c>
      <c r="G59" s="12">
        <v>27.0</v>
      </c>
      <c r="H59" s="12">
        <f>'Datos procesados'!$F59+'Datos procesados'!$G59</f>
        <v>353</v>
      </c>
      <c r="I59" s="14">
        <f>'Datos procesados'!$C59/'Datos procesados'!$E59*100</f>
        <v>78.79581152</v>
      </c>
      <c r="J59" s="15">
        <f>'Datos procesados'!$F59/'Datos procesados'!$H59*100</f>
        <v>92.35127479</v>
      </c>
      <c r="K59" s="16" t="str">
        <f t="shared" si="3"/>
        <v>mejoro</v>
      </c>
      <c r="L59" s="6"/>
      <c r="M59" s="23"/>
      <c r="N59" s="22"/>
      <c r="O59" s="22"/>
      <c r="P59" s="23"/>
      <c r="Q59" s="30"/>
      <c r="R59" s="30"/>
      <c r="S59" s="30"/>
      <c r="T59" s="34"/>
      <c r="U59" s="32"/>
      <c r="V59" s="33"/>
    </row>
    <row r="60" ht="15.75" customHeight="1">
      <c r="A60" s="12">
        <v>20603.0</v>
      </c>
      <c r="B60" s="13" t="s">
        <v>86</v>
      </c>
      <c r="C60" s="12">
        <v>150.0</v>
      </c>
      <c r="D60" s="12">
        <v>82.0</v>
      </c>
      <c r="E60" s="12">
        <f>'Datos procesados'!$C60+'Datos procesados'!$D60</f>
        <v>232</v>
      </c>
      <c r="F60" s="12">
        <v>181.0</v>
      </c>
      <c r="G60" s="12">
        <v>36.0</v>
      </c>
      <c r="H60" s="12">
        <f>'Datos procesados'!$F60+'Datos procesados'!$G60</f>
        <v>217</v>
      </c>
      <c r="I60" s="14">
        <f>'Datos procesados'!$C60/'Datos procesados'!$E60*100</f>
        <v>64.65517241</v>
      </c>
      <c r="J60" s="15">
        <f>'Datos procesados'!$F60/'Datos procesados'!$H60*100</f>
        <v>83.41013825</v>
      </c>
      <c r="K60" s="16" t="str">
        <f t="shared" si="3"/>
        <v>mejoro</v>
      </c>
      <c r="L60" s="6"/>
      <c r="M60" s="23"/>
      <c r="N60" s="22"/>
      <c r="O60" s="22"/>
      <c r="P60" s="23"/>
      <c r="Q60" s="30"/>
      <c r="R60" s="30"/>
      <c r="S60" s="30"/>
      <c r="T60" s="34"/>
      <c r="U60" s="32"/>
      <c r="V60" s="33"/>
    </row>
    <row r="61" ht="15.75" customHeight="1">
      <c r="A61" s="12">
        <v>20604.0</v>
      </c>
      <c r="B61" s="13" t="s">
        <v>87</v>
      </c>
      <c r="C61" s="12">
        <v>18.0</v>
      </c>
      <c r="D61" s="12">
        <v>40.0</v>
      </c>
      <c r="E61" s="12">
        <f>'Datos procesados'!$C61+'Datos procesados'!$D61</f>
        <v>58</v>
      </c>
      <c r="F61" s="12">
        <v>74.0</v>
      </c>
      <c r="G61" s="12">
        <v>21.0</v>
      </c>
      <c r="H61" s="12">
        <f>'Datos procesados'!$F61+'Datos procesados'!$G61</f>
        <v>95</v>
      </c>
      <c r="I61" s="14">
        <f>'Datos procesados'!$C61/'Datos procesados'!$E61*100</f>
        <v>31.03448276</v>
      </c>
      <c r="J61" s="15">
        <f>'Datos procesados'!$F61/'Datos procesados'!$H61*100</f>
        <v>77.89473684</v>
      </c>
      <c r="K61" s="16" t="str">
        <f t="shared" si="3"/>
        <v>mejoro</v>
      </c>
      <c r="L61" s="6"/>
      <c r="M61" s="23"/>
      <c r="N61" s="22"/>
      <c r="O61" s="22"/>
      <c r="P61" s="23"/>
      <c r="Q61" s="30"/>
      <c r="R61" s="30"/>
      <c r="S61" s="30"/>
      <c r="T61" s="34"/>
      <c r="U61" s="32"/>
      <c r="V61" s="33"/>
    </row>
    <row r="62" ht="15.75" customHeight="1">
      <c r="A62" s="12">
        <v>20605.0</v>
      </c>
      <c r="B62" s="13" t="s">
        <v>88</v>
      </c>
      <c r="C62" s="12">
        <v>20.0</v>
      </c>
      <c r="D62" s="12">
        <v>29.0</v>
      </c>
      <c r="E62" s="12">
        <f>'Datos procesados'!$C62+'Datos procesados'!$D62</f>
        <v>49</v>
      </c>
      <c r="F62" s="12">
        <v>35.0</v>
      </c>
      <c r="G62" s="12">
        <v>9.0</v>
      </c>
      <c r="H62" s="12">
        <f>'Datos procesados'!$F62+'Datos procesados'!$G62</f>
        <v>44</v>
      </c>
      <c r="I62" s="14">
        <f>'Datos procesados'!$C62/'Datos procesados'!$E62*100</f>
        <v>40.81632653</v>
      </c>
      <c r="J62" s="15">
        <f>'Datos procesados'!$F62/'Datos procesados'!$H62*100</f>
        <v>79.54545455</v>
      </c>
      <c r="K62" s="16" t="str">
        <f t="shared" si="3"/>
        <v>mejoro</v>
      </c>
      <c r="L62" s="6"/>
      <c r="M62" s="23"/>
      <c r="N62" s="22"/>
      <c r="O62" s="22"/>
      <c r="P62" s="23"/>
      <c r="Q62" s="30"/>
      <c r="R62" s="30"/>
      <c r="S62" s="30"/>
      <c r="T62" s="34"/>
      <c r="U62" s="32"/>
      <c r="V62" s="33"/>
    </row>
    <row r="63" ht="15.75" customHeight="1">
      <c r="A63" s="12">
        <v>20606.0</v>
      </c>
      <c r="B63" s="13" t="s">
        <v>89</v>
      </c>
      <c r="C63" s="12">
        <v>247.0</v>
      </c>
      <c r="D63" s="12">
        <v>21.0</v>
      </c>
      <c r="E63" s="12">
        <f>'Datos procesados'!$C63+'Datos procesados'!$D63</f>
        <v>268</v>
      </c>
      <c r="F63" s="12">
        <v>150.0</v>
      </c>
      <c r="G63" s="12">
        <v>3.0</v>
      </c>
      <c r="H63" s="12">
        <f>'Datos procesados'!$F63+'Datos procesados'!$G63</f>
        <v>153</v>
      </c>
      <c r="I63" s="14">
        <f>'Datos procesados'!$C63/'Datos procesados'!$E63*100</f>
        <v>92.1641791</v>
      </c>
      <c r="J63" s="15">
        <f>'Datos procesados'!$F63/'Datos procesados'!$H63*100</f>
        <v>98.03921569</v>
      </c>
      <c r="K63" s="16" t="str">
        <f t="shared" si="3"/>
        <v>mejoro</v>
      </c>
      <c r="L63" s="6"/>
      <c r="M63" s="23"/>
      <c r="N63" s="22"/>
      <c r="O63" s="22"/>
      <c r="P63" s="23"/>
      <c r="Q63" s="30"/>
      <c r="R63" s="30"/>
      <c r="S63" s="30"/>
      <c r="T63" s="34"/>
      <c r="U63" s="32"/>
      <c r="V63" s="33"/>
    </row>
    <row r="64" ht="15.75" customHeight="1">
      <c r="A64" s="12">
        <v>20607.0</v>
      </c>
      <c r="B64" s="13" t="s">
        <v>90</v>
      </c>
      <c r="C64" s="12">
        <v>310.0</v>
      </c>
      <c r="D64" s="12">
        <v>48.0</v>
      </c>
      <c r="E64" s="12">
        <f>'Datos procesados'!$C64+'Datos procesados'!$D64</f>
        <v>358</v>
      </c>
      <c r="F64" s="12">
        <v>564.0</v>
      </c>
      <c r="G64" s="12">
        <v>37.0</v>
      </c>
      <c r="H64" s="12">
        <f>'Datos procesados'!$F64+'Datos procesados'!$G64</f>
        <v>601</v>
      </c>
      <c r="I64" s="14">
        <f>'Datos procesados'!$C64/'Datos procesados'!$E64*100</f>
        <v>86.59217877</v>
      </c>
      <c r="J64" s="15">
        <f>'Datos procesados'!$F64/'Datos procesados'!$H64*100</f>
        <v>93.84359401</v>
      </c>
      <c r="K64" s="16" t="str">
        <f t="shared" si="3"/>
        <v>mejoro</v>
      </c>
      <c r="L64" s="6"/>
      <c r="M64" s="23"/>
      <c r="N64" s="22"/>
      <c r="O64" s="22"/>
      <c r="P64" s="23"/>
      <c r="Q64" s="30"/>
      <c r="R64" s="30"/>
      <c r="S64" s="30"/>
      <c r="T64" s="34"/>
      <c r="U64" s="32"/>
      <c r="V64" s="33"/>
    </row>
    <row r="65" ht="15.75" customHeight="1">
      <c r="A65" s="12">
        <v>20608.0</v>
      </c>
      <c r="B65" s="13" t="s">
        <v>91</v>
      </c>
      <c r="C65" s="12">
        <v>192.0</v>
      </c>
      <c r="D65" s="12">
        <v>56.0</v>
      </c>
      <c r="E65" s="12">
        <f>'Datos procesados'!$C65+'Datos procesados'!$D65</f>
        <v>248</v>
      </c>
      <c r="F65" s="12">
        <v>292.0</v>
      </c>
      <c r="G65" s="12">
        <v>22.0</v>
      </c>
      <c r="H65" s="12">
        <f>'Datos procesados'!$F65+'Datos procesados'!$G65</f>
        <v>314</v>
      </c>
      <c r="I65" s="14">
        <f>'Datos procesados'!$C65/'Datos procesados'!$E65*100</f>
        <v>77.41935484</v>
      </c>
      <c r="J65" s="15">
        <f>'Datos procesados'!$F65/'Datos procesados'!$H65*100</f>
        <v>92.99363057</v>
      </c>
      <c r="K65" s="16" t="str">
        <f t="shared" si="3"/>
        <v>mejoro</v>
      </c>
      <c r="L65" s="6"/>
      <c r="M65" s="23"/>
      <c r="N65" s="22"/>
      <c r="O65" s="22"/>
      <c r="P65" s="23"/>
      <c r="Q65" s="30"/>
      <c r="R65" s="30"/>
      <c r="S65" s="30"/>
      <c r="T65" s="34"/>
      <c r="U65" s="32"/>
      <c r="V65" s="33"/>
    </row>
    <row r="66" ht="15.75" customHeight="1">
      <c r="A66" s="12">
        <v>20701.0</v>
      </c>
      <c r="B66" s="13" t="s">
        <v>92</v>
      </c>
      <c r="C66" s="12">
        <v>192.0</v>
      </c>
      <c r="D66" s="12">
        <v>133.0</v>
      </c>
      <c r="E66" s="12">
        <f>'Datos procesados'!$C66+'Datos procesados'!$D66</f>
        <v>325</v>
      </c>
      <c r="F66" s="12">
        <v>325.0</v>
      </c>
      <c r="G66" s="12">
        <v>76.0</v>
      </c>
      <c r="H66" s="12">
        <f>'Datos procesados'!$F66+'Datos procesados'!$G66</f>
        <v>401</v>
      </c>
      <c r="I66" s="14">
        <f>'Datos procesados'!$C66/'Datos procesados'!$E66*100</f>
        <v>59.07692308</v>
      </c>
      <c r="J66" s="15">
        <f>'Datos procesados'!$F66/'Datos procesados'!$H66*100</f>
        <v>81.04738155</v>
      </c>
      <c r="K66" s="16" t="str">
        <f t="shared" si="3"/>
        <v>mejoro</v>
      </c>
      <c r="L66" s="6"/>
      <c r="M66" s="23"/>
      <c r="N66" s="22"/>
      <c r="O66" s="22"/>
      <c r="P66" s="23"/>
      <c r="Q66" s="30"/>
      <c r="R66" s="30"/>
      <c r="S66" s="30"/>
      <c r="T66" s="34"/>
      <c r="U66" s="32"/>
      <c r="V66" s="33"/>
    </row>
    <row r="67" ht="15.75" customHeight="1">
      <c r="A67" s="12">
        <v>20702.0</v>
      </c>
      <c r="B67" s="13" t="s">
        <v>93</v>
      </c>
      <c r="C67" s="12">
        <v>74.0</v>
      </c>
      <c r="D67" s="12">
        <v>91.0</v>
      </c>
      <c r="E67" s="12">
        <f>'Datos procesados'!$C67+'Datos procesados'!$D67</f>
        <v>165</v>
      </c>
      <c r="F67" s="12">
        <v>125.0</v>
      </c>
      <c r="G67" s="12">
        <v>62.0</v>
      </c>
      <c r="H67" s="12">
        <f>'Datos procesados'!$F67+'Datos procesados'!$G67</f>
        <v>187</v>
      </c>
      <c r="I67" s="14">
        <f>'Datos procesados'!$C67/'Datos procesados'!$E67*100</f>
        <v>44.84848485</v>
      </c>
      <c r="J67" s="15">
        <f>'Datos procesados'!$F67/'Datos procesados'!$H67*100</f>
        <v>66.84491979</v>
      </c>
      <c r="K67" s="16" t="str">
        <f t="shared" si="3"/>
        <v>mejoro</v>
      </c>
      <c r="L67" s="6"/>
      <c r="M67" s="23"/>
      <c r="N67" s="22"/>
      <c r="O67" s="22"/>
      <c r="P67" s="23"/>
      <c r="Q67" s="30"/>
      <c r="R67" s="30"/>
      <c r="S67" s="30"/>
      <c r="T67" s="34"/>
      <c r="U67" s="32"/>
      <c r="V67" s="33"/>
    </row>
    <row r="68" ht="15.75" customHeight="1">
      <c r="A68" s="12">
        <v>20801.0</v>
      </c>
      <c r="B68" s="13" t="s">
        <v>94</v>
      </c>
      <c r="C68" s="12">
        <v>1656.0</v>
      </c>
      <c r="D68" s="12">
        <v>342.0</v>
      </c>
      <c r="E68" s="12">
        <f>'Datos procesados'!$C68+'Datos procesados'!$D68</f>
        <v>1998</v>
      </c>
      <c r="F68" s="12">
        <v>2056.0</v>
      </c>
      <c r="G68" s="12">
        <v>132.0</v>
      </c>
      <c r="H68" s="12">
        <f>'Datos procesados'!$F68+'Datos procesados'!$G68</f>
        <v>2188</v>
      </c>
      <c r="I68" s="14">
        <f>'Datos procesados'!$C68/'Datos procesados'!$E68*100</f>
        <v>82.88288288</v>
      </c>
      <c r="J68" s="15">
        <f>'Datos procesados'!$F68/'Datos procesados'!$H68*100</f>
        <v>93.96709324</v>
      </c>
      <c r="K68" s="16" t="str">
        <f t="shared" si="3"/>
        <v>mejoro</v>
      </c>
      <c r="L68" s="6"/>
      <c r="M68" s="23"/>
      <c r="N68" s="22"/>
      <c r="O68" s="22"/>
      <c r="P68" s="23"/>
      <c r="Q68" s="30"/>
      <c r="R68" s="30"/>
      <c r="S68" s="30"/>
      <c r="T68" s="34"/>
      <c r="U68" s="32"/>
      <c r="V68" s="33"/>
    </row>
    <row r="69" ht="15.75" customHeight="1">
      <c r="A69" s="12">
        <v>20802.0</v>
      </c>
      <c r="B69" s="13" t="s">
        <v>95</v>
      </c>
      <c r="C69" s="12">
        <v>63.0</v>
      </c>
      <c r="D69" s="12">
        <v>29.0</v>
      </c>
      <c r="E69" s="12">
        <f>'Datos procesados'!$C69+'Datos procesados'!$D69</f>
        <v>92</v>
      </c>
      <c r="F69" s="12">
        <v>106.0</v>
      </c>
      <c r="G69" s="12">
        <v>13.0</v>
      </c>
      <c r="H69" s="12">
        <f>'Datos procesados'!$F69+'Datos procesados'!$G69</f>
        <v>119</v>
      </c>
      <c r="I69" s="14">
        <f>'Datos procesados'!$C69/'Datos procesados'!$E69*100</f>
        <v>68.47826087</v>
      </c>
      <c r="J69" s="15">
        <f>'Datos procesados'!$F69/'Datos procesados'!$H69*100</f>
        <v>89.07563025</v>
      </c>
      <c r="K69" s="16" t="str">
        <f t="shared" si="3"/>
        <v>mejoro</v>
      </c>
      <c r="L69" s="6"/>
      <c r="M69" s="23"/>
      <c r="N69" s="22"/>
      <c r="O69" s="22"/>
      <c r="P69" s="23"/>
      <c r="Q69" s="30"/>
      <c r="R69" s="30"/>
      <c r="S69" s="30"/>
      <c r="T69" s="34"/>
      <c r="U69" s="32"/>
      <c r="V69" s="33"/>
    </row>
    <row r="70" ht="15.75" customHeight="1">
      <c r="A70" s="12">
        <v>20803.0</v>
      </c>
      <c r="B70" s="13" t="s">
        <v>96</v>
      </c>
      <c r="C70" s="12">
        <v>75.0</v>
      </c>
      <c r="D70" s="12">
        <v>126.0</v>
      </c>
      <c r="E70" s="12">
        <f>'Datos procesados'!$C70+'Datos procesados'!$D70</f>
        <v>201</v>
      </c>
      <c r="F70" s="12">
        <v>198.0</v>
      </c>
      <c r="G70" s="12">
        <v>39.0</v>
      </c>
      <c r="H70" s="12">
        <f>'Datos procesados'!$F70+'Datos procesados'!$G70</f>
        <v>237</v>
      </c>
      <c r="I70" s="14">
        <f>'Datos procesados'!$C70/'Datos procesados'!$E70*100</f>
        <v>37.31343284</v>
      </c>
      <c r="J70" s="15">
        <f>'Datos procesados'!$F70/'Datos procesados'!$H70*100</f>
        <v>83.5443038</v>
      </c>
      <c r="K70" s="16" t="str">
        <f t="shared" si="3"/>
        <v>mejoro</v>
      </c>
      <c r="L70" s="6"/>
      <c r="M70" s="23"/>
      <c r="N70" s="22"/>
      <c r="O70" s="22"/>
      <c r="P70" s="23"/>
      <c r="Q70" s="30"/>
      <c r="R70" s="30"/>
      <c r="S70" s="30"/>
      <c r="T70" s="34"/>
      <c r="U70" s="32"/>
      <c r="V70" s="33"/>
    </row>
    <row r="71" ht="15.75" customHeight="1">
      <c r="A71" s="12">
        <v>20804.0</v>
      </c>
      <c r="B71" s="13" t="s">
        <v>97</v>
      </c>
      <c r="C71" s="12">
        <v>95.0</v>
      </c>
      <c r="D71" s="12">
        <v>44.0</v>
      </c>
      <c r="E71" s="12">
        <f>'Datos procesados'!$C71+'Datos procesados'!$D71</f>
        <v>139</v>
      </c>
      <c r="F71" s="12">
        <v>119.0</v>
      </c>
      <c r="G71" s="12">
        <v>17.0</v>
      </c>
      <c r="H71" s="12">
        <f>'Datos procesados'!$F71+'Datos procesados'!$G71</f>
        <v>136</v>
      </c>
      <c r="I71" s="14">
        <f>'Datos procesados'!$C71/'Datos procesados'!$E71*100</f>
        <v>68.34532374</v>
      </c>
      <c r="J71" s="15">
        <f>'Datos procesados'!$F71/'Datos procesados'!$H71*100</f>
        <v>87.5</v>
      </c>
      <c r="K71" s="16" t="str">
        <f t="shared" si="3"/>
        <v>mejoro</v>
      </c>
      <c r="L71" s="6"/>
      <c r="M71" s="23"/>
      <c r="N71" s="22"/>
      <c r="O71" s="22"/>
      <c r="P71" s="23"/>
      <c r="Q71" s="30"/>
      <c r="R71" s="30"/>
      <c r="S71" s="30"/>
      <c r="T71" s="34"/>
      <c r="U71" s="32"/>
      <c r="V71" s="33"/>
    </row>
    <row r="72" ht="15.75" customHeight="1">
      <c r="A72" s="12">
        <v>20805.0</v>
      </c>
      <c r="B72" s="13" t="s">
        <v>98</v>
      </c>
      <c r="C72" s="12">
        <v>35.0</v>
      </c>
      <c r="D72" s="12">
        <v>65.0</v>
      </c>
      <c r="E72" s="12">
        <f>'Datos procesados'!$C72+'Datos procesados'!$D72</f>
        <v>100</v>
      </c>
      <c r="F72" s="12">
        <v>86.0</v>
      </c>
      <c r="G72" s="12">
        <v>21.0</v>
      </c>
      <c r="H72" s="12">
        <f>'Datos procesados'!$F72+'Datos procesados'!$G72</f>
        <v>107</v>
      </c>
      <c r="I72" s="14">
        <f>'Datos procesados'!$C72/'Datos procesados'!$E72*100</f>
        <v>35</v>
      </c>
      <c r="J72" s="15">
        <f>'Datos procesados'!$F72/'Datos procesados'!$H72*100</f>
        <v>80.37383178</v>
      </c>
      <c r="K72" s="16" t="str">
        <f t="shared" si="3"/>
        <v>mejoro</v>
      </c>
      <c r="L72" s="6"/>
      <c r="M72" s="23"/>
      <c r="N72" s="22"/>
      <c r="O72" s="22"/>
      <c r="P72" s="23"/>
      <c r="Q72" s="30"/>
      <c r="R72" s="30"/>
      <c r="S72" s="30"/>
      <c r="T72" s="34"/>
      <c r="U72" s="32"/>
      <c r="V72" s="33"/>
    </row>
    <row r="73" ht="15.75" customHeight="1">
      <c r="A73" s="12">
        <v>20806.0</v>
      </c>
      <c r="B73" s="13" t="s">
        <v>99</v>
      </c>
      <c r="C73" s="12">
        <v>122.0</v>
      </c>
      <c r="D73" s="12">
        <v>130.0</v>
      </c>
      <c r="E73" s="12">
        <f>'Datos procesados'!$C73+'Datos procesados'!$D73</f>
        <v>252</v>
      </c>
      <c r="F73" s="12">
        <v>188.0</v>
      </c>
      <c r="G73" s="12">
        <v>49.0</v>
      </c>
      <c r="H73" s="12">
        <f>'Datos procesados'!$F73+'Datos procesados'!$G73</f>
        <v>237</v>
      </c>
      <c r="I73" s="14">
        <f>'Datos procesados'!$C73/'Datos procesados'!$E73*100</f>
        <v>48.41269841</v>
      </c>
      <c r="J73" s="15">
        <f>'Datos procesados'!$F73/'Datos procesados'!$H73*100</f>
        <v>79.32489451</v>
      </c>
      <c r="K73" s="16" t="str">
        <f t="shared" si="3"/>
        <v>mejoro</v>
      </c>
      <c r="L73" s="6"/>
      <c r="M73" s="23"/>
      <c r="N73" s="22"/>
      <c r="O73" s="22"/>
      <c r="P73" s="23"/>
      <c r="Q73" s="30"/>
      <c r="R73" s="30"/>
      <c r="S73" s="30"/>
      <c r="T73" s="34"/>
      <c r="U73" s="32"/>
      <c r="V73" s="33"/>
    </row>
    <row r="74" ht="15.75" customHeight="1">
      <c r="A74" s="12">
        <v>20807.0</v>
      </c>
      <c r="B74" s="13" t="s">
        <v>100</v>
      </c>
      <c r="C74" s="12">
        <v>53.0</v>
      </c>
      <c r="D74" s="12">
        <v>38.0</v>
      </c>
      <c r="E74" s="12">
        <f>'Datos procesados'!$C74+'Datos procesados'!$D74</f>
        <v>91</v>
      </c>
      <c r="F74" s="12">
        <v>84.0</v>
      </c>
      <c r="G74" s="12">
        <v>21.0</v>
      </c>
      <c r="H74" s="12">
        <f>'Datos procesados'!$F74+'Datos procesados'!$G74</f>
        <v>105</v>
      </c>
      <c r="I74" s="14">
        <f>'Datos procesados'!$C74/'Datos procesados'!$E74*100</f>
        <v>58.24175824</v>
      </c>
      <c r="J74" s="15">
        <f>'Datos procesados'!$F74/'Datos procesados'!$H74*100</f>
        <v>80</v>
      </c>
      <c r="K74" s="16" t="str">
        <f t="shared" si="3"/>
        <v>mejoro</v>
      </c>
      <c r="L74" s="6"/>
      <c r="M74" s="23"/>
      <c r="N74" s="22"/>
      <c r="O74" s="22"/>
      <c r="P74" s="23"/>
      <c r="Q74" s="30"/>
      <c r="R74" s="30"/>
      <c r="S74" s="30"/>
      <c r="T74" s="34"/>
      <c r="U74" s="32"/>
      <c r="V74" s="33"/>
    </row>
    <row r="75" ht="15.75" customHeight="1">
      <c r="A75" s="12">
        <v>20901.0</v>
      </c>
      <c r="B75" s="13" t="s">
        <v>101</v>
      </c>
      <c r="C75" s="12">
        <v>134.0</v>
      </c>
      <c r="D75" s="12">
        <v>94.0</v>
      </c>
      <c r="E75" s="12">
        <f>'Datos procesados'!$C75+'Datos procesados'!$D75</f>
        <v>228</v>
      </c>
      <c r="F75" s="12">
        <v>190.0</v>
      </c>
      <c r="G75" s="12">
        <v>16.0</v>
      </c>
      <c r="H75" s="12">
        <f>'Datos procesados'!$F75+'Datos procesados'!$G75</f>
        <v>206</v>
      </c>
      <c r="I75" s="14">
        <f>'Datos procesados'!$C75/'Datos procesados'!$E75*100</f>
        <v>58.77192982</v>
      </c>
      <c r="J75" s="15">
        <f>'Datos procesados'!$F75/'Datos procesados'!$H75*100</f>
        <v>92.23300971</v>
      </c>
      <c r="K75" s="16" t="str">
        <f t="shared" si="3"/>
        <v>mejoro</v>
      </c>
      <c r="L75" s="6"/>
      <c r="M75" s="23"/>
      <c r="N75" s="22"/>
      <c r="O75" s="22"/>
      <c r="P75" s="23"/>
      <c r="Q75" s="30"/>
      <c r="R75" s="30"/>
      <c r="S75" s="30"/>
      <c r="T75" s="34"/>
      <c r="U75" s="32"/>
      <c r="V75" s="33"/>
    </row>
    <row r="76" ht="15.75" customHeight="1">
      <c r="A76" s="12">
        <v>20902.0</v>
      </c>
      <c r="B76" s="13" t="s">
        <v>102</v>
      </c>
      <c r="C76" s="12">
        <v>119.0</v>
      </c>
      <c r="D76" s="12">
        <v>131.0</v>
      </c>
      <c r="E76" s="12">
        <f>'Datos procesados'!$C76+'Datos procesados'!$D76</f>
        <v>250</v>
      </c>
      <c r="F76" s="12">
        <v>254.0</v>
      </c>
      <c r="G76" s="12">
        <v>50.0</v>
      </c>
      <c r="H76" s="12">
        <f>'Datos procesados'!$F76+'Datos procesados'!$G76</f>
        <v>304</v>
      </c>
      <c r="I76" s="14">
        <f>'Datos procesados'!$C76/'Datos procesados'!$E76*100</f>
        <v>47.6</v>
      </c>
      <c r="J76" s="15">
        <f>'Datos procesados'!$F76/'Datos procesados'!$H76*100</f>
        <v>83.55263158</v>
      </c>
      <c r="K76" s="16" t="str">
        <f t="shared" si="3"/>
        <v>mejoro</v>
      </c>
      <c r="L76" s="6"/>
      <c r="M76" s="23"/>
      <c r="N76" s="22"/>
      <c r="O76" s="22"/>
      <c r="P76" s="23"/>
      <c r="Q76" s="30"/>
      <c r="R76" s="30"/>
      <c r="S76" s="30"/>
      <c r="T76" s="34"/>
      <c r="U76" s="32"/>
      <c r="V76" s="33"/>
    </row>
    <row r="77" ht="15.75" customHeight="1">
      <c r="A77" s="12">
        <v>20903.0</v>
      </c>
      <c r="B77" s="13" t="s">
        <v>103</v>
      </c>
      <c r="C77" s="12">
        <v>47.0</v>
      </c>
      <c r="D77" s="12">
        <v>76.0</v>
      </c>
      <c r="E77" s="12">
        <f>'Datos procesados'!$C77+'Datos procesados'!$D77</f>
        <v>123</v>
      </c>
      <c r="F77" s="12">
        <v>144.0</v>
      </c>
      <c r="G77" s="12">
        <v>61.0</v>
      </c>
      <c r="H77" s="12">
        <f>'Datos procesados'!$F77+'Datos procesados'!$G77</f>
        <v>205</v>
      </c>
      <c r="I77" s="14">
        <f>'Datos procesados'!$C77/'Datos procesados'!$E77*100</f>
        <v>38.21138211</v>
      </c>
      <c r="J77" s="15">
        <f>'Datos procesados'!$F77/'Datos procesados'!$H77*100</f>
        <v>70.24390244</v>
      </c>
      <c r="K77" s="16" t="str">
        <f t="shared" si="3"/>
        <v>mejoro</v>
      </c>
      <c r="L77" s="6"/>
      <c r="M77" s="23"/>
      <c r="N77" s="22"/>
      <c r="O77" s="22"/>
      <c r="P77" s="23"/>
      <c r="Q77" s="30"/>
      <c r="R77" s="30"/>
      <c r="S77" s="30"/>
      <c r="T77" s="34"/>
      <c r="U77" s="32"/>
      <c r="V77" s="33"/>
    </row>
    <row r="78" ht="15.75" customHeight="1">
      <c r="A78" s="12">
        <v>20904.0</v>
      </c>
      <c r="B78" s="13" t="s">
        <v>104</v>
      </c>
      <c r="C78" s="12">
        <v>33.0</v>
      </c>
      <c r="D78" s="12">
        <v>48.0</v>
      </c>
      <c r="E78" s="12">
        <f>'Datos procesados'!$C78+'Datos procesados'!$D78</f>
        <v>81</v>
      </c>
      <c r="F78" s="12">
        <v>73.0</v>
      </c>
      <c r="G78" s="12">
        <v>37.0</v>
      </c>
      <c r="H78" s="12">
        <f>'Datos procesados'!$F78+'Datos procesados'!$G78</f>
        <v>110</v>
      </c>
      <c r="I78" s="14">
        <f>'Datos procesados'!$C78/'Datos procesados'!$E78*100</f>
        <v>40.74074074</v>
      </c>
      <c r="J78" s="15">
        <f>'Datos procesados'!$F78/'Datos procesados'!$H78*100</f>
        <v>66.36363636</v>
      </c>
      <c r="K78" s="16" t="str">
        <f t="shared" si="3"/>
        <v>mejoro</v>
      </c>
      <c r="L78" s="6"/>
      <c r="M78" s="23"/>
      <c r="N78" s="22"/>
      <c r="O78" s="22"/>
      <c r="P78" s="23"/>
      <c r="Q78" s="30"/>
      <c r="R78" s="30"/>
      <c r="S78" s="30"/>
      <c r="T78" s="34"/>
      <c r="U78" s="32"/>
      <c r="V78" s="33"/>
    </row>
    <row r="79" ht="15.75" customHeight="1">
      <c r="A79" s="12">
        <v>20905.0</v>
      </c>
      <c r="B79" s="13" t="s">
        <v>105</v>
      </c>
      <c r="C79" s="12">
        <v>115.0</v>
      </c>
      <c r="D79" s="12">
        <v>94.0</v>
      </c>
      <c r="E79" s="12">
        <f>'Datos procesados'!$C79+'Datos procesados'!$D79</f>
        <v>209</v>
      </c>
      <c r="F79" s="12">
        <v>234.0</v>
      </c>
      <c r="G79" s="12">
        <v>58.0</v>
      </c>
      <c r="H79" s="12">
        <f>'Datos procesados'!$F79+'Datos procesados'!$G79</f>
        <v>292</v>
      </c>
      <c r="I79" s="14">
        <f>'Datos procesados'!$C79/'Datos procesados'!$E79*100</f>
        <v>55.02392344</v>
      </c>
      <c r="J79" s="15">
        <f>'Datos procesados'!$F79/'Datos procesados'!$H79*100</f>
        <v>80.1369863</v>
      </c>
      <c r="K79" s="16" t="str">
        <f t="shared" si="3"/>
        <v>mejoro</v>
      </c>
      <c r="L79" s="6"/>
      <c r="M79" s="23"/>
      <c r="N79" s="22"/>
      <c r="O79" s="22"/>
      <c r="P79" s="23"/>
      <c r="Q79" s="30"/>
      <c r="R79" s="30"/>
      <c r="S79" s="30"/>
      <c r="T79" s="34"/>
      <c r="U79" s="32"/>
      <c r="V79" s="33"/>
    </row>
    <row r="80" ht="15.75" customHeight="1">
      <c r="A80" s="12">
        <v>21001.0</v>
      </c>
      <c r="B80" s="13" t="s">
        <v>106</v>
      </c>
      <c r="C80" s="12">
        <v>108.0</v>
      </c>
      <c r="D80" s="12">
        <v>144.0</v>
      </c>
      <c r="E80" s="12">
        <f>'Datos procesados'!$C80+'Datos procesados'!$D80</f>
        <v>252</v>
      </c>
      <c r="F80" s="12">
        <v>250.0</v>
      </c>
      <c r="G80" s="12">
        <v>93.0</v>
      </c>
      <c r="H80" s="12">
        <f>'Datos procesados'!$F80+'Datos procesados'!$G80</f>
        <v>343</v>
      </c>
      <c r="I80" s="14">
        <f>'Datos procesados'!$C80/'Datos procesados'!$E80*100</f>
        <v>42.85714286</v>
      </c>
      <c r="J80" s="15">
        <f>'Datos procesados'!$F80/'Datos procesados'!$H80*100</f>
        <v>72.88629738</v>
      </c>
      <c r="K80" s="16" t="str">
        <f t="shared" si="3"/>
        <v>mejoro</v>
      </c>
      <c r="L80" s="6"/>
      <c r="M80" s="23"/>
      <c r="N80" s="22"/>
      <c r="O80" s="22"/>
      <c r="P80" s="23"/>
      <c r="Q80" s="30"/>
      <c r="R80" s="30"/>
      <c r="S80" s="30"/>
      <c r="T80" s="34"/>
      <c r="U80" s="32"/>
      <c r="V80" s="33"/>
    </row>
    <row r="81" ht="15.75" customHeight="1">
      <c r="A81" s="12">
        <v>21002.0</v>
      </c>
      <c r="B81" s="13" t="s">
        <v>107</v>
      </c>
      <c r="C81" s="12">
        <v>125.0</v>
      </c>
      <c r="D81" s="12">
        <v>62.0</v>
      </c>
      <c r="E81" s="12">
        <f>'Datos procesados'!$C81+'Datos procesados'!$D81</f>
        <v>187</v>
      </c>
      <c r="F81" s="12">
        <v>156.0</v>
      </c>
      <c r="G81" s="12">
        <v>19.0</v>
      </c>
      <c r="H81" s="12">
        <f>'Datos procesados'!$F81+'Datos procesados'!$G81</f>
        <v>175</v>
      </c>
      <c r="I81" s="14">
        <f>'Datos procesados'!$C81/'Datos procesados'!$E81*100</f>
        <v>66.84491979</v>
      </c>
      <c r="J81" s="15">
        <f>'Datos procesados'!$F81/'Datos procesados'!$H81*100</f>
        <v>89.14285714</v>
      </c>
      <c r="K81" s="16" t="str">
        <f t="shared" si="3"/>
        <v>mejoro</v>
      </c>
      <c r="L81" s="6"/>
      <c r="M81" s="23"/>
      <c r="N81" s="22"/>
      <c r="O81" s="22"/>
      <c r="P81" s="23"/>
      <c r="Q81" s="30"/>
      <c r="R81" s="30"/>
      <c r="S81" s="30"/>
      <c r="T81" s="34"/>
      <c r="U81" s="32"/>
      <c r="V81" s="33"/>
    </row>
    <row r="82" ht="15.75" customHeight="1">
      <c r="A82" s="12">
        <v>21003.0</v>
      </c>
      <c r="B82" s="13" t="s">
        <v>108</v>
      </c>
      <c r="C82" s="12">
        <v>202.0</v>
      </c>
      <c r="D82" s="12">
        <v>69.0</v>
      </c>
      <c r="E82" s="12">
        <f>'Datos procesados'!$C82+'Datos procesados'!$D82</f>
        <v>271</v>
      </c>
      <c r="F82" s="12">
        <v>373.0</v>
      </c>
      <c r="G82" s="12">
        <v>38.0</v>
      </c>
      <c r="H82" s="12">
        <f>'Datos procesados'!$F82+'Datos procesados'!$G82</f>
        <v>411</v>
      </c>
      <c r="I82" s="14">
        <f>'Datos procesados'!$C82/'Datos procesados'!$E82*100</f>
        <v>74.53874539</v>
      </c>
      <c r="J82" s="15">
        <f>'Datos procesados'!$F82/'Datos procesados'!$H82*100</f>
        <v>90.75425791</v>
      </c>
      <c r="K82" s="16" t="str">
        <f t="shared" si="3"/>
        <v>mejoro</v>
      </c>
      <c r="L82" s="6"/>
      <c r="M82" s="23"/>
      <c r="N82" s="22"/>
      <c r="O82" s="22"/>
      <c r="P82" s="23"/>
      <c r="Q82" s="30"/>
      <c r="R82" s="30"/>
      <c r="S82" s="30"/>
      <c r="T82" s="34"/>
      <c r="U82" s="32"/>
      <c r="V82" s="33"/>
    </row>
    <row r="83" ht="15.75" customHeight="1">
      <c r="A83" s="12">
        <v>21004.0</v>
      </c>
      <c r="B83" s="13" t="s">
        <v>109</v>
      </c>
      <c r="C83" s="12">
        <v>238.0</v>
      </c>
      <c r="D83" s="12">
        <v>148.0</v>
      </c>
      <c r="E83" s="12">
        <f>'Datos procesados'!$C83+'Datos procesados'!$D83</f>
        <v>386</v>
      </c>
      <c r="F83" s="12">
        <v>387.0</v>
      </c>
      <c r="G83" s="12">
        <v>73.0</v>
      </c>
      <c r="H83" s="12">
        <f>'Datos procesados'!$F83+'Datos procesados'!$G83</f>
        <v>460</v>
      </c>
      <c r="I83" s="14">
        <f>'Datos procesados'!$C83/'Datos procesados'!$E83*100</f>
        <v>61.65803109</v>
      </c>
      <c r="J83" s="15">
        <f>'Datos procesados'!$F83/'Datos procesados'!$H83*100</f>
        <v>84.13043478</v>
      </c>
      <c r="K83" s="16" t="str">
        <f t="shared" si="3"/>
        <v>mejoro</v>
      </c>
      <c r="L83" s="6"/>
      <c r="M83" s="23"/>
      <c r="N83" s="22"/>
      <c r="O83" s="22"/>
      <c r="P83" s="23"/>
      <c r="Q83" s="30"/>
      <c r="R83" s="30"/>
      <c r="S83" s="30"/>
      <c r="T83" s="34"/>
      <c r="U83" s="32"/>
      <c r="V83" s="33"/>
    </row>
    <row r="84" ht="15.75" customHeight="1">
      <c r="A84" s="12">
        <v>21005.0</v>
      </c>
      <c r="B84" s="13" t="s">
        <v>110</v>
      </c>
      <c r="C84" s="12">
        <v>42.0</v>
      </c>
      <c r="D84" s="12">
        <v>66.0</v>
      </c>
      <c r="E84" s="12">
        <f>'Datos procesados'!$C84+'Datos procesados'!$D84</f>
        <v>108</v>
      </c>
      <c r="F84" s="12">
        <v>62.0</v>
      </c>
      <c r="G84" s="12">
        <v>56.0</v>
      </c>
      <c r="H84" s="12">
        <f>'Datos procesados'!$F84+'Datos procesados'!$G84</f>
        <v>118</v>
      </c>
      <c r="I84" s="14">
        <f>'Datos procesados'!$C84/'Datos procesados'!$E84*100</f>
        <v>38.88888889</v>
      </c>
      <c r="J84" s="15">
        <f>'Datos procesados'!$F84/'Datos procesados'!$H84*100</f>
        <v>52.54237288</v>
      </c>
      <c r="K84" s="16" t="str">
        <f t="shared" si="3"/>
        <v>mejoro</v>
      </c>
      <c r="L84" s="6"/>
      <c r="M84" s="23"/>
      <c r="N84" s="22"/>
      <c r="O84" s="22"/>
      <c r="P84" s="23"/>
      <c r="Q84" s="30"/>
      <c r="R84" s="30"/>
      <c r="S84" s="30"/>
      <c r="T84" s="34"/>
      <c r="U84" s="32"/>
      <c r="V84" s="33"/>
    </row>
    <row r="85" ht="15.75" customHeight="1">
      <c r="A85" s="12">
        <v>21006.0</v>
      </c>
      <c r="B85" s="13" t="s">
        <v>111</v>
      </c>
      <c r="C85" s="12">
        <v>66.0</v>
      </c>
      <c r="D85" s="12">
        <v>31.0</v>
      </c>
      <c r="E85" s="12">
        <f>'Datos procesados'!$C85+'Datos procesados'!$D85</f>
        <v>97</v>
      </c>
      <c r="F85" s="12">
        <v>110.0</v>
      </c>
      <c r="G85" s="12">
        <v>11.0</v>
      </c>
      <c r="H85" s="12">
        <f>'Datos procesados'!$F85+'Datos procesados'!$G85</f>
        <v>121</v>
      </c>
      <c r="I85" s="14">
        <f>'Datos procesados'!$C85/'Datos procesados'!$E85*100</f>
        <v>68.04123711</v>
      </c>
      <c r="J85" s="15">
        <f>'Datos procesados'!$F85/'Datos procesados'!$H85*100</f>
        <v>90.90909091</v>
      </c>
      <c r="K85" s="16" t="str">
        <f t="shared" si="3"/>
        <v>mejoro</v>
      </c>
      <c r="L85" s="6"/>
      <c r="M85" s="23"/>
      <c r="N85" s="22"/>
      <c r="O85" s="22"/>
      <c r="P85" s="23"/>
      <c r="Q85" s="30"/>
      <c r="R85" s="30"/>
      <c r="S85" s="30"/>
      <c r="T85" s="34"/>
      <c r="U85" s="32"/>
      <c r="V85" s="33"/>
    </row>
    <row r="86" ht="15.75" customHeight="1">
      <c r="A86" s="12">
        <v>21101.0</v>
      </c>
      <c r="B86" s="13" t="s">
        <v>112</v>
      </c>
      <c r="C86" s="12">
        <v>414.0</v>
      </c>
      <c r="D86" s="12">
        <v>102.0</v>
      </c>
      <c r="E86" s="12">
        <f>'Datos procesados'!$C86+'Datos procesados'!$D86</f>
        <v>516</v>
      </c>
      <c r="F86" s="12">
        <v>306.0</v>
      </c>
      <c r="G86" s="12">
        <v>17.0</v>
      </c>
      <c r="H86" s="12">
        <f>'Datos procesados'!$F86+'Datos procesados'!$G86</f>
        <v>323</v>
      </c>
      <c r="I86" s="14">
        <f>'Datos procesados'!$C86/'Datos procesados'!$E86*100</f>
        <v>80.23255814</v>
      </c>
      <c r="J86" s="15">
        <f>'Datos procesados'!$F86/'Datos procesados'!$H86*100</f>
        <v>94.73684211</v>
      </c>
      <c r="K86" s="16" t="str">
        <f t="shared" si="3"/>
        <v>mejoro</v>
      </c>
      <c r="L86" s="6"/>
      <c r="M86" s="23"/>
      <c r="N86" s="22"/>
      <c r="O86" s="22"/>
      <c r="P86" s="23"/>
      <c r="Q86" s="30"/>
      <c r="R86" s="30"/>
      <c r="S86" s="30"/>
      <c r="T86" s="34"/>
      <c r="U86" s="32"/>
      <c r="V86" s="33"/>
    </row>
    <row r="87" ht="15.75" customHeight="1">
      <c r="A87" s="12">
        <v>21102.0</v>
      </c>
      <c r="B87" s="13" t="s">
        <v>113</v>
      </c>
      <c r="C87" s="12">
        <v>313.0</v>
      </c>
      <c r="D87" s="12">
        <v>112.0</v>
      </c>
      <c r="E87" s="12">
        <f>'Datos procesados'!$C87+'Datos procesados'!$D87</f>
        <v>425</v>
      </c>
      <c r="F87" s="12">
        <v>417.0</v>
      </c>
      <c r="G87" s="12">
        <v>53.0</v>
      </c>
      <c r="H87" s="12">
        <f>'Datos procesados'!$F87+'Datos procesados'!$G87</f>
        <v>470</v>
      </c>
      <c r="I87" s="14">
        <f>'Datos procesados'!$C87/'Datos procesados'!$E87*100</f>
        <v>73.64705882</v>
      </c>
      <c r="J87" s="15">
        <f>'Datos procesados'!$F87/'Datos procesados'!$H87*100</f>
        <v>88.72340426</v>
      </c>
      <c r="K87" s="16" t="str">
        <f t="shared" si="3"/>
        <v>mejoro</v>
      </c>
      <c r="L87" s="6"/>
      <c r="M87" s="23"/>
      <c r="N87" s="22"/>
      <c r="O87" s="22"/>
      <c r="P87" s="23"/>
      <c r="Q87" s="30"/>
      <c r="R87" s="30"/>
      <c r="S87" s="30"/>
      <c r="T87" s="34"/>
      <c r="U87" s="32"/>
      <c r="V87" s="33"/>
    </row>
    <row r="88" ht="15.75" customHeight="1">
      <c r="A88" s="12">
        <v>21103.0</v>
      </c>
      <c r="B88" s="13" t="s">
        <v>114</v>
      </c>
      <c r="C88" s="12">
        <v>145.0</v>
      </c>
      <c r="D88" s="12">
        <v>15.0</v>
      </c>
      <c r="E88" s="12">
        <f>'Datos procesados'!$C88+'Datos procesados'!$D88</f>
        <v>160</v>
      </c>
      <c r="F88" s="12">
        <v>135.0</v>
      </c>
      <c r="G88" s="12">
        <v>5.0</v>
      </c>
      <c r="H88" s="12">
        <f>'Datos procesados'!$F88+'Datos procesados'!$G88</f>
        <v>140</v>
      </c>
      <c r="I88" s="14">
        <f>'Datos procesados'!$C88/'Datos procesados'!$E88*100</f>
        <v>90.625</v>
      </c>
      <c r="J88" s="15">
        <f>'Datos procesados'!$F88/'Datos procesados'!$H88*100</f>
        <v>96.42857143</v>
      </c>
      <c r="K88" s="16" t="str">
        <f t="shared" si="3"/>
        <v>mejoro</v>
      </c>
      <c r="L88" s="6"/>
      <c r="M88" s="23"/>
      <c r="N88" s="22"/>
      <c r="O88" s="22"/>
      <c r="P88" s="23"/>
      <c r="Q88" s="30"/>
      <c r="R88" s="30"/>
      <c r="S88" s="30"/>
      <c r="T88" s="34"/>
      <c r="U88" s="32"/>
      <c r="V88" s="33"/>
    </row>
    <row r="89" ht="15.75" customHeight="1">
      <c r="A89" s="12">
        <v>21104.0</v>
      </c>
      <c r="B89" s="13" t="s">
        <v>115</v>
      </c>
      <c r="C89" s="12">
        <v>481.0</v>
      </c>
      <c r="D89" s="12">
        <v>144.0</v>
      </c>
      <c r="E89" s="12">
        <f>'Datos procesados'!$C89+'Datos procesados'!$D89</f>
        <v>625</v>
      </c>
      <c r="F89" s="12">
        <v>559.0</v>
      </c>
      <c r="G89" s="12">
        <v>60.0</v>
      </c>
      <c r="H89" s="12">
        <f>'Datos procesados'!$F89+'Datos procesados'!$G89</f>
        <v>619</v>
      </c>
      <c r="I89" s="14">
        <f>'Datos procesados'!$C89/'Datos procesados'!$E89*100</f>
        <v>76.96</v>
      </c>
      <c r="J89" s="15">
        <f>'Datos procesados'!$F89/'Datos procesados'!$H89*100</f>
        <v>90.30694669</v>
      </c>
      <c r="K89" s="16" t="str">
        <f t="shared" si="3"/>
        <v>mejoro</v>
      </c>
      <c r="L89" s="6"/>
      <c r="M89" s="23"/>
      <c r="N89" s="22"/>
      <c r="O89" s="22"/>
      <c r="P89" s="23"/>
      <c r="Q89" s="30"/>
      <c r="R89" s="30"/>
      <c r="S89" s="30"/>
      <c r="T89" s="34"/>
      <c r="U89" s="32"/>
      <c r="V89" s="33"/>
    </row>
    <row r="90" ht="15.75" customHeight="1">
      <c r="A90" s="12">
        <v>21105.0</v>
      </c>
      <c r="B90" s="13" t="s">
        <v>116</v>
      </c>
      <c r="C90" s="12">
        <v>798.0</v>
      </c>
      <c r="D90" s="12">
        <v>586.0</v>
      </c>
      <c r="E90" s="12">
        <f>'Datos procesados'!$C90+'Datos procesados'!$D90</f>
        <v>1384</v>
      </c>
      <c r="F90" s="12">
        <v>947.0</v>
      </c>
      <c r="G90" s="12">
        <v>168.0</v>
      </c>
      <c r="H90" s="12">
        <f>'Datos procesados'!$F90+'Datos procesados'!$G90</f>
        <v>1115</v>
      </c>
      <c r="I90" s="14">
        <f>'Datos procesados'!$C90/'Datos procesados'!$E90*100</f>
        <v>57.65895954</v>
      </c>
      <c r="J90" s="15">
        <f>'Datos procesados'!$F90/'Datos procesados'!$H90*100</f>
        <v>84.93273543</v>
      </c>
      <c r="K90" s="16" t="str">
        <f t="shared" si="3"/>
        <v>mejoro</v>
      </c>
      <c r="L90" s="6"/>
      <c r="M90" s="23"/>
      <c r="N90" s="22"/>
      <c r="O90" s="22"/>
      <c r="P90" s="23"/>
      <c r="Q90" s="30"/>
      <c r="R90" s="30"/>
      <c r="S90" s="30"/>
      <c r="T90" s="34"/>
      <c r="U90" s="32"/>
      <c r="V90" s="33"/>
    </row>
    <row r="91" ht="15.75" customHeight="1">
      <c r="A91" s="12">
        <v>21201.0</v>
      </c>
      <c r="B91" s="13" t="s">
        <v>117</v>
      </c>
      <c r="C91" s="12">
        <v>266.0</v>
      </c>
      <c r="D91" s="12">
        <v>362.0</v>
      </c>
      <c r="E91" s="12">
        <f>'Datos procesados'!$C91+'Datos procesados'!$D91</f>
        <v>628</v>
      </c>
      <c r="F91" s="12">
        <v>753.0</v>
      </c>
      <c r="G91" s="12">
        <v>189.0</v>
      </c>
      <c r="H91" s="12">
        <f>'Datos procesados'!$F91+'Datos procesados'!$G91</f>
        <v>942</v>
      </c>
      <c r="I91" s="14">
        <f>'Datos procesados'!$C91/'Datos procesados'!$E91*100</f>
        <v>42.3566879</v>
      </c>
      <c r="J91" s="15">
        <f>'Datos procesados'!$F91/'Datos procesados'!$H91*100</f>
        <v>79.93630573</v>
      </c>
      <c r="K91" s="16" t="str">
        <f t="shared" si="3"/>
        <v>mejoro</v>
      </c>
      <c r="L91" s="6"/>
      <c r="M91" s="23"/>
      <c r="N91" s="22"/>
      <c r="O91" s="22"/>
      <c r="P91" s="23"/>
      <c r="Q91" s="30"/>
      <c r="R91" s="30"/>
      <c r="S91" s="30"/>
      <c r="T91" s="34"/>
      <c r="U91" s="32"/>
      <c r="V91" s="33"/>
    </row>
    <row r="92" ht="15.75" customHeight="1">
      <c r="A92" s="12">
        <v>21202.0</v>
      </c>
      <c r="B92" s="13" t="s">
        <v>118</v>
      </c>
      <c r="C92" s="12">
        <v>250.0</v>
      </c>
      <c r="D92" s="12">
        <v>218.0</v>
      </c>
      <c r="E92" s="12">
        <f>'Datos procesados'!$C92+'Datos procesados'!$D92</f>
        <v>468</v>
      </c>
      <c r="F92" s="12">
        <v>602.0</v>
      </c>
      <c r="G92" s="12">
        <v>113.0</v>
      </c>
      <c r="H92" s="12">
        <f>'Datos procesados'!$F92+'Datos procesados'!$G92</f>
        <v>715</v>
      </c>
      <c r="I92" s="14">
        <f>'Datos procesados'!$C92/'Datos procesados'!$E92*100</f>
        <v>53.41880342</v>
      </c>
      <c r="J92" s="15">
        <f>'Datos procesados'!$F92/'Datos procesados'!$H92*100</f>
        <v>84.1958042</v>
      </c>
      <c r="K92" s="16" t="str">
        <f t="shared" si="3"/>
        <v>mejoro</v>
      </c>
      <c r="L92" s="6"/>
      <c r="M92" s="23"/>
      <c r="N92" s="22"/>
      <c r="O92" s="22"/>
      <c r="P92" s="23"/>
      <c r="Q92" s="30"/>
      <c r="R92" s="30"/>
      <c r="S92" s="30"/>
      <c r="T92" s="34"/>
      <c r="U92" s="32"/>
      <c r="V92" s="33"/>
    </row>
    <row r="93" ht="15.75" customHeight="1">
      <c r="A93" s="12">
        <v>21203.0</v>
      </c>
      <c r="B93" s="13" t="s">
        <v>119</v>
      </c>
      <c r="C93" s="12">
        <v>160.0</v>
      </c>
      <c r="D93" s="12">
        <v>136.0</v>
      </c>
      <c r="E93" s="12">
        <f>'Datos procesados'!$C93+'Datos procesados'!$D93</f>
        <v>296</v>
      </c>
      <c r="F93" s="12">
        <v>302.0</v>
      </c>
      <c r="G93" s="12">
        <v>87.0</v>
      </c>
      <c r="H93" s="12">
        <f>'Datos procesados'!$F93+'Datos procesados'!$G93</f>
        <v>389</v>
      </c>
      <c r="I93" s="14">
        <f>'Datos procesados'!$C93/'Datos procesados'!$E93*100</f>
        <v>54.05405405</v>
      </c>
      <c r="J93" s="15">
        <f>'Datos procesados'!$F93/'Datos procesados'!$H93*100</f>
        <v>77.63496144</v>
      </c>
      <c r="K93" s="16" t="str">
        <f t="shared" si="3"/>
        <v>mejoro</v>
      </c>
      <c r="L93" s="6"/>
      <c r="M93" s="23"/>
      <c r="N93" s="22"/>
      <c r="O93" s="22"/>
      <c r="P93" s="23"/>
      <c r="Q93" s="30"/>
      <c r="R93" s="30"/>
      <c r="S93" s="30"/>
      <c r="T93" s="34"/>
      <c r="U93" s="32"/>
      <c r="V93" s="33"/>
    </row>
    <row r="94" ht="15.75" customHeight="1">
      <c r="A94" s="12">
        <v>21204.0</v>
      </c>
      <c r="B94" s="13" t="s">
        <v>120</v>
      </c>
      <c r="C94" s="12">
        <v>38.0</v>
      </c>
      <c r="D94" s="12">
        <v>74.0</v>
      </c>
      <c r="E94" s="12">
        <f>'Datos procesados'!$C94+'Datos procesados'!$D94</f>
        <v>112</v>
      </c>
      <c r="F94" s="12">
        <v>67.0</v>
      </c>
      <c r="G94" s="12">
        <v>29.0</v>
      </c>
      <c r="H94" s="12">
        <f>'Datos procesados'!$F94+'Datos procesados'!$G94</f>
        <v>96</v>
      </c>
      <c r="I94" s="14">
        <f>'Datos procesados'!$C94/'Datos procesados'!$E94*100</f>
        <v>33.92857143</v>
      </c>
      <c r="J94" s="15">
        <f>'Datos procesados'!$F94/'Datos procesados'!$H94*100</f>
        <v>69.79166667</v>
      </c>
      <c r="K94" s="16" t="str">
        <f t="shared" si="3"/>
        <v>mejoro</v>
      </c>
      <c r="L94" s="6"/>
      <c r="M94" s="23"/>
      <c r="N94" s="22"/>
      <c r="O94" s="22"/>
      <c r="P94" s="23"/>
      <c r="Q94" s="30"/>
      <c r="R94" s="30"/>
      <c r="S94" s="30"/>
      <c r="T94" s="34"/>
      <c r="U94" s="32"/>
      <c r="V94" s="33"/>
    </row>
    <row r="95" ht="15.75" customHeight="1">
      <c r="A95" s="12">
        <v>21301.0</v>
      </c>
      <c r="B95" s="13" t="s">
        <v>121</v>
      </c>
      <c r="C95" s="12">
        <v>327.0</v>
      </c>
      <c r="D95" s="12">
        <v>233.0</v>
      </c>
      <c r="E95" s="12">
        <f>'Datos procesados'!$C95+'Datos procesados'!$D95</f>
        <v>560</v>
      </c>
      <c r="F95" s="12">
        <v>492.0</v>
      </c>
      <c r="G95" s="12">
        <v>121.0</v>
      </c>
      <c r="H95" s="12">
        <f>'Datos procesados'!$F95+'Datos procesados'!$G95</f>
        <v>613</v>
      </c>
      <c r="I95" s="14">
        <f>'Datos procesados'!$C95/'Datos procesados'!$E95*100</f>
        <v>58.39285714</v>
      </c>
      <c r="J95" s="15">
        <f>'Datos procesados'!$F95/'Datos procesados'!$H95*100</f>
        <v>80.26101142</v>
      </c>
      <c r="K95" s="16" t="str">
        <f t="shared" si="3"/>
        <v>mejoro</v>
      </c>
      <c r="L95" s="6"/>
      <c r="M95" s="23"/>
      <c r="N95" s="22"/>
      <c r="O95" s="22"/>
      <c r="P95" s="23"/>
      <c r="Q95" s="30"/>
      <c r="R95" s="30"/>
      <c r="S95" s="30"/>
      <c r="T95" s="34"/>
      <c r="U95" s="32"/>
      <c r="V95" s="33"/>
    </row>
    <row r="96" ht="15.75" customHeight="1">
      <c r="A96" s="12">
        <v>21302.0</v>
      </c>
      <c r="B96" s="13" t="s">
        <v>122</v>
      </c>
      <c r="C96" s="12">
        <v>68.0</v>
      </c>
      <c r="D96" s="12">
        <v>53.0</v>
      </c>
      <c r="E96" s="12">
        <f>'Datos procesados'!$C96+'Datos procesados'!$D96</f>
        <v>121</v>
      </c>
      <c r="F96" s="12">
        <v>98.0</v>
      </c>
      <c r="G96" s="12">
        <v>25.0</v>
      </c>
      <c r="H96" s="12">
        <f>'Datos procesados'!$F96+'Datos procesados'!$G96</f>
        <v>123</v>
      </c>
      <c r="I96" s="14">
        <f>'Datos procesados'!$C96/'Datos procesados'!$E96*100</f>
        <v>56.19834711</v>
      </c>
      <c r="J96" s="15">
        <f>'Datos procesados'!$F96/'Datos procesados'!$H96*100</f>
        <v>79.67479675</v>
      </c>
      <c r="K96" s="16" t="str">
        <f t="shared" si="3"/>
        <v>mejoro</v>
      </c>
      <c r="L96" s="6"/>
      <c r="M96" s="23"/>
      <c r="N96" s="22"/>
      <c r="O96" s="22"/>
      <c r="P96" s="23"/>
      <c r="Q96" s="30"/>
      <c r="R96" s="30"/>
      <c r="S96" s="30"/>
      <c r="T96" s="34"/>
      <c r="U96" s="32"/>
      <c r="V96" s="33"/>
    </row>
    <row r="97" ht="15.75" customHeight="1">
      <c r="A97" s="12">
        <v>21303.0</v>
      </c>
      <c r="B97" s="13" t="s">
        <v>123</v>
      </c>
      <c r="C97" s="12">
        <v>67.0</v>
      </c>
      <c r="D97" s="12">
        <v>78.0</v>
      </c>
      <c r="E97" s="12">
        <f>'Datos procesados'!$C97+'Datos procesados'!$D97</f>
        <v>145</v>
      </c>
      <c r="F97" s="12">
        <v>152.0</v>
      </c>
      <c r="G97" s="12">
        <v>55.0</v>
      </c>
      <c r="H97" s="12">
        <f>'Datos procesados'!$F97+'Datos procesados'!$G97</f>
        <v>207</v>
      </c>
      <c r="I97" s="14">
        <f>'Datos procesados'!$C97/'Datos procesados'!$E97*100</f>
        <v>46.20689655</v>
      </c>
      <c r="J97" s="15">
        <f>'Datos procesados'!$F97/'Datos procesados'!$H97*100</f>
        <v>73.42995169</v>
      </c>
      <c r="K97" s="16" t="str">
        <f t="shared" si="3"/>
        <v>mejoro</v>
      </c>
      <c r="L97" s="6"/>
      <c r="M97" s="23"/>
      <c r="N97" s="22"/>
      <c r="O97" s="22"/>
      <c r="P97" s="23"/>
      <c r="Q97" s="30"/>
      <c r="R97" s="30"/>
      <c r="S97" s="30"/>
      <c r="T97" s="34"/>
      <c r="U97" s="32"/>
      <c r="V97" s="33"/>
    </row>
    <row r="98" ht="15.75" customHeight="1">
      <c r="A98" s="12">
        <v>21304.0</v>
      </c>
      <c r="B98" s="13" t="s">
        <v>124</v>
      </c>
      <c r="C98" s="12">
        <v>101.0</v>
      </c>
      <c r="D98" s="12">
        <v>105.0</v>
      </c>
      <c r="E98" s="12">
        <f>'Datos procesados'!$C98+'Datos procesados'!$D98</f>
        <v>206</v>
      </c>
      <c r="F98" s="12">
        <v>218.0</v>
      </c>
      <c r="G98" s="12">
        <v>39.0</v>
      </c>
      <c r="H98" s="12">
        <f>'Datos procesados'!$F98+'Datos procesados'!$G98</f>
        <v>257</v>
      </c>
      <c r="I98" s="14">
        <f>'Datos procesados'!$C98/'Datos procesados'!$E98*100</f>
        <v>49.02912621</v>
      </c>
      <c r="J98" s="15">
        <f>'Datos procesados'!$F98/'Datos procesados'!$H98*100</f>
        <v>84.82490272</v>
      </c>
      <c r="K98" s="16" t="str">
        <f t="shared" si="3"/>
        <v>mejoro</v>
      </c>
      <c r="L98" s="6"/>
      <c r="M98" s="23"/>
      <c r="N98" s="22"/>
      <c r="O98" s="22"/>
      <c r="P98" s="23"/>
      <c r="Q98" s="30"/>
      <c r="R98" s="30"/>
      <c r="S98" s="30"/>
      <c r="T98" s="34"/>
      <c r="U98" s="32"/>
      <c r="V98" s="33"/>
    </row>
    <row r="99" ht="15.75" customHeight="1">
      <c r="A99" s="12">
        <v>21305.0</v>
      </c>
      <c r="B99" s="13" t="s">
        <v>125</v>
      </c>
      <c r="C99" s="12">
        <v>327.0</v>
      </c>
      <c r="D99" s="12">
        <v>132.0</v>
      </c>
      <c r="E99" s="12">
        <f>'Datos procesados'!$C99+'Datos procesados'!$D99</f>
        <v>459</v>
      </c>
      <c r="F99" s="12">
        <v>402.0</v>
      </c>
      <c r="G99" s="12">
        <v>69.0</v>
      </c>
      <c r="H99" s="12">
        <f>'Datos procesados'!$F99+'Datos procesados'!$G99</f>
        <v>471</v>
      </c>
      <c r="I99" s="14">
        <f>'Datos procesados'!$C99/'Datos procesados'!$E99*100</f>
        <v>71.24183007</v>
      </c>
      <c r="J99" s="15">
        <f>'Datos procesados'!$F99/'Datos procesados'!$H99*100</f>
        <v>85.35031847</v>
      </c>
      <c r="K99" s="16" t="str">
        <f t="shared" si="3"/>
        <v>mejoro</v>
      </c>
      <c r="L99" s="6"/>
      <c r="M99" s="23"/>
      <c r="N99" s="22"/>
      <c r="O99" s="22"/>
      <c r="P99" s="23"/>
      <c r="Q99" s="30"/>
      <c r="R99" s="30"/>
      <c r="S99" s="30"/>
      <c r="T99" s="34"/>
      <c r="U99" s="32"/>
      <c r="V99" s="33"/>
    </row>
    <row r="100" ht="15.75" customHeight="1">
      <c r="A100" s="12">
        <v>21306.0</v>
      </c>
      <c r="B100" s="13" t="s">
        <v>126</v>
      </c>
      <c r="C100" s="12">
        <v>108.0</v>
      </c>
      <c r="D100" s="12">
        <v>115.0</v>
      </c>
      <c r="E100" s="12">
        <f>'Datos procesados'!$C100+'Datos procesados'!$D100</f>
        <v>223</v>
      </c>
      <c r="F100" s="12">
        <v>253.0</v>
      </c>
      <c r="G100" s="12">
        <v>38.0</v>
      </c>
      <c r="H100" s="12">
        <f>'Datos procesados'!$F100+'Datos procesados'!$G100</f>
        <v>291</v>
      </c>
      <c r="I100" s="14">
        <f>'Datos procesados'!$C100/'Datos procesados'!$E100*100</f>
        <v>48.43049327</v>
      </c>
      <c r="J100" s="15">
        <f>'Datos procesados'!$F100/'Datos procesados'!$H100*100</f>
        <v>86.94158076</v>
      </c>
      <c r="K100" s="16" t="str">
        <f t="shared" si="3"/>
        <v>mejoro</v>
      </c>
      <c r="L100" s="6"/>
      <c r="M100" s="23"/>
      <c r="N100" s="22"/>
      <c r="O100" s="22"/>
      <c r="P100" s="23"/>
      <c r="Q100" s="30"/>
      <c r="R100" s="30"/>
      <c r="S100" s="30"/>
      <c r="T100" s="34"/>
      <c r="U100" s="32"/>
      <c r="V100" s="33"/>
    </row>
    <row r="101" ht="15.75" customHeight="1">
      <c r="A101" s="12">
        <v>21307.0</v>
      </c>
      <c r="B101" s="13" t="s">
        <v>127</v>
      </c>
      <c r="C101" s="12">
        <v>70.0</v>
      </c>
      <c r="D101" s="12">
        <v>43.0</v>
      </c>
      <c r="E101" s="12">
        <f>'Datos procesados'!$C101+'Datos procesados'!$D101</f>
        <v>113</v>
      </c>
      <c r="F101" s="12">
        <v>89.0</v>
      </c>
      <c r="G101" s="12">
        <v>8.0</v>
      </c>
      <c r="H101" s="12">
        <f>'Datos procesados'!$F101+'Datos procesados'!$G101</f>
        <v>97</v>
      </c>
      <c r="I101" s="14">
        <f>'Datos procesados'!$C101/'Datos procesados'!$E101*100</f>
        <v>61.94690265</v>
      </c>
      <c r="J101" s="15">
        <f>'Datos procesados'!$F101/'Datos procesados'!$H101*100</f>
        <v>91.75257732</v>
      </c>
      <c r="K101" s="16" t="str">
        <f t="shared" si="3"/>
        <v>mejoro</v>
      </c>
      <c r="L101" s="6"/>
      <c r="M101" s="23"/>
      <c r="N101" s="22"/>
      <c r="O101" s="22"/>
      <c r="P101" s="23"/>
      <c r="Q101" s="30"/>
      <c r="R101" s="30"/>
      <c r="S101" s="30"/>
      <c r="T101" s="34"/>
      <c r="U101" s="32"/>
      <c r="V101" s="33"/>
    </row>
    <row r="102" ht="15.75" customHeight="1">
      <c r="A102" s="12">
        <v>21401.0</v>
      </c>
      <c r="B102" s="13" t="s">
        <v>128</v>
      </c>
      <c r="C102" s="12">
        <v>421.0</v>
      </c>
      <c r="D102" s="12">
        <v>101.0</v>
      </c>
      <c r="E102" s="12">
        <f>'Datos procesados'!$C102+'Datos procesados'!$D102</f>
        <v>522</v>
      </c>
      <c r="F102" s="12">
        <v>543.0</v>
      </c>
      <c r="G102" s="12">
        <v>48.0</v>
      </c>
      <c r="H102" s="12">
        <f>'Datos procesados'!$F102+'Datos procesados'!$G102</f>
        <v>591</v>
      </c>
      <c r="I102" s="14">
        <f>'Datos procesados'!$C102/'Datos procesados'!$E102*100</f>
        <v>80.651341</v>
      </c>
      <c r="J102" s="15">
        <f>'Datos procesados'!$F102/'Datos procesados'!$H102*100</f>
        <v>91.87817259</v>
      </c>
      <c r="K102" s="16" t="str">
        <f t="shared" si="3"/>
        <v>mejoro</v>
      </c>
      <c r="L102" s="6"/>
      <c r="M102" s="23"/>
      <c r="N102" s="22"/>
      <c r="O102" s="22"/>
      <c r="P102" s="23"/>
      <c r="Q102" s="30"/>
      <c r="R102" s="30"/>
      <c r="S102" s="30"/>
      <c r="T102" s="34"/>
      <c r="U102" s="32"/>
      <c r="V102" s="33"/>
    </row>
    <row r="103" ht="15.75" customHeight="1">
      <c r="A103" s="12">
        <v>21402.0</v>
      </c>
      <c r="B103" s="13" t="s">
        <v>129</v>
      </c>
      <c r="C103" s="12">
        <v>414.0</v>
      </c>
      <c r="D103" s="12">
        <v>83.0</v>
      </c>
      <c r="E103" s="12">
        <f>'Datos procesados'!$C103+'Datos procesados'!$D103</f>
        <v>497</v>
      </c>
      <c r="F103" s="12">
        <v>432.0</v>
      </c>
      <c r="G103" s="12">
        <v>53.0</v>
      </c>
      <c r="H103" s="12">
        <f>'Datos procesados'!$F103+'Datos procesados'!$G103</f>
        <v>485</v>
      </c>
      <c r="I103" s="14">
        <f>'Datos procesados'!$C103/'Datos procesados'!$E103*100</f>
        <v>83.29979879</v>
      </c>
      <c r="J103" s="15">
        <f>'Datos procesados'!$F103/'Datos procesados'!$H103*100</f>
        <v>89.07216495</v>
      </c>
      <c r="K103" s="16" t="str">
        <f t="shared" si="3"/>
        <v>mejoro</v>
      </c>
      <c r="L103" s="6"/>
      <c r="M103" s="23"/>
      <c r="N103" s="22"/>
      <c r="O103" s="22"/>
      <c r="P103" s="23"/>
      <c r="Q103" s="30"/>
      <c r="R103" s="30"/>
      <c r="S103" s="30"/>
      <c r="T103" s="34"/>
      <c r="U103" s="32"/>
      <c r="V103" s="33"/>
    </row>
    <row r="104" ht="15.75" customHeight="1">
      <c r="A104" s="12">
        <v>21501.0</v>
      </c>
      <c r="B104" s="13" t="s">
        <v>130</v>
      </c>
      <c r="C104" s="12">
        <v>151.0</v>
      </c>
      <c r="D104" s="12">
        <v>47.0</v>
      </c>
      <c r="E104" s="12">
        <f>'Datos procesados'!$C104+'Datos procesados'!$D104</f>
        <v>198</v>
      </c>
      <c r="F104" s="12">
        <v>203.0</v>
      </c>
      <c r="G104" s="12">
        <v>28.0</v>
      </c>
      <c r="H104" s="12">
        <f>'Datos procesados'!$F104+'Datos procesados'!$G104</f>
        <v>231</v>
      </c>
      <c r="I104" s="14">
        <f>'Datos procesados'!$C104/'Datos procesados'!$E104*100</f>
        <v>76.26262626</v>
      </c>
      <c r="J104" s="15">
        <f>'Datos procesados'!$F104/'Datos procesados'!$H104*100</f>
        <v>87.87878788</v>
      </c>
      <c r="K104" s="16" t="str">
        <f t="shared" si="3"/>
        <v>mejoro</v>
      </c>
      <c r="L104" s="6"/>
      <c r="M104" s="23"/>
      <c r="N104" s="22"/>
      <c r="O104" s="22"/>
      <c r="P104" s="23"/>
      <c r="Q104" s="30"/>
      <c r="R104" s="30"/>
      <c r="S104" s="30"/>
      <c r="T104" s="34"/>
      <c r="U104" s="32"/>
      <c r="V104" s="33"/>
    </row>
    <row r="105" ht="15.75" customHeight="1">
      <c r="A105" s="12">
        <v>21502.0</v>
      </c>
      <c r="B105" s="13" t="s">
        <v>131</v>
      </c>
      <c r="C105" s="12">
        <v>176.0</v>
      </c>
      <c r="D105" s="12">
        <v>33.0</v>
      </c>
      <c r="E105" s="12">
        <f>'Datos procesados'!$C105+'Datos procesados'!$D105</f>
        <v>209</v>
      </c>
      <c r="F105" s="12">
        <v>180.0</v>
      </c>
      <c r="G105" s="12">
        <v>10.0</v>
      </c>
      <c r="H105" s="12">
        <f>'Datos procesados'!$F105+'Datos procesados'!$G105</f>
        <v>190</v>
      </c>
      <c r="I105" s="14">
        <f>'Datos procesados'!$C105/'Datos procesados'!$E105*100</f>
        <v>84.21052632</v>
      </c>
      <c r="J105" s="15">
        <f>'Datos procesados'!$F105/'Datos procesados'!$H105*100</f>
        <v>94.73684211</v>
      </c>
      <c r="K105" s="16" t="str">
        <f t="shared" si="3"/>
        <v>mejoro</v>
      </c>
      <c r="L105" s="6"/>
      <c r="M105" s="23"/>
      <c r="N105" s="22"/>
      <c r="O105" s="22"/>
      <c r="P105" s="23"/>
      <c r="Q105" s="30"/>
      <c r="R105" s="30"/>
      <c r="S105" s="30"/>
      <c r="T105" s="34"/>
      <c r="U105" s="32"/>
      <c r="V105" s="33"/>
    </row>
    <row r="106" ht="15.75" customHeight="1">
      <c r="A106" s="12">
        <v>21601.0</v>
      </c>
      <c r="B106" s="13" t="s">
        <v>132</v>
      </c>
      <c r="C106" s="12">
        <v>79.0</v>
      </c>
      <c r="D106" s="12">
        <v>158.0</v>
      </c>
      <c r="E106" s="12">
        <f>'Datos procesados'!$C106+'Datos procesados'!$D106</f>
        <v>237</v>
      </c>
      <c r="F106" s="12">
        <v>234.0</v>
      </c>
      <c r="G106" s="12">
        <v>132.0</v>
      </c>
      <c r="H106" s="12">
        <f>'Datos procesados'!$F106+'Datos procesados'!$G106</f>
        <v>366</v>
      </c>
      <c r="I106" s="14">
        <f>'Datos procesados'!$C106/'Datos procesados'!$E106*100</f>
        <v>33.33333333</v>
      </c>
      <c r="J106" s="15">
        <f>'Datos procesados'!$F106/'Datos procesados'!$H106*100</f>
        <v>63.93442623</v>
      </c>
      <c r="K106" s="16" t="str">
        <f t="shared" si="3"/>
        <v>mejoro</v>
      </c>
      <c r="L106" s="6"/>
      <c r="M106" s="23"/>
      <c r="N106" s="22"/>
      <c r="O106" s="22"/>
      <c r="P106" s="23"/>
      <c r="Q106" s="30"/>
      <c r="R106" s="30"/>
      <c r="S106" s="30"/>
      <c r="T106" s="34"/>
      <c r="U106" s="32"/>
      <c r="V106" s="33"/>
    </row>
    <row r="107" ht="15.75" customHeight="1">
      <c r="A107" s="12">
        <v>21602.0</v>
      </c>
      <c r="B107" s="13" t="s">
        <v>133</v>
      </c>
      <c r="C107" s="12">
        <v>9.0</v>
      </c>
      <c r="D107" s="12">
        <v>65.0</v>
      </c>
      <c r="E107" s="12">
        <f>'Datos procesados'!$C107+'Datos procesados'!$D107</f>
        <v>74</v>
      </c>
      <c r="F107" s="12">
        <v>54.0</v>
      </c>
      <c r="G107" s="12">
        <v>62.0</v>
      </c>
      <c r="H107" s="12">
        <f>'Datos procesados'!$F107+'Datos procesados'!$G107</f>
        <v>116</v>
      </c>
      <c r="I107" s="14">
        <f>'Datos procesados'!$C107/'Datos procesados'!$E107*100</f>
        <v>12.16216216</v>
      </c>
      <c r="J107" s="15">
        <f>'Datos procesados'!$F107/'Datos procesados'!$H107*100</f>
        <v>46.55172414</v>
      </c>
      <c r="K107" s="16" t="str">
        <f t="shared" si="3"/>
        <v>mejoro</v>
      </c>
      <c r="L107" s="6"/>
      <c r="M107" s="23"/>
      <c r="N107" s="22"/>
      <c r="O107" s="22"/>
      <c r="P107" s="23"/>
      <c r="Q107" s="30"/>
      <c r="R107" s="30"/>
      <c r="S107" s="30"/>
      <c r="T107" s="34"/>
      <c r="U107" s="32"/>
      <c r="V107" s="33"/>
    </row>
    <row r="108" ht="15.75" customHeight="1">
      <c r="A108" s="12">
        <v>21701.0</v>
      </c>
      <c r="B108" s="13" t="s">
        <v>134</v>
      </c>
      <c r="C108" s="12">
        <v>214.0</v>
      </c>
      <c r="D108" s="12">
        <v>71.0</v>
      </c>
      <c r="E108" s="12">
        <f>'Datos procesados'!$C108+'Datos procesados'!$D108</f>
        <v>285</v>
      </c>
      <c r="F108" s="12">
        <v>236.0</v>
      </c>
      <c r="G108" s="12">
        <v>25.0</v>
      </c>
      <c r="H108" s="12">
        <f>'Datos procesados'!$F108+'Datos procesados'!$G108</f>
        <v>261</v>
      </c>
      <c r="I108" s="14">
        <f>'Datos procesados'!$C108/'Datos procesados'!$E108*100</f>
        <v>75.0877193</v>
      </c>
      <c r="J108" s="15">
        <f>'Datos procesados'!$F108/'Datos procesados'!$H108*100</f>
        <v>90.42145594</v>
      </c>
      <c r="K108" s="16" t="str">
        <f t="shared" si="3"/>
        <v>mejoro</v>
      </c>
      <c r="L108" s="6"/>
      <c r="M108" s="23"/>
      <c r="N108" s="22"/>
      <c r="O108" s="22"/>
      <c r="P108" s="23"/>
      <c r="Q108" s="30"/>
      <c r="R108" s="30"/>
      <c r="S108" s="30"/>
      <c r="T108" s="34"/>
      <c r="U108" s="32"/>
      <c r="V108" s="33"/>
    </row>
    <row r="109" ht="15.75" customHeight="1">
      <c r="A109" s="12">
        <v>21702.0</v>
      </c>
      <c r="B109" s="13" t="s">
        <v>135</v>
      </c>
      <c r="C109" s="12">
        <v>47.0</v>
      </c>
      <c r="D109" s="12">
        <v>29.0</v>
      </c>
      <c r="E109" s="12">
        <f>'Datos procesados'!$C109+'Datos procesados'!$D109</f>
        <v>76</v>
      </c>
      <c r="F109" s="12">
        <v>118.0</v>
      </c>
      <c r="G109" s="12">
        <v>12.0</v>
      </c>
      <c r="H109" s="12">
        <f>'Datos procesados'!$F109+'Datos procesados'!$G109</f>
        <v>130</v>
      </c>
      <c r="I109" s="14">
        <f>'Datos procesados'!$C109/'Datos procesados'!$E109*100</f>
        <v>61.84210526</v>
      </c>
      <c r="J109" s="15">
        <f>'Datos procesados'!$F109/'Datos procesados'!$H109*100</f>
        <v>90.76923077</v>
      </c>
      <c r="K109" s="16" t="str">
        <f t="shared" si="3"/>
        <v>mejoro</v>
      </c>
      <c r="L109" s="6"/>
      <c r="M109" s="23"/>
      <c r="N109" s="22"/>
      <c r="O109" s="22"/>
      <c r="P109" s="23"/>
      <c r="Q109" s="30"/>
      <c r="R109" s="30"/>
      <c r="S109" s="30"/>
      <c r="T109" s="34"/>
      <c r="U109" s="32"/>
      <c r="V109" s="33"/>
    </row>
    <row r="110" ht="15.75" customHeight="1">
      <c r="A110" s="12">
        <v>21703.0</v>
      </c>
      <c r="B110" s="13" t="s">
        <v>136</v>
      </c>
      <c r="C110" s="12">
        <v>27.0</v>
      </c>
      <c r="D110" s="12">
        <v>54.0</v>
      </c>
      <c r="E110" s="12">
        <f>'Datos procesados'!$C110+'Datos procesados'!$D110</f>
        <v>81</v>
      </c>
      <c r="F110" s="12">
        <v>53.0</v>
      </c>
      <c r="G110" s="12">
        <v>16.0</v>
      </c>
      <c r="H110" s="12">
        <f>'Datos procesados'!$F110+'Datos procesados'!$G110</f>
        <v>69</v>
      </c>
      <c r="I110" s="14">
        <f>'Datos procesados'!$C110/'Datos procesados'!$E110*100</f>
        <v>33.33333333</v>
      </c>
      <c r="J110" s="15">
        <f>'Datos procesados'!$F110/'Datos procesados'!$H110*100</f>
        <v>76.8115942</v>
      </c>
      <c r="K110" s="16" t="str">
        <f t="shared" si="3"/>
        <v>mejoro</v>
      </c>
      <c r="L110" s="6"/>
      <c r="M110" s="23"/>
      <c r="N110" s="22"/>
      <c r="O110" s="22"/>
      <c r="P110" s="23"/>
      <c r="Q110" s="30"/>
      <c r="R110" s="30"/>
      <c r="S110" s="30"/>
      <c r="T110" s="34"/>
      <c r="U110" s="32"/>
      <c r="V110" s="33"/>
    </row>
    <row r="111" ht="15.75" customHeight="1">
      <c r="A111" s="12">
        <v>21801.0</v>
      </c>
      <c r="B111" s="13" t="s">
        <v>137</v>
      </c>
      <c r="C111" s="12">
        <v>81.0</v>
      </c>
      <c r="D111" s="12">
        <v>81.0</v>
      </c>
      <c r="E111" s="12">
        <f>'Datos procesados'!$C111+'Datos procesados'!$D111</f>
        <v>162</v>
      </c>
      <c r="F111" s="12">
        <v>93.0</v>
      </c>
      <c r="G111" s="12">
        <v>22.0</v>
      </c>
      <c r="H111" s="12">
        <f>'Datos procesados'!$F111+'Datos procesados'!$G111</f>
        <v>115</v>
      </c>
      <c r="I111" s="14">
        <f>'Datos procesados'!$C111/'Datos procesados'!$E111*100</f>
        <v>50</v>
      </c>
      <c r="J111" s="15">
        <f>'Datos procesados'!$F111/'Datos procesados'!$H111*100</f>
        <v>80.86956522</v>
      </c>
      <c r="K111" s="16" t="str">
        <f t="shared" si="3"/>
        <v>mejoro</v>
      </c>
      <c r="L111" s="6"/>
      <c r="M111" s="23"/>
      <c r="N111" s="22"/>
      <c r="O111" s="22"/>
      <c r="P111" s="23"/>
      <c r="Q111" s="30"/>
      <c r="R111" s="30"/>
      <c r="S111" s="30"/>
      <c r="T111" s="34"/>
      <c r="U111" s="32"/>
      <c r="V111" s="33"/>
    </row>
    <row r="112" ht="15.75" customHeight="1">
      <c r="A112" s="12">
        <v>21802.0</v>
      </c>
      <c r="B112" s="13" t="s">
        <v>138</v>
      </c>
      <c r="C112" s="12">
        <v>62.0</v>
      </c>
      <c r="D112" s="12">
        <v>61.0</v>
      </c>
      <c r="E112" s="12">
        <f>'Datos procesados'!$C112+'Datos procesados'!$D112</f>
        <v>123</v>
      </c>
      <c r="F112" s="12">
        <v>94.0</v>
      </c>
      <c r="G112" s="12">
        <v>9.0</v>
      </c>
      <c r="H112" s="12">
        <f>'Datos procesados'!$F112+'Datos procesados'!$G112</f>
        <v>103</v>
      </c>
      <c r="I112" s="14">
        <f>'Datos procesados'!$C112/'Datos procesados'!$E112*100</f>
        <v>50.40650407</v>
      </c>
      <c r="J112" s="15">
        <f>'Datos procesados'!$F112/'Datos procesados'!$H112*100</f>
        <v>91.26213592</v>
      </c>
      <c r="K112" s="16" t="str">
        <f t="shared" si="3"/>
        <v>mejoro</v>
      </c>
      <c r="L112" s="6"/>
      <c r="M112" s="23"/>
      <c r="N112" s="22"/>
      <c r="O112" s="22"/>
      <c r="P112" s="23"/>
      <c r="Q112" s="30"/>
      <c r="R112" s="30"/>
      <c r="S112" s="30"/>
      <c r="T112" s="34"/>
      <c r="U112" s="32"/>
      <c r="V112" s="33"/>
    </row>
    <row r="113" ht="15.75" customHeight="1">
      <c r="A113" s="12">
        <v>21803.0</v>
      </c>
      <c r="B113" s="13" t="s">
        <v>139</v>
      </c>
      <c r="C113" s="12">
        <v>19.0</v>
      </c>
      <c r="D113" s="12">
        <v>13.0</v>
      </c>
      <c r="E113" s="12">
        <f>'Datos procesados'!$C113+'Datos procesados'!$D113</f>
        <v>32</v>
      </c>
      <c r="F113" s="12">
        <v>24.0</v>
      </c>
      <c r="G113" s="12">
        <v>11.0</v>
      </c>
      <c r="H113" s="12">
        <f>'Datos procesados'!$F113+'Datos procesados'!$G113</f>
        <v>35</v>
      </c>
      <c r="I113" s="14">
        <f>'Datos procesados'!$C113/'Datos procesados'!$E113*100</f>
        <v>59.375</v>
      </c>
      <c r="J113" s="15">
        <f>'Datos procesados'!$F113/'Datos procesados'!$H113*100</f>
        <v>68.57142857</v>
      </c>
      <c r="K113" s="16" t="str">
        <f t="shared" si="3"/>
        <v>mejoro</v>
      </c>
      <c r="L113" s="6"/>
      <c r="M113" s="23"/>
      <c r="N113" s="22"/>
      <c r="O113" s="22"/>
      <c r="P113" s="23"/>
      <c r="Q113" s="30"/>
      <c r="R113" s="30"/>
      <c r="S113" s="30"/>
      <c r="T113" s="34"/>
      <c r="U113" s="32"/>
      <c r="V113" s="33"/>
    </row>
    <row r="114" ht="15.75" customHeight="1">
      <c r="A114" s="12">
        <v>21901.0</v>
      </c>
      <c r="B114" s="13" t="s">
        <v>140</v>
      </c>
      <c r="C114" s="12">
        <v>52.0</v>
      </c>
      <c r="D114" s="12">
        <v>34.0</v>
      </c>
      <c r="E114" s="12">
        <f>'Datos procesados'!$C114+'Datos procesados'!$D114</f>
        <v>86</v>
      </c>
      <c r="F114" s="12">
        <v>85.0</v>
      </c>
      <c r="G114" s="12">
        <v>19.0</v>
      </c>
      <c r="H114" s="12">
        <f>'Datos procesados'!$F114+'Datos procesados'!$G114</f>
        <v>104</v>
      </c>
      <c r="I114" s="14">
        <f>'Datos procesados'!$C114/'Datos procesados'!$E114*100</f>
        <v>60.46511628</v>
      </c>
      <c r="J114" s="15">
        <f>'Datos procesados'!$F114/'Datos procesados'!$H114*100</f>
        <v>81.73076923</v>
      </c>
      <c r="K114" s="16" t="str">
        <f t="shared" si="3"/>
        <v>mejoro</v>
      </c>
      <c r="L114" s="6"/>
      <c r="M114" s="23"/>
      <c r="N114" s="22"/>
      <c r="O114" s="22"/>
      <c r="P114" s="23"/>
      <c r="Q114" s="30"/>
      <c r="R114" s="30"/>
      <c r="S114" s="30"/>
      <c r="T114" s="34"/>
      <c r="U114" s="32"/>
      <c r="V114" s="33"/>
    </row>
    <row r="115" ht="15.75" customHeight="1">
      <c r="A115" s="12">
        <v>21902.0</v>
      </c>
      <c r="B115" s="13" t="s">
        <v>141</v>
      </c>
      <c r="C115" s="12">
        <v>20.0</v>
      </c>
      <c r="D115" s="12">
        <v>29.0</v>
      </c>
      <c r="E115" s="12">
        <f>'Datos procesados'!$C115+'Datos procesados'!$D115</f>
        <v>49</v>
      </c>
      <c r="F115" s="12">
        <v>74.0</v>
      </c>
      <c r="G115" s="12">
        <v>25.0</v>
      </c>
      <c r="H115" s="12">
        <f>'Datos procesados'!$F115+'Datos procesados'!$G115</f>
        <v>99</v>
      </c>
      <c r="I115" s="14">
        <f>'Datos procesados'!$C115/'Datos procesados'!$E115*100</f>
        <v>40.81632653</v>
      </c>
      <c r="J115" s="15">
        <f>'Datos procesados'!$F115/'Datos procesados'!$H115*100</f>
        <v>74.74747475</v>
      </c>
      <c r="K115" s="16" t="str">
        <f t="shared" si="3"/>
        <v>mejoro</v>
      </c>
      <c r="L115" s="6"/>
      <c r="M115" s="23"/>
      <c r="N115" s="22"/>
      <c r="O115" s="22"/>
      <c r="P115" s="23"/>
      <c r="Q115" s="30"/>
      <c r="R115" s="30"/>
      <c r="S115" s="30"/>
      <c r="T115" s="34"/>
      <c r="U115" s="32"/>
      <c r="V115" s="33"/>
    </row>
    <row r="116" ht="15.75" customHeight="1">
      <c r="A116" s="12">
        <v>22001.0</v>
      </c>
      <c r="B116" s="13" t="s">
        <v>142</v>
      </c>
      <c r="C116" s="12">
        <v>946.0</v>
      </c>
      <c r="D116" s="12">
        <v>334.0</v>
      </c>
      <c r="E116" s="12">
        <f>'Datos procesados'!$C116+'Datos procesados'!$D116</f>
        <v>1280</v>
      </c>
      <c r="F116" s="12">
        <v>1172.0</v>
      </c>
      <c r="G116" s="12">
        <v>140.0</v>
      </c>
      <c r="H116" s="12">
        <f>'Datos procesados'!$F116+'Datos procesados'!$G116</f>
        <v>1312</v>
      </c>
      <c r="I116" s="14">
        <f>'Datos procesados'!$C116/'Datos procesados'!$E116*100</f>
        <v>73.90625</v>
      </c>
      <c r="J116" s="15">
        <f>'Datos procesados'!$F116/'Datos procesados'!$H116*100</f>
        <v>89.32926829</v>
      </c>
      <c r="K116" s="16" t="str">
        <f t="shared" si="3"/>
        <v>mejoro</v>
      </c>
      <c r="L116" s="6"/>
      <c r="M116" s="23"/>
      <c r="N116" s="22"/>
      <c r="O116" s="22"/>
      <c r="P116" s="23"/>
      <c r="Q116" s="30"/>
      <c r="R116" s="30"/>
      <c r="S116" s="30"/>
      <c r="T116" s="34"/>
      <c r="U116" s="32"/>
      <c r="V116" s="33"/>
    </row>
    <row r="117" ht="15.75" customHeight="1">
      <c r="A117" s="12">
        <v>22002.0</v>
      </c>
      <c r="B117" s="13" t="s">
        <v>143</v>
      </c>
      <c r="C117" s="12">
        <v>245.0</v>
      </c>
      <c r="D117" s="12">
        <v>67.0</v>
      </c>
      <c r="E117" s="12">
        <f>'Datos procesados'!$C117+'Datos procesados'!$D117</f>
        <v>312</v>
      </c>
      <c r="F117" s="12">
        <v>193.0</v>
      </c>
      <c r="G117" s="12">
        <v>14.0</v>
      </c>
      <c r="H117" s="12">
        <f>'Datos procesados'!$F117+'Datos procesados'!$G117</f>
        <v>207</v>
      </c>
      <c r="I117" s="14">
        <f>'Datos procesados'!$C117/'Datos procesados'!$E117*100</f>
        <v>78.52564103</v>
      </c>
      <c r="J117" s="15">
        <f>'Datos procesados'!$F117/'Datos procesados'!$H117*100</f>
        <v>93.23671498</v>
      </c>
      <c r="K117" s="16" t="str">
        <f t="shared" si="3"/>
        <v>mejoro</v>
      </c>
      <c r="L117" s="6"/>
      <c r="M117" s="23"/>
      <c r="N117" s="22"/>
      <c r="O117" s="22"/>
      <c r="P117" s="23"/>
      <c r="Q117" s="30"/>
      <c r="R117" s="30"/>
      <c r="S117" s="30"/>
      <c r="T117" s="34"/>
      <c r="U117" s="32"/>
      <c r="V117" s="33"/>
    </row>
    <row r="118" ht="15.75" customHeight="1">
      <c r="A118" s="12">
        <v>30101.0</v>
      </c>
      <c r="B118" s="13" t="s">
        <v>22</v>
      </c>
      <c r="C118" s="12">
        <v>16713.0</v>
      </c>
      <c r="D118" s="12">
        <v>1180.0</v>
      </c>
      <c r="E118" s="12">
        <f>'Datos procesados'!$C118+'Datos procesados'!$D118</f>
        <v>17893</v>
      </c>
      <c r="F118" s="12">
        <v>12446.0</v>
      </c>
      <c r="G118" s="12">
        <v>329.0</v>
      </c>
      <c r="H118" s="12">
        <f>'Datos procesados'!$F118+'Datos procesados'!$G118</f>
        <v>12775</v>
      </c>
      <c r="I118" s="14">
        <f>'Datos procesados'!$C118/'Datos procesados'!$E118*100</f>
        <v>93.40524227</v>
      </c>
      <c r="J118" s="15">
        <f>'Datos procesados'!$F118/'Datos procesados'!$H118*100</f>
        <v>97.42465753</v>
      </c>
      <c r="K118" s="16" t="str">
        <f t="shared" si="3"/>
        <v>mejoro</v>
      </c>
      <c r="L118" s="6"/>
      <c r="M118" s="23"/>
      <c r="N118" s="22"/>
      <c r="O118" s="22"/>
      <c r="P118" s="23"/>
      <c r="Q118" s="30"/>
      <c r="R118" s="30"/>
      <c r="S118" s="30"/>
      <c r="T118" s="34"/>
      <c r="U118" s="32"/>
      <c r="V118" s="33"/>
    </row>
    <row r="119" ht="15.75" customHeight="1">
      <c r="A119" s="12">
        <v>30201.0</v>
      </c>
      <c r="B119" s="13" t="s">
        <v>144</v>
      </c>
      <c r="C119" s="12">
        <v>316.0</v>
      </c>
      <c r="D119" s="12">
        <v>95.0</v>
      </c>
      <c r="E119" s="12">
        <f>'Datos procesados'!$C119+'Datos procesados'!$D119</f>
        <v>411</v>
      </c>
      <c r="F119" s="12">
        <v>396.0</v>
      </c>
      <c r="G119" s="12">
        <v>26.0</v>
      </c>
      <c r="H119" s="12">
        <f>'Datos procesados'!$F119+'Datos procesados'!$G119</f>
        <v>422</v>
      </c>
      <c r="I119" s="14">
        <f>'Datos procesados'!$C119/'Datos procesados'!$E119*100</f>
        <v>76.88564477</v>
      </c>
      <c r="J119" s="15">
        <f>'Datos procesados'!$F119/'Datos procesados'!$H119*100</f>
        <v>93.83886256</v>
      </c>
      <c r="K119" s="16" t="str">
        <f t="shared" si="3"/>
        <v>mejoro</v>
      </c>
      <c r="L119" s="6"/>
      <c r="M119" s="23"/>
      <c r="N119" s="22"/>
      <c r="O119" s="22"/>
      <c r="P119" s="23"/>
      <c r="Q119" s="30"/>
      <c r="R119" s="30"/>
      <c r="S119" s="30"/>
      <c r="T119" s="34"/>
      <c r="U119" s="32"/>
      <c r="V119" s="33"/>
    </row>
    <row r="120" ht="15.75" customHeight="1">
      <c r="A120" s="12">
        <v>30202.0</v>
      </c>
      <c r="B120" s="13" t="s">
        <v>145</v>
      </c>
      <c r="C120" s="12">
        <v>104.0</v>
      </c>
      <c r="D120" s="12">
        <v>22.0</v>
      </c>
      <c r="E120" s="12">
        <f>'Datos procesados'!$C120+'Datos procesados'!$D120</f>
        <v>126</v>
      </c>
      <c r="F120" s="12">
        <v>101.0</v>
      </c>
      <c r="G120" s="12">
        <v>8.0</v>
      </c>
      <c r="H120" s="12">
        <f>'Datos procesados'!$F120+'Datos procesados'!$G120</f>
        <v>109</v>
      </c>
      <c r="I120" s="14">
        <f>'Datos procesados'!$C120/'Datos procesados'!$E120*100</f>
        <v>82.53968254</v>
      </c>
      <c r="J120" s="15">
        <f>'Datos procesados'!$F120/'Datos procesados'!$H120*100</f>
        <v>92.66055046</v>
      </c>
      <c r="K120" s="16" t="str">
        <f t="shared" si="3"/>
        <v>mejoro</v>
      </c>
      <c r="L120" s="6"/>
      <c r="M120" s="23"/>
      <c r="N120" s="22"/>
      <c r="O120" s="22"/>
      <c r="P120" s="23"/>
      <c r="Q120" s="30"/>
      <c r="R120" s="30"/>
      <c r="S120" s="30"/>
      <c r="T120" s="34"/>
      <c r="U120" s="32"/>
      <c r="V120" s="33"/>
    </row>
    <row r="121" ht="15.75" customHeight="1">
      <c r="A121" s="12">
        <v>30203.0</v>
      </c>
      <c r="B121" s="13" t="s">
        <v>146</v>
      </c>
      <c r="C121" s="12">
        <v>101.0</v>
      </c>
      <c r="D121" s="12">
        <v>18.0</v>
      </c>
      <c r="E121" s="12">
        <f>'Datos procesados'!$C121+'Datos procesados'!$D121</f>
        <v>119</v>
      </c>
      <c r="F121" s="12">
        <v>150.0</v>
      </c>
      <c r="G121" s="12">
        <v>6.0</v>
      </c>
      <c r="H121" s="12">
        <f>'Datos procesados'!$F121+'Datos procesados'!$G121</f>
        <v>156</v>
      </c>
      <c r="I121" s="14">
        <f>'Datos procesados'!$C121/'Datos procesados'!$E121*100</f>
        <v>84.87394958</v>
      </c>
      <c r="J121" s="15">
        <f>'Datos procesados'!$F121/'Datos procesados'!$H121*100</f>
        <v>96.15384615</v>
      </c>
      <c r="K121" s="16" t="str">
        <f t="shared" si="3"/>
        <v>mejoro</v>
      </c>
      <c r="L121" s="6"/>
      <c r="M121" s="23"/>
      <c r="N121" s="22"/>
      <c r="O121" s="22"/>
      <c r="P121" s="23"/>
      <c r="Q121" s="30"/>
      <c r="R121" s="30"/>
      <c r="S121" s="30"/>
      <c r="T121" s="34"/>
      <c r="U121" s="32"/>
      <c r="V121" s="33"/>
    </row>
    <row r="122" ht="15.75" customHeight="1">
      <c r="A122" s="12">
        <v>30301.0</v>
      </c>
      <c r="B122" s="13" t="s">
        <v>147</v>
      </c>
      <c r="C122" s="12">
        <v>300.0</v>
      </c>
      <c r="D122" s="12">
        <v>126.0</v>
      </c>
      <c r="E122" s="12">
        <f>'Datos procesados'!$C122+'Datos procesados'!$D122</f>
        <v>426</v>
      </c>
      <c r="F122" s="12">
        <v>333.0</v>
      </c>
      <c r="G122" s="12">
        <v>67.0</v>
      </c>
      <c r="H122" s="12">
        <f>'Datos procesados'!$F122+'Datos procesados'!$G122</f>
        <v>400</v>
      </c>
      <c r="I122" s="14">
        <f>'Datos procesados'!$C122/'Datos procesados'!$E122*100</f>
        <v>70.42253521</v>
      </c>
      <c r="J122" s="15">
        <f>'Datos procesados'!$F122/'Datos procesados'!$H122*100</f>
        <v>83.25</v>
      </c>
      <c r="K122" s="16" t="str">
        <f t="shared" si="3"/>
        <v>mejoro</v>
      </c>
      <c r="L122" s="6"/>
      <c r="M122" s="23"/>
      <c r="N122" s="22"/>
      <c r="O122" s="22"/>
      <c r="P122" s="23"/>
      <c r="Q122" s="30"/>
      <c r="R122" s="30"/>
      <c r="S122" s="30"/>
      <c r="T122" s="34"/>
      <c r="U122" s="32"/>
      <c r="V122" s="33"/>
    </row>
    <row r="123" ht="15.75" customHeight="1">
      <c r="A123" s="12">
        <v>30302.0</v>
      </c>
      <c r="B123" s="13" t="s">
        <v>148</v>
      </c>
      <c r="C123" s="12">
        <v>136.0</v>
      </c>
      <c r="D123" s="12">
        <v>105.0</v>
      </c>
      <c r="E123" s="12">
        <f>'Datos procesados'!$C123+'Datos procesados'!$D123</f>
        <v>241</v>
      </c>
      <c r="F123" s="12">
        <v>220.0</v>
      </c>
      <c r="G123" s="12">
        <v>41.0</v>
      </c>
      <c r="H123" s="12">
        <f>'Datos procesados'!$F123+'Datos procesados'!$G123</f>
        <v>261</v>
      </c>
      <c r="I123" s="14">
        <f>'Datos procesados'!$C123/'Datos procesados'!$E123*100</f>
        <v>56.43153527</v>
      </c>
      <c r="J123" s="15">
        <f>'Datos procesados'!$F123/'Datos procesados'!$H123*100</f>
        <v>84.29118774</v>
      </c>
      <c r="K123" s="16" t="str">
        <f t="shared" si="3"/>
        <v>mejoro</v>
      </c>
      <c r="L123" s="6"/>
      <c r="M123" s="23"/>
      <c r="N123" s="22"/>
      <c r="O123" s="22"/>
      <c r="P123" s="23"/>
      <c r="Q123" s="30"/>
      <c r="R123" s="30"/>
      <c r="S123" s="30"/>
      <c r="T123" s="34"/>
      <c r="U123" s="32"/>
      <c r="V123" s="33"/>
    </row>
    <row r="124" ht="15.75" customHeight="1">
      <c r="A124" s="12">
        <v>30303.0</v>
      </c>
      <c r="B124" s="13" t="s">
        <v>149</v>
      </c>
      <c r="C124" s="12">
        <v>174.0</v>
      </c>
      <c r="D124" s="12">
        <v>176.0</v>
      </c>
      <c r="E124" s="12">
        <f>'Datos procesados'!$C124+'Datos procesados'!$D124</f>
        <v>350</v>
      </c>
      <c r="F124" s="12">
        <v>385.0</v>
      </c>
      <c r="G124" s="12">
        <v>106.0</v>
      </c>
      <c r="H124" s="12">
        <f>'Datos procesados'!$F124+'Datos procesados'!$G124</f>
        <v>491</v>
      </c>
      <c r="I124" s="14">
        <f>'Datos procesados'!$C124/'Datos procesados'!$E124*100</f>
        <v>49.71428571</v>
      </c>
      <c r="J124" s="15">
        <f>'Datos procesados'!$F124/'Datos procesados'!$H124*100</f>
        <v>78.4114053</v>
      </c>
      <c r="K124" s="16" t="str">
        <f t="shared" si="3"/>
        <v>mejoro</v>
      </c>
      <c r="L124" s="6"/>
      <c r="M124" s="23"/>
      <c r="N124" s="22"/>
      <c r="O124" s="22"/>
      <c r="P124" s="23"/>
      <c r="Q124" s="30"/>
      <c r="R124" s="30"/>
      <c r="S124" s="30"/>
      <c r="T124" s="34"/>
      <c r="U124" s="32"/>
      <c r="V124" s="33"/>
    </row>
    <row r="125" ht="15.75" customHeight="1">
      <c r="A125" s="12">
        <v>30401.0</v>
      </c>
      <c r="B125" s="13" t="s">
        <v>150</v>
      </c>
      <c r="C125" s="12">
        <v>150.0</v>
      </c>
      <c r="D125" s="12">
        <v>22.0</v>
      </c>
      <c r="E125" s="12">
        <f>'Datos procesados'!$C125+'Datos procesados'!$D125</f>
        <v>172</v>
      </c>
      <c r="F125" s="12">
        <v>202.0</v>
      </c>
      <c r="G125" s="12">
        <v>9.0</v>
      </c>
      <c r="H125" s="12">
        <f>'Datos procesados'!$F125+'Datos procesados'!$G125</f>
        <v>211</v>
      </c>
      <c r="I125" s="14">
        <f>'Datos procesados'!$C125/'Datos procesados'!$E125*100</f>
        <v>87.20930233</v>
      </c>
      <c r="J125" s="15">
        <f>'Datos procesados'!$F125/'Datos procesados'!$H125*100</f>
        <v>95.73459716</v>
      </c>
      <c r="K125" s="16" t="str">
        <f t="shared" si="3"/>
        <v>mejoro</v>
      </c>
      <c r="L125" s="6"/>
      <c r="M125" s="23"/>
      <c r="N125" s="22"/>
      <c r="O125" s="22"/>
      <c r="P125" s="23"/>
      <c r="Q125" s="30"/>
      <c r="R125" s="30"/>
      <c r="S125" s="30"/>
      <c r="T125" s="34"/>
      <c r="U125" s="32"/>
      <c r="V125" s="33"/>
    </row>
    <row r="126" ht="15.75" customHeight="1">
      <c r="A126" s="12">
        <v>30402.0</v>
      </c>
      <c r="B126" s="13" t="s">
        <v>151</v>
      </c>
      <c r="C126" s="12">
        <v>80.0</v>
      </c>
      <c r="D126" s="12">
        <v>56.0</v>
      </c>
      <c r="E126" s="12">
        <f>'Datos procesados'!$C126+'Datos procesados'!$D126</f>
        <v>136</v>
      </c>
      <c r="F126" s="12">
        <v>110.0</v>
      </c>
      <c r="G126" s="12">
        <v>11.0</v>
      </c>
      <c r="H126" s="12">
        <f>'Datos procesados'!$F126+'Datos procesados'!$G126</f>
        <v>121</v>
      </c>
      <c r="I126" s="14">
        <f>'Datos procesados'!$C126/'Datos procesados'!$E126*100</f>
        <v>58.82352941</v>
      </c>
      <c r="J126" s="15">
        <f>'Datos procesados'!$F126/'Datos procesados'!$H126*100</f>
        <v>90.90909091</v>
      </c>
      <c r="K126" s="16" t="str">
        <f t="shared" si="3"/>
        <v>mejoro</v>
      </c>
      <c r="L126" s="6"/>
      <c r="M126" s="23"/>
      <c r="N126" s="22"/>
      <c r="O126" s="22"/>
      <c r="P126" s="23"/>
      <c r="Q126" s="30"/>
      <c r="R126" s="30"/>
      <c r="S126" s="30"/>
      <c r="T126" s="34"/>
      <c r="U126" s="32"/>
      <c r="V126" s="33"/>
    </row>
    <row r="127" ht="15.75" customHeight="1">
      <c r="A127" s="12">
        <v>30403.0</v>
      </c>
      <c r="B127" s="13" t="s">
        <v>152</v>
      </c>
      <c r="C127" s="12">
        <v>335.0</v>
      </c>
      <c r="D127" s="12">
        <v>56.0</v>
      </c>
      <c r="E127" s="12">
        <f>'Datos procesados'!$C127+'Datos procesados'!$D127</f>
        <v>391</v>
      </c>
      <c r="F127" s="12">
        <v>645.0</v>
      </c>
      <c r="G127" s="12">
        <v>37.0</v>
      </c>
      <c r="H127" s="12">
        <f>'Datos procesados'!$F127+'Datos procesados'!$G127</f>
        <v>682</v>
      </c>
      <c r="I127" s="14">
        <f>'Datos procesados'!$C127/'Datos procesados'!$E127*100</f>
        <v>85.67774936</v>
      </c>
      <c r="J127" s="15">
        <f>'Datos procesados'!$F127/'Datos procesados'!$H127*100</f>
        <v>94.57478006</v>
      </c>
      <c r="K127" s="16" t="str">
        <f t="shared" si="3"/>
        <v>mejoro</v>
      </c>
      <c r="L127" s="6"/>
      <c r="M127" s="23"/>
      <c r="N127" s="22"/>
      <c r="O127" s="22"/>
      <c r="P127" s="23"/>
      <c r="Q127" s="30"/>
      <c r="R127" s="30"/>
      <c r="S127" s="30"/>
      <c r="T127" s="34"/>
      <c r="U127" s="32"/>
      <c r="V127" s="33"/>
    </row>
    <row r="128" ht="15.75" customHeight="1">
      <c r="A128" s="12">
        <v>30404.0</v>
      </c>
      <c r="B128" s="13" t="s">
        <v>153</v>
      </c>
      <c r="C128" s="12">
        <v>71.0</v>
      </c>
      <c r="D128" s="12">
        <v>18.0</v>
      </c>
      <c r="E128" s="12">
        <f>'Datos procesados'!$C128+'Datos procesados'!$D128</f>
        <v>89</v>
      </c>
      <c r="F128" s="12">
        <v>68.0</v>
      </c>
      <c r="G128" s="12">
        <v>9.0</v>
      </c>
      <c r="H128" s="12">
        <f>'Datos procesados'!$F128+'Datos procesados'!$G128</f>
        <v>77</v>
      </c>
      <c r="I128" s="14">
        <f>'Datos procesados'!$C128/'Datos procesados'!$E128*100</f>
        <v>79.7752809</v>
      </c>
      <c r="J128" s="15">
        <f>'Datos procesados'!$F128/'Datos procesados'!$H128*100</f>
        <v>88.31168831</v>
      </c>
      <c r="K128" s="16" t="str">
        <f t="shared" si="3"/>
        <v>mejoro</v>
      </c>
      <c r="L128" s="6"/>
      <c r="M128" s="23"/>
      <c r="N128" s="22"/>
      <c r="O128" s="22"/>
      <c r="P128" s="23"/>
      <c r="Q128" s="30"/>
      <c r="R128" s="30"/>
      <c r="S128" s="30"/>
      <c r="T128" s="34"/>
      <c r="U128" s="32"/>
      <c r="V128" s="33"/>
    </row>
    <row r="129" ht="15.75" customHeight="1">
      <c r="A129" s="12">
        <v>30501.0</v>
      </c>
      <c r="B129" s="13" t="s">
        <v>154</v>
      </c>
      <c r="C129" s="12">
        <v>166.0</v>
      </c>
      <c r="D129" s="12">
        <v>24.0</v>
      </c>
      <c r="E129" s="12">
        <f>'Datos procesados'!$C129+'Datos procesados'!$D129</f>
        <v>190</v>
      </c>
      <c r="F129" s="12">
        <v>201.0</v>
      </c>
      <c r="G129" s="12">
        <v>5.0</v>
      </c>
      <c r="H129" s="12">
        <f>'Datos procesados'!$F129+'Datos procesados'!$G129</f>
        <v>206</v>
      </c>
      <c r="I129" s="14">
        <f>'Datos procesados'!$C129/'Datos procesados'!$E129*100</f>
        <v>87.36842105</v>
      </c>
      <c r="J129" s="15">
        <f>'Datos procesados'!$F129/'Datos procesados'!$H129*100</f>
        <v>97.57281553</v>
      </c>
      <c r="K129" s="16" t="str">
        <f t="shared" si="3"/>
        <v>mejoro</v>
      </c>
      <c r="L129" s="6"/>
      <c r="M129" s="23"/>
      <c r="N129" s="22"/>
      <c r="O129" s="22"/>
      <c r="P129" s="23"/>
      <c r="Q129" s="30"/>
      <c r="R129" s="30"/>
      <c r="S129" s="30"/>
      <c r="T129" s="34"/>
      <c r="U129" s="32"/>
      <c r="V129" s="33"/>
    </row>
    <row r="130" ht="15.75" customHeight="1">
      <c r="A130" s="12">
        <v>30502.0</v>
      </c>
      <c r="B130" s="13" t="s">
        <v>155</v>
      </c>
      <c r="C130" s="12">
        <v>128.0</v>
      </c>
      <c r="D130" s="12">
        <v>61.0</v>
      </c>
      <c r="E130" s="12">
        <f>'Datos procesados'!$C130+'Datos procesados'!$D130</f>
        <v>189</v>
      </c>
      <c r="F130" s="12">
        <v>134.0</v>
      </c>
      <c r="G130" s="12">
        <v>15.0</v>
      </c>
      <c r="H130" s="12">
        <f>'Datos procesados'!$F130+'Datos procesados'!$G130</f>
        <v>149</v>
      </c>
      <c r="I130" s="14">
        <f>'Datos procesados'!$C130/'Datos procesados'!$E130*100</f>
        <v>67.72486772</v>
      </c>
      <c r="J130" s="15">
        <f>'Datos procesados'!$F130/'Datos procesados'!$H130*100</f>
        <v>89.93288591</v>
      </c>
      <c r="K130" s="16" t="str">
        <f t="shared" si="3"/>
        <v>mejoro</v>
      </c>
      <c r="L130" s="6"/>
      <c r="M130" s="23"/>
      <c r="N130" s="22"/>
      <c r="O130" s="22"/>
      <c r="P130" s="23"/>
      <c r="Q130" s="30"/>
      <c r="R130" s="30"/>
      <c r="S130" s="30"/>
      <c r="T130" s="34"/>
      <c r="U130" s="32"/>
      <c r="V130" s="33"/>
    </row>
    <row r="131" ht="15.75" customHeight="1">
      <c r="A131" s="12">
        <v>30601.0</v>
      </c>
      <c r="B131" s="13" t="s">
        <v>156</v>
      </c>
      <c r="C131" s="12">
        <v>64.0</v>
      </c>
      <c r="D131" s="12">
        <v>113.0</v>
      </c>
      <c r="E131" s="12">
        <f>'Datos procesados'!$C131+'Datos procesados'!$D131</f>
        <v>177</v>
      </c>
      <c r="F131" s="12">
        <v>152.0</v>
      </c>
      <c r="G131" s="12">
        <v>62.0</v>
      </c>
      <c r="H131" s="12">
        <f>'Datos procesados'!$F131+'Datos procesados'!$G131</f>
        <v>214</v>
      </c>
      <c r="I131" s="14">
        <f>'Datos procesados'!$C131/'Datos procesados'!$E131*100</f>
        <v>36.15819209</v>
      </c>
      <c r="J131" s="15">
        <f>'Datos procesados'!$F131/'Datos procesados'!$H131*100</f>
        <v>71.02803738</v>
      </c>
      <c r="K131" s="16" t="str">
        <f t="shared" si="3"/>
        <v>mejoro</v>
      </c>
      <c r="L131" s="6"/>
      <c r="M131" s="23"/>
      <c r="N131" s="22"/>
      <c r="O131" s="22"/>
      <c r="P131" s="23"/>
      <c r="Q131" s="30"/>
      <c r="R131" s="30"/>
      <c r="S131" s="30"/>
      <c r="T131" s="34"/>
      <c r="U131" s="32"/>
      <c r="V131" s="33"/>
    </row>
    <row r="132" ht="15.75" customHeight="1">
      <c r="A132" s="12">
        <v>30602.0</v>
      </c>
      <c r="B132" s="13" t="s">
        <v>157</v>
      </c>
      <c r="C132" s="12">
        <v>63.0</v>
      </c>
      <c r="D132" s="12">
        <v>109.0</v>
      </c>
      <c r="E132" s="12">
        <f>'Datos procesados'!$C132+'Datos procesados'!$D132</f>
        <v>172</v>
      </c>
      <c r="F132" s="12">
        <v>128.0</v>
      </c>
      <c r="G132" s="12">
        <v>37.0</v>
      </c>
      <c r="H132" s="12">
        <f>'Datos procesados'!$F132+'Datos procesados'!$G132</f>
        <v>165</v>
      </c>
      <c r="I132" s="14">
        <f>'Datos procesados'!$C132/'Datos procesados'!$E132*100</f>
        <v>36.62790698</v>
      </c>
      <c r="J132" s="15">
        <f>'Datos procesados'!$F132/'Datos procesados'!$H132*100</f>
        <v>77.57575758</v>
      </c>
      <c r="K132" s="16" t="str">
        <f t="shared" si="3"/>
        <v>mejoro</v>
      </c>
      <c r="L132" s="6"/>
      <c r="M132" s="23"/>
      <c r="N132" s="22"/>
      <c r="O132" s="22"/>
      <c r="P132" s="23"/>
      <c r="Q132" s="30"/>
      <c r="R132" s="30"/>
      <c r="S132" s="30"/>
      <c r="T132" s="34"/>
      <c r="U132" s="32"/>
      <c r="V132" s="33"/>
    </row>
    <row r="133" ht="15.75" customHeight="1">
      <c r="A133" s="12">
        <v>30701.0</v>
      </c>
      <c r="B133" s="13" t="s">
        <v>158</v>
      </c>
      <c r="C133" s="12">
        <v>418.0</v>
      </c>
      <c r="D133" s="12">
        <v>70.0</v>
      </c>
      <c r="E133" s="12">
        <f>'Datos procesados'!$C133+'Datos procesados'!$D133</f>
        <v>488</v>
      </c>
      <c r="F133" s="12">
        <v>407.0</v>
      </c>
      <c r="G133" s="12">
        <v>28.0</v>
      </c>
      <c r="H133" s="12">
        <f>'Datos procesados'!$F133+'Datos procesados'!$G133</f>
        <v>435</v>
      </c>
      <c r="I133" s="14">
        <f>'Datos procesados'!$C133/'Datos procesados'!$E133*100</f>
        <v>85.6557377</v>
      </c>
      <c r="J133" s="15">
        <f>'Datos procesados'!$F133/'Datos procesados'!$H133*100</f>
        <v>93.56321839</v>
      </c>
      <c r="K133" s="16" t="str">
        <f t="shared" si="3"/>
        <v>mejoro</v>
      </c>
      <c r="L133" s="6"/>
      <c r="M133" s="23"/>
      <c r="N133" s="22"/>
      <c r="O133" s="22"/>
      <c r="P133" s="23"/>
      <c r="Q133" s="30"/>
      <c r="R133" s="30"/>
      <c r="S133" s="30"/>
      <c r="T133" s="34"/>
      <c r="U133" s="32"/>
      <c r="V133" s="33"/>
    </row>
    <row r="134" ht="15.75" customHeight="1">
      <c r="A134" s="12">
        <v>30702.0</v>
      </c>
      <c r="B134" s="13" t="s">
        <v>159</v>
      </c>
      <c r="C134" s="12">
        <v>135.0</v>
      </c>
      <c r="D134" s="12">
        <v>27.0</v>
      </c>
      <c r="E134" s="12">
        <f>'Datos procesados'!$C134+'Datos procesados'!$D134</f>
        <v>162</v>
      </c>
      <c r="F134" s="12">
        <v>132.0</v>
      </c>
      <c r="G134" s="12">
        <v>0.0</v>
      </c>
      <c r="H134" s="12">
        <f>'Datos procesados'!$F134+'Datos procesados'!$G134</f>
        <v>132</v>
      </c>
      <c r="I134" s="14">
        <f>'Datos procesados'!$C134/'Datos procesados'!$E134*100</f>
        <v>83.33333333</v>
      </c>
      <c r="J134" s="15">
        <f>'Datos procesados'!$F134/'Datos procesados'!$H134*100</f>
        <v>100</v>
      </c>
      <c r="K134" s="16" t="str">
        <f t="shared" si="3"/>
        <v>mejoro</v>
      </c>
      <c r="L134" s="6"/>
      <c r="M134" s="23"/>
      <c r="N134" s="22"/>
      <c r="O134" s="22"/>
      <c r="P134" s="23"/>
      <c r="Q134" s="30"/>
      <c r="R134" s="30"/>
      <c r="S134" s="30"/>
      <c r="T134" s="34"/>
      <c r="U134" s="32"/>
      <c r="V134" s="33"/>
    </row>
    <row r="135" ht="15.75" customHeight="1">
      <c r="A135" s="12">
        <v>30703.0</v>
      </c>
      <c r="B135" s="13" t="s">
        <v>160</v>
      </c>
      <c r="C135" s="12">
        <v>47.0</v>
      </c>
      <c r="D135" s="12">
        <v>26.0</v>
      </c>
      <c r="E135" s="12">
        <f>'Datos procesados'!$C135+'Datos procesados'!$D135</f>
        <v>73</v>
      </c>
      <c r="F135" s="12">
        <v>84.0</v>
      </c>
      <c r="G135" s="12">
        <v>7.0</v>
      </c>
      <c r="H135" s="12">
        <f>'Datos procesados'!$F135+'Datos procesados'!$G135</f>
        <v>91</v>
      </c>
      <c r="I135" s="14">
        <f>'Datos procesados'!$C135/'Datos procesados'!$E135*100</f>
        <v>64.38356164</v>
      </c>
      <c r="J135" s="15">
        <f>'Datos procesados'!$F135/'Datos procesados'!$H135*100</f>
        <v>92.30769231</v>
      </c>
      <c r="K135" s="16" t="str">
        <f t="shared" si="3"/>
        <v>mejoro</v>
      </c>
      <c r="L135" s="6"/>
      <c r="M135" s="23"/>
      <c r="N135" s="22"/>
      <c r="O135" s="22"/>
      <c r="P135" s="23"/>
      <c r="Q135" s="30"/>
      <c r="R135" s="30"/>
      <c r="S135" s="30"/>
      <c r="T135" s="34"/>
      <c r="U135" s="32"/>
      <c r="V135" s="33"/>
    </row>
    <row r="136" ht="15.75" customHeight="1">
      <c r="A136" s="12">
        <v>30801.0</v>
      </c>
      <c r="B136" s="13" t="s">
        <v>161</v>
      </c>
      <c r="C136" s="12">
        <v>526.0</v>
      </c>
      <c r="D136" s="12">
        <v>32.0</v>
      </c>
      <c r="E136" s="12">
        <f>'Datos procesados'!$C136+'Datos procesados'!$D136</f>
        <v>558</v>
      </c>
      <c r="F136" s="12">
        <v>387.0</v>
      </c>
      <c r="G136" s="12">
        <v>9.0</v>
      </c>
      <c r="H136" s="12">
        <f>'Datos procesados'!$F136+'Datos procesados'!$G136</f>
        <v>396</v>
      </c>
      <c r="I136" s="14">
        <f>'Datos procesados'!$C136/'Datos procesados'!$E136*100</f>
        <v>94.26523297</v>
      </c>
      <c r="J136" s="15">
        <f>'Datos procesados'!$F136/'Datos procesados'!$H136*100</f>
        <v>97.72727273</v>
      </c>
      <c r="K136" s="16" t="str">
        <f t="shared" si="3"/>
        <v>mejoro</v>
      </c>
      <c r="L136" s="6"/>
      <c r="M136" s="23"/>
      <c r="N136" s="22"/>
      <c r="O136" s="22"/>
      <c r="P136" s="23"/>
      <c r="Q136" s="30"/>
      <c r="R136" s="30"/>
      <c r="S136" s="30"/>
      <c r="T136" s="34"/>
      <c r="U136" s="32"/>
      <c r="V136" s="33"/>
    </row>
    <row r="137" ht="15.75" customHeight="1">
      <c r="A137" s="12">
        <v>30802.0</v>
      </c>
      <c r="B137" s="13" t="s">
        <v>162</v>
      </c>
      <c r="C137" s="12">
        <v>123.0</v>
      </c>
      <c r="D137" s="12">
        <v>14.0</v>
      </c>
      <c r="E137" s="12">
        <f>'Datos procesados'!$C137+'Datos procesados'!$D137</f>
        <v>137</v>
      </c>
      <c r="F137" s="12">
        <v>137.0</v>
      </c>
      <c r="G137" s="12">
        <v>7.0</v>
      </c>
      <c r="H137" s="12">
        <f>'Datos procesados'!$F137+'Datos procesados'!$G137</f>
        <v>144</v>
      </c>
      <c r="I137" s="14">
        <f>'Datos procesados'!$C137/'Datos procesados'!$E137*100</f>
        <v>89.7810219</v>
      </c>
      <c r="J137" s="15">
        <f>'Datos procesados'!$F137/'Datos procesados'!$H137*100</f>
        <v>95.13888889</v>
      </c>
      <c r="K137" s="16" t="str">
        <f t="shared" si="3"/>
        <v>mejoro</v>
      </c>
      <c r="L137" s="6"/>
      <c r="M137" s="23"/>
      <c r="N137" s="22"/>
      <c r="O137" s="22"/>
      <c r="P137" s="23"/>
      <c r="Q137" s="30"/>
      <c r="R137" s="30"/>
      <c r="S137" s="30"/>
      <c r="T137" s="34"/>
      <c r="U137" s="32"/>
      <c r="V137" s="33"/>
    </row>
    <row r="138" ht="15.75" customHeight="1">
      <c r="A138" s="12">
        <v>30803.0</v>
      </c>
      <c r="B138" s="13" t="s">
        <v>163</v>
      </c>
      <c r="C138" s="12">
        <v>124.0</v>
      </c>
      <c r="D138" s="12">
        <v>6.0</v>
      </c>
      <c r="E138" s="12">
        <f>'Datos procesados'!$C138+'Datos procesados'!$D138</f>
        <v>130</v>
      </c>
      <c r="F138" s="12">
        <v>162.0</v>
      </c>
      <c r="G138" s="12">
        <v>6.0</v>
      </c>
      <c r="H138" s="12">
        <f>'Datos procesados'!$F138+'Datos procesados'!$G138</f>
        <v>168</v>
      </c>
      <c r="I138" s="14">
        <f>'Datos procesados'!$C138/'Datos procesados'!$E138*100</f>
        <v>95.38461538</v>
      </c>
      <c r="J138" s="15">
        <f>'Datos procesados'!$F138/'Datos procesados'!$H138*100</f>
        <v>96.42857143</v>
      </c>
      <c r="K138" s="16" t="str">
        <f t="shared" si="3"/>
        <v>mejoro</v>
      </c>
      <c r="L138" s="6"/>
      <c r="M138" s="23"/>
      <c r="N138" s="22"/>
      <c r="O138" s="22"/>
      <c r="P138" s="23"/>
      <c r="Q138" s="30"/>
      <c r="R138" s="30"/>
      <c r="S138" s="30"/>
      <c r="T138" s="34"/>
      <c r="U138" s="32"/>
      <c r="V138" s="33"/>
    </row>
    <row r="139" ht="15.75" customHeight="1">
      <c r="A139" s="12">
        <v>30901.0</v>
      </c>
      <c r="B139" s="13" t="s">
        <v>164</v>
      </c>
      <c r="C139" s="12">
        <v>3617.0</v>
      </c>
      <c r="D139" s="12">
        <v>296.0</v>
      </c>
      <c r="E139" s="12">
        <f>'Datos procesados'!$C139+'Datos procesados'!$D139</f>
        <v>3913</v>
      </c>
      <c r="F139" s="12">
        <v>3433.0</v>
      </c>
      <c r="G139" s="12">
        <v>99.0</v>
      </c>
      <c r="H139" s="12">
        <f>'Datos procesados'!$F139+'Datos procesados'!$G139</f>
        <v>3532</v>
      </c>
      <c r="I139" s="14">
        <f>'Datos procesados'!$C139/'Datos procesados'!$E139*100</f>
        <v>92.43547151</v>
      </c>
      <c r="J139" s="15">
        <f>'Datos procesados'!$F139/'Datos procesados'!$H139*100</f>
        <v>97.19705549</v>
      </c>
      <c r="K139" s="16" t="str">
        <f t="shared" si="3"/>
        <v>mejoro</v>
      </c>
      <c r="L139" s="6"/>
      <c r="M139" s="23"/>
      <c r="N139" s="22"/>
      <c r="O139" s="22"/>
      <c r="P139" s="23"/>
      <c r="Q139" s="30"/>
      <c r="R139" s="30"/>
      <c r="S139" s="30"/>
      <c r="T139" s="34"/>
      <c r="U139" s="32"/>
      <c r="V139" s="33"/>
    </row>
    <row r="140" ht="15.75" customHeight="1">
      <c r="A140" s="12">
        <v>30902.0</v>
      </c>
      <c r="B140" s="13" t="s">
        <v>165</v>
      </c>
      <c r="C140" s="12">
        <v>958.0</v>
      </c>
      <c r="D140" s="12">
        <v>145.0</v>
      </c>
      <c r="E140" s="12">
        <f>'Datos procesados'!$C140+'Datos procesados'!$D140</f>
        <v>1103</v>
      </c>
      <c r="F140" s="12">
        <v>1299.0</v>
      </c>
      <c r="G140" s="12">
        <v>64.0</v>
      </c>
      <c r="H140" s="12">
        <f>'Datos procesados'!$F140+'Datos procesados'!$G140</f>
        <v>1363</v>
      </c>
      <c r="I140" s="14">
        <f>'Datos procesados'!$C140/'Datos procesados'!$E140*100</f>
        <v>86.85403445</v>
      </c>
      <c r="J140" s="15">
        <f>'Datos procesados'!$F140/'Datos procesados'!$H140*100</f>
        <v>95.30447542</v>
      </c>
      <c r="K140" s="16" t="str">
        <f t="shared" si="3"/>
        <v>mejoro</v>
      </c>
      <c r="L140" s="6"/>
      <c r="M140" s="23"/>
      <c r="N140" s="22"/>
      <c r="O140" s="22"/>
      <c r="P140" s="23"/>
      <c r="Q140" s="30"/>
      <c r="R140" s="30"/>
      <c r="S140" s="30"/>
      <c r="T140" s="34"/>
      <c r="U140" s="32"/>
      <c r="V140" s="33"/>
    </row>
    <row r="141" ht="15.75" customHeight="1">
      <c r="A141" s="12">
        <v>30903.0</v>
      </c>
      <c r="B141" s="13" t="s">
        <v>166</v>
      </c>
      <c r="C141" s="12">
        <v>1409.0</v>
      </c>
      <c r="D141" s="12">
        <v>135.0</v>
      </c>
      <c r="E141" s="12">
        <f>'Datos procesados'!$C141+'Datos procesados'!$D141</f>
        <v>1544</v>
      </c>
      <c r="F141" s="12">
        <v>1171.0</v>
      </c>
      <c r="G141" s="12">
        <v>33.0</v>
      </c>
      <c r="H141" s="12">
        <f>'Datos procesados'!$F141+'Datos procesados'!$G141</f>
        <v>1204</v>
      </c>
      <c r="I141" s="14">
        <f>'Datos procesados'!$C141/'Datos procesados'!$E141*100</f>
        <v>91.25647668</v>
      </c>
      <c r="J141" s="15">
        <f>'Datos procesados'!$F141/'Datos procesados'!$H141*100</f>
        <v>97.25913621</v>
      </c>
      <c r="K141" s="16" t="str">
        <f t="shared" si="3"/>
        <v>mejoro</v>
      </c>
      <c r="L141" s="6"/>
      <c r="M141" s="23"/>
      <c r="N141" s="22"/>
      <c r="O141" s="22"/>
      <c r="P141" s="23"/>
      <c r="Q141" s="30"/>
      <c r="R141" s="30"/>
      <c r="S141" s="30"/>
      <c r="T141" s="34"/>
      <c r="U141" s="32"/>
      <c r="V141" s="33"/>
    </row>
    <row r="142" ht="15.75" customHeight="1">
      <c r="A142" s="12">
        <v>30904.0</v>
      </c>
      <c r="B142" s="13" t="s">
        <v>167</v>
      </c>
      <c r="C142" s="12">
        <v>1272.0</v>
      </c>
      <c r="D142" s="12">
        <v>116.0</v>
      </c>
      <c r="E142" s="12">
        <f>'Datos procesados'!$C142+'Datos procesados'!$D142</f>
        <v>1388</v>
      </c>
      <c r="F142" s="12">
        <v>1234.0</v>
      </c>
      <c r="G142" s="12">
        <v>43.0</v>
      </c>
      <c r="H142" s="12">
        <f>'Datos procesados'!$F142+'Datos procesados'!$G142</f>
        <v>1277</v>
      </c>
      <c r="I142" s="14">
        <f>'Datos procesados'!$C142/'Datos procesados'!$E142*100</f>
        <v>91.6426513</v>
      </c>
      <c r="J142" s="15">
        <f>'Datos procesados'!$F142/'Datos procesados'!$H142*100</f>
        <v>96.63273297</v>
      </c>
      <c r="K142" s="16" t="str">
        <f t="shared" si="3"/>
        <v>mejoro</v>
      </c>
      <c r="L142" s="6"/>
      <c r="M142" s="23"/>
      <c r="N142" s="22"/>
      <c r="O142" s="22"/>
      <c r="P142" s="23"/>
      <c r="Q142" s="30"/>
      <c r="R142" s="30"/>
      <c r="S142" s="30"/>
      <c r="T142" s="34"/>
      <c r="U142" s="32"/>
      <c r="V142" s="33"/>
    </row>
    <row r="143" ht="15.75" customHeight="1">
      <c r="A143" s="12">
        <v>30905.0</v>
      </c>
      <c r="B143" s="13" t="s">
        <v>168</v>
      </c>
      <c r="C143" s="12">
        <v>1439.0</v>
      </c>
      <c r="D143" s="12">
        <v>55.0</v>
      </c>
      <c r="E143" s="12">
        <f>'Datos procesados'!$C143+'Datos procesados'!$D143</f>
        <v>1494</v>
      </c>
      <c r="F143" s="12">
        <v>1230.0</v>
      </c>
      <c r="G143" s="12">
        <v>17.0</v>
      </c>
      <c r="H143" s="12">
        <f>'Datos procesados'!$F143+'Datos procesados'!$G143</f>
        <v>1247</v>
      </c>
      <c r="I143" s="14">
        <f>'Datos procesados'!$C143/'Datos procesados'!$E143*100</f>
        <v>96.31860776</v>
      </c>
      <c r="J143" s="15">
        <f>'Datos procesados'!$F143/'Datos procesados'!$H143*100</f>
        <v>98.63672815</v>
      </c>
      <c r="K143" s="16" t="str">
        <f t="shared" si="3"/>
        <v>mejoro</v>
      </c>
      <c r="L143" s="6"/>
      <c r="M143" s="23"/>
      <c r="N143" s="22"/>
      <c r="O143" s="22"/>
      <c r="P143" s="23"/>
      <c r="Q143" s="30"/>
      <c r="R143" s="30"/>
      <c r="S143" s="30"/>
      <c r="T143" s="34"/>
      <c r="U143" s="32"/>
      <c r="V143" s="33"/>
    </row>
    <row r="144" ht="15.75" customHeight="1">
      <c r="A144" s="12">
        <v>31001.0</v>
      </c>
      <c r="B144" s="13" t="s">
        <v>169</v>
      </c>
      <c r="C144" s="12">
        <v>4668.0</v>
      </c>
      <c r="D144" s="12">
        <v>335.0</v>
      </c>
      <c r="E144" s="12">
        <f>'Datos procesados'!$C144+'Datos procesados'!$D144</f>
        <v>5003</v>
      </c>
      <c r="F144" s="12">
        <v>4513.0</v>
      </c>
      <c r="G144" s="12">
        <v>107.0</v>
      </c>
      <c r="H144" s="12">
        <f>'Datos procesados'!$F144+'Datos procesados'!$G144</f>
        <v>4620</v>
      </c>
      <c r="I144" s="14">
        <f>'Datos procesados'!$C144/'Datos procesados'!$E144*100</f>
        <v>93.30401759</v>
      </c>
      <c r="J144" s="15">
        <f>'Datos procesados'!$F144/'Datos procesados'!$H144*100</f>
        <v>97.68398268</v>
      </c>
      <c r="K144" s="16" t="str">
        <f t="shared" si="3"/>
        <v>mejoro</v>
      </c>
      <c r="L144" s="6"/>
      <c r="M144" s="23"/>
      <c r="N144" s="22"/>
      <c r="O144" s="22"/>
      <c r="P144" s="23"/>
      <c r="Q144" s="30"/>
      <c r="R144" s="30"/>
      <c r="S144" s="30"/>
      <c r="T144" s="34"/>
      <c r="U144" s="32"/>
      <c r="V144" s="33"/>
    </row>
    <row r="145" ht="15.75" customHeight="1">
      <c r="A145" s="12">
        <v>31002.0</v>
      </c>
      <c r="B145" s="13" t="s">
        <v>170</v>
      </c>
      <c r="C145" s="12">
        <v>341.0</v>
      </c>
      <c r="D145" s="12">
        <v>98.0</v>
      </c>
      <c r="E145" s="12">
        <f>'Datos procesados'!$C145+'Datos procesados'!$D145</f>
        <v>439</v>
      </c>
      <c r="F145" s="12">
        <v>480.0</v>
      </c>
      <c r="G145" s="12">
        <v>20.0</v>
      </c>
      <c r="H145" s="12">
        <f>'Datos procesados'!$F145+'Datos procesados'!$G145</f>
        <v>500</v>
      </c>
      <c r="I145" s="14">
        <f>'Datos procesados'!$C145/'Datos procesados'!$E145*100</f>
        <v>77.67653759</v>
      </c>
      <c r="J145" s="15">
        <f>'Datos procesados'!$F145/'Datos procesados'!$H145*100</f>
        <v>96</v>
      </c>
      <c r="K145" s="16" t="str">
        <f t="shared" si="3"/>
        <v>mejoro</v>
      </c>
      <c r="L145" s="6"/>
      <c r="M145" s="23"/>
      <c r="N145" s="22"/>
      <c r="O145" s="22"/>
      <c r="P145" s="23"/>
      <c r="Q145" s="30"/>
      <c r="R145" s="30"/>
      <c r="S145" s="30"/>
      <c r="T145" s="34"/>
      <c r="U145" s="32"/>
      <c r="V145" s="33"/>
    </row>
    <row r="146" ht="15.75" customHeight="1">
      <c r="A146" s="12">
        <v>31003.0</v>
      </c>
      <c r="B146" s="13" t="s">
        <v>171</v>
      </c>
      <c r="C146" s="12">
        <v>1532.0</v>
      </c>
      <c r="D146" s="12">
        <v>366.0</v>
      </c>
      <c r="E146" s="12">
        <f>'Datos procesados'!$C146+'Datos procesados'!$D146</f>
        <v>1898</v>
      </c>
      <c r="F146" s="12">
        <v>2041.0</v>
      </c>
      <c r="G146" s="12">
        <v>243.0</v>
      </c>
      <c r="H146" s="12">
        <f>'Datos procesados'!$F146+'Datos procesados'!$G146</f>
        <v>2284</v>
      </c>
      <c r="I146" s="14">
        <f>'Datos procesados'!$C146/'Datos procesados'!$E146*100</f>
        <v>80.71654373</v>
      </c>
      <c r="J146" s="15">
        <f>'Datos procesados'!$F146/'Datos procesados'!$H146*100</f>
        <v>89.36077058</v>
      </c>
      <c r="K146" s="16" t="str">
        <f t="shared" si="3"/>
        <v>mejoro</v>
      </c>
      <c r="L146" s="6"/>
      <c r="M146" s="23"/>
      <c r="N146" s="22"/>
      <c r="O146" s="22"/>
      <c r="P146" s="23"/>
      <c r="Q146" s="30"/>
      <c r="R146" s="30"/>
      <c r="S146" s="30"/>
      <c r="T146" s="34"/>
      <c r="U146" s="32"/>
      <c r="V146" s="33"/>
    </row>
    <row r="147" ht="15.75" customHeight="1">
      <c r="A147" s="12">
        <v>31101.0</v>
      </c>
      <c r="B147" s="13" t="s">
        <v>172</v>
      </c>
      <c r="C147" s="12">
        <v>166.0</v>
      </c>
      <c r="D147" s="12">
        <v>346.0</v>
      </c>
      <c r="E147" s="12">
        <f>'Datos procesados'!$C147+'Datos procesados'!$D147</f>
        <v>512</v>
      </c>
      <c r="F147" s="12">
        <v>290.0</v>
      </c>
      <c r="G147" s="12">
        <v>159.0</v>
      </c>
      <c r="H147" s="12">
        <f>'Datos procesados'!$F147+'Datos procesados'!$G147</f>
        <v>449</v>
      </c>
      <c r="I147" s="14">
        <f>'Datos procesados'!$C147/'Datos procesados'!$E147*100</f>
        <v>32.421875</v>
      </c>
      <c r="J147" s="15">
        <f>'Datos procesados'!$F147/'Datos procesados'!$H147*100</f>
        <v>64.58797327</v>
      </c>
      <c r="K147" s="16" t="str">
        <f t="shared" si="3"/>
        <v>mejoro</v>
      </c>
      <c r="L147" s="6"/>
      <c r="M147" s="23"/>
      <c r="N147" s="22"/>
      <c r="O147" s="22"/>
      <c r="P147" s="23"/>
      <c r="Q147" s="30"/>
      <c r="R147" s="30"/>
      <c r="S147" s="30"/>
      <c r="T147" s="34"/>
      <c r="U147" s="32"/>
      <c r="V147" s="33"/>
    </row>
    <row r="148" ht="15.75" customHeight="1">
      <c r="A148" s="12">
        <v>31201.0</v>
      </c>
      <c r="B148" s="13" t="s">
        <v>173</v>
      </c>
      <c r="C148" s="12">
        <v>241.0</v>
      </c>
      <c r="D148" s="12">
        <v>64.0</v>
      </c>
      <c r="E148" s="12">
        <f>'Datos procesados'!$C148+'Datos procesados'!$D148</f>
        <v>305</v>
      </c>
      <c r="F148" s="12">
        <v>372.0</v>
      </c>
      <c r="G148" s="12">
        <v>39.0</v>
      </c>
      <c r="H148" s="12">
        <f>'Datos procesados'!$F148+'Datos procesados'!$G148</f>
        <v>411</v>
      </c>
      <c r="I148" s="14">
        <f>'Datos procesados'!$C148/'Datos procesados'!$E148*100</f>
        <v>79.01639344</v>
      </c>
      <c r="J148" s="15">
        <f>'Datos procesados'!$F148/'Datos procesados'!$H148*100</f>
        <v>90.51094891</v>
      </c>
      <c r="K148" s="16" t="str">
        <f t="shared" si="3"/>
        <v>mejoro</v>
      </c>
      <c r="L148" s="6"/>
      <c r="M148" s="23"/>
      <c r="N148" s="22"/>
      <c r="O148" s="22"/>
      <c r="P148" s="23"/>
      <c r="Q148" s="30"/>
      <c r="R148" s="30"/>
      <c r="S148" s="30"/>
      <c r="T148" s="34"/>
      <c r="U148" s="32"/>
      <c r="V148" s="33"/>
    </row>
    <row r="149" ht="15.75" customHeight="1">
      <c r="A149" s="12">
        <v>31202.0</v>
      </c>
      <c r="B149" s="13" t="s">
        <v>174</v>
      </c>
      <c r="C149" s="12">
        <v>145.0</v>
      </c>
      <c r="D149" s="12">
        <v>52.0</v>
      </c>
      <c r="E149" s="12">
        <f>'Datos procesados'!$C149+'Datos procesados'!$D149</f>
        <v>197</v>
      </c>
      <c r="F149" s="12">
        <v>242.0</v>
      </c>
      <c r="G149" s="12">
        <v>20.0</v>
      </c>
      <c r="H149" s="12">
        <f>'Datos procesados'!$F149+'Datos procesados'!$G149</f>
        <v>262</v>
      </c>
      <c r="I149" s="14">
        <f>'Datos procesados'!$C149/'Datos procesados'!$E149*100</f>
        <v>73.60406091</v>
      </c>
      <c r="J149" s="15">
        <f>'Datos procesados'!$F149/'Datos procesados'!$H149*100</f>
        <v>92.36641221</v>
      </c>
      <c r="K149" s="16" t="str">
        <f t="shared" si="3"/>
        <v>mejoro</v>
      </c>
      <c r="L149" s="6"/>
      <c r="M149" s="23"/>
      <c r="N149" s="22"/>
      <c r="O149" s="22"/>
      <c r="P149" s="23"/>
      <c r="Q149" s="30"/>
      <c r="R149" s="30"/>
      <c r="S149" s="30"/>
      <c r="T149" s="34"/>
      <c r="U149" s="32"/>
      <c r="V149" s="33"/>
    </row>
    <row r="150" ht="15.75" customHeight="1">
      <c r="A150" s="12">
        <v>31203.0</v>
      </c>
      <c r="B150" s="13" t="s">
        <v>175</v>
      </c>
      <c r="C150" s="12">
        <v>188.0</v>
      </c>
      <c r="D150" s="12">
        <v>43.0</v>
      </c>
      <c r="E150" s="12">
        <f>'Datos procesados'!$C150+'Datos procesados'!$D150</f>
        <v>231</v>
      </c>
      <c r="F150" s="12">
        <v>234.0</v>
      </c>
      <c r="G150" s="12">
        <v>11.0</v>
      </c>
      <c r="H150" s="12">
        <f>'Datos procesados'!$F150+'Datos procesados'!$G150</f>
        <v>245</v>
      </c>
      <c r="I150" s="14">
        <f>'Datos procesados'!$C150/'Datos procesados'!$E150*100</f>
        <v>81.38528139</v>
      </c>
      <c r="J150" s="15">
        <f>'Datos procesados'!$F150/'Datos procesados'!$H150*100</f>
        <v>95.51020408</v>
      </c>
      <c r="K150" s="16" t="str">
        <f t="shared" si="3"/>
        <v>mejoro</v>
      </c>
      <c r="L150" s="6"/>
      <c r="M150" s="23"/>
      <c r="N150" s="22"/>
      <c r="O150" s="22"/>
      <c r="P150" s="23"/>
      <c r="Q150" s="30"/>
      <c r="R150" s="30"/>
      <c r="S150" s="30"/>
      <c r="T150" s="34"/>
      <c r="U150" s="32"/>
      <c r="V150" s="33"/>
    </row>
    <row r="151" ht="15.75" customHeight="1">
      <c r="A151" s="12">
        <v>31204.0</v>
      </c>
      <c r="B151" s="13" t="s">
        <v>176</v>
      </c>
      <c r="C151" s="12">
        <v>538.0</v>
      </c>
      <c r="D151" s="12">
        <v>68.0</v>
      </c>
      <c r="E151" s="12">
        <f>'Datos procesados'!$C151+'Datos procesados'!$D151</f>
        <v>606</v>
      </c>
      <c r="F151" s="12">
        <v>620.0</v>
      </c>
      <c r="G151" s="12">
        <v>56.0</v>
      </c>
      <c r="H151" s="12">
        <f>'Datos procesados'!$F151+'Datos procesados'!$G151</f>
        <v>676</v>
      </c>
      <c r="I151" s="14">
        <f>'Datos procesados'!$C151/'Datos procesados'!$E151*100</f>
        <v>88.77887789</v>
      </c>
      <c r="J151" s="15">
        <f>'Datos procesados'!$F151/'Datos procesados'!$H151*100</f>
        <v>91.71597633</v>
      </c>
      <c r="K151" s="16" t="str">
        <f t="shared" si="3"/>
        <v>mejoro</v>
      </c>
      <c r="L151" s="6"/>
      <c r="M151" s="23"/>
      <c r="N151" s="22"/>
      <c r="O151" s="22"/>
      <c r="P151" s="23"/>
      <c r="Q151" s="30"/>
      <c r="R151" s="30"/>
      <c r="S151" s="30"/>
      <c r="T151" s="34"/>
      <c r="U151" s="32"/>
      <c r="V151" s="33"/>
    </row>
    <row r="152" ht="15.75" customHeight="1">
      <c r="A152" s="12">
        <v>31205.0</v>
      </c>
      <c r="B152" s="13" t="s">
        <v>177</v>
      </c>
      <c r="C152" s="12">
        <v>1225.0</v>
      </c>
      <c r="D152" s="12">
        <v>135.0</v>
      </c>
      <c r="E152" s="12">
        <f>'Datos procesados'!$C152+'Datos procesados'!$D152</f>
        <v>1360</v>
      </c>
      <c r="F152" s="12">
        <v>1628.0</v>
      </c>
      <c r="G152" s="12">
        <v>96.0</v>
      </c>
      <c r="H152" s="12">
        <f>'Datos procesados'!$F152+'Datos procesados'!$G152</f>
        <v>1724</v>
      </c>
      <c r="I152" s="14">
        <f>'Datos procesados'!$C152/'Datos procesados'!$E152*100</f>
        <v>90.07352941</v>
      </c>
      <c r="J152" s="15">
        <f>'Datos procesados'!$F152/'Datos procesados'!$H152*100</f>
        <v>94.43155452</v>
      </c>
      <c r="K152" s="16" t="str">
        <f t="shared" si="3"/>
        <v>mejoro</v>
      </c>
      <c r="L152" s="6"/>
      <c r="M152" s="23"/>
      <c r="N152" s="22"/>
      <c r="O152" s="22"/>
      <c r="P152" s="23"/>
      <c r="Q152" s="30"/>
      <c r="R152" s="30"/>
      <c r="S152" s="30"/>
      <c r="T152" s="34"/>
      <c r="U152" s="32"/>
      <c r="V152" s="33"/>
    </row>
    <row r="153" ht="15.75" customHeight="1">
      <c r="A153" s="12">
        <v>31206.0</v>
      </c>
      <c r="B153" s="13" t="s">
        <v>178</v>
      </c>
      <c r="C153" s="12">
        <v>816.0</v>
      </c>
      <c r="D153" s="12">
        <v>130.0</v>
      </c>
      <c r="E153" s="12">
        <f>'Datos procesados'!$C153+'Datos procesados'!$D153</f>
        <v>946</v>
      </c>
      <c r="F153" s="12">
        <v>1155.0</v>
      </c>
      <c r="G153" s="12">
        <v>37.0</v>
      </c>
      <c r="H153" s="12">
        <f>'Datos procesados'!$F153+'Datos procesados'!$G153</f>
        <v>1192</v>
      </c>
      <c r="I153" s="14">
        <f>'Datos procesados'!$C153/'Datos procesados'!$E153*100</f>
        <v>86.25792812</v>
      </c>
      <c r="J153" s="15">
        <f>'Datos procesados'!$F153/'Datos procesados'!$H153*100</f>
        <v>96.89597315</v>
      </c>
      <c r="K153" s="16" t="str">
        <f t="shared" si="3"/>
        <v>mejoro</v>
      </c>
      <c r="L153" s="6"/>
      <c r="M153" s="23"/>
      <c r="N153" s="22"/>
      <c r="O153" s="22"/>
      <c r="P153" s="23"/>
      <c r="Q153" s="30"/>
      <c r="R153" s="30"/>
      <c r="S153" s="30"/>
      <c r="T153" s="34"/>
      <c r="U153" s="32"/>
      <c r="V153" s="33"/>
    </row>
    <row r="154" ht="15.75" customHeight="1">
      <c r="A154" s="12">
        <v>31301.0</v>
      </c>
      <c r="B154" s="13" t="s">
        <v>179</v>
      </c>
      <c r="C154" s="12">
        <v>359.0</v>
      </c>
      <c r="D154" s="12">
        <v>68.0</v>
      </c>
      <c r="E154" s="12">
        <f>'Datos procesados'!$C154+'Datos procesados'!$D154</f>
        <v>427</v>
      </c>
      <c r="F154" s="12">
        <v>421.0</v>
      </c>
      <c r="G154" s="12">
        <v>30.0</v>
      </c>
      <c r="H154" s="12">
        <f>'Datos procesados'!$F154+'Datos procesados'!$G154</f>
        <v>451</v>
      </c>
      <c r="I154" s="14">
        <f>'Datos procesados'!$C154/'Datos procesados'!$E154*100</f>
        <v>84.07494145</v>
      </c>
      <c r="J154" s="15">
        <f>'Datos procesados'!$F154/'Datos procesados'!$H154*100</f>
        <v>93.3481153</v>
      </c>
      <c r="K154" s="16" t="str">
        <f t="shared" si="3"/>
        <v>mejoro</v>
      </c>
      <c r="L154" s="6"/>
      <c r="M154" s="23"/>
      <c r="N154" s="22"/>
      <c r="O154" s="22"/>
      <c r="P154" s="23"/>
      <c r="Q154" s="30"/>
      <c r="R154" s="30"/>
      <c r="S154" s="30"/>
      <c r="T154" s="34"/>
      <c r="U154" s="32"/>
      <c r="V154" s="33"/>
    </row>
    <row r="155" ht="15.75" customHeight="1">
      <c r="A155" s="12">
        <v>31302.0</v>
      </c>
      <c r="B155" s="13" t="s">
        <v>180</v>
      </c>
      <c r="C155" s="12">
        <v>56.0</v>
      </c>
      <c r="D155" s="12">
        <v>46.0</v>
      </c>
      <c r="E155" s="12">
        <f>'Datos procesados'!$C155+'Datos procesados'!$D155</f>
        <v>102</v>
      </c>
      <c r="F155" s="12">
        <v>106.0</v>
      </c>
      <c r="G155" s="12">
        <v>14.0</v>
      </c>
      <c r="H155" s="12">
        <f>'Datos procesados'!$F155+'Datos procesados'!$G155</f>
        <v>120</v>
      </c>
      <c r="I155" s="14">
        <f>'Datos procesados'!$C155/'Datos procesados'!$E155*100</f>
        <v>54.90196078</v>
      </c>
      <c r="J155" s="15">
        <f>'Datos procesados'!$F155/'Datos procesados'!$H155*100</f>
        <v>88.33333333</v>
      </c>
      <c r="K155" s="16" t="str">
        <f t="shared" si="3"/>
        <v>mejoro</v>
      </c>
      <c r="L155" s="6"/>
      <c r="M155" s="23"/>
      <c r="N155" s="22"/>
      <c r="O155" s="22"/>
      <c r="P155" s="23"/>
      <c r="Q155" s="30"/>
      <c r="R155" s="30"/>
      <c r="S155" s="30"/>
      <c r="T155" s="34"/>
      <c r="U155" s="32"/>
      <c r="V155" s="33"/>
    </row>
    <row r="156" ht="15.75" customHeight="1">
      <c r="A156" s="12">
        <v>31303.0</v>
      </c>
      <c r="B156" s="13" t="s">
        <v>181</v>
      </c>
      <c r="C156" s="12">
        <v>31.0</v>
      </c>
      <c r="D156" s="12">
        <v>28.0</v>
      </c>
      <c r="E156" s="12">
        <f>'Datos procesados'!$C156+'Datos procesados'!$D156</f>
        <v>59</v>
      </c>
      <c r="F156" s="12">
        <v>65.0</v>
      </c>
      <c r="G156" s="12">
        <v>4.0</v>
      </c>
      <c r="H156" s="12">
        <f>'Datos procesados'!$F156+'Datos procesados'!$G156</f>
        <v>69</v>
      </c>
      <c r="I156" s="14">
        <f>'Datos procesados'!$C156/'Datos procesados'!$E156*100</f>
        <v>52.54237288</v>
      </c>
      <c r="J156" s="15">
        <f>'Datos procesados'!$F156/'Datos procesados'!$H156*100</f>
        <v>94.20289855</v>
      </c>
      <c r="K156" s="16" t="str">
        <f t="shared" si="3"/>
        <v>mejoro</v>
      </c>
      <c r="L156" s="6"/>
      <c r="M156" s="23"/>
      <c r="N156" s="22"/>
      <c r="O156" s="22"/>
      <c r="P156" s="23"/>
      <c r="Q156" s="30"/>
      <c r="R156" s="30"/>
      <c r="S156" s="30"/>
      <c r="T156" s="34"/>
      <c r="U156" s="32"/>
      <c r="V156" s="33"/>
    </row>
    <row r="157" ht="15.75" customHeight="1">
      <c r="A157" s="12">
        <v>31304.0</v>
      </c>
      <c r="B157" s="13" t="s">
        <v>182</v>
      </c>
      <c r="C157" s="12">
        <v>49.0</v>
      </c>
      <c r="D157" s="12">
        <v>115.0</v>
      </c>
      <c r="E157" s="12">
        <f>'Datos procesados'!$C157+'Datos procesados'!$D157</f>
        <v>164</v>
      </c>
      <c r="F157" s="12">
        <v>96.0</v>
      </c>
      <c r="G157" s="12">
        <v>59.0</v>
      </c>
      <c r="H157" s="12">
        <f>'Datos procesados'!$F157+'Datos procesados'!$G157</f>
        <v>155</v>
      </c>
      <c r="I157" s="14">
        <f>'Datos procesados'!$C157/'Datos procesados'!$E157*100</f>
        <v>29.87804878</v>
      </c>
      <c r="J157" s="15">
        <f>'Datos procesados'!$F157/'Datos procesados'!$H157*100</f>
        <v>61.93548387</v>
      </c>
      <c r="K157" s="16" t="str">
        <f t="shared" si="3"/>
        <v>mejoro</v>
      </c>
      <c r="L157" s="6"/>
      <c r="M157" s="23"/>
      <c r="N157" s="22"/>
      <c r="O157" s="22"/>
      <c r="P157" s="23"/>
      <c r="Q157" s="30"/>
      <c r="R157" s="30"/>
      <c r="S157" s="30"/>
      <c r="T157" s="34"/>
      <c r="U157" s="32"/>
      <c r="V157" s="33"/>
    </row>
    <row r="158" ht="15.75" customHeight="1">
      <c r="A158" s="12">
        <v>31401.0</v>
      </c>
      <c r="B158" s="13" t="s">
        <v>183</v>
      </c>
      <c r="C158" s="12">
        <v>667.0</v>
      </c>
      <c r="D158" s="12">
        <v>39.0</v>
      </c>
      <c r="E158" s="12">
        <f>'Datos procesados'!$C158+'Datos procesados'!$D158</f>
        <v>706</v>
      </c>
      <c r="F158" s="12">
        <v>746.0</v>
      </c>
      <c r="G158" s="12">
        <v>9.0</v>
      </c>
      <c r="H158" s="12">
        <f>'Datos procesados'!$F158+'Datos procesados'!$G158</f>
        <v>755</v>
      </c>
      <c r="I158" s="14">
        <f>'Datos procesados'!$C158/'Datos procesados'!$E158*100</f>
        <v>94.47592068</v>
      </c>
      <c r="J158" s="15">
        <f>'Datos procesados'!$F158/'Datos procesados'!$H158*100</f>
        <v>98.80794702</v>
      </c>
      <c r="K158" s="16" t="str">
        <f t="shared" si="3"/>
        <v>mejoro</v>
      </c>
      <c r="L158" s="6"/>
      <c r="M158" s="23"/>
      <c r="N158" s="22"/>
      <c r="O158" s="22"/>
      <c r="P158" s="23"/>
      <c r="Q158" s="30"/>
      <c r="R158" s="30"/>
      <c r="S158" s="30"/>
      <c r="T158" s="34"/>
      <c r="U158" s="32"/>
      <c r="V158" s="33"/>
    </row>
    <row r="159" ht="15.75" customHeight="1">
      <c r="A159" s="12">
        <v>31402.0</v>
      </c>
      <c r="B159" s="13" t="s">
        <v>184</v>
      </c>
      <c r="C159" s="12">
        <v>191.0</v>
      </c>
      <c r="D159" s="12">
        <v>31.0</v>
      </c>
      <c r="E159" s="12">
        <f>'Datos procesados'!$C159+'Datos procesados'!$D159</f>
        <v>222</v>
      </c>
      <c r="F159" s="12">
        <v>182.0</v>
      </c>
      <c r="G159" s="12">
        <v>2.0</v>
      </c>
      <c r="H159" s="12">
        <f>'Datos procesados'!$F159+'Datos procesados'!$G159</f>
        <v>184</v>
      </c>
      <c r="I159" s="14">
        <f>'Datos procesados'!$C159/'Datos procesados'!$E159*100</f>
        <v>86.03603604</v>
      </c>
      <c r="J159" s="15">
        <f>'Datos procesados'!$F159/'Datos procesados'!$H159*100</f>
        <v>98.91304348</v>
      </c>
      <c r="K159" s="16" t="str">
        <f t="shared" si="3"/>
        <v>mejoro</v>
      </c>
      <c r="L159" s="6"/>
      <c r="M159" s="23"/>
      <c r="N159" s="22"/>
      <c r="O159" s="22"/>
      <c r="P159" s="23"/>
      <c r="Q159" s="30"/>
      <c r="R159" s="30"/>
      <c r="S159" s="30"/>
      <c r="T159" s="34"/>
      <c r="U159" s="32"/>
      <c r="V159" s="33"/>
    </row>
    <row r="160" ht="15.75" customHeight="1">
      <c r="A160" s="12">
        <v>31403.0</v>
      </c>
      <c r="B160" s="13" t="s">
        <v>185</v>
      </c>
      <c r="C160" s="12">
        <v>272.0</v>
      </c>
      <c r="D160" s="12">
        <v>25.0</v>
      </c>
      <c r="E160" s="12">
        <f>'Datos procesados'!$C160+'Datos procesados'!$D160</f>
        <v>297</v>
      </c>
      <c r="F160" s="12">
        <v>289.0</v>
      </c>
      <c r="G160" s="12">
        <v>6.0</v>
      </c>
      <c r="H160" s="12">
        <f>'Datos procesados'!$F160+'Datos procesados'!$G160</f>
        <v>295</v>
      </c>
      <c r="I160" s="14">
        <f>'Datos procesados'!$C160/'Datos procesados'!$E160*100</f>
        <v>91.58249158</v>
      </c>
      <c r="J160" s="15">
        <f>'Datos procesados'!$F160/'Datos procesados'!$H160*100</f>
        <v>97.96610169</v>
      </c>
      <c r="K160" s="16" t="str">
        <f t="shared" si="3"/>
        <v>mejoro</v>
      </c>
      <c r="L160" s="6"/>
      <c r="M160" s="23"/>
      <c r="N160" s="22"/>
      <c r="O160" s="22"/>
      <c r="P160" s="23"/>
      <c r="Q160" s="30"/>
      <c r="R160" s="30"/>
      <c r="S160" s="30"/>
      <c r="T160" s="34"/>
      <c r="U160" s="32"/>
      <c r="V160" s="33"/>
    </row>
    <row r="161" ht="15.75" customHeight="1">
      <c r="A161" s="12">
        <v>31404.0</v>
      </c>
      <c r="B161" s="13" t="s">
        <v>186</v>
      </c>
      <c r="C161" s="12">
        <v>30.0</v>
      </c>
      <c r="D161" s="12">
        <v>2.0</v>
      </c>
      <c r="E161" s="12">
        <f>'Datos procesados'!$C161+'Datos procesados'!$D161</f>
        <v>32</v>
      </c>
      <c r="F161" s="12">
        <v>32.0</v>
      </c>
      <c r="G161" s="12">
        <v>1.0</v>
      </c>
      <c r="H161" s="12">
        <f>'Datos procesados'!$F161+'Datos procesados'!$G161</f>
        <v>33</v>
      </c>
      <c r="I161" s="14">
        <f>'Datos procesados'!$C161/'Datos procesados'!$E161*100</f>
        <v>93.75</v>
      </c>
      <c r="J161" s="15">
        <f>'Datos procesados'!$F161/'Datos procesados'!$H161*100</f>
        <v>96.96969697</v>
      </c>
      <c r="K161" s="16" t="str">
        <f t="shared" si="3"/>
        <v>mejoro</v>
      </c>
      <c r="L161" s="6"/>
      <c r="M161" s="23"/>
      <c r="N161" s="22"/>
      <c r="O161" s="22"/>
      <c r="P161" s="23"/>
      <c r="Q161" s="30"/>
      <c r="R161" s="30"/>
      <c r="S161" s="30"/>
      <c r="T161" s="34"/>
      <c r="U161" s="32"/>
      <c r="V161" s="33"/>
    </row>
    <row r="162" ht="15.75" customHeight="1">
      <c r="A162" s="12">
        <v>31405.0</v>
      </c>
      <c r="B162" s="13" t="s">
        <v>187</v>
      </c>
      <c r="C162" s="12">
        <v>41.0</v>
      </c>
      <c r="D162" s="12">
        <v>7.0</v>
      </c>
      <c r="E162" s="12">
        <f>'Datos procesados'!$C162+'Datos procesados'!$D162</f>
        <v>48</v>
      </c>
      <c r="F162" s="12">
        <v>47.0</v>
      </c>
      <c r="G162" s="12">
        <v>2.0</v>
      </c>
      <c r="H162" s="12">
        <f>'Datos procesados'!$F162+'Datos procesados'!$G162</f>
        <v>49</v>
      </c>
      <c r="I162" s="14">
        <f>'Datos procesados'!$C162/'Datos procesados'!$E162*100</f>
        <v>85.41666667</v>
      </c>
      <c r="J162" s="15">
        <f>'Datos procesados'!$F162/'Datos procesados'!$H162*100</f>
        <v>95.91836735</v>
      </c>
      <c r="K162" s="16" t="str">
        <f t="shared" si="3"/>
        <v>mejoro</v>
      </c>
      <c r="L162" s="6"/>
      <c r="M162" s="23"/>
      <c r="N162" s="22"/>
      <c r="O162" s="22"/>
      <c r="P162" s="23"/>
      <c r="Q162" s="30"/>
      <c r="R162" s="30"/>
      <c r="S162" s="30"/>
      <c r="T162" s="34"/>
      <c r="U162" s="32"/>
      <c r="V162" s="33"/>
    </row>
    <row r="163" ht="15.75" customHeight="1">
      <c r="A163" s="12">
        <v>31501.0</v>
      </c>
      <c r="B163" s="13" t="s">
        <v>188</v>
      </c>
      <c r="C163" s="12">
        <v>46.0</v>
      </c>
      <c r="D163" s="12">
        <v>75.0</v>
      </c>
      <c r="E163" s="12">
        <f>'Datos procesados'!$C163+'Datos procesados'!$D163</f>
        <v>121</v>
      </c>
      <c r="F163" s="12">
        <v>71.0</v>
      </c>
      <c r="G163" s="12">
        <v>46.0</v>
      </c>
      <c r="H163" s="12">
        <f>'Datos procesados'!$F163+'Datos procesados'!$G163</f>
        <v>117</v>
      </c>
      <c r="I163" s="14">
        <f>'Datos procesados'!$C163/'Datos procesados'!$E163*100</f>
        <v>38.01652893</v>
      </c>
      <c r="J163" s="15">
        <f>'Datos procesados'!$F163/'Datos procesados'!$H163*100</f>
        <v>60.68376068</v>
      </c>
      <c r="K163" s="16" t="str">
        <f t="shared" si="3"/>
        <v>mejoro</v>
      </c>
      <c r="L163" s="6"/>
      <c r="M163" s="23"/>
      <c r="N163" s="22"/>
      <c r="O163" s="22"/>
      <c r="P163" s="23"/>
      <c r="Q163" s="30"/>
      <c r="R163" s="30"/>
      <c r="S163" s="30"/>
      <c r="T163" s="34"/>
      <c r="U163" s="32"/>
      <c r="V163" s="33"/>
    </row>
    <row r="164" ht="15.75" customHeight="1">
      <c r="A164" s="12">
        <v>31601.0</v>
      </c>
      <c r="B164" s="13" t="s">
        <v>189</v>
      </c>
      <c r="C164" s="12">
        <v>314.0</v>
      </c>
      <c r="D164" s="12">
        <v>88.0</v>
      </c>
      <c r="E164" s="12">
        <f>'Datos procesados'!$C164+'Datos procesados'!$D164</f>
        <v>402</v>
      </c>
      <c r="F164" s="12">
        <v>316.0</v>
      </c>
      <c r="G164" s="12">
        <v>12.0</v>
      </c>
      <c r="H164" s="12">
        <f>'Datos procesados'!$F164+'Datos procesados'!$G164</f>
        <v>328</v>
      </c>
      <c r="I164" s="14">
        <f>'Datos procesados'!$C164/'Datos procesados'!$E164*100</f>
        <v>78.10945274</v>
      </c>
      <c r="J164" s="15">
        <f>'Datos procesados'!$F164/'Datos procesados'!$H164*100</f>
        <v>96.34146341</v>
      </c>
      <c r="K164" s="16" t="str">
        <f t="shared" si="3"/>
        <v>mejoro</v>
      </c>
      <c r="L164" s="6"/>
      <c r="M164" s="23"/>
      <c r="N164" s="22"/>
      <c r="O164" s="22"/>
      <c r="P164" s="23"/>
      <c r="Q164" s="30"/>
      <c r="R164" s="30"/>
      <c r="S164" s="30"/>
      <c r="T164" s="34"/>
      <c r="U164" s="32"/>
      <c r="V164" s="33"/>
    </row>
    <row r="165" ht="15.75" customHeight="1">
      <c r="A165" s="12">
        <v>31602.0</v>
      </c>
      <c r="B165" s="13" t="s">
        <v>190</v>
      </c>
      <c r="C165" s="12">
        <v>556.0</v>
      </c>
      <c r="D165" s="12">
        <v>51.0</v>
      </c>
      <c r="E165" s="12">
        <f>'Datos procesados'!$C165+'Datos procesados'!$D165</f>
        <v>607</v>
      </c>
      <c r="F165" s="12">
        <v>674.0</v>
      </c>
      <c r="G165" s="12">
        <v>33.0</v>
      </c>
      <c r="H165" s="12">
        <f>'Datos procesados'!$F165+'Datos procesados'!$G165</f>
        <v>707</v>
      </c>
      <c r="I165" s="14">
        <f>'Datos procesados'!$C165/'Datos procesados'!$E165*100</f>
        <v>91.59802306</v>
      </c>
      <c r="J165" s="15">
        <f>'Datos procesados'!$F165/'Datos procesados'!$H165*100</f>
        <v>95.33239038</v>
      </c>
      <c r="K165" s="16" t="str">
        <f t="shared" si="3"/>
        <v>mejoro</v>
      </c>
      <c r="L165" s="6"/>
      <c r="M165" s="23"/>
      <c r="N165" s="22"/>
      <c r="O165" s="22"/>
      <c r="P165" s="23"/>
      <c r="Q165" s="30"/>
      <c r="R165" s="30"/>
      <c r="S165" s="30"/>
      <c r="T165" s="34"/>
      <c r="U165" s="32"/>
      <c r="V165" s="33"/>
    </row>
    <row r="166" ht="15.75" customHeight="1">
      <c r="A166" s="12">
        <v>40101.0</v>
      </c>
      <c r="B166" s="13" t="s">
        <v>24</v>
      </c>
      <c r="C166" s="12">
        <v>7131.0</v>
      </c>
      <c r="D166" s="12">
        <v>673.0</v>
      </c>
      <c r="E166" s="12">
        <f>'Datos procesados'!$C166+'Datos procesados'!$D166</f>
        <v>7804</v>
      </c>
      <c r="F166" s="12">
        <v>6178.0</v>
      </c>
      <c r="G166" s="12">
        <v>257.0</v>
      </c>
      <c r="H166" s="12">
        <f>'Datos procesados'!$F166+'Datos procesados'!$G166</f>
        <v>6435</v>
      </c>
      <c r="I166" s="14">
        <f>'Datos procesados'!$C166/'Datos procesados'!$E166*100</f>
        <v>91.37621732</v>
      </c>
      <c r="J166" s="15">
        <f>'Datos procesados'!$F166/'Datos procesados'!$H166*100</f>
        <v>96.00621601</v>
      </c>
      <c r="K166" s="16" t="str">
        <f t="shared" si="3"/>
        <v>mejoro</v>
      </c>
      <c r="L166" s="6"/>
      <c r="M166" s="23"/>
      <c r="N166" s="22"/>
      <c r="O166" s="22"/>
      <c r="P166" s="23"/>
      <c r="Q166" s="30"/>
      <c r="R166" s="30"/>
      <c r="S166" s="30"/>
      <c r="T166" s="34"/>
      <c r="U166" s="32"/>
      <c r="V166" s="33"/>
    </row>
    <row r="167" ht="15.75" customHeight="1">
      <c r="A167" s="12">
        <v>40102.0</v>
      </c>
      <c r="B167" s="13" t="s">
        <v>191</v>
      </c>
      <c r="C167" s="12">
        <v>399.0</v>
      </c>
      <c r="D167" s="12">
        <v>142.0</v>
      </c>
      <c r="E167" s="12">
        <f>'Datos procesados'!$C167+'Datos procesados'!$D167</f>
        <v>541</v>
      </c>
      <c r="F167" s="12">
        <v>390.0</v>
      </c>
      <c r="G167" s="12">
        <v>35.0</v>
      </c>
      <c r="H167" s="12">
        <f>'Datos procesados'!$F167+'Datos procesados'!$G167</f>
        <v>425</v>
      </c>
      <c r="I167" s="14">
        <f>'Datos procesados'!$C167/'Datos procesados'!$E167*100</f>
        <v>73.75231054</v>
      </c>
      <c r="J167" s="15">
        <f>'Datos procesados'!$F167/'Datos procesados'!$H167*100</f>
        <v>91.76470588</v>
      </c>
      <c r="K167" s="16" t="str">
        <f t="shared" si="3"/>
        <v>mejoro</v>
      </c>
      <c r="L167" s="6"/>
      <c r="M167" s="23"/>
      <c r="N167" s="22"/>
      <c r="O167" s="22"/>
      <c r="P167" s="23"/>
      <c r="Q167" s="30"/>
      <c r="R167" s="30"/>
      <c r="S167" s="30"/>
      <c r="T167" s="34"/>
      <c r="U167" s="32"/>
      <c r="V167" s="33"/>
    </row>
    <row r="168" ht="15.75" customHeight="1">
      <c r="A168" s="12">
        <v>40103.0</v>
      </c>
      <c r="B168" s="13" t="s">
        <v>192</v>
      </c>
      <c r="C168" s="12">
        <v>111.0</v>
      </c>
      <c r="D168" s="12">
        <v>85.0</v>
      </c>
      <c r="E168" s="12">
        <f>'Datos procesados'!$C168+'Datos procesados'!$D168</f>
        <v>196</v>
      </c>
      <c r="F168" s="12">
        <v>95.0</v>
      </c>
      <c r="G168" s="12">
        <v>14.0</v>
      </c>
      <c r="H168" s="12">
        <f>'Datos procesados'!$F168+'Datos procesados'!$G168</f>
        <v>109</v>
      </c>
      <c r="I168" s="14">
        <f>'Datos procesados'!$C168/'Datos procesados'!$E168*100</f>
        <v>56.63265306</v>
      </c>
      <c r="J168" s="15">
        <f>'Datos procesados'!$F168/'Datos procesados'!$H168*100</f>
        <v>87.1559633</v>
      </c>
      <c r="K168" s="16" t="str">
        <f t="shared" si="3"/>
        <v>mejoro</v>
      </c>
      <c r="L168" s="6"/>
      <c r="M168" s="23"/>
      <c r="N168" s="22"/>
      <c r="O168" s="22"/>
      <c r="P168" s="23"/>
      <c r="Q168" s="30"/>
      <c r="R168" s="30"/>
      <c r="S168" s="30"/>
      <c r="T168" s="34"/>
      <c r="U168" s="32"/>
      <c r="V168" s="33"/>
    </row>
    <row r="169" ht="15.75" customHeight="1">
      <c r="A169" s="12">
        <v>40104.0</v>
      </c>
      <c r="B169" s="13" t="s">
        <v>193</v>
      </c>
      <c r="C169" s="12">
        <v>155.0</v>
      </c>
      <c r="D169" s="12">
        <v>86.0</v>
      </c>
      <c r="E169" s="12">
        <f>'Datos procesados'!$C169+'Datos procesados'!$D169</f>
        <v>241</v>
      </c>
      <c r="F169" s="12">
        <v>263.0</v>
      </c>
      <c r="G169" s="12">
        <v>40.0</v>
      </c>
      <c r="H169" s="12">
        <f>'Datos procesados'!$F169+'Datos procesados'!$G169</f>
        <v>303</v>
      </c>
      <c r="I169" s="14">
        <f>'Datos procesados'!$C169/'Datos procesados'!$E169*100</f>
        <v>64.3153527</v>
      </c>
      <c r="J169" s="15">
        <f>'Datos procesados'!$F169/'Datos procesados'!$H169*100</f>
        <v>86.79867987</v>
      </c>
      <c r="K169" s="16" t="str">
        <f t="shared" si="3"/>
        <v>mejoro</v>
      </c>
      <c r="L169" s="6"/>
      <c r="M169" s="23"/>
      <c r="N169" s="22"/>
      <c r="O169" s="22"/>
      <c r="P169" s="23"/>
      <c r="Q169" s="30"/>
      <c r="R169" s="30"/>
      <c r="S169" s="30"/>
      <c r="T169" s="34"/>
      <c r="U169" s="32"/>
      <c r="V169" s="33"/>
    </row>
    <row r="170" ht="15.75" customHeight="1">
      <c r="A170" s="12">
        <v>40201.0</v>
      </c>
      <c r="B170" s="13" t="s">
        <v>194</v>
      </c>
      <c r="C170" s="12">
        <v>446.0</v>
      </c>
      <c r="D170" s="12">
        <v>215.0</v>
      </c>
      <c r="E170" s="12">
        <f>'Datos procesados'!$C170+'Datos procesados'!$D170</f>
        <v>661</v>
      </c>
      <c r="F170" s="12">
        <v>577.0</v>
      </c>
      <c r="G170" s="12">
        <v>143.0</v>
      </c>
      <c r="H170" s="12">
        <f>'Datos procesados'!$F170+'Datos procesados'!$G170</f>
        <v>720</v>
      </c>
      <c r="I170" s="14">
        <f>'Datos procesados'!$C170/'Datos procesados'!$E170*100</f>
        <v>67.47352496</v>
      </c>
      <c r="J170" s="15">
        <f>'Datos procesados'!$F170/'Datos procesados'!$H170*100</f>
        <v>80.13888889</v>
      </c>
      <c r="K170" s="16" t="str">
        <f t="shared" si="3"/>
        <v>mejoro</v>
      </c>
      <c r="L170" s="6"/>
      <c r="M170" s="23"/>
      <c r="N170" s="22"/>
      <c r="O170" s="22"/>
      <c r="P170" s="23"/>
      <c r="Q170" s="30"/>
      <c r="R170" s="30"/>
      <c r="S170" s="30"/>
      <c r="T170" s="34"/>
      <c r="U170" s="32"/>
      <c r="V170" s="33"/>
    </row>
    <row r="171" ht="15.75" customHeight="1">
      <c r="A171" s="12">
        <v>40202.0</v>
      </c>
      <c r="B171" s="13" t="s">
        <v>195</v>
      </c>
      <c r="C171" s="12">
        <v>61.0</v>
      </c>
      <c r="D171" s="12">
        <v>22.0</v>
      </c>
      <c r="E171" s="12">
        <f>'Datos procesados'!$C171+'Datos procesados'!$D171</f>
        <v>83</v>
      </c>
      <c r="F171" s="12">
        <v>63.0</v>
      </c>
      <c r="G171" s="12">
        <v>5.0</v>
      </c>
      <c r="H171" s="12">
        <f>'Datos procesados'!$F171+'Datos procesados'!$G171</f>
        <v>68</v>
      </c>
      <c r="I171" s="14">
        <f>'Datos procesados'!$C171/'Datos procesados'!$E171*100</f>
        <v>73.4939759</v>
      </c>
      <c r="J171" s="15">
        <f>'Datos procesados'!$F171/'Datos procesados'!$H171*100</f>
        <v>92.64705882</v>
      </c>
      <c r="K171" s="16" t="str">
        <f t="shared" si="3"/>
        <v>mejoro</v>
      </c>
      <c r="L171" s="6"/>
      <c r="M171" s="23"/>
      <c r="N171" s="22"/>
      <c r="O171" s="22"/>
      <c r="P171" s="23"/>
      <c r="Q171" s="30"/>
      <c r="R171" s="30"/>
      <c r="S171" s="30"/>
      <c r="T171" s="34"/>
      <c r="U171" s="32"/>
      <c r="V171" s="33"/>
    </row>
    <row r="172" ht="15.75" customHeight="1">
      <c r="A172" s="12">
        <v>40301.0</v>
      </c>
      <c r="B172" s="13" t="s">
        <v>196</v>
      </c>
      <c r="C172" s="12">
        <v>94.0</v>
      </c>
      <c r="D172" s="12">
        <v>76.0</v>
      </c>
      <c r="E172" s="12">
        <f>'Datos procesados'!$C172+'Datos procesados'!$D172</f>
        <v>170</v>
      </c>
      <c r="F172" s="12">
        <v>272.0</v>
      </c>
      <c r="G172" s="12">
        <v>25.0</v>
      </c>
      <c r="H172" s="12">
        <f>'Datos procesados'!$F172+'Datos procesados'!$G172</f>
        <v>297</v>
      </c>
      <c r="I172" s="14">
        <f>'Datos procesados'!$C172/'Datos procesados'!$E172*100</f>
        <v>55.29411765</v>
      </c>
      <c r="J172" s="15">
        <f>'Datos procesados'!$F172/'Datos procesados'!$H172*100</f>
        <v>91.58249158</v>
      </c>
      <c r="K172" s="16" t="str">
        <f t="shared" si="3"/>
        <v>mejoro</v>
      </c>
      <c r="L172" s="6"/>
      <c r="M172" s="23"/>
      <c r="N172" s="22"/>
      <c r="O172" s="22"/>
      <c r="P172" s="23"/>
      <c r="Q172" s="30"/>
      <c r="R172" s="30"/>
      <c r="S172" s="30"/>
      <c r="T172" s="34"/>
      <c r="U172" s="32"/>
      <c r="V172" s="33"/>
    </row>
    <row r="173" ht="15.75" customHeight="1">
      <c r="A173" s="12">
        <v>40302.0</v>
      </c>
      <c r="B173" s="13" t="s">
        <v>197</v>
      </c>
      <c r="C173" s="12">
        <v>21.0</v>
      </c>
      <c r="D173" s="12">
        <v>12.0</v>
      </c>
      <c r="E173" s="12">
        <f>'Datos procesados'!$C173+'Datos procesados'!$D173</f>
        <v>33</v>
      </c>
      <c r="F173" s="12">
        <v>51.0</v>
      </c>
      <c r="G173" s="12">
        <v>7.0</v>
      </c>
      <c r="H173" s="12">
        <f>'Datos procesados'!$F173+'Datos procesados'!$G173</f>
        <v>58</v>
      </c>
      <c r="I173" s="14">
        <f>'Datos procesados'!$C173/'Datos procesados'!$E173*100</f>
        <v>63.63636364</v>
      </c>
      <c r="J173" s="15">
        <f>'Datos procesados'!$F173/'Datos procesados'!$H173*100</f>
        <v>87.93103448</v>
      </c>
      <c r="K173" s="16" t="str">
        <f t="shared" si="3"/>
        <v>mejoro</v>
      </c>
      <c r="L173" s="6"/>
      <c r="M173" s="23"/>
      <c r="N173" s="22"/>
      <c r="O173" s="22"/>
      <c r="P173" s="23"/>
      <c r="Q173" s="30"/>
      <c r="R173" s="30"/>
      <c r="S173" s="30"/>
      <c r="T173" s="34"/>
      <c r="U173" s="32"/>
      <c r="V173" s="33"/>
    </row>
    <row r="174" ht="15.75" customHeight="1">
      <c r="A174" s="12">
        <v>40401.0</v>
      </c>
      <c r="B174" s="13" t="s">
        <v>198</v>
      </c>
      <c r="C174" s="12">
        <v>77.0</v>
      </c>
      <c r="D174" s="12">
        <v>33.0</v>
      </c>
      <c r="E174" s="12">
        <f>'Datos procesados'!$C174+'Datos procesados'!$D174</f>
        <v>110</v>
      </c>
      <c r="F174" s="12">
        <v>80.0</v>
      </c>
      <c r="G174" s="12">
        <v>18.0</v>
      </c>
      <c r="H174" s="12">
        <f>'Datos procesados'!$F174+'Datos procesados'!$G174</f>
        <v>98</v>
      </c>
      <c r="I174" s="14">
        <f>'Datos procesados'!$C174/'Datos procesados'!$E174*100</f>
        <v>70</v>
      </c>
      <c r="J174" s="15">
        <f>'Datos procesados'!$F174/'Datos procesados'!$H174*100</f>
        <v>81.63265306</v>
      </c>
      <c r="K174" s="16" t="str">
        <f t="shared" si="3"/>
        <v>mejoro</v>
      </c>
      <c r="L174" s="6"/>
      <c r="M174" s="23"/>
      <c r="N174" s="22"/>
      <c r="O174" s="22"/>
      <c r="P174" s="23"/>
      <c r="Q174" s="30"/>
      <c r="R174" s="30"/>
      <c r="S174" s="30"/>
      <c r="T174" s="34"/>
      <c r="U174" s="32"/>
      <c r="V174" s="33"/>
    </row>
    <row r="175" ht="15.75" customHeight="1">
      <c r="A175" s="12">
        <v>40402.0</v>
      </c>
      <c r="B175" s="13" t="s">
        <v>199</v>
      </c>
      <c r="C175" s="12">
        <v>63.0</v>
      </c>
      <c r="D175" s="12">
        <v>38.0</v>
      </c>
      <c r="E175" s="12">
        <f>'Datos procesados'!$C175+'Datos procesados'!$D175</f>
        <v>101</v>
      </c>
      <c r="F175" s="12">
        <v>100.0</v>
      </c>
      <c r="G175" s="12">
        <v>11.0</v>
      </c>
      <c r="H175" s="12">
        <f>'Datos procesados'!$F175+'Datos procesados'!$G175</f>
        <v>111</v>
      </c>
      <c r="I175" s="14">
        <f>'Datos procesados'!$C175/'Datos procesados'!$E175*100</f>
        <v>62.37623762</v>
      </c>
      <c r="J175" s="15">
        <f>'Datos procesados'!$F175/'Datos procesados'!$H175*100</f>
        <v>90.09009009</v>
      </c>
      <c r="K175" s="16" t="str">
        <f t="shared" si="3"/>
        <v>mejoro</v>
      </c>
      <c r="L175" s="6"/>
      <c r="M175" s="23"/>
      <c r="N175" s="22"/>
      <c r="O175" s="22"/>
      <c r="P175" s="23"/>
      <c r="Q175" s="30"/>
      <c r="R175" s="30"/>
      <c r="S175" s="30"/>
      <c r="T175" s="34"/>
      <c r="U175" s="32"/>
      <c r="V175" s="33"/>
    </row>
    <row r="176" ht="15.75" customHeight="1">
      <c r="A176" s="12">
        <v>40501.0</v>
      </c>
      <c r="B176" s="13" t="s">
        <v>200</v>
      </c>
      <c r="C176" s="12">
        <v>13.0</v>
      </c>
      <c r="D176" s="12">
        <v>0.0</v>
      </c>
      <c r="E176" s="12">
        <f>'Datos procesados'!$C176+'Datos procesados'!$D176</f>
        <v>13</v>
      </c>
      <c r="F176" s="12">
        <v>51.0</v>
      </c>
      <c r="G176" s="12">
        <v>8.0</v>
      </c>
      <c r="H176" s="12">
        <f>'Datos procesados'!$F176+'Datos procesados'!$G176</f>
        <v>59</v>
      </c>
      <c r="I176" s="14">
        <f>'Datos procesados'!$C176/'Datos procesados'!$E176*100</f>
        <v>100</v>
      </c>
      <c r="J176" s="15">
        <f>'Datos procesados'!$F176/'Datos procesados'!$H176*100</f>
        <v>86.44067797</v>
      </c>
      <c r="K176" s="16" t="str">
        <f t="shared" si="3"/>
        <v>empeoro</v>
      </c>
      <c r="L176" s="6"/>
      <c r="M176" s="23"/>
      <c r="N176" s="22"/>
      <c r="O176" s="22"/>
      <c r="P176" s="23"/>
      <c r="Q176" s="30"/>
      <c r="R176" s="30"/>
      <c r="S176" s="30"/>
      <c r="T176" s="34"/>
      <c r="U176" s="32"/>
      <c r="V176" s="33"/>
    </row>
    <row r="177" ht="15.75" customHeight="1">
      <c r="A177" s="12">
        <v>40502.0</v>
      </c>
      <c r="B177" s="13" t="s">
        <v>201</v>
      </c>
      <c r="C177" s="12">
        <v>40.0</v>
      </c>
      <c r="D177" s="12">
        <v>52.0</v>
      </c>
      <c r="E177" s="12">
        <f>'Datos procesados'!$C177+'Datos procesados'!$D177</f>
        <v>92</v>
      </c>
      <c r="F177" s="12">
        <v>60.0</v>
      </c>
      <c r="G177" s="12">
        <v>12.0</v>
      </c>
      <c r="H177" s="12">
        <f>'Datos procesados'!$F177+'Datos procesados'!$G177</f>
        <v>72</v>
      </c>
      <c r="I177" s="14">
        <f>'Datos procesados'!$C177/'Datos procesados'!$E177*100</f>
        <v>43.47826087</v>
      </c>
      <c r="J177" s="15">
        <f>'Datos procesados'!$F177/'Datos procesados'!$H177*100</f>
        <v>83.33333333</v>
      </c>
      <c r="K177" s="16" t="str">
        <f t="shared" si="3"/>
        <v>mejoro</v>
      </c>
      <c r="L177" s="6"/>
      <c r="M177" s="23"/>
      <c r="N177" s="22"/>
      <c r="O177" s="22"/>
      <c r="P177" s="23"/>
      <c r="Q177" s="30"/>
      <c r="R177" s="30"/>
      <c r="S177" s="30"/>
      <c r="T177" s="34"/>
      <c r="U177" s="32"/>
      <c r="V177" s="33"/>
    </row>
    <row r="178" ht="15.75" customHeight="1">
      <c r="A178" s="12">
        <v>40503.0</v>
      </c>
      <c r="B178" s="13" t="s">
        <v>202</v>
      </c>
      <c r="C178" s="12">
        <v>43.0</v>
      </c>
      <c r="D178" s="12">
        <v>29.0</v>
      </c>
      <c r="E178" s="12">
        <f>'Datos procesados'!$C178+'Datos procesados'!$D178</f>
        <v>72</v>
      </c>
      <c r="F178" s="12">
        <v>23.0</v>
      </c>
      <c r="G178" s="12">
        <v>5.0</v>
      </c>
      <c r="H178" s="12">
        <f>'Datos procesados'!$F178+'Datos procesados'!$G178</f>
        <v>28</v>
      </c>
      <c r="I178" s="14">
        <f>'Datos procesados'!$C178/'Datos procesados'!$E178*100</f>
        <v>59.72222222</v>
      </c>
      <c r="J178" s="15">
        <f>'Datos procesados'!$F178/'Datos procesados'!$H178*100</f>
        <v>82.14285714</v>
      </c>
      <c r="K178" s="16" t="str">
        <f t="shared" si="3"/>
        <v>mejoro</v>
      </c>
      <c r="L178" s="6"/>
      <c r="M178" s="23"/>
      <c r="N178" s="22"/>
      <c r="O178" s="22"/>
      <c r="P178" s="23"/>
      <c r="Q178" s="30"/>
      <c r="R178" s="30"/>
      <c r="S178" s="30"/>
      <c r="T178" s="34"/>
      <c r="U178" s="32"/>
      <c r="V178" s="33"/>
    </row>
    <row r="179" ht="15.75" customHeight="1">
      <c r="A179" s="12">
        <v>40504.0</v>
      </c>
      <c r="B179" s="13" t="s">
        <v>203</v>
      </c>
      <c r="C179" s="12">
        <v>9.0</v>
      </c>
      <c r="D179" s="12">
        <v>8.0</v>
      </c>
      <c r="E179" s="12">
        <f>'Datos procesados'!$C179+'Datos procesados'!$D179</f>
        <v>17</v>
      </c>
      <c r="F179" s="12">
        <v>11.0</v>
      </c>
      <c r="G179" s="12">
        <v>3.0</v>
      </c>
      <c r="H179" s="12">
        <f>'Datos procesados'!$F179+'Datos procesados'!$G179</f>
        <v>14</v>
      </c>
      <c r="I179" s="14">
        <f>'Datos procesados'!$C179/'Datos procesados'!$E179*100</f>
        <v>52.94117647</v>
      </c>
      <c r="J179" s="15">
        <f>'Datos procesados'!$F179/'Datos procesados'!$H179*100</f>
        <v>78.57142857</v>
      </c>
      <c r="K179" s="16" t="str">
        <f t="shared" si="3"/>
        <v>mejoro</v>
      </c>
      <c r="L179" s="6"/>
      <c r="M179" s="23"/>
      <c r="N179" s="22"/>
      <c r="O179" s="22"/>
      <c r="P179" s="23"/>
      <c r="Q179" s="30"/>
      <c r="R179" s="30"/>
      <c r="S179" s="30"/>
      <c r="T179" s="34"/>
      <c r="U179" s="32"/>
      <c r="V179" s="33"/>
    </row>
    <row r="180" ht="15.75" customHeight="1">
      <c r="A180" s="12">
        <v>40505.0</v>
      </c>
      <c r="B180" s="13" t="s">
        <v>204</v>
      </c>
      <c r="C180" s="12">
        <v>56.0</v>
      </c>
      <c r="D180" s="12">
        <v>30.0</v>
      </c>
      <c r="E180" s="12">
        <f>'Datos procesados'!$C180+'Datos procesados'!$D180</f>
        <v>86</v>
      </c>
      <c r="F180" s="12">
        <v>44.0</v>
      </c>
      <c r="G180" s="12">
        <v>16.0</v>
      </c>
      <c r="H180" s="12">
        <f>'Datos procesados'!$F180+'Datos procesados'!$G180</f>
        <v>60</v>
      </c>
      <c r="I180" s="14">
        <f>'Datos procesados'!$C180/'Datos procesados'!$E180*100</f>
        <v>65.11627907</v>
      </c>
      <c r="J180" s="15">
        <f>'Datos procesados'!$F180/'Datos procesados'!$H180*100</f>
        <v>73.33333333</v>
      </c>
      <c r="K180" s="16" t="str">
        <f t="shared" si="3"/>
        <v>mejoro</v>
      </c>
      <c r="L180" s="6"/>
      <c r="M180" s="23"/>
      <c r="N180" s="22"/>
      <c r="O180" s="22"/>
      <c r="P180" s="23"/>
      <c r="Q180" s="30"/>
      <c r="R180" s="30"/>
      <c r="S180" s="30"/>
      <c r="T180" s="34"/>
      <c r="U180" s="32"/>
      <c r="V180" s="33"/>
    </row>
    <row r="181" ht="15.75" customHeight="1">
      <c r="A181" s="12">
        <v>40601.0</v>
      </c>
      <c r="B181" s="13" t="s">
        <v>205</v>
      </c>
      <c r="C181" s="12">
        <v>132.0</v>
      </c>
      <c r="D181" s="12">
        <v>20.0</v>
      </c>
      <c r="E181" s="12">
        <f>'Datos procesados'!$C181+'Datos procesados'!$D181</f>
        <v>152</v>
      </c>
      <c r="F181" s="12">
        <v>182.0</v>
      </c>
      <c r="G181" s="12">
        <v>7.0</v>
      </c>
      <c r="H181" s="12">
        <f>'Datos procesados'!$F181+'Datos procesados'!$G181</f>
        <v>189</v>
      </c>
      <c r="I181" s="14">
        <f>'Datos procesados'!$C181/'Datos procesados'!$E181*100</f>
        <v>86.84210526</v>
      </c>
      <c r="J181" s="15">
        <f>'Datos procesados'!$F181/'Datos procesados'!$H181*100</f>
        <v>96.2962963</v>
      </c>
      <c r="K181" s="16" t="str">
        <f t="shared" si="3"/>
        <v>mejoro</v>
      </c>
      <c r="L181" s="6"/>
      <c r="M181" s="23"/>
      <c r="N181" s="22"/>
      <c r="O181" s="22"/>
      <c r="P181" s="23"/>
      <c r="Q181" s="30"/>
      <c r="R181" s="30"/>
      <c r="S181" s="30"/>
      <c r="T181" s="34"/>
      <c r="U181" s="32"/>
      <c r="V181" s="33"/>
    </row>
    <row r="182" ht="15.75" customHeight="1">
      <c r="A182" s="12">
        <v>40602.0</v>
      </c>
      <c r="B182" s="13" t="s">
        <v>206</v>
      </c>
      <c r="C182" s="12">
        <v>112.0</v>
      </c>
      <c r="D182" s="12">
        <v>20.0</v>
      </c>
      <c r="E182" s="12">
        <f>'Datos procesados'!$C182+'Datos procesados'!$D182</f>
        <v>132</v>
      </c>
      <c r="F182" s="12">
        <v>54.0</v>
      </c>
      <c r="G182" s="12">
        <v>6.0</v>
      </c>
      <c r="H182" s="12">
        <f>'Datos procesados'!$F182+'Datos procesados'!$G182</f>
        <v>60</v>
      </c>
      <c r="I182" s="14">
        <f>'Datos procesados'!$C182/'Datos procesados'!$E182*100</f>
        <v>84.84848485</v>
      </c>
      <c r="J182" s="15">
        <f>'Datos procesados'!$F182/'Datos procesados'!$H182*100</f>
        <v>90</v>
      </c>
      <c r="K182" s="16" t="str">
        <f t="shared" si="3"/>
        <v>mejoro</v>
      </c>
      <c r="L182" s="6"/>
      <c r="M182" s="23"/>
      <c r="N182" s="22"/>
      <c r="O182" s="22"/>
      <c r="P182" s="23"/>
      <c r="Q182" s="30"/>
      <c r="R182" s="30"/>
      <c r="S182" s="30"/>
      <c r="T182" s="34"/>
      <c r="U182" s="32"/>
      <c r="V182" s="33"/>
    </row>
    <row r="183" ht="15.75" customHeight="1">
      <c r="A183" s="12">
        <v>40603.0</v>
      </c>
      <c r="B183" s="13" t="s">
        <v>207</v>
      </c>
      <c r="C183" s="12">
        <v>64.0</v>
      </c>
      <c r="D183" s="12">
        <v>13.0</v>
      </c>
      <c r="E183" s="12">
        <f>'Datos procesados'!$C183+'Datos procesados'!$D183</f>
        <v>77</v>
      </c>
      <c r="F183" s="12">
        <v>71.0</v>
      </c>
      <c r="G183" s="12">
        <v>1.0</v>
      </c>
      <c r="H183" s="12">
        <f>'Datos procesados'!$F183+'Datos procesados'!$G183</f>
        <v>72</v>
      </c>
      <c r="I183" s="14">
        <f>'Datos procesados'!$C183/'Datos procesados'!$E183*100</f>
        <v>83.11688312</v>
      </c>
      <c r="J183" s="15">
        <f>'Datos procesados'!$F183/'Datos procesados'!$H183*100</f>
        <v>98.61111111</v>
      </c>
      <c r="K183" s="16" t="str">
        <f t="shared" si="3"/>
        <v>mejoro</v>
      </c>
      <c r="L183" s="6"/>
      <c r="M183" s="23"/>
      <c r="N183" s="22"/>
      <c r="O183" s="22"/>
      <c r="P183" s="23"/>
      <c r="Q183" s="30"/>
      <c r="R183" s="30"/>
      <c r="S183" s="30"/>
      <c r="T183" s="34"/>
      <c r="U183" s="32"/>
      <c r="V183" s="33"/>
    </row>
    <row r="184" ht="15.75" customHeight="1">
      <c r="A184" s="12">
        <v>40701.0</v>
      </c>
      <c r="B184" s="13" t="s">
        <v>208</v>
      </c>
      <c r="C184" s="12">
        <v>554.0</v>
      </c>
      <c r="D184" s="12">
        <v>54.0</v>
      </c>
      <c r="E184" s="12">
        <f>'Datos procesados'!$C184+'Datos procesados'!$D184</f>
        <v>608</v>
      </c>
      <c r="F184" s="12">
        <v>316.0</v>
      </c>
      <c r="G184" s="12">
        <v>12.0</v>
      </c>
      <c r="H184" s="12">
        <f>'Datos procesados'!$F184+'Datos procesados'!$G184</f>
        <v>328</v>
      </c>
      <c r="I184" s="14">
        <f>'Datos procesados'!$C184/'Datos procesados'!$E184*100</f>
        <v>91.11842105</v>
      </c>
      <c r="J184" s="15">
        <f>'Datos procesados'!$F184/'Datos procesados'!$H184*100</f>
        <v>96.34146341</v>
      </c>
      <c r="K184" s="16" t="str">
        <f t="shared" si="3"/>
        <v>mejoro</v>
      </c>
      <c r="L184" s="6"/>
      <c r="M184" s="23"/>
      <c r="N184" s="22"/>
      <c r="O184" s="22"/>
      <c r="P184" s="23"/>
      <c r="Q184" s="30"/>
      <c r="R184" s="30"/>
      <c r="S184" s="30"/>
      <c r="T184" s="34"/>
      <c r="U184" s="32"/>
      <c r="V184" s="33"/>
    </row>
    <row r="185" ht="15.75" customHeight="1">
      <c r="A185" s="12">
        <v>40702.0</v>
      </c>
      <c r="B185" s="13" t="s">
        <v>209</v>
      </c>
      <c r="C185" s="12">
        <v>103.0</v>
      </c>
      <c r="D185" s="12">
        <v>11.0</v>
      </c>
      <c r="E185" s="12">
        <f>'Datos procesados'!$C185+'Datos procesados'!$D185</f>
        <v>114</v>
      </c>
      <c r="F185" s="12">
        <v>106.0</v>
      </c>
      <c r="G185" s="12">
        <v>7.0</v>
      </c>
      <c r="H185" s="12">
        <f>'Datos procesados'!$F185+'Datos procesados'!$G185</f>
        <v>113</v>
      </c>
      <c r="I185" s="14">
        <f>'Datos procesados'!$C185/'Datos procesados'!$E185*100</f>
        <v>90.35087719</v>
      </c>
      <c r="J185" s="15">
        <f>'Datos procesados'!$F185/'Datos procesados'!$H185*100</f>
        <v>93.80530973</v>
      </c>
      <c r="K185" s="16" t="str">
        <f t="shared" si="3"/>
        <v>mejoro</v>
      </c>
      <c r="L185" s="6"/>
      <c r="M185" s="23"/>
      <c r="N185" s="22"/>
      <c r="O185" s="22"/>
      <c r="P185" s="23"/>
      <c r="Q185" s="30"/>
      <c r="R185" s="30"/>
      <c r="S185" s="30"/>
      <c r="T185" s="34"/>
      <c r="U185" s="32"/>
      <c r="V185" s="33"/>
    </row>
    <row r="186" ht="15.75" customHeight="1">
      <c r="A186" s="12">
        <v>40801.0</v>
      </c>
      <c r="B186" s="13" t="s">
        <v>210</v>
      </c>
      <c r="C186" s="12">
        <v>167.0</v>
      </c>
      <c r="D186" s="12">
        <v>74.0</v>
      </c>
      <c r="E186" s="12">
        <f>'Datos procesados'!$C186+'Datos procesados'!$D186</f>
        <v>241</v>
      </c>
      <c r="F186" s="12">
        <v>248.0</v>
      </c>
      <c r="G186" s="12">
        <v>26.0</v>
      </c>
      <c r="H186" s="12">
        <f>'Datos procesados'!$F186+'Datos procesados'!$G186</f>
        <v>274</v>
      </c>
      <c r="I186" s="14">
        <f>'Datos procesados'!$C186/'Datos procesados'!$E186*100</f>
        <v>69.29460581</v>
      </c>
      <c r="J186" s="15">
        <f>'Datos procesados'!$F186/'Datos procesados'!$H186*100</f>
        <v>90.51094891</v>
      </c>
      <c r="K186" s="16" t="str">
        <f t="shared" si="3"/>
        <v>mejoro</v>
      </c>
      <c r="L186" s="6"/>
      <c r="M186" s="23"/>
      <c r="N186" s="22"/>
      <c r="O186" s="22"/>
      <c r="P186" s="23"/>
      <c r="Q186" s="30"/>
      <c r="R186" s="30"/>
      <c r="S186" s="30"/>
      <c r="T186" s="34"/>
      <c r="U186" s="32"/>
      <c r="V186" s="33"/>
    </row>
    <row r="187" ht="15.75" customHeight="1">
      <c r="A187" s="12">
        <v>40802.0</v>
      </c>
      <c r="B187" s="13" t="s">
        <v>211</v>
      </c>
      <c r="C187" s="12">
        <v>35.0</v>
      </c>
      <c r="D187" s="12">
        <v>20.0</v>
      </c>
      <c r="E187" s="12">
        <f>'Datos procesados'!$C187+'Datos procesados'!$D187</f>
        <v>55</v>
      </c>
      <c r="F187" s="12">
        <v>42.0</v>
      </c>
      <c r="G187" s="12">
        <v>6.0</v>
      </c>
      <c r="H187" s="12">
        <f>'Datos procesados'!$F187+'Datos procesados'!$G187</f>
        <v>48</v>
      </c>
      <c r="I187" s="14">
        <f>'Datos procesados'!$C187/'Datos procesados'!$E187*100</f>
        <v>63.63636364</v>
      </c>
      <c r="J187" s="15">
        <f>'Datos procesados'!$F187/'Datos procesados'!$H187*100</f>
        <v>87.5</v>
      </c>
      <c r="K187" s="16" t="str">
        <f t="shared" si="3"/>
        <v>mejoro</v>
      </c>
      <c r="L187" s="6"/>
      <c r="M187" s="23"/>
      <c r="N187" s="22"/>
      <c r="O187" s="22"/>
      <c r="P187" s="23"/>
      <c r="Q187" s="30"/>
      <c r="R187" s="30"/>
      <c r="S187" s="30"/>
      <c r="T187" s="34"/>
      <c r="U187" s="32"/>
      <c r="V187" s="33"/>
    </row>
    <row r="188" ht="15.75" customHeight="1">
      <c r="A188" s="12">
        <v>40901.0</v>
      </c>
      <c r="B188" s="13" t="s">
        <v>212</v>
      </c>
      <c r="C188" s="12">
        <v>100.0</v>
      </c>
      <c r="D188" s="12">
        <v>83.0</v>
      </c>
      <c r="E188" s="12">
        <f>'Datos procesados'!$C188+'Datos procesados'!$D188</f>
        <v>183</v>
      </c>
      <c r="F188" s="12">
        <v>257.0</v>
      </c>
      <c r="G188" s="12">
        <v>69.0</v>
      </c>
      <c r="H188" s="12">
        <f>'Datos procesados'!$F188+'Datos procesados'!$G188</f>
        <v>326</v>
      </c>
      <c r="I188" s="14">
        <f>'Datos procesados'!$C188/'Datos procesados'!$E188*100</f>
        <v>54.64480874</v>
      </c>
      <c r="J188" s="15">
        <f>'Datos procesados'!$F188/'Datos procesados'!$H188*100</f>
        <v>78.83435583</v>
      </c>
      <c r="K188" s="16" t="str">
        <f t="shared" si="3"/>
        <v>mejoro</v>
      </c>
      <c r="L188" s="6"/>
      <c r="M188" s="23"/>
      <c r="N188" s="22"/>
      <c r="O188" s="22"/>
      <c r="P188" s="23"/>
      <c r="Q188" s="30"/>
      <c r="R188" s="30"/>
      <c r="S188" s="30"/>
      <c r="T188" s="34"/>
      <c r="U188" s="32"/>
      <c r="V188" s="33"/>
    </row>
    <row r="189" ht="15.75" customHeight="1">
      <c r="A189" s="12">
        <v>40902.0</v>
      </c>
      <c r="B189" s="13" t="s">
        <v>213</v>
      </c>
      <c r="C189" s="12">
        <v>14.0</v>
      </c>
      <c r="D189" s="12">
        <v>8.0</v>
      </c>
      <c r="E189" s="12">
        <f>'Datos procesados'!$C189+'Datos procesados'!$D189</f>
        <v>22</v>
      </c>
      <c r="F189" s="12">
        <v>17.0</v>
      </c>
      <c r="G189" s="12">
        <v>4.0</v>
      </c>
      <c r="H189" s="12">
        <f>'Datos procesados'!$F189+'Datos procesados'!$G189</f>
        <v>21</v>
      </c>
      <c r="I189" s="14">
        <f>'Datos procesados'!$C189/'Datos procesados'!$E189*100</f>
        <v>63.63636364</v>
      </c>
      <c r="J189" s="15">
        <f>'Datos procesados'!$F189/'Datos procesados'!$H189*100</f>
        <v>80.95238095</v>
      </c>
      <c r="K189" s="16" t="str">
        <f t="shared" si="3"/>
        <v>mejoro</v>
      </c>
      <c r="L189" s="6"/>
      <c r="M189" s="23"/>
      <c r="N189" s="22"/>
      <c r="O189" s="22"/>
      <c r="P189" s="23"/>
      <c r="Q189" s="30"/>
      <c r="R189" s="30"/>
      <c r="S189" s="30"/>
      <c r="T189" s="34"/>
      <c r="U189" s="32"/>
      <c r="V189" s="33"/>
    </row>
    <row r="190" ht="15.75" customHeight="1">
      <c r="A190" s="12">
        <v>40903.0</v>
      </c>
      <c r="B190" s="13" t="s">
        <v>214</v>
      </c>
      <c r="C190" s="12">
        <v>42.0</v>
      </c>
      <c r="D190" s="12">
        <v>28.0</v>
      </c>
      <c r="E190" s="12">
        <f>'Datos procesados'!$C190+'Datos procesados'!$D190</f>
        <v>70</v>
      </c>
      <c r="F190" s="12">
        <v>31.0</v>
      </c>
      <c r="G190" s="12">
        <v>14.0</v>
      </c>
      <c r="H190" s="12">
        <f>'Datos procesados'!$F190+'Datos procesados'!$G190</f>
        <v>45</v>
      </c>
      <c r="I190" s="14">
        <f>'Datos procesados'!$C190/'Datos procesados'!$E190*100</f>
        <v>60</v>
      </c>
      <c r="J190" s="15">
        <f>'Datos procesados'!$F190/'Datos procesados'!$H190*100</f>
        <v>68.88888889</v>
      </c>
      <c r="K190" s="16" t="str">
        <f t="shared" si="3"/>
        <v>mejoro</v>
      </c>
      <c r="L190" s="6"/>
      <c r="M190" s="23"/>
      <c r="N190" s="22"/>
      <c r="O190" s="22"/>
      <c r="P190" s="23"/>
      <c r="Q190" s="30"/>
      <c r="R190" s="30"/>
      <c r="S190" s="30"/>
      <c r="T190" s="34"/>
      <c r="U190" s="32"/>
      <c r="V190" s="33"/>
    </row>
    <row r="191" ht="15.75" customHeight="1">
      <c r="A191" s="12">
        <v>41001.0</v>
      </c>
      <c r="B191" s="13" t="s">
        <v>215</v>
      </c>
      <c r="C191" s="12">
        <v>112.0</v>
      </c>
      <c r="D191" s="12">
        <v>71.0</v>
      </c>
      <c r="E191" s="12">
        <f>'Datos procesados'!$C191+'Datos procesados'!$D191</f>
        <v>183</v>
      </c>
      <c r="F191" s="12">
        <v>166.0</v>
      </c>
      <c r="G191" s="12">
        <v>13.0</v>
      </c>
      <c r="H191" s="12">
        <f>'Datos procesados'!$F191+'Datos procesados'!$G191</f>
        <v>179</v>
      </c>
      <c r="I191" s="14">
        <f>'Datos procesados'!$C191/'Datos procesados'!$E191*100</f>
        <v>61.20218579</v>
      </c>
      <c r="J191" s="15">
        <f>'Datos procesados'!$F191/'Datos procesados'!$H191*100</f>
        <v>92.73743017</v>
      </c>
      <c r="K191" s="16" t="str">
        <f t="shared" si="3"/>
        <v>mejoro</v>
      </c>
      <c r="L191" s="6"/>
      <c r="M191" s="23"/>
      <c r="N191" s="22"/>
      <c r="O191" s="22"/>
      <c r="P191" s="23"/>
      <c r="Q191" s="30"/>
      <c r="R191" s="30"/>
      <c r="S191" s="30"/>
      <c r="T191" s="34"/>
      <c r="U191" s="32"/>
      <c r="V191" s="33"/>
    </row>
    <row r="192" ht="15.75" customHeight="1">
      <c r="A192" s="12">
        <v>41101.0</v>
      </c>
      <c r="B192" s="13" t="s">
        <v>216</v>
      </c>
      <c r="C192" s="12">
        <v>80.0</v>
      </c>
      <c r="D192" s="12">
        <v>23.0</v>
      </c>
      <c r="E192" s="12">
        <f>'Datos procesados'!$C192+'Datos procesados'!$D192</f>
        <v>103</v>
      </c>
      <c r="F192" s="12">
        <v>87.0</v>
      </c>
      <c r="G192" s="12">
        <v>8.0</v>
      </c>
      <c r="H192" s="12">
        <f>'Datos procesados'!$F192+'Datos procesados'!$G192</f>
        <v>95</v>
      </c>
      <c r="I192" s="14">
        <f>'Datos procesados'!$C192/'Datos procesados'!$E192*100</f>
        <v>77.66990291</v>
      </c>
      <c r="J192" s="15">
        <f>'Datos procesados'!$F192/'Datos procesados'!$H192*100</f>
        <v>91.57894737</v>
      </c>
      <c r="K192" s="16" t="str">
        <f t="shared" si="3"/>
        <v>mejoro</v>
      </c>
      <c r="L192" s="6"/>
      <c r="M192" s="23"/>
      <c r="N192" s="22"/>
      <c r="O192" s="22"/>
      <c r="P192" s="23"/>
      <c r="Q192" s="30"/>
      <c r="R192" s="30"/>
      <c r="S192" s="30"/>
      <c r="T192" s="34"/>
      <c r="U192" s="32"/>
      <c r="V192" s="33"/>
    </row>
    <row r="193" ht="15.75" customHeight="1">
      <c r="A193" s="12">
        <v>41201.0</v>
      </c>
      <c r="B193" s="13" t="s">
        <v>217</v>
      </c>
      <c r="C193" s="12">
        <v>49.0</v>
      </c>
      <c r="D193" s="12">
        <v>37.0</v>
      </c>
      <c r="E193" s="12">
        <f>'Datos procesados'!$C193+'Datos procesados'!$D193</f>
        <v>86</v>
      </c>
      <c r="F193" s="12">
        <v>64.0</v>
      </c>
      <c r="G193" s="12">
        <v>9.0</v>
      </c>
      <c r="H193" s="12">
        <f>'Datos procesados'!$F193+'Datos procesados'!$G193</f>
        <v>73</v>
      </c>
      <c r="I193" s="14">
        <f>'Datos procesados'!$C193/'Datos procesados'!$E193*100</f>
        <v>56.97674419</v>
      </c>
      <c r="J193" s="15">
        <f>'Datos procesados'!$F193/'Datos procesados'!$H193*100</f>
        <v>87.67123288</v>
      </c>
      <c r="K193" s="16" t="str">
        <f t="shared" si="3"/>
        <v>mejoro</v>
      </c>
      <c r="L193" s="6"/>
      <c r="M193" s="23"/>
      <c r="N193" s="22"/>
      <c r="O193" s="22"/>
      <c r="P193" s="23"/>
      <c r="Q193" s="30"/>
      <c r="R193" s="30"/>
      <c r="S193" s="30"/>
      <c r="T193" s="34"/>
      <c r="U193" s="32"/>
      <c r="V193" s="33"/>
    </row>
    <row r="194" ht="15.75" customHeight="1">
      <c r="A194" s="12">
        <v>41202.0</v>
      </c>
      <c r="B194" s="13" t="s">
        <v>218</v>
      </c>
      <c r="C194" s="12">
        <v>30.0</v>
      </c>
      <c r="D194" s="12">
        <v>12.0</v>
      </c>
      <c r="E194" s="12">
        <f>'Datos procesados'!$C194+'Datos procesados'!$D194</f>
        <v>42</v>
      </c>
      <c r="F194" s="12">
        <v>36.0</v>
      </c>
      <c r="G194" s="12">
        <v>6.0</v>
      </c>
      <c r="H194" s="12">
        <f>'Datos procesados'!$F194+'Datos procesados'!$G194</f>
        <v>42</v>
      </c>
      <c r="I194" s="14">
        <f>'Datos procesados'!$C194/'Datos procesados'!$E194*100</f>
        <v>71.42857143</v>
      </c>
      <c r="J194" s="15">
        <f>'Datos procesados'!$F194/'Datos procesados'!$H194*100</f>
        <v>85.71428571</v>
      </c>
      <c r="K194" s="16" t="str">
        <f t="shared" si="3"/>
        <v>mejoro</v>
      </c>
      <c r="L194" s="6"/>
      <c r="M194" s="23"/>
      <c r="N194" s="22"/>
      <c r="O194" s="22"/>
      <c r="P194" s="23"/>
      <c r="Q194" s="30"/>
      <c r="R194" s="30"/>
      <c r="S194" s="30"/>
      <c r="T194" s="34"/>
      <c r="U194" s="32"/>
      <c r="V194" s="33"/>
    </row>
    <row r="195" ht="15.75" customHeight="1">
      <c r="A195" s="12">
        <v>41301.0</v>
      </c>
      <c r="B195" s="13" t="s">
        <v>219</v>
      </c>
      <c r="C195" s="12">
        <v>62.0</v>
      </c>
      <c r="D195" s="12">
        <v>61.0</v>
      </c>
      <c r="E195" s="12">
        <f>'Datos procesados'!$C195+'Datos procesados'!$D195</f>
        <v>123</v>
      </c>
      <c r="F195" s="12">
        <v>74.0</v>
      </c>
      <c r="G195" s="12">
        <v>23.0</v>
      </c>
      <c r="H195" s="12">
        <f>'Datos procesados'!$F195+'Datos procesados'!$G195</f>
        <v>97</v>
      </c>
      <c r="I195" s="14">
        <f>'Datos procesados'!$C195/'Datos procesados'!$E195*100</f>
        <v>50.40650407</v>
      </c>
      <c r="J195" s="15">
        <f>'Datos procesados'!$F195/'Datos procesados'!$H195*100</f>
        <v>76.28865979</v>
      </c>
      <c r="K195" s="16" t="str">
        <f t="shared" si="3"/>
        <v>mejoro</v>
      </c>
      <c r="L195" s="6"/>
      <c r="M195" s="23"/>
      <c r="N195" s="22"/>
      <c r="O195" s="22"/>
      <c r="P195" s="23"/>
      <c r="Q195" s="30"/>
      <c r="R195" s="30"/>
      <c r="S195" s="30"/>
      <c r="T195" s="34"/>
      <c r="U195" s="32"/>
      <c r="V195" s="33"/>
    </row>
    <row r="196" ht="15.75" customHeight="1">
      <c r="A196" s="12">
        <v>41401.0</v>
      </c>
      <c r="B196" s="13" t="s">
        <v>220</v>
      </c>
      <c r="C196" s="12">
        <v>226.0</v>
      </c>
      <c r="D196" s="12">
        <v>77.0</v>
      </c>
      <c r="E196" s="12">
        <f>'Datos procesados'!$C196+'Datos procesados'!$D196</f>
        <v>303</v>
      </c>
      <c r="F196" s="12">
        <v>144.0</v>
      </c>
      <c r="G196" s="12">
        <v>28.0</v>
      </c>
      <c r="H196" s="12">
        <f>'Datos procesados'!$F196+'Datos procesados'!$G196</f>
        <v>172</v>
      </c>
      <c r="I196" s="14">
        <f>'Datos procesados'!$C196/'Datos procesados'!$E196*100</f>
        <v>74.58745875</v>
      </c>
      <c r="J196" s="15">
        <f>'Datos procesados'!$F196/'Datos procesados'!$H196*100</f>
        <v>83.72093023</v>
      </c>
      <c r="K196" s="16" t="str">
        <f t="shared" si="3"/>
        <v>mejoro</v>
      </c>
      <c r="L196" s="6"/>
      <c r="M196" s="23"/>
      <c r="N196" s="22"/>
      <c r="O196" s="22"/>
      <c r="P196" s="23"/>
      <c r="Q196" s="30"/>
      <c r="R196" s="30"/>
      <c r="S196" s="30"/>
      <c r="T196" s="34"/>
      <c r="U196" s="32"/>
      <c r="V196" s="33"/>
    </row>
    <row r="197" ht="15.75" customHeight="1">
      <c r="A197" s="12">
        <v>41501.0</v>
      </c>
      <c r="B197" s="13" t="s">
        <v>221</v>
      </c>
      <c r="C197" s="12">
        <v>9.0</v>
      </c>
      <c r="D197" s="12">
        <v>11.0</v>
      </c>
      <c r="E197" s="12">
        <f>'Datos procesados'!$C197+'Datos procesados'!$D197</f>
        <v>20</v>
      </c>
      <c r="F197" s="12">
        <v>22.0</v>
      </c>
      <c r="G197" s="12">
        <v>6.0</v>
      </c>
      <c r="H197" s="12">
        <f>'Datos procesados'!$F197+'Datos procesados'!$G197</f>
        <v>28</v>
      </c>
      <c r="I197" s="14">
        <f>'Datos procesados'!$C197/'Datos procesados'!$E197*100</f>
        <v>45</v>
      </c>
      <c r="J197" s="15">
        <f>'Datos procesados'!$F197/'Datos procesados'!$H197*100</f>
        <v>78.57142857</v>
      </c>
      <c r="K197" s="16" t="str">
        <f t="shared" si="3"/>
        <v>mejoro</v>
      </c>
      <c r="L197" s="6"/>
      <c r="M197" s="23"/>
      <c r="N197" s="22"/>
      <c r="O197" s="22"/>
      <c r="P197" s="23"/>
      <c r="Q197" s="30"/>
      <c r="R197" s="30"/>
      <c r="S197" s="30"/>
      <c r="T197" s="34"/>
      <c r="U197" s="32"/>
      <c r="V197" s="33"/>
    </row>
    <row r="198" ht="15.75" customHeight="1">
      <c r="A198" s="12">
        <v>41502.0</v>
      </c>
      <c r="B198" s="13" t="s">
        <v>222</v>
      </c>
      <c r="C198" s="12">
        <v>9.0</v>
      </c>
      <c r="D198" s="12">
        <v>13.0</v>
      </c>
      <c r="E198" s="12">
        <f>'Datos procesados'!$C198+'Datos procesados'!$D198</f>
        <v>22</v>
      </c>
      <c r="F198" s="12">
        <v>18.0</v>
      </c>
      <c r="G198" s="12">
        <v>1.0</v>
      </c>
      <c r="H198" s="12">
        <f>'Datos procesados'!$F198+'Datos procesados'!$G198</f>
        <v>19</v>
      </c>
      <c r="I198" s="14">
        <f>'Datos procesados'!$C198/'Datos procesados'!$E198*100</f>
        <v>40.90909091</v>
      </c>
      <c r="J198" s="15">
        <f>'Datos procesados'!$F198/'Datos procesados'!$H198*100</f>
        <v>94.73684211</v>
      </c>
      <c r="K198" s="16" t="str">
        <f t="shared" si="3"/>
        <v>mejoro</v>
      </c>
      <c r="L198" s="6"/>
      <c r="M198" s="23"/>
      <c r="N198" s="22"/>
      <c r="O198" s="22"/>
      <c r="P198" s="23"/>
      <c r="Q198" s="30"/>
      <c r="R198" s="30"/>
      <c r="S198" s="30"/>
      <c r="T198" s="34"/>
      <c r="U198" s="32"/>
      <c r="V198" s="33"/>
    </row>
    <row r="199" ht="15.75" customHeight="1">
      <c r="A199" s="12">
        <v>41503.0</v>
      </c>
      <c r="B199" s="13" t="s">
        <v>223</v>
      </c>
      <c r="C199" s="12">
        <v>8.0</v>
      </c>
      <c r="D199" s="12">
        <v>13.0</v>
      </c>
      <c r="E199" s="12">
        <f>'Datos procesados'!$C199+'Datos procesados'!$D199</f>
        <v>21</v>
      </c>
      <c r="F199" s="12">
        <v>23.0</v>
      </c>
      <c r="G199" s="12">
        <v>2.0</v>
      </c>
      <c r="H199" s="12">
        <f>'Datos procesados'!$F199+'Datos procesados'!$G199</f>
        <v>25</v>
      </c>
      <c r="I199" s="14">
        <f>'Datos procesados'!$C199/'Datos procesados'!$E199*100</f>
        <v>38.0952381</v>
      </c>
      <c r="J199" s="15">
        <f>'Datos procesados'!$F199/'Datos procesados'!$H199*100</f>
        <v>92</v>
      </c>
      <c r="K199" s="16" t="str">
        <f t="shared" si="3"/>
        <v>mejoro</v>
      </c>
      <c r="L199" s="6"/>
      <c r="M199" s="23"/>
      <c r="N199" s="22"/>
      <c r="O199" s="22"/>
      <c r="P199" s="23"/>
      <c r="Q199" s="30"/>
      <c r="R199" s="30"/>
      <c r="S199" s="30"/>
      <c r="T199" s="34"/>
      <c r="U199" s="32"/>
      <c r="V199" s="33"/>
    </row>
    <row r="200" ht="15.75" customHeight="1">
      <c r="A200" s="12">
        <v>41601.0</v>
      </c>
      <c r="B200" s="13" t="s">
        <v>224</v>
      </c>
      <c r="C200" s="12">
        <v>59.0</v>
      </c>
      <c r="D200" s="12">
        <v>47.0</v>
      </c>
      <c r="E200" s="12">
        <f>'Datos procesados'!$C200+'Datos procesados'!$D200</f>
        <v>106</v>
      </c>
      <c r="F200" s="12">
        <v>63.0</v>
      </c>
      <c r="G200" s="12">
        <v>11.0</v>
      </c>
      <c r="H200" s="12">
        <f>'Datos procesados'!$F200+'Datos procesados'!$G200</f>
        <v>74</v>
      </c>
      <c r="I200" s="14">
        <f>'Datos procesados'!$C200/'Datos procesados'!$E200*100</f>
        <v>55.66037736</v>
      </c>
      <c r="J200" s="15">
        <f>'Datos procesados'!$F200/'Datos procesados'!$H200*100</f>
        <v>85.13513514</v>
      </c>
      <c r="K200" s="16" t="str">
        <f t="shared" si="3"/>
        <v>mejoro</v>
      </c>
      <c r="L200" s="6"/>
      <c r="M200" s="23"/>
      <c r="N200" s="22"/>
      <c r="O200" s="22"/>
      <c r="P200" s="23"/>
      <c r="Q200" s="30"/>
      <c r="R200" s="30"/>
      <c r="S200" s="30"/>
      <c r="T200" s="34"/>
      <c r="U200" s="32"/>
      <c r="V200" s="33"/>
    </row>
    <row r="201" ht="15.75" customHeight="1">
      <c r="A201" s="12">
        <v>50101.0</v>
      </c>
      <c r="B201" s="13" t="s">
        <v>26</v>
      </c>
      <c r="C201" s="12">
        <v>5226.0</v>
      </c>
      <c r="D201" s="12">
        <v>562.0</v>
      </c>
      <c r="E201" s="12">
        <f>'Datos procesados'!$C201+'Datos procesados'!$D201</f>
        <v>5788</v>
      </c>
      <c r="F201" s="12">
        <v>4967.0</v>
      </c>
      <c r="G201" s="12">
        <v>183.0</v>
      </c>
      <c r="H201" s="12">
        <f>'Datos procesados'!$F201+'Datos procesados'!$G201</f>
        <v>5150</v>
      </c>
      <c r="I201" s="14">
        <f>'Datos procesados'!$C201/'Datos procesados'!$E201*100</f>
        <v>90.2902557</v>
      </c>
      <c r="J201" s="15">
        <f>'Datos procesados'!$F201/'Datos procesados'!$H201*100</f>
        <v>96.44660194</v>
      </c>
      <c r="K201" s="16" t="str">
        <f t="shared" si="3"/>
        <v>mejoro</v>
      </c>
      <c r="L201" s="6"/>
      <c r="M201" s="23"/>
      <c r="N201" s="22"/>
      <c r="O201" s="22"/>
      <c r="P201" s="23"/>
      <c r="Q201" s="30"/>
      <c r="R201" s="30"/>
      <c r="S201" s="30"/>
      <c r="T201" s="34"/>
      <c r="U201" s="32"/>
      <c r="V201" s="33"/>
    </row>
    <row r="202" ht="15.75" customHeight="1">
      <c r="A202" s="12">
        <v>50102.0</v>
      </c>
      <c r="B202" s="13" t="s">
        <v>225</v>
      </c>
      <c r="C202" s="12">
        <v>150.0</v>
      </c>
      <c r="D202" s="12">
        <v>238.0</v>
      </c>
      <c r="E202" s="12">
        <f>'Datos procesados'!$C202+'Datos procesados'!$D202</f>
        <v>388</v>
      </c>
      <c r="F202" s="12">
        <v>398.0</v>
      </c>
      <c r="G202" s="12">
        <v>130.0</v>
      </c>
      <c r="H202" s="12">
        <f>'Datos procesados'!$F202+'Datos procesados'!$G202</f>
        <v>528</v>
      </c>
      <c r="I202" s="14">
        <f>'Datos procesados'!$C202/'Datos procesados'!$E202*100</f>
        <v>38.65979381</v>
      </c>
      <c r="J202" s="15">
        <f>'Datos procesados'!$F202/'Datos procesados'!$H202*100</f>
        <v>75.37878788</v>
      </c>
      <c r="K202" s="16" t="str">
        <f t="shared" si="3"/>
        <v>mejoro</v>
      </c>
      <c r="L202" s="6"/>
      <c r="M202" s="23"/>
      <c r="N202" s="22"/>
      <c r="O202" s="22"/>
      <c r="P202" s="23"/>
      <c r="Q202" s="30"/>
      <c r="R202" s="30"/>
      <c r="S202" s="30"/>
      <c r="T202" s="34"/>
      <c r="U202" s="32"/>
      <c r="V202" s="33"/>
    </row>
    <row r="203" ht="15.75" customHeight="1">
      <c r="A203" s="12">
        <v>50103.0</v>
      </c>
      <c r="B203" s="13" t="s">
        <v>226</v>
      </c>
      <c r="C203" s="12">
        <v>151.0</v>
      </c>
      <c r="D203" s="12">
        <v>27.0</v>
      </c>
      <c r="E203" s="12">
        <f>'Datos procesados'!$C203+'Datos procesados'!$D203</f>
        <v>178</v>
      </c>
      <c r="F203" s="12">
        <v>193.0</v>
      </c>
      <c r="G203" s="12">
        <v>3.0</v>
      </c>
      <c r="H203" s="12">
        <f>'Datos procesados'!$F203+'Datos procesados'!$G203</f>
        <v>196</v>
      </c>
      <c r="I203" s="14">
        <f>'Datos procesados'!$C203/'Datos procesados'!$E203*100</f>
        <v>84.83146067</v>
      </c>
      <c r="J203" s="15">
        <f>'Datos procesados'!$F203/'Datos procesados'!$H203*100</f>
        <v>98.46938776</v>
      </c>
      <c r="K203" s="16" t="str">
        <f t="shared" si="3"/>
        <v>mejoro</v>
      </c>
      <c r="L203" s="6"/>
      <c r="M203" s="23"/>
      <c r="N203" s="22"/>
      <c r="O203" s="22"/>
      <c r="P203" s="23"/>
      <c r="Q203" s="30"/>
      <c r="R203" s="30"/>
      <c r="S203" s="30"/>
      <c r="T203" s="34"/>
      <c r="U203" s="32"/>
      <c r="V203" s="33"/>
    </row>
    <row r="204" ht="15.75" customHeight="1">
      <c r="A204" s="12">
        <v>50104.0</v>
      </c>
      <c r="B204" s="13" t="s">
        <v>227</v>
      </c>
      <c r="C204" s="12">
        <v>37.0</v>
      </c>
      <c r="D204" s="12">
        <v>26.0</v>
      </c>
      <c r="E204" s="12">
        <f>'Datos procesados'!$C204+'Datos procesados'!$D204</f>
        <v>63</v>
      </c>
      <c r="F204" s="12">
        <v>47.0</v>
      </c>
      <c r="G204" s="12">
        <v>8.0</v>
      </c>
      <c r="H204" s="12">
        <f>'Datos procesados'!$F204+'Datos procesados'!$G204</f>
        <v>55</v>
      </c>
      <c r="I204" s="14">
        <f>'Datos procesados'!$C204/'Datos procesados'!$E204*100</f>
        <v>58.73015873</v>
      </c>
      <c r="J204" s="15">
        <f>'Datos procesados'!$F204/'Datos procesados'!$H204*100</f>
        <v>85.45454545</v>
      </c>
      <c r="K204" s="16" t="str">
        <f t="shared" si="3"/>
        <v>mejoro</v>
      </c>
      <c r="L204" s="6"/>
      <c r="M204" s="23"/>
      <c r="N204" s="22"/>
      <c r="O204" s="22"/>
      <c r="P204" s="23"/>
      <c r="Q204" s="30"/>
      <c r="R204" s="30"/>
      <c r="S204" s="30"/>
      <c r="T204" s="34"/>
      <c r="U204" s="32"/>
      <c r="V204" s="33"/>
    </row>
    <row r="205" ht="15.75" customHeight="1">
      <c r="A205" s="12">
        <v>50201.0</v>
      </c>
      <c r="B205" s="13" t="s">
        <v>228</v>
      </c>
      <c r="C205" s="12">
        <v>370.0</v>
      </c>
      <c r="D205" s="12">
        <v>162.0</v>
      </c>
      <c r="E205" s="12">
        <f>'Datos procesados'!$C205+'Datos procesados'!$D205</f>
        <v>532</v>
      </c>
      <c r="F205" s="12">
        <v>433.0</v>
      </c>
      <c r="G205" s="12">
        <v>67.0</v>
      </c>
      <c r="H205" s="12">
        <f>'Datos procesados'!$F205+'Datos procesados'!$G205</f>
        <v>500</v>
      </c>
      <c r="I205" s="14">
        <f>'Datos procesados'!$C205/'Datos procesados'!$E205*100</f>
        <v>69.54887218</v>
      </c>
      <c r="J205" s="15">
        <f>'Datos procesados'!$F205/'Datos procesados'!$H205*100</f>
        <v>86.6</v>
      </c>
      <c r="K205" s="16" t="str">
        <f t="shared" si="3"/>
        <v>mejoro</v>
      </c>
      <c r="L205" s="6"/>
      <c r="M205" s="23"/>
      <c r="N205" s="22"/>
      <c r="O205" s="22"/>
      <c r="P205" s="23"/>
      <c r="Q205" s="30"/>
      <c r="R205" s="30"/>
      <c r="S205" s="30"/>
      <c r="T205" s="34"/>
      <c r="U205" s="32"/>
      <c r="V205" s="33"/>
    </row>
    <row r="206" ht="15.75" customHeight="1">
      <c r="A206" s="12">
        <v>50202.0</v>
      </c>
      <c r="B206" s="13" t="s">
        <v>229</v>
      </c>
      <c r="C206" s="12">
        <v>191.0</v>
      </c>
      <c r="D206" s="12">
        <v>102.0</v>
      </c>
      <c r="E206" s="12">
        <f>'Datos procesados'!$C206+'Datos procesados'!$D206</f>
        <v>293</v>
      </c>
      <c r="F206" s="12">
        <v>292.0</v>
      </c>
      <c r="G206" s="12">
        <v>49.0</v>
      </c>
      <c r="H206" s="12">
        <f>'Datos procesados'!$F206+'Datos procesados'!$G206</f>
        <v>341</v>
      </c>
      <c r="I206" s="14">
        <f>'Datos procesados'!$C206/'Datos procesados'!$E206*100</f>
        <v>65.18771331</v>
      </c>
      <c r="J206" s="15">
        <f>'Datos procesados'!$F206/'Datos procesados'!$H206*100</f>
        <v>85.63049853</v>
      </c>
      <c r="K206" s="16" t="str">
        <f t="shared" si="3"/>
        <v>mejoro</v>
      </c>
      <c r="L206" s="6"/>
      <c r="M206" s="23"/>
      <c r="N206" s="22"/>
      <c r="O206" s="22"/>
      <c r="P206" s="23"/>
      <c r="Q206" s="30"/>
      <c r="R206" s="30"/>
      <c r="S206" s="30"/>
      <c r="T206" s="34"/>
      <c r="U206" s="32"/>
      <c r="V206" s="33"/>
    </row>
    <row r="207" ht="15.75" customHeight="1">
      <c r="A207" s="12">
        <v>50203.0</v>
      </c>
      <c r="B207" s="13" t="s">
        <v>230</v>
      </c>
      <c r="C207" s="12">
        <v>969.0</v>
      </c>
      <c r="D207" s="12">
        <v>135.0</v>
      </c>
      <c r="E207" s="12">
        <f>'Datos procesados'!$C207+'Datos procesados'!$D207</f>
        <v>1104</v>
      </c>
      <c r="F207" s="12">
        <v>962.0</v>
      </c>
      <c r="G207" s="12">
        <v>88.0</v>
      </c>
      <c r="H207" s="12">
        <f>'Datos procesados'!$F207+'Datos procesados'!$G207</f>
        <v>1050</v>
      </c>
      <c r="I207" s="14">
        <f>'Datos procesados'!$C207/'Datos procesados'!$E207*100</f>
        <v>87.77173913</v>
      </c>
      <c r="J207" s="15">
        <f>'Datos procesados'!$F207/'Datos procesados'!$H207*100</f>
        <v>91.61904762</v>
      </c>
      <c r="K207" s="16" t="str">
        <f t="shared" si="3"/>
        <v>mejoro</v>
      </c>
      <c r="L207" s="6"/>
      <c r="M207" s="23"/>
      <c r="N207" s="22"/>
      <c r="O207" s="22"/>
      <c r="P207" s="23"/>
      <c r="Q207" s="30"/>
      <c r="R207" s="30"/>
      <c r="S207" s="30"/>
      <c r="T207" s="34"/>
      <c r="U207" s="32"/>
      <c r="V207" s="33"/>
    </row>
    <row r="208" ht="15.75" customHeight="1">
      <c r="A208" s="12">
        <v>50204.0</v>
      </c>
      <c r="B208" s="13" t="s">
        <v>231</v>
      </c>
      <c r="C208" s="12">
        <v>72.0</v>
      </c>
      <c r="D208" s="12">
        <v>97.0</v>
      </c>
      <c r="E208" s="12">
        <f>'Datos procesados'!$C208+'Datos procesados'!$D208</f>
        <v>169</v>
      </c>
      <c r="F208" s="12">
        <v>136.0</v>
      </c>
      <c r="G208" s="12">
        <v>46.0</v>
      </c>
      <c r="H208" s="12">
        <f>'Datos procesados'!$F208+'Datos procesados'!$G208</f>
        <v>182</v>
      </c>
      <c r="I208" s="14">
        <f>'Datos procesados'!$C208/'Datos procesados'!$E208*100</f>
        <v>42.6035503</v>
      </c>
      <c r="J208" s="15">
        <f>'Datos procesados'!$F208/'Datos procesados'!$H208*100</f>
        <v>74.72527473</v>
      </c>
      <c r="K208" s="16" t="str">
        <f t="shared" si="3"/>
        <v>mejoro</v>
      </c>
      <c r="L208" s="6"/>
      <c r="M208" s="23"/>
      <c r="N208" s="22"/>
      <c r="O208" s="22"/>
      <c r="P208" s="23"/>
      <c r="Q208" s="30"/>
      <c r="R208" s="30"/>
      <c r="S208" s="30"/>
      <c r="T208" s="34"/>
      <c r="U208" s="32"/>
      <c r="V208" s="33"/>
    </row>
    <row r="209" ht="15.75" customHeight="1">
      <c r="A209" s="12">
        <v>50301.0</v>
      </c>
      <c r="B209" s="13" t="s">
        <v>232</v>
      </c>
      <c r="C209" s="12">
        <v>413.0</v>
      </c>
      <c r="D209" s="12">
        <v>175.0</v>
      </c>
      <c r="E209" s="12">
        <f>'Datos procesados'!$C209+'Datos procesados'!$D209</f>
        <v>588</v>
      </c>
      <c r="F209" s="12">
        <v>571.0</v>
      </c>
      <c r="G209" s="12">
        <v>56.0</v>
      </c>
      <c r="H209" s="12">
        <f>'Datos procesados'!$F209+'Datos procesados'!$G209</f>
        <v>627</v>
      </c>
      <c r="I209" s="14">
        <f>'Datos procesados'!$C209/'Datos procesados'!$E209*100</f>
        <v>70.23809524</v>
      </c>
      <c r="J209" s="15">
        <f>'Datos procesados'!$F209/'Datos procesados'!$H209*100</f>
        <v>91.06858054</v>
      </c>
      <c r="K209" s="16" t="str">
        <f t="shared" si="3"/>
        <v>mejoro</v>
      </c>
      <c r="L209" s="6"/>
      <c r="M209" s="23"/>
      <c r="N209" s="22"/>
      <c r="O209" s="22"/>
      <c r="P209" s="23"/>
      <c r="Q209" s="30"/>
      <c r="R209" s="30"/>
      <c r="S209" s="30"/>
      <c r="T209" s="34"/>
      <c r="U209" s="32"/>
      <c r="V209" s="33"/>
    </row>
    <row r="210" ht="15.75" customHeight="1">
      <c r="A210" s="12">
        <v>50302.0</v>
      </c>
      <c r="B210" s="13" t="s">
        <v>233</v>
      </c>
      <c r="C210" s="12">
        <v>120.0</v>
      </c>
      <c r="D210" s="12">
        <v>50.0</v>
      </c>
      <c r="E210" s="12">
        <f>'Datos procesados'!$C210+'Datos procesados'!$D210</f>
        <v>170</v>
      </c>
      <c r="F210" s="12">
        <v>152.0</v>
      </c>
      <c r="G210" s="12">
        <v>10.0</v>
      </c>
      <c r="H210" s="12">
        <f>'Datos procesados'!$F210+'Datos procesados'!$G210</f>
        <v>162</v>
      </c>
      <c r="I210" s="14">
        <f>'Datos procesados'!$C210/'Datos procesados'!$E210*100</f>
        <v>70.58823529</v>
      </c>
      <c r="J210" s="15">
        <f>'Datos procesados'!$F210/'Datos procesados'!$H210*100</f>
        <v>93.82716049</v>
      </c>
      <c r="K210" s="16" t="str">
        <f t="shared" si="3"/>
        <v>mejoro</v>
      </c>
      <c r="L210" s="6"/>
      <c r="M210" s="23"/>
      <c r="N210" s="22"/>
      <c r="O210" s="22"/>
      <c r="P210" s="23"/>
      <c r="Q210" s="30"/>
      <c r="R210" s="30"/>
      <c r="S210" s="30"/>
      <c r="T210" s="34"/>
      <c r="U210" s="32"/>
      <c r="V210" s="33"/>
    </row>
    <row r="211" ht="15.75" customHeight="1">
      <c r="A211" s="12">
        <v>50303.0</v>
      </c>
      <c r="B211" s="13" t="s">
        <v>234</v>
      </c>
      <c r="C211" s="12">
        <v>77.0</v>
      </c>
      <c r="D211" s="12">
        <v>107.0</v>
      </c>
      <c r="E211" s="12">
        <f>'Datos procesados'!$C211+'Datos procesados'!$D211</f>
        <v>184</v>
      </c>
      <c r="F211" s="12">
        <v>207.0</v>
      </c>
      <c r="G211" s="12">
        <v>64.0</v>
      </c>
      <c r="H211" s="12">
        <f>'Datos procesados'!$F211+'Datos procesados'!$G211</f>
        <v>271</v>
      </c>
      <c r="I211" s="14">
        <f>'Datos procesados'!$C211/'Datos procesados'!$E211*100</f>
        <v>41.84782609</v>
      </c>
      <c r="J211" s="15">
        <f>'Datos procesados'!$F211/'Datos procesados'!$H211*100</f>
        <v>76.38376384</v>
      </c>
      <c r="K211" s="16" t="str">
        <f t="shared" si="3"/>
        <v>mejoro</v>
      </c>
      <c r="L211" s="6"/>
      <c r="M211" s="23"/>
      <c r="N211" s="22"/>
      <c r="O211" s="22"/>
      <c r="P211" s="23"/>
      <c r="Q211" s="30"/>
      <c r="R211" s="30"/>
      <c r="S211" s="30"/>
      <c r="T211" s="34"/>
      <c r="U211" s="32"/>
      <c r="V211" s="33"/>
    </row>
    <row r="212" ht="15.75" customHeight="1">
      <c r="A212" s="12">
        <v>50401.0</v>
      </c>
      <c r="B212" s="13" t="s">
        <v>235</v>
      </c>
      <c r="C212" s="12">
        <v>158.0</v>
      </c>
      <c r="D212" s="12">
        <v>120.0</v>
      </c>
      <c r="E212" s="12">
        <f>'Datos procesados'!$C212+'Datos procesados'!$D212</f>
        <v>278</v>
      </c>
      <c r="F212" s="12">
        <v>241.0</v>
      </c>
      <c r="G212" s="12">
        <v>84.0</v>
      </c>
      <c r="H212" s="12">
        <f>'Datos procesados'!$F212+'Datos procesados'!$G212</f>
        <v>325</v>
      </c>
      <c r="I212" s="14">
        <f>'Datos procesados'!$C212/'Datos procesados'!$E212*100</f>
        <v>56.83453237</v>
      </c>
      <c r="J212" s="15">
        <f>'Datos procesados'!$F212/'Datos procesados'!$H212*100</f>
        <v>74.15384615</v>
      </c>
      <c r="K212" s="16" t="str">
        <f t="shared" si="3"/>
        <v>mejoro</v>
      </c>
      <c r="L212" s="6"/>
      <c r="M212" s="23"/>
      <c r="N212" s="22"/>
      <c r="O212" s="22"/>
      <c r="P212" s="23"/>
      <c r="Q212" s="30"/>
      <c r="R212" s="30"/>
      <c r="S212" s="30"/>
      <c r="T212" s="34"/>
      <c r="U212" s="32"/>
      <c r="V212" s="33"/>
    </row>
    <row r="213" ht="15.75" customHeight="1">
      <c r="A213" s="12">
        <v>50402.0</v>
      </c>
      <c r="B213" s="13" t="s">
        <v>236</v>
      </c>
      <c r="C213" s="12">
        <v>175.0</v>
      </c>
      <c r="D213" s="12">
        <v>122.0</v>
      </c>
      <c r="E213" s="12">
        <f>'Datos procesados'!$C213+'Datos procesados'!$D213</f>
        <v>297</v>
      </c>
      <c r="F213" s="12">
        <v>225.0</v>
      </c>
      <c r="G213" s="12">
        <v>32.0</v>
      </c>
      <c r="H213" s="12">
        <f>'Datos procesados'!$F213+'Datos procesados'!$G213</f>
        <v>257</v>
      </c>
      <c r="I213" s="14">
        <f>'Datos procesados'!$C213/'Datos procesados'!$E213*100</f>
        <v>58.92255892</v>
      </c>
      <c r="J213" s="15">
        <f>'Datos procesados'!$F213/'Datos procesados'!$H213*100</f>
        <v>87.54863813</v>
      </c>
      <c r="K213" s="16" t="str">
        <f t="shared" si="3"/>
        <v>mejoro</v>
      </c>
      <c r="L213" s="6"/>
      <c r="M213" s="23"/>
      <c r="N213" s="22"/>
      <c r="O213" s="22"/>
      <c r="P213" s="23"/>
      <c r="Q213" s="30"/>
      <c r="R213" s="30"/>
      <c r="S213" s="30"/>
      <c r="T213" s="34"/>
      <c r="U213" s="32"/>
      <c r="V213" s="33"/>
    </row>
    <row r="214" ht="15.75" customHeight="1">
      <c r="A214" s="12">
        <v>50403.0</v>
      </c>
      <c r="B214" s="13" t="s">
        <v>237</v>
      </c>
      <c r="C214" s="12">
        <v>188.0</v>
      </c>
      <c r="D214" s="12">
        <v>250.0</v>
      </c>
      <c r="E214" s="12">
        <f>'Datos procesados'!$C214+'Datos procesados'!$D214</f>
        <v>438</v>
      </c>
      <c r="F214" s="12">
        <v>445.0</v>
      </c>
      <c r="G214" s="12">
        <v>176.0</v>
      </c>
      <c r="H214" s="12">
        <f>'Datos procesados'!$F214+'Datos procesados'!$G214</f>
        <v>621</v>
      </c>
      <c r="I214" s="14">
        <f>'Datos procesados'!$C214/'Datos procesados'!$E214*100</f>
        <v>42.92237443</v>
      </c>
      <c r="J214" s="15">
        <f>'Datos procesados'!$F214/'Datos procesados'!$H214*100</f>
        <v>71.65861514</v>
      </c>
      <c r="K214" s="16" t="str">
        <f t="shared" si="3"/>
        <v>mejoro</v>
      </c>
      <c r="L214" s="6"/>
      <c r="M214" s="23"/>
      <c r="N214" s="22"/>
      <c r="O214" s="22"/>
      <c r="P214" s="23"/>
      <c r="Q214" s="30"/>
      <c r="R214" s="30"/>
      <c r="S214" s="30"/>
      <c r="T214" s="34"/>
      <c r="U214" s="32"/>
      <c r="V214" s="33"/>
    </row>
    <row r="215" ht="15.75" customHeight="1">
      <c r="A215" s="12">
        <v>50404.0</v>
      </c>
      <c r="B215" s="13" t="s">
        <v>238</v>
      </c>
      <c r="C215" s="12">
        <v>121.0</v>
      </c>
      <c r="D215" s="12">
        <v>124.0</v>
      </c>
      <c r="E215" s="12">
        <f>'Datos procesados'!$C215+'Datos procesados'!$D215</f>
        <v>245</v>
      </c>
      <c r="F215" s="12">
        <v>154.0</v>
      </c>
      <c r="G215" s="12">
        <v>41.0</v>
      </c>
      <c r="H215" s="12">
        <f>'Datos procesados'!$F215+'Datos procesados'!$G215</f>
        <v>195</v>
      </c>
      <c r="I215" s="14">
        <f>'Datos procesados'!$C215/'Datos procesados'!$E215*100</f>
        <v>49.3877551</v>
      </c>
      <c r="J215" s="15">
        <f>'Datos procesados'!$F215/'Datos procesados'!$H215*100</f>
        <v>78.97435897</v>
      </c>
      <c r="K215" s="16" t="str">
        <f t="shared" si="3"/>
        <v>mejoro</v>
      </c>
      <c r="L215" s="6"/>
      <c r="M215" s="23"/>
      <c r="N215" s="22"/>
      <c r="O215" s="22"/>
      <c r="P215" s="23"/>
      <c r="Q215" s="30"/>
      <c r="R215" s="30"/>
      <c r="S215" s="30"/>
      <c r="T215" s="34"/>
      <c r="U215" s="32"/>
      <c r="V215" s="33"/>
    </row>
    <row r="216" ht="15.75" customHeight="1">
      <c r="A216" s="12">
        <v>50405.0</v>
      </c>
      <c r="B216" s="13" t="s">
        <v>239</v>
      </c>
      <c r="C216" s="12">
        <v>125.0</v>
      </c>
      <c r="D216" s="12">
        <v>182.0</v>
      </c>
      <c r="E216" s="12">
        <f>'Datos procesados'!$C216+'Datos procesados'!$D216</f>
        <v>307</v>
      </c>
      <c r="F216" s="12">
        <v>232.0</v>
      </c>
      <c r="G216" s="12">
        <v>118.0</v>
      </c>
      <c r="H216" s="12">
        <f>'Datos procesados'!$F216+'Datos procesados'!$G216</f>
        <v>350</v>
      </c>
      <c r="I216" s="14">
        <f>'Datos procesados'!$C216/'Datos procesados'!$E216*100</f>
        <v>40.71661238</v>
      </c>
      <c r="J216" s="15">
        <f>'Datos procesados'!$F216/'Datos procesados'!$H216*100</f>
        <v>66.28571429</v>
      </c>
      <c r="K216" s="16" t="str">
        <f t="shared" si="3"/>
        <v>mejoro</v>
      </c>
      <c r="L216" s="6"/>
      <c r="M216" s="23"/>
      <c r="N216" s="22"/>
      <c r="O216" s="22"/>
      <c r="P216" s="23"/>
      <c r="Q216" s="30"/>
      <c r="R216" s="30"/>
      <c r="S216" s="30"/>
      <c r="T216" s="34"/>
      <c r="U216" s="32"/>
      <c r="V216" s="33"/>
    </row>
    <row r="217" ht="15.75" customHeight="1">
      <c r="A217" s="12">
        <v>50501.0</v>
      </c>
      <c r="B217" s="13" t="s">
        <v>240</v>
      </c>
      <c r="C217" s="12">
        <v>272.0</v>
      </c>
      <c r="D217" s="12">
        <v>308.0</v>
      </c>
      <c r="E217" s="12">
        <f>'Datos procesados'!$C217+'Datos procesados'!$D217</f>
        <v>580</v>
      </c>
      <c r="F217" s="12">
        <v>324.0</v>
      </c>
      <c r="G217" s="12">
        <v>192.0</v>
      </c>
      <c r="H217" s="12">
        <f>'Datos procesados'!$F217+'Datos procesados'!$G217</f>
        <v>516</v>
      </c>
      <c r="I217" s="14">
        <f>'Datos procesados'!$C217/'Datos procesados'!$E217*100</f>
        <v>46.89655172</v>
      </c>
      <c r="J217" s="15">
        <f>'Datos procesados'!$F217/'Datos procesados'!$H217*100</f>
        <v>62.79069767</v>
      </c>
      <c r="K217" s="16" t="str">
        <f t="shared" si="3"/>
        <v>mejoro</v>
      </c>
      <c r="L217" s="6"/>
      <c r="M217" s="23"/>
      <c r="N217" s="22"/>
      <c r="O217" s="22"/>
      <c r="P217" s="23"/>
      <c r="Q217" s="30"/>
      <c r="R217" s="30"/>
      <c r="S217" s="30"/>
      <c r="T217" s="34"/>
      <c r="U217" s="32"/>
      <c r="V217" s="33"/>
    </row>
    <row r="218" ht="15.75" customHeight="1">
      <c r="A218" s="12">
        <v>50502.0</v>
      </c>
      <c r="B218" s="13" t="s">
        <v>241</v>
      </c>
      <c r="C218" s="12">
        <v>106.0</v>
      </c>
      <c r="D218" s="12">
        <v>84.0</v>
      </c>
      <c r="E218" s="12">
        <f>'Datos procesados'!$C218+'Datos procesados'!$D218</f>
        <v>190</v>
      </c>
      <c r="F218" s="12">
        <v>153.0</v>
      </c>
      <c r="G218" s="12">
        <v>50.0</v>
      </c>
      <c r="H218" s="12">
        <f>'Datos procesados'!$F218+'Datos procesados'!$G218</f>
        <v>203</v>
      </c>
      <c r="I218" s="14">
        <f>'Datos procesados'!$C218/'Datos procesados'!$E218*100</f>
        <v>55.78947368</v>
      </c>
      <c r="J218" s="15">
        <f>'Datos procesados'!$F218/'Datos procesados'!$H218*100</f>
        <v>75.36945813</v>
      </c>
      <c r="K218" s="16" t="str">
        <f t="shared" si="3"/>
        <v>mejoro</v>
      </c>
      <c r="L218" s="6"/>
      <c r="M218" s="23"/>
      <c r="N218" s="22"/>
      <c r="O218" s="22"/>
      <c r="P218" s="23"/>
      <c r="Q218" s="30"/>
      <c r="R218" s="30"/>
      <c r="S218" s="30"/>
      <c r="T218" s="34"/>
      <c r="U218" s="32"/>
      <c r="V218" s="33"/>
    </row>
    <row r="219" ht="15.75" customHeight="1">
      <c r="A219" s="12">
        <v>50601.0</v>
      </c>
      <c r="B219" s="13" t="s">
        <v>242</v>
      </c>
      <c r="C219" s="12">
        <v>523.0</v>
      </c>
      <c r="D219" s="12">
        <v>177.0</v>
      </c>
      <c r="E219" s="12">
        <f>'Datos procesados'!$C219+'Datos procesados'!$D219</f>
        <v>700</v>
      </c>
      <c r="F219" s="12">
        <v>448.0</v>
      </c>
      <c r="G219" s="12">
        <v>36.0</v>
      </c>
      <c r="H219" s="12">
        <f>'Datos procesados'!$F219+'Datos procesados'!$G219</f>
        <v>484</v>
      </c>
      <c r="I219" s="14">
        <f>'Datos procesados'!$C219/'Datos procesados'!$E219*100</f>
        <v>74.71428571</v>
      </c>
      <c r="J219" s="15">
        <f>'Datos procesados'!$F219/'Datos procesados'!$H219*100</f>
        <v>92.56198347</v>
      </c>
      <c r="K219" s="16" t="str">
        <f t="shared" si="3"/>
        <v>mejoro</v>
      </c>
      <c r="L219" s="6"/>
      <c r="M219" s="23"/>
      <c r="N219" s="22"/>
      <c r="O219" s="22"/>
      <c r="P219" s="23"/>
      <c r="Q219" s="30"/>
      <c r="R219" s="30"/>
      <c r="S219" s="30"/>
      <c r="T219" s="34"/>
      <c r="U219" s="32"/>
      <c r="V219" s="33"/>
    </row>
    <row r="220" ht="15.75" customHeight="1">
      <c r="A220" s="12">
        <v>50602.0</v>
      </c>
      <c r="B220" s="13" t="s">
        <v>243</v>
      </c>
      <c r="C220" s="12">
        <v>129.0</v>
      </c>
      <c r="D220" s="12">
        <v>57.0</v>
      </c>
      <c r="E220" s="12">
        <f>'Datos procesados'!$C220+'Datos procesados'!$D220</f>
        <v>186</v>
      </c>
      <c r="F220" s="12">
        <v>161.0</v>
      </c>
      <c r="G220" s="12">
        <v>21.0</v>
      </c>
      <c r="H220" s="12">
        <f>'Datos procesados'!$F220+'Datos procesados'!$G220</f>
        <v>182</v>
      </c>
      <c r="I220" s="14">
        <f>'Datos procesados'!$C220/'Datos procesados'!$E220*100</f>
        <v>69.35483871</v>
      </c>
      <c r="J220" s="15">
        <f>'Datos procesados'!$F220/'Datos procesados'!$H220*100</f>
        <v>88.46153846</v>
      </c>
      <c r="K220" s="16" t="str">
        <f t="shared" si="3"/>
        <v>mejoro</v>
      </c>
      <c r="L220" s="6"/>
      <c r="M220" s="23"/>
      <c r="N220" s="22"/>
      <c r="O220" s="22"/>
      <c r="P220" s="23"/>
      <c r="Q220" s="30"/>
      <c r="R220" s="30"/>
      <c r="S220" s="30"/>
      <c r="T220" s="34"/>
      <c r="U220" s="32"/>
      <c r="V220" s="33"/>
    </row>
    <row r="221" ht="15.75" customHeight="1">
      <c r="A221" s="12">
        <v>50701.0</v>
      </c>
      <c r="B221" s="13" t="s">
        <v>244</v>
      </c>
      <c r="C221" s="12">
        <v>183.0</v>
      </c>
      <c r="D221" s="12">
        <v>163.0</v>
      </c>
      <c r="E221" s="12">
        <f>'Datos procesados'!$C221+'Datos procesados'!$D221</f>
        <v>346</v>
      </c>
      <c r="F221" s="12">
        <v>230.0</v>
      </c>
      <c r="G221" s="12">
        <v>85.0</v>
      </c>
      <c r="H221" s="12">
        <f>'Datos procesados'!$F221+'Datos procesados'!$G221</f>
        <v>315</v>
      </c>
      <c r="I221" s="14">
        <f>'Datos procesados'!$C221/'Datos procesados'!$E221*100</f>
        <v>52.89017341</v>
      </c>
      <c r="J221" s="15">
        <f>'Datos procesados'!$F221/'Datos procesados'!$H221*100</f>
        <v>73.01587302</v>
      </c>
      <c r="K221" s="16" t="str">
        <f t="shared" si="3"/>
        <v>mejoro</v>
      </c>
      <c r="L221" s="6"/>
      <c r="M221" s="23"/>
      <c r="N221" s="22"/>
      <c r="O221" s="22"/>
      <c r="P221" s="23"/>
      <c r="Q221" s="30"/>
      <c r="R221" s="30"/>
      <c r="S221" s="30"/>
      <c r="T221" s="34"/>
      <c r="U221" s="32"/>
      <c r="V221" s="33"/>
    </row>
    <row r="222" ht="15.75" customHeight="1">
      <c r="A222" s="12">
        <v>50702.0</v>
      </c>
      <c r="B222" s="13" t="s">
        <v>245</v>
      </c>
      <c r="C222" s="12">
        <v>63.0</v>
      </c>
      <c r="D222" s="12">
        <v>73.0</v>
      </c>
      <c r="E222" s="12">
        <f>'Datos procesados'!$C222+'Datos procesados'!$D222</f>
        <v>136</v>
      </c>
      <c r="F222" s="12">
        <v>131.0</v>
      </c>
      <c r="G222" s="12">
        <v>43.0</v>
      </c>
      <c r="H222" s="12">
        <f>'Datos procesados'!$F222+'Datos procesados'!$G222</f>
        <v>174</v>
      </c>
      <c r="I222" s="14">
        <f>'Datos procesados'!$C222/'Datos procesados'!$E222*100</f>
        <v>46.32352941</v>
      </c>
      <c r="J222" s="15">
        <f>'Datos procesados'!$F222/'Datos procesados'!$H222*100</f>
        <v>75.28735632</v>
      </c>
      <c r="K222" s="16" t="str">
        <f t="shared" si="3"/>
        <v>mejoro</v>
      </c>
      <c r="L222" s="6"/>
      <c r="M222" s="23"/>
      <c r="N222" s="22"/>
      <c r="O222" s="22"/>
      <c r="P222" s="23"/>
      <c r="Q222" s="30"/>
      <c r="R222" s="30"/>
      <c r="S222" s="30"/>
      <c r="T222" s="34"/>
      <c r="U222" s="32"/>
      <c r="V222" s="33"/>
    </row>
    <row r="223" ht="15.75" customHeight="1">
      <c r="A223" s="12">
        <v>50801.0</v>
      </c>
      <c r="B223" s="13" t="s">
        <v>246</v>
      </c>
      <c r="C223" s="12">
        <v>1014.0</v>
      </c>
      <c r="D223" s="12">
        <v>194.0</v>
      </c>
      <c r="E223" s="12">
        <f>'Datos procesados'!$C223+'Datos procesados'!$D223</f>
        <v>1208</v>
      </c>
      <c r="F223" s="12">
        <v>903.0</v>
      </c>
      <c r="G223" s="12">
        <v>40.0</v>
      </c>
      <c r="H223" s="12">
        <f>'Datos procesados'!$F223+'Datos procesados'!$G223</f>
        <v>943</v>
      </c>
      <c r="I223" s="14">
        <f>'Datos procesados'!$C223/'Datos procesados'!$E223*100</f>
        <v>83.94039735</v>
      </c>
      <c r="J223" s="15">
        <f>'Datos procesados'!$F223/'Datos procesados'!$H223*100</f>
        <v>95.75821845</v>
      </c>
      <c r="K223" s="16" t="str">
        <f t="shared" si="3"/>
        <v>mejoro</v>
      </c>
      <c r="L223" s="6"/>
      <c r="M223" s="23"/>
      <c r="N223" s="22"/>
      <c r="O223" s="22"/>
      <c r="P223" s="23"/>
      <c r="Q223" s="30"/>
      <c r="R223" s="30"/>
      <c r="S223" s="30"/>
      <c r="T223" s="34"/>
      <c r="U223" s="32"/>
      <c r="V223" s="33"/>
    </row>
    <row r="224" ht="15.75" customHeight="1">
      <c r="A224" s="12">
        <v>50802.0</v>
      </c>
      <c r="B224" s="13" t="s">
        <v>247</v>
      </c>
      <c r="C224" s="12">
        <v>285.0</v>
      </c>
      <c r="D224" s="12">
        <v>31.0</v>
      </c>
      <c r="E224" s="12">
        <f>'Datos procesados'!$C224+'Datos procesados'!$D224</f>
        <v>316</v>
      </c>
      <c r="F224" s="12">
        <v>191.0</v>
      </c>
      <c r="G224" s="12">
        <v>6.0</v>
      </c>
      <c r="H224" s="12">
        <f>'Datos procesados'!$F224+'Datos procesados'!$G224</f>
        <v>197</v>
      </c>
      <c r="I224" s="14">
        <f>'Datos procesados'!$C224/'Datos procesados'!$E224*100</f>
        <v>90.18987342</v>
      </c>
      <c r="J224" s="15">
        <f>'Datos procesados'!$F224/'Datos procesados'!$H224*100</f>
        <v>96.95431472</v>
      </c>
      <c r="K224" s="16" t="str">
        <f t="shared" si="3"/>
        <v>mejoro</v>
      </c>
      <c r="L224" s="6"/>
      <c r="M224" s="23"/>
      <c r="N224" s="22"/>
      <c r="O224" s="22"/>
      <c r="P224" s="23"/>
      <c r="Q224" s="30"/>
      <c r="R224" s="30"/>
      <c r="S224" s="30"/>
      <c r="T224" s="34"/>
      <c r="U224" s="32"/>
      <c r="V224" s="33"/>
    </row>
    <row r="225" ht="15.75" customHeight="1">
      <c r="A225" s="12">
        <v>50901.0</v>
      </c>
      <c r="B225" s="13" t="s">
        <v>248</v>
      </c>
      <c r="C225" s="12">
        <v>184.0</v>
      </c>
      <c r="D225" s="12">
        <v>124.0</v>
      </c>
      <c r="E225" s="12">
        <f>'Datos procesados'!$C225+'Datos procesados'!$D225</f>
        <v>308</v>
      </c>
      <c r="F225" s="12">
        <v>219.0</v>
      </c>
      <c r="G225" s="12">
        <v>19.0</v>
      </c>
      <c r="H225" s="12">
        <f>'Datos procesados'!$F225+'Datos procesados'!$G225</f>
        <v>238</v>
      </c>
      <c r="I225" s="14">
        <f>'Datos procesados'!$C225/'Datos procesados'!$E225*100</f>
        <v>59.74025974</v>
      </c>
      <c r="J225" s="15">
        <f>'Datos procesados'!$F225/'Datos procesados'!$H225*100</f>
        <v>92.01680672</v>
      </c>
      <c r="K225" s="16" t="str">
        <f t="shared" si="3"/>
        <v>mejoro</v>
      </c>
      <c r="L225" s="6"/>
      <c r="M225" s="23"/>
      <c r="N225" s="22"/>
      <c r="O225" s="22"/>
      <c r="P225" s="23"/>
      <c r="Q225" s="30"/>
      <c r="R225" s="30"/>
      <c r="S225" s="30"/>
      <c r="T225" s="34"/>
      <c r="U225" s="32"/>
      <c r="V225" s="33"/>
    </row>
    <row r="226" ht="15.75" customHeight="1">
      <c r="A226" s="12">
        <v>50902.0</v>
      </c>
      <c r="B226" s="13" t="s">
        <v>249</v>
      </c>
      <c r="C226" s="12">
        <v>11.0</v>
      </c>
      <c r="D226" s="12">
        <v>6.0</v>
      </c>
      <c r="E226" s="12">
        <f>'Datos procesados'!$C226+'Datos procesados'!$D226</f>
        <v>17</v>
      </c>
      <c r="F226" s="12">
        <v>31.0</v>
      </c>
      <c r="G226" s="12">
        <v>2.0</v>
      </c>
      <c r="H226" s="12">
        <f>'Datos procesados'!$F226+'Datos procesados'!$G226</f>
        <v>33</v>
      </c>
      <c r="I226" s="14">
        <f>'Datos procesados'!$C226/'Datos procesados'!$E226*100</f>
        <v>64.70588235</v>
      </c>
      <c r="J226" s="15">
        <f>'Datos procesados'!$F226/'Datos procesados'!$H226*100</f>
        <v>93.93939394</v>
      </c>
      <c r="K226" s="16" t="str">
        <f t="shared" si="3"/>
        <v>mejoro</v>
      </c>
      <c r="L226" s="6"/>
      <c r="M226" s="23"/>
      <c r="N226" s="22"/>
      <c r="O226" s="22"/>
      <c r="P226" s="23"/>
      <c r="Q226" s="30"/>
      <c r="R226" s="30"/>
      <c r="S226" s="30"/>
      <c r="T226" s="34"/>
      <c r="U226" s="32"/>
      <c r="V226" s="33"/>
    </row>
    <row r="227" ht="15.75" customHeight="1">
      <c r="A227" s="12">
        <v>51001.0</v>
      </c>
      <c r="B227" s="13" t="s">
        <v>250</v>
      </c>
      <c r="C227" s="12">
        <v>44.0</v>
      </c>
      <c r="D227" s="12">
        <v>30.0</v>
      </c>
      <c r="E227" s="12">
        <f>'Datos procesados'!$C227+'Datos procesados'!$D227</f>
        <v>74</v>
      </c>
      <c r="F227" s="12">
        <v>54.0</v>
      </c>
      <c r="G227" s="12">
        <v>8.0</v>
      </c>
      <c r="H227" s="12">
        <f>'Datos procesados'!$F227+'Datos procesados'!$G227</f>
        <v>62</v>
      </c>
      <c r="I227" s="14">
        <f>'Datos procesados'!$C227/'Datos procesados'!$E227*100</f>
        <v>59.45945946</v>
      </c>
      <c r="J227" s="15">
        <f>'Datos procesados'!$F227/'Datos procesados'!$H227*100</f>
        <v>87.09677419</v>
      </c>
      <c r="K227" s="16" t="str">
        <f t="shared" si="3"/>
        <v>mejoro</v>
      </c>
      <c r="L227" s="6"/>
      <c r="M227" s="23"/>
      <c r="N227" s="22"/>
      <c r="O227" s="22"/>
      <c r="P227" s="23"/>
      <c r="Q227" s="30"/>
      <c r="R227" s="30"/>
      <c r="S227" s="30"/>
      <c r="T227" s="34"/>
      <c r="U227" s="32"/>
      <c r="V227" s="33"/>
    </row>
    <row r="228" ht="15.75" customHeight="1">
      <c r="A228" s="12">
        <v>51002.0</v>
      </c>
      <c r="B228" s="13" t="s">
        <v>251</v>
      </c>
      <c r="C228" s="12">
        <v>17.0</v>
      </c>
      <c r="D228" s="12">
        <v>31.0</v>
      </c>
      <c r="E228" s="12">
        <f>'Datos procesados'!$C228+'Datos procesados'!$D228</f>
        <v>48</v>
      </c>
      <c r="F228" s="12">
        <v>14.0</v>
      </c>
      <c r="G228" s="12">
        <v>2.0</v>
      </c>
      <c r="H228" s="12">
        <f>'Datos procesados'!$F228+'Datos procesados'!$G228</f>
        <v>16</v>
      </c>
      <c r="I228" s="14">
        <f>'Datos procesados'!$C228/'Datos procesados'!$E228*100</f>
        <v>35.41666667</v>
      </c>
      <c r="J228" s="15">
        <f>'Datos procesados'!$F228/'Datos procesados'!$H228*100</f>
        <v>87.5</v>
      </c>
      <c r="K228" s="16" t="str">
        <f t="shared" si="3"/>
        <v>mejoro</v>
      </c>
      <c r="L228" s="6"/>
      <c r="M228" s="23"/>
      <c r="N228" s="22"/>
      <c r="O228" s="22"/>
      <c r="P228" s="23"/>
      <c r="Q228" s="30"/>
      <c r="R228" s="30"/>
      <c r="S228" s="30"/>
      <c r="T228" s="34"/>
      <c r="U228" s="32"/>
      <c r="V228" s="33"/>
    </row>
    <row r="229" ht="15.75" customHeight="1">
      <c r="A229" s="12">
        <v>51003.0</v>
      </c>
      <c r="B229" s="13" t="s">
        <v>252</v>
      </c>
      <c r="C229" s="12">
        <v>17.0</v>
      </c>
      <c r="D229" s="12">
        <v>22.0</v>
      </c>
      <c r="E229" s="12">
        <f>'Datos procesados'!$C229+'Datos procesados'!$D229</f>
        <v>39</v>
      </c>
      <c r="F229" s="12">
        <v>32.0</v>
      </c>
      <c r="G229" s="12">
        <v>9.0</v>
      </c>
      <c r="H229" s="12">
        <f>'Datos procesados'!$F229+'Datos procesados'!$G229</f>
        <v>41</v>
      </c>
      <c r="I229" s="14">
        <f>'Datos procesados'!$C229/'Datos procesados'!$E229*100</f>
        <v>43.58974359</v>
      </c>
      <c r="J229" s="15">
        <f>'Datos procesados'!$F229/'Datos procesados'!$H229*100</f>
        <v>78.04878049</v>
      </c>
      <c r="K229" s="16" t="str">
        <f t="shared" si="3"/>
        <v>mejoro</v>
      </c>
      <c r="L229" s="6"/>
      <c r="M229" s="23"/>
      <c r="N229" s="22"/>
      <c r="O229" s="22"/>
      <c r="P229" s="23"/>
      <c r="Q229" s="30"/>
      <c r="R229" s="30"/>
      <c r="S229" s="30"/>
      <c r="T229" s="34"/>
      <c r="U229" s="32"/>
      <c r="V229" s="33"/>
    </row>
    <row r="230" ht="15.75" customHeight="1">
      <c r="A230" s="12">
        <v>51101.0</v>
      </c>
      <c r="B230" s="13" t="s">
        <v>253</v>
      </c>
      <c r="C230" s="12">
        <v>302.0</v>
      </c>
      <c r="D230" s="12">
        <v>120.0</v>
      </c>
      <c r="E230" s="12">
        <f>'Datos procesados'!$C230+'Datos procesados'!$D230</f>
        <v>422</v>
      </c>
      <c r="F230" s="12">
        <v>260.0</v>
      </c>
      <c r="G230" s="12">
        <v>12.0</v>
      </c>
      <c r="H230" s="12">
        <f>'Datos procesados'!$F230+'Datos procesados'!$G230</f>
        <v>272</v>
      </c>
      <c r="I230" s="14">
        <f>'Datos procesados'!$C230/'Datos procesados'!$E230*100</f>
        <v>71.56398104</v>
      </c>
      <c r="J230" s="15">
        <f>'Datos procesados'!$F230/'Datos procesados'!$H230*100</f>
        <v>95.58823529</v>
      </c>
      <c r="K230" s="16" t="str">
        <f t="shared" si="3"/>
        <v>mejoro</v>
      </c>
      <c r="L230" s="6"/>
      <c r="M230" s="23"/>
      <c r="N230" s="22"/>
      <c r="O230" s="22"/>
      <c r="P230" s="23"/>
      <c r="Q230" s="30"/>
      <c r="R230" s="30"/>
      <c r="S230" s="30"/>
      <c r="T230" s="34"/>
      <c r="U230" s="32"/>
      <c r="V230" s="33"/>
    </row>
    <row r="231" ht="15.75" customHeight="1">
      <c r="A231" s="12">
        <v>51102.0</v>
      </c>
      <c r="B231" s="13" t="s">
        <v>254</v>
      </c>
      <c r="C231" s="12">
        <v>194.0</v>
      </c>
      <c r="D231" s="12">
        <v>66.0</v>
      </c>
      <c r="E231" s="12">
        <f>'Datos procesados'!$C231+'Datos procesados'!$D231</f>
        <v>260</v>
      </c>
      <c r="F231" s="12">
        <v>244.0</v>
      </c>
      <c r="G231" s="12">
        <v>26.0</v>
      </c>
      <c r="H231" s="12">
        <f>'Datos procesados'!$F231+'Datos procesados'!$G231</f>
        <v>270</v>
      </c>
      <c r="I231" s="14">
        <f>'Datos procesados'!$C231/'Datos procesados'!$E231*100</f>
        <v>74.61538462</v>
      </c>
      <c r="J231" s="15">
        <f>'Datos procesados'!$F231/'Datos procesados'!$H231*100</f>
        <v>90.37037037</v>
      </c>
      <c r="K231" s="16" t="str">
        <f t="shared" si="3"/>
        <v>mejoro</v>
      </c>
      <c r="L231" s="6"/>
      <c r="M231" s="23"/>
      <c r="N231" s="22"/>
      <c r="O231" s="22"/>
      <c r="P231" s="23"/>
      <c r="Q231" s="30"/>
      <c r="R231" s="30"/>
      <c r="S231" s="30"/>
      <c r="T231" s="34"/>
      <c r="U231" s="32"/>
      <c r="V231" s="33"/>
    </row>
    <row r="232" ht="15.75" customHeight="1">
      <c r="A232" s="12">
        <v>51103.0</v>
      </c>
      <c r="B232" s="13" t="s">
        <v>255</v>
      </c>
      <c r="C232" s="12">
        <v>144.0</v>
      </c>
      <c r="D232" s="12">
        <v>136.0</v>
      </c>
      <c r="E232" s="12">
        <f>'Datos procesados'!$C232+'Datos procesados'!$D232</f>
        <v>280</v>
      </c>
      <c r="F232" s="12">
        <v>250.0</v>
      </c>
      <c r="G232" s="12">
        <v>71.0</v>
      </c>
      <c r="H232" s="12">
        <f>'Datos procesados'!$F232+'Datos procesados'!$G232</f>
        <v>321</v>
      </c>
      <c r="I232" s="14">
        <f>'Datos procesados'!$C232/'Datos procesados'!$E232*100</f>
        <v>51.42857143</v>
      </c>
      <c r="J232" s="15">
        <f>'Datos procesados'!$F232/'Datos procesados'!$H232*100</f>
        <v>77.88161994</v>
      </c>
      <c r="K232" s="16" t="str">
        <f t="shared" si="3"/>
        <v>mejoro</v>
      </c>
      <c r="L232" s="6"/>
      <c r="M232" s="23"/>
      <c r="N232" s="22"/>
      <c r="O232" s="22"/>
      <c r="P232" s="23"/>
      <c r="Q232" s="30"/>
      <c r="R232" s="30"/>
      <c r="S232" s="30"/>
      <c r="T232" s="34"/>
      <c r="U232" s="32"/>
      <c r="V232" s="33"/>
    </row>
    <row r="233" ht="15.75" customHeight="1">
      <c r="A233" s="12">
        <v>51201.0</v>
      </c>
      <c r="B233" s="13" t="s">
        <v>256</v>
      </c>
      <c r="C233" s="12">
        <v>639.0</v>
      </c>
      <c r="D233" s="12">
        <v>157.0</v>
      </c>
      <c r="E233" s="12">
        <f>'Datos procesados'!$C233+'Datos procesados'!$D233</f>
        <v>796</v>
      </c>
      <c r="F233" s="12">
        <v>640.0</v>
      </c>
      <c r="G233" s="12">
        <v>54.0</v>
      </c>
      <c r="H233" s="12">
        <f>'Datos procesados'!$F233+'Datos procesados'!$G233</f>
        <v>694</v>
      </c>
      <c r="I233" s="14">
        <f>'Datos procesados'!$C233/'Datos procesados'!$E233*100</f>
        <v>80.27638191</v>
      </c>
      <c r="J233" s="15">
        <f>'Datos procesados'!$F233/'Datos procesados'!$H233*100</f>
        <v>92.21902017</v>
      </c>
      <c r="K233" s="16" t="str">
        <f t="shared" si="3"/>
        <v>mejoro</v>
      </c>
      <c r="L233" s="6"/>
      <c r="M233" s="23"/>
      <c r="N233" s="22"/>
      <c r="O233" s="22"/>
      <c r="P233" s="23"/>
      <c r="Q233" s="30"/>
      <c r="R233" s="30"/>
      <c r="S233" s="30"/>
      <c r="T233" s="34"/>
      <c r="U233" s="32"/>
      <c r="V233" s="33"/>
    </row>
    <row r="234" ht="15.75" customHeight="1">
      <c r="A234" s="12">
        <v>51202.0</v>
      </c>
      <c r="B234" s="13" t="s">
        <v>257</v>
      </c>
      <c r="C234" s="12">
        <v>108.0</v>
      </c>
      <c r="D234" s="12">
        <v>55.0</v>
      </c>
      <c r="E234" s="12">
        <f>'Datos procesados'!$C234+'Datos procesados'!$D234</f>
        <v>163</v>
      </c>
      <c r="F234" s="12">
        <v>96.0</v>
      </c>
      <c r="G234" s="12">
        <v>12.0</v>
      </c>
      <c r="H234" s="12">
        <f>'Datos procesados'!$F234+'Datos procesados'!$G234</f>
        <v>108</v>
      </c>
      <c r="I234" s="14">
        <f>'Datos procesados'!$C234/'Datos procesados'!$E234*100</f>
        <v>66.25766871</v>
      </c>
      <c r="J234" s="15">
        <f>'Datos procesados'!$F234/'Datos procesados'!$H234*100</f>
        <v>88.88888889</v>
      </c>
      <c r="K234" s="16" t="str">
        <f t="shared" si="3"/>
        <v>mejoro</v>
      </c>
      <c r="L234" s="6"/>
      <c r="M234" s="23"/>
      <c r="N234" s="22"/>
      <c r="O234" s="22"/>
      <c r="P234" s="23"/>
      <c r="Q234" s="30"/>
      <c r="R234" s="30"/>
      <c r="S234" s="30"/>
      <c r="T234" s="34"/>
      <c r="U234" s="32"/>
      <c r="V234" s="33"/>
    </row>
    <row r="235" ht="15.75" customHeight="1">
      <c r="A235" s="12">
        <v>51203.0</v>
      </c>
      <c r="B235" s="13" t="s">
        <v>258</v>
      </c>
      <c r="C235" s="12">
        <v>236.0</v>
      </c>
      <c r="D235" s="12">
        <v>51.0</v>
      </c>
      <c r="E235" s="12">
        <f>'Datos procesados'!$C235+'Datos procesados'!$D235</f>
        <v>287</v>
      </c>
      <c r="F235" s="12">
        <v>341.0</v>
      </c>
      <c r="G235" s="12">
        <v>37.0</v>
      </c>
      <c r="H235" s="12">
        <f>'Datos procesados'!$F235+'Datos procesados'!$G235</f>
        <v>378</v>
      </c>
      <c r="I235" s="14">
        <f>'Datos procesados'!$C235/'Datos procesados'!$E235*100</f>
        <v>82.22996516</v>
      </c>
      <c r="J235" s="15">
        <f>'Datos procesados'!$F235/'Datos procesados'!$H235*100</f>
        <v>90.21164021</v>
      </c>
      <c r="K235" s="16" t="str">
        <f t="shared" si="3"/>
        <v>mejoro</v>
      </c>
      <c r="L235" s="6"/>
      <c r="M235" s="23"/>
      <c r="N235" s="22"/>
      <c r="O235" s="22"/>
      <c r="P235" s="23"/>
      <c r="Q235" s="30"/>
      <c r="R235" s="30"/>
      <c r="S235" s="30"/>
      <c r="T235" s="34"/>
      <c r="U235" s="32"/>
      <c r="V235" s="33"/>
    </row>
    <row r="236" ht="15.75" customHeight="1">
      <c r="A236" s="12">
        <v>51204.0</v>
      </c>
      <c r="B236" s="13" t="s">
        <v>259</v>
      </c>
      <c r="C236" s="12">
        <v>71.0</v>
      </c>
      <c r="D236" s="12">
        <v>42.0</v>
      </c>
      <c r="E236" s="12">
        <f>'Datos procesados'!$C236+'Datos procesados'!$D236</f>
        <v>113</v>
      </c>
      <c r="F236" s="12">
        <v>107.0</v>
      </c>
      <c r="G236" s="12">
        <v>11.0</v>
      </c>
      <c r="H236" s="12">
        <f>'Datos procesados'!$F236+'Datos procesados'!$G236</f>
        <v>118</v>
      </c>
      <c r="I236" s="14">
        <f>'Datos procesados'!$C236/'Datos procesados'!$E236*100</f>
        <v>62.83185841</v>
      </c>
      <c r="J236" s="15">
        <f>'Datos procesados'!$F236/'Datos procesados'!$H236*100</f>
        <v>90.6779661</v>
      </c>
      <c r="K236" s="16" t="str">
        <f t="shared" si="3"/>
        <v>mejoro</v>
      </c>
      <c r="L236" s="6"/>
      <c r="M236" s="23"/>
      <c r="N236" s="22"/>
      <c r="O236" s="22"/>
      <c r="P236" s="23"/>
      <c r="Q236" s="30"/>
      <c r="R236" s="30"/>
      <c r="S236" s="30"/>
      <c r="T236" s="34"/>
      <c r="U236" s="32"/>
      <c r="V236" s="33"/>
    </row>
    <row r="237" ht="15.75" customHeight="1">
      <c r="A237" s="12">
        <v>51301.0</v>
      </c>
      <c r="B237" s="13" t="s">
        <v>260</v>
      </c>
      <c r="C237" s="12">
        <v>47.0</v>
      </c>
      <c r="D237" s="12">
        <v>40.0</v>
      </c>
      <c r="E237" s="12">
        <f>'Datos procesados'!$C237+'Datos procesados'!$D237</f>
        <v>87</v>
      </c>
      <c r="F237" s="12">
        <v>56.0</v>
      </c>
      <c r="G237" s="12">
        <v>13.0</v>
      </c>
      <c r="H237" s="12">
        <f>'Datos procesados'!$F237+'Datos procesados'!$G237</f>
        <v>69</v>
      </c>
      <c r="I237" s="14">
        <f>'Datos procesados'!$C237/'Datos procesados'!$E237*100</f>
        <v>54.02298851</v>
      </c>
      <c r="J237" s="15">
        <f>'Datos procesados'!$F237/'Datos procesados'!$H237*100</f>
        <v>81.15942029</v>
      </c>
      <c r="K237" s="16" t="str">
        <f t="shared" si="3"/>
        <v>mejoro</v>
      </c>
      <c r="L237" s="6"/>
      <c r="M237" s="23"/>
      <c r="N237" s="22"/>
      <c r="O237" s="22"/>
      <c r="P237" s="23"/>
      <c r="Q237" s="30"/>
      <c r="R237" s="30"/>
      <c r="S237" s="30"/>
      <c r="T237" s="34"/>
      <c r="U237" s="32"/>
      <c r="V237" s="33"/>
    </row>
    <row r="238" ht="15.75" customHeight="1">
      <c r="A238" s="12">
        <v>51302.0</v>
      </c>
      <c r="B238" s="13" t="s">
        <v>261</v>
      </c>
      <c r="C238" s="12">
        <v>70.0</v>
      </c>
      <c r="D238" s="12">
        <v>37.0</v>
      </c>
      <c r="E238" s="12">
        <f>'Datos procesados'!$C238+'Datos procesados'!$D238</f>
        <v>107</v>
      </c>
      <c r="F238" s="12">
        <v>57.0</v>
      </c>
      <c r="G238" s="12">
        <v>14.0</v>
      </c>
      <c r="H238" s="12">
        <f>'Datos procesados'!$F238+'Datos procesados'!$G238</f>
        <v>71</v>
      </c>
      <c r="I238" s="14">
        <f>'Datos procesados'!$C238/'Datos procesados'!$E238*100</f>
        <v>65.42056075</v>
      </c>
      <c r="J238" s="15">
        <f>'Datos procesados'!$F238/'Datos procesados'!$H238*100</f>
        <v>80.28169014</v>
      </c>
      <c r="K238" s="16" t="str">
        <f t="shared" si="3"/>
        <v>mejoro</v>
      </c>
      <c r="L238" s="6"/>
      <c r="M238" s="23"/>
      <c r="N238" s="22"/>
      <c r="O238" s="22"/>
      <c r="P238" s="23"/>
      <c r="Q238" s="30"/>
      <c r="R238" s="30"/>
      <c r="S238" s="30"/>
      <c r="T238" s="34"/>
      <c r="U238" s="32"/>
      <c r="V238" s="33"/>
    </row>
    <row r="239" ht="15.75" customHeight="1">
      <c r="A239" s="12">
        <v>51401.0</v>
      </c>
      <c r="B239" s="13" t="s">
        <v>262</v>
      </c>
      <c r="C239" s="12">
        <v>79.0</v>
      </c>
      <c r="D239" s="12">
        <v>26.0</v>
      </c>
      <c r="E239" s="12">
        <f>'Datos procesados'!$C239+'Datos procesados'!$D239</f>
        <v>105</v>
      </c>
      <c r="F239" s="12">
        <v>82.0</v>
      </c>
      <c r="G239" s="12">
        <v>6.0</v>
      </c>
      <c r="H239" s="12">
        <f>'Datos procesados'!$F239+'Datos procesados'!$G239</f>
        <v>88</v>
      </c>
      <c r="I239" s="14">
        <f>'Datos procesados'!$C239/'Datos procesados'!$E239*100</f>
        <v>75.23809524</v>
      </c>
      <c r="J239" s="15">
        <f>'Datos procesados'!$F239/'Datos procesados'!$H239*100</f>
        <v>93.18181818</v>
      </c>
      <c r="K239" s="16" t="str">
        <f t="shared" si="3"/>
        <v>mejoro</v>
      </c>
      <c r="L239" s="6"/>
      <c r="M239" s="23"/>
      <c r="N239" s="22"/>
      <c r="O239" s="22"/>
      <c r="P239" s="23"/>
      <c r="Q239" s="30"/>
      <c r="R239" s="30"/>
      <c r="S239" s="30"/>
      <c r="T239" s="34"/>
      <c r="U239" s="32"/>
      <c r="V239" s="33"/>
    </row>
    <row r="240" ht="15.75" customHeight="1">
      <c r="A240" s="12">
        <v>51402.0</v>
      </c>
      <c r="B240" s="13" t="s">
        <v>263</v>
      </c>
      <c r="C240" s="12">
        <v>25.0</v>
      </c>
      <c r="D240" s="12">
        <v>14.0</v>
      </c>
      <c r="E240" s="12">
        <f>'Datos procesados'!$C240+'Datos procesados'!$D240</f>
        <v>39</v>
      </c>
      <c r="F240" s="12">
        <v>22.0</v>
      </c>
      <c r="G240" s="12">
        <v>2.0</v>
      </c>
      <c r="H240" s="12">
        <f>'Datos procesados'!$F240+'Datos procesados'!$G240</f>
        <v>24</v>
      </c>
      <c r="I240" s="14">
        <f>'Datos procesados'!$C240/'Datos procesados'!$E240*100</f>
        <v>64.1025641</v>
      </c>
      <c r="J240" s="15">
        <f>'Datos procesados'!$F240/'Datos procesados'!$H240*100</f>
        <v>91.66666667</v>
      </c>
      <c r="K240" s="16" t="str">
        <f t="shared" si="3"/>
        <v>mejoro</v>
      </c>
      <c r="L240" s="6"/>
      <c r="M240" s="23"/>
      <c r="N240" s="22"/>
      <c r="O240" s="22"/>
      <c r="P240" s="23"/>
      <c r="Q240" s="30"/>
      <c r="R240" s="30"/>
      <c r="S240" s="30"/>
      <c r="T240" s="34"/>
      <c r="U240" s="32"/>
      <c r="V240" s="33"/>
    </row>
    <row r="241" ht="15.75" customHeight="1">
      <c r="A241" s="12">
        <v>51501.0</v>
      </c>
      <c r="B241" s="13" t="s">
        <v>264</v>
      </c>
      <c r="C241" s="12">
        <v>1019.0</v>
      </c>
      <c r="D241" s="12">
        <v>173.0</v>
      </c>
      <c r="E241" s="12">
        <f>'Datos procesados'!$C241+'Datos procesados'!$D241</f>
        <v>1192</v>
      </c>
      <c r="F241" s="12">
        <v>853.0</v>
      </c>
      <c r="G241" s="12">
        <v>48.0</v>
      </c>
      <c r="H241" s="12">
        <f>'Datos procesados'!$F241+'Datos procesados'!$G241</f>
        <v>901</v>
      </c>
      <c r="I241" s="14">
        <f>'Datos procesados'!$C241/'Datos procesados'!$E241*100</f>
        <v>85.48657718</v>
      </c>
      <c r="J241" s="15">
        <f>'Datos procesados'!$F241/'Datos procesados'!$H241*100</f>
        <v>94.67258602</v>
      </c>
      <c r="K241" s="16" t="str">
        <f t="shared" si="3"/>
        <v>mejoro</v>
      </c>
      <c r="L241" s="6"/>
      <c r="M241" s="23"/>
      <c r="N241" s="22"/>
      <c r="O241" s="22"/>
      <c r="P241" s="23"/>
      <c r="Q241" s="30"/>
      <c r="R241" s="30"/>
      <c r="S241" s="30"/>
      <c r="T241" s="34"/>
      <c r="U241" s="32"/>
      <c r="V241" s="33"/>
    </row>
    <row r="242" ht="15.75" customHeight="1">
      <c r="A242" s="12">
        <v>51601.0</v>
      </c>
      <c r="B242" s="13" t="s">
        <v>265</v>
      </c>
      <c r="C242" s="12">
        <v>17.0</v>
      </c>
      <c r="D242" s="12">
        <v>23.0</v>
      </c>
      <c r="E242" s="12">
        <f>'Datos procesados'!$C242+'Datos procesados'!$D242</f>
        <v>40</v>
      </c>
      <c r="F242" s="12">
        <v>37.0</v>
      </c>
      <c r="G242" s="12">
        <v>6.0</v>
      </c>
      <c r="H242" s="12">
        <f>'Datos procesados'!$F242+'Datos procesados'!$G242</f>
        <v>43</v>
      </c>
      <c r="I242" s="14">
        <f>'Datos procesados'!$C242/'Datos procesados'!$E242*100</f>
        <v>42.5</v>
      </c>
      <c r="J242" s="15">
        <f>'Datos procesados'!$F242/'Datos procesados'!$H242*100</f>
        <v>86.04651163</v>
      </c>
      <c r="K242" s="16" t="str">
        <f t="shared" si="3"/>
        <v>mejoro</v>
      </c>
      <c r="L242" s="6"/>
      <c r="M242" s="23"/>
      <c r="N242" s="22"/>
      <c r="O242" s="22"/>
      <c r="P242" s="23"/>
      <c r="Q242" s="30"/>
      <c r="R242" s="30"/>
      <c r="S242" s="30"/>
      <c r="T242" s="34"/>
      <c r="U242" s="32"/>
      <c r="V242" s="33"/>
    </row>
    <row r="243" ht="15.75" customHeight="1">
      <c r="A243" s="12">
        <v>60101.0</v>
      </c>
      <c r="B243" s="13" t="s">
        <v>28</v>
      </c>
      <c r="C243" s="12">
        <v>6343.0</v>
      </c>
      <c r="D243" s="12">
        <v>253.0</v>
      </c>
      <c r="E243" s="12">
        <f>'Datos procesados'!$C243+'Datos procesados'!$D243</f>
        <v>6596</v>
      </c>
      <c r="F243" s="12">
        <v>4623.0</v>
      </c>
      <c r="G243" s="12">
        <v>74.0</v>
      </c>
      <c r="H243" s="12">
        <f>'Datos procesados'!$F243+'Datos procesados'!$G243</f>
        <v>4697</v>
      </c>
      <c r="I243" s="14">
        <f>'Datos procesados'!$C243/'Datos procesados'!$E243*100</f>
        <v>96.16434203</v>
      </c>
      <c r="J243" s="15">
        <f>'Datos procesados'!$F243/'Datos procesados'!$H243*100</f>
        <v>98.42452629</v>
      </c>
      <c r="K243" s="16" t="str">
        <f t="shared" si="3"/>
        <v>mejoro</v>
      </c>
      <c r="L243" s="6"/>
      <c r="M243" s="23"/>
      <c r="N243" s="22"/>
      <c r="O243" s="22"/>
      <c r="P243" s="23"/>
      <c r="Q243" s="30"/>
      <c r="R243" s="30"/>
      <c r="S243" s="30"/>
      <c r="T243" s="34"/>
      <c r="U243" s="32"/>
      <c r="V243" s="33"/>
    </row>
    <row r="244" ht="15.75" customHeight="1">
      <c r="A244" s="12">
        <v>60201.0</v>
      </c>
      <c r="B244" s="13" t="s">
        <v>266</v>
      </c>
      <c r="C244" s="12">
        <v>390.0</v>
      </c>
      <c r="D244" s="12">
        <v>98.0</v>
      </c>
      <c r="E244" s="12">
        <f>'Datos procesados'!$C244+'Datos procesados'!$D244</f>
        <v>488</v>
      </c>
      <c r="F244" s="12">
        <v>313.0</v>
      </c>
      <c r="G244" s="12">
        <v>12.0</v>
      </c>
      <c r="H244" s="12">
        <f>'Datos procesados'!$F244+'Datos procesados'!$G244</f>
        <v>325</v>
      </c>
      <c r="I244" s="14">
        <f>'Datos procesados'!$C244/'Datos procesados'!$E244*100</f>
        <v>79.91803279</v>
      </c>
      <c r="J244" s="15">
        <f>'Datos procesados'!$F244/'Datos procesados'!$H244*100</f>
        <v>96.30769231</v>
      </c>
      <c r="K244" s="16" t="str">
        <f t="shared" si="3"/>
        <v>mejoro</v>
      </c>
      <c r="L244" s="6"/>
      <c r="M244" s="23"/>
      <c r="N244" s="22"/>
      <c r="O244" s="22"/>
      <c r="P244" s="23"/>
      <c r="Q244" s="30"/>
      <c r="R244" s="30"/>
      <c r="S244" s="30"/>
      <c r="T244" s="34"/>
      <c r="U244" s="32"/>
      <c r="V244" s="33"/>
    </row>
    <row r="245" ht="15.75" customHeight="1">
      <c r="A245" s="12">
        <v>60202.0</v>
      </c>
      <c r="B245" s="13" t="s">
        <v>267</v>
      </c>
      <c r="C245" s="12">
        <v>1031.0</v>
      </c>
      <c r="D245" s="12">
        <v>45.0</v>
      </c>
      <c r="E245" s="12">
        <f>'Datos procesados'!$C245+'Datos procesados'!$D245</f>
        <v>1076</v>
      </c>
      <c r="F245" s="12">
        <v>707.0</v>
      </c>
      <c r="G245" s="12">
        <v>15.0</v>
      </c>
      <c r="H245" s="12">
        <f>'Datos procesados'!$F245+'Datos procesados'!$G245</f>
        <v>722</v>
      </c>
      <c r="I245" s="14">
        <f>'Datos procesados'!$C245/'Datos procesados'!$E245*100</f>
        <v>95.81784387</v>
      </c>
      <c r="J245" s="15">
        <f>'Datos procesados'!$F245/'Datos procesados'!$H245*100</f>
        <v>97.92243767</v>
      </c>
      <c r="K245" s="16" t="str">
        <f t="shared" si="3"/>
        <v>mejoro</v>
      </c>
      <c r="L245" s="6"/>
      <c r="M245" s="23"/>
      <c r="N245" s="22"/>
      <c r="O245" s="22"/>
      <c r="P245" s="23"/>
      <c r="Q245" s="30"/>
      <c r="R245" s="30"/>
      <c r="S245" s="30"/>
      <c r="T245" s="34"/>
      <c r="U245" s="32"/>
      <c r="V245" s="33"/>
    </row>
    <row r="246" ht="15.75" customHeight="1">
      <c r="A246" s="12">
        <v>60301.0</v>
      </c>
      <c r="B246" s="13" t="s">
        <v>268</v>
      </c>
      <c r="C246" s="12">
        <v>2417.0</v>
      </c>
      <c r="D246" s="12">
        <v>178.0</v>
      </c>
      <c r="E246" s="12">
        <f>'Datos procesados'!$C246+'Datos procesados'!$D246</f>
        <v>2595</v>
      </c>
      <c r="F246" s="12">
        <v>1899.0</v>
      </c>
      <c r="G246" s="12">
        <v>59.0</v>
      </c>
      <c r="H246" s="12">
        <f>'Datos procesados'!$F246+'Datos procesados'!$G246</f>
        <v>1958</v>
      </c>
      <c r="I246" s="14">
        <f>'Datos procesados'!$C246/'Datos procesados'!$E246*100</f>
        <v>93.14065511</v>
      </c>
      <c r="J246" s="15">
        <f>'Datos procesados'!$F246/'Datos procesados'!$H246*100</f>
        <v>96.98672114</v>
      </c>
      <c r="K246" s="16" t="str">
        <f t="shared" si="3"/>
        <v>mejoro</v>
      </c>
      <c r="L246" s="6"/>
      <c r="M246" s="23"/>
      <c r="N246" s="22"/>
      <c r="O246" s="22"/>
      <c r="P246" s="23"/>
      <c r="Q246" s="30"/>
      <c r="R246" s="30"/>
      <c r="S246" s="30"/>
      <c r="T246" s="34"/>
      <c r="U246" s="32"/>
      <c r="V246" s="33"/>
    </row>
    <row r="247" ht="15.75" customHeight="1">
      <c r="A247" s="12">
        <v>60302.0</v>
      </c>
      <c r="B247" s="13" t="s">
        <v>269</v>
      </c>
      <c r="C247" s="12">
        <v>380.0</v>
      </c>
      <c r="D247" s="12">
        <v>38.0</v>
      </c>
      <c r="E247" s="12">
        <f>'Datos procesados'!$C247+'Datos procesados'!$D247</f>
        <v>418</v>
      </c>
      <c r="F247" s="12">
        <v>300.0</v>
      </c>
      <c r="G247" s="12">
        <v>5.0</v>
      </c>
      <c r="H247" s="12">
        <f>'Datos procesados'!$F247+'Datos procesados'!$G247</f>
        <v>305</v>
      </c>
      <c r="I247" s="14">
        <f>'Datos procesados'!$C247/'Datos procesados'!$E247*100</f>
        <v>90.90909091</v>
      </c>
      <c r="J247" s="15">
        <f>'Datos procesados'!$F247/'Datos procesados'!$H247*100</f>
        <v>98.36065574</v>
      </c>
      <c r="K247" s="16" t="str">
        <f t="shared" si="3"/>
        <v>mejoro</v>
      </c>
      <c r="L247" s="6"/>
      <c r="M247" s="23"/>
      <c r="N247" s="22"/>
      <c r="O247" s="22"/>
      <c r="P247" s="23"/>
      <c r="Q247" s="30"/>
      <c r="R247" s="30"/>
      <c r="S247" s="30"/>
      <c r="T247" s="34"/>
      <c r="U247" s="32"/>
      <c r="V247" s="33"/>
    </row>
    <row r="248" ht="15.75" customHeight="1">
      <c r="A248" s="12">
        <v>60303.0</v>
      </c>
      <c r="B248" s="13" t="s">
        <v>270</v>
      </c>
      <c r="C248" s="12">
        <v>1140.0</v>
      </c>
      <c r="D248" s="12">
        <v>64.0</v>
      </c>
      <c r="E248" s="12">
        <f>'Datos procesados'!$C248+'Datos procesados'!$D248</f>
        <v>1204</v>
      </c>
      <c r="F248" s="12">
        <v>875.0</v>
      </c>
      <c r="G248" s="12">
        <v>9.0</v>
      </c>
      <c r="H248" s="12">
        <f>'Datos procesados'!$F248+'Datos procesados'!$G248</f>
        <v>884</v>
      </c>
      <c r="I248" s="14">
        <f>'Datos procesados'!$C248/'Datos procesados'!$E248*100</f>
        <v>94.68438538</v>
      </c>
      <c r="J248" s="15">
        <f>'Datos procesados'!$F248/'Datos procesados'!$H248*100</f>
        <v>98.98190045</v>
      </c>
      <c r="K248" s="16" t="str">
        <f t="shared" si="3"/>
        <v>mejoro</v>
      </c>
      <c r="L248" s="6"/>
      <c r="M248" s="23"/>
      <c r="N248" s="22"/>
      <c r="O248" s="22"/>
      <c r="P248" s="23"/>
      <c r="Q248" s="30"/>
      <c r="R248" s="30"/>
      <c r="S248" s="30"/>
      <c r="T248" s="34"/>
      <c r="U248" s="32"/>
      <c r="V248" s="33"/>
    </row>
    <row r="249" ht="15.75" customHeight="1">
      <c r="A249" s="12">
        <v>60401.0</v>
      </c>
      <c r="B249" s="13" t="s">
        <v>271</v>
      </c>
      <c r="C249" s="12">
        <v>436.0</v>
      </c>
      <c r="D249" s="12">
        <v>55.0</v>
      </c>
      <c r="E249" s="12">
        <f>'Datos procesados'!$C249+'Datos procesados'!$D249</f>
        <v>491</v>
      </c>
      <c r="F249" s="12">
        <v>297.0</v>
      </c>
      <c r="G249" s="12">
        <v>7.0</v>
      </c>
      <c r="H249" s="12">
        <f>'Datos procesados'!$F249+'Datos procesados'!$G249</f>
        <v>304</v>
      </c>
      <c r="I249" s="14">
        <f>'Datos procesados'!$C249/'Datos procesados'!$E249*100</f>
        <v>88.79837067</v>
      </c>
      <c r="J249" s="15">
        <f>'Datos procesados'!$F249/'Datos procesados'!$H249*100</f>
        <v>97.69736842</v>
      </c>
      <c r="K249" s="16" t="str">
        <f t="shared" si="3"/>
        <v>mejoro</v>
      </c>
      <c r="L249" s="6"/>
      <c r="M249" s="23"/>
      <c r="N249" s="22"/>
      <c r="O249" s="22"/>
      <c r="P249" s="23"/>
      <c r="Q249" s="30"/>
      <c r="R249" s="30"/>
      <c r="S249" s="30"/>
      <c r="T249" s="34"/>
      <c r="U249" s="32"/>
      <c r="V249" s="33"/>
    </row>
    <row r="250" ht="15.75" customHeight="1">
      <c r="A250" s="12">
        <v>60402.0</v>
      </c>
      <c r="B250" s="13" t="s">
        <v>272</v>
      </c>
      <c r="C250" s="12">
        <v>113.0</v>
      </c>
      <c r="D250" s="12">
        <v>47.0</v>
      </c>
      <c r="E250" s="12">
        <f>'Datos procesados'!$C250+'Datos procesados'!$D250</f>
        <v>160</v>
      </c>
      <c r="F250" s="12">
        <v>79.0</v>
      </c>
      <c r="G250" s="12">
        <v>12.0</v>
      </c>
      <c r="H250" s="12">
        <f>'Datos procesados'!$F250+'Datos procesados'!$G250</f>
        <v>91</v>
      </c>
      <c r="I250" s="14">
        <f>'Datos procesados'!$C250/'Datos procesados'!$E250*100</f>
        <v>70.625</v>
      </c>
      <c r="J250" s="15">
        <f>'Datos procesados'!$F250/'Datos procesados'!$H250*100</f>
        <v>86.81318681</v>
      </c>
      <c r="K250" s="16" t="str">
        <f t="shared" si="3"/>
        <v>mejoro</v>
      </c>
      <c r="L250" s="6"/>
      <c r="M250" s="23"/>
      <c r="N250" s="22"/>
      <c r="O250" s="22"/>
      <c r="P250" s="23"/>
      <c r="Q250" s="30"/>
      <c r="R250" s="30"/>
      <c r="S250" s="30"/>
      <c r="T250" s="34"/>
      <c r="U250" s="32"/>
      <c r="V250" s="33"/>
    </row>
    <row r="251" ht="15.75" customHeight="1">
      <c r="A251" s="12">
        <v>60501.0</v>
      </c>
      <c r="B251" s="13" t="s">
        <v>273</v>
      </c>
      <c r="C251" s="12">
        <v>579.0</v>
      </c>
      <c r="D251" s="12">
        <v>77.0</v>
      </c>
      <c r="E251" s="12">
        <f>'Datos procesados'!$C251+'Datos procesados'!$D251</f>
        <v>656</v>
      </c>
      <c r="F251" s="12">
        <v>574.0</v>
      </c>
      <c r="G251" s="12">
        <v>23.0</v>
      </c>
      <c r="H251" s="12">
        <f>'Datos procesados'!$F251+'Datos procesados'!$G251</f>
        <v>597</v>
      </c>
      <c r="I251" s="14">
        <f>'Datos procesados'!$C251/'Datos procesados'!$E251*100</f>
        <v>88.26219512</v>
      </c>
      <c r="J251" s="15">
        <f>'Datos procesados'!$F251/'Datos procesados'!$H251*100</f>
        <v>96.14740369</v>
      </c>
      <c r="K251" s="16" t="str">
        <f t="shared" si="3"/>
        <v>mejoro</v>
      </c>
      <c r="L251" s="6"/>
      <c r="M251" s="23"/>
      <c r="N251" s="22"/>
      <c r="O251" s="22"/>
      <c r="P251" s="23"/>
      <c r="Q251" s="30"/>
      <c r="R251" s="30"/>
      <c r="S251" s="30"/>
      <c r="T251" s="34"/>
      <c r="U251" s="32"/>
      <c r="V251" s="33"/>
    </row>
    <row r="252" ht="15.75" customHeight="1">
      <c r="A252" s="12">
        <v>60502.0</v>
      </c>
      <c r="B252" s="13" t="s">
        <v>274</v>
      </c>
      <c r="C252" s="12">
        <v>254.0</v>
      </c>
      <c r="D252" s="12">
        <v>51.0</v>
      </c>
      <c r="E252" s="12">
        <f>'Datos procesados'!$C252+'Datos procesados'!$D252</f>
        <v>305</v>
      </c>
      <c r="F252" s="12">
        <v>181.0</v>
      </c>
      <c r="G252" s="12">
        <v>7.0</v>
      </c>
      <c r="H252" s="12">
        <f>'Datos procesados'!$F252+'Datos procesados'!$G252</f>
        <v>188</v>
      </c>
      <c r="I252" s="14">
        <f>'Datos procesados'!$C252/'Datos procesados'!$E252*100</f>
        <v>83.27868852</v>
      </c>
      <c r="J252" s="15">
        <f>'Datos procesados'!$F252/'Datos procesados'!$H252*100</f>
        <v>96.27659574</v>
      </c>
      <c r="K252" s="16" t="str">
        <f t="shared" si="3"/>
        <v>mejoro</v>
      </c>
      <c r="L252" s="6"/>
      <c r="M252" s="23"/>
      <c r="N252" s="22"/>
      <c r="O252" s="22"/>
      <c r="P252" s="23"/>
      <c r="Q252" s="30"/>
      <c r="R252" s="30"/>
      <c r="S252" s="30"/>
      <c r="T252" s="34"/>
      <c r="U252" s="32"/>
      <c r="V252" s="33"/>
    </row>
    <row r="253" ht="15.75" customHeight="1">
      <c r="A253" s="12">
        <v>60601.0</v>
      </c>
      <c r="B253" s="13" t="s">
        <v>178</v>
      </c>
      <c r="C253" s="12">
        <v>478.0</v>
      </c>
      <c r="D253" s="12">
        <v>86.0</v>
      </c>
      <c r="E253" s="12">
        <f>'Datos procesados'!$C253+'Datos procesados'!$D253</f>
        <v>564</v>
      </c>
      <c r="F253" s="12">
        <v>360.0</v>
      </c>
      <c r="G253" s="12">
        <v>25.0</v>
      </c>
      <c r="H253" s="12">
        <f>'Datos procesados'!$F253+'Datos procesados'!$G253</f>
        <v>385</v>
      </c>
      <c r="I253" s="14">
        <f>'Datos procesados'!$C253/'Datos procesados'!$E253*100</f>
        <v>84.75177305</v>
      </c>
      <c r="J253" s="15">
        <f>'Datos procesados'!$F253/'Datos procesados'!$H253*100</f>
        <v>93.50649351</v>
      </c>
      <c r="K253" s="16" t="str">
        <f t="shared" si="3"/>
        <v>mejoro</v>
      </c>
      <c r="L253" s="6"/>
      <c r="M253" s="23"/>
      <c r="N253" s="22"/>
      <c r="O253" s="22"/>
      <c r="P253" s="23"/>
      <c r="Q253" s="30"/>
      <c r="R253" s="30"/>
      <c r="S253" s="30"/>
      <c r="T253" s="34"/>
      <c r="U253" s="32"/>
      <c r="V253" s="33"/>
    </row>
    <row r="254" ht="15.75" customHeight="1">
      <c r="A254" s="12">
        <v>70101.0</v>
      </c>
      <c r="B254" s="13" t="s">
        <v>275</v>
      </c>
      <c r="C254" s="12">
        <v>43032.0</v>
      </c>
      <c r="D254" s="12">
        <v>2111.0</v>
      </c>
      <c r="E254" s="12">
        <f>'Datos procesados'!$C254+'Datos procesados'!$D254</f>
        <v>45143</v>
      </c>
      <c r="F254" s="12">
        <v>32504.0</v>
      </c>
      <c r="G254" s="12">
        <v>424.0</v>
      </c>
      <c r="H254" s="12">
        <f>'Datos procesados'!$F254+'Datos procesados'!$G254</f>
        <v>32928</v>
      </c>
      <c r="I254" s="14">
        <f>'Datos procesados'!$C254/'Datos procesados'!$E254*100</f>
        <v>95.32374898</v>
      </c>
      <c r="J254" s="15">
        <f>'Datos procesados'!$F254/'Datos procesados'!$H254*100</f>
        <v>98.71234208</v>
      </c>
      <c r="K254" s="16" t="str">
        <f t="shared" si="3"/>
        <v>mejoro</v>
      </c>
      <c r="L254" s="6"/>
      <c r="M254" s="23"/>
      <c r="N254" s="22"/>
      <c r="O254" s="22"/>
      <c r="P254" s="23"/>
      <c r="Q254" s="30"/>
      <c r="R254" s="30"/>
      <c r="S254" s="30"/>
      <c r="T254" s="34"/>
      <c r="U254" s="32"/>
      <c r="V254" s="33"/>
    </row>
    <row r="255" ht="15.75" customHeight="1">
      <c r="A255" s="12">
        <v>70102.0</v>
      </c>
      <c r="B255" s="13" t="s">
        <v>276</v>
      </c>
      <c r="C255" s="12">
        <v>1347.0</v>
      </c>
      <c r="D255" s="12">
        <v>97.0</v>
      </c>
      <c r="E255" s="12">
        <f>'Datos procesados'!$C255+'Datos procesados'!$D255</f>
        <v>1444</v>
      </c>
      <c r="F255" s="12">
        <v>2182.0</v>
      </c>
      <c r="G255" s="12">
        <v>37.0</v>
      </c>
      <c r="H255" s="12">
        <f>'Datos procesados'!$F255+'Datos procesados'!$G255</f>
        <v>2219</v>
      </c>
      <c r="I255" s="14">
        <f>'Datos procesados'!$C255/'Datos procesados'!$E255*100</f>
        <v>93.28254848</v>
      </c>
      <c r="J255" s="15">
        <f>'Datos procesados'!$F255/'Datos procesados'!$H255*100</f>
        <v>98.33258224</v>
      </c>
      <c r="K255" s="16" t="str">
        <f t="shared" si="3"/>
        <v>mejoro</v>
      </c>
      <c r="L255" s="6"/>
      <c r="M255" s="23"/>
      <c r="N255" s="22"/>
      <c r="O255" s="22"/>
      <c r="P255" s="23"/>
      <c r="Q255" s="30"/>
      <c r="R255" s="30"/>
      <c r="S255" s="30"/>
      <c r="T255" s="34"/>
      <c r="U255" s="32"/>
      <c r="V255" s="33"/>
    </row>
    <row r="256" ht="15.75" customHeight="1">
      <c r="A256" s="12">
        <v>70103.0</v>
      </c>
      <c r="B256" s="13" t="s">
        <v>277</v>
      </c>
      <c r="C256" s="12">
        <v>329.0</v>
      </c>
      <c r="D256" s="12">
        <v>25.0</v>
      </c>
      <c r="E256" s="12">
        <f>'Datos procesados'!$C256+'Datos procesados'!$D256</f>
        <v>354</v>
      </c>
      <c r="F256" s="12">
        <v>417.0</v>
      </c>
      <c r="G256" s="12">
        <v>4.0</v>
      </c>
      <c r="H256" s="12">
        <f>'Datos procesados'!$F256+'Datos procesados'!$G256</f>
        <v>421</v>
      </c>
      <c r="I256" s="14">
        <f>'Datos procesados'!$C256/'Datos procesados'!$E256*100</f>
        <v>92.93785311</v>
      </c>
      <c r="J256" s="15">
        <f>'Datos procesados'!$F256/'Datos procesados'!$H256*100</f>
        <v>99.04988124</v>
      </c>
      <c r="K256" s="16" t="str">
        <f t="shared" si="3"/>
        <v>mejoro</v>
      </c>
      <c r="L256" s="6"/>
      <c r="M256" s="23"/>
      <c r="N256" s="22"/>
      <c r="O256" s="22"/>
      <c r="P256" s="23"/>
      <c r="Q256" s="30"/>
      <c r="R256" s="30"/>
      <c r="S256" s="30"/>
      <c r="T256" s="34"/>
      <c r="U256" s="32"/>
      <c r="V256" s="33"/>
    </row>
    <row r="257" ht="15.75" customHeight="1">
      <c r="A257" s="12">
        <v>70104.0</v>
      </c>
      <c r="B257" s="13" t="s">
        <v>278</v>
      </c>
      <c r="C257" s="12">
        <v>2458.0</v>
      </c>
      <c r="D257" s="12">
        <v>152.0</v>
      </c>
      <c r="E257" s="12">
        <f>'Datos procesados'!$C257+'Datos procesados'!$D257</f>
        <v>2610</v>
      </c>
      <c r="F257" s="12">
        <v>3159.0</v>
      </c>
      <c r="G257" s="12">
        <v>41.0</v>
      </c>
      <c r="H257" s="12">
        <f>'Datos procesados'!$F257+'Datos procesados'!$G257</f>
        <v>3200</v>
      </c>
      <c r="I257" s="14">
        <f>'Datos procesados'!$C257/'Datos procesados'!$E257*100</f>
        <v>94.17624521</v>
      </c>
      <c r="J257" s="15">
        <f>'Datos procesados'!$F257/'Datos procesados'!$H257*100</f>
        <v>98.71875</v>
      </c>
      <c r="K257" s="16" t="str">
        <f t="shared" si="3"/>
        <v>mejoro</v>
      </c>
      <c r="L257" s="6"/>
      <c r="M257" s="23"/>
      <c r="N257" s="22"/>
      <c r="O257" s="22"/>
      <c r="P257" s="23"/>
      <c r="Q257" s="30"/>
      <c r="R257" s="30"/>
      <c r="S257" s="30"/>
      <c r="T257" s="34"/>
      <c r="U257" s="32"/>
      <c r="V257" s="33"/>
    </row>
    <row r="258" ht="15.75" customHeight="1">
      <c r="A258" s="12">
        <v>70105.0</v>
      </c>
      <c r="B258" s="13" t="s">
        <v>279</v>
      </c>
      <c r="C258" s="12">
        <v>1398.0</v>
      </c>
      <c r="D258" s="12">
        <v>71.0</v>
      </c>
      <c r="E258" s="12">
        <f>'Datos procesados'!$C258+'Datos procesados'!$D258</f>
        <v>1469</v>
      </c>
      <c r="F258" s="12">
        <v>1162.0</v>
      </c>
      <c r="G258" s="12">
        <v>20.0</v>
      </c>
      <c r="H258" s="12">
        <f>'Datos procesados'!$F258+'Datos procesados'!$G258</f>
        <v>1182</v>
      </c>
      <c r="I258" s="14">
        <f>'Datos procesados'!$C258/'Datos procesados'!$E258*100</f>
        <v>95.16678012</v>
      </c>
      <c r="J258" s="15">
        <f>'Datos procesados'!$F258/'Datos procesados'!$H258*100</f>
        <v>98.30795262</v>
      </c>
      <c r="K258" s="16" t="str">
        <f t="shared" si="3"/>
        <v>mejoro</v>
      </c>
      <c r="L258" s="6"/>
      <c r="M258" s="23"/>
      <c r="N258" s="22"/>
      <c r="O258" s="22"/>
      <c r="P258" s="23"/>
      <c r="Q258" s="30"/>
      <c r="R258" s="30"/>
      <c r="S258" s="30"/>
      <c r="T258" s="34"/>
      <c r="U258" s="32"/>
      <c r="V258" s="33"/>
    </row>
    <row r="259" ht="15.75" customHeight="1">
      <c r="A259" s="12">
        <v>70201.0</v>
      </c>
      <c r="B259" s="13" t="s">
        <v>280</v>
      </c>
      <c r="C259" s="12">
        <v>2725.0</v>
      </c>
      <c r="D259" s="12">
        <v>158.0</v>
      </c>
      <c r="E259" s="12">
        <f>'Datos procesados'!$C259+'Datos procesados'!$D259</f>
        <v>2883</v>
      </c>
      <c r="F259" s="12">
        <v>3106.0</v>
      </c>
      <c r="G259" s="12">
        <v>56.0</v>
      </c>
      <c r="H259" s="12">
        <f>'Datos procesados'!$F259+'Datos procesados'!$G259</f>
        <v>3162</v>
      </c>
      <c r="I259" s="14">
        <f>'Datos procesados'!$C259/'Datos procesados'!$E259*100</f>
        <v>94.51959764</v>
      </c>
      <c r="J259" s="15">
        <f>'Datos procesados'!$F259/'Datos procesados'!$H259*100</f>
        <v>98.22896901</v>
      </c>
      <c r="K259" s="16" t="str">
        <f t="shared" si="3"/>
        <v>mejoro</v>
      </c>
      <c r="L259" s="6"/>
      <c r="M259" s="23"/>
      <c r="N259" s="22"/>
      <c r="O259" s="22"/>
      <c r="P259" s="23"/>
      <c r="Q259" s="30"/>
      <c r="R259" s="30"/>
      <c r="S259" s="30"/>
      <c r="T259" s="34"/>
      <c r="U259" s="32"/>
      <c r="V259" s="33"/>
    </row>
    <row r="260" ht="15.75" customHeight="1">
      <c r="A260" s="12">
        <v>70202.0</v>
      </c>
      <c r="B260" s="13" t="s">
        <v>281</v>
      </c>
      <c r="C260" s="12">
        <v>286.0</v>
      </c>
      <c r="D260" s="12">
        <v>22.0</v>
      </c>
      <c r="E260" s="12">
        <f>'Datos procesados'!$C260+'Datos procesados'!$D260</f>
        <v>308</v>
      </c>
      <c r="F260" s="12">
        <v>221.0</v>
      </c>
      <c r="G260" s="12">
        <v>0.0</v>
      </c>
      <c r="H260" s="12">
        <f>'Datos procesados'!$F260+'Datos procesados'!$G260</f>
        <v>221</v>
      </c>
      <c r="I260" s="14">
        <f>'Datos procesados'!$C260/'Datos procesados'!$E260*100</f>
        <v>92.85714286</v>
      </c>
      <c r="J260" s="15">
        <f>'Datos procesados'!$F260/'Datos procesados'!$H260*100</f>
        <v>100</v>
      </c>
      <c r="K260" s="16" t="str">
        <f t="shared" si="3"/>
        <v>mejoro</v>
      </c>
      <c r="L260" s="6"/>
      <c r="M260" s="23"/>
      <c r="N260" s="22"/>
      <c r="O260" s="22"/>
      <c r="P260" s="23"/>
      <c r="Q260" s="30"/>
      <c r="R260" s="30"/>
      <c r="S260" s="30"/>
      <c r="T260" s="34"/>
      <c r="U260" s="32"/>
      <c r="V260" s="33"/>
    </row>
    <row r="261" ht="15.75" customHeight="1">
      <c r="A261" s="12">
        <v>70301.0</v>
      </c>
      <c r="B261" s="13" t="s">
        <v>282</v>
      </c>
      <c r="C261" s="12">
        <v>1193.0</v>
      </c>
      <c r="D261" s="12">
        <v>183.0</v>
      </c>
      <c r="E261" s="12">
        <f>'Datos procesados'!$C261+'Datos procesados'!$D261</f>
        <v>1376</v>
      </c>
      <c r="F261" s="12">
        <v>1383.0</v>
      </c>
      <c r="G261" s="12">
        <v>84.0</v>
      </c>
      <c r="H261" s="12">
        <f>'Datos procesados'!$F261+'Datos procesados'!$G261</f>
        <v>1467</v>
      </c>
      <c r="I261" s="14">
        <f>'Datos procesados'!$C261/'Datos procesados'!$E261*100</f>
        <v>86.7005814</v>
      </c>
      <c r="J261" s="15">
        <f>'Datos procesados'!$F261/'Datos procesados'!$H261*100</f>
        <v>94.27402863</v>
      </c>
      <c r="K261" s="16" t="str">
        <f t="shared" si="3"/>
        <v>mejoro</v>
      </c>
      <c r="L261" s="6"/>
      <c r="M261" s="23"/>
      <c r="N261" s="22"/>
      <c r="O261" s="22"/>
      <c r="P261" s="23"/>
      <c r="Q261" s="30"/>
      <c r="R261" s="30"/>
      <c r="S261" s="30"/>
      <c r="T261" s="34"/>
      <c r="U261" s="32"/>
      <c r="V261" s="33"/>
    </row>
    <row r="262" ht="15.75" customHeight="1">
      <c r="A262" s="12">
        <v>70302.0</v>
      </c>
      <c r="B262" s="13" t="s">
        <v>283</v>
      </c>
      <c r="C262" s="12">
        <v>300.0</v>
      </c>
      <c r="D262" s="12">
        <v>21.0</v>
      </c>
      <c r="E262" s="12">
        <f>'Datos procesados'!$C262+'Datos procesados'!$D262</f>
        <v>321</v>
      </c>
      <c r="F262" s="12">
        <v>288.0</v>
      </c>
      <c r="G262" s="12">
        <v>6.0</v>
      </c>
      <c r="H262" s="12">
        <f>'Datos procesados'!$F262+'Datos procesados'!$G262</f>
        <v>294</v>
      </c>
      <c r="I262" s="14">
        <f>'Datos procesados'!$C262/'Datos procesados'!$E262*100</f>
        <v>93.45794393</v>
      </c>
      <c r="J262" s="15">
        <f>'Datos procesados'!$F262/'Datos procesados'!$H262*100</f>
        <v>97.95918367</v>
      </c>
      <c r="K262" s="16" t="str">
        <f t="shared" si="3"/>
        <v>mejoro</v>
      </c>
      <c r="L262" s="6"/>
      <c r="M262" s="23"/>
      <c r="N262" s="22"/>
      <c r="O262" s="22"/>
      <c r="P262" s="23"/>
      <c r="Q262" s="30"/>
      <c r="R262" s="30"/>
      <c r="S262" s="30"/>
      <c r="T262" s="34"/>
      <c r="U262" s="32"/>
      <c r="V262" s="33"/>
    </row>
    <row r="263" ht="15.75" customHeight="1">
      <c r="A263" s="12">
        <v>70303.0</v>
      </c>
      <c r="B263" s="13" t="s">
        <v>284</v>
      </c>
      <c r="C263" s="12">
        <v>154.0</v>
      </c>
      <c r="D263" s="12">
        <v>16.0</v>
      </c>
      <c r="E263" s="12">
        <f>'Datos procesados'!$C263+'Datos procesados'!$D263</f>
        <v>170</v>
      </c>
      <c r="F263" s="12">
        <v>178.0</v>
      </c>
      <c r="G263" s="12">
        <v>4.0</v>
      </c>
      <c r="H263" s="12">
        <f>'Datos procesados'!$F263+'Datos procesados'!$G263</f>
        <v>182</v>
      </c>
      <c r="I263" s="14">
        <f>'Datos procesados'!$C263/'Datos procesados'!$E263*100</f>
        <v>90.58823529</v>
      </c>
      <c r="J263" s="15">
        <f>'Datos procesados'!$F263/'Datos procesados'!$H263*100</f>
        <v>97.8021978</v>
      </c>
      <c r="K263" s="16" t="str">
        <f t="shared" si="3"/>
        <v>mejoro</v>
      </c>
      <c r="L263" s="6"/>
      <c r="M263" s="23"/>
      <c r="N263" s="22"/>
      <c r="O263" s="22"/>
      <c r="P263" s="23"/>
      <c r="Q263" s="30"/>
      <c r="R263" s="30"/>
      <c r="S263" s="30"/>
      <c r="T263" s="34"/>
      <c r="U263" s="32"/>
      <c r="V263" s="33"/>
    </row>
    <row r="264" ht="15.75" customHeight="1">
      <c r="A264" s="12">
        <v>70401.0</v>
      </c>
      <c r="B264" s="13" t="s">
        <v>285</v>
      </c>
      <c r="C264" s="12">
        <v>277.0</v>
      </c>
      <c r="D264" s="12">
        <v>13.0</v>
      </c>
      <c r="E264" s="12">
        <f>'Datos procesados'!$C264+'Datos procesados'!$D264</f>
        <v>290</v>
      </c>
      <c r="F264" s="12">
        <v>268.0</v>
      </c>
      <c r="G264" s="12">
        <v>5.0</v>
      </c>
      <c r="H264" s="12">
        <f>'Datos procesados'!$F264+'Datos procesados'!$G264</f>
        <v>273</v>
      </c>
      <c r="I264" s="14">
        <f>'Datos procesados'!$C264/'Datos procesados'!$E264*100</f>
        <v>95.51724138</v>
      </c>
      <c r="J264" s="15">
        <f>'Datos procesados'!$F264/'Datos procesados'!$H264*100</f>
        <v>98.16849817</v>
      </c>
      <c r="K264" s="16" t="str">
        <f t="shared" si="3"/>
        <v>mejoro</v>
      </c>
      <c r="L264" s="6"/>
      <c r="M264" s="23"/>
      <c r="N264" s="22"/>
      <c r="O264" s="22"/>
      <c r="P264" s="23"/>
      <c r="Q264" s="30"/>
      <c r="R264" s="30"/>
      <c r="S264" s="30"/>
      <c r="T264" s="34"/>
      <c r="U264" s="32"/>
      <c r="V264" s="33"/>
    </row>
    <row r="265" ht="15.75" customHeight="1">
      <c r="A265" s="12">
        <v>70402.0</v>
      </c>
      <c r="B265" s="13" t="s">
        <v>286</v>
      </c>
      <c r="C265" s="12">
        <v>459.0</v>
      </c>
      <c r="D265" s="12">
        <v>58.0</v>
      </c>
      <c r="E265" s="12">
        <f>'Datos procesados'!$C265+'Datos procesados'!$D265</f>
        <v>517</v>
      </c>
      <c r="F265" s="12">
        <v>383.0</v>
      </c>
      <c r="G265" s="12">
        <v>4.0</v>
      </c>
      <c r="H265" s="12">
        <f>'Datos procesados'!$F265+'Datos procesados'!$G265</f>
        <v>387</v>
      </c>
      <c r="I265" s="14">
        <f>'Datos procesados'!$C265/'Datos procesados'!$E265*100</f>
        <v>88.78143133</v>
      </c>
      <c r="J265" s="15">
        <f>'Datos procesados'!$F265/'Datos procesados'!$H265*100</f>
        <v>98.96640827</v>
      </c>
      <c r="K265" s="16" t="str">
        <f t="shared" si="3"/>
        <v>mejoro</v>
      </c>
      <c r="L265" s="6"/>
      <c r="M265" s="23"/>
      <c r="N265" s="22"/>
      <c r="O265" s="22"/>
      <c r="P265" s="23"/>
      <c r="Q265" s="30"/>
      <c r="R265" s="30"/>
      <c r="S265" s="30"/>
      <c r="T265" s="34"/>
      <c r="U265" s="32"/>
      <c r="V265" s="33"/>
    </row>
    <row r="266" ht="15.75" customHeight="1">
      <c r="A266" s="12">
        <v>70403.0</v>
      </c>
      <c r="B266" s="13" t="s">
        <v>287</v>
      </c>
      <c r="C266" s="12">
        <v>1396.0</v>
      </c>
      <c r="D266" s="12">
        <v>103.0</v>
      </c>
      <c r="E266" s="12">
        <f>'Datos procesados'!$C266+'Datos procesados'!$D266</f>
        <v>1499</v>
      </c>
      <c r="F266" s="12">
        <v>1148.0</v>
      </c>
      <c r="G266" s="12">
        <v>30.0</v>
      </c>
      <c r="H266" s="12">
        <f>'Datos procesados'!$F266+'Datos procesados'!$G266</f>
        <v>1178</v>
      </c>
      <c r="I266" s="14">
        <f>'Datos procesados'!$C266/'Datos procesados'!$E266*100</f>
        <v>93.1287525</v>
      </c>
      <c r="J266" s="15">
        <f>'Datos procesados'!$F266/'Datos procesados'!$H266*100</f>
        <v>97.4533107</v>
      </c>
      <c r="K266" s="16" t="str">
        <f t="shared" si="3"/>
        <v>mejoro</v>
      </c>
      <c r="L266" s="6"/>
      <c r="M266" s="23"/>
      <c r="N266" s="22"/>
      <c r="O266" s="22"/>
      <c r="P266" s="23"/>
      <c r="Q266" s="30"/>
      <c r="R266" s="30"/>
      <c r="S266" s="30"/>
      <c r="T266" s="34"/>
      <c r="U266" s="32"/>
      <c r="V266" s="33"/>
    </row>
    <row r="267" ht="15.75" customHeight="1">
      <c r="A267" s="12">
        <v>70404.0</v>
      </c>
      <c r="B267" s="13" t="s">
        <v>288</v>
      </c>
      <c r="C267" s="12">
        <v>205.0</v>
      </c>
      <c r="D267" s="12">
        <v>15.0</v>
      </c>
      <c r="E267" s="12">
        <f>'Datos procesados'!$C267+'Datos procesados'!$D267</f>
        <v>220</v>
      </c>
      <c r="F267" s="12">
        <v>186.0</v>
      </c>
      <c r="G267" s="12">
        <v>3.0</v>
      </c>
      <c r="H267" s="12">
        <f>'Datos procesados'!$F267+'Datos procesados'!$G267</f>
        <v>189</v>
      </c>
      <c r="I267" s="14">
        <f>'Datos procesados'!$C267/'Datos procesados'!$E267*100</f>
        <v>93.18181818</v>
      </c>
      <c r="J267" s="15">
        <f>'Datos procesados'!$F267/'Datos procesados'!$H267*100</f>
        <v>98.41269841</v>
      </c>
      <c r="K267" s="16" t="str">
        <f t="shared" si="3"/>
        <v>mejoro</v>
      </c>
      <c r="L267" s="6"/>
      <c r="M267" s="23"/>
      <c r="N267" s="22"/>
      <c r="O267" s="22"/>
      <c r="P267" s="23"/>
      <c r="Q267" s="30"/>
      <c r="R267" s="30"/>
      <c r="S267" s="30"/>
      <c r="T267" s="34"/>
      <c r="U267" s="32"/>
      <c r="V267" s="33"/>
    </row>
    <row r="268" ht="15.75" customHeight="1">
      <c r="A268" s="12">
        <v>70501.0</v>
      </c>
      <c r="B268" s="13" t="s">
        <v>289</v>
      </c>
      <c r="C268" s="12">
        <v>567.0</v>
      </c>
      <c r="D268" s="12">
        <v>67.0</v>
      </c>
      <c r="E268" s="12">
        <f>'Datos procesados'!$C268+'Datos procesados'!$D268</f>
        <v>634</v>
      </c>
      <c r="F268" s="12">
        <v>615.0</v>
      </c>
      <c r="G268" s="12">
        <v>67.0</v>
      </c>
      <c r="H268" s="12">
        <f>'Datos procesados'!$F268+'Datos procesados'!$G268</f>
        <v>682</v>
      </c>
      <c r="I268" s="14">
        <f>'Datos procesados'!$C268/'Datos procesados'!$E268*100</f>
        <v>89.43217666</v>
      </c>
      <c r="J268" s="15">
        <f>'Datos procesados'!$F268/'Datos procesados'!$H268*100</f>
        <v>90.17595308</v>
      </c>
      <c r="K268" s="16" t="str">
        <f t="shared" si="3"/>
        <v>mejoro</v>
      </c>
      <c r="L268" s="6"/>
      <c r="M268" s="23"/>
      <c r="N268" s="22"/>
      <c r="O268" s="22"/>
      <c r="P268" s="23"/>
      <c r="Q268" s="30"/>
      <c r="R268" s="30"/>
      <c r="S268" s="30"/>
      <c r="T268" s="34"/>
      <c r="U268" s="32"/>
      <c r="V268" s="33"/>
    </row>
    <row r="269" ht="15.75" customHeight="1">
      <c r="A269" s="12">
        <v>70502.0</v>
      </c>
      <c r="B269" s="13" t="s">
        <v>290</v>
      </c>
      <c r="C269" s="12">
        <v>695.0</v>
      </c>
      <c r="D269" s="12">
        <v>121.0</v>
      </c>
      <c r="E269" s="12">
        <f>'Datos procesados'!$C269+'Datos procesados'!$D269</f>
        <v>816</v>
      </c>
      <c r="F269" s="12">
        <v>951.0</v>
      </c>
      <c r="G269" s="12">
        <v>76.0</v>
      </c>
      <c r="H269" s="12">
        <f>'Datos procesados'!$F269+'Datos procesados'!$G269</f>
        <v>1027</v>
      </c>
      <c r="I269" s="14">
        <f>'Datos procesados'!$C269/'Datos procesados'!$E269*100</f>
        <v>85.17156863</v>
      </c>
      <c r="J269" s="15">
        <f>'Datos procesados'!$F269/'Datos procesados'!$H269*100</f>
        <v>92.59980526</v>
      </c>
      <c r="K269" s="16" t="str">
        <f t="shared" si="3"/>
        <v>mejoro</v>
      </c>
      <c r="L269" s="6"/>
      <c r="M269" s="23"/>
      <c r="N269" s="22"/>
      <c r="O269" s="22"/>
      <c r="P269" s="23"/>
      <c r="Q269" s="30"/>
      <c r="R269" s="30"/>
      <c r="S269" s="30"/>
      <c r="T269" s="34"/>
      <c r="U269" s="32"/>
      <c r="V269" s="33"/>
    </row>
    <row r="270" ht="15.75" customHeight="1">
      <c r="A270" s="12">
        <v>70503.0</v>
      </c>
      <c r="B270" s="13" t="s">
        <v>291</v>
      </c>
      <c r="C270" s="12">
        <v>352.0</v>
      </c>
      <c r="D270" s="12">
        <v>26.0</v>
      </c>
      <c r="E270" s="12">
        <f>'Datos procesados'!$C270+'Datos procesados'!$D270</f>
        <v>378</v>
      </c>
      <c r="F270" s="12">
        <v>334.0</v>
      </c>
      <c r="G270" s="12">
        <v>9.0</v>
      </c>
      <c r="H270" s="12">
        <f>'Datos procesados'!$F270+'Datos procesados'!$G270</f>
        <v>343</v>
      </c>
      <c r="I270" s="14">
        <f>'Datos procesados'!$C270/'Datos procesados'!$E270*100</f>
        <v>93.12169312</v>
      </c>
      <c r="J270" s="15">
        <f>'Datos procesados'!$F270/'Datos procesados'!$H270*100</f>
        <v>97.37609329</v>
      </c>
      <c r="K270" s="16" t="str">
        <f t="shared" si="3"/>
        <v>mejoro</v>
      </c>
      <c r="L270" s="6"/>
      <c r="M270" s="23"/>
      <c r="N270" s="22"/>
      <c r="O270" s="22"/>
      <c r="P270" s="23"/>
      <c r="Q270" s="30"/>
      <c r="R270" s="30"/>
      <c r="S270" s="30"/>
      <c r="T270" s="34"/>
      <c r="U270" s="32"/>
      <c r="V270" s="33"/>
    </row>
    <row r="271" ht="15.75" customHeight="1">
      <c r="A271" s="12">
        <v>70601.0</v>
      </c>
      <c r="B271" s="13" t="s">
        <v>292</v>
      </c>
      <c r="C271" s="12">
        <v>504.0</v>
      </c>
      <c r="D271" s="12">
        <v>18.0</v>
      </c>
      <c r="E271" s="12">
        <f>'Datos procesados'!$C271+'Datos procesados'!$D271</f>
        <v>522</v>
      </c>
      <c r="F271" s="12">
        <v>453.0</v>
      </c>
      <c r="G271" s="12">
        <v>1.0</v>
      </c>
      <c r="H271" s="12">
        <f>'Datos procesados'!$F271+'Datos procesados'!$G271</f>
        <v>454</v>
      </c>
      <c r="I271" s="14">
        <f>'Datos procesados'!$C271/'Datos procesados'!$E271*100</f>
        <v>96.55172414</v>
      </c>
      <c r="J271" s="15">
        <f>'Datos procesados'!$F271/'Datos procesados'!$H271*100</f>
        <v>99.77973568</v>
      </c>
      <c r="K271" s="16" t="str">
        <f t="shared" si="3"/>
        <v>mejoro</v>
      </c>
      <c r="L271" s="6"/>
      <c r="M271" s="23"/>
      <c r="N271" s="22"/>
      <c r="O271" s="22"/>
      <c r="P271" s="23"/>
      <c r="Q271" s="30"/>
      <c r="R271" s="30"/>
      <c r="S271" s="30"/>
      <c r="T271" s="34"/>
      <c r="U271" s="32"/>
      <c r="V271" s="33"/>
    </row>
    <row r="272" ht="15.75" customHeight="1">
      <c r="A272" s="12">
        <v>70602.0</v>
      </c>
      <c r="B272" s="13" t="s">
        <v>293</v>
      </c>
      <c r="C272" s="12">
        <v>392.0</v>
      </c>
      <c r="D272" s="12">
        <v>31.0</v>
      </c>
      <c r="E272" s="12">
        <f>'Datos procesados'!$C272+'Datos procesados'!$D272</f>
        <v>423</v>
      </c>
      <c r="F272" s="12">
        <v>350.0</v>
      </c>
      <c r="G272" s="12">
        <v>13.0</v>
      </c>
      <c r="H272" s="12">
        <f>'Datos procesados'!$F272+'Datos procesados'!$G272</f>
        <v>363</v>
      </c>
      <c r="I272" s="14">
        <f>'Datos procesados'!$C272/'Datos procesados'!$E272*100</f>
        <v>92.6713948</v>
      </c>
      <c r="J272" s="15">
        <f>'Datos procesados'!$F272/'Datos procesados'!$H272*100</f>
        <v>96.41873278</v>
      </c>
      <c r="K272" s="16" t="str">
        <f t="shared" si="3"/>
        <v>mejoro</v>
      </c>
      <c r="L272" s="6"/>
      <c r="M272" s="23"/>
      <c r="N272" s="22"/>
      <c r="O272" s="22"/>
      <c r="P272" s="23"/>
      <c r="Q272" s="30"/>
      <c r="R272" s="30"/>
      <c r="S272" s="30"/>
      <c r="T272" s="34"/>
      <c r="U272" s="32"/>
      <c r="V272" s="33"/>
    </row>
    <row r="273" ht="15.75" customHeight="1">
      <c r="A273" s="12">
        <v>70603.0</v>
      </c>
      <c r="B273" s="13" t="s">
        <v>294</v>
      </c>
      <c r="C273" s="12">
        <v>144.0</v>
      </c>
      <c r="D273" s="12">
        <v>16.0</v>
      </c>
      <c r="E273" s="12">
        <f>'Datos procesados'!$C273+'Datos procesados'!$D273</f>
        <v>160</v>
      </c>
      <c r="F273" s="12">
        <v>138.0</v>
      </c>
      <c r="G273" s="12">
        <v>3.0</v>
      </c>
      <c r="H273" s="12">
        <f>'Datos procesados'!$F273+'Datos procesados'!$G273</f>
        <v>141</v>
      </c>
      <c r="I273" s="14">
        <f>'Datos procesados'!$C273/'Datos procesados'!$E273*100</f>
        <v>90</v>
      </c>
      <c r="J273" s="15">
        <f>'Datos procesados'!$F273/'Datos procesados'!$H273*100</f>
        <v>97.87234043</v>
      </c>
      <c r="K273" s="16" t="str">
        <f t="shared" si="3"/>
        <v>mejoro</v>
      </c>
      <c r="L273" s="6"/>
      <c r="M273" s="23"/>
      <c r="N273" s="22"/>
      <c r="O273" s="22"/>
      <c r="P273" s="23"/>
      <c r="Q273" s="30"/>
      <c r="R273" s="30"/>
      <c r="S273" s="30"/>
      <c r="T273" s="34"/>
      <c r="U273" s="32"/>
      <c r="V273" s="33"/>
    </row>
    <row r="274" ht="15.75" customHeight="1">
      <c r="A274" s="12">
        <v>70701.0</v>
      </c>
      <c r="B274" s="13" t="s">
        <v>295</v>
      </c>
      <c r="C274" s="12">
        <v>111.0</v>
      </c>
      <c r="D274" s="12">
        <v>10.0</v>
      </c>
      <c r="E274" s="12">
        <f>'Datos procesados'!$C274+'Datos procesados'!$D274</f>
        <v>121</v>
      </c>
      <c r="F274" s="12">
        <v>110.0</v>
      </c>
      <c r="G274" s="12">
        <v>4.0</v>
      </c>
      <c r="H274" s="12">
        <f>'Datos procesados'!$F274+'Datos procesados'!$G274</f>
        <v>114</v>
      </c>
      <c r="I274" s="14">
        <f>'Datos procesados'!$C274/'Datos procesados'!$E274*100</f>
        <v>91.73553719</v>
      </c>
      <c r="J274" s="15">
        <f>'Datos procesados'!$F274/'Datos procesados'!$H274*100</f>
        <v>96.49122807</v>
      </c>
      <c r="K274" s="16" t="str">
        <f t="shared" si="3"/>
        <v>mejoro</v>
      </c>
      <c r="L274" s="6"/>
      <c r="M274" s="23"/>
      <c r="N274" s="22"/>
      <c r="O274" s="22"/>
      <c r="P274" s="23"/>
      <c r="Q274" s="30"/>
      <c r="R274" s="30"/>
      <c r="S274" s="30"/>
      <c r="T274" s="34"/>
      <c r="U274" s="32"/>
      <c r="V274" s="33"/>
    </row>
    <row r="275" ht="15.75" customHeight="1">
      <c r="A275" s="12">
        <v>70702.0</v>
      </c>
      <c r="B275" s="13" t="s">
        <v>296</v>
      </c>
      <c r="C275" s="12">
        <v>552.0</v>
      </c>
      <c r="D275" s="12">
        <v>79.0</v>
      </c>
      <c r="E275" s="12">
        <f>'Datos procesados'!$C275+'Datos procesados'!$D275</f>
        <v>631</v>
      </c>
      <c r="F275" s="12">
        <v>720.0</v>
      </c>
      <c r="G275" s="12">
        <v>27.0</v>
      </c>
      <c r="H275" s="12">
        <f>'Datos procesados'!$F275+'Datos procesados'!$G275</f>
        <v>747</v>
      </c>
      <c r="I275" s="14">
        <f>'Datos procesados'!$C275/'Datos procesados'!$E275*100</f>
        <v>87.48019017</v>
      </c>
      <c r="J275" s="15">
        <f>'Datos procesados'!$F275/'Datos procesados'!$H275*100</f>
        <v>96.38554217</v>
      </c>
      <c r="K275" s="16" t="str">
        <f t="shared" si="3"/>
        <v>mejoro</v>
      </c>
      <c r="L275" s="6"/>
      <c r="M275" s="23"/>
      <c r="N275" s="22"/>
      <c r="O275" s="22"/>
      <c r="P275" s="23"/>
      <c r="Q275" s="30"/>
      <c r="R275" s="30"/>
      <c r="S275" s="30"/>
      <c r="T275" s="34"/>
      <c r="U275" s="32"/>
      <c r="V275" s="33"/>
    </row>
    <row r="276" ht="15.75" customHeight="1">
      <c r="A276" s="12">
        <v>70703.0</v>
      </c>
      <c r="B276" s="13" t="s">
        <v>297</v>
      </c>
      <c r="C276" s="12">
        <v>465.0</v>
      </c>
      <c r="D276" s="12">
        <v>74.0</v>
      </c>
      <c r="E276" s="12">
        <f>'Datos procesados'!$C276+'Datos procesados'!$D276</f>
        <v>539</v>
      </c>
      <c r="F276" s="12">
        <v>594.0</v>
      </c>
      <c r="G276" s="12">
        <v>18.0</v>
      </c>
      <c r="H276" s="12">
        <f>'Datos procesados'!$F276+'Datos procesados'!$G276</f>
        <v>612</v>
      </c>
      <c r="I276" s="14">
        <f>'Datos procesados'!$C276/'Datos procesados'!$E276*100</f>
        <v>86.27087199</v>
      </c>
      <c r="J276" s="15">
        <f>'Datos procesados'!$F276/'Datos procesados'!$H276*100</f>
        <v>97.05882353</v>
      </c>
      <c r="K276" s="16" t="str">
        <f t="shared" si="3"/>
        <v>mejoro</v>
      </c>
      <c r="L276" s="6"/>
      <c r="M276" s="23"/>
      <c r="N276" s="22"/>
      <c r="O276" s="22"/>
      <c r="P276" s="23"/>
      <c r="Q276" s="30"/>
      <c r="R276" s="30"/>
      <c r="S276" s="30"/>
      <c r="T276" s="34"/>
      <c r="U276" s="32"/>
      <c r="V276" s="33"/>
    </row>
    <row r="277" ht="15.75" customHeight="1">
      <c r="A277" s="12">
        <v>70704.0</v>
      </c>
      <c r="B277" s="13" t="s">
        <v>298</v>
      </c>
      <c r="C277" s="12">
        <v>81.0</v>
      </c>
      <c r="D277" s="12">
        <v>17.0</v>
      </c>
      <c r="E277" s="12">
        <f>'Datos procesados'!$C277+'Datos procesados'!$D277</f>
        <v>98</v>
      </c>
      <c r="F277" s="12">
        <v>87.0</v>
      </c>
      <c r="G277" s="12">
        <v>3.0</v>
      </c>
      <c r="H277" s="12">
        <f>'Datos procesados'!$F277+'Datos procesados'!$G277</f>
        <v>90</v>
      </c>
      <c r="I277" s="14">
        <f>'Datos procesados'!$C277/'Datos procesados'!$E277*100</f>
        <v>82.65306122</v>
      </c>
      <c r="J277" s="15">
        <f>'Datos procesados'!$F277/'Datos procesados'!$H277*100</f>
        <v>96.66666667</v>
      </c>
      <c r="K277" s="16" t="str">
        <f t="shared" si="3"/>
        <v>mejoro</v>
      </c>
      <c r="L277" s="6"/>
      <c r="M277" s="23"/>
      <c r="N277" s="22"/>
      <c r="O277" s="22"/>
      <c r="P277" s="23"/>
      <c r="Q277" s="30"/>
      <c r="R277" s="30"/>
      <c r="S277" s="30"/>
      <c r="T277" s="34"/>
      <c r="U277" s="32"/>
      <c r="V277" s="33"/>
    </row>
    <row r="278" ht="15.75" customHeight="1">
      <c r="A278" s="12">
        <v>70705.0</v>
      </c>
      <c r="B278" s="13" t="s">
        <v>299</v>
      </c>
      <c r="C278" s="12">
        <v>191.0</v>
      </c>
      <c r="D278" s="12">
        <v>69.0</v>
      </c>
      <c r="E278" s="12">
        <f>'Datos procesados'!$C278+'Datos procesados'!$D278</f>
        <v>260</v>
      </c>
      <c r="F278" s="12">
        <v>350.0</v>
      </c>
      <c r="G278" s="12">
        <v>16.0</v>
      </c>
      <c r="H278" s="12">
        <f>'Datos procesados'!$F278+'Datos procesados'!$G278</f>
        <v>366</v>
      </c>
      <c r="I278" s="14">
        <f>'Datos procesados'!$C278/'Datos procesados'!$E278*100</f>
        <v>73.46153846</v>
      </c>
      <c r="J278" s="15">
        <f>'Datos procesados'!$F278/'Datos procesados'!$H278*100</f>
        <v>95.6284153</v>
      </c>
      <c r="K278" s="16" t="str">
        <f t="shared" si="3"/>
        <v>mejoro</v>
      </c>
      <c r="L278" s="6"/>
      <c r="M278" s="23"/>
      <c r="N278" s="22"/>
      <c r="O278" s="22"/>
      <c r="P278" s="23"/>
      <c r="Q278" s="30"/>
      <c r="R278" s="30"/>
      <c r="S278" s="30"/>
      <c r="T278" s="34"/>
      <c r="U278" s="32"/>
      <c r="V278" s="33"/>
    </row>
    <row r="279" ht="15.75" customHeight="1">
      <c r="A279" s="12">
        <v>70706.0</v>
      </c>
      <c r="B279" s="13" t="s">
        <v>300</v>
      </c>
      <c r="C279" s="12">
        <v>910.0</v>
      </c>
      <c r="D279" s="12">
        <v>34.0</v>
      </c>
      <c r="E279" s="12">
        <f>'Datos procesados'!$C279+'Datos procesados'!$D279</f>
        <v>944</v>
      </c>
      <c r="F279" s="12">
        <v>646.0</v>
      </c>
      <c r="G279" s="12">
        <v>7.0</v>
      </c>
      <c r="H279" s="12">
        <f>'Datos procesados'!$F279+'Datos procesados'!$G279</f>
        <v>653</v>
      </c>
      <c r="I279" s="14">
        <f>'Datos procesados'!$C279/'Datos procesados'!$E279*100</f>
        <v>96.39830508</v>
      </c>
      <c r="J279" s="15">
        <f>'Datos procesados'!$F279/'Datos procesados'!$H279*100</f>
        <v>98.9280245</v>
      </c>
      <c r="K279" s="16" t="str">
        <f t="shared" si="3"/>
        <v>mejoro</v>
      </c>
      <c r="L279" s="6"/>
      <c r="M279" s="23"/>
      <c r="N279" s="22"/>
      <c r="O279" s="22"/>
      <c r="P279" s="23"/>
      <c r="Q279" s="30"/>
      <c r="R279" s="30"/>
      <c r="S279" s="30"/>
      <c r="T279" s="34"/>
      <c r="U279" s="32"/>
      <c r="V279" s="33"/>
    </row>
    <row r="280" ht="15.75" customHeight="1">
      <c r="A280" s="12">
        <v>70707.0</v>
      </c>
      <c r="B280" s="13" t="s">
        <v>301</v>
      </c>
      <c r="C280" s="12">
        <v>112.0</v>
      </c>
      <c r="D280" s="12">
        <v>3.0</v>
      </c>
      <c r="E280" s="12">
        <f>'Datos procesados'!$C280+'Datos procesados'!$D280</f>
        <v>115</v>
      </c>
      <c r="F280" s="12">
        <v>110.0</v>
      </c>
      <c r="G280" s="12">
        <v>7.0</v>
      </c>
      <c r="H280" s="12">
        <f>'Datos procesados'!$F280+'Datos procesados'!$G280</f>
        <v>117</v>
      </c>
      <c r="I280" s="14">
        <f>'Datos procesados'!$C280/'Datos procesados'!$E280*100</f>
        <v>97.39130435</v>
      </c>
      <c r="J280" s="15">
        <f>'Datos procesados'!$F280/'Datos procesados'!$H280*100</f>
        <v>94.01709402</v>
      </c>
      <c r="K280" s="16" t="str">
        <f t="shared" si="3"/>
        <v>empeoro</v>
      </c>
      <c r="L280" s="6"/>
      <c r="M280" s="23"/>
      <c r="N280" s="22"/>
      <c r="O280" s="22"/>
      <c r="P280" s="23"/>
      <c r="Q280" s="30"/>
      <c r="R280" s="30"/>
      <c r="S280" s="30"/>
      <c r="T280" s="34"/>
      <c r="U280" s="32"/>
      <c r="V280" s="33"/>
    </row>
    <row r="281" ht="15.75" customHeight="1">
      <c r="A281" s="12">
        <v>70801.0</v>
      </c>
      <c r="B281" s="13" t="s">
        <v>302</v>
      </c>
      <c r="C281" s="12">
        <v>413.0</v>
      </c>
      <c r="D281" s="12">
        <v>23.0</v>
      </c>
      <c r="E281" s="12">
        <f>'Datos procesados'!$C281+'Datos procesados'!$D281</f>
        <v>436</v>
      </c>
      <c r="F281" s="12">
        <v>302.0</v>
      </c>
      <c r="G281" s="12">
        <v>4.0</v>
      </c>
      <c r="H281" s="12">
        <f>'Datos procesados'!$F281+'Datos procesados'!$G281</f>
        <v>306</v>
      </c>
      <c r="I281" s="14">
        <f>'Datos procesados'!$C281/'Datos procesados'!$E281*100</f>
        <v>94.72477064</v>
      </c>
      <c r="J281" s="15">
        <f>'Datos procesados'!$F281/'Datos procesados'!$H281*100</f>
        <v>98.69281046</v>
      </c>
      <c r="K281" s="16" t="str">
        <f t="shared" si="3"/>
        <v>mejoro</v>
      </c>
      <c r="L281" s="6"/>
      <c r="M281" s="23"/>
      <c r="N281" s="22"/>
      <c r="O281" s="22"/>
      <c r="P281" s="23"/>
      <c r="Q281" s="30"/>
      <c r="R281" s="30"/>
      <c r="S281" s="30"/>
      <c r="T281" s="34"/>
      <c r="U281" s="32"/>
      <c r="V281" s="33"/>
    </row>
    <row r="282" ht="15.75" customHeight="1">
      <c r="A282" s="12">
        <v>70802.0</v>
      </c>
      <c r="B282" s="13" t="s">
        <v>303</v>
      </c>
      <c r="C282" s="12">
        <v>55.0</v>
      </c>
      <c r="D282" s="12">
        <v>7.0</v>
      </c>
      <c r="E282" s="12">
        <f>'Datos procesados'!$C282+'Datos procesados'!$D282</f>
        <v>62</v>
      </c>
      <c r="F282" s="12">
        <v>41.0</v>
      </c>
      <c r="G282" s="12">
        <v>0.0</v>
      </c>
      <c r="H282" s="12">
        <f>'Datos procesados'!$F282+'Datos procesados'!$G282</f>
        <v>41</v>
      </c>
      <c r="I282" s="14">
        <f>'Datos procesados'!$C282/'Datos procesados'!$E282*100</f>
        <v>88.70967742</v>
      </c>
      <c r="J282" s="15">
        <f>'Datos procesados'!$F282/'Datos procesados'!$H282*100</f>
        <v>100</v>
      </c>
      <c r="K282" s="16" t="str">
        <f t="shared" si="3"/>
        <v>mejoro</v>
      </c>
      <c r="L282" s="6"/>
      <c r="M282" s="23"/>
      <c r="N282" s="22"/>
      <c r="O282" s="22"/>
      <c r="P282" s="23"/>
      <c r="Q282" s="30"/>
      <c r="R282" s="30"/>
      <c r="S282" s="30"/>
      <c r="T282" s="34"/>
      <c r="U282" s="32"/>
      <c r="V282" s="33"/>
    </row>
    <row r="283" ht="15.75" customHeight="1">
      <c r="A283" s="12">
        <v>70803.0</v>
      </c>
      <c r="B283" s="13" t="s">
        <v>304</v>
      </c>
      <c r="C283" s="12">
        <v>66.0</v>
      </c>
      <c r="D283" s="12">
        <v>4.0</v>
      </c>
      <c r="E283" s="12">
        <f>'Datos procesados'!$C283+'Datos procesados'!$D283</f>
        <v>70</v>
      </c>
      <c r="F283" s="12">
        <v>54.0</v>
      </c>
      <c r="G283" s="12">
        <v>1.0</v>
      </c>
      <c r="H283" s="12">
        <f>'Datos procesados'!$F283+'Datos procesados'!$G283</f>
        <v>55</v>
      </c>
      <c r="I283" s="14">
        <f>'Datos procesados'!$C283/'Datos procesados'!$E283*100</f>
        <v>94.28571429</v>
      </c>
      <c r="J283" s="15">
        <f>'Datos procesados'!$F283/'Datos procesados'!$H283*100</f>
        <v>98.18181818</v>
      </c>
      <c r="K283" s="16" t="str">
        <f t="shared" si="3"/>
        <v>mejoro</v>
      </c>
      <c r="L283" s="6"/>
      <c r="M283" s="23"/>
      <c r="N283" s="22"/>
      <c r="O283" s="22"/>
      <c r="P283" s="23"/>
      <c r="Q283" s="30"/>
      <c r="R283" s="30"/>
      <c r="S283" s="30"/>
      <c r="T283" s="34"/>
      <c r="U283" s="32"/>
      <c r="V283" s="33"/>
    </row>
    <row r="284" ht="15.75" customHeight="1">
      <c r="A284" s="12">
        <v>70804.0</v>
      </c>
      <c r="B284" s="13" t="s">
        <v>305</v>
      </c>
      <c r="C284" s="12">
        <v>47.0</v>
      </c>
      <c r="D284" s="12">
        <v>2.0</v>
      </c>
      <c r="E284" s="12">
        <f>'Datos procesados'!$C284+'Datos procesados'!$D284</f>
        <v>49</v>
      </c>
      <c r="F284" s="12">
        <v>23.0</v>
      </c>
      <c r="G284" s="12">
        <v>1.0</v>
      </c>
      <c r="H284" s="12">
        <f>'Datos procesados'!$F284+'Datos procesados'!$G284</f>
        <v>24</v>
      </c>
      <c r="I284" s="14">
        <f>'Datos procesados'!$C284/'Datos procesados'!$E284*100</f>
        <v>95.91836735</v>
      </c>
      <c r="J284" s="15">
        <f>'Datos procesados'!$F284/'Datos procesados'!$H284*100</f>
        <v>95.83333333</v>
      </c>
      <c r="K284" s="16" t="str">
        <f t="shared" si="3"/>
        <v>empeoro</v>
      </c>
      <c r="L284" s="6"/>
      <c r="M284" s="23"/>
      <c r="N284" s="22"/>
      <c r="O284" s="22"/>
      <c r="P284" s="23"/>
      <c r="Q284" s="30"/>
      <c r="R284" s="30"/>
      <c r="S284" s="30"/>
      <c r="T284" s="34"/>
      <c r="U284" s="32"/>
      <c r="V284" s="33"/>
    </row>
    <row r="285" ht="15.75" customHeight="1">
      <c r="A285" s="12">
        <v>70805.0</v>
      </c>
      <c r="B285" s="13" t="s">
        <v>306</v>
      </c>
      <c r="C285" s="12">
        <v>44.0</v>
      </c>
      <c r="D285" s="12">
        <v>5.0</v>
      </c>
      <c r="E285" s="12">
        <f>'Datos procesados'!$C285+'Datos procesados'!$D285</f>
        <v>49</v>
      </c>
      <c r="F285" s="12">
        <v>28.0</v>
      </c>
      <c r="G285" s="12">
        <v>1.0</v>
      </c>
      <c r="H285" s="12">
        <f>'Datos procesados'!$F285+'Datos procesados'!$G285</f>
        <v>29</v>
      </c>
      <c r="I285" s="14">
        <f>'Datos procesados'!$C285/'Datos procesados'!$E285*100</f>
        <v>89.79591837</v>
      </c>
      <c r="J285" s="15">
        <f>'Datos procesados'!$F285/'Datos procesados'!$H285*100</f>
        <v>96.55172414</v>
      </c>
      <c r="K285" s="16" t="str">
        <f t="shared" si="3"/>
        <v>mejoro</v>
      </c>
      <c r="L285" s="6"/>
      <c r="M285" s="23"/>
      <c r="N285" s="22"/>
      <c r="O285" s="22"/>
      <c r="P285" s="23"/>
      <c r="Q285" s="30"/>
      <c r="R285" s="30"/>
      <c r="S285" s="30"/>
      <c r="T285" s="34"/>
      <c r="U285" s="32"/>
      <c r="V285" s="33"/>
    </row>
    <row r="286" ht="15.75" customHeight="1">
      <c r="A286" s="12">
        <v>70901.0</v>
      </c>
      <c r="B286" s="13" t="s">
        <v>307</v>
      </c>
      <c r="C286" s="12">
        <v>221.0</v>
      </c>
      <c r="D286" s="12">
        <v>11.0</v>
      </c>
      <c r="E286" s="12">
        <f>'Datos procesados'!$C286+'Datos procesados'!$D286</f>
        <v>232</v>
      </c>
      <c r="F286" s="12">
        <v>197.0</v>
      </c>
      <c r="G286" s="12">
        <v>10.0</v>
      </c>
      <c r="H286" s="12">
        <f>'Datos procesados'!$F286+'Datos procesados'!$G286</f>
        <v>207</v>
      </c>
      <c r="I286" s="14">
        <f>'Datos procesados'!$C286/'Datos procesados'!$E286*100</f>
        <v>95.25862069</v>
      </c>
      <c r="J286" s="15">
        <f>'Datos procesados'!$F286/'Datos procesados'!$H286*100</f>
        <v>95.16908213</v>
      </c>
      <c r="K286" s="16" t="str">
        <f t="shared" si="3"/>
        <v>empeoro</v>
      </c>
      <c r="L286" s="6"/>
      <c r="M286" s="23"/>
      <c r="N286" s="22"/>
      <c r="O286" s="22"/>
      <c r="P286" s="23"/>
      <c r="Q286" s="30"/>
      <c r="R286" s="30"/>
      <c r="S286" s="30"/>
      <c r="T286" s="34"/>
      <c r="U286" s="32"/>
      <c r="V286" s="33"/>
    </row>
    <row r="287" ht="15.75" customHeight="1">
      <c r="A287" s="12">
        <v>70902.0</v>
      </c>
      <c r="B287" s="13" t="s">
        <v>308</v>
      </c>
      <c r="C287" s="12">
        <v>190.0</v>
      </c>
      <c r="D287" s="12">
        <v>22.0</v>
      </c>
      <c r="E287" s="12">
        <f>'Datos procesados'!$C287+'Datos procesados'!$D287</f>
        <v>212</v>
      </c>
      <c r="F287" s="12">
        <v>206.0</v>
      </c>
      <c r="G287" s="12">
        <v>16.0</v>
      </c>
      <c r="H287" s="12">
        <f>'Datos procesados'!$F287+'Datos procesados'!$G287</f>
        <v>222</v>
      </c>
      <c r="I287" s="14">
        <f>'Datos procesados'!$C287/'Datos procesados'!$E287*100</f>
        <v>89.62264151</v>
      </c>
      <c r="J287" s="15">
        <f>'Datos procesados'!$F287/'Datos procesados'!$H287*100</f>
        <v>92.79279279</v>
      </c>
      <c r="K287" s="16" t="str">
        <f t="shared" si="3"/>
        <v>mejoro</v>
      </c>
      <c r="L287" s="6"/>
      <c r="M287" s="23"/>
      <c r="N287" s="22"/>
      <c r="O287" s="22"/>
      <c r="P287" s="23"/>
      <c r="Q287" s="30"/>
      <c r="R287" s="30"/>
      <c r="S287" s="30"/>
      <c r="T287" s="34"/>
      <c r="U287" s="32"/>
      <c r="V287" s="33"/>
    </row>
    <row r="288" ht="15.75" customHeight="1">
      <c r="A288" s="12">
        <v>70903.0</v>
      </c>
      <c r="B288" s="13" t="s">
        <v>309</v>
      </c>
      <c r="C288" s="12">
        <v>240.0</v>
      </c>
      <c r="D288" s="12">
        <v>14.0</v>
      </c>
      <c r="E288" s="12">
        <f>'Datos procesados'!$C288+'Datos procesados'!$D288</f>
        <v>254</v>
      </c>
      <c r="F288" s="12">
        <v>289.0</v>
      </c>
      <c r="G288" s="12">
        <v>11.0</v>
      </c>
      <c r="H288" s="12">
        <f>'Datos procesados'!$F288+'Datos procesados'!$G288</f>
        <v>300</v>
      </c>
      <c r="I288" s="14">
        <f>'Datos procesados'!$C288/'Datos procesados'!$E288*100</f>
        <v>94.48818898</v>
      </c>
      <c r="J288" s="15">
        <f>'Datos procesados'!$F288/'Datos procesados'!$H288*100</f>
        <v>96.33333333</v>
      </c>
      <c r="K288" s="16" t="str">
        <f t="shared" si="3"/>
        <v>mejoro</v>
      </c>
      <c r="L288" s="6"/>
      <c r="M288" s="23"/>
      <c r="N288" s="22"/>
      <c r="O288" s="22"/>
      <c r="P288" s="23"/>
      <c r="Q288" s="30"/>
      <c r="R288" s="30"/>
      <c r="S288" s="30"/>
      <c r="T288" s="34"/>
      <c r="U288" s="32"/>
      <c r="V288" s="33"/>
    </row>
    <row r="289" ht="15.75" customHeight="1">
      <c r="A289" s="12">
        <v>70904.0</v>
      </c>
      <c r="B289" s="13" t="s">
        <v>310</v>
      </c>
      <c r="C289" s="12">
        <v>64.0</v>
      </c>
      <c r="D289" s="12">
        <v>4.0</v>
      </c>
      <c r="E289" s="12">
        <f>'Datos procesados'!$C289+'Datos procesados'!$D289</f>
        <v>68</v>
      </c>
      <c r="F289" s="12">
        <v>52.0</v>
      </c>
      <c r="G289" s="12">
        <v>2.0</v>
      </c>
      <c r="H289" s="12">
        <f>'Datos procesados'!$F289+'Datos procesados'!$G289</f>
        <v>54</v>
      </c>
      <c r="I289" s="14">
        <f>'Datos procesados'!$C289/'Datos procesados'!$E289*100</f>
        <v>94.11764706</v>
      </c>
      <c r="J289" s="15">
        <f>'Datos procesados'!$F289/'Datos procesados'!$H289*100</f>
        <v>96.2962963</v>
      </c>
      <c r="K289" s="16" t="str">
        <f t="shared" si="3"/>
        <v>mejoro</v>
      </c>
      <c r="L289" s="6"/>
      <c r="M289" s="23"/>
      <c r="N289" s="22"/>
      <c r="O289" s="22"/>
      <c r="P289" s="23"/>
      <c r="Q289" s="30"/>
      <c r="R289" s="30"/>
      <c r="S289" s="30"/>
      <c r="T289" s="34"/>
      <c r="U289" s="32"/>
      <c r="V289" s="33"/>
    </row>
    <row r="290" ht="15.75" customHeight="1">
      <c r="A290" s="12">
        <v>71001.0</v>
      </c>
      <c r="B290" s="13" t="s">
        <v>311</v>
      </c>
      <c r="C290" s="12">
        <v>3276.0</v>
      </c>
      <c r="D290" s="12">
        <v>169.0</v>
      </c>
      <c r="E290" s="12">
        <f>'Datos procesados'!$C290+'Datos procesados'!$D290</f>
        <v>3445</v>
      </c>
      <c r="F290" s="12">
        <v>2831.0</v>
      </c>
      <c r="G290" s="12">
        <v>31.0</v>
      </c>
      <c r="H290" s="12">
        <f>'Datos procesados'!$F290+'Datos procesados'!$G290</f>
        <v>2862</v>
      </c>
      <c r="I290" s="14">
        <f>'Datos procesados'!$C290/'Datos procesados'!$E290*100</f>
        <v>95.09433962</v>
      </c>
      <c r="J290" s="15">
        <f>'Datos procesados'!$F290/'Datos procesados'!$H290*100</f>
        <v>98.91684137</v>
      </c>
      <c r="K290" s="16" t="str">
        <f t="shared" si="3"/>
        <v>mejoro</v>
      </c>
      <c r="L290" s="6"/>
      <c r="M290" s="23"/>
      <c r="N290" s="22"/>
      <c r="O290" s="22"/>
      <c r="P290" s="23"/>
      <c r="Q290" s="30"/>
      <c r="R290" s="30"/>
      <c r="S290" s="30"/>
      <c r="T290" s="34"/>
      <c r="U290" s="32"/>
      <c r="V290" s="33"/>
    </row>
    <row r="291" ht="15.75" customHeight="1">
      <c r="A291" s="12">
        <v>71002.0</v>
      </c>
      <c r="B291" s="13" t="s">
        <v>312</v>
      </c>
      <c r="C291" s="12">
        <v>331.0</v>
      </c>
      <c r="D291" s="12">
        <v>19.0</v>
      </c>
      <c r="E291" s="12">
        <f>'Datos procesados'!$C291+'Datos procesados'!$D291</f>
        <v>350</v>
      </c>
      <c r="F291" s="12">
        <v>386.0</v>
      </c>
      <c r="G291" s="12">
        <v>3.0</v>
      </c>
      <c r="H291" s="12">
        <f>'Datos procesados'!$F291+'Datos procesados'!$G291</f>
        <v>389</v>
      </c>
      <c r="I291" s="14">
        <f>'Datos procesados'!$C291/'Datos procesados'!$E291*100</f>
        <v>94.57142857</v>
      </c>
      <c r="J291" s="15">
        <f>'Datos procesados'!$F291/'Datos procesados'!$H291*100</f>
        <v>99.22879177</v>
      </c>
      <c r="K291" s="16" t="str">
        <f t="shared" si="3"/>
        <v>mejoro</v>
      </c>
      <c r="L291" s="6"/>
      <c r="M291" s="23"/>
      <c r="N291" s="22"/>
      <c r="O291" s="22"/>
      <c r="P291" s="23"/>
      <c r="Q291" s="30"/>
      <c r="R291" s="30"/>
      <c r="S291" s="30"/>
      <c r="T291" s="34"/>
      <c r="U291" s="32"/>
      <c r="V291" s="33"/>
    </row>
    <row r="292" ht="15.75" customHeight="1">
      <c r="A292" s="12">
        <v>71003.0</v>
      </c>
      <c r="B292" s="13" t="s">
        <v>313</v>
      </c>
      <c r="C292" s="12">
        <v>637.0</v>
      </c>
      <c r="D292" s="12">
        <v>39.0</v>
      </c>
      <c r="E292" s="12">
        <f>'Datos procesados'!$C292+'Datos procesados'!$D292</f>
        <v>676</v>
      </c>
      <c r="F292" s="12">
        <v>498.0</v>
      </c>
      <c r="G292" s="12">
        <v>6.0</v>
      </c>
      <c r="H292" s="12">
        <f>'Datos procesados'!$F292+'Datos procesados'!$G292</f>
        <v>504</v>
      </c>
      <c r="I292" s="14">
        <f>'Datos procesados'!$C292/'Datos procesados'!$E292*100</f>
        <v>94.23076923</v>
      </c>
      <c r="J292" s="15">
        <f>'Datos procesados'!$F292/'Datos procesados'!$H292*100</f>
        <v>98.80952381</v>
      </c>
      <c r="K292" s="16" t="str">
        <f t="shared" si="3"/>
        <v>mejoro</v>
      </c>
      <c r="L292" s="6"/>
      <c r="M292" s="23"/>
      <c r="N292" s="22"/>
      <c r="O292" s="22"/>
      <c r="P292" s="23"/>
      <c r="Q292" s="30"/>
      <c r="R292" s="30"/>
      <c r="S292" s="30"/>
      <c r="T292" s="34"/>
      <c r="U292" s="32"/>
      <c r="V292" s="33"/>
    </row>
    <row r="293" ht="15.75" customHeight="1">
      <c r="A293" s="12">
        <v>71004.0</v>
      </c>
      <c r="B293" s="13" t="s">
        <v>314</v>
      </c>
      <c r="C293" s="12">
        <v>357.0</v>
      </c>
      <c r="D293" s="12">
        <v>19.0</v>
      </c>
      <c r="E293" s="12">
        <f>'Datos procesados'!$C293+'Datos procesados'!$D293</f>
        <v>376</v>
      </c>
      <c r="F293" s="12">
        <v>299.0</v>
      </c>
      <c r="G293" s="12">
        <v>2.0</v>
      </c>
      <c r="H293" s="12">
        <f>'Datos procesados'!$F293+'Datos procesados'!$G293</f>
        <v>301</v>
      </c>
      <c r="I293" s="14">
        <f>'Datos procesados'!$C293/'Datos procesados'!$E293*100</f>
        <v>94.94680851</v>
      </c>
      <c r="J293" s="15">
        <f>'Datos procesados'!$F293/'Datos procesados'!$H293*100</f>
        <v>99.33554817</v>
      </c>
      <c r="K293" s="16" t="str">
        <f t="shared" si="3"/>
        <v>mejoro</v>
      </c>
      <c r="L293" s="6"/>
      <c r="M293" s="23"/>
      <c r="N293" s="22"/>
      <c r="O293" s="22"/>
      <c r="P293" s="23"/>
      <c r="Q293" s="30"/>
      <c r="R293" s="30"/>
      <c r="S293" s="30"/>
      <c r="T293" s="34"/>
      <c r="U293" s="32"/>
      <c r="V293" s="33"/>
    </row>
    <row r="294" ht="15.75" customHeight="1">
      <c r="A294" s="12">
        <v>71005.0</v>
      </c>
      <c r="B294" s="13" t="s">
        <v>315</v>
      </c>
      <c r="C294" s="12">
        <v>427.0</v>
      </c>
      <c r="D294" s="12">
        <v>28.0</v>
      </c>
      <c r="E294" s="12">
        <f>'Datos procesados'!$C294+'Datos procesados'!$D294</f>
        <v>455</v>
      </c>
      <c r="F294" s="12">
        <v>256.0</v>
      </c>
      <c r="G294" s="12">
        <v>1.0</v>
      </c>
      <c r="H294" s="12">
        <f>'Datos procesados'!$F294+'Datos procesados'!$G294</f>
        <v>257</v>
      </c>
      <c r="I294" s="14">
        <f>'Datos procesados'!$C294/'Datos procesados'!$E294*100</f>
        <v>93.84615385</v>
      </c>
      <c r="J294" s="15">
        <f>'Datos procesados'!$F294/'Datos procesados'!$H294*100</f>
        <v>99.61089494</v>
      </c>
      <c r="K294" s="16" t="str">
        <f t="shared" si="3"/>
        <v>mejoro</v>
      </c>
      <c r="L294" s="6"/>
      <c r="M294" s="23"/>
      <c r="N294" s="22"/>
      <c r="O294" s="22"/>
      <c r="P294" s="23"/>
      <c r="Q294" s="30"/>
      <c r="R294" s="30"/>
      <c r="S294" s="30"/>
      <c r="T294" s="34"/>
      <c r="U294" s="32"/>
      <c r="V294" s="33"/>
    </row>
    <row r="295" ht="15.75" customHeight="1">
      <c r="A295" s="12">
        <v>71101.0</v>
      </c>
      <c r="B295" s="13" t="s">
        <v>316</v>
      </c>
      <c r="C295" s="12">
        <v>359.0</v>
      </c>
      <c r="D295" s="12">
        <v>62.0</v>
      </c>
      <c r="E295" s="12">
        <f>'Datos procesados'!$C295+'Datos procesados'!$D295</f>
        <v>421</v>
      </c>
      <c r="F295" s="12">
        <v>614.0</v>
      </c>
      <c r="G295" s="12">
        <v>40.0</v>
      </c>
      <c r="H295" s="12">
        <f>'Datos procesados'!$F295+'Datos procesados'!$G295</f>
        <v>654</v>
      </c>
      <c r="I295" s="14">
        <f>'Datos procesados'!$C295/'Datos procesados'!$E295*100</f>
        <v>85.27315914</v>
      </c>
      <c r="J295" s="15">
        <f>'Datos procesados'!$F295/'Datos procesados'!$H295*100</f>
        <v>93.88379205</v>
      </c>
      <c r="K295" s="16" t="str">
        <f t="shared" si="3"/>
        <v>mejoro</v>
      </c>
      <c r="L295" s="6"/>
      <c r="M295" s="23"/>
      <c r="N295" s="22"/>
      <c r="O295" s="22"/>
      <c r="P295" s="23"/>
      <c r="Q295" s="30"/>
      <c r="R295" s="30"/>
      <c r="S295" s="30"/>
      <c r="T295" s="34"/>
      <c r="U295" s="32"/>
      <c r="V295" s="33"/>
    </row>
    <row r="296" ht="15.75" customHeight="1">
      <c r="A296" s="12">
        <v>71102.0</v>
      </c>
      <c r="B296" s="13" t="s">
        <v>317</v>
      </c>
      <c r="C296" s="12">
        <v>319.0</v>
      </c>
      <c r="D296" s="12">
        <v>19.0</v>
      </c>
      <c r="E296" s="12">
        <f>'Datos procesados'!$C296+'Datos procesados'!$D296</f>
        <v>338</v>
      </c>
      <c r="F296" s="12">
        <v>289.0</v>
      </c>
      <c r="G296" s="12">
        <v>8.0</v>
      </c>
      <c r="H296" s="12">
        <f>'Datos procesados'!$F296+'Datos procesados'!$G296</f>
        <v>297</v>
      </c>
      <c r="I296" s="14">
        <f>'Datos procesados'!$C296/'Datos procesados'!$E296*100</f>
        <v>94.37869822</v>
      </c>
      <c r="J296" s="15">
        <f>'Datos procesados'!$F296/'Datos procesados'!$H296*100</f>
        <v>97.30639731</v>
      </c>
      <c r="K296" s="16" t="str">
        <f t="shared" si="3"/>
        <v>mejoro</v>
      </c>
      <c r="L296" s="6"/>
      <c r="M296" s="23"/>
      <c r="N296" s="22"/>
      <c r="O296" s="22"/>
      <c r="P296" s="23"/>
      <c r="Q296" s="30"/>
      <c r="R296" s="30"/>
      <c r="S296" s="30"/>
      <c r="T296" s="34"/>
      <c r="U296" s="32"/>
      <c r="V296" s="33"/>
    </row>
    <row r="297" ht="15.75" customHeight="1">
      <c r="A297" s="12">
        <v>71103.0</v>
      </c>
      <c r="B297" s="13" t="s">
        <v>318</v>
      </c>
      <c r="C297" s="12">
        <v>1127.0</v>
      </c>
      <c r="D297" s="12">
        <v>96.0</v>
      </c>
      <c r="E297" s="12">
        <f>'Datos procesados'!$C297+'Datos procesados'!$D297</f>
        <v>1223</v>
      </c>
      <c r="F297" s="12">
        <v>181.0</v>
      </c>
      <c r="G297" s="12">
        <v>7.0</v>
      </c>
      <c r="H297" s="12">
        <f>'Datos procesados'!$F297+'Datos procesados'!$G297</f>
        <v>188</v>
      </c>
      <c r="I297" s="14">
        <f>'Datos procesados'!$C297/'Datos procesados'!$E297*100</f>
        <v>92.15044971</v>
      </c>
      <c r="J297" s="15">
        <f>'Datos procesados'!$F297/'Datos procesados'!$H297*100</f>
        <v>96.27659574</v>
      </c>
      <c r="K297" s="16" t="str">
        <f t="shared" si="3"/>
        <v>mejoro</v>
      </c>
      <c r="L297" s="6"/>
      <c r="M297" s="23"/>
      <c r="N297" s="22"/>
      <c r="O297" s="22"/>
      <c r="P297" s="23"/>
      <c r="Q297" s="30"/>
      <c r="R297" s="30"/>
      <c r="S297" s="30"/>
      <c r="T297" s="34"/>
      <c r="U297" s="32"/>
      <c r="V297" s="33"/>
    </row>
    <row r="298" ht="15.75" customHeight="1">
      <c r="A298" s="12">
        <v>71104.0</v>
      </c>
      <c r="B298" s="13" t="s">
        <v>319</v>
      </c>
      <c r="C298" s="12">
        <v>109.0</v>
      </c>
      <c r="D298" s="12">
        <v>25.0</v>
      </c>
      <c r="E298" s="12">
        <f>'Datos procesados'!$C298+'Datos procesados'!$D298</f>
        <v>134</v>
      </c>
      <c r="F298" s="12">
        <v>1046.0</v>
      </c>
      <c r="G298" s="12">
        <v>19.0</v>
      </c>
      <c r="H298" s="12">
        <f>'Datos procesados'!$F298+'Datos procesados'!$G298</f>
        <v>1065</v>
      </c>
      <c r="I298" s="14">
        <f>'Datos procesados'!$C298/'Datos procesados'!$E298*100</f>
        <v>81.34328358</v>
      </c>
      <c r="J298" s="15">
        <f>'Datos procesados'!$F298/'Datos procesados'!$H298*100</f>
        <v>98.21596244</v>
      </c>
      <c r="K298" s="16" t="str">
        <f t="shared" si="3"/>
        <v>mejoro</v>
      </c>
      <c r="L298" s="6"/>
      <c r="M298" s="23"/>
      <c r="N298" s="22"/>
      <c r="O298" s="22"/>
      <c r="P298" s="23"/>
      <c r="Q298" s="30"/>
      <c r="R298" s="30"/>
      <c r="S298" s="30"/>
      <c r="T298" s="34"/>
      <c r="U298" s="32"/>
      <c r="V298" s="33"/>
    </row>
    <row r="299" ht="15.75" customHeight="1">
      <c r="A299" s="12">
        <v>71105.0</v>
      </c>
      <c r="B299" s="13" t="s">
        <v>320</v>
      </c>
      <c r="C299" s="12">
        <v>202.0</v>
      </c>
      <c r="D299" s="12">
        <v>11.0</v>
      </c>
      <c r="E299" s="12">
        <f>'Datos procesados'!$C299+'Datos procesados'!$D299</f>
        <v>213</v>
      </c>
      <c r="F299" s="12">
        <v>129.0</v>
      </c>
      <c r="G299" s="12">
        <v>8.0</v>
      </c>
      <c r="H299" s="12">
        <f>'Datos procesados'!$F299+'Datos procesados'!$G299</f>
        <v>137</v>
      </c>
      <c r="I299" s="14">
        <f>'Datos procesados'!$C299/'Datos procesados'!$E299*100</f>
        <v>94.83568075</v>
      </c>
      <c r="J299" s="15">
        <f>'Datos procesados'!$F299/'Datos procesados'!$H299*100</f>
        <v>94.16058394</v>
      </c>
      <c r="K299" s="16" t="str">
        <f t="shared" si="3"/>
        <v>empeoro</v>
      </c>
      <c r="L299" s="6"/>
      <c r="M299" s="23"/>
      <c r="N299" s="22"/>
      <c r="O299" s="22"/>
      <c r="P299" s="23"/>
      <c r="Q299" s="30"/>
      <c r="R299" s="30"/>
      <c r="S299" s="30"/>
      <c r="T299" s="34"/>
      <c r="U299" s="32"/>
      <c r="V299" s="33"/>
    </row>
    <row r="300" ht="15.75" customHeight="1">
      <c r="A300" s="12">
        <v>71106.0</v>
      </c>
      <c r="B300" s="13" t="s">
        <v>321</v>
      </c>
      <c r="C300" s="12">
        <v>504.0</v>
      </c>
      <c r="D300" s="12">
        <v>35.0</v>
      </c>
      <c r="E300" s="12">
        <f>'Datos procesados'!$C300+'Datos procesados'!$D300</f>
        <v>539</v>
      </c>
      <c r="F300" s="12">
        <v>527.0</v>
      </c>
      <c r="G300" s="12">
        <v>21.0</v>
      </c>
      <c r="H300" s="12">
        <f>'Datos procesados'!$F300+'Datos procesados'!$G300</f>
        <v>548</v>
      </c>
      <c r="I300" s="14">
        <f>'Datos procesados'!$C300/'Datos procesados'!$E300*100</f>
        <v>93.50649351</v>
      </c>
      <c r="J300" s="15">
        <f>'Datos procesados'!$F300/'Datos procesados'!$H300*100</f>
        <v>96.16788321</v>
      </c>
      <c r="K300" s="16" t="str">
        <f t="shared" si="3"/>
        <v>mejoro</v>
      </c>
      <c r="L300" s="6"/>
      <c r="M300" s="23"/>
      <c r="N300" s="22"/>
      <c r="O300" s="22"/>
      <c r="P300" s="23"/>
      <c r="Q300" s="30"/>
      <c r="R300" s="30"/>
      <c r="S300" s="30"/>
      <c r="T300" s="34"/>
      <c r="U300" s="32"/>
      <c r="V300" s="33"/>
    </row>
    <row r="301" ht="15.75" customHeight="1">
      <c r="A301" s="12">
        <v>71201.0</v>
      </c>
      <c r="B301" s="13" t="s">
        <v>322</v>
      </c>
      <c r="C301" s="12">
        <v>307.0</v>
      </c>
      <c r="D301" s="12">
        <v>53.0</v>
      </c>
      <c r="E301" s="12">
        <f>'Datos procesados'!$C301+'Datos procesados'!$D301</f>
        <v>360</v>
      </c>
      <c r="F301" s="12">
        <v>298.0</v>
      </c>
      <c r="G301" s="12">
        <v>12.0</v>
      </c>
      <c r="H301" s="12">
        <f>'Datos procesados'!$F301+'Datos procesados'!$G301</f>
        <v>310</v>
      </c>
      <c r="I301" s="14">
        <f>'Datos procesados'!$C301/'Datos procesados'!$E301*100</f>
        <v>85.27777778</v>
      </c>
      <c r="J301" s="15">
        <f>'Datos procesados'!$F301/'Datos procesados'!$H301*100</f>
        <v>96.12903226</v>
      </c>
      <c r="K301" s="16" t="str">
        <f t="shared" si="3"/>
        <v>mejoro</v>
      </c>
      <c r="L301" s="6"/>
      <c r="M301" s="23"/>
      <c r="N301" s="22"/>
      <c r="O301" s="22"/>
      <c r="P301" s="23"/>
      <c r="Q301" s="30"/>
      <c r="R301" s="30"/>
      <c r="S301" s="30"/>
      <c r="T301" s="34"/>
      <c r="U301" s="32"/>
      <c r="V301" s="33"/>
    </row>
    <row r="302" ht="15.75" customHeight="1">
      <c r="A302" s="12">
        <v>71301.0</v>
      </c>
      <c r="B302" s="13" t="s">
        <v>323</v>
      </c>
      <c r="C302" s="12">
        <v>355.0</v>
      </c>
      <c r="D302" s="12">
        <v>19.0</v>
      </c>
      <c r="E302" s="12">
        <f>'Datos procesados'!$C302+'Datos procesados'!$D302</f>
        <v>374</v>
      </c>
      <c r="F302" s="12">
        <v>293.0</v>
      </c>
      <c r="G302" s="12">
        <v>13.0</v>
      </c>
      <c r="H302" s="12">
        <f>'Datos procesados'!$F302+'Datos procesados'!$G302</f>
        <v>306</v>
      </c>
      <c r="I302" s="14">
        <f>'Datos procesados'!$C302/'Datos procesados'!$E302*100</f>
        <v>94.9197861</v>
      </c>
      <c r="J302" s="15">
        <f>'Datos procesados'!$F302/'Datos procesados'!$H302*100</f>
        <v>95.75163399</v>
      </c>
      <c r="K302" s="16" t="str">
        <f t="shared" si="3"/>
        <v>mejoro</v>
      </c>
      <c r="L302" s="6"/>
      <c r="M302" s="23"/>
      <c r="N302" s="22"/>
      <c r="O302" s="22"/>
      <c r="P302" s="23"/>
      <c r="Q302" s="30"/>
      <c r="R302" s="30"/>
      <c r="S302" s="30"/>
      <c r="T302" s="34"/>
      <c r="U302" s="32"/>
      <c r="V302" s="33"/>
    </row>
    <row r="303" ht="15.75" customHeight="1">
      <c r="A303" s="12">
        <v>71302.0</v>
      </c>
      <c r="B303" s="13" t="s">
        <v>324</v>
      </c>
      <c r="C303" s="12">
        <v>151.0</v>
      </c>
      <c r="D303" s="12">
        <v>19.0</v>
      </c>
      <c r="E303" s="12">
        <f>'Datos procesados'!$C303+'Datos procesados'!$D303</f>
        <v>170</v>
      </c>
      <c r="F303" s="12">
        <v>117.0</v>
      </c>
      <c r="G303" s="12">
        <v>3.0</v>
      </c>
      <c r="H303" s="12">
        <f>'Datos procesados'!$F303+'Datos procesados'!$G303</f>
        <v>120</v>
      </c>
      <c r="I303" s="14">
        <f>'Datos procesados'!$C303/'Datos procesados'!$E303*100</f>
        <v>88.82352941</v>
      </c>
      <c r="J303" s="15">
        <f>'Datos procesados'!$F303/'Datos procesados'!$H303*100</f>
        <v>97.5</v>
      </c>
      <c r="K303" s="16" t="str">
        <f t="shared" si="3"/>
        <v>mejoro</v>
      </c>
      <c r="L303" s="6"/>
      <c r="M303" s="23"/>
      <c r="N303" s="22"/>
      <c r="O303" s="22"/>
      <c r="P303" s="23"/>
      <c r="Q303" s="30"/>
      <c r="R303" s="30"/>
      <c r="S303" s="30"/>
      <c r="T303" s="34"/>
      <c r="U303" s="32"/>
      <c r="V303" s="33"/>
    </row>
    <row r="304" ht="15.75" customHeight="1">
      <c r="A304" s="12">
        <v>71401.0</v>
      </c>
      <c r="B304" s="13" t="s">
        <v>325</v>
      </c>
      <c r="C304" s="12">
        <v>449.0</v>
      </c>
      <c r="D304" s="12">
        <v>26.0</v>
      </c>
      <c r="E304" s="12">
        <f>'Datos procesados'!$C304+'Datos procesados'!$D304</f>
        <v>475</v>
      </c>
      <c r="F304" s="12">
        <v>281.0</v>
      </c>
      <c r="G304" s="12">
        <v>7.0</v>
      </c>
      <c r="H304" s="12">
        <f>'Datos procesados'!$F304+'Datos procesados'!$G304</f>
        <v>288</v>
      </c>
      <c r="I304" s="14">
        <f>'Datos procesados'!$C304/'Datos procesados'!$E304*100</f>
        <v>94.52631579</v>
      </c>
      <c r="J304" s="15">
        <f>'Datos procesados'!$F304/'Datos procesados'!$H304*100</f>
        <v>97.56944444</v>
      </c>
      <c r="K304" s="16" t="str">
        <f t="shared" si="3"/>
        <v>mejoro</v>
      </c>
      <c r="L304" s="6"/>
      <c r="M304" s="23"/>
      <c r="N304" s="22"/>
      <c r="O304" s="22"/>
      <c r="P304" s="23"/>
      <c r="Q304" s="30"/>
      <c r="R304" s="30"/>
      <c r="S304" s="30"/>
      <c r="T304" s="34"/>
      <c r="U304" s="32"/>
      <c r="V304" s="33"/>
    </row>
    <row r="305" ht="15.75" customHeight="1">
      <c r="A305" s="12">
        <v>71402.0</v>
      </c>
      <c r="B305" s="13" t="s">
        <v>326</v>
      </c>
      <c r="C305" s="12">
        <v>445.0</v>
      </c>
      <c r="D305" s="12">
        <v>29.0</v>
      </c>
      <c r="E305" s="12">
        <f>'Datos procesados'!$C305+'Datos procesados'!$D305</f>
        <v>474</v>
      </c>
      <c r="F305" s="12">
        <v>371.0</v>
      </c>
      <c r="G305" s="12">
        <v>8.0</v>
      </c>
      <c r="H305" s="12">
        <f>'Datos procesados'!$F305+'Datos procesados'!$G305</f>
        <v>379</v>
      </c>
      <c r="I305" s="14">
        <f>'Datos procesados'!$C305/'Datos procesados'!$E305*100</f>
        <v>93.88185654</v>
      </c>
      <c r="J305" s="15">
        <f>'Datos procesados'!$F305/'Datos procesados'!$H305*100</f>
        <v>97.88918206</v>
      </c>
      <c r="K305" s="16" t="str">
        <f t="shared" si="3"/>
        <v>mejoro</v>
      </c>
      <c r="L305" s="6"/>
      <c r="M305" s="23"/>
      <c r="N305" s="22"/>
      <c r="O305" s="22"/>
      <c r="P305" s="23"/>
      <c r="Q305" s="30"/>
      <c r="R305" s="30"/>
      <c r="S305" s="30"/>
      <c r="T305" s="34"/>
      <c r="U305" s="32"/>
      <c r="V305" s="33"/>
    </row>
    <row r="306" ht="15.75" customHeight="1">
      <c r="A306" s="12">
        <v>71403.0</v>
      </c>
      <c r="B306" s="13" t="s">
        <v>327</v>
      </c>
      <c r="C306" s="12">
        <v>121.0</v>
      </c>
      <c r="D306" s="12">
        <v>11.0</v>
      </c>
      <c r="E306" s="12">
        <f>'Datos procesados'!$C306+'Datos procesados'!$D306</f>
        <v>132</v>
      </c>
      <c r="F306" s="12">
        <v>115.0</v>
      </c>
      <c r="G306" s="12">
        <v>9.0</v>
      </c>
      <c r="H306" s="12">
        <f>'Datos procesados'!$F306+'Datos procesados'!$G306</f>
        <v>124</v>
      </c>
      <c r="I306" s="14">
        <f>'Datos procesados'!$C306/'Datos procesados'!$E306*100</f>
        <v>91.66666667</v>
      </c>
      <c r="J306" s="15">
        <f>'Datos procesados'!$F306/'Datos procesados'!$H306*100</f>
        <v>92.74193548</v>
      </c>
      <c r="K306" s="16" t="str">
        <f t="shared" si="3"/>
        <v>mejoro</v>
      </c>
      <c r="L306" s="6"/>
      <c r="M306" s="23"/>
      <c r="N306" s="22"/>
      <c r="O306" s="22"/>
      <c r="P306" s="23"/>
      <c r="Q306" s="30"/>
      <c r="R306" s="30"/>
      <c r="S306" s="30"/>
      <c r="T306" s="34"/>
      <c r="U306" s="32"/>
      <c r="V306" s="33"/>
    </row>
    <row r="307" ht="15.75" customHeight="1">
      <c r="A307" s="12">
        <v>71501.0</v>
      </c>
      <c r="B307" s="13" t="s">
        <v>328</v>
      </c>
      <c r="C307" s="12">
        <v>579.0</v>
      </c>
      <c r="D307" s="12">
        <v>65.0</v>
      </c>
      <c r="E307" s="12">
        <f>'Datos procesados'!$C307+'Datos procesados'!$D307</f>
        <v>644</v>
      </c>
      <c r="F307" s="12">
        <v>688.0</v>
      </c>
      <c r="G307" s="12">
        <v>27.0</v>
      </c>
      <c r="H307" s="12">
        <f>'Datos procesados'!$F307+'Datos procesados'!$G307</f>
        <v>715</v>
      </c>
      <c r="I307" s="14">
        <f>'Datos procesados'!$C307/'Datos procesados'!$E307*100</f>
        <v>89.9068323</v>
      </c>
      <c r="J307" s="15">
        <f>'Datos procesados'!$F307/'Datos procesados'!$H307*100</f>
        <v>96.22377622</v>
      </c>
      <c r="K307" s="16" t="str">
        <f t="shared" si="3"/>
        <v>mejoro</v>
      </c>
      <c r="L307" s="6"/>
      <c r="M307" s="23"/>
      <c r="N307" s="22"/>
      <c r="O307" s="22"/>
      <c r="P307" s="23"/>
      <c r="Q307" s="30"/>
      <c r="R307" s="30"/>
      <c r="S307" s="30"/>
      <c r="T307" s="34"/>
      <c r="U307" s="32"/>
      <c r="V307" s="33"/>
    </row>
    <row r="308" ht="15.75" customHeight="1">
      <c r="A308" s="12">
        <v>71502.0</v>
      </c>
      <c r="B308" s="13" t="s">
        <v>329</v>
      </c>
      <c r="C308" s="12">
        <v>119.0</v>
      </c>
      <c r="D308" s="12">
        <v>33.0</v>
      </c>
      <c r="E308" s="12">
        <f>'Datos procesados'!$C308+'Datos procesados'!$D308</f>
        <v>152</v>
      </c>
      <c r="F308" s="12">
        <v>129.0</v>
      </c>
      <c r="G308" s="12">
        <v>5.0</v>
      </c>
      <c r="H308" s="12">
        <f>'Datos procesados'!$F308+'Datos procesados'!$G308</f>
        <v>134</v>
      </c>
      <c r="I308" s="14">
        <f>'Datos procesados'!$C308/'Datos procesados'!$E308*100</f>
        <v>78.28947368</v>
      </c>
      <c r="J308" s="15">
        <f>'Datos procesados'!$F308/'Datos procesados'!$H308*100</f>
        <v>96.26865672</v>
      </c>
      <c r="K308" s="16" t="str">
        <f t="shared" si="3"/>
        <v>mejoro</v>
      </c>
      <c r="L308" s="6"/>
      <c r="M308" s="23"/>
      <c r="N308" s="22"/>
      <c r="O308" s="22"/>
      <c r="P308" s="23"/>
      <c r="Q308" s="30"/>
      <c r="R308" s="30"/>
      <c r="S308" s="30"/>
      <c r="T308" s="34"/>
      <c r="U308" s="32"/>
      <c r="V308" s="33"/>
    </row>
    <row r="309" ht="15.75" customHeight="1">
      <c r="A309" s="12">
        <v>71503.0</v>
      </c>
      <c r="B309" s="13" t="s">
        <v>274</v>
      </c>
      <c r="C309" s="12">
        <v>257.0</v>
      </c>
      <c r="D309" s="12">
        <v>26.0</v>
      </c>
      <c r="E309" s="12">
        <f>'Datos procesados'!$C309+'Datos procesados'!$D309</f>
        <v>283</v>
      </c>
      <c r="F309" s="12">
        <v>316.0</v>
      </c>
      <c r="G309" s="12">
        <v>9.0</v>
      </c>
      <c r="H309" s="12">
        <f>'Datos procesados'!$F309+'Datos procesados'!$G309</f>
        <v>325</v>
      </c>
      <c r="I309" s="14">
        <f>'Datos procesados'!$C309/'Datos procesados'!$E309*100</f>
        <v>90.81272085</v>
      </c>
      <c r="J309" s="15">
        <f>'Datos procesados'!$F309/'Datos procesados'!$H309*100</f>
        <v>97.23076923</v>
      </c>
      <c r="K309" s="16" t="str">
        <f t="shared" si="3"/>
        <v>mejoro</v>
      </c>
      <c r="L309" s="6"/>
      <c r="M309" s="23"/>
      <c r="N309" s="22"/>
      <c r="O309" s="22"/>
      <c r="P309" s="23"/>
      <c r="Q309" s="30"/>
      <c r="R309" s="30"/>
      <c r="S309" s="30"/>
      <c r="T309" s="34"/>
      <c r="U309" s="32"/>
      <c r="V309" s="33"/>
    </row>
    <row r="310" ht="15.75" customHeight="1">
      <c r="A310" s="12">
        <v>80101.0</v>
      </c>
      <c r="B310" s="13" t="s">
        <v>330</v>
      </c>
      <c r="C310" s="12">
        <v>3129.0</v>
      </c>
      <c r="D310" s="12">
        <v>121.0</v>
      </c>
      <c r="E310" s="12">
        <f>'Datos procesados'!$C310+'Datos procesados'!$D310</f>
        <v>3250</v>
      </c>
      <c r="F310" s="12">
        <v>2706.0</v>
      </c>
      <c r="G310" s="12">
        <v>55.0</v>
      </c>
      <c r="H310" s="12">
        <f>'Datos procesados'!$F310+'Datos procesados'!$G310</f>
        <v>2761</v>
      </c>
      <c r="I310" s="14">
        <f>'Datos procesados'!$C310/'Datos procesados'!$E310*100</f>
        <v>96.27692308</v>
      </c>
      <c r="J310" s="15">
        <f>'Datos procesados'!$F310/'Datos procesados'!$H310*100</f>
        <v>98.00796813</v>
      </c>
      <c r="K310" s="16" t="str">
        <f t="shared" si="3"/>
        <v>mejoro</v>
      </c>
      <c r="L310" s="6"/>
      <c r="M310" s="23"/>
      <c r="N310" s="22"/>
      <c r="O310" s="22"/>
      <c r="P310" s="23"/>
      <c r="Q310" s="30"/>
      <c r="R310" s="30"/>
      <c r="S310" s="30"/>
      <c r="T310" s="34"/>
      <c r="U310" s="32"/>
      <c r="V310" s="33"/>
    </row>
    <row r="311" ht="15.75" customHeight="1">
      <c r="A311" s="12">
        <v>80102.0</v>
      </c>
      <c r="B311" s="13" t="s">
        <v>317</v>
      </c>
      <c r="C311" s="12">
        <v>88.0</v>
      </c>
      <c r="D311" s="12">
        <v>24.0</v>
      </c>
      <c r="E311" s="12">
        <f>'Datos procesados'!$C311+'Datos procesados'!$D311</f>
        <v>112</v>
      </c>
      <c r="F311" s="12">
        <v>99.0</v>
      </c>
      <c r="G311" s="12">
        <v>13.0</v>
      </c>
      <c r="H311" s="12">
        <f>'Datos procesados'!$F311+'Datos procesados'!$G311</f>
        <v>112</v>
      </c>
      <c r="I311" s="14">
        <f>'Datos procesados'!$C311/'Datos procesados'!$E311*100</f>
        <v>78.57142857</v>
      </c>
      <c r="J311" s="15">
        <f>'Datos procesados'!$F311/'Datos procesados'!$H311*100</f>
        <v>88.39285714</v>
      </c>
      <c r="K311" s="16" t="str">
        <f t="shared" si="3"/>
        <v>mejoro</v>
      </c>
      <c r="L311" s="6"/>
      <c r="M311" s="23"/>
      <c r="N311" s="22"/>
      <c r="O311" s="22"/>
      <c r="P311" s="23"/>
      <c r="Q311" s="30"/>
      <c r="R311" s="30"/>
      <c r="S311" s="30"/>
      <c r="T311" s="34"/>
      <c r="U311" s="32"/>
      <c r="V311" s="33"/>
    </row>
    <row r="312" ht="15.75" customHeight="1">
      <c r="A312" s="12">
        <v>80201.0</v>
      </c>
      <c r="B312" s="13" t="s">
        <v>331</v>
      </c>
      <c r="C312" s="12">
        <v>2327.0</v>
      </c>
      <c r="D312" s="12">
        <v>200.0</v>
      </c>
      <c r="E312" s="12">
        <f>'Datos procesados'!$C312+'Datos procesados'!$D312</f>
        <v>2527</v>
      </c>
      <c r="F312" s="12">
        <v>2584.0</v>
      </c>
      <c r="G312" s="12">
        <v>64.0</v>
      </c>
      <c r="H312" s="12">
        <f>'Datos procesados'!$F312+'Datos procesados'!$G312</f>
        <v>2648</v>
      </c>
      <c r="I312" s="14">
        <f>'Datos procesados'!$C312/'Datos procesados'!$E312*100</f>
        <v>92.08547685</v>
      </c>
      <c r="J312" s="15">
        <f>'Datos procesados'!$F312/'Datos procesados'!$H312*100</f>
        <v>97.58308157</v>
      </c>
      <c r="K312" s="16" t="str">
        <f t="shared" si="3"/>
        <v>mejoro</v>
      </c>
      <c r="L312" s="6"/>
      <c r="M312" s="23"/>
      <c r="N312" s="22"/>
      <c r="O312" s="22"/>
      <c r="P312" s="23"/>
      <c r="Q312" s="30"/>
      <c r="R312" s="30"/>
      <c r="S312" s="30"/>
      <c r="T312" s="34"/>
      <c r="U312" s="32"/>
      <c r="V312" s="33"/>
    </row>
    <row r="313" ht="15.75" customHeight="1">
      <c r="A313" s="12">
        <v>80202.0</v>
      </c>
      <c r="B313" s="13" t="s">
        <v>332</v>
      </c>
      <c r="C313" s="12">
        <v>1064.0</v>
      </c>
      <c r="D313" s="12">
        <v>60.0</v>
      </c>
      <c r="E313" s="12">
        <f>'Datos procesados'!$C313+'Datos procesados'!$D313</f>
        <v>1124</v>
      </c>
      <c r="F313" s="12">
        <v>826.0</v>
      </c>
      <c r="G313" s="12">
        <v>14.0</v>
      </c>
      <c r="H313" s="12">
        <f>'Datos procesados'!$F313+'Datos procesados'!$G313</f>
        <v>840</v>
      </c>
      <c r="I313" s="14">
        <f>'Datos procesados'!$C313/'Datos procesados'!$E313*100</f>
        <v>94.66192171</v>
      </c>
      <c r="J313" s="15">
        <f>'Datos procesados'!$F313/'Datos procesados'!$H313*100</f>
        <v>98.33333333</v>
      </c>
      <c r="K313" s="16" t="str">
        <f t="shared" si="3"/>
        <v>mejoro</v>
      </c>
      <c r="L313" s="6"/>
      <c r="M313" s="23"/>
      <c r="N313" s="22"/>
      <c r="O313" s="22"/>
      <c r="P313" s="23"/>
      <c r="Q313" s="30"/>
      <c r="R313" s="30"/>
      <c r="S313" s="30"/>
      <c r="T313" s="34"/>
      <c r="U313" s="32"/>
      <c r="V313" s="33"/>
    </row>
    <row r="314" ht="15.75" customHeight="1">
      <c r="A314" s="12">
        <v>80301.0</v>
      </c>
      <c r="B314" s="13" t="s">
        <v>333</v>
      </c>
      <c r="C314" s="12">
        <v>272.0</v>
      </c>
      <c r="D314" s="12">
        <v>47.0</v>
      </c>
      <c r="E314" s="12">
        <f>'Datos procesados'!$C314+'Datos procesados'!$D314</f>
        <v>319</v>
      </c>
      <c r="F314" s="12">
        <v>215.0</v>
      </c>
      <c r="G314" s="12">
        <v>19.0</v>
      </c>
      <c r="H314" s="12">
        <f>'Datos procesados'!$F314+'Datos procesados'!$G314</f>
        <v>234</v>
      </c>
      <c r="I314" s="14">
        <f>'Datos procesados'!$C314/'Datos procesados'!$E314*100</f>
        <v>85.26645768</v>
      </c>
      <c r="J314" s="15">
        <f>'Datos procesados'!$F314/'Datos procesados'!$H314*100</f>
        <v>91.88034188</v>
      </c>
      <c r="K314" s="16" t="str">
        <f t="shared" si="3"/>
        <v>mejoro</v>
      </c>
      <c r="L314" s="6"/>
      <c r="M314" s="23"/>
      <c r="N314" s="22"/>
      <c r="O314" s="22"/>
      <c r="P314" s="23"/>
      <c r="Q314" s="30"/>
      <c r="R314" s="30"/>
      <c r="S314" s="30"/>
      <c r="T314" s="34"/>
      <c r="U314" s="32"/>
      <c r="V314" s="33"/>
    </row>
    <row r="315" ht="15.75" customHeight="1">
      <c r="A315" s="12">
        <v>80302.0</v>
      </c>
      <c r="B315" s="13" t="s">
        <v>334</v>
      </c>
      <c r="C315" s="12">
        <v>694.0</v>
      </c>
      <c r="D315" s="12">
        <v>280.0</v>
      </c>
      <c r="E315" s="12">
        <f>'Datos procesados'!$C315+'Datos procesados'!$D315</f>
        <v>974</v>
      </c>
      <c r="F315" s="12">
        <v>654.0</v>
      </c>
      <c r="G315" s="12">
        <v>236.0</v>
      </c>
      <c r="H315" s="12">
        <f>'Datos procesados'!$F315+'Datos procesados'!$G315</f>
        <v>890</v>
      </c>
      <c r="I315" s="14">
        <f>'Datos procesados'!$C315/'Datos procesados'!$E315*100</f>
        <v>71.25256674</v>
      </c>
      <c r="J315" s="15">
        <f>'Datos procesados'!$F315/'Datos procesados'!$H315*100</f>
        <v>73.48314607</v>
      </c>
      <c r="K315" s="16" t="str">
        <f t="shared" si="3"/>
        <v>mejoro</v>
      </c>
      <c r="L315" s="6"/>
      <c r="M315" s="23"/>
      <c r="N315" s="22"/>
      <c r="O315" s="22"/>
      <c r="P315" s="23"/>
      <c r="Q315" s="30"/>
      <c r="R315" s="30"/>
      <c r="S315" s="30"/>
      <c r="T315" s="34"/>
      <c r="U315" s="32"/>
      <c r="V315" s="33"/>
    </row>
    <row r="316" ht="15.75" customHeight="1">
      <c r="A316" s="12">
        <v>80303.0</v>
      </c>
      <c r="B316" s="13" t="s">
        <v>335</v>
      </c>
      <c r="C316" s="12">
        <v>221.0</v>
      </c>
      <c r="D316" s="12">
        <v>34.0</v>
      </c>
      <c r="E316" s="12">
        <f>'Datos procesados'!$C316+'Datos procesados'!$D316</f>
        <v>255</v>
      </c>
      <c r="F316" s="12">
        <v>208.0</v>
      </c>
      <c r="G316" s="12">
        <v>13.0</v>
      </c>
      <c r="H316" s="12">
        <f>'Datos procesados'!$F316+'Datos procesados'!$G316</f>
        <v>221</v>
      </c>
      <c r="I316" s="14">
        <f>'Datos procesados'!$C316/'Datos procesados'!$E316*100</f>
        <v>86.66666667</v>
      </c>
      <c r="J316" s="15">
        <f>'Datos procesados'!$F316/'Datos procesados'!$H316*100</f>
        <v>94.11764706</v>
      </c>
      <c r="K316" s="16" t="str">
        <f t="shared" si="3"/>
        <v>mejoro</v>
      </c>
      <c r="L316" s="6"/>
      <c r="M316" s="23"/>
      <c r="N316" s="22"/>
      <c r="O316" s="22"/>
      <c r="P316" s="23"/>
      <c r="Q316" s="30"/>
      <c r="R316" s="30"/>
      <c r="S316" s="30"/>
      <c r="T316" s="34"/>
      <c r="U316" s="32"/>
      <c r="V316" s="33"/>
    </row>
    <row r="317" ht="15.75" customHeight="1">
      <c r="A317" s="12">
        <v>80304.0</v>
      </c>
      <c r="B317" s="13" t="s">
        <v>336</v>
      </c>
      <c r="C317" s="12">
        <v>432.0</v>
      </c>
      <c r="D317" s="12">
        <v>57.0</v>
      </c>
      <c r="E317" s="12">
        <f>'Datos procesados'!$C317+'Datos procesados'!$D317</f>
        <v>489</v>
      </c>
      <c r="F317" s="12">
        <v>409.0</v>
      </c>
      <c r="G317" s="12">
        <v>42.0</v>
      </c>
      <c r="H317" s="12">
        <f>'Datos procesados'!$F317+'Datos procesados'!$G317</f>
        <v>451</v>
      </c>
      <c r="I317" s="14">
        <f>'Datos procesados'!$C317/'Datos procesados'!$E317*100</f>
        <v>88.34355828</v>
      </c>
      <c r="J317" s="15">
        <f>'Datos procesados'!$F317/'Datos procesados'!$H317*100</f>
        <v>90.68736142</v>
      </c>
      <c r="K317" s="16" t="str">
        <f t="shared" si="3"/>
        <v>mejoro</v>
      </c>
      <c r="L317" s="6"/>
      <c r="M317" s="23"/>
      <c r="N317" s="22"/>
      <c r="O317" s="22"/>
      <c r="P317" s="23"/>
      <c r="Q317" s="30"/>
      <c r="R317" s="30"/>
      <c r="S317" s="30"/>
      <c r="T317" s="34"/>
      <c r="U317" s="32"/>
      <c r="V317" s="33"/>
    </row>
    <row r="318" ht="15.75" customHeight="1">
      <c r="A318" s="12">
        <v>80401.0</v>
      </c>
      <c r="B318" s="13" t="s">
        <v>337</v>
      </c>
      <c r="C318" s="12">
        <v>381.0</v>
      </c>
      <c r="D318" s="12">
        <v>39.0</v>
      </c>
      <c r="E318" s="12">
        <f>'Datos procesados'!$C318+'Datos procesados'!$D318</f>
        <v>420</v>
      </c>
      <c r="F318" s="12">
        <v>346.0</v>
      </c>
      <c r="G318" s="12">
        <v>28.0</v>
      </c>
      <c r="H318" s="12">
        <f>'Datos procesados'!$F318+'Datos procesados'!$G318</f>
        <v>374</v>
      </c>
      <c r="I318" s="14">
        <f>'Datos procesados'!$C318/'Datos procesados'!$E318*100</f>
        <v>90.71428571</v>
      </c>
      <c r="J318" s="15">
        <f>'Datos procesados'!$F318/'Datos procesados'!$H318*100</f>
        <v>92.51336898</v>
      </c>
      <c r="K318" s="16" t="str">
        <f t="shared" si="3"/>
        <v>mejoro</v>
      </c>
      <c r="L318" s="6"/>
      <c r="M318" s="23"/>
      <c r="N318" s="22"/>
      <c r="O318" s="22"/>
      <c r="P318" s="23"/>
      <c r="Q318" s="30"/>
      <c r="R318" s="30"/>
      <c r="S318" s="30"/>
      <c r="T318" s="34"/>
      <c r="U318" s="32"/>
      <c r="V318" s="33"/>
    </row>
    <row r="319" ht="15.75" customHeight="1">
      <c r="A319" s="12">
        <v>80402.0</v>
      </c>
      <c r="B319" s="13" t="s">
        <v>338</v>
      </c>
      <c r="C319" s="12">
        <v>103.0</v>
      </c>
      <c r="D319" s="12">
        <v>34.0</v>
      </c>
      <c r="E319" s="12">
        <f>'Datos procesados'!$C319+'Datos procesados'!$D319</f>
        <v>137</v>
      </c>
      <c r="F319" s="12">
        <v>126.0</v>
      </c>
      <c r="G319" s="12">
        <v>15.0</v>
      </c>
      <c r="H319" s="12">
        <f>'Datos procesados'!$F319+'Datos procesados'!$G319</f>
        <v>141</v>
      </c>
      <c r="I319" s="14">
        <f>'Datos procesados'!$C319/'Datos procesados'!$E319*100</f>
        <v>75.18248175</v>
      </c>
      <c r="J319" s="15">
        <f>'Datos procesados'!$F319/'Datos procesados'!$H319*100</f>
        <v>89.36170213</v>
      </c>
      <c r="K319" s="16" t="str">
        <f t="shared" si="3"/>
        <v>mejoro</v>
      </c>
      <c r="L319" s="6"/>
      <c r="M319" s="23"/>
      <c r="N319" s="22"/>
      <c r="O319" s="22"/>
      <c r="P319" s="23"/>
      <c r="Q319" s="30"/>
      <c r="R319" s="30"/>
      <c r="S319" s="30"/>
      <c r="T319" s="34"/>
      <c r="U319" s="32"/>
      <c r="V319" s="33"/>
    </row>
    <row r="320" ht="15.75" customHeight="1">
      <c r="A320" s="12">
        <v>80501.0</v>
      </c>
      <c r="B320" s="13" t="s">
        <v>339</v>
      </c>
      <c r="C320" s="12">
        <v>402.0</v>
      </c>
      <c r="D320" s="12">
        <v>102.0</v>
      </c>
      <c r="E320" s="12">
        <f>'Datos procesados'!$C320+'Datos procesados'!$D320</f>
        <v>504</v>
      </c>
      <c r="F320" s="12">
        <v>378.0</v>
      </c>
      <c r="G320" s="12">
        <v>70.0</v>
      </c>
      <c r="H320" s="12">
        <f>'Datos procesados'!$F320+'Datos procesados'!$G320</f>
        <v>448</v>
      </c>
      <c r="I320" s="14">
        <f>'Datos procesados'!$C320/'Datos procesados'!$E320*100</f>
        <v>79.76190476</v>
      </c>
      <c r="J320" s="15">
        <f>'Datos procesados'!$F320/'Datos procesados'!$H320*100</f>
        <v>84.375</v>
      </c>
      <c r="K320" s="16" t="str">
        <f t="shared" si="3"/>
        <v>mejoro</v>
      </c>
      <c r="L320" s="6"/>
      <c r="M320" s="23"/>
      <c r="N320" s="22"/>
      <c r="O320" s="22"/>
      <c r="P320" s="23"/>
      <c r="Q320" s="30"/>
      <c r="R320" s="30"/>
      <c r="S320" s="30"/>
      <c r="T320" s="34"/>
      <c r="U320" s="32"/>
      <c r="V320" s="33"/>
    </row>
    <row r="321" ht="15.75" customHeight="1">
      <c r="A321" s="12">
        <v>80601.0</v>
      </c>
      <c r="B321" s="13" t="s">
        <v>340</v>
      </c>
      <c r="C321" s="12">
        <v>53.0</v>
      </c>
      <c r="D321" s="12">
        <v>33.0</v>
      </c>
      <c r="E321" s="12">
        <f>'Datos procesados'!$C321+'Datos procesados'!$D321</f>
        <v>86</v>
      </c>
      <c r="F321" s="12">
        <v>77.0</v>
      </c>
      <c r="G321" s="12">
        <v>26.0</v>
      </c>
      <c r="H321" s="12">
        <f>'Datos procesados'!$F321+'Datos procesados'!$G321</f>
        <v>103</v>
      </c>
      <c r="I321" s="14">
        <f>'Datos procesados'!$C321/'Datos procesados'!$E321*100</f>
        <v>61.62790698</v>
      </c>
      <c r="J321" s="15">
        <f>'Datos procesados'!$F321/'Datos procesados'!$H321*100</f>
        <v>74.75728155</v>
      </c>
      <c r="K321" s="16" t="str">
        <f t="shared" si="3"/>
        <v>mejoro</v>
      </c>
      <c r="L321" s="6"/>
      <c r="M321" s="23"/>
      <c r="N321" s="22"/>
      <c r="O321" s="22"/>
      <c r="P321" s="23"/>
      <c r="Q321" s="30"/>
      <c r="R321" s="30"/>
      <c r="S321" s="30"/>
      <c r="T321" s="34"/>
      <c r="U321" s="32"/>
      <c r="V321" s="33"/>
    </row>
    <row r="322" ht="15.75" customHeight="1">
      <c r="A322" s="12">
        <v>80602.0</v>
      </c>
      <c r="B322" s="13" t="s">
        <v>341</v>
      </c>
      <c r="C322" s="12">
        <v>255.0</v>
      </c>
      <c r="D322" s="12">
        <v>38.0</v>
      </c>
      <c r="E322" s="12">
        <f>'Datos procesados'!$C322+'Datos procesados'!$D322</f>
        <v>293</v>
      </c>
      <c r="F322" s="12">
        <v>271.0</v>
      </c>
      <c r="G322" s="12">
        <v>15.0</v>
      </c>
      <c r="H322" s="12">
        <f>'Datos procesados'!$F322+'Datos procesados'!$G322</f>
        <v>286</v>
      </c>
      <c r="I322" s="14">
        <f>'Datos procesados'!$C322/'Datos procesados'!$E322*100</f>
        <v>87.03071672</v>
      </c>
      <c r="J322" s="15">
        <f>'Datos procesados'!$F322/'Datos procesados'!$H322*100</f>
        <v>94.75524476</v>
      </c>
      <c r="K322" s="16" t="str">
        <f t="shared" si="3"/>
        <v>mejoro</v>
      </c>
      <c r="L322" s="6"/>
      <c r="M322" s="23"/>
      <c r="N322" s="22"/>
      <c r="O322" s="22"/>
      <c r="P322" s="23"/>
      <c r="Q322" s="30"/>
      <c r="R322" s="30"/>
      <c r="S322" s="30"/>
      <c r="T322" s="34"/>
      <c r="U322" s="32"/>
      <c r="V322" s="33"/>
    </row>
    <row r="323" ht="15.75" customHeight="1">
      <c r="A323" s="12">
        <v>80701.0</v>
      </c>
      <c r="B323" s="13" t="s">
        <v>342</v>
      </c>
      <c r="C323" s="12">
        <v>163.0</v>
      </c>
      <c r="D323" s="12">
        <v>8.0</v>
      </c>
      <c r="E323" s="12">
        <f>'Datos procesados'!$C323+'Datos procesados'!$D323</f>
        <v>171</v>
      </c>
      <c r="F323" s="12">
        <v>119.0</v>
      </c>
      <c r="G323" s="12">
        <v>3.0</v>
      </c>
      <c r="H323" s="12">
        <f>'Datos procesados'!$F323+'Datos procesados'!$G323</f>
        <v>122</v>
      </c>
      <c r="I323" s="14">
        <f>'Datos procesados'!$C323/'Datos procesados'!$E323*100</f>
        <v>95.32163743</v>
      </c>
      <c r="J323" s="15">
        <f>'Datos procesados'!$F323/'Datos procesados'!$H323*100</f>
        <v>97.54098361</v>
      </c>
      <c r="K323" s="16" t="str">
        <f t="shared" si="3"/>
        <v>mejoro</v>
      </c>
      <c r="L323" s="6"/>
      <c r="M323" s="23"/>
      <c r="N323" s="22"/>
      <c r="O323" s="22"/>
      <c r="P323" s="23"/>
      <c r="Q323" s="30"/>
      <c r="R323" s="30"/>
      <c r="S323" s="30"/>
      <c r="T323" s="34"/>
      <c r="U323" s="32"/>
      <c r="V323" s="33"/>
    </row>
    <row r="324" ht="15.75" customHeight="1">
      <c r="A324" s="12">
        <v>80702.0</v>
      </c>
      <c r="B324" s="13" t="s">
        <v>318</v>
      </c>
      <c r="C324" s="12">
        <v>103.0</v>
      </c>
      <c r="D324" s="12">
        <v>4.0</v>
      </c>
      <c r="E324" s="12">
        <f>'Datos procesados'!$C324+'Datos procesados'!$D324</f>
        <v>107</v>
      </c>
      <c r="F324" s="12">
        <v>94.0</v>
      </c>
      <c r="G324" s="12">
        <v>7.0</v>
      </c>
      <c r="H324" s="12">
        <f>'Datos procesados'!$F324+'Datos procesados'!$G324</f>
        <v>101</v>
      </c>
      <c r="I324" s="14">
        <f>'Datos procesados'!$C324/'Datos procesados'!$E324*100</f>
        <v>96.26168224</v>
      </c>
      <c r="J324" s="15">
        <f>'Datos procesados'!$F324/'Datos procesados'!$H324*100</f>
        <v>93.06930693</v>
      </c>
      <c r="K324" s="16" t="str">
        <f t="shared" si="3"/>
        <v>empeoro</v>
      </c>
      <c r="L324" s="6"/>
      <c r="M324" s="23"/>
      <c r="N324" s="22"/>
      <c r="O324" s="22"/>
      <c r="P324" s="23"/>
      <c r="Q324" s="30"/>
      <c r="R324" s="30"/>
      <c r="S324" s="30"/>
      <c r="T324" s="34"/>
      <c r="U324" s="32"/>
      <c r="V324" s="33"/>
    </row>
    <row r="325" ht="15.75" customHeight="1">
      <c r="A325" s="12">
        <v>80703.0</v>
      </c>
      <c r="B325" s="13" t="s">
        <v>343</v>
      </c>
      <c r="C325" s="12">
        <v>17.0</v>
      </c>
      <c r="D325" s="12">
        <v>3.0</v>
      </c>
      <c r="E325" s="12">
        <f>'Datos procesados'!$C325+'Datos procesados'!$D325</f>
        <v>20</v>
      </c>
      <c r="F325" s="12">
        <v>19.0</v>
      </c>
      <c r="G325" s="12">
        <v>1.0</v>
      </c>
      <c r="H325" s="12">
        <f>'Datos procesados'!$F325+'Datos procesados'!$G325</f>
        <v>20</v>
      </c>
      <c r="I325" s="14">
        <f>'Datos procesados'!$C325/'Datos procesados'!$E325*100</f>
        <v>85</v>
      </c>
      <c r="J325" s="15">
        <f>'Datos procesados'!$F325/'Datos procesados'!$H325*100</f>
        <v>95</v>
      </c>
      <c r="K325" s="16" t="str">
        <f t="shared" si="3"/>
        <v>mejoro</v>
      </c>
      <c r="L325" s="6"/>
      <c r="M325" s="23"/>
      <c r="N325" s="22"/>
      <c r="O325" s="22"/>
      <c r="P325" s="23"/>
      <c r="Q325" s="30"/>
      <c r="R325" s="30"/>
      <c r="S325" s="30"/>
      <c r="T325" s="34"/>
      <c r="U325" s="32"/>
      <c r="V325" s="33"/>
    </row>
    <row r="326" ht="15.75" customHeight="1">
      <c r="A326" s="12">
        <v>80801.0</v>
      </c>
      <c r="B326" s="13" t="s">
        <v>344</v>
      </c>
      <c r="C326" s="12">
        <v>221.0</v>
      </c>
      <c r="D326" s="12">
        <v>38.0</v>
      </c>
      <c r="E326" s="12">
        <f>'Datos procesados'!$C326+'Datos procesados'!$D326</f>
        <v>259</v>
      </c>
      <c r="F326" s="12">
        <v>201.0</v>
      </c>
      <c r="G326" s="12">
        <v>10.0</v>
      </c>
      <c r="H326" s="12">
        <f>'Datos procesados'!$F326+'Datos procesados'!$G326</f>
        <v>211</v>
      </c>
      <c r="I326" s="14">
        <f>'Datos procesados'!$C326/'Datos procesados'!$E326*100</f>
        <v>85.32818533</v>
      </c>
      <c r="J326" s="15">
        <f>'Datos procesados'!$F326/'Datos procesados'!$H326*100</f>
        <v>95.26066351</v>
      </c>
      <c r="K326" s="16" t="str">
        <f t="shared" si="3"/>
        <v>mejoro</v>
      </c>
      <c r="L326" s="6"/>
      <c r="M326" s="23"/>
      <c r="N326" s="22"/>
      <c r="O326" s="22"/>
      <c r="P326" s="23"/>
      <c r="Q326" s="30"/>
      <c r="R326" s="30"/>
      <c r="S326" s="30"/>
      <c r="T326" s="34"/>
      <c r="U326" s="32"/>
      <c r="V326" s="33"/>
    </row>
    <row r="327" ht="15.75" customHeight="1">
      <c r="A327" s="12">
        <v>80802.0</v>
      </c>
      <c r="B327" s="13" t="s">
        <v>345</v>
      </c>
      <c r="C327" s="12">
        <v>134.0</v>
      </c>
      <c r="D327" s="12">
        <v>10.0</v>
      </c>
      <c r="E327" s="12">
        <f>'Datos procesados'!$C327+'Datos procesados'!$D327</f>
        <v>144</v>
      </c>
      <c r="F327" s="12">
        <v>117.0</v>
      </c>
      <c r="G327" s="12">
        <v>2.0</v>
      </c>
      <c r="H327" s="12">
        <f>'Datos procesados'!$F327+'Datos procesados'!$G327</f>
        <v>119</v>
      </c>
      <c r="I327" s="14">
        <f>'Datos procesados'!$C327/'Datos procesados'!$E327*100</f>
        <v>93.05555556</v>
      </c>
      <c r="J327" s="15">
        <f>'Datos procesados'!$F327/'Datos procesados'!$H327*100</f>
        <v>98.31932773</v>
      </c>
      <c r="K327" s="16" t="str">
        <f t="shared" si="3"/>
        <v>mejoro</v>
      </c>
      <c r="L327" s="6"/>
      <c r="M327" s="23"/>
      <c r="N327" s="22"/>
      <c r="O327" s="22"/>
      <c r="P327" s="23"/>
      <c r="Q327" s="30"/>
      <c r="R327" s="30"/>
      <c r="S327" s="30"/>
      <c r="T327" s="34"/>
      <c r="U327" s="32"/>
      <c r="V327" s="33"/>
    </row>
    <row r="328" ht="15.75" customHeight="1">
      <c r="A328" s="12">
        <v>80803.0</v>
      </c>
      <c r="B328" s="13" t="s">
        <v>346</v>
      </c>
      <c r="C328" s="12">
        <v>79.0</v>
      </c>
      <c r="D328" s="12">
        <v>7.0</v>
      </c>
      <c r="E328" s="12">
        <f>'Datos procesados'!$C328+'Datos procesados'!$D328</f>
        <v>86</v>
      </c>
      <c r="F328" s="12">
        <v>83.0</v>
      </c>
      <c r="G328" s="12">
        <v>2.0</v>
      </c>
      <c r="H328" s="12">
        <f>'Datos procesados'!$F328+'Datos procesados'!$G328</f>
        <v>85</v>
      </c>
      <c r="I328" s="14">
        <f>'Datos procesados'!$C328/'Datos procesados'!$E328*100</f>
        <v>91.86046512</v>
      </c>
      <c r="J328" s="15">
        <f>'Datos procesados'!$F328/'Datos procesados'!$H328*100</f>
        <v>97.64705882</v>
      </c>
      <c r="K328" s="16" t="str">
        <f t="shared" si="3"/>
        <v>mejoro</v>
      </c>
      <c r="L328" s="6"/>
      <c r="M328" s="23"/>
      <c r="N328" s="22"/>
      <c r="O328" s="22"/>
      <c r="P328" s="23"/>
      <c r="Q328" s="30"/>
      <c r="R328" s="30"/>
      <c r="S328" s="30"/>
      <c r="T328" s="34"/>
      <c r="U328" s="32"/>
      <c r="V328" s="33"/>
    </row>
    <row r="329" ht="15.75" customHeight="1">
      <c r="A329" s="12">
        <v>80901.0</v>
      </c>
      <c r="B329" s="13" t="s">
        <v>347</v>
      </c>
      <c r="C329" s="12">
        <v>28.0</v>
      </c>
      <c r="D329" s="12">
        <v>34.0</v>
      </c>
      <c r="E329" s="12">
        <f>'Datos procesados'!$C329+'Datos procesados'!$D329</f>
        <v>62</v>
      </c>
      <c r="F329" s="12">
        <v>47.0</v>
      </c>
      <c r="G329" s="12">
        <v>22.0</v>
      </c>
      <c r="H329" s="12">
        <f>'Datos procesados'!$F329+'Datos procesados'!$G329</f>
        <v>69</v>
      </c>
      <c r="I329" s="14">
        <f>'Datos procesados'!$C329/'Datos procesados'!$E329*100</f>
        <v>45.16129032</v>
      </c>
      <c r="J329" s="15">
        <f>'Datos procesados'!$F329/'Datos procesados'!$H329*100</f>
        <v>68.11594203</v>
      </c>
      <c r="K329" s="16" t="str">
        <f t="shared" si="3"/>
        <v>mejoro</v>
      </c>
      <c r="L329" s="6"/>
      <c r="M329" s="23"/>
      <c r="N329" s="22"/>
      <c r="O329" s="22"/>
      <c r="P329" s="23"/>
      <c r="Q329" s="30"/>
      <c r="R329" s="30"/>
      <c r="S329" s="30"/>
      <c r="T329" s="34"/>
      <c r="U329" s="32"/>
      <c r="V329" s="33"/>
    </row>
    <row r="330" ht="15.75" customHeight="1">
      <c r="A330" s="12">
        <v>90101.0</v>
      </c>
      <c r="B330" s="13" t="s">
        <v>348</v>
      </c>
      <c r="C330" s="12">
        <v>1503.0</v>
      </c>
      <c r="D330" s="12">
        <v>84.0</v>
      </c>
      <c r="E330" s="12">
        <f>'Datos procesados'!$C330+'Datos procesados'!$D330</f>
        <v>1587</v>
      </c>
      <c r="F330" s="12">
        <v>1150.0</v>
      </c>
      <c r="G330" s="12">
        <v>17.0</v>
      </c>
      <c r="H330" s="12">
        <f>'Datos procesados'!$F330+'Datos procesados'!$G330</f>
        <v>1167</v>
      </c>
      <c r="I330" s="14">
        <f>'Datos procesados'!$C330/'Datos procesados'!$E330*100</f>
        <v>94.70699433</v>
      </c>
      <c r="J330" s="15">
        <f>'Datos procesados'!$F330/'Datos procesados'!$H330*100</f>
        <v>98.54327335</v>
      </c>
      <c r="K330" s="16" t="str">
        <f t="shared" si="3"/>
        <v>mejoro</v>
      </c>
      <c r="L330" s="6"/>
      <c r="M330" s="23"/>
      <c r="N330" s="22"/>
      <c r="O330" s="22"/>
      <c r="P330" s="23"/>
      <c r="Q330" s="30"/>
      <c r="R330" s="30"/>
      <c r="S330" s="30"/>
      <c r="T330" s="34"/>
      <c r="U330" s="32"/>
      <c r="V330" s="33"/>
    </row>
    <row r="331" ht="15.75" customHeight="1">
      <c r="A331" s="12">
        <v>90102.0</v>
      </c>
      <c r="B331" s="13" t="s">
        <v>349</v>
      </c>
      <c r="C331" s="12">
        <v>199.0</v>
      </c>
      <c r="D331" s="12">
        <v>13.0</v>
      </c>
      <c r="E331" s="12">
        <f>'Datos procesados'!$C331+'Datos procesados'!$D331</f>
        <v>212</v>
      </c>
      <c r="F331" s="12">
        <v>166.0</v>
      </c>
      <c r="G331" s="12">
        <v>2.0</v>
      </c>
      <c r="H331" s="12">
        <f>'Datos procesados'!$F331+'Datos procesados'!$G331</f>
        <v>168</v>
      </c>
      <c r="I331" s="14">
        <f>'Datos procesados'!$C331/'Datos procesados'!$E331*100</f>
        <v>93.86792453</v>
      </c>
      <c r="J331" s="15">
        <f>'Datos procesados'!$F331/'Datos procesados'!$H331*100</f>
        <v>98.80952381</v>
      </c>
      <c r="K331" s="16" t="str">
        <f t="shared" si="3"/>
        <v>mejoro</v>
      </c>
      <c r="L331" s="6"/>
      <c r="M331" s="23"/>
      <c r="N331" s="22"/>
      <c r="O331" s="22"/>
      <c r="P331" s="23"/>
      <c r="Q331" s="30"/>
      <c r="R331" s="30"/>
      <c r="S331" s="30"/>
      <c r="T331" s="34"/>
      <c r="U331" s="32"/>
      <c r="V331" s="33"/>
    </row>
    <row r="332" ht="15.75" customHeight="1">
      <c r="A332" s="12">
        <v>90103.0</v>
      </c>
      <c r="B332" s="13" t="s">
        <v>350</v>
      </c>
      <c r="C332" s="12">
        <v>46.0</v>
      </c>
      <c r="D332" s="12">
        <v>8.0</v>
      </c>
      <c r="E332" s="12">
        <f>'Datos procesados'!$C332+'Datos procesados'!$D332</f>
        <v>54</v>
      </c>
      <c r="F332" s="12">
        <v>43.0</v>
      </c>
      <c r="G332" s="12">
        <v>0.0</v>
      </c>
      <c r="H332" s="12">
        <f>'Datos procesados'!$F332+'Datos procesados'!$G332</f>
        <v>43</v>
      </c>
      <c r="I332" s="14">
        <f>'Datos procesados'!$C332/'Datos procesados'!$E332*100</f>
        <v>85.18518519</v>
      </c>
      <c r="J332" s="15">
        <f>'Datos procesados'!$F332/'Datos procesados'!$H332*100</f>
        <v>100</v>
      </c>
      <c r="K332" s="16" t="str">
        <f t="shared" si="3"/>
        <v>mejoro</v>
      </c>
      <c r="L332" s="6"/>
      <c r="M332" s="23"/>
      <c r="N332" s="22"/>
      <c r="O332" s="22"/>
      <c r="P332" s="23"/>
      <c r="Q332" s="30"/>
      <c r="R332" s="30"/>
      <c r="S332" s="30"/>
      <c r="T332" s="34"/>
      <c r="U332" s="32"/>
      <c r="V332" s="33"/>
    </row>
    <row r="333" ht="15.75" customHeight="1">
      <c r="A333" s="12">
        <v>90104.0</v>
      </c>
      <c r="B333" s="13" t="s">
        <v>351</v>
      </c>
      <c r="C333" s="12">
        <v>113.0</v>
      </c>
      <c r="D333" s="12">
        <v>11.0</v>
      </c>
      <c r="E333" s="12">
        <f>'Datos procesados'!$C333+'Datos procesados'!$D333</f>
        <v>124</v>
      </c>
      <c r="F333" s="12">
        <v>73.0</v>
      </c>
      <c r="G333" s="12">
        <v>3.0</v>
      </c>
      <c r="H333" s="12">
        <f>'Datos procesados'!$F333+'Datos procesados'!$G333</f>
        <v>76</v>
      </c>
      <c r="I333" s="14">
        <f>'Datos procesados'!$C333/'Datos procesados'!$E333*100</f>
        <v>91.12903226</v>
      </c>
      <c r="J333" s="15">
        <f>'Datos procesados'!$F333/'Datos procesados'!$H333*100</f>
        <v>96.05263158</v>
      </c>
      <c r="K333" s="16" t="str">
        <f t="shared" si="3"/>
        <v>mejoro</v>
      </c>
      <c r="L333" s="6"/>
      <c r="M333" s="23"/>
      <c r="N333" s="22"/>
      <c r="O333" s="22"/>
      <c r="P333" s="23"/>
      <c r="Q333" s="30"/>
      <c r="R333" s="30"/>
      <c r="S333" s="30"/>
      <c r="T333" s="34"/>
      <c r="U333" s="32"/>
      <c r="V333" s="33"/>
    </row>
    <row r="334" ht="15.75" customHeight="1">
      <c r="A334" s="12">
        <v>90201.0</v>
      </c>
      <c r="B334" s="13" t="s">
        <v>352</v>
      </c>
      <c r="C334" s="12">
        <v>119.0</v>
      </c>
      <c r="D334" s="12">
        <v>17.0</v>
      </c>
      <c r="E334" s="12">
        <f>'Datos procesados'!$C334+'Datos procesados'!$D334</f>
        <v>136</v>
      </c>
      <c r="F334" s="12">
        <v>197.0</v>
      </c>
      <c r="G334" s="12">
        <v>5.0</v>
      </c>
      <c r="H334" s="12">
        <f>'Datos procesados'!$F334+'Datos procesados'!$G334</f>
        <v>202</v>
      </c>
      <c r="I334" s="14">
        <f>'Datos procesados'!$C334/'Datos procesados'!$E334*100</f>
        <v>87.5</v>
      </c>
      <c r="J334" s="15">
        <f>'Datos procesados'!$F334/'Datos procesados'!$H334*100</f>
        <v>97.52475248</v>
      </c>
      <c r="K334" s="16" t="str">
        <f t="shared" si="3"/>
        <v>mejoro</v>
      </c>
      <c r="L334" s="6"/>
      <c r="M334" s="23"/>
      <c r="N334" s="22"/>
      <c r="O334" s="22"/>
      <c r="P334" s="23"/>
      <c r="Q334" s="30"/>
      <c r="R334" s="30"/>
      <c r="S334" s="30"/>
      <c r="T334" s="34"/>
      <c r="U334" s="32"/>
      <c r="V334" s="33"/>
    </row>
    <row r="335" ht="15.75" customHeight="1">
      <c r="A335" s="12">
        <v>90202.0</v>
      </c>
      <c r="B335" s="13" t="s">
        <v>315</v>
      </c>
      <c r="C335" s="12">
        <v>28.0</v>
      </c>
      <c r="D335" s="12">
        <v>28.0</v>
      </c>
      <c r="E335" s="12">
        <f>'Datos procesados'!$C335+'Datos procesados'!$D335</f>
        <v>56</v>
      </c>
      <c r="F335" s="12">
        <v>42.0</v>
      </c>
      <c r="G335" s="12">
        <v>14.0</v>
      </c>
      <c r="H335" s="12">
        <f>'Datos procesados'!$F335+'Datos procesados'!$G335</f>
        <v>56</v>
      </c>
      <c r="I335" s="14">
        <f>'Datos procesados'!$C335/'Datos procesados'!$E335*100</f>
        <v>50</v>
      </c>
      <c r="J335" s="15">
        <f>'Datos procesados'!$F335/'Datos procesados'!$H335*100</f>
        <v>75</v>
      </c>
      <c r="K335" s="16" t="str">
        <f t="shared" si="3"/>
        <v>mejoro</v>
      </c>
      <c r="L335" s="6"/>
      <c r="M335" s="23"/>
      <c r="N335" s="22"/>
      <c r="O335" s="22"/>
      <c r="P335" s="23"/>
      <c r="Q335" s="30"/>
      <c r="R335" s="30"/>
      <c r="S335" s="30"/>
      <c r="T335" s="34"/>
      <c r="U335" s="32"/>
      <c r="V335" s="33"/>
    </row>
    <row r="336" ht="15.75" customHeight="1">
      <c r="A336" s="12">
        <v>90203.0</v>
      </c>
      <c r="B336" s="13" t="s">
        <v>353</v>
      </c>
      <c r="C336" s="12">
        <v>115.0</v>
      </c>
      <c r="D336" s="12">
        <v>26.0</v>
      </c>
      <c r="E336" s="12">
        <f>'Datos procesados'!$C336+'Datos procesados'!$D336</f>
        <v>141</v>
      </c>
      <c r="F336" s="12">
        <v>184.0</v>
      </c>
      <c r="G336" s="12">
        <v>8.0</v>
      </c>
      <c r="H336" s="12">
        <f>'Datos procesados'!$F336+'Datos procesados'!$G336</f>
        <v>192</v>
      </c>
      <c r="I336" s="14">
        <f>'Datos procesados'!$C336/'Datos procesados'!$E336*100</f>
        <v>81.56028369</v>
      </c>
      <c r="J336" s="15">
        <f>'Datos procesados'!$F336/'Datos procesados'!$H336*100</f>
        <v>95.83333333</v>
      </c>
      <c r="K336" s="16" t="str">
        <f t="shared" si="3"/>
        <v>mejoro</v>
      </c>
      <c r="L336" s="6"/>
      <c r="M336" s="23"/>
      <c r="N336" s="22"/>
      <c r="O336" s="22"/>
      <c r="P336" s="23"/>
      <c r="Q336" s="30"/>
      <c r="R336" s="30"/>
      <c r="S336" s="30"/>
      <c r="T336" s="34"/>
      <c r="U336" s="32"/>
      <c r="V336" s="33"/>
    </row>
    <row r="337" ht="15.75" customHeight="1">
      <c r="A337" s="12">
        <v>90301.0</v>
      </c>
      <c r="B337" s="13" t="s">
        <v>354</v>
      </c>
      <c r="C337" s="12">
        <v>129.0</v>
      </c>
      <c r="D337" s="12">
        <v>31.0</v>
      </c>
      <c r="E337" s="12">
        <f>'Datos procesados'!$C337+'Datos procesados'!$D337</f>
        <v>160</v>
      </c>
      <c r="F337" s="12">
        <v>142.0</v>
      </c>
      <c r="G337" s="12">
        <v>13.0</v>
      </c>
      <c r="H337" s="12">
        <f>'Datos procesados'!$F337+'Datos procesados'!$G337</f>
        <v>155</v>
      </c>
      <c r="I337" s="14">
        <f>'Datos procesados'!$C337/'Datos procesados'!$E337*100</f>
        <v>80.625</v>
      </c>
      <c r="J337" s="15">
        <f>'Datos procesados'!$F337/'Datos procesados'!$H337*100</f>
        <v>91.61290323</v>
      </c>
      <c r="K337" s="16" t="str">
        <f t="shared" si="3"/>
        <v>mejoro</v>
      </c>
      <c r="L337" s="6"/>
      <c r="M337" s="23"/>
      <c r="N337" s="22"/>
      <c r="O337" s="22"/>
      <c r="P337" s="23"/>
      <c r="Q337" s="30"/>
      <c r="R337" s="30"/>
      <c r="S337" s="30"/>
      <c r="T337" s="34"/>
      <c r="U337" s="32"/>
      <c r="V337" s="33"/>
    </row>
    <row r="338" ht="15.75" customHeight="1">
      <c r="A338" s="12">
        <v>90302.0</v>
      </c>
      <c r="B338" s="13" t="s">
        <v>355</v>
      </c>
      <c r="C338" s="12">
        <v>122.0</v>
      </c>
      <c r="D338" s="12">
        <v>31.0</v>
      </c>
      <c r="E338" s="12">
        <f>'Datos procesados'!$C338+'Datos procesados'!$D338</f>
        <v>153</v>
      </c>
      <c r="F338" s="12">
        <v>186.0</v>
      </c>
      <c r="G338" s="12">
        <v>35.0</v>
      </c>
      <c r="H338" s="12">
        <f>'Datos procesados'!$F338+'Datos procesados'!$G338</f>
        <v>221</v>
      </c>
      <c r="I338" s="14">
        <f>'Datos procesados'!$C338/'Datos procesados'!$E338*100</f>
        <v>79.73856209</v>
      </c>
      <c r="J338" s="15">
        <f>'Datos procesados'!$F338/'Datos procesados'!$H338*100</f>
        <v>84.16289593</v>
      </c>
      <c r="K338" s="16" t="str">
        <f t="shared" si="3"/>
        <v>mejoro</v>
      </c>
      <c r="L338" s="6"/>
      <c r="M338" s="23"/>
      <c r="N338" s="22"/>
      <c r="O338" s="22"/>
      <c r="P338" s="23"/>
      <c r="Q338" s="30"/>
      <c r="R338" s="30"/>
      <c r="S338" s="30"/>
      <c r="T338" s="34"/>
      <c r="U338" s="32"/>
      <c r="V338" s="33"/>
    </row>
    <row r="339" ht="15.75" customHeight="1">
      <c r="A339" s="12">
        <v>90303.0</v>
      </c>
      <c r="B339" s="13" t="s">
        <v>356</v>
      </c>
      <c r="C339" s="12">
        <v>151.0</v>
      </c>
      <c r="D339" s="12">
        <v>64.0</v>
      </c>
      <c r="E339" s="12">
        <f>'Datos procesados'!$C339+'Datos procesados'!$D339</f>
        <v>215</v>
      </c>
      <c r="F339" s="12">
        <v>233.0</v>
      </c>
      <c r="G339" s="12">
        <v>14.0</v>
      </c>
      <c r="H339" s="12">
        <f>'Datos procesados'!$F339+'Datos procesados'!$G339</f>
        <v>247</v>
      </c>
      <c r="I339" s="14">
        <f>'Datos procesados'!$C339/'Datos procesados'!$E339*100</f>
        <v>70.23255814</v>
      </c>
      <c r="J339" s="15">
        <f>'Datos procesados'!$F339/'Datos procesados'!$H339*100</f>
        <v>94.33198381</v>
      </c>
      <c r="K339" s="16" t="str">
        <f t="shared" si="3"/>
        <v>mejoro</v>
      </c>
      <c r="L339" s="6"/>
      <c r="M339" s="23"/>
      <c r="N339" s="22"/>
      <c r="O339" s="22"/>
      <c r="P339" s="23"/>
      <c r="Q339" s="30"/>
      <c r="R339" s="30"/>
      <c r="S339" s="30"/>
      <c r="T339" s="34"/>
      <c r="U339" s="32"/>
      <c r="V339" s="33"/>
    </row>
    <row r="340" ht="15.75" customHeight="1">
      <c r="A340" s="12">
        <v>90401.0</v>
      </c>
      <c r="B340" s="13" t="s">
        <v>357</v>
      </c>
      <c r="C340" s="12">
        <v>48.0</v>
      </c>
      <c r="D340" s="12">
        <v>5.0</v>
      </c>
      <c r="E340" s="12">
        <f>'Datos procesados'!$C340+'Datos procesados'!$D340</f>
        <v>53</v>
      </c>
      <c r="F340" s="12">
        <v>58.0</v>
      </c>
      <c r="G340" s="12">
        <v>1.0</v>
      </c>
      <c r="H340" s="12">
        <f>'Datos procesados'!$F340+'Datos procesados'!$G340</f>
        <v>59</v>
      </c>
      <c r="I340" s="14">
        <f>'Datos procesados'!$C340/'Datos procesados'!$E340*100</f>
        <v>90.56603774</v>
      </c>
      <c r="J340" s="15">
        <f>'Datos procesados'!$F340/'Datos procesados'!$H340*100</f>
        <v>98.30508475</v>
      </c>
      <c r="K340" s="16" t="str">
        <f t="shared" si="3"/>
        <v>mejoro</v>
      </c>
      <c r="L340" s="6"/>
      <c r="M340" s="23"/>
      <c r="N340" s="22"/>
      <c r="O340" s="22"/>
      <c r="P340" s="23"/>
      <c r="Q340" s="30"/>
      <c r="R340" s="30"/>
      <c r="S340" s="30"/>
      <c r="T340" s="34"/>
      <c r="U340" s="32"/>
      <c r="V340" s="33"/>
    </row>
    <row r="341" ht="15.75" customHeight="1">
      <c r="A341" s="12">
        <v>90402.0</v>
      </c>
      <c r="B341" s="13" t="s">
        <v>358</v>
      </c>
      <c r="C341" s="12">
        <v>37.0</v>
      </c>
      <c r="D341" s="12">
        <v>9.0</v>
      </c>
      <c r="E341" s="12">
        <f>'Datos procesados'!$C341+'Datos procesados'!$D341</f>
        <v>46</v>
      </c>
      <c r="F341" s="12">
        <v>54.0</v>
      </c>
      <c r="G341" s="12">
        <v>5.0</v>
      </c>
      <c r="H341" s="12">
        <f>'Datos procesados'!$F341+'Datos procesados'!$G341</f>
        <v>59</v>
      </c>
      <c r="I341" s="14">
        <f>'Datos procesados'!$C341/'Datos procesados'!$E341*100</f>
        <v>80.43478261</v>
      </c>
      <c r="J341" s="15">
        <f>'Datos procesados'!$F341/'Datos procesados'!$H341*100</f>
        <v>91.52542373</v>
      </c>
      <c r="K341" s="16" t="str">
        <f t="shared" si="3"/>
        <v>mejoro</v>
      </c>
      <c r="L341" s="6"/>
      <c r="M341" s="23"/>
      <c r="N341" s="22"/>
      <c r="O341" s="22"/>
      <c r="P341" s="23"/>
      <c r="Q341" s="30"/>
      <c r="R341" s="30"/>
      <c r="S341" s="30"/>
      <c r="T341" s="34"/>
      <c r="U341" s="32"/>
      <c r="V341" s="33"/>
    </row>
    <row r="342" ht="15.75" customHeight="1">
      <c r="A342" s="12">
        <v>90501.0</v>
      </c>
      <c r="B342" s="13" t="s">
        <v>359</v>
      </c>
      <c r="C342" s="12">
        <v>45.0</v>
      </c>
      <c r="D342" s="12">
        <v>7.0</v>
      </c>
      <c r="E342" s="12">
        <f>'Datos procesados'!$C342+'Datos procesados'!$D342</f>
        <v>52</v>
      </c>
      <c r="F342" s="12">
        <v>33.0</v>
      </c>
      <c r="G342" s="12">
        <v>2.0</v>
      </c>
      <c r="H342" s="12">
        <f>'Datos procesados'!$F342+'Datos procesados'!$G342</f>
        <v>35</v>
      </c>
      <c r="I342" s="14">
        <f>'Datos procesados'!$C342/'Datos procesados'!$E342*100</f>
        <v>86.53846154</v>
      </c>
      <c r="J342" s="15">
        <f>'Datos procesados'!$F342/'Datos procesados'!$H342*100</f>
        <v>94.28571429</v>
      </c>
      <c r="K342" s="16" t="str">
        <f t="shared" si="3"/>
        <v>mejoro</v>
      </c>
      <c r="L342" s="6"/>
      <c r="M342" s="23"/>
      <c r="N342" s="22"/>
      <c r="O342" s="22"/>
      <c r="P342" s="23"/>
      <c r="Q342" s="30"/>
      <c r="R342" s="30"/>
      <c r="S342" s="30"/>
      <c r="T342" s="34"/>
      <c r="U342" s="32"/>
      <c r="V342" s="33"/>
    </row>
    <row r="343" ht="15.75" customHeight="1">
      <c r="A343" s="12">
        <v>90502.0</v>
      </c>
      <c r="B343" s="13" t="s">
        <v>360</v>
      </c>
      <c r="C343" s="12">
        <v>45.0</v>
      </c>
      <c r="D343" s="12">
        <v>7.0</v>
      </c>
      <c r="E343" s="12">
        <f>'Datos procesados'!$C343+'Datos procesados'!$D343</f>
        <v>52</v>
      </c>
      <c r="F343" s="12">
        <v>60.0</v>
      </c>
      <c r="G343" s="12">
        <v>5.0</v>
      </c>
      <c r="H343" s="12">
        <f>'Datos procesados'!$F343+'Datos procesados'!$G343</f>
        <v>65</v>
      </c>
      <c r="I343" s="14">
        <f>'Datos procesados'!$C343/'Datos procesados'!$E343*100</f>
        <v>86.53846154</v>
      </c>
      <c r="J343" s="15">
        <f>'Datos procesados'!$F343/'Datos procesados'!$H343*100</f>
        <v>92.30769231</v>
      </c>
      <c r="K343" s="16" t="str">
        <f t="shared" si="3"/>
        <v>mejoro</v>
      </c>
      <c r="L343" s="6"/>
      <c r="M343" s="23"/>
      <c r="N343" s="22"/>
      <c r="O343" s="22"/>
      <c r="P343" s="23"/>
      <c r="Q343" s="30"/>
      <c r="R343" s="30"/>
      <c r="S343" s="30"/>
      <c r="T343" s="34"/>
      <c r="U343" s="32"/>
      <c r="V343" s="33"/>
    </row>
    <row r="344" ht="15.75" customHeight="1">
      <c r="A344" s="12">
        <v>90503.0</v>
      </c>
      <c r="B344" s="13" t="s">
        <v>361</v>
      </c>
      <c r="C344" s="12">
        <v>39.0</v>
      </c>
      <c r="D344" s="12">
        <v>6.0</v>
      </c>
      <c r="E344" s="12">
        <f>'Datos procesados'!$C344+'Datos procesados'!$D344</f>
        <v>45</v>
      </c>
      <c r="F344" s="12">
        <v>44.0</v>
      </c>
      <c r="G344" s="12">
        <v>0.0</v>
      </c>
      <c r="H344" s="12">
        <f>'Datos procesados'!$F344+'Datos procesados'!$G344</f>
        <v>44</v>
      </c>
      <c r="I344" s="14">
        <f>'Datos procesados'!$C344/'Datos procesados'!$E344*100</f>
        <v>86.66666667</v>
      </c>
      <c r="J344" s="15">
        <f>'Datos procesados'!$F344/'Datos procesados'!$H344*100</f>
        <v>100</v>
      </c>
      <c r="K344" s="16" t="str">
        <f t="shared" si="3"/>
        <v>mejoro</v>
      </c>
      <c r="L344" s="6"/>
      <c r="M344" s="23"/>
      <c r="N344" s="22"/>
      <c r="O344" s="22"/>
      <c r="P344" s="23"/>
      <c r="Q344" s="30"/>
      <c r="R344" s="30"/>
      <c r="S344" s="30"/>
      <c r="T344" s="34"/>
      <c r="U344" s="32"/>
      <c r="V344" s="33"/>
    </row>
    <row r="345" ht="15.75" customHeight="1">
      <c r="A345" s="35">
        <v>10.0</v>
      </c>
      <c r="B345" s="36" t="s">
        <v>362</v>
      </c>
      <c r="C345" s="37">
        <f t="shared" ref="C345:D345" si="25">SUM(C246:C248)</f>
        <v>3937</v>
      </c>
      <c r="D345" s="37">
        <f t="shared" si="25"/>
        <v>280</v>
      </c>
      <c r="E345" s="37">
        <f>C345+D345</f>
        <v>4217</v>
      </c>
      <c r="F345" s="37">
        <f t="shared" ref="F345:H345" si="26">SUM(F246:F248)</f>
        <v>3074</v>
      </c>
      <c r="G345" s="37">
        <f t="shared" si="26"/>
        <v>73</v>
      </c>
      <c r="H345" s="37">
        <f t="shared" si="26"/>
        <v>3147</v>
      </c>
      <c r="I345" s="38">
        <f>C345/E345*100</f>
        <v>93.36020868</v>
      </c>
      <c r="J345" s="38">
        <f>F345/H345*100</f>
        <v>97.68033047</v>
      </c>
      <c r="K345" s="39" t="str">
        <f t="shared" si="3"/>
        <v>mejoro</v>
      </c>
      <c r="L345" s="6"/>
      <c r="M345" s="23"/>
      <c r="N345" s="22"/>
      <c r="O345" s="22"/>
      <c r="P345" s="23"/>
      <c r="Q345" s="30"/>
      <c r="R345" s="30"/>
      <c r="S345" s="30"/>
      <c r="T345" s="34"/>
      <c r="U345" s="32"/>
      <c r="V345" s="40"/>
      <c r="W345" s="41"/>
      <c r="X345" s="41"/>
      <c r="Y345" s="41"/>
      <c r="Z345" s="41"/>
      <c r="AA345" s="41"/>
      <c r="AB345" s="41"/>
      <c r="AC345" s="41"/>
      <c r="AD345" s="41"/>
      <c r="AE345" s="41"/>
    </row>
    <row r="346" ht="15.75" customHeight="1">
      <c r="A346" s="42"/>
      <c r="B346" s="43"/>
      <c r="C346" s="44"/>
      <c r="D346" s="44"/>
      <c r="E346" s="44"/>
      <c r="F346" s="44"/>
      <c r="G346" s="44"/>
      <c r="H346" s="45"/>
      <c r="I346" s="46"/>
      <c r="J346" s="46"/>
      <c r="K346" s="47"/>
      <c r="L346" s="6"/>
      <c r="M346" s="23"/>
      <c r="N346" s="22"/>
      <c r="O346" s="22"/>
      <c r="P346" s="23"/>
      <c r="Q346" s="30"/>
      <c r="R346" s="30"/>
      <c r="S346" s="30"/>
      <c r="T346" s="34"/>
      <c r="U346" s="32"/>
      <c r="V346" s="40"/>
      <c r="W346" s="41"/>
      <c r="X346" s="41"/>
      <c r="Y346" s="41"/>
      <c r="Z346" s="41"/>
      <c r="AA346" s="41"/>
      <c r="AB346" s="41"/>
      <c r="AC346" s="41"/>
      <c r="AD346" s="41"/>
      <c r="AE346" s="41"/>
    </row>
    <row r="347" ht="15.75" customHeight="1">
      <c r="A347" s="41"/>
      <c r="B347" s="48"/>
      <c r="C347" s="41"/>
      <c r="D347" s="41"/>
      <c r="E347" s="41"/>
      <c r="F347" s="41"/>
      <c r="G347" s="41"/>
      <c r="H347" s="41"/>
      <c r="I347" s="49"/>
      <c r="J347" s="49"/>
      <c r="L347" s="6"/>
      <c r="M347" s="23"/>
      <c r="N347" s="22"/>
      <c r="O347" s="22"/>
      <c r="P347" s="23"/>
      <c r="Q347" s="30"/>
      <c r="R347" s="30"/>
      <c r="S347" s="30"/>
      <c r="T347" s="34"/>
      <c r="U347" s="32"/>
      <c r="V347" s="33"/>
    </row>
    <row r="348" ht="15.75" customHeight="1">
      <c r="A348" s="41"/>
      <c r="B348" s="48"/>
      <c r="C348" s="41"/>
      <c r="D348" s="41"/>
      <c r="E348" s="41"/>
      <c r="F348" s="41"/>
      <c r="G348" s="41"/>
      <c r="H348" s="41"/>
      <c r="I348" s="49"/>
      <c r="J348" s="49"/>
      <c r="L348" s="6"/>
      <c r="M348" s="23"/>
      <c r="N348" s="22"/>
      <c r="O348" s="22"/>
      <c r="P348" s="23"/>
      <c r="Q348" s="30"/>
      <c r="R348" s="30"/>
      <c r="S348" s="30"/>
      <c r="T348" s="34"/>
      <c r="U348" s="32"/>
      <c r="V348" s="33"/>
    </row>
    <row r="349" ht="15.75" customHeight="1">
      <c r="A349" s="41"/>
      <c r="B349" s="48"/>
      <c r="C349" s="41"/>
      <c r="D349" s="41"/>
      <c r="E349" s="41"/>
      <c r="F349" s="41"/>
      <c r="G349" s="41"/>
      <c r="H349" s="41"/>
      <c r="I349" s="49"/>
      <c r="J349" s="49"/>
      <c r="L349" s="6"/>
      <c r="M349" s="23"/>
      <c r="N349" s="22"/>
      <c r="O349" s="22"/>
      <c r="P349" s="23"/>
      <c r="Q349" s="30"/>
      <c r="R349" s="30"/>
      <c r="S349" s="30"/>
      <c r="T349" s="34"/>
      <c r="U349" s="32"/>
      <c r="V349" s="33"/>
    </row>
    <row r="350" ht="15.75" customHeight="1">
      <c r="A350" s="41"/>
      <c r="B350" s="48"/>
      <c r="C350" s="41"/>
      <c r="D350" s="41"/>
      <c r="E350" s="41"/>
      <c r="F350" s="41"/>
      <c r="G350" s="41"/>
      <c r="H350" s="41"/>
      <c r="I350" s="49"/>
      <c r="J350" s="49"/>
      <c r="L350" s="6"/>
      <c r="M350" s="23"/>
      <c r="N350" s="22"/>
      <c r="O350" s="22"/>
      <c r="P350" s="23"/>
      <c r="Q350" s="30"/>
      <c r="R350" s="30"/>
      <c r="S350" s="30"/>
      <c r="T350" s="34"/>
      <c r="U350" s="32"/>
      <c r="V350" s="33"/>
    </row>
    <row r="351" ht="15.75" customHeight="1">
      <c r="A351" s="41"/>
      <c r="B351" s="48"/>
      <c r="C351" s="41"/>
      <c r="D351" s="41"/>
      <c r="E351" s="41"/>
      <c r="F351" s="41"/>
      <c r="G351" s="41"/>
      <c r="H351" s="41"/>
      <c r="I351" s="49"/>
      <c r="J351" s="49"/>
      <c r="L351" s="6"/>
      <c r="M351" s="23"/>
      <c r="N351" s="22"/>
      <c r="O351" s="22"/>
      <c r="P351" s="23"/>
      <c r="Q351" s="30"/>
      <c r="R351" s="30"/>
      <c r="S351" s="30"/>
      <c r="T351" s="34"/>
      <c r="U351" s="32"/>
      <c r="V351" s="33"/>
    </row>
    <row r="352" ht="15.75" customHeight="1">
      <c r="A352" s="41"/>
      <c r="B352" s="48"/>
      <c r="C352" s="41"/>
      <c r="D352" s="41"/>
      <c r="E352" s="41"/>
      <c r="F352" s="41"/>
      <c r="G352" s="41"/>
      <c r="H352" s="41"/>
      <c r="I352" s="49"/>
      <c r="J352" s="49"/>
      <c r="L352" s="6"/>
      <c r="M352" s="23"/>
      <c r="N352" s="22"/>
      <c r="O352" s="22"/>
      <c r="P352" s="23"/>
      <c r="Q352" s="30"/>
      <c r="R352" s="30"/>
      <c r="S352" s="30"/>
      <c r="T352" s="34"/>
      <c r="U352" s="32"/>
      <c r="V352" s="33"/>
    </row>
    <row r="353" ht="15.75" customHeight="1">
      <c r="A353" s="41"/>
      <c r="B353" s="48"/>
      <c r="C353" s="41"/>
      <c r="D353" s="41"/>
      <c r="E353" s="41"/>
      <c r="F353" s="41"/>
      <c r="G353" s="41"/>
      <c r="H353" s="41"/>
      <c r="I353" s="49"/>
      <c r="J353" s="49"/>
      <c r="L353" s="6"/>
      <c r="M353" s="23"/>
      <c r="N353" s="22"/>
      <c r="O353" s="22"/>
      <c r="P353" s="23"/>
      <c r="Q353" s="30"/>
      <c r="R353" s="30"/>
      <c r="S353" s="30"/>
      <c r="T353" s="34"/>
      <c r="U353" s="32"/>
      <c r="V353" s="33"/>
    </row>
    <row r="354" ht="15.75" customHeight="1">
      <c r="A354" s="41"/>
      <c r="B354" s="48"/>
      <c r="C354" s="41"/>
      <c r="D354" s="41"/>
      <c r="E354" s="41"/>
      <c r="F354" s="41"/>
      <c r="G354" s="41"/>
      <c r="H354" s="41"/>
      <c r="I354" s="49"/>
      <c r="J354" s="49"/>
      <c r="L354" s="6"/>
      <c r="M354" s="23"/>
      <c r="N354" s="22"/>
      <c r="O354" s="22"/>
      <c r="P354" s="23"/>
      <c r="Q354" s="30"/>
      <c r="R354" s="30"/>
      <c r="S354" s="30"/>
      <c r="T354" s="34"/>
      <c r="U354" s="32"/>
      <c r="V354" s="33"/>
    </row>
    <row r="355" ht="15.75" customHeight="1">
      <c r="A355" s="41"/>
      <c r="B355" s="48"/>
      <c r="C355" s="41"/>
      <c r="D355" s="41"/>
      <c r="E355" s="41"/>
      <c r="F355" s="41"/>
      <c r="G355" s="41"/>
      <c r="H355" s="41"/>
      <c r="I355" s="49"/>
      <c r="J355" s="49"/>
      <c r="L355" s="6"/>
      <c r="M355" s="23"/>
      <c r="N355" s="22"/>
      <c r="O355" s="22"/>
      <c r="P355" s="23"/>
      <c r="Q355" s="30"/>
      <c r="R355" s="30"/>
      <c r="S355" s="30"/>
      <c r="T355" s="34"/>
      <c r="U355" s="32"/>
      <c r="V355" s="33"/>
    </row>
    <row r="356" ht="15.75" customHeight="1">
      <c r="A356" s="41"/>
      <c r="B356" s="48"/>
      <c r="C356" s="41"/>
      <c r="D356" s="41"/>
      <c r="E356" s="41"/>
      <c r="F356" s="41"/>
      <c r="G356" s="41"/>
      <c r="H356" s="41"/>
      <c r="I356" s="49"/>
      <c r="J356" s="49"/>
      <c r="L356" s="6"/>
      <c r="M356" s="23"/>
      <c r="N356" s="22"/>
      <c r="O356" s="22"/>
      <c r="P356" s="23"/>
      <c r="Q356" s="30"/>
      <c r="R356" s="30"/>
      <c r="S356" s="30"/>
      <c r="T356" s="34"/>
      <c r="U356" s="32"/>
      <c r="V356" s="33"/>
    </row>
    <row r="357" ht="15.75" customHeight="1">
      <c r="A357" s="41"/>
      <c r="B357" s="48"/>
      <c r="C357" s="41"/>
      <c r="D357" s="41"/>
      <c r="E357" s="41"/>
      <c r="F357" s="41"/>
      <c r="G357" s="41"/>
      <c r="H357" s="41"/>
      <c r="I357" s="49"/>
      <c r="J357" s="49"/>
      <c r="L357" s="6"/>
      <c r="M357" s="23"/>
      <c r="N357" s="22"/>
      <c r="O357" s="22"/>
      <c r="P357" s="23"/>
      <c r="Q357" s="30"/>
      <c r="R357" s="30"/>
      <c r="S357" s="30"/>
      <c r="T357" s="34"/>
      <c r="U357" s="32"/>
      <c r="V357" s="33"/>
    </row>
    <row r="358" ht="15.75" customHeight="1">
      <c r="A358" s="41"/>
      <c r="B358" s="48"/>
      <c r="C358" s="41"/>
      <c r="D358" s="41"/>
      <c r="E358" s="41"/>
      <c r="F358" s="41"/>
      <c r="G358" s="41"/>
      <c r="H358" s="41"/>
      <c r="I358" s="49"/>
      <c r="J358" s="49"/>
      <c r="L358" s="6"/>
      <c r="M358" s="23"/>
      <c r="N358" s="22"/>
      <c r="O358" s="22"/>
      <c r="P358" s="23"/>
      <c r="Q358" s="30"/>
      <c r="R358" s="30"/>
      <c r="S358" s="30"/>
      <c r="T358" s="34"/>
      <c r="U358" s="32"/>
      <c r="V358" s="33"/>
    </row>
    <row r="359" ht="15.75" customHeight="1">
      <c r="A359" s="41"/>
      <c r="B359" s="48"/>
      <c r="C359" s="41"/>
      <c r="D359" s="41"/>
      <c r="E359" s="41"/>
      <c r="F359" s="41"/>
      <c r="G359" s="41"/>
      <c r="H359" s="41"/>
      <c r="I359" s="49"/>
      <c r="J359" s="49"/>
      <c r="L359" s="6"/>
      <c r="M359" s="23"/>
      <c r="N359" s="22"/>
      <c r="O359" s="22"/>
      <c r="P359" s="23"/>
      <c r="Q359" s="30"/>
      <c r="R359" s="30"/>
      <c r="S359" s="30"/>
      <c r="T359" s="34"/>
      <c r="U359" s="32"/>
      <c r="V359" s="33"/>
    </row>
    <row r="360" ht="15.75" customHeight="1">
      <c r="A360" s="41"/>
      <c r="B360" s="48"/>
      <c r="C360" s="41"/>
      <c r="D360" s="41"/>
      <c r="E360" s="41"/>
      <c r="F360" s="41"/>
      <c r="G360" s="41"/>
      <c r="H360" s="41"/>
      <c r="I360" s="49"/>
      <c r="J360" s="49"/>
      <c r="L360" s="6"/>
      <c r="M360" s="23"/>
      <c r="N360" s="22"/>
      <c r="O360" s="22"/>
      <c r="P360" s="23"/>
      <c r="Q360" s="30"/>
      <c r="R360" s="30"/>
      <c r="S360" s="30"/>
      <c r="T360" s="34"/>
      <c r="U360" s="32"/>
      <c r="V360" s="33"/>
    </row>
    <row r="361" ht="15.75" customHeight="1">
      <c r="A361" s="41"/>
      <c r="B361" s="48"/>
      <c r="C361" s="41"/>
      <c r="D361" s="41"/>
      <c r="E361" s="41"/>
      <c r="F361" s="41"/>
      <c r="G361" s="41"/>
      <c r="H361" s="41"/>
      <c r="I361" s="49"/>
      <c r="J361" s="49"/>
      <c r="L361" s="6"/>
      <c r="M361" s="23"/>
      <c r="N361" s="22"/>
      <c r="O361" s="22"/>
      <c r="P361" s="23"/>
      <c r="Q361" s="30"/>
      <c r="R361" s="30"/>
      <c r="S361" s="30"/>
      <c r="T361" s="34"/>
      <c r="U361" s="32"/>
      <c r="V361" s="33"/>
    </row>
    <row r="362" ht="15.75" customHeight="1">
      <c r="A362" s="41"/>
      <c r="B362" s="48"/>
      <c r="C362" s="41"/>
      <c r="D362" s="41"/>
      <c r="E362" s="41"/>
      <c r="F362" s="41"/>
      <c r="G362" s="41"/>
      <c r="H362" s="41"/>
      <c r="I362" s="49"/>
      <c r="J362" s="49"/>
      <c r="L362" s="6"/>
      <c r="M362" s="23"/>
      <c r="N362" s="22"/>
      <c r="O362" s="22"/>
      <c r="P362" s="23"/>
      <c r="Q362" s="30"/>
      <c r="R362" s="30"/>
      <c r="S362" s="30"/>
      <c r="T362" s="34"/>
      <c r="U362" s="32"/>
      <c r="V362" s="33"/>
    </row>
    <row r="363" ht="15.75" customHeight="1">
      <c r="A363" s="41"/>
      <c r="B363" s="48"/>
      <c r="C363" s="41"/>
      <c r="D363" s="41"/>
      <c r="E363" s="41"/>
      <c r="F363" s="41"/>
      <c r="G363" s="41"/>
      <c r="H363" s="41"/>
      <c r="I363" s="49"/>
      <c r="J363" s="49"/>
      <c r="L363" s="6"/>
      <c r="M363" s="23"/>
      <c r="N363" s="22"/>
      <c r="O363" s="22"/>
      <c r="P363" s="23"/>
      <c r="Q363" s="30"/>
      <c r="R363" s="30"/>
      <c r="S363" s="30"/>
      <c r="T363" s="34"/>
      <c r="U363" s="32"/>
      <c r="V363" s="33"/>
    </row>
    <row r="364" ht="15.75" customHeight="1">
      <c r="A364" s="41"/>
      <c r="B364" s="48"/>
      <c r="C364" s="41"/>
      <c r="D364" s="41"/>
      <c r="E364" s="41"/>
      <c r="F364" s="41"/>
      <c r="G364" s="41"/>
      <c r="H364" s="41"/>
      <c r="I364" s="49"/>
      <c r="J364" s="49"/>
      <c r="L364" s="6"/>
      <c r="M364" s="23"/>
      <c r="N364" s="22"/>
      <c r="O364" s="22"/>
      <c r="P364" s="23"/>
      <c r="Q364" s="30"/>
      <c r="R364" s="30"/>
      <c r="S364" s="30"/>
      <c r="T364" s="34"/>
      <c r="U364" s="32"/>
      <c r="V364" s="33"/>
    </row>
    <row r="365" ht="15.75" customHeight="1">
      <c r="A365" s="41"/>
      <c r="B365" s="48"/>
      <c r="C365" s="41"/>
      <c r="D365" s="41"/>
      <c r="E365" s="41"/>
      <c r="F365" s="41"/>
      <c r="G365" s="41"/>
      <c r="H365" s="41"/>
      <c r="I365" s="49"/>
      <c r="J365" s="49"/>
      <c r="L365" s="6"/>
      <c r="M365" s="23"/>
      <c r="N365" s="22"/>
      <c r="O365" s="22"/>
      <c r="P365" s="23"/>
      <c r="Q365" s="30"/>
      <c r="R365" s="30"/>
      <c r="S365" s="30"/>
      <c r="T365" s="34"/>
      <c r="U365" s="32"/>
      <c r="V365" s="33"/>
    </row>
    <row r="366" ht="15.75" customHeight="1">
      <c r="A366" s="41"/>
      <c r="B366" s="48"/>
      <c r="C366" s="41"/>
      <c r="D366" s="41"/>
      <c r="E366" s="41"/>
      <c r="F366" s="41"/>
      <c r="G366" s="41"/>
      <c r="H366" s="41"/>
      <c r="I366" s="49"/>
      <c r="J366" s="49"/>
      <c r="L366" s="6"/>
      <c r="M366" s="23"/>
      <c r="N366" s="22"/>
      <c r="O366" s="22"/>
      <c r="P366" s="23"/>
      <c r="Q366" s="30"/>
      <c r="R366" s="30"/>
      <c r="S366" s="30"/>
      <c r="T366" s="34"/>
      <c r="U366" s="32"/>
      <c r="V366" s="33"/>
    </row>
    <row r="367" ht="15.75" customHeight="1">
      <c r="A367" s="41"/>
      <c r="B367" s="48"/>
      <c r="C367" s="41"/>
      <c r="D367" s="41"/>
      <c r="E367" s="41"/>
      <c r="F367" s="41"/>
      <c r="G367" s="41"/>
      <c r="H367" s="41"/>
      <c r="I367" s="49"/>
      <c r="J367" s="49"/>
      <c r="L367" s="6"/>
      <c r="M367" s="23"/>
      <c r="N367" s="22"/>
      <c r="O367" s="22"/>
      <c r="P367" s="23"/>
      <c r="Q367" s="30"/>
      <c r="R367" s="30"/>
      <c r="S367" s="30"/>
      <c r="T367" s="34"/>
      <c r="U367" s="32"/>
      <c r="V367" s="33"/>
    </row>
    <row r="368" ht="15.75" customHeight="1">
      <c r="A368" s="41"/>
      <c r="B368" s="48"/>
      <c r="C368" s="41"/>
      <c r="D368" s="41"/>
      <c r="E368" s="41"/>
      <c r="F368" s="41"/>
      <c r="G368" s="41"/>
      <c r="H368" s="41"/>
      <c r="I368" s="49"/>
      <c r="J368" s="49"/>
      <c r="L368" s="6"/>
      <c r="M368" s="23"/>
      <c r="N368" s="22"/>
      <c r="O368" s="22"/>
      <c r="P368" s="23"/>
      <c r="Q368" s="30"/>
      <c r="R368" s="30"/>
      <c r="S368" s="30"/>
      <c r="T368" s="34"/>
      <c r="U368" s="32"/>
      <c r="V368" s="33"/>
    </row>
    <row r="369" ht="15.75" customHeight="1">
      <c r="A369" s="41"/>
      <c r="B369" s="48"/>
      <c r="C369" s="41"/>
      <c r="D369" s="41"/>
      <c r="E369" s="41"/>
      <c r="F369" s="41"/>
      <c r="G369" s="41"/>
      <c r="H369" s="41"/>
      <c r="I369" s="49"/>
      <c r="J369" s="49"/>
      <c r="L369" s="6"/>
      <c r="M369" s="23"/>
      <c r="N369" s="22"/>
      <c r="O369" s="22"/>
      <c r="P369" s="23"/>
      <c r="Q369" s="30"/>
      <c r="R369" s="30"/>
      <c r="S369" s="30"/>
      <c r="T369" s="34"/>
      <c r="U369" s="32"/>
      <c r="V369" s="33"/>
    </row>
    <row r="370" ht="15.75" customHeight="1">
      <c r="A370" s="41"/>
      <c r="B370" s="48"/>
      <c r="C370" s="41"/>
      <c r="D370" s="41"/>
      <c r="E370" s="41"/>
      <c r="F370" s="41"/>
      <c r="G370" s="41"/>
      <c r="H370" s="41"/>
      <c r="I370" s="49"/>
      <c r="J370" s="49"/>
      <c r="L370" s="6"/>
      <c r="M370" s="23"/>
      <c r="N370" s="22"/>
      <c r="O370" s="22"/>
      <c r="P370" s="23"/>
      <c r="Q370" s="30"/>
      <c r="R370" s="30"/>
      <c r="S370" s="30"/>
      <c r="T370" s="34"/>
      <c r="U370" s="32"/>
      <c r="V370" s="33"/>
    </row>
    <row r="371" ht="15.75" customHeight="1">
      <c r="A371" s="41"/>
      <c r="B371" s="48"/>
      <c r="C371" s="41"/>
      <c r="D371" s="41"/>
      <c r="E371" s="41"/>
      <c r="F371" s="41"/>
      <c r="G371" s="41"/>
      <c r="H371" s="41"/>
      <c r="I371" s="49"/>
      <c r="J371" s="49"/>
      <c r="L371" s="6"/>
      <c r="M371" s="23"/>
      <c r="N371" s="22"/>
      <c r="O371" s="22"/>
      <c r="P371" s="23"/>
      <c r="Q371" s="30"/>
      <c r="R371" s="30"/>
      <c r="S371" s="30"/>
      <c r="T371" s="34"/>
      <c r="U371" s="32"/>
      <c r="V371" s="33"/>
    </row>
    <row r="372" ht="15.75" customHeight="1">
      <c r="A372" s="41"/>
      <c r="B372" s="48"/>
      <c r="C372" s="41"/>
      <c r="D372" s="41"/>
      <c r="E372" s="41"/>
      <c r="F372" s="41"/>
      <c r="G372" s="41"/>
      <c r="H372" s="41"/>
      <c r="I372" s="49"/>
      <c r="J372" s="49"/>
      <c r="L372" s="6"/>
      <c r="M372" s="23"/>
      <c r="N372" s="22"/>
      <c r="O372" s="22"/>
      <c r="P372" s="23"/>
      <c r="Q372" s="30"/>
      <c r="R372" s="30"/>
      <c r="S372" s="30"/>
      <c r="T372" s="34"/>
      <c r="U372" s="32"/>
      <c r="V372" s="33"/>
    </row>
    <row r="373" ht="15.75" customHeight="1">
      <c r="A373" s="41"/>
      <c r="B373" s="48"/>
      <c r="C373" s="41"/>
      <c r="D373" s="41"/>
      <c r="E373" s="41"/>
      <c r="F373" s="41"/>
      <c r="G373" s="41"/>
      <c r="H373" s="41"/>
      <c r="I373" s="49"/>
      <c r="J373" s="49"/>
      <c r="L373" s="6"/>
      <c r="M373" s="23"/>
      <c r="N373" s="22"/>
      <c r="O373" s="22"/>
      <c r="P373" s="23"/>
      <c r="Q373" s="30"/>
      <c r="R373" s="30"/>
      <c r="S373" s="30"/>
      <c r="T373" s="34"/>
      <c r="U373" s="32"/>
      <c r="V373" s="33"/>
    </row>
    <row r="374" ht="15.75" customHeight="1">
      <c r="A374" s="41"/>
      <c r="B374" s="48"/>
      <c r="C374" s="41"/>
      <c r="D374" s="41"/>
      <c r="E374" s="41"/>
      <c r="F374" s="41"/>
      <c r="G374" s="41"/>
      <c r="H374" s="41"/>
      <c r="I374" s="49"/>
      <c r="J374" s="49"/>
      <c r="L374" s="6"/>
      <c r="M374" s="23"/>
      <c r="N374" s="22"/>
      <c r="O374" s="22"/>
      <c r="P374" s="23"/>
      <c r="Q374" s="30"/>
      <c r="R374" s="30"/>
      <c r="S374" s="30"/>
      <c r="T374" s="34"/>
      <c r="U374" s="32"/>
      <c r="V374" s="33"/>
    </row>
    <row r="375" ht="15.75" customHeight="1">
      <c r="A375" s="41"/>
      <c r="B375" s="48"/>
      <c r="C375" s="41"/>
      <c r="D375" s="41"/>
      <c r="E375" s="41"/>
      <c r="F375" s="41"/>
      <c r="G375" s="41"/>
      <c r="H375" s="41"/>
      <c r="I375" s="49"/>
      <c r="J375" s="49"/>
      <c r="L375" s="6"/>
      <c r="M375" s="23"/>
      <c r="N375" s="22"/>
      <c r="O375" s="22"/>
      <c r="P375" s="23"/>
      <c r="Q375" s="30"/>
      <c r="R375" s="30"/>
      <c r="S375" s="30"/>
      <c r="T375" s="34"/>
      <c r="U375" s="32"/>
      <c r="V375" s="33"/>
    </row>
    <row r="376" ht="15.75" customHeight="1">
      <c r="A376" s="41"/>
      <c r="B376" s="48"/>
      <c r="C376" s="41"/>
      <c r="D376" s="41"/>
      <c r="E376" s="41"/>
      <c r="F376" s="41"/>
      <c r="G376" s="41"/>
      <c r="H376" s="41"/>
      <c r="I376" s="49"/>
      <c r="J376" s="49"/>
      <c r="L376" s="6"/>
      <c r="M376" s="23"/>
      <c r="N376" s="22"/>
      <c r="O376" s="22"/>
      <c r="P376" s="23"/>
      <c r="Q376" s="30"/>
      <c r="R376" s="30"/>
      <c r="S376" s="30"/>
      <c r="T376" s="34"/>
      <c r="U376" s="32"/>
      <c r="V376" s="33"/>
    </row>
    <row r="377" ht="15.75" customHeight="1">
      <c r="A377" s="41"/>
      <c r="B377" s="48"/>
      <c r="C377" s="41"/>
      <c r="D377" s="41"/>
      <c r="E377" s="41"/>
      <c r="F377" s="41"/>
      <c r="G377" s="41"/>
      <c r="H377" s="41"/>
      <c r="I377" s="49"/>
      <c r="J377" s="49"/>
      <c r="L377" s="6"/>
      <c r="M377" s="23"/>
      <c r="N377" s="22"/>
      <c r="O377" s="22"/>
      <c r="P377" s="23"/>
      <c r="Q377" s="30"/>
      <c r="R377" s="30"/>
      <c r="S377" s="30"/>
      <c r="T377" s="34"/>
      <c r="U377" s="32"/>
      <c r="V377" s="33"/>
    </row>
    <row r="378" ht="15.75" customHeight="1">
      <c r="A378" s="41"/>
      <c r="B378" s="48"/>
      <c r="C378" s="41"/>
      <c r="D378" s="41"/>
      <c r="E378" s="41"/>
      <c r="F378" s="41"/>
      <c r="G378" s="41"/>
      <c r="H378" s="41"/>
      <c r="I378" s="49"/>
      <c r="J378" s="49"/>
      <c r="L378" s="6"/>
      <c r="M378" s="23"/>
      <c r="N378" s="22"/>
      <c r="O378" s="22"/>
      <c r="P378" s="23"/>
      <c r="Q378" s="30"/>
      <c r="R378" s="30"/>
      <c r="S378" s="30"/>
      <c r="T378" s="34"/>
      <c r="U378" s="32"/>
      <c r="V378" s="33"/>
    </row>
    <row r="379" ht="15.75" customHeight="1">
      <c r="A379" s="41"/>
      <c r="B379" s="48"/>
      <c r="C379" s="41"/>
      <c r="D379" s="41"/>
      <c r="E379" s="41"/>
      <c r="F379" s="41"/>
      <c r="G379" s="41"/>
      <c r="H379" s="41"/>
      <c r="I379" s="49"/>
      <c r="J379" s="49"/>
      <c r="L379" s="6"/>
      <c r="M379" s="23"/>
      <c r="N379" s="22"/>
      <c r="O379" s="22"/>
      <c r="P379" s="23"/>
      <c r="Q379" s="30"/>
      <c r="R379" s="30"/>
      <c r="S379" s="30"/>
      <c r="T379" s="34"/>
      <c r="U379" s="32"/>
      <c r="V379" s="33"/>
    </row>
    <row r="380" ht="15.75" customHeight="1">
      <c r="A380" s="41"/>
      <c r="B380" s="48"/>
      <c r="C380" s="41"/>
      <c r="D380" s="41"/>
      <c r="E380" s="41"/>
      <c r="F380" s="41"/>
      <c r="G380" s="41"/>
      <c r="H380" s="41"/>
      <c r="I380" s="49"/>
      <c r="J380" s="49"/>
      <c r="L380" s="6"/>
      <c r="M380" s="23"/>
      <c r="N380" s="22"/>
      <c r="O380" s="22"/>
      <c r="P380" s="23"/>
      <c r="Q380" s="30"/>
      <c r="R380" s="30"/>
      <c r="S380" s="30"/>
      <c r="T380" s="34"/>
      <c r="U380" s="32"/>
      <c r="V380" s="33"/>
    </row>
    <row r="381" ht="15.75" customHeight="1">
      <c r="A381" s="41"/>
      <c r="B381" s="48"/>
      <c r="C381" s="41"/>
      <c r="D381" s="41"/>
      <c r="E381" s="41"/>
      <c r="F381" s="41"/>
      <c r="G381" s="41"/>
      <c r="H381" s="41"/>
      <c r="I381" s="49"/>
      <c r="J381" s="49"/>
      <c r="L381" s="6"/>
      <c r="M381" s="23"/>
      <c r="N381" s="22"/>
      <c r="O381" s="22"/>
      <c r="P381" s="23"/>
      <c r="Q381" s="30"/>
      <c r="R381" s="30"/>
      <c r="S381" s="30"/>
      <c r="T381" s="34"/>
      <c r="U381" s="32"/>
      <c r="V381" s="33"/>
    </row>
    <row r="382" ht="15.75" customHeight="1">
      <c r="A382" s="41"/>
      <c r="B382" s="48"/>
      <c r="C382" s="41"/>
      <c r="D382" s="41"/>
      <c r="E382" s="41"/>
      <c r="F382" s="41"/>
      <c r="G382" s="41"/>
      <c r="H382" s="41"/>
      <c r="I382" s="49"/>
      <c r="J382" s="49"/>
      <c r="L382" s="6"/>
      <c r="M382" s="23"/>
      <c r="N382" s="22"/>
      <c r="O382" s="22"/>
      <c r="P382" s="23"/>
      <c r="Q382" s="30"/>
      <c r="R382" s="30"/>
      <c r="S382" s="30"/>
      <c r="T382" s="34"/>
      <c r="U382" s="32"/>
      <c r="V382" s="33"/>
    </row>
    <row r="383" ht="15.75" customHeight="1">
      <c r="A383" s="41"/>
      <c r="B383" s="48"/>
      <c r="C383" s="41"/>
      <c r="D383" s="41"/>
      <c r="E383" s="41"/>
      <c r="F383" s="41"/>
      <c r="G383" s="41"/>
      <c r="H383" s="41"/>
      <c r="I383" s="49"/>
      <c r="J383" s="49"/>
      <c r="L383" s="6"/>
      <c r="M383" s="23"/>
      <c r="N383" s="22"/>
      <c r="O383" s="22"/>
      <c r="P383" s="23"/>
      <c r="Q383" s="30"/>
      <c r="R383" s="30"/>
      <c r="S383" s="30"/>
      <c r="T383" s="34"/>
      <c r="U383" s="32"/>
      <c r="V383" s="33"/>
    </row>
    <row r="384" ht="15.75" customHeight="1">
      <c r="A384" s="41"/>
      <c r="B384" s="48"/>
      <c r="C384" s="41"/>
      <c r="D384" s="41"/>
      <c r="E384" s="41"/>
      <c r="F384" s="41"/>
      <c r="G384" s="41"/>
      <c r="H384" s="41"/>
      <c r="I384" s="49"/>
      <c r="J384" s="49"/>
      <c r="L384" s="6"/>
      <c r="M384" s="23"/>
      <c r="N384" s="22"/>
      <c r="O384" s="22"/>
      <c r="P384" s="23"/>
      <c r="Q384" s="30"/>
      <c r="R384" s="30"/>
      <c r="S384" s="30"/>
      <c r="T384" s="34"/>
      <c r="U384" s="32"/>
      <c r="V384" s="33"/>
    </row>
    <row r="385" ht="15.75" customHeight="1">
      <c r="A385" s="41"/>
      <c r="B385" s="48"/>
      <c r="C385" s="41"/>
      <c r="D385" s="41"/>
      <c r="E385" s="41"/>
      <c r="F385" s="41"/>
      <c r="G385" s="41"/>
      <c r="H385" s="41"/>
      <c r="I385" s="49"/>
      <c r="J385" s="49"/>
      <c r="L385" s="6"/>
      <c r="M385" s="23"/>
      <c r="N385" s="22"/>
      <c r="O385" s="22"/>
      <c r="P385" s="23"/>
      <c r="Q385" s="30"/>
      <c r="R385" s="30"/>
      <c r="S385" s="30"/>
      <c r="T385" s="34"/>
      <c r="U385" s="32"/>
      <c r="V385" s="33"/>
    </row>
    <row r="386" ht="15.75" customHeight="1">
      <c r="A386" s="41"/>
      <c r="B386" s="48"/>
      <c r="C386" s="41"/>
      <c r="D386" s="41"/>
      <c r="E386" s="41"/>
      <c r="F386" s="41"/>
      <c r="G386" s="41"/>
      <c r="H386" s="41"/>
      <c r="I386" s="49"/>
      <c r="J386" s="49"/>
      <c r="L386" s="6"/>
      <c r="M386" s="23"/>
      <c r="N386" s="22"/>
      <c r="O386" s="22"/>
      <c r="P386" s="23"/>
      <c r="Q386" s="30"/>
      <c r="R386" s="30"/>
      <c r="S386" s="30"/>
      <c r="T386" s="34"/>
      <c r="U386" s="32"/>
      <c r="V386" s="33"/>
    </row>
    <row r="387" ht="15.75" customHeight="1">
      <c r="A387" s="41"/>
      <c r="B387" s="48"/>
      <c r="C387" s="41"/>
      <c r="D387" s="41"/>
      <c r="E387" s="41"/>
      <c r="F387" s="41"/>
      <c r="G387" s="41"/>
      <c r="H387" s="41"/>
      <c r="I387" s="49"/>
      <c r="J387" s="49"/>
      <c r="L387" s="6"/>
      <c r="M387" s="23"/>
      <c r="N387" s="22"/>
      <c r="O387" s="22"/>
      <c r="P387" s="23"/>
      <c r="Q387" s="30"/>
      <c r="R387" s="30"/>
      <c r="S387" s="30"/>
      <c r="T387" s="34"/>
      <c r="U387" s="32"/>
      <c r="V387" s="33"/>
    </row>
    <row r="388" ht="15.75" customHeight="1">
      <c r="A388" s="41"/>
      <c r="B388" s="48"/>
      <c r="C388" s="41"/>
      <c r="D388" s="41"/>
      <c r="E388" s="41"/>
      <c r="F388" s="41"/>
      <c r="G388" s="41"/>
      <c r="H388" s="41"/>
      <c r="I388" s="49"/>
      <c r="J388" s="49"/>
      <c r="L388" s="6"/>
      <c r="M388" s="23"/>
      <c r="N388" s="22"/>
      <c r="O388" s="22"/>
      <c r="P388" s="23"/>
      <c r="Q388" s="30"/>
      <c r="R388" s="30"/>
      <c r="S388" s="30"/>
      <c r="T388" s="34"/>
      <c r="U388" s="32"/>
      <c r="V388" s="33"/>
    </row>
    <row r="389" ht="15.75" customHeight="1">
      <c r="A389" s="41"/>
      <c r="B389" s="48"/>
      <c r="C389" s="41"/>
      <c r="D389" s="41"/>
      <c r="E389" s="41"/>
      <c r="F389" s="41"/>
      <c r="G389" s="41"/>
      <c r="H389" s="41"/>
      <c r="I389" s="49"/>
      <c r="J389" s="49"/>
      <c r="L389" s="6"/>
      <c r="M389" s="23"/>
      <c r="N389" s="22"/>
      <c r="O389" s="22"/>
      <c r="P389" s="23"/>
      <c r="Q389" s="30"/>
      <c r="R389" s="30"/>
      <c r="S389" s="30"/>
      <c r="T389" s="34"/>
      <c r="U389" s="32"/>
      <c r="V389" s="33"/>
    </row>
    <row r="390" ht="15.75" customHeight="1">
      <c r="A390" s="41"/>
      <c r="B390" s="48"/>
      <c r="C390" s="41"/>
      <c r="D390" s="41"/>
      <c r="E390" s="41"/>
      <c r="F390" s="41"/>
      <c r="G390" s="41"/>
      <c r="H390" s="41"/>
      <c r="I390" s="49"/>
      <c r="J390" s="49"/>
      <c r="L390" s="6"/>
      <c r="M390" s="23"/>
      <c r="N390" s="22"/>
      <c r="O390" s="22"/>
      <c r="P390" s="23"/>
      <c r="Q390" s="30"/>
      <c r="R390" s="30"/>
      <c r="S390" s="30"/>
      <c r="T390" s="34"/>
      <c r="U390" s="32"/>
      <c r="V390" s="33"/>
    </row>
    <row r="391" ht="15.75" customHeight="1">
      <c r="A391" s="41"/>
      <c r="B391" s="48"/>
      <c r="C391" s="41"/>
      <c r="D391" s="41"/>
      <c r="E391" s="41"/>
      <c r="F391" s="41"/>
      <c r="G391" s="41"/>
      <c r="H391" s="41"/>
      <c r="I391" s="49"/>
      <c r="J391" s="49"/>
      <c r="L391" s="6"/>
      <c r="M391" s="23"/>
      <c r="N391" s="22"/>
      <c r="O391" s="22"/>
      <c r="P391" s="23"/>
      <c r="Q391" s="30"/>
      <c r="R391" s="30"/>
      <c r="S391" s="30"/>
      <c r="T391" s="34"/>
      <c r="U391" s="32"/>
      <c r="V391" s="33"/>
    </row>
    <row r="392" ht="15.75" customHeight="1">
      <c r="A392" s="41"/>
      <c r="B392" s="48"/>
      <c r="C392" s="41"/>
      <c r="D392" s="41"/>
      <c r="E392" s="41"/>
      <c r="F392" s="41"/>
      <c r="G392" s="41"/>
      <c r="H392" s="41"/>
      <c r="I392" s="49"/>
      <c r="J392" s="49"/>
      <c r="L392" s="6"/>
      <c r="M392" s="23"/>
      <c r="N392" s="22"/>
      <c r="O392" s="22"/>
      <c r="P392" s="23"/>
      <c r="Q392" s="30"/>
      <c r="R392" s="30"/>
      <c r="S392" s="30"/>
      <c r="T392" s="34"/>
      <c r="U392" s="32"/>
      <c r="V392" s="33"/>
    </row>
    <row r="393" ht="15.75" customHeight="1">
      <c r="A393" s="41"/>
      <c r="B393" s="48"/>
      <c r="C393" s="41"/>
      <c r="D393" s="41"/>
      <c r="E393" s="41"/>
      <c r="F393" s="41"/>
      <c r="G393" s="41"/>
      <c r="H393" s="41"/>
      <c r="I393" s="49"/>
      <c r="J393" s="49"/>
      <c r="L393" s="6"/>
      <c r="M393" s="23"/>
      <c r="N393" s="22"/>
      <c r="O393" s="22"/>
      <c r="P393" s="23"/>
      <c r="Q393" s="30"/>
      <c r="R393" s="30"/>
      <c r="S393" s="30"/>
      <c r="T393" s="34"/>
      <c r="U393" s="32"/>
      <c r="V393" s="33"/>
    </row>
    <row r="394" ht="15.75" customHeight="1">
      <c r="A394" s="41"/>
      <c r="B394" s="48"/>
      <c r="C394" s="41"/>
      <c r="D394" s="41"/>
      <c r="E394" s="41"/>
      <c r="F394" s="41"/>
      <c r="G394" s="41"/>
      <c r="H394" s="41"/>
      <c r="I394" s="49"/>
      <c r="J394" s="49"/>
      <c r="L394" s="6"/>
      <c r="M394" s="23"/>
      <c r="N394" s="22"/>
      <c r="O394" s="22"/>
      <c r="P394" s="23"/>
      <c r="Q394" s="30"/>
      <c r="R394" s="30"/>
      <c r="S394" s="30"/>
      <c r="T394" s="34"/>
      <c r="U394" s="32"/>
      <c r="V394" s="33"/>
    </row>
    <row r="395" ht="15.75" customHeight="1">
      <c r="A395" s="41"/>
      <c r="B395" s="48"/>
      <c r="C395" s="41"/>
      <c r="D395" s="41"/>
      <c r="E395" s="41"/>
      <c r="F395" s="41"/>
      <c r="G395" s="41"/>
      <c r="H395" s="41"/>
      <c r="I395" s="49"/>
      <c r="J395" s="49"/>
      <c r="L395" s="6"/>
      <c r="M395" s="23"/>
      <c r="N395" s="22"/>
      <c r="O395" s="22"/>
      <c r="P395" s="23"/>
      <c r="Q395" s="30"/>
      <c r="R395" s="30"/>
      <c r="S395" s="30"/>
      <c r="T395" s="34"/>
      <c r="U395" s="32"/>
      <c r="V395" s="33"/>
    </row>
    <row r="396" ht="15.75" customHeight="1">
      <c r="A396" s="41"/>
      <c r="B396" s="48"/>
      <c r="C396" s="41"/>
      <c r="D396" s="41"/>
      <c r="E396" s="41"/>
      <c r="F396" s="41"/>
      <c r="G396" s="41"/>
      <c r="H396" s="41"/>
      <c r="I396" s="49"/>
      <c r="J396" s="49"/>
      <c r="L396" s="6"/>
      <c r="M396" s="23"/>
      <c r="N396" s="22"/>
      <c r="O396" s="22"/>
      <c r="P396" s="23"/>
      <c r="Q396" s="30"/>
      <c r="R396" s="30"/>
      <c r="S396" s="30"/>
      <c r="T396" s="34"/>
      <c r="U396" s="32"/>
      <c r="V396" s="33"/>
    </row>
    <row r="397" ht="15.75" customHeight="1">
      <c r="A397" s="41"/>
      <c r="B397" s="48"/>
      <c r="C397" s="41"/>
      <c r="D397" s="41"/>
      <c r="E397" s="41"/>
      <c r="F397" s="41"/>
      <c r="G397" s="41"/>
      <c r="H397" s="41"/>
      <c r="I397" s="49"/>
      <c r="J397" s="49"/>
      <c r="L397" s="6"/>
      <c r="M397" s="23"/>
      <c r="N397" s="22"/>
      <c r="O397" s="22"/>
      <c r="P397" s="23"/>
      <c r="Q397" s="30"/>
      <c r="R397" s="30"/>
      <c r="S397" s="30"/>
      <c r="T397" s="34"/>
      <c r="U397" s="32"/>
      <c r="V397" s="33"/>
    </row>
    <row r="398" ht="15.75" customHeight="1">
      <c r="A398" s="41"/>
      <c r="B398" s="48"/>
      <c r="C398" s="41"/>
      <c r="D398" s="41"/>
      <c r="E398" s="41"/>
      <c r="F398" s="41"/>
      <c r="G398" s="41"/>
      <c r="H398" s="41"/>
      <c r="I398" s="49"/>
      <c r="J398" s="49"/>
      <c r="L398" s="6"/>
      <c r="M398" s="23"/>
      <c r="N398" s="22"/>
      <c r="O398" s="22"/>
      <c r="P398" s="23"/>
      <c r="Q398" s="30"/>
      <c r="R398" s="30"/>
      <c r="S398" s="30"/>
      <c r="T398" s="34"/>
      <c r="U398" s="32"/>
      <c r="V398" s="33"/>
    </row>
    <row r="399" ht="15.75" customHeight="1">
      <c r="A399" s="41"/>
      <c r="B399" s="48"/>
      <c r="C399" s="41"/>
      <c r="D399" s="41"/>
      <c r="E399" s="41"/>
      <c r="F399" s="41"/>
      <c r="G399" s="41"/>
      <c r="H399" s="41"/>
      <c r="I399" s="49"/>
      <c r="J399" s="49"/>
      <c r="L399" s="6"/>
      <c r="M399" s="23"/>
      <c r="N399" s="22"/>
      <c r="O399" s="22"/>
      <c r="P399" s="23"/>
      <c r="Q399" s="30"/>
      <c r="R399" s="30"/>
      <c r="S399" s="30"/>
      <c r="T399" s="34"/>
      <c r="U399" s="32"/>
      <c r="V399" s="33"/>
    </row>
    <row r="400" ht="15.75" customHeight="1">
      <c r="A400" s="41"/>
      <c r="B400" s="48"/>
      <c r="C400" s="41"/>
      <c r="D400" s="41"/>
      <c r="E400" s="41"/>
      <c r="F400" s="41"/>
      <c r="G400" s="41"/>
      <c r="H400" s="41"/>
      <c r="I400" s="49"/>
      <c r="J400" s="49"/>
      <c r="L400" s="6"/>
      <c r="M400" s="23"/>
      <c r="N400" s="22"/>
      <c r="O400" s="22"/>
      <c r="P400" s="23"/>
      <c r="Q400" s="30"/>
      <c r="R400" s="30"/>
      <c r="S400" s="30"/>
      <c r="T400" s="34"/>
      <c r="U400" s="32"/>
      <c r="V400" s="33"/>
    </row>
    <row r="401" ht="15.75" customHeight="1">
      <c r="A401" s="41"/>
      <c r="B401" s="48"/>
      <c r="C401" s="41"/>
      <c r="D401" s="41"/>
      <c r="E401" s="41"/>
      <c r="F401" s="41"/>
      <c r="G401" s="41"/>
      <c r="H401" s="41"/>
      <c r="I401" s="49"/>
      <c r="J401" s="49"/>
      <c r="L401" s="6"/>
      <c r="M401" s="23"/>
      <c r="N401" s="22"/>
      <c r="O401" s="22"/>
      <c r="P401" s="23"/>
      <c r="Q401" s="30"/>
      <c r="R401" s="30"/>
      <c r="S401" s="30"/>
      <c r="T401" s="34"/>
      <c r="U401" s="32"/>
      <c r="V401" s="33"/>
    </row>
    <row r="402" ht="15.75" customHeight="1">
      <c r="A402" s="41"/>
      <c r="B402" s="48"/>
      <c r="C402" s="41"/>
      <c r="D402" s="41"/>
      <c r="E402" s="41"/>
      <c r="F402" s="41"/>
      <c r="G402" s="41"/>
      <c r="H402" s="41"/>
      <c r="I402" s="49"/>
      <c r="J402" s="49"/>
      <c r="L402" s="6"/>
      <c r="M402" s="23"/>
      <c r="N402" s="22"/>
      <c r="O402" s="22"/>
      <c r="P402" s="23"/>
      <c r="Q402" s="30"/>
      <c r="R402" s="30"/>
      <c r="S402" s="30"/>
      <c r="T402" s="34"/>
      <c r="U402" s="32"/>
      <c r="V402" s="33"/>
    </row>
    <row r="403" ht="15.75" customHeight="1">
      <c r="A403" s="41"/>
      <c r="B403" s="48"/>
      <c r="C403" s="41"/>
      <c r="D403" s="41"/>
      <c r="E403" s="41"/>
      <c r="F403" s="41"/>
      <c r="G403" s="41"/>
      <c r="H403" s="41"/>
      <c r="I403" s="49"/>
      <c r="J403" s="49"/>
      <c r="L403" s="6"/>
      <c r="M403" s="23"/>
      <c r="N403" s="22"/>
      <c r="O403" s="22"/>
      <c r="P403" s="23"/>
      <c r="Q403" s="30"/>
      <c r="R403" s="30"/>
      <c r="S403" s="30"/>
      <c r="T403" s="34"/>
      <c r="U403" s="32"/>
      <c r="V403" s="33"/>
    </row>
    <row r="404" ht="15.75" customHeight="1">
      <c r="A404" s="41"/>
      <c r="B404" s="48"/>
      <c r="C404" s="41"/>
      <c r="D404" s="41"/>
      <c r="E404" s="41"/>
      <c r="F404" s="41"/>
      <c r="G404" s="41"/>
      <c r="H404" s="41"/>
      <c r="I404" s="49"/>
      <c r="J404" s="49"/>
      <c r="L404" s="6"/>
      <c r="M404" s="23"/>
      <c r="N404" s="22"/>
      <c r="O404" s="22"/>
      <c r="P404" s="23"/>
      <c r="Q404" s="30"/>
      <c r="R404" s="30"/>
      <c r="S404" s="30"/>
      <c r="T404" s="34"/>
      <c r="U404" s="32"/>
      <c r="V404" s="33"/>
    </row>
    <row r="405" ht="15.75" customHeight="1">
      <c r="A405" s="41"/>
      <c r="B405" s="48"/>
      <c r="C405" s="41"/>
      <c r="D405" s="41"/>
      <c r="E405" s="41"/>
      <c r="F405" s="41"/>
      <c r="G405" s="41"/>
      <c r="H405" s="41"/>
      <c r="I405" s="49"/>
      <c r="J405" s="49"/>
      <c r="L405" s="6"/>
      <c r="M405" s="23"/>
      <c r="N405" s="22"/>
      <c r="O405" s="22"/>
      <c r="P405" s="23"/>
      <c r="Q405" s="30"/>
      <c r="R405" s="30"/>
      <c r="S405" s="30"/>
      <c r="T405" s="34"/>
      <c r="U405" s="32"/>
      <c r="V405" s="33"/>
    </row>
    <row r="406" ht="15.75" customHeight="1">
      <c r="A406" s="41"/>
      <c r="B406" s="48"/>
      <c r="C406" s="41"/>
      <c r="D406" s="41"/>
      <c r="E406" s="41"/>
      <c r="F406" s="41"/>
      <c r="G406" s="41"/>
      <c r="H406" s="41"/>
      <c r="I406" s="49"/>
      <c r="J406" s="49"/>
      <c r="L406" s="6"/>
      <c r="M406" s="23"/>
      <c r="N406" s="22"/>
      <c r="O406" s="22"/>
      <c r="P406" s="23"/>
      <c r="Q406" s="30"/>
      <c r="R406" s="30"/>
      <c r="S406" s="30"/>
      <c r="T406" s="34"/>
      <c r="U406" s="32"/>
      <c r="V406" s="33"/>
    </row>
    <row r="407" ht="15.75" customHeight="1">
      <c r="A407" s="41"/>
      <c r="B407" s="48"/>
      <c r="C407" s="41"/>
      <c r="D407" s="41"/>
      <c r="E407" s="41"/>
      <c r="F407" s="41"/>
      <c r="G407" s="41"/>
      <c r="H407" s="41"/>
      <c r="I407" s="49"/>
      <c r="J407" s="49"/>
      <c r="L407" s="6"/>
      <c r="M407" s="23"/>
      <c r="N407" s="22"/>
      <c r="O407" s="22"/>
      <c r="P407" s="23"/>
      <c r="Q407" s="30"/>
      <c r="R407" s="30"/>
      <c r="S407" s="30"/>
      <c r="T407" s="34"/>
      <c r="U407" s="32"/>
      <c r="V407" s="33"/>
    </row>
    <row r="408" ht="15.75" customHeight="1">
      <c r="A408" s="41"/>
      <c r="B408" s="48"/>
      <c r="C408" s="41"/>
      <c r="D408" s="41"/>
      <c r="E408" s="41"/>
      <c r="F408" s="41"/>
      <c r="G408" s="41"/>
      <c r="H408" s="41"/>
      <c r="I408" s="49"/>
      <c r="J408" s="49"/>
      <c r="L408" s="6"/>
      <c r="M408" s="23"/>
      <c r="N408" s="22"/>
      <c r="O408" s="22"/>
      <c r="P408" s="23"/>
      <c r="Q408" s="30"/>
      <c r="R408" s="30"/>
      <c r="S408" s="30"/>
      <c r="T408" s="34"/>
      <c r="U408" s="32"/>
      <c r="V408" s="33"/>
    </row>
    <row r="409" ht="15.75" customHeight="1">
      <c r="A409" s="41"/>
      <c r="B409" s="48"/>
      <c r="C409" s="41"/>
      <c r="D409" s="41"/>
      <c r="E409" s="41"/>
      <c r="F409" s="41"/>
      <c r="G409" s="41"/>
      <c r="H409" s="41"/>
      <c r="I409" s="49"/>
      <c r="J409" s="49"/>
      <c r="L409" s="6"/>
      <c r="M409" s="23"/>
      <c r="N409" s="22"/>
      <c r="O409" s="22"/>
      <c r="P409" s="23"/>
      <c r="Q409" s="30"/>
      <c r="R409" s="30"/>
      <c r="S409" s="30"/>
      <c r="T409" s="34"/>
      <c r="U409" s="32"/>
      <c r="V409" s="33"/>
    </row>
    <row r="410" ht="15.75" customHeight="1">
      <c r="A410" s="41"/>
      <c r="B410" s="48"/>
      <c r="C410" s="41"/>
      <c r="D410" s="41"/>
      <c r="E410" s="41"/>
      <c r="F410" s="41"/>
      <c r="G410" s="41"/>
      <c r="H410" s="41"/>
      <c r="I410" s="49"/>
      <c r="J410" s="49"/>
      <c r="L410" s="6"/>
      <c r="M410" s="23"/>
      <c r="N410" s="22"/>
      <c r="O410" s="22"/>
      <c r="P410" s="23"/>
      <c r="Q410" s="30"/>
      <c r="R410" s="30"/>
      <c r="S410" s="30"/>
      <c r="T410" s="34"/>
      <c r="U410" s="32"/>
      <c r="V410" s="33"/>
    </row>
    <row r="411" ht="15.75" customHeight="1">
      <c r="A411" s="41"/>
      <c r="B411" s="48"/>
      <c r="C411" s="41"/>
      <c r="D411" s="41"/>
      <c r="E411" s="41"/>
      <c r="F411" s="41"/>
      <c r="G411" s="41"/>
      <c r="H411" s="41"/>
      <c r="I411" s="49"/>
      <c r="J411" s="49"/>
      <c r="L411" s="6"/>
      <c r="M411" s="23"/>
      <c r="N411" s="22"/>
      <c r="O411" s="22"/>
      <c r="P411" s="23"/>
      <c r="Q411" s="30"/>
      <c r="R411" s="30"/>
      <c r="S411" s="30"/>
      <c r="T411" s="34"/>
      <c r="U411" s="32"/>
      <c r="V411" s="33"/>
    </row>
    <row r="412" ht="15.75" customHeight="1">
      <c r="A412" s="41"/>
      <c r="B412" s="48"/>
      <c r="C412" s="41"/>
      <c r="D412" s="41"/>
      <c r="E412" s="41"/>
      <c r="F412" s="41"/>
      <c r="G412" s="41"/>
      <c r="H412" s="41"/>
      <c r="I412" s="49"/>
      <c r="J412" s="49"/>
      <c r="L412" s="6"/>
      <c r="M412" s="23"/>
      <c r="N412" s="22"/>
      <c r="O412" s="22"/>
      <c r="P412" s="23"/>
      <c r="Q412" s="30"/>
      <c r="R412" s="30"/>
      <c r="S412" s="30"/>
      <c r="T412" s="34"/>
      <c r="U412" s="32"/>
      <c r="V412" s="33"/>
    </row>
    <row r="413" ht="15.75" customHeight="1">
      <c r="A413" s="41"/>
      <c r="B413" s="48"/>
      <c r="C413" s="41"/>
      <c r="D413" s="41"/>
      <c r="E413" s="41"/>
      <c r="F413" s="41"/>
      <c r="G413" s="41"/>
      <c r="H413" s="41"/>
      <c r="I413" s="49"/>
      <c r="J413" s="49"/>
      <c r="L413" s="6"/>
      <c r="M413" s="23"/>
      <c r="N413" s="22"/>
      <c r="O413" s="22"/>
      <c r="P413" s="23"/>
      <c r="Q413" s="30"/>
      <c r="R413" s="30"/>
      <c r="S413" s="30"/>
      <c r="T413" s="34"/>
      <c r="U413" s="32"/>
      <c r="V413" s="33"/>
    </row>
    <row r="414" ht="15.75" customHeight="1">
      <c r="A414" s="41"/>
      <c r="B414" s="48"/>
      <c r="C414" s="41"/>
      <c r="D414" s="41"/>
      <c r="E414" s="41"/>
      <c r="F414" s="41"/>
      <c r="G414" s="41"/>
      <c r="H414" s="41"/>
      <c r="I414" s="49"/>
      <c r="J414" s="49"/>
      <c r="L414" s="6"/>
      <c r="M414" s="23"/>
      <c r="N414" s="22"/>
      <c r="O414" s="22"/>
      <c r="P414" s="23"/>
      <c r="Q414" s="30"/>
      <c r="R414" s="30"/>
      <c r="S414" s="30"/>
      <c r="T414" s="34"/>
      <c r="U414" s="32"/>
      <c r="V414" s="33"/>
    </row>
    <row r="415" ht="15.75" customHeight="1">
      <c r="A415" s="41"/>
      <c r="B415" s="48"/>
      <c r="C415" s="41"/>
      <c r="D415" s="41"/>
      <c r="E415" s="41"/>
      <c r="F415" s="41"/>
      <c r="G415" s="41"/>
      <c r="H415" s="41"/>
      <c r="I415" s="49"/>
      <c r="J415" s="49"/>
      <c r="L415" s="6"/>
      <c r="M415" s="23"/>
      <c r="N415" s="22"/>
      <c r="O415" s="22"/>
      <c r="P415" s="23"/>
      <c r="Q415" s="30"/>
      <c r="R415" s="30"/>
      <c r="S415" s="30"/>
      <c r="T415" s="34"/>
      <c r="U415" s="32"/>
      <c r="V415" s="33"/>
    </row>
    <row r="416" ht="15.75" customHeight="1">
      <c r="A416" s="41"/>
      <c r="B416" s="48"/>
      <c r="C416" s="41"/>
      <c r="D416" s="41"/>
      <c r="E416" s="41"/>
      <c r="F416" s="41"/>
      <c r="G416" s="41"/>
      <c r="H416" s="41"/>
      <c r="I416" s="49"/>
      <c r="J416" s="49"/>
      <c r="L416" s="6"/>
      <c r="M416" s="23"/>
      <c r="N416" s="22"/>
      <c r="O416" s="22"/>
      <c r="P416" s="23"/>
      <c r="Q416" s="30"/>
      <c r="R416" s="30"/>
      <c r="S416" s="30"/>
      <c r="T416" s="34"/>
      <c r="U416" s="32"/>
      <c r="V416" s="33"/>
    </row>
    <row r="417" ht="15.75" customHeight="1">
      <c r="A417" s="41"/>
      <c r="B417" s="48"/>
      <c r="C417" s="41"/>
      <c r="D417" s="41"/>
      <c r="E417" s="41"/>
      <c r="F417" s="41"/>
      <c r="G417" s="41"/>
      <c r="H417" s="41"/>
      <c r="I417" s="49"/>
      <c r="J417" s="49"/>
      <c r="L417" s="6"/>
      <c r="M417" s="23"/>
      <c r="N417" s="22"/>
      <c r="O417" s="22"/>
      <c r="P417" s="23"/>
      <c r="Q417" s="30"/>
      <c r="R417" s="30"/>
      <c r="S417" s="30"/>
      <c r="T417" s="34"/>
      <c r="U417" s="32"/>
      <c r="V417" s="33"/>
    </row>
    <row r="418" ht="15.75" customHeight="1">
      <c r="A418" s="41"/>
      <c r="B418" s="48"/>
      <c r="C418" s="41"/>
      <c r="D418" s="41"/>
      <c r="E418" s="41"/>
      <c r="F418" s="41"/>
      <c r="G418" s="41"/>
      <c r="H418" s="41"/>
      <c r="I418" s="49"/>
      <c r="J418" s="49"/>
      <c r="L418" s="6"/>
      <c r="M418" s="23"/>
      <c r="N418" s="22"/>
      <c r="O418" s="22"/>
      <c r="P418" s="23"/>
      <c r="Q418" s="30"/>
      <c r="R418" s="30"/>
      <c r="S418" s="30"/>
      <c r="T418" s="34"/>
      <c r="U418" s="32"/>
      <c r="V418" s="33"/>
    </row>
    <row r="419" ht="15.75" customHeight="1">
      <c r="A419" s="41"/>
      <c r="B419" s="48"/>
      <c r="C419" s="41"/>
      <c r="D419" s="41"/>
      <c r="E419" s="41"/>
      <c r="F419" s="41"/>
      <c r="G419" s="41"/>
      <c r="H419" s="41"/>
      <c r="I419" s="49"/>
      <c r="J419" s="49"/>
      <c r="L419" s="6"/>
      <c r="M419" s="23"/>
      <c r="N419" s="22"/>
      <c r="O419" s="22"/>
      <c r="P419" s="23"/>
      <c r="Q419" s="30"/>
      <c r="R419" s="30"/>
      <c r="S419" s="30"/>
      <c r="T419" s="34"/>
      <c r="U419" s="32"/>
      <c r="V419" s="33"/>
    </row>
    <row r="420" ht="15.75" customHeight="1">
      <c r="A420" s="41"/>
      <c r="B420" s="48"/>
      <c r="C420" s="41"/>
      <c r="D420" s="41"/>
      <c r="E420" s="41"/>
      <c r="F420" s="41"/>
      <c r="G420" s="41"/>
      <c r="H420" s="41"/>
      <c r="I420" s="49"/>
      <c r="J420" s="49"/>
      <c r="L420" s="6"/>
      <c r="M420" s="23"/>
      <c r="N420" s="22"/>
      <c r="O420" s="22"/>
      <c r="P420" s="23"/>
      <c r="Q420" s="30"/>
      <c r="R420" s="30"/>
      <c r="S420" s="30"/>
      <c r="T420" s="34"/>
      <c r="U420" s="32"/>
      <c r="V420" s="33"/>
    </row>
    <row r="421" ht="15.75" customHeight="1">
      <c r="A421" s="41"/>
      <c r="B421" s="48"/>
      <c r="C421" s="41"/>
      <c r="D421" s="41"/>
      <c r="E421" s="41"/>
      <c r="F421" s="41"/>
      <c r="G421" s="41"/>
      <c r="H421" s="41"/>
      <c r="I421" s="49"/>
      <c r="J421" s="49"/>
      <c r="L421" s="6"/>
      <c r="M421" s="23"/>
      <c r="N421" s="22"/>
      <c r="O421" s="22"/>
      <c r="P421" s="23"/>
      <c r="Q421" s="30"/>
      <c r="R421" s="30"/>
      <c r="S421" s="30"/>
      <c r="T421" s="34"/>
      <c r="U421" s="32"/>
      <c r="V421" s="33"/>
    </row>
    <row r="422" ht="15.75" customHeight="1">
      <c r="A422" s="41"/>
      <c r="B422" s="48"/>
      <c r="C422" s="41"/>
      <c r="D422" s="41"/>
      <c r="E422" s="41"/>
      <c r="F422" s="41"/>
      <c r="G422" s="41"/>
      <c r="H422" s="41"/>
      <c r="I422" s="49"/>
      <c r="J422" s="49"/>
      <c r="L422" s="6"/>
      <c r="M422" s="23"/>
      <c r="N422" s="22"/>
      <c r="O422" s="22"/>
      <c r="P422" s="23"/>
      <c r="Q422" s="30"/>
      <c r="R422" s="30"/>
      <c r="S422" s="30"/>
      <c r="T422" s="34"/>
      <c r="U422" s="32"/>
      <c r="V422" s="33"/>
    </row>
    <row r="423" ht="15.75" customHeight="1">
      <c r="A423" s="41"/>
      <c r="B423" s="48"/>
      <c r="C423" s="41"/>
      <c r="D423" s="41"/>
      <c r="E423" s="41"/>
      <c r="F423" s="41"/>
      <c r="G423" s="41"/>
      <c r="H423" s="41"/>
      <c r="I423" s="49"/>
      <c r="J423" s="49"/>
      <c r="L423" s="6"/>
      <c r="M423" s="23"/>
      <c r="N423" s="22"/>
      <c r="O423" s="22"/>
      <c r="P423" s="23"/>
      <c r="Q423" s="30"/>
      <c r="R423" s="30"/>
      <c r="S423" s="30"/>
      <c r="T423" s="34"/>
      <c r="U423" s="32"/>
      <c r="V423" s="33"/>
    </row>
    <row r="424" ht="15.75" customHeight="1">
      <c r="A424" s="41"/>
      <c r="B424" s="48"/>
      <c r="C424" s="41"/>
      <c r="D424" s="41"/>
      <c r="E424" s="41"/>
      <c r="F424" s="41"/>
      <c r="G424" s="41"/>
      <c r="H424" s="41"/>
      <c r="I424" s="49"/>
      <c r="J424" s="49"/>
      <c r="L424" s="6"/>
      <c r="M424" s="23"/>
      <c r="N424" s="22"/>
      <c r="O424" s="22"/>
      <c r="P424" s="23"/>
      <c r="Q424" s="30"/>
      <c r="R424" s="30"/>
      <c r="S424" s="30"/>
      <c r="T424" s="34"/>
      <c r="U424" s="32"/>
      <c r="V424" s="33"/>
    </row>
    <row r="425" ht="15.75" customHeight="1">
      <c r="A425" s="41"/>
      <c r="B425" s="48"/>
      <c r="C425" s="41"/>
      <c r="D425" s="41"/>
      <c r="E425" s="41"/>
      <c r="F425" s="41"/>
      <c r="G425" s="41"/>
      <c r="H425" s="41"/>
      <c r="I425" s="49"/>
      <c r="J425" s="49"/>
      <c r="L425" s="6"/>
      <c r="M425" s="23"/>
      <c r="N425" s="22"/>
      <c r="O425" s="22"/>
      <c r="P425" s="23"/>
      <c r="Q425" s="30"/>
      <c r="R425" s="30"/>
      <c r="S425" s="30"/>
      <c r="T425" s="34"/>
      <c r="U425" s="32"/>
      <c r="V425" s="33"/>
    </row>
    <row r="426" ht="15.75" customHeight="1">
      <c r="A426" s="41"/>
      <c r="B426" s="48"/>
      <c r="C426" s="41"/>
      <c r="D426" s="41"/>
      <c r="E426" s="41"/>
      <c r="F426" s="41"/>
      <c r="G426" s="41"/>
      <c r="H426" s="41"/>
      <c r="I426" s="49"/>
      <c r="J426" s="49"/>
      <c r="L426" s="6"/>
      <c r="M426" s="23"/>
      <c r="N426" s="22"/>
      <c r="O426" s="22"/>
      <c r="P426" s="23"/>
      <c r="Q426" s="30"/>
      <c r="R426" s="30"/>
      <c r="S426" s="30"/>
      <c r="T426" s="34"/>
      <c r="U426" s="32"/>
      <c r="V426" s="33"/>
    </row>
    <row r="427" ht="15.75" customHeight="1">
      <c r="A427" s="41"/>
      <c r="B427" s="48"/>
      <c r="C427" s="41"/>
      <c r="D427" s="41"/>
      <c r="E427" s="41"/>
      <c r="F427" s="41"/>
      <c r="G427" s="41"/>
      <c r="H427" s="41"/>
      <c r="I427" s="49"/>
      <c r="J427" s="49"/>
      <c r="L427" s="6"/>
      <c r="M427" s="23"/>
      <c r="N427" s="22"/>
      <c r="O427" s="22"/>
      <c r="P427" s="23"/>
      <c r="Q427" s="30"/>
      <c r="R427" s="30"/>
      <c r="S427" s="30"/>
      <c r="T427" s="34"/>
      <c r="U427" s="32"/>
      <c r="V427" s="33"/>
    </row>
    <row r="428" ht="15.75" customHeight="1">
      <c r="A428" s="41"/>
      <c r="B428" s="48"/>
      <c r="C428" s="41"/>
      <c r="D428" s="41"/>
      <c r="E428" s="41"/>
      <c r="F428" s="41"/>
      <c r="G428" s="41"/>
      <c r="H428" s="41"/>
      <c r="I428" s="49"/>
      <c r="J428" s="49"/>
      <c r="L428" s="6"/>
      <c r="M428" s="23"/>
      <c r="N428" s="22"/>
      <c r="O428" s="22"/>
      <c r="P428" s="23"/>
      <c r="Q428" s="30"/>
      <c r="R428" s="30"/>
      <c r="S428" s="30"/>
      <c r="T428" s="34"/>
      <c r="U428" s="32"/>
      <c r="V428" s="33"/>
    </row>
    <row r="429" ht="15.75" customHeight="1">
      <c r="A429" s="41"/>
      <c r="B429" s="48"/>
      <c r="C429" s="41"/>
      <c r="D429" s="41"/>
      <c r="E429" s="41"/>
      <c r="F429" s="41"/>
      <c r="G429" s="41"/>
      <c r="H429" s="41"/>
      <c r="I429" s="49"/>
      <c r="J429" s="49"/>
      <c r="L429" s="6"/>
      <c r="M429" s="23"/>
      <c r="N429" s="22"/>
      <c r="O429" s="22"/>
      <c r="P429" s="23"/>
      <c r="Q429" s="30"/>
      <c r="R429" s="30"/>
      <c r="S429" s="30"/>
      <c r="T429" s="34"/>
      <c r="U429" s="32"/>
      <c r="V429" s="33"/>
    </row>
    <row r="430" ht="15.75" customHeight="1">
      <c r="A430" s="41"/>
      <c r="B430" s="48"/>
      <c r="C430" s="41"/>
      <c r="D430" s="41"/>
      <c r="E430" s="41"/>
      <c r="F430" s="41"/>
      <c r="G430" s="41"/>
      <c r="H430" s="41"/>
      <c r="I430" s="49"/>
      <c r="J430" s="49"/>
      <c r="L430" s="6"/>
      <c r="M430" s="23"/>
      <c r="N430" s="22"/>
      <c r="O430" s="22"/>
      <c r="P430" s="23"/>
      <c r="Q430" s="30"/>
      <c r="R430" s="30"/>
      <c r="S430" s="30"/>
      <c r="T430" s="34"/>
      <c r="U430" s="32"/>
      <c r="V430" s="33"/>
    </row>
    <row r="431" ht="15.75" customHeight="1">
      <c r="A431" s="41"/>
      <c r="B431" s="48"/>
      <c r="C431" s="41"/>
      <c r="D431" s="41"/>
      <c r="E431" s="41"/>
      <c r="F431" s="41"/>
      <c r="G431" s="41"/>
      <c r="H431" s="41"/>
      <c r="I431" s="49"/>
      <c r="J431" s="49"/>
      <c r="L431" s="6"/>
      <c r="M431" s="23"/>
      <c r="N431" s="22"/>
      <c r="O431" s="22"/>
      <c r="P431" s="23"/>
      <c r="Q431" s="30"/>
      <c r="R431" s="30"/>
      <c r="S431" s="30"/>
      <c r="T431" s="34"/>
      <c r="U431" s="32"/>
      <c r="V431" s="33"/>
    </row>
    <row r="432" ht="15.75" customHeight="1">
      <c r="A432" s="41"/>
      <c r="B432" s="48"/>
      <c r="C432" s="41"/>
      <c r="D432" s="41"/>
      <c r="E432" s="41"/>
      <c r="F432" s="41"/>
      <c r="G432" s="41"/>
      <c r="H432" s="41"/>
      <c r="I432" s="49"/>
      <c r="J432" s="49"/>
      <c r="L432" s="6"/>
      <c r="M432" s="23"/>
      <c r="N432" s="22"/>
      <c r="O432" s="22"/>
      <c r="P432" s="23"/>
      <c r="Q432" s="30"/>
      <c r="R432" s="30"/>
      <c r="S432" s="30"/>
      <c r="T432" s="34"/>
      <c r="U432" s="32"/>
      <c r="V432" s="33"/>
    </row>
    <row r="433" ht="15.75" customHeight="1">
      <c r="A433" s="41"/>
      <c r="B433" s="48"/>
      <c r="C433" s="41"/>
      <c r="D433" s="41"/>
      <c r="E433" s="41"/>
      <c r="F433" s="41"/>
      <c r="G433" s="41"/>
      <c r="H433" s="41"/>
      <c r="I433" s="49"/>
      <c r="J433" s="49"/>
      <c r="L433" s="6"/>
      <c r="M433" s="23"/>
      <c r="N433" s="22"/>
      <c r="O433" s="22"/>
      <c r="P433" s="23"/>
      <c r="Q433" s="30"/>
      <c r="R433" s="30"/>
      <c r="S433" s="30"/>
      <c r="T433" s="34"/>
      <c r="U433" s="32"/>
      <c r="V433" s="33"/>
    </row>
    <row r="434" ht="15.75" customHeight="1">
      <c r="A434" s="41"/>
      <c r="B434" s="48"/>
      <c r="C434" s="41"/>
      <c r="D434" s="41"/>
      <c r="E434" s="41"/>
      <c r="F434" s="41"/>
      <c r="G434" s="41"/>
      <c r="H434" s="41"/>
      <c r="I434" s="49"/>
      <c r="J434" s="49"/>
      <c r="L434" s="6"/>
      <c r="M434" s="23"/>
      <c r="N434" s="22"/>
      <c r="O434" s="22"/>
      <c r="P434" s="23"/>
      <c r="Q434" s="30"/>
      <c r="R434" s="30"/>
      <c r="S434" s="30"/>
      <c r="T434" s="34"/>
      <c r="U434" s="32"/>
      <c r="V434" s="33"/>
    </row>
    <row r="435" ht="15.75" customHeight="1">
      <c r="A435" s="41"/>
      <c r="B435" s="48"/>
      <c r="C435" s="41"/>
      <c r="D435" s="41"/>
      <c r="E435" s="41"/>
      <c r="F435" s="41"/>
      <c r="G435" s="41"/>
      <c r="H435" s="41"/>
      <c r="I435" s="49"/>
      <c r="J435" s="49"/>
      <c r="L435" s="6"/>
      <c r="M435" s="23"/>
      <c r="N435" s="22"/>
      <c r="O435" s="22"/>
      <c r="P435" s="23"/>
      <c r="Q435" s="30"/>
      <c r="R435" s="30"/>
      <c r="S435" s="30"/>
      <c r="T435" s="34"/>
      <c r="U435" s="32"/>
      <c r="V435" s="33"/>
    </row>
    <row r="436" ht="15.75" customHeight="1">
      <c r="A436" s="41"/>
      <c r="B436" s="48"/>
      <c r="C436" s="41"/>
      <c r="D436" s="41"/>
      <c r="E436" s="41"/>
      <c r="F436" s="41"/>
      <c r="G436" s="41"/>
      <c r="H436" s="41"/>
      <c r="I436" s="49"/>
      <c r="J436" s="49"/>
      <c r="L436" s="6"/>
      <c r="M436" s="23"/>
      <c r="N436" s="22"/>
      <c r="O436" s="22"/>
      <c r="P436" s="23"/>
      <c r="Q436" s="30"/>
      <c r="R436" s="30"/>
      <c r="S436" s="30"/>
      <c r="T436" s="34"/>
      <c r="U436" s="32"/>
      <c r="V436" s="33"/>
    </row>
    <row r="437" ht="15.75" customHeight="1">
      <c r="A437" s="41"/>
      <c r="B437" s="48"/>
      <c r="C437" s="41"/>
      <c r="D437" s="41"/>
      <c r="E437" s="41"/>
      <c r="F437" s="41"/>
      <c r="G437" s="41"/>
      <c r="H437" s="41"/>
      <c r="I437" s="49"/>
      <c r="J437" s="49"/>
      <c r="L437" s="6"/>
      <c r="M437" s="23"/>
      <c r="N437" s="22"/>
      <c r="O437" s="22"/>
      <c r="P437" s="23"/>
      <c r="Q437" s="30"/>
      <c r="R437" s="30"/>
      <c r="S437" s="30"/>
      <c r="T437" s="34"/>
      <c r="U437" s="32"/>
      <c r="V437" s="33"/>
    </row>
    <row r="438" ht="15.75" customHeight="1">
      <c r="A438" s="41"/>
      <c r="B438" s="48"/>
      <c r="C438" s="41"/>
      <c r="D438" s="41"/>
      <c r="E438" s="41"/>
      <c r="F438" s="41"/>
      <c r="G438" s="41"/>
      <c r="H438" s="41"/>
      <c r="I438" s="49"/>
      <c r="J438" s="49"/>
      <c r="L438" s="6"/>
      <c r="M438" s="23"/>
      <c r="N438" s="22"/>
      <c r="O438" s="22"/>
      <c r="P438" s="23"/>
      <c r="Q438" s="30"/>
      <c r="R438" s="30"/>
      <c r="S438" s="30"/>
      <c r="T438" s="34"/>
      <c r="U438" s="32"/>
      <c r="V438" s="33"/>
    </row>
    <row r="439" ht="15.75" customHeight="1">
      <c r="A439" s="41"/>
      <c r="B439" s="48"/>
      <c r="C439" s="41"/>
      <c r="D439" s="41"/>
      <c r="E439" s="41"/>
      <c r="F439" s="41"/>
      <c r="G439" s="41"/>
      <c r="H439" s="41"/>
      <c r="I439" s="49"/>
      <c r="J439" s="49"/>
      <c r="L439" s="6"/>
      <c r="M439" s="23"/>
      <c r="N439" s="22"/>
      <c r="O439" s="22"/>
      <c r="P439" s="23"/>
      <c r="Q439" s="30"/>
      <c r="R439" s="30"/>
      <c r="S439" s="30"/>
      <c r="T439" s="34"/>
      <c r="U439" s="32"/>
      <c r="V439" s="33"/>
    </row>
    <row r="440" ht="15.75" customHeight="1">
      <c r="A440" s="41"/>
      <c r="B440" s="48"/>
      <c r="C440" s="41"/>
      <c r="D440" s="41"/>
      <c r="E440" s="41"/>
      <c r="F440" s="41"/>
      <c r="G440" s="41"/>
      <c r="H440" s="41"/>
      <c r="I440" s="49"/>
      <c r="J440" s="49"/>
      <c r="L440" s="6"/>
      <c r="M440" s="23"/>
      <c r="N440" s="22"/>
      <c r="O440" s="22"/>
      <c r="P440" s="23"/>
      <c r="Q440" s="30"/>
      <c r="R440" s="30"/>
      <c r="S440" s="30"/>
      <c r="T440" s="34"/>
      <c r="U440" s="32"/>
      <c r="V440" s="33"/>
    </row>
    <row r="441" ht="15.75" customHeight="1">
      <c r="A441" s="41"/>
      <c r="B441" s="48"/>
      <c r="C441" s="41"/>
      <c r="D441" s="41"/>
      <c r="E441" s="41"/>
      <c r="F441" s="41"/>
      <c r="G441" s="41"/>
      <c r="H441" s="41"/>
      <c r="I441" s="49"/>
      <c r="J441" s="49"/>
      <c r="L441" s="6"/>
      <c r="M441" s="23"/>
      <c r="N441" s="22"/>
      <c r="O441" s="22"/>
      <c r="P441" s="23"/>
      <c r="Q441" s="30"/>
      <c r="R441" s="30"/>
      <c r="S441" s="30"/>
      <c r="T441" s="34"/>
      <c r="U441" s="32"/>
      <c r="V441" s="33"/>
    </row>
    <row r="442" ht="15.75" customHeight="1">
      <c r="A442" s="41"/>
      <c r="B442" s="48"/>
      <c r="C442" s="41"/>
      <c r="D442" s="41"/>
      <c r="E442" s="41"/>
      <c r="F442" s="41"/>
      <c r="G442" s="41"/>
      <c r="H442" s="41"/>
      <c r="I442" s="49"/>
      <c r="J442" s="49"/>
      <c r="L442" s="6"/>
      <c r="M442" s="23"/>
      <c r="N442" s="22"/>
      <c r="O442" s="22"/>
      <c r="P442" s="23"/>
      <c r="Q442" s="30"/>
      <c r="R442" s="30"/>
      <c r="S442" s="30"/>
      <c r="T442" s="34"/>
      <c r="U442" s="32"/>
      <c r="V442" s="33"/>
    </row>
    <row r="443" ht="15.75" customHeight="1">
      <c r="A443" s="41"/>
      <c r="B443" s="48"/>
      <c r="C443" s="41"/>
      <c r="D443" s="41"/>
      <c r="E443" s="41"/>
      <c r="F443" s="41"/>
      <c r="G443" s="41"/>
      <c r="H443" s="41"/>
      <c r="I443" s="49"/>
      <c r="J443" s="49"/>
      <c r="L443" s="6"/>
      <c r="M443" s="23"/>
      <c r="N443" s="22"/>
      <c r="O443" s="22"/>
      <c r="P443" s="23"/>
      <c r="Q443" s="30"/>
      <c r="R443" s="30"/>
      <c r="S443" s="30"/>
      <c r="T443" s="34"/>
      <c r="U443" s="32"/>
      <c r="V443" s="33"/>
    </row>
    <row r="444" ht="15.75" customHeight="1">
      <c r="A444" s="41"/>
      <c r="B444" s="48"/>
      <c r="C444" s="41"/>
      <c r="D444" s="41"/>
      <c r="E444" s="41"/>
      <c r="F444" s="41"/>
      <c r="G444" s="41"/>
      <c r="H444" s="41"/>
      <c r="I444" s="49"/>
      <c r="J444" s="49"/>
      <c r="L444" s="6"/>
      <c r="M444" s="23"/>
      <c r="N444" s="22"/>
      <c r="O444" s="22"/>
      <c r="P444" s="23"/>
      <c r="Q444" s="30"/>
      <c r="R444" s="30"/>
      <c r="S444" s="30"/>
      <c r="T444" s="34"/>
      <c r="U444" s="32"/>
      <c r="V444" s="33"/>
    </row>
    <row r="445" ht="15.75" customHeight="1">
      <c r="A445" s="41"/>
      <c r="B445" s="48"/>
      <c r="C445" s="41"/>
      <c r="D445" s="41"/>
      <c r="E445" s="41"/>
      <c r="F445" s="41"/>
      <c r="G445" s="41"/>
      <c r="H445" s="41"/>
      <c r="I445" s="49"/>
      <c r="J445" s="49"/>
      <c r="L445" s="6"/>
      <c r="M445" s="23"/>
      <c r="N445" s="22"/>
      <c r="O445" s="22"/>
      <c r="P445" s="23"/>
      <c r="Q445" s="30"/>
      <c r="R445" s="30"/>
      <c r="S445" s="30"/>
      <c r="T445" s="34"/>
      <c r="U445" s="32"/>
      <c r="V445" s="33"/>
    </row>
    <row r="446" ht="15.75" customHeight="1">
      <c r="A446" s="41"/>
      <c r="B446" s="48"/>
      <c r="C446" s="41"/>
      <c r="D446" s="41"/>
      <c r="E446" s="41"/>
      <c r="F446" s="41"/>
      <c r="G446" s="41"/>
      <c r="H446" s="41"/>
      <c r="I446" s="49"/>
      <c r="J446" s="49"/>
      <c r="L446" s="6"/>
      <c r="M446" s="23"/>
      <c r="N446" s="22"/>
      <c r="O446" s="22"/>
      <c r="P446" s="23"/>
      <c r="Q446" s="30"/>
      <c r="R446" s="30"/>
      <c r="S446" s="30"/>
      <c r="T446" s="34"/>
      <c r="U446" s="32"/>
      <c r="V446" s="33"/>
    </row>
    <row r="447" ht="15.75" customHeight="1">
      <c r="A447" s="41"/>
      <c r="B447" s="48"/>
      <c r="C447" s="41"/>
      <c r="D447" s="41"/>
      <c r="E447" s="41"/>
      <c r="F447" s="41"/>
      <c r="G447" s="41"/>
      <c r="H447" s="41"/>
      <c r="I447" s="49"/>
      <c r="J447" s="49"/>
      <c r="L447" s="6"/>
      <c r="M447" s="23"/>
      <c r="N447" s="22"/>
      <c r="O447" s="22"/>
      <c r="P447" s="23"/>
      <c r="Q447" s="30"/>
      <c r="R447" s="30"/>
      <c r="S447" s="30"/>
      <c r="T447" s="34"/>
      <c r="U447" s="32"/>
      <c r="V447" s="33"/>
    </row>
    <row r="448" ht="15.75" customHeight="1">
      <c r="A448" s="41"/>
      <c r="B448" s="48"/>
      <c r="C448" s="41"/>
      <c r="D448" s="41"/>
      <c r="E448" s="41"/>
      <c r="F448" s="41"/>
      <c r="G448" s="41"/>
      <c r="H448" s="41"/>
      <c r="I448" s="49"/>
      <c r="J448" s="49"/>
      <c r="L448" s="6"/>
      <c r="M448" s="23"/>
      <c r="N448" s="22"/>
      <c r="O448" s="22"/>
      <c r="P448" s="23"/>
      <c r="Q448" s="30"/>
      <c r="R448" s="30"/>
      <c r="S448" s="30"/>
      <c r="T448" s="34"/>
      <c r="U448" s="32"/>
      <c r="V448" s="33"/>
    </row>
    <row r="449" ht="15.75" customHeight="1">
      <c r="A449" s="41"/>
      <c r="B449" s="48"/>
      <c r="C449" s="41"/>
      <c r="D449" s="41"/>
      <c r="E449" s="41"/>
      <c r="F449" s="41"/>
      <c r="G449" s="41"/>
      <c r="H449" s="41"/>
      <c r="I449" s="49"/>
      <c r="J449" s="49"/>
      <c r="L449" s="6"/>
      <c r="M449" s="23"/>
      <c r="N449" s="22"/>
      <c r="O449" s="22"/>
      <c r="P449" s="23"/>
      <c r="Q449" s="30"/>
      <c r="R449" s="30"/>
      <c r="S449" s="30"/>
      <c r="T449" s="34"/>
      <c r="U449" s="32"/>
      <c r="V449" s="33"/>
    </row>
    <row r="450" ht="15.75" customHeight="1">
      <c r="A450" s="41"/>
      <c r="B450" s="48"/>
      <c r="C450" s="41"/>
      <c r="D450" s="41"/>
      <c r="E450" s="41"/>
      <c r="F450" s="41"/>
      <c r="G450" s="41"/>
      <c r="H450" s="41"/>
      <c r="I450" s="49"/>
      <c r="J450" s="49"/>
      <c r="L450" s="6"/>
      <c r="M450" s="23"/>
      <c r="N450" s="22"/>
      <c r="O450" s="22"/>
      <c r="P450" s="23"/>
      <c r="Q450" s="30"/>
      <c r="R450" s="30"/>
      <c r="S450" s="30"/>
      <c r="T450" s="34"/>
      <c r="U450" s="32"/>
      <c r="V450" s="33"/>
    </row>
    <row r="451" ht="15.75" customHeight="1">
      <c r="A451" s="41"/>
      <c r="B451" s="48"/>
      <c r="C451" s="41"/>
      <c r="D451" s="41"/>
      <c r="E451" s="41"/>
      <c r="F451" s="41"/>
      <c r="G451" s="41"/>
      <c r="H451" s="41"/>
      <c r="I451" s="49"/>
      <c r="J451" s="49"/>
      <c r="L451" s="6"/>
      <c r="M451" s="23"/>
      <c r="N451" s="22"/>
      <c r="O451" s="22"/>
      <c r="P451" s="23"/>
      <c r="Q451" s="30"/>
      <c r="R451" s="30"/>
      <c r="S451" s="30"/>
      <c r="T451" s="34"/>
      <c r="U451" s="32"/>
      <c r="V451" s="33"/>
    </row>
    <row r="452" ht="15.75" customHeight="1">
      <c r="A452" s="41"/>
      <c r="B452" s="48"/>
      <c r="C452" s="41"/>
      <c r="D452" s="41"/>
      <c r="E452" s="41"/>
      <c r="F452" s="41"/>
      <c r="G452" s="41"/>
      <c r="H452" s="41"/>
      <c r="I452" s="49"/>
      <c r="J452" s="49"/>
      <c r="L452" s="6"/>
      <c r="M452" s="23"/>
      <c r="N452" s="22"/>
      <c r="O452" s="22"/>
      <c r="P452" s="23"/>
      <c r="Q452" s="30"/>
      <c r="R452" s="30"/>
      <c r="S452" s="30"/>
      <c r="T452" s="34"/>
      <c r="U452" s="32"/>
      <c r="V452" s="33"/>
    </row>
    <row r="453" ht="15.75" customHeight="1">
      <c r="A453" s="41"/>
      <c r="B453" s="48"/>
      <c r="C453" s="41"/>
      <c r="D453" s="41"/>
      <c r="E453" s="41"/>
      <c r="F453" s="41"/>
      <c r="G453" s="41"/>
      <c r="H453" s="41"/>
      <c r="I453" s="49"/>
      <c r="J453" s="49"/>
      <c r="L453" s="6"/>
      <c r="M453" s="23"/>
      <c r="N453" s="22"/>
      <c r="O453" s="22"/>
      <c r="P453" s="23"/>
      <c r="Q453" s="30"/>
      <c r="R453" s="30"/>
      <c r="S453" s="30"/>
      <c r="T453" s="34"/>
      <c r="U453" s="32"/>
      <c r="V453" s="33"/>
    </row>
    <row r="454" ht="15.75" customHeight="1">
      <c r="A454" s="41"/>
      <c r="B454" s="48"/>
      <c r="C454" s="41"/>
      <c r="D454" s="41"/>
      <c r="E454" s="41"/>
      <c r="F454" s="41"/>
      <c r="G454" s="41"/>
      <c r="H454" s="41"/>
      <c r="I454" s="49"/>
      <c r="J454" s="49"/>
      <c r="L454" s="6"/>
      <c r="M454" s="23"/>
      <c r="N454" s="22"/>
      <c r="O454" s="22"/>
      <c r="P454" s="23"/>
      <c r="Q454" s="30"/>
      <c r="R454" s="30"/>
      <c r="S454" s="30"/>
      <c r="T454" s="34"/>
      <c r="U454" s="32"/>
      <c r="V454" s="33"/>
    </row>
    <row r="455" ht="15.75" customHeight="1">
      <c r="A455" s="41"/>
      <c r="B455" s="48"/>
      <c r="C455" s="41"/>
      <c r="D455" s="41"/>
      <c r="E455" s="41"/>
      <c r="F455" s="41"/>
      <c r="G455" s="41"/>
      <c r="H455" s="41"/>
      <c r="I455" s="49"/>
      <c r="J455" s="49"/>
      <c r="L455" s="6"/>
      <c r="M455" s="23"/>
      <c r="N455" s="22"/>
      <c r="O455" s="22"/>
      <c r="P455" s="23"/>
      <c r="Q455" s="30"/>
      <c r="R455" s="30"/>
      <c r="S455" s="30"/>
      <c r="T455" s="34"/>
      <c r="U455" s="32"/>
      <c r="V455" s="33"/>
    </row>
    <row r="456" ht="15.75" customHeight="1">
      <c r="A456" s="41"/>
      <c r="B456" s="48"/>
      <c r="C456" s="41"/>
      <c r="D456" s="41"/>
      <c r="E456" s="41"/>
      <c r="F456" s="41"/>
      <c r="G456" s="41"/>
      <c r="H456" s="41"/>
      <c r="I456" s="49"/>
      <c r="J456" s="49"/>
      <c r="L456" s="6"/>
      <c r="M456" s="23"/>
      <c r="N456" s="22"/>
      <c r="O456" s="22"/>
      <c r="P456" s="23"/>
      <c r="Q456" s="30"/>
      <c r="R456" s="30"/>
      <c r="S456" s="30"/>
      <c r="T456" s="34"/>
      <c r="U456" s="32"/>
      <c r="V456" s="33"/>
    </row>
    <row r="457" ht="15.75" customHeight="1">
      <c r="A457" s="41"/>
      <c r="B457" s="48"/>
      <c r="C457" s="41"/>
      <c r="D457" s="41"/>
      <c r="E457" s="41"/>
      <c r="F457" s="41"/>
      <c r="G457" s="41"/>
      <c r="H457" s="41"/>
      <c r="I457" s="49"/>
      <c r="J457" s="49"/>
      <c r="L457" s="6"/>
      <c r="M457" s="23"/>
      <c r="N457" s="22"/>
      <c r="O457" s="22"/>
      <c r="P457" s="23"/>
      <c r="Q457" s="30"/>
      <c r="R457" s="30"/>
      <c r="S457" s="30"/>
      <c r="T457" s="34"/>
      <c r="U457" s="32"/>
      <c r="V457" s="33"/>
    </row>
    <row r="458" ht="15.75" customHeight="1">
      <c r="A458" s="41"/>
      <c r="B458" s="48"/>
      <c r="C458" s="41"/>
      <c r="D458" s="41"/>
      <c r="E458" s="41"/>
      <c r="F458" s="41"/>
      <c r="G458" s="41"/>
      <c r="H458" s="41"/>
      <c r="I458" s="49"/>
      <c r="J458" s="49"/>
      <c r="L458" s="6"/>
      <c r="M458" s="23"/>
      <c r="N458" s="22"/>
      <c r="O458" s="22"/>
      <c r="P458" s="23"/>
      <c r="Q458" s="30"/>
      <c r="R458" s="30"/>
      <c r="S458" s="30"/>
      <c r="T458" s="34"/>
      <c r="U458" s="32"/>
      <c r="V458" s="33"/>
    </row>
    <row r="459" ht="15.75" customHeight="1">
      <c r="A459" s="41"/>
      <c r="B459" s="48"/>
      <c r="C459" s="41"/>
      <c r="D459" s="41"/>
      <c r="E459" s="41"/>
      <c r="F459" s="41"/>
      <c r="G459" s="41"/>
      <c r="H459" s="41"/>
      <c r="I459" s="49"/>
      <c r="J459" s="49"/>
      <c r="L459" s="6"/>
      <c r="M459" s="23"/>
      <c r="N459" s="22"/>
      <c r="O459" s="22"/>
      <c r="P459" s="23"/>
      <c r="Q459" s="30"/>
      <c r="R459" s="30"/>
      <c r="S459" s="30"/>
      <c r="T459" s="34"/>
      <c r="U459" s="32"/>
      <c r="V459" s="33"/>
    </row>
    <row r="460" ht="15.75" customHeight="1">
      <c r="A460" s="41"/>
      <c r="B460" s="48"/>
      <c r="C460" s="41"/>
      <c r="D460" s="41"/>
      <c r="E460" s="41"/>
      <c r="F460" s="41"/>
      <c r="G460" s="41"/>
      <c r="H460" s="41"/>
      <c r="I460" s="49"/>
      <c r="J460" s="49"/>
      <c r="L460" s="6"/>
      <c r="M460" s="23"/>
      <c r="N460" s="22"/>
      <c r="O460" s="22"/>
      <c r="P460" s="23"/>
      <c r="Q460" s="30"/>
      <c r="R460" s="30"/>
      <c r="S460" s="30"/>
      <c r="T460" s="34"/>
      <c r="U460" s="32"/>
      <c r="V460" s="33"/>
    </row>
    <row r="461" ht="15.75" customHeight="1">
      <c r="A461" s="41"/>
      <c r="B461" s="48"/>
      <c r="C461" s="41"/>
      <c r="D461" s="41"/>
      <c r="E461" s="41"/>
      <c r="F461" s="41"/>
      <c r="G461" s="41"/>
      <c r="H461" s="41"/>
      <c r="I461" s="49"/>
      <c r="J461" s="49"/>
      <c r="L461" s="6"/>
      <c r="M461" s="23"/>
      <c r="N461" s="22"/>
      <c r="O461" s="22"/>
      <c r="P461" s="23"/>
      <c r="Q461" s="30"/>
      <c r="R461" s="30"/>
      <c r="S461" s="30"/>
      <c r="T461" s="34"/>
      <c r="U461" s="32"/>
      <c r="V461" s="33"/>
    </row>
    <row r="462" ht="15.75" customHeight="1">
      <c r="A462" s="41"/>
      <c r="B462" s="48"/>
      <c r="C462" s="41"/>
      <c r="D462" s="41"/>
      <c r="E462" s="41"/>
      <c r="F462" s="41"/>
      <c r="G462" s="41"/>
      <c r="H462" s="41"/>
      <c r="I462" s="49"/>
      <c r="J462" s="49"/>
      <c r="L462" s="6"/>
      <c r="M462" s="23"/>
      <c r="N462" s="22"/>
      <c r="O462" s="22"/>
      <c r="P462" s="23"/>
      <c r="Q462" s="30"/>
      <c r="R462" s="30"/>
      <c r="S462" s="30"/>
      <c r="T462" s="34"/>
      <c r="U462" s="32"/>
      <c r="V462" s="33"/>
    </row>
    <row r="463" ht="15.75" customHeight="1">
      <c r="A463" s="41"/>
      <c r="B463" s="48"/>
      <c r="C463" s="41"/>
      <c r="D463" s="41"/>
      <c r="E463" s="41"/>
      <c r="F463" s="41"/>
      <c r="G463" s="41"/>
      <c r="H463" s="41"/>
      <c r="I463" s="49"/>
      <c r="J463" s="49"/>
      <c r="L463" s="6"/>
      <c r="M463" s="23"/>
      <c r="N463" s="22"/>
      <c r="O463" s="22"/>
      <c r="P463" s="23"/>
      <c r="Q463" s="30"/>
      <c r="R463" s="30"/>
      <c r="S463" s="30"/>
      <c r="T463" s="34"/>
      <c r="U463" s="32"/>
      <c r="V463" s="33"/>
    </row>
    <row r="464" ht="15.75" customHeight="1">
      <c r="A464" s="41"/>
      <c r="B464" s="48"/>
      <c r="C464" s="41"/>
      <c r="D464" s="41"/>
      <c r="E464" s="41"/>
      <c r="F464" s="41"/>
      <c r="G464" s="41"/>
      <c r="H464" s="41"/>
      <c r="I464" s="49"/>
      <c r="J464" s="49"/>
      <c r="L464" s="6"/>
      <c r="M464" s="23"/>
      <c r="N464" s="22"/>
      <c r="O464" s="22"/>
      <c r="P464" s="23"/>
      <c r="Q464" s="30"/>
      <c r="R464" s="30"/>
      <c r="S464" s="30"/>
      <c r="T464" s="34"/>
      <c r="U464" s="32"/>
      <c r="V464" s="33"/>
    </row>
    <row r="465" ht="15.75" customHeight="1">
      <c r="A465" s="41"/>
      <c r="B465" s="48"/>
      <c r="C465" s="41"/>
      <c r="D465" s="41"/>
      <c r="E465" s="41"/>
      <c r="F465" s="41"/>
      <c r="G465" s="41"/>
      <c r="H465" s="41"/>
      <c r="I465" s="49"/>
      <c r="J465" s="49"/>
      <c r="L465" s="6"/>
      <c r="M465" s="23"/>
      <c r="N465" s="22"/>
      <c r="O465" s="22"/>
      <c r="P465" s="23"/>
      <c r="Q465" s="30"/>
      <c r="R465" s="30"/>
      <c r="S465" s="30"/>
      <c r="T465" s="34"/>
      <c r="U465" s="32"/>
      <c r="V465" s="33"/>
    </row>
    <row r="466" ht="15.75" customHeight="1">
      <c r="A466" s="41"/>
      <c r="B466" s="48"/>
      <c r="C466" s="41"/>
      <c r="D466" s="41"/>
      <c r="E466" s="41"/>
      <c r="F466" s="41"/>
      <c r="G466" s="41"/>
      <c r="H466" s="41"/>
      <c r="I466" s="49"/>
      <c r="J466" s="49"/>
      <c r="L466" s="6"/>
      <c r="M466" s="23"/>
      <c r="N466" s="22"/>
      <c r="O466" s="22"/>
      <c r="P466" s="23"/>
      <c r="Q466" s="30"/>
      <c r="R466" s="30"/>
      <c r="S466" s="30"/>
      <c r="T466" s="34"/>
      <c r="U466" s="32"/>
      <c r="V466" s="33"/>
    </row>
    <row r="467" ht="15.75" customHeight="1">
      <c r="A467" s="41"/>
      <c r="B467" s="48"/>
      <c r="C467" s="41"/>
      <c r="D467" s="41"/>
      <c r="E467" s="41"/>
      <c r="F467" s="41"/>
      <c r="G467" s="41"/>
      <c r="H467" s="41"/>
      <c r="I467" s="49"/>
      <c r="J467" s="49"/>
      <c r="L467" s="6"/>
      <c r="M467" s="23"/>
      <c r="N467" s="22"/>
      <c r="O467" s="22"/>
      <c r="P467" s="23"/>
      <c r="Q467" s="30"/>
      <c r="R467" s="30"/>
      <c r="S467" s="30"/>
      <c r="T467" s="34"/>
      <c r="U467" s="32"/>
      <c r="V467" s="33"/>
    </row>
    <row r="468" ht="15.75" customHeight="1">
      <c r="A468" s="41"/>
      <c r="B468" s="48"/>
      <c r="C468" s="41"/>
      <c r="D468" s="41"/>
      <c r="E468" s="41"/>
      <c r="F468" s="41"/>
      <c r="G468" s="41"/>
      <c r="H468" s="41"/>
      <c r="I468" s="49"/>
      <c r="J468" s="49"/>
      <c r="L468" s="6"/>
      <c r="M468" s="23"/>
      <c r="N468" s="22"/>
      <c r="O468" s="22"/>
      <c r="P468" s="23"/>
      <c r="Q468" s="30"/>
      <c r="R468" s="30"/>
      <c r="S468" s="30"/>
      <c r="T468" s="34"/>
      <c r="U468" s="32"/>
      <c r="V468" s="33"/>
    </row>
    <row r="469" ht="15.75" customHeight="1">
      <c r="A469" s="41"/>
      <c r="B469" s="48"/>
      <c r="C469" s="41"/>
      <c r="D469" s="41"/>
      <c r="E469" s="41"/>
      <c r="F469" s="41"/>
      <c r="G469" s="41"/>
      <c r="H469" s="41"/>
      <c r="I469" s="49"/>
      <c r="J469" s="49"/>
      <c r="L469" s="6"/>
      <c r="M469" s="23"/>
      <c r="N469" s="22"/>
      <c r="O469" s="22"/>
      <c r="P469" s="23"/>
      <c r="Q469" s="30"/>
      <c r="R469" s="30"/>
      <c r="S469" s="30"/>
      <c r="T469" s="34"/>
      <c r="U469" s="32"/>
      <c r="V469" s="33"/>
    </row>
    <row r="470" ht="15.75" customHeight="1">
      <c r="A470" s="41"/>
      <c r="B470" s="48"/>
      <c r="C470" s="41"/>
      <c r="D470" s="41"/>
      <c r="E470" s="41"/>
      <c r="F470" s="41"/>
      <c r="G470" s="41"/>
      <c r="H470" s="41"/>
      <c r="I470" s="49"/>
      <c r="J470" s="49"/>
      <c r="L470" s="6"/>
      <c r="M470" s="23"/>
      <c r="N470" s="22"/>
      <c r="O470" s="22"/>
      <c r="P470" s="23"/>
      <c r="Q470" s="30"/>
      <c r="R470" s="30"/>
      <c r="S470" s="30"/>
      <c r="T470" s="34"/>
      <c r="U470" s="32"/>
      <c r="V470" s="33"/>
    </row>
    <row r="471" ht="15.75" customHeight="1">
      <c r="A471" s="41"/>
      <c r="B471" s="48"/>
      <c r="C471" s="41"/>
      <c r="D471" s="41"/>
      <c r="E471" s="41"/>
      <c r="F471" s="41"/>
      <c r="G471" s="41"/>
      <c r="H471" s="41"/>
      <c r="I471" s="49"/>
      <c r="J471" s="49"/>
      <c r="L471" s="6"/>
      <c r="M471" s="23"/>
      <c r="N471" s="22"/>
      <c r="O471" s="22"/>
      <c r="P471" s="23"/>
      <c r="Q471" s="30"/>
      <c r="R471" s="30"/>
      <c r="S471" s="30"/>
      <c r="T471" s="34"/>
      <c r="U471" s="32"/>
      <c r="V471" s="33"/>
    </row>
    <row r="472" ht="15.75" customHeight="1">
      <c r="A472" s="41"/>
      <c r="B472" s="48"/>
      <c r="C472" s="41"/>
      <c r="D472" s="41"/>
      <c r="E472" s="41"/>
      <c r="F472" s="41"/>
      <c r="G472" s="41"/>
      <c r="H472" s="41"/>
      <c r="I472" s="49"/>
      <c r="J472" s="49"/>
      <c r="L472" s="6"/>
      <c r="M472" s="23"/>
      <c r="N472" s="22"/>
      <c r="O472" s="22"/>
      <c r="P472" s="23"/>
      <c r="Q472" s="30"/>
      <c r="R472" s="30"/>
      <c r="S472" s="30"/>
      <c r="T472" s="34"/>
      <c r="U472" s="32"/>
      <c r="V472" s="33"/>
    </row>
    <row r="473" ht="15.75" customHeight="1">
      <c r="A473" s="41"/>
      <c r="B473" s="48"/>
      <c r="C473" s="41"/>
      <c r="D473" s="41"/>
      <c r="E473" s="41"/>
      <c r="F473" s="41"/>
      <c r="G473" s="41"/>
      <c r="H473" s="41"/>
      <c r="I473" s="49"/>
      <c r="J473" s="49"/>
      <c r="L473" s="6"/>
      <c r="M473" s="23"/>
      <c r="N473" s="22"/>
      <c r="O473" s="22"/>
      <c r="P473" s="23"/>
      <c r="Q473" s="30"/>
      <c r="R473" s="30"/>
      <c r="S473" s="30"/>
      <c r="T473" s="34"/>
      <c r="U473" s="32"/>
      <c r="V473" s="33"/>
    </row>
    <row r="474" ht="15.75" customHeight="1">
      <c r="A474" s="41"/>
      <c r="B474" s="48"/>
      <c r="C474" s="41"/>
      <c r="D474" s="41"/>
      <c r="E474" s="41"/>
      <c r="F474" s="41"/>
      <c r="G474" s="41"/>
      <c r="H474" s="41"/>
      <c r="I474" s="49"/>
      <c r="J474" s="49"/>
      <c r="L474" s="6"/>
      <c r="M474" s="23"/>
      <c r="N474" s="22"/>
      <c r="O474" s="22"/>
      <c r="P474" s="23"/>
      <c r="Q474" s="30"/>
      <c r="R474" s="30"/>
      <c r="S474" s="30"/>
      <c r="T474" s="34"/>
      <c r="U474" s="32"/>
      <c r="V474" s="33"/>
    </row>
    <row r="475" ht="15.75" customHeight="1">
      <c r="A475" s="41"/>
      <c r="B475" s="48"/>
      <c r="C475" s="41"/>
      <c r="D475" s="41"/>
      <c r="E475" s="41"/>
      <c r="F475" s="41"/>
      <c r="G475" s="41"/>
      <c r="H475" s="41"/>
      <c r="I475" s="49"/>
      <c r="J475" s="49"/>
      <c r="L475" s="6"/>
      <c r="M475" s="23"/>
      <c r="N475" s="22"/>
      <c r="O475" s="22"/>
      <c r="P475" s="23"/>
      <c r="Q475" s="30"/>
      <c r="R475" s="30"/>
      <c r="S475" s="30"/>
      <c r="T475" s="34"/>
      <c r="U475" s="32"/>
      <c r="V475" s="33"/>
    </row>
    <row r="476" ht="15.75" customHeight="1">
      <c r="A476" s="41"/>
      <c r="B476" s="48"/>
      <c r="C476" s="41"/>
      <c r="D476" s="41"/>
      <c r="E476" s="41"/>
      <c r="F476" s="41"/>
      <c r="G476" s="41"/>
      <c r="H476" s="41"/>
      <c r="I476" s="49"/>
      <c r="J476" s="49"/>
      <c r="L476" s="6"/>
      <c r="M476" s="23"/>
      <c r="N476" s="22"/>
      <c r="O476" s="22"/>
      <c r="P476" s="23"/>
      <c r="Q476" s="30"/>
      <c r="R476" s="30"/>
      <c r="S476" s="30"/>
      <c r="T476" s="34"/>
      <c r="U476" s="32"/>
      <c r="V476" s="33"/>
    </row>
    <row r="477" ht="15.75" customHeight="1">
      <c r="A477" s="41"/>
      <c r="B477" s="48"/>
      <c r="C477" s="41"/>
      <c r="D477" s="41"/>
      <c r="E477" s="41"/>
      <c r="F477" s="41"/>
      <c r="G477" s="41"/>
      <c r="H477" s="41"/>
      <c r="I477" s="49"/>
      <c r="J477" s="49"/>
      <c r="L477" s="6"/>
      <c r="M477" s="23"/>
      <c r="N477" s="22"/>
      <c r="O477" s="22"/>
      <c r="P477" s="23"/>
      <c r="Q477" s="30"/>
      <c r="R477" s="30"/>
      <c r="S477" s="30"/>
      <c r="T477" s="34"/>
      <c r="U477" s="32"/>
      <c r="V477" s="33"/>
    </row>
    <row r="478" ht="15.75" customHeight="1">
      <c r="A478" s="41"/>
      <c r="B478" s="48"/>
      <c r="C478" s="41"/>
      <c r="D478" s="41"/>
      <c r="E478" s="41"/>
      <c r="F478" s="41"/>
      <c r="G478" s="41"/>
      <c r="H478" s="41"/>
      <c r="I478" s="49"/>
      <c r="J478" s="49"/>
      <c r="L478" s="6"/>
      <c r="M478" s="23"/>
      <c r="N478" s="22"/>
      <c r="O478" s="22"/>
      <c r="P478" s="23"/>
      <c r="Q478" s="30"/>
      <c r="R478" s="30"/>
      <c r="S478" s="30"/>
      <c r="T478" s="34"/>
      <c r="U478" s="32"/>
      <c r="V478" s="33"/>
    </row>
    <row r="479" ht="15.75" customHeight="1">
      <c r="A479" s="41"/>
      <c r="B479" s="48"/>
      <c r="C479" s="41"/>
      <c r="D479" s="41"/>
      <c r="E479" s="41"/>
      <c r="F479" s="41"/>
      <c r="G479" s="41"/>
      <c r="H479" s="41"/>
      <c r="I479" s="49"/>
      <c r="J479" s="49"/>
      <c r="L479" s="6"/>
      <c r="M479" s="23"/>
      <c r="N479" s="22"/>
      <c r="O479" s="22"/>
      <c r="P479" s="23"/>
      <c r="Q479" s="30"/>
      <c r="R479" s="30"/>
      <c r="S479" s="30"/>
      <c r="T479" s="34"/>
      <c r="U479" s="32"/>
      <c r="V479" s="33"/>
    </row>
    <row r="480" ht="15.75" customHeight="1">
      <c r="A480" s="41"/>
      <c r="B480" s="48"/>
      <c r="C480" s="41"/>
      <c r="D480" s="41"/>
      <c r="E480" s="41"/>
      <c r="F480" s="41"/>
      <c r="G480" s="41"/>
      <c r="H480" s="41"/>
      <c r="I480" s="49"/>
      <c r="J480" s="49"/>
      <c r="L480" s="6"/>
      <c r="M480" s="23"/>
      <c r="N480" s="22"/>
      <c r="O480" s="22"/>
      <c r="P480" s="23"/>
      <c r="Q480" s="30"/>
      <c r="R480" s="30"/>
      <c r="S480" s="30"/>
      <c r="T480" s="34"/>
      <c r="U480" s="32"/>
      <c r="V480" s="33"/>
    </row>
    <row r="481" ht="15.75" customHeight="1">
      <c r="A481" s="41"/>
      <c r="B481" s="48"/>
      <c r="C481" s="41"/>
      <c r="D481" s="41"/>
      <c r="E481" s="41"/>
      <c r="F481" s="41"/>
      <c r="G481" s="41"/>
      <c r="H481" s="41"/>
      <c r="I481" s="49"/>
      <c r="J481" s="49"/>
      <c r="L481" s="6"/>
      <c r="M481" s="23"/>
      <c r="N481" s="22"/>
      <c r="O481" s="22"/>
      <c r="P481" s="23"/>
      <c r="Q481" s="30"/>
      <c r="R481" s="30"/>
      <c r="S481" s="30"/>
      <c r="T481" s="34"/>
      <c r="U481" s="32"/>
      <c r="V481" s="33"/>
    </row>
    <row r="482" ht="15.75" customHeight="1">
      <c r="A482" s="41"/>
      <c r="B482" s="48"/>
      <c r="C482" s="41"/>
      <c r="D482" s="41"/>
      <c r="E482" s="41"/>
      <c r="F482" s="41"/>
      <c r="G482" s="41"/>
      <c r="H482" s="41"/>
      <c r="I482" s="49"/>
      <c r="J482" s="49"/>
      <c r="L482" s="6"/>
      <c r="M482" s="23"/>
      <c r="N482" s="22"/>
      <c r="O482" s="22"/>
      <c r="P482" s="23"/>
      <c r="Q482" s="30"/>
      <c r="R482" s="30"/>
      <c r="S482" s="30"/>
      <c r="T482" s="34"/>
      <c r="U482" s="32"/>
      <c r="V482" s="33"/>
    </row>
    <row r="483" ht="15.75" customHeight="1">
      <c r="A483" s="41"/>
      <c r="B483" s="48"/>
      <c r="C483" s="41"/>
      <c r="D483" s="41"/>
      <c r="E483" s="41"/>
      <c r="F483" s="41"/>
      <c r="G483" s="41"/>
      <c r="H483" s="41"/>
      <c r="I483" s="49"/>
      <c r="J483" s="49"/>
      <c r="L483" s="6"/>
      <c r="M483" s="23"/>
      <c r="N483" s="22"/>
      <c r="O483" s="22"/>
      <c r="P483" s="23"/>
      <c r="Q483" s="30"/>
      <c r="R483" s="30"/>
      <c r="S483" s="30"/>
      <c r="T483" s="34"/>
      <c r="U483" s="32"/>
      <c r="V483" s="33"/>
    </row>
    <row r="484" ht="15.75" customHeight="1">
      <c r="A484" s="41"/>
      <c r="B484" s="48"/>
      <c r="C484" s="41"/>
      <c r="D484" s="41"/>
      <c r="E484" s="41"/>
      <c r="F484" s="41"/>
      <c r="G484" s="41"/>
      <c r="H484" s="41"/>
      <c r="I484" s="49"/>
      <c r="J484" s="49"/>
      <c r="L484" s="6"/>
      <c r="M484" s="23"/>
      <c r="N484" s="22"/>
      <c r="O484" s="22"/>
      <c r="P484" s="23"/>
      <c r="Q484" s="30"/>
      <c r="R484" s="30"/>
      <c r="S484" s="30"/>
      <c r="T484" s="34"/>
      <c r="U484" s="32"/>
      <c r="V484" s="33"/>
    </row>
    <row r="485" ht="15.75" customHeight="1">
      <c r="A485" s="41"/>
      <c r="B485" s="48"/>
      <c r="C485" s="41"/>
      <c r="D485" s="41"/>
      <c r="E485" s="41"/>
      <c r="F485" s="41"/>
      <c r="G485" s="41"/>
      <c r="H485" s="41"/>
      <c r="I485" s="49"/>
      <c r="J485" s="49"/>
      <c r="L485" s="6"/>
      <c r="M485" s="23"/>
      <c r="N485" s="22"/>
      <c r="O485" s="22"/>
      <c r="P485" s="23"/>
      <c r="Q485" s="30"/>
      <c r="R485" s="30"/>
      <c r="S485" s="30"/>
      <c r="T485" s="34"/>
      <c r="U485" s="32"/>
      <c r="V485" s="33"/>
    </row>
    <row r="486" ht="15.75" customHeight="1">
      <c r="A486" s="41"/>
      <c r="B486" s="48"/>
      <c r="C486" s="41"/>
      <c r="D486" s="41"/>
      <c r="E486" s="41"/>
      <c r="F486" s="41"/>
      <c r="G486" s="41"/>
      <c r="H486" s="41"/>
      <c r="I486" s="49"/>
      <c r="J486" s="49"/>
      <c r="L486" s="6"/>
      <c r="M486" s="23"/>
      <c r="N486" s="22"/>
      <c r="O486" s="22"/>
      <c r="P486" s="23"/>
      <c r="Q486" s="30"/>
      <c r="R486" s="30"/>
      <c r="S486" s="30"/>
      <c r="T486" s="34"/>
      <c r="U486" s="32"/>
      <c r="V486" s="33"/>
    </row>
    <row r="487" ht="15.75" customHeight="1">
      <c r="A487" s="41"/>
      <c r="B487" s="48"/>
      <c r="C487" s="41"/>
      <c r="D487" s="41"/>
      <c r="E487" s="41"/>
      <c r="F487" s="41"/>
      <c r="G487" s="41"/>
      <c r="H487" s="41"/>
      <c r="I487" s="49"/>
      <c r="J487" s="49"/>
      <c r="L487" s="6"/>
      <c r="M487" s="23"/>
      <c r="N487" s="22"/>
      <c r="O487" s="22"/>
      <c r="P487" s="23"/>
      <c r="Q487" s="30"/>
      <c r="R487" s="30"/>
      <c r="S487" s="30"/>
      <c r="T487" s="34"/>
      <c r="U487" s="32"/>
      <c r="V487" s="33"/>
    </row>
    <row r="488" ht="15.75" customHeight="1">
      <c r="A488" s="41"/>
      <c r="B488" s="48"/>
      <c r="C488" s="41"/>
      <c r="D488" s="41"/>
      <c r="E488" s="41"/>
      <c r="F488" s="41"/>
      <c r="G488" s="41"/>
      <c r="H488" s="41"/>
      <c r="I488" s="49"/>
      <c r="J488" s="49"/>
      <c r="L488" s="6"/>
      <c r="M488" s="23"/>
      <c r="N488" s="22"/>
      <c r="O488" s="22"/>
      <c r="P488" s="23"/>
      <c r="Q488" s="30"/>
      <c r="R488" s="30"/>
      <c r="S488" s="30"/>
      <c r="T488" s="34"/>
      <c r="U488" s="32"/>
      <c r="V488" s="33"/>
    </row>
    <row r="489" ht="15.75" customHeight="1">
      <c r="A489" s="41"/>
      <c r="B489" s="48"/>
      <c r="C489" s="41"/>
      <c r="D489" s="41"/>
      <c r="E489" s="41"/>
      <c r="F489" s="41"/>
      <c r="G489" s="41"/>
      <c r="H489" s="41"/>
      <c r="I489" s="49"/>
      <c r="J489" s="49"/>
      <c r="L489" s="6"/>
      <c r="M489" s="23"/>
      <c r="N489" s="22"/>
      <c r="O489" s="22"/>
      <c r="P489" s="23"/>
      <c r="Q489" s="30"/>
      <c r="R489" s="30"/>
      <c r="S489" s="30"/>
      <c r="T489" s="34"/>
      <c r="U489" s="32"/>
      <c r="V489" s="33"/>
    </row>
    <row r="490" ht="15.75" customHeight="1">
      <c r="A490" s="41"/>
      <c r="B490" s="48"/>
      <c r="C490" s="41"/>
      <c r="D490" s="41"/>
      <c r="E490" s="41"/>
      <c r="F490" s="41"/>
      <c r="G490" s="41"/>
      <c r="H490" s="41"/>
      <c r="I490" s="49"/>
      <c r="J490" s="49"/>
      <c r="L490" s="6"/>
      <c r="M490" s="23"/>
      <c r="N490" s="22"/>
      <c r="O490" s="22"/>
      <c r="P490" s="23"/>
      <c r="Q490" s="30"/>
      <c r="R490" s="30"/>
      <c r="S490" s="30"/>
      <c r="T490" s="34"/>
      <c r="U490" s="32"/>
      <c r="V490" s="33"/>
    </row>
    <row r="491" ht="15.75" customHeight="1">
      <c r="A491" s="41"/>
      <c r="B491" s="48"/>
      <c r="C491" s="41"/>
      <c r="D491" s="41"/>
      <c r="E491" s="41"/>
      <c r="F491" s="41"/>
      <c r="G491" s="41"/>
      <c r="H491" s="41"/>
      <c r="I491" s="49"/>
      <c r="J491" s="49"/>
      <c r="L491" s="6"/>
      <c r="M491" s="23"/>
      <c r="N491" s="22"/>
      <c r="O491" s="22"/>
      <c r="P491" s="23"/>
      <c r="Q491" s="30"/>
      <c r="R491" s="30"/>
      <c r="S491" s="30"/>
      <c r="T491" s="34"/>
      <c r="U491" s="32"/>
      <c r="V491" s="33"/>
    </row>
    <row r="492" ht="15.75" customHeight="1">
      <c r="A492" s="41"/>
      <c r="B492" s="48"/>
      <c r="C492" s="41"/>
      <c r="D492" s="41"/>
      <c r="E492" s="41"/>
      <c r="F492" s="41"/>
      <c r="G492" s="41"/>
      <c r="H492" s="41"/>
      <c r="I492" s="49"/>
      <c r="J492" s="49"/>
      <c r="L492" s="6"/>
      <c r="M492" s="23"/>
      <c r="N492" s="22"/>
      <c r="O492" s="22"/>
      <c r="P492" s="23"/>
      <c r="Q492" s="30"/>
      <c r="R492" s="30"/>
      <c r="S492" s="30"/>
      <c r="T492" s="34"/>
      <c r="U492" s="32"/>
      <c r="V492" s="33"/>
    </row>
    <row r="493" ht="15.75" customHeight="1">
      <c r="A493" s="41"/>
      <c r="B493" s="48"/>
      <c r="C493" s="41"/>
      <c r="D493" s="41"/>
      <c r="E493" s="41"/>
      <c r="F493" s="41"/>
      <c r="G493" s="41"/>
      <c r="H493" s="41"/>
      <c r="I493" s="49"/>
      <c r="J493" s="49"/>
      <c r="L493" s="6"/>
      <c r="M493" s="23"/>
      <c r="N493" s="22"/>
      <c r="O493" s="22"/>
      <c r="P493" s="23"/>
      <c r="Q493" s="30"/>
      <c r="R493" s="30"/>
      <c r="S493" s="30"/>
      <c r="T493" s="34"/>
      <c r="U493" s="32"/>
      <c r="V493" s="33"/>
    </row>
    <row r="494" ht="15.75" customHeight="1">
      <c r="A494" s="41"/>
      <c r="B494" s="48"/>
      <c r="C494" s="41"/>
      <c r="D494" s="41"/>
      <c r="E494" s="41"/>
      <c r="F494" s="41"/>
      <c r="G494" s="41"/>
      <c r="H494" s="41"/>
      <c r="I494" s="49"/>
      <c r="J494" s="49"/>
      <c r="L494" s="6"/>
      <c r="M494" s="23"/>
      <c r="N494" s="22"/>
      <c r="O494" s="22"/>
      <c r="P494" s="23"/>
      <c r="Q494" s="30"/>
      <c r="R494" s="30"/>
      <c r="S494" s="30"/>
      <c r="T494" s="34"/>
      <c r="U494" s="32"/>
      <c r="V494" s="33"/>
    </row>
    <row r="495" ht="15.75" customHeight="1">
      <c r="A495" s="41"/>
      <c r="B495" s="48"/>
      <c r="C495" s="41"/>
      <c r="D495" s="41"/>
      <c r="E495" s="41"/>
      <c r="F495" s="41"/>
      <c r="G495" s="41"/>
      <c r="H495" s="41"/>
      <c r="I495" s="49"/>
      <c r="J495" s="49"/>
      <c r="L495" s="6"/>
      <c r="M495" s="23"/>
      <c r="N495" s="22"/>
      <c r="O495" s="22"/>
      <c r="P495" s="23"/>
      <c r="Q495" s="30"/>
      <c r="R495" s="30"/>
      <c r="S495" s="30"/>
      <c r="T495" s="34"/>
      <c r="U495" s="32"/>
      <c r="V495" s="33"/>
    </row>
    <row r="496" ht="15.75" customHeight="1">
      <c r="A496" s="41"/>
      <c r="B496" s="48"/>
      <c r="C496" s="41"/>
      <c r="D496" s="41"/>
      <c r="E496" s="41"/>
      <c r="F496" s="41"/>
      <c r="G496" s="41"/>
      <c r="H496" s="41"/>
      <c r="I496" s="49"/>
      <c r="J496" s="49"/>
      <c r="L496" s="6"/>
      <c r="M496" s="23"/>
      <c r="N496" s="22"/>
      <c r="O496" s="22"/>
      <c r="P496" s="23"/>
      <c r="Q496" s="30"/>
      <c r="R496" s="30"/>
      <c r="S496" s="30"/>
      <c r="T496" s="34"/>
      <c r="U496" s="32"/>
      <c r="V496" s="33"/>
    </row>
    <row r="497" ht="15.75" customHeight="1">
      <c r="A497" s="41"/>
      <c r="B497" s="48"/>
      <c r="C497" s="41"/>
      <c r="D497" s="41"/>
      <c r="E497" s="41"/>
      <c r="F497" s="41"/>
      <c r="G497" s="41"/>
      <c r="H497" s="41"/>
      <c r="I497" s="49"/>
      <c r="J497" s="49"/>
      <c r="L497" s="6"/>
      <c r="M497" s="23"/>
      <c r="N497" s="22"/>
      <c r="O497" s="22"/>
      <c r="P497" s="23"/>
      <c r="Q497" s="30"/>
      <c r="R497" s="30"/>
      <c r="S497" s="30"/>
      <c r="T497" s="34"/>
      <c r="U497" s="32"/>
      <c r="V497" s="33"/>
    </row>
    <row r="498" ht="15.75" customHeight="1">
      <c r="A498" s="41"/>
      <c r="B498" s="48"/>
      <c r="C498" s="41"/>
      <c r="D498" s="41"/>
      <c r="E498" s="41"/>
      <c r="F498" s="41"/>
      <c r="G498" s="41"/>
      <c r="H498" s="41"/>
      <c r="I498" s="49"/>
      <c r="J498" s="49"/>
      <c r="L498" s="6"/>
      <c r="M498" s="23"/>
      <c r="N498" s="22"/>
      <c r="O498" s="22"/>
      <c r="P498" s="23"/>
      <c r="Q498" s="30"/>
      <c r="R498" s="30"/>
      <c r="S498" s="30"/>
      <c r="T498" s="34"/>
      <c r="U498" s="32"/>
      <c r="V498" s="33"/>
    </row>
    <row r="499" ht="15.75" customHeight="1">
      <c r="A499" s="41"/>
      <c r="B499" s="48"/>
      <c r="C499" s="41"/>
      <c r="D499" s="41"/>
      <c r="E499" s="41"/>
      <c r="F499" s="41"/>
      <c r="G499" s="41"/>
      <c r="H499" s="41"/>
      <c r="I499" s="49"/>
      <c r="J499" s="49"/>
      <c r="L499" s="6"/>
      <c r="M499" s="23"/>
      <c r="N499" s="22"/>
      <c r="O499" s="22"/>
      <c r="P499" s="23"/>
      <c r="Q499" s="30"/>
      <c r="R499" s="30"/>
      <c r="S499" s="30"/>
      <c r="T499" s="34"/>
      <c r="U499" s="32"/>
      <c r="V499" s="33"/>
    </row>
    <row r="500" ht="15.75" customHeight="1">
      <c r="A500" s="41"/>
      <c r="B500" s="48"/>
      <c r="C500" s="41"/>
      <c r="D500" s="41"/>
      <c r="E500" s="41"/>
      <c r="F500" s="41"/>
      <c r="G500" s="41"/>
      <c r="H500" s="41"/>
      <c r="I500" s="49"/>
      <c r="J500" s="49"/>
      <c r="L500" s="6"/>
      <c r="M500" s="23"/>
      <c r="N500" s="22"/>
      <c r="O500" s="22"/>
      <c r="P500" s="23"/>
      <c r="Q500" s="30"/>
      <c r="R500" s="30"/>
      <c r="S500" s="30"/>
      <c r="T500" s="34"/>
      <c r="U500" s="32"/>
      <c r="V500" s="33"/>
    </row>
    <row r="501" ht="15.75" customHeight="1">
      <c r="A501" s="41"/>
      <c r="B501" s="48"/>
      <c r="C501" s="41"/>
      <c r="D501" s="41"/>
      <c r="E501" s="41"/>
      <c r="F501" s="41"/>
      <c r="G501" s="41"/>
      <c r="H501" s="41"/>
      <c r="I501" s="49"/>
      <c r="J501" s="49"/>
      <c r="L501" s="6"/>
      <c r="M501" s="23"/>
      <c r="N501" s="22"/>
      <c r="O501" s="22"/>
      <c r="P501" s="23"/>
      <c r="Q501" s="30"/>
      <c r="R501" s="30"/>
      <c r="S501" s="30"/>
      <c r="T501" s="34"/>
      <c r="U501" s="32"/>
      <c r="V501" s="33"/>
    </row>
    <row r="502" ht="15.75" customHeight="1">
      <c r="A502" s="41"/>
      <c r="B502" s="48"/>
      <c r="C502" s="41"/>
      <c r="D502" s="41"/>
      <c r="E502" s="41"/>
      <c r="F502" s="41"/>
      <c r="G502" s="41"/>
      <c r="H502" s="41"/>
      <c r="I502" s="49"/>
      <c r="J502" s="49"/>
      <c r="L502" s="6"/>
      <c r="M502" s="23"/>
      <c r="N502" s="22"/>
      <c r="O502" s="22"/>
      <c r="P502" s="23"/>
      <c r="Q502" s="30"/>
      <c r="R502" s="30"/>
      <c r="S502" s="30"/>
      <c r="T502" s="34"/>
      <c r="U502" s="32"/>
      <c r="V502" s="33"/>
    </row>
    <row r="503" ht="15.75" customHeight="1">
      <c r="A503" s="41"/>
      <c r="B503" s="48"/>
      <c r="C503" s="41"/>
      <c r="D503" s="41"/>
      <c r="E503" s="41"/>
      <c r="F503" s="41"/>
      <c r="G503" s="41"/>
      <c r="H503" s="41"/>
      <c r="I503" s="49"/>
      <c r="J503" s="49"/>
      <c r="L503" s="6"/>
      <c r="M503" s="23"/>
      <c r="N503" s="22"/>
      <c r="O503" s="22"/>
      <c r="P503" s="23"/>
      <c r="Q503" s="30"/>
      <c r="R503" s="30"/>
      <c r="S503" s="30"/>
      <c r="T503" s="34"/>
      <c r="U503" s="32"/>
      <c r="V503" s="33"/>
    </row>
    <row r="504" ht="15.75" customHeight="1">
      <c r="A504" s="41"/>
      <c r="B504" s="48"/>
      <c r="C504" s="41"/>
      <c r="D504" s="41"/>
      <c r="E504" s="41"/>
      <c r="F504" s="41"/>
      <c r="G504" s="41"/>
      <c r="H504" s="41"/>
      <c r="I504" s="49"/>
      <c r="J504" s="49"/>
      <c r="L504" s="6"/>
      <c r="M504" s="23"/>
      <c r="N504" s="22"/>
      <c r="O504" s="22"/>
      <c r="P504" s="23"/>
      <c r="Q504" s="30"/>
      <c r="R504" s="30"/>
      <c r="S504" s="30"/>
      <c r="T504" s="34"/>
      <c r="U504" s="32"/>
      <c r="V504" s="33"/>
    </row>
    <row r="505" ht="15.75" customHeight="1">
      <c r="A505" s="41"/>
      <c r="B505" s="48"/>
      <c r="C505" s="41"/>
      <c r="D505" s="41"/>
      <c r="E505" s="41"/>
      <c r="F505" s="41"/>
      <c r="G505" s="41"/>
      <c r="H505" s="41"/>
      <c r="I505" s="49"/>
      <c r="J505" s="49"/>
      <c r="L505" s="6"/>
      <c r="M505" s="23"/>
      <c r="N505" s="22"/>
      <c r="O505" s="22"/>
      <c r="P505" s="23"/>
      <c r="Q505" s="30"/>
      <c r="R505" s="30"/>
      <c r="S505" s="30"/>
      <c r="T505" s="34"/>
      <c r="U505" s="32"/>
      <c r="V505" s="33"/>
    </row>
    <row r="506" ht="15.75" customHeight="1">
      <c r="A506" s="41"/>
      <c r="B506" s="48"/>
      <c r="C506" s="41"/>
      <c r="D506" s="41"/>
      <c r="E506" s="41"/>
      <c r="F506" s="41"/>
      <c r="G506" s="41"/>
      <c r="H506" s="41"/>
      <c r="I506" s="49"/>
      <c r="J506" s="49"/>
      <c r="L506" s="6"/>
      <c r="M506" s="23"/>
      <c r="N506" s="22"/>
      <c r="O506" s="22"/>
      <c r="P506" s="23"/>
      <c r="Q506" s="30"/>
      <c r="R506" s="30"/>
      <c r="S506" s="30"/>
      <c r="T506" s="34"/>
      <c r="U506" s="32"/>
      <c r="V506" s="33"/>
    </row>
    <row r="507" ht="15.75" customHeight="1">
      <c r="A507" s="41"/>
      <c r="B507" s="48"/>
      <c r="C507" s="41"/>
      <c r="D507" s="41"/>
      <c r="E507" s="41"/>
      <c r="F507" s="41"/>
      <c r="G507" s="41"/>
      <c r="H507" s="41"/>
      <c r="I507" s="49"/>
      <c r="J507" s="49"/>
      <c r="L507" s="6"/>
      <c r="M507" s="23"/>
      <c r="N507" s="22"/>
      <c r="O507" s="22"/>
      <c r="P507" s="23"/>
      <c r="Q507" s="30"/>
      <c r="R507" s="30"/>
      <c r="S507" s="30"/>
      <c r="T507" s="34"/>
      <c r="U507" s="32"/>
      <c r="V507" s="33"/>
    </row>
    <row r="508" ht="15.75" customHeight="1">
      <c r="A508" s="41"/>
      <c r="B508" s="48"/>
      <c r="C508" s="41"/>
      <c r="D508" s="41"/>
      <c r="E508" s="41"/>
      <c r="F508" s="41"/>
      <c r="G508" s="41"/>
      <c r="H508" s="41"/>
      <c r="I508" s="49"/>
      <c r="J508" s="49"/>
      <c r="L508" s="6"/>
      <c r="M508" s="23"/>
      <c r="N508" s="22"/>
      <c r="O508" s="22"/>
      <c r="P508" s="23"/>
      <c r="Q508" s="30"/>
      <c r="R508" s="30"/>
      <c r="S508" s="30"/>
      <c r="T508" s="34"/>
      <c r="U508" s="32"/>
      <c r="V508" s="33"/>
    </row>
    <row r="509" ht="15.75" customHeight="1">
      <c r="A509" s="41"/>
      <c r="B509" s="48"/>
      <c r="C509" s="41"/>
      <c r="D509" s="41"/>
      <c r="E509" s="41"/>
      <c r="F509" s="41"/>
      <c r="G509" s="41"/>
      <c r="H509" s="41"/>
      <c r="I509" s="49"/>
      <c r="J509" s="49"/>
      <c r="L509" s="6"/>
      <c r="M509" s="23"/>
      <c r="N509" s="22"/>
      <c r="O509" s="22"/>
      <c r="P509" s="23"/>
      <c r="Q509" s="30"/>
      <c r="R509" s="30"/>
      <c r="S509" s="30"/>
      <c r="T509" s="34"/>
      <c r="U509" s="32"/>
      <c r="V509" s="33"/>
    </row>
    <row r="510" ht="15.75" customHeight="1">
      <c r="A510" s="41"/>
      <c r="B510" s="48"/>
      <c r="C510" s="41"/>
      <c r="D510" s="41"/>
      <c r="E510" s="41"/>
      <c r="F510" s="41"/>
      <c r="G510" s="41"/>
      <c r="H510" s="41"/>
      <c r="I510" s="49"/>
      <c r="J510" s="49"/>
      <c r="L510" s="6"/>
      <c r="M510" s="23"/>
      <c r="N510" s="22"/>
      <c r="O510" s="22"/>
      <c r="P510" s="23"/>
      <c r="Q510" s="30"/>
      <c r="R510" s="30"/>
      <c r="S510" s="30"/>
      <c r="T510" s="34"/>
      <c r="U510" s="32"/>
      <c r="V510" s="33"/>
    </row>
    <row r="511" ht="15.75" customHeight="1">
      <c r="A511" s="41"/>
      <c r="B511" s="48"/>
      <c r="C511" s="41"/>
      <c r="D511" s="41"/>
      <c r="E511" s="41"/>
      <c r="F511" s="41"/>
      <c r="G511" s="41"/>
      <c r="H511" s="41"/>
      <c r="I511" s="49"/>
      <c r="J511" s="49"/>
      <c r="L511" s="6"/>
      <c r="M511" s="23"/>
      <c r="N511" s="22"/>
      <c r="O511" s="22"/>
      <c r="P511" s="23"/>
      <c r="Q511" s="30"/>
      <c r="R511" s="30"/>
      <c r="S511" s="30"/>
      <c r="T511" s="34"/>
      <c r="U511" s="32"/>
      <c r="V511" s="33"/>
    </row>
    <row r="512" ht="15.75" customHeight="1">
      <c r="A512" s="41"/>
      <c r="B512" s="48"/>
      <c r="C512" s="41"/>
      <c r="D512" s="41"/>
      <c r="E512" s="41"/>
      <c r="F512" s="41"/>
      <c r="G512" s="41"/>
      <c r="H512" s="41"/>
      <c r="I512" s="49"/>
      <c r="J512" s="49"/>
      <c r="L512" s="6"/>
      <c r="M512" s="23"/>
      <c r="N512" s="22"/>
      <c r="O512" s="22"/>
      <c r="P512" s="23"/>
      <c r="Q512" s="30"/>
      <c r="R512" s="30"/>
      <c r="S512" s="30"/>
      <c r="T512" s="34"/>
      <c r="U512" s="32"/>
      <c r="V512" s="33"/>
    </row>
    <row r="513" ht="15.75" customHeight="1">
      <c r="A513" s="41"/>
      <c r="B513" s="48"/>
      <c r="C513" s="41"/>
      <c r="D513" s="41"/>
      <c r="E513" s="41"/>
      <c r="F513" s="41"/>
      <c r="G513" s="41"/>
      <c r="H513" s="41"/>
      <c r="I513" s="49"/>
      <c r="J513" s="49"/>
      <c r="L513" s="6"/>
      <c r="M513" s="23"/>
      <c r="N513" s="22"/>
      <c r="O513" s="22"/>
      <c r="P513" s="23"/>
      <c r="Q513" s="30"/>
      <c r="R513" s="30"/>
      <c r="S513" s="30"/>
      <c r="T513" s="34"/>
      <c r="U513" s="32"/>
      <c r="V513" s="33"/>
    </row>
    <row r="514" ht="15.75" customHeight="1">
      <c r="A514" s="41"/>
      <c r="B514" s="48"/>
      <c r="C514" s="41"/>
      <c r="D514" s="41"/>
      <c r="E514" s="41"/>
      <c r="F514" s="41"/>
      <c r="G514" s="41"/>
      <c r="H514" s="41"/>
      <c r="I514" s="49"/>
      <c r="J514" s="49"/>
      <c r="L514" s="6"/>
      <c r="M514" s="23"/>
      <c r="N514" s="22"/>
      <c r="O514" s="22"/>
      <c r="P514" s="23"/>
      <c r="Q514" s="30"/>
      <c r="R514" s="30"/>
      <c r="S514" s="30"/>
      <c r="T514" s="34"/>
      <c r="U514" s="32"/>
      <c r="V514" s="33"/>
    </row>
    <row r="515" ht="15.75" customHeight="1">
      <c r="A515" s="41"/>
      <c r="B515" s="48"/>
      <c r="C515" s="41"/>
      <c r="D515" s="41"/>
      <c r="E515" s="41"/>
      <c r="F515" s="41"/>
      <c r="G515" s="41"/>
      <c r="H515" s="41"/>
      <c r="I515" s="49"/>
      <c r="J515" s="49"/>
      <c r="L515" s="6"/>
      <c r="M515" s="23"/>
      <c r="N515" s="22"/>
      <c r="O515" s="22"/>
      <c r="P515" s="23"/>
      <c r="Q515" s="30"/>
      <c r="R515" s="30"/>
      <c r="S515" s="30"/>
      <c r="T515" s="34"/>
      <c r="U515" s="32"/>
      <c r="V515" s="33"/>
    </row>
    <row r="516" ht="15.75" customHeight="1">
      <c r="A516" s="41"/>
      <c r="B516" s="48"/>
      <c r="C516" s="41"/>
      <c r="D516" s="41"/>
      <c r="E516" s="41"/>
      <c r="F516" s="41"/>
      <c r="G516" s="41"/>
      <c r="H516" s="41"/>
      <c r="I516" s="49"/>
      <c r="J516" s="49"/>
      <c r="L516" s="6"/>
      <c r="M516" s="23"/>
      <c r="N516" s="22"/>
      <c r="O516" s="22"/>
      <c r="P516" s="23"/>
      <c r="Q516" s="30"/>
      <c r="R516" s="30"/>
      <c r="S516" s="30"/>
      <c r="T516" s="34"/>
      <c r="U516" s="32"/>
      <c r="V516" s="33"/>
    </row>
    <row r="517" ht="15.75" customHeight="1">
      <c r="A517" s="41"/>
      <c r="B517" s="48"/>
      <c r="C517" s="41"/>
      <c r="D517" s="41"/>
      <c r="E517" s="41"/>
      <c r="F517" s="41"/>
      <c r="G517" s="41"/>
      <c r="H517" s="41"/>
      <c r="I517" s="49"/>
      <c r="J517" s="49"/>
      <c r="L517" s="6"/>
      <c r="M517" s="23"/>
      <c r="N517" s="22"/>
      <c r="O517" s="22"/>
      <c r="P517" s="23"/>
      <c r="Q517" s="30"/>
      <c r="R517" s="30"/>
      <c r="S517" s="30"/>
      <c r="T517" s="34"/>
      <c r="U517" s="32"/>
      <c r="V517" s="33"/>
    </row>
    <row r="518" ht="15.75" customHeight="1">
      <c r="A518" s="41"/>
      <c r="B518" s="48"/>
      <c r="C518" s="41"/>
      <c r="D518" s="41"/>
      <c r="E518" s="41"/>
      <c r="F518" s="41"/>
      <c r="G518" s="41"/>
      <c r="H518" s="41"/>
      <c r="I518" s="49"/>
      <c r="J518" s="49"/>
      <c r="L518" s="6"/>
      <c r="M518" s="23"/>
      <c r="N518" s="22"/>
      <c r="O518" s="22"/>
      <c r="P518" s="23"/>
      <c r="Q518" s="30"/>
      <c r="R518" s="30"/>
      <c r="S518" s="30"/>
      <c r="T518" s="34"/>
      <c r="U518" s="32"/>
      <c r="V518" s="33"/>
    </row>
    <row r="519" ht="15.75" customHeight="1">
      <c r="A519" s="41"/>
      <c r="B519" s="48"/>
      <c r="C519" s="41"/>
      <c r="D519" s="41"/>
      <c r="E519" s="41"/>
      <c r="F519" s="41"/>
      <c r="G519" s="41"/>
      <c r="H519" s="41"/>
      <c r="I519" s="49"/>
      <c r="J519" s="49"/>
      <c r="L519" s="6"/>
      <c r="M519" s="23"/>
      <c r="N519" s="22"/>
      <c r="O519" s="22"/>
      <c r="P519" s="23"/>
      <c r="Q519" s="30"/>
      <c r="R519" s="30"/>
      <c r="S519" s="30"/>
      <c r="T519" s="34"/>
      <c r="U519" s="32"/>
      <c r="V519" s="33"/>
    </row>
    <row r="520" ht="15.75" customHeight="1">
      <c r="A520" s="41"/>
      <c r="B520" s="48"/>
      <c r="C520" s="41"/>
      <c r="D520" s="41"/>
      <c r="E520" s="41"/>
      <c r="F520" s="41"/>
      <c r="G520" s="41"/>
      <c r="H520" s="41"/>
      <c r="I520" s="49"/>
      <c r="J520" s="49"/>
      <c r="L520" s="6"/>
      <c r="M520" s="23"/>
      <c r="N520" s="22"/>
      <c r="O520" s="22"/>
      <c r="P520" s="23"/>
      <c r="Q520" s="30"/>
      <c r="R520" s="30"/>
      <c r="S520" s="30"/>
      <c r="T520" s="34"/>
      <c r="U520" s="32"/>
      <c r="V520" s="33"/>
    </row>
    <row r="521" ht="15.75" customHeight="1">
      <c r="A521" s="41"/>
      <c r="B521" s="48"/>
      <c r="C521" s="41"/>
      <c r="D521" s="41"/>
      <c r="E521" s="41"/>
      <c r="F521" s="41"/>
      <c r="G521" s="41"/>
      <c r="H521" s="41"/>
      <c r="I521" s="49"/>
      <c r="J521" s="49"/>
      <c r="L521" s="6"/>
      <c r="M521" s="23"/>
      <c r="N521" s="22"/>
      <c r="O521" s="22"/>
      <c r="P521" s="23"/>
      <c r="Q521" s="30"/>
      <c r="R521" s="30"/>
      <c r="S521" s="30"/>
      <c r="T521" s="34"/>
      <c r="U521" s="32"/>
      <c r="V521" s="33"/>
    </row>
    <row r="522" ht="15.75" customHeight="1">
      <c r="A522" s="41"/>
      <c r="B522" s="48"/>
      <c r="C522" s="41"/>
      <c r="D522" s="41"/>
      <c r="E522" s="41"/>
      <c r="F522" s="41"/>
      <c r="G522" s="41"/>
      <c r="H522" s="41"/>
      <c r="I522" s="49"/>
      <c r="J522" s="49"/>
      <c r="L522" s="6"/>
      <c r="M522" s="23"/>
      <c r="N522" s="22"/>
      <c r="O522" s="22"/>
      <c r="P522" s="23"/>
      <c r="Q522" s="30"/>
      <c r="R522" s="30"/>
      <c r="S522" s="30"/>
      <c r="T522" s="34"/>
      <c r="U522" s="32"/>
      <c r="V522" s="33"/>
    </row>
    <row r="523" ht="15.75" customHeight="1">
      <c r="A523" s="41"/>
      <c r="B523" s="48"/>
      <c r="C523" s="41"/>
      <c r="D523" s="41"/>
      <c r="E523" s="41"/>
      <c r="F523" s="41"/>
      <c r="G523" s="41"/>
      <c r="H523" s="41"/>
      <c r="I523" s="49"/>
      <c r="J523" s="49"/>
      <c r="L523" s="6"/>
      <c r="M523" s="23"/>
      <c r="N523" s="22"/>
      <c r="O523" s="22"/>
      <c r="P523" s="23"/>
      <c r="Q523" s="30"/>
      <c r="R523" s="30"/>
      <c r="S523" s="30"/>
      <c r="T523" s="34"/>
      <c r="U523" s="32"/>
      <c r="V523" s="33"/>
    </row>
    <row r="524" ht="15.75" customHeight="1">
      <c r="A524" s="41"/>
      <c r="B524" s="48"/>
      <c r="C524" s="41"/>
      <c r="D524" s="41"/>
      <c r="E524" s="41"/>
      <c r="F524" s="41"/>
      <c r="G524" s="41"/>
      <c r="H524" s="41"/>
      <c r="I524" s="49"/>
      <c r="J524" s="49"/>
      <c r="L524" s="6"/>
      <c r="M524" s="23"/>
      <c r="N524" s="22"/>
      <c r="O524" s="22"/>
      <c r="P524" s="23"/>
      <c r="Q524" s="30"/>
      <c r="R524" s="30"/>
      <c r="S524" s="30"/>
      <c r="T524" s="34"/>
      <c r="U524" s="32"/>
      <c r="V524" s="33"/>
    </row>
    <row r="525" ht="15.75" customHeight="1">
      <c r="A525" s="41"/>
      <c r="B525" s="48"/>
      <c r="C525" s="41"/>
      <c r="D525" s="41"/>
      <c r="E525" s="41"/>
      <c r="F525" s="41"/>
      <c r="G525" s="41"/>
      <c r="H525" s="41"/>
      <c r="I525" s="49"/>
      <c r="J525" s="49"/>
      <c r="L525" s="6"/>
      <c r="M525" s="23"/>
      <c r="N525" s="22"/>
      <c r="O525" s="22"/>
      <c r="P525" s="23"/>
      <c r="Q525" s="30"/>
      <c r="R525" s="30"/>
      <c r="S525" s="30"/>
      <c r="T525" s="34"/>
      <c r="U525" s="32"/>
      <c r="V525" s="33"/>
    </row>
    <row r="526" ht="15.75" customHeight="1">
      <c r="A526" s="41"/>
      <c r="B526" s="48"/>
      <c r="C526" s="41"/>
      <c r="D526" s="41"/>
      <c r="E526" s="41"/>
      <c r="F526" s="41"/>
      <c r="G526" s="41"/>
      <c r="H526" s="41"/>
      <c r="I526" s="49"/>
      <c r="J526" s="49"/>
      <c r="L526" s="6"/>
      <c r="M526" s="23"/>
      <c r="N526" s="22"/>
      <c r="O526" s="22"/>
      <c r="P526" s="23"/>
      <c r="Q526" s="30"/>
      <c r="R526" s="30"/>
      <c r="S526" s="30"/>
      <c r="T526" s="34"/>
      <c r="U526" s="32"/>
      <c r="V526" s="33"/>
    </row>
    <row r="527" ht="15.75" customHeight="1">
      <c r="A527" s="41"/>
      <c r="B527" s="48"/>
      <c r="C527" s="41"/>
      <c r="D527" s="41"/>
      <c r="E527" s="41"/>
      <c r="F527" s="41"/>
      <c r="G527" s="41"/>
      <c r="H527" s="41"/>
      <c r="I527" s="49"/>
      <c r="J527" s="49"/>
      <c r="L527" s="6"/>
      <c r="M527" s="23"/>
      <c r="N527" s="22"/>
      <c r="O527" s="22"/>
      <c r="P527" s="23"/>
      <c r="Q527" s="30"/>
      <c r="R527" s="30"/>
      <c r="S527" s="30"/>
      <c r="T527" s="34"/>
      <c r="U527" s="32"/>
      <c r="V527" s="33"/>
    </row>
    <row r="528" ht="15.75" customHeight="1">
      <c r="A528" s="41"/>
      <c r="B528" s="48"/>
      <c r="C528" s="41"/>
      <c r="D528" s="41"/>
      <c r="E528" s="41"/>
      <c r="F528" s="41"/>
      <c r="G528" s="41"/>
      <c r="H528" s="41"/>
      <c r="I528" s="49"/>
      <c r="J528" s="49"/>
      <c r="L528" s="6"/>
      <c r="M528" s="23"/>
      <c r="N528" s="22"/>
      <c r="O528" s="22"/>
      <c r="P528" s="23"/>
      <c r="Q528" s="30"/>
      <c r="R528" s="30"/>
      <c r="S528" s="30"/>
      <c r="T528" s="34"/>
      <c r="U528" s="32"/>
      <c r="V528" s="33"/>
    </row>
    <row r="529" ht="15.75" customHeight="1">
      <c r="A529" s="41"/>
      <c r="B529" s="48"/>
      <c r="C529" s="41"/>
      <c r="D529" s="41"/>
      <c r="E529" s="41"/>
      <c r="F529" s="41"/>
      <c r="G529" s="41"/>
      <c r="H529" s="41"/>
      <c r="I529" s="49"/>
      <c r="J529" s="49"/>
      <c r="L529" s="6"/>
      <c r="M529" s="23"/>
      <c r="N529" s="22"/>
      <c r="O529" s="22"/>
      <c r="P529" s="23"/>
      <c r="Q529" s="30"/>
      <c r="R529" s="30"/>
      <c r="S529" s="30"/>
      <c r="T529" s="34"/>
      <c r="U529" s="32"/>
      <c r="V529" s="33"/>
    </row>
    <row r="530" ht="15.75" customHeight="1">
      <c r="A530" s="41"/>
      <c r="B530" s="48"/>
      <c r="C530" s="41"/>
      <c r="D530" s="41"/>
      <c r="E530" s="41"/>
      <c r="F530" s="41"/>
      <c r="G530" s="41"/>
      <c r="H530" s="41"/>
      <c r="I530" s="49"/>
      <c r="J530" s="49"/>
      <c r="L530" s="6"/>
      <c r="M530" s="23"/>
      <c r="N530" s="22"/>
      <c r="O530" s="22"/>
      <c r="P530" s="23"/>
      <c r="Q530" s="30"/>
      <c r="R530" s="30"/>
      <c r="S530" s="30"/>
      <c r="T530" s="34"/>
      <c r="U530" s="32"/>
      <c r="V530" s="33"/>
    </row>
    <row r="531" ht="15.75" customHeight="1">
      <c r="A531" s="41"/>
      <c r="B531" s="48"/>
      <c r="C531" s="41"/>
      <c r="D531" s="41"/>
      <c r="E531" s="41"/>
      <c r="F531" s="41"/>
      <c r="G531" s="41"/>
      <c r="H531" s="41"/>
      <c r="I531" s="49"/>
      <c r="J531" s="49"/>
      <c r="L531" s="6"/>
      <c r="M531" s="23"/>
      <c r="N531" s="22"/>
      <c r="O531" s="22"/>
      <c r="P531" s="23"/>
      <c r="Q531" s="30"/>
      <c r="R531" s="30"/>
      <c r="S531" s="30"/>
      <c r="T531" s="34"/>
      <c r="U531" s="32"/>
      <c r="V531" s="33"/>
    </row>
    <row r="532" ht="15.75" customHeight="1">
      <c r="A532" s="41"/>
      <c r="B532" s="48"/>
      <c r="C532" s="41"/>
      <c r="D532" s="41"/>
      <c r="E532" s="41"/>
      <c r="F532" s="41"/>
      <c r="G532" s="41"/>
      <c r="H532" s="41"/>
      <c r="I532" s="49"/>
      <c r="J532" s="49"/>
      <c r="L532" s="6"/>
      <c r="M532" s="23"/>
      <c r="N532" s="22"/>
      <c r="O532" s="22"/>
      <c r="P532" s="23"/>
      <c r="Q532" s="30"/>
      <c r="R532" s="30"/>
      <c r="S532" s="30"/>
      <c r="T532" s="34"/>
      <c r="U532" s="32"/>
      <c r="V532" s="33"/>
    </row>
    <row r="533" ht="15.75" customHeight="1">
      <c r="A533" s="41"/>
      <c r="B533" s="48"/>
      <c r="C533" s="41"/>
      <c r="D533" s="41"/>
      <c r="E533" s="41"/>
      <c r="F533" s="41"/>
      <c r="G533" s="41"/>
      <c r="H533" s="41"/>
      <c r="I533" s="49"/>
      <c r="J533" s="49"/>
      <c r="L533" s="6"/>
      <c r="M533" s="23"/>
      <c r="N533" s="22"/>
      <c r="O533" s="22"/>
      <c r="P533" s="23"/>
      <c r="Q533" s="30"/>
      <c r="R533" s="30"/>
      <c r="S533" s="30"/>
      <c r="T533" s="34"/>
      <c r="U533" s="32"/>
      <c r="V533" s="33"/>
    </row>
    <row r="534" ht="15.75" customHeight="1">
      <c r="A534" s="41"/>
      <c r="B534" s="48"/>
      <c r="C534" s="41"/>
      <c r="D534" s="41"/>
      <c r="E534" s="41"/>
      <c r="F534" s="41"/>
      <c r="G534" s="41"/>
      <c r="H534" s="41"/>
      <c r="I534" s="49"/>
      <c r="J534" s="49"/>
      <c r="L534" s="6"/>
      <c r="M534" s="23"/>
      <c r="N534" s="22"/>
      <c r="O534" s="22"/>
      <c r="P534" s="23"/>
      <c r="Q534" s="30"/>
      <c r="R534" s="30"/>
      <c r="S534" s="30"/>
      <c r="T534" s="34"/>
      <c r="U534" s="32"/>
      <c r="V534" s="33"/>
    </row>
    <row r="535" ht="15.75" customHeight="1">
      <c r="A535" s="41"/>
      <c r="B535" s="48"/>
      <c r="C535" s="41"/>
      <c r="D535" s="41"/>
      <c r="E535" s="41"/>
      <c r="F535" s="41"/>
      <c r="G535" s="41"/>
      <c r="H535" s="41"/>
      <c r="I535" s="49"/>
      <c r="J535" s="49"/>
      <c r="L535" s="6"/>
      <c r="M535" s="23"/>
      <c r="N535" s="22"/>
      <c r="O535" s="22"/>
      <c r="P535" s="23"/>
      <c r="Q535" s="30"/>
      <c r="R535" s="30"/>
      <c r="S535" s="30"/>
      <c r="T535" s="34"/>
      <c r="U535" s="32"/>
      <c r="V535" s="33"/>
    </row>
    <row r="536" ht="15.75" customHeight="1">
      <c r="A536" s="41"/>
      <c r="B536" s="48"/>
      <c r="C536" s="41"/>
      <c r="D536" s="41"/>
      <c r="E536" s="41"/>
      <c r="F536" s="41"/>
      <c r="G536" s="41"/>
      <c r="H536" s="41"/>
      <c r="I536" s="49"/>
      <c r="J536" s="49"/>
      <c r="L536" s="6"/>
      <c r="M536" s="23"/>
      <c r="N536" s="22"/>
      <c r="O536" s="22"/>
      <c r="P536" s="23"/>
      <c r="Q536" s="30"/>
      <c r="R536" s="30"/>
      <c r="S536" s="30"/>
      <c r="T536" s="34"/>
      <c r="U536" s="32"/>
      <c r="V536" s="33"/>
    </row>
    <row r="537" ht="15.75" customHeight="1">
      <c r="A537" s="41"/>
      <c r="B537" s="48"/>
      <c r="C537" s="41"/>
      <c r="D537" s="41"/>
      <c r="E537" s="41"/>
      <c r="F537" s="41"/>
      <c r="G537" s="41"/>
      <c r="H537" s="41"/>
      <c r="I537" s="49"/>
      <c r="J537" s="49"/>
      <c r="L537" s="6"/>
      <c r="M537" s="23"/>
      <c r="N537" s="22"/>
      <c r="O537" s="22"/>
      <c r="P537" s="23"/>
      <c r="Q537" s="30"/>
      <c r="R537" s="30"/>
      <c r="S537" s="30"/>
      <c r="T537" s="34"/>
      <c r="U537" s="32"/>
      <c r="V537" s="33"/>
    </row>
    <row r="538" ht="15.75" customHeight="1">
      <c r="A538" s="41"/>
      <c r="B538" s="48"/>
      <c r="C538" s="41"/>
      <c r="D538" s="41"/>
      <c r="E538" s="41"/>
      <c r="F538" s="41"/>
      <c r="G538" s="41"/>
      <c r="H538" s="41"/>
      <c r="I538" s="49"/>
      <c r="J538" s="49"/>
      <c r="L538" s="6"/>
      <c r="M538" s="23"/>
      <c r="N538" s="22"/>
      <c r="O538" s="22"/>
      <c r="P538" s="23"/>
      <c r="Q538" s="30"/>
      <c r="R538" s="30"/>
      <c r="S538" s="30"/>
      <c r="T538" s="34"/>
      <c r="U538" s="32"/>
      <c r="V538" s="33"/>
    </row>
    <row r="539" ht="15.75" customHeight="1">
      <c r="A539" s="41"/>
      <c r="B539" s="48"/>
      <c r="C539" s="41"/>
      <c r="D539" s="41"/>
      <c r="E539" s="41"/>
      <c r="F539" s="41"/>
      <c r="G539" s="41"/>
      <c r="H539" s="41"/>
      <c r="I539" s="49"/>
      <c r="J539" s="49"/>
      <c r="L539" s="6"/>
      <c r="M539" s="23"/>
      <c r="N539" s="22"/>
      <c r="O539" s="22"/>
      <c r="P539" s="23"/>
      <c r="Q539" s="30"/>
      <c r="R539" s="30"/>
      <c r="S539" s="30"/>
      <c r="T539" s="34"/>
      <c r="U539" s="32"/>
      <c r="V539" s="33"/>
    </row>
    <row r="540" ht="15.75" customHeight="1">
      <c r="A540" s="41"/>
      <c r="B540" s="48"/>
      <c r="C540" s="41"/>
      <c r="D540" s="41"/>
      <c r="E540" s="41"/>
      <c r="F540" s="41"/>
      <c r="G540" s="41"/>
      <c r="H540" s="41"/>
      <c r="I540" s="49"/>
      <c r="J540" s="49"/>
      <c r="L540" s="6"/>
      <c r="M540" s="23"/>
      <c r="N540" s="22"/>
      <c r="O540" s="22"/>
      <c r="P540" s="23"/>
      <c r="Q540" s="30"/>
      <c r="R540" s="30"/>
      <c r="S540" s="30"/>
      <c r="T540" s="34"/>
      <c r="U540" s="32"/>
      <c r="V540" s="33"/>
    </row>
    <row r="541" ht="15.75" customHeight="1">
      <c r="A541" s="41"/>
      <c r="B541" s="48"/>
      <c r="C541" s="41"/>
      <c r="D541" s="41"/>
      <c r="E541" s="41"/>
      <c r="F541" s="41"/>
      <c r="G541" s="41"/>
      <c r="H541" s="41"/>
      <c r="I541" s="49"/>
      <c r="J541" s="49"/>
      <c r="L541" s="6"/>
      <c r="M541" s="23"/>
      <c r="N541" s="22"/>
      <c r="O541" s="22"/>
      <c r="P541" s="23"/>
      <c r="Q541" s="30"/>
      <c r="R541" s="30"/>
      <c r="S541" s="30"/>
      <c r="T541" s="34"/>
      <c r="U541" s="32"/>
      <c r="V541" s="33"/>
    </row>
    <row r="542" ht="15.75" customHeight="1">
      <c r="A542" s="41"/>
      <c r="B542" s="48"/>
      <c r="C542" s="41"/>
      <c r="D542" s="41"/>
      <c r="E542" s="41"/>
      <c r="F542" s="41"/>
      <c r="G542" s="41"/>
      <c r="H542" s="41"/>
      <c r="I542" s="49"/>
      <c r="J542" s="49"/>
      <c r="L542" s="6"/>
      <c r="M542" s="23"/>
      <c r="N542" s="22"/>
      <c r="O542" s="22"/>
      <c r="P542" s="23"/>
      <c r="Q542" s="30"/>
      <c r="R542" s="30"/>
      <c r="S542" s="30"/>
      <c r="T542" s="34"/>
      <c r="U542" s="32"/>
      <c r="V542" s="33"/>
    </row>
    <row r="543" ht="15.75" customHeight="1">
      <c r="A543" s="41"/>
      <c r="B543" s="48"/>
      <c r="C543" s="41"/>
      <c r="D543" s="41"/>
      <c r="E543" s="41"/>
      <c r="F543" s="41"/>
      <c r="G543" s="41"/>
      <c r="H543" s="41"/>
      <c r="I543" s="49"/>
      <c r="J543" s="49"/>
      <c r="L543" s="6"/>
      <c r="M543" s="23"/>
      <c r="N543" s="22"/>
      <c r="O543" s="22"/>
      <c r="P543" s="23"/>
      <c r="Q543" s="30"/>
      <c r="R543" s="30"/>
      <c r="S543" s="30"/>
      <c r="T543" s="34"/>
      <c r="U543" s="32"/>
      <c r="V543" s="33"/>
    </row>
    <row r="544" ht="15.75" customHeight="1">
      <c r="A544" s="41"/>
      <c r="B544" s="48"/>
      <c r="C544" s="41"/>
      <c r="D544" s="41"/>
      <c r="E544" s="41"/>
      <c r="F544" s="41"/>
      <c r="G544" s="41"/>
      <c r="H544" s="41"/>
      <c r="I544" s="49"/>
      <c r="J544" s="49"/>
      <c r="L544" s="6"/>
      <c r="M544" s="23"/>
      <c r="N544" s="22"/>
      <c r="O544" s="22"/>
      <c r="P544" s="23"/>
      <c r="Q544" s="30"/>
      <c r="R544" s="30"/>
      <c r="S544" s="30"/>
      <c r="T544" s="34"/>
      <c r="U544" s="32"/>
      <c r="V544" s="33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9"/>
      <c r="J545" s="49"/>
      <c r="L545" s="6"/>
      <c r="M545" s="23"/>
      <c r="N545" s="22"/>
      <c r="O545" s="22"/>
      <c r="P545" s="23"/>
      <c r="Q545" s="30"/>
      <c r="R545" s="30"/>
      <c r="S545" s="30"/>
      <c r="T545" s="34"/>
      <c r="U545" s="32"/>
      <c r="V545" s="33"/>
    </row>
    <row r="546" ht="15.75" customHeight="1">
      <c r="L546" s="6"/>
      <c r="M546" s="29"/>
      <c r="N546" s="50"/>
      <c r="O546" s="50"/>
      <c r="P546" s="29"/>
      <c r="Q546" s="29"/>
      <c r="R546" s="29"/>
      <c r="S546" s="29"/>
      <c r="T546" s="29"/>
      <c r="U546" s="33"/>
      <c r="V546" s="33"/>
    </row>
    <row r="547" ht="15.75" customHeight="1">
      <c r="L547" s="6"/>
      <c r="M547" s="29"/>
      <c r="N547" s="50"/>
      <c r="O547" s="50"/>
      <c r="P547" s="29"/>
      <c r="Q547" s="29"/>
      <c r="R547" s="29"/>
      <c r="S547" s="29"/>
      <c r="T547" s="29"/>
      <c r="U547" s="33"/>
      <c r="V547" s="33"/>
    </row>
    <row r="548" ht="15.75" customHeight="1">
      <c r="L548" s="6"/>
      <c r="M548" s="29"/>
      <c r="N548" s="50"/>
      <c r="O548" s="50"/>
      <c r="P548" s="29"/>
      <c r="Q548" s="29"/>
      <c r="R548" s="29"/>
      <c r="S548" s="29"/>
      <c r="T548" s="29"/>
      <c r="U548" s="33"/>
      <c r="V548" s="33"/>
    </row>
    <row r="549" ht="15.75" customHeight="1">
      <c r="L549" s="6"/>
      <c r="M549" s="29"/>
      <c r="N549" s="50"/>
      <c r="O549" s="50"/>
      <c r="P549" s="29"/>
      <c r="Q549" s="29"/>
      <c r="R549" s="29"/>
      <c r="S549" s="29"/>
      <c r="T549" s="29"/>
      <c r="U549" s="33"/>
      <c r="V549" s="33"/>
    </row>
    <row r="550" ht="15.75" customHeight="1">
      <c r="L550" s="6"/>
      <c r="M550" s="29"/>
      <c r="N550" s="50"/>
      <c r="O550" s="50"/>
      <c r="P550" s="29"/>
      <c r="Q550" s="29"/>
      <c r="R550" s="29"/>
      <c r="S550" s="29"/>
      <c r="T550" s="29"/>
      <c r="U550" s="33"/>
      <c r="V550" s="33"/>
    </row>
    <row r="551" ht="15.75" customHeight="1">
      <c r="L551" s="6"/>
      <c r="M551" s="29"/>
      <c r="N551" s="50"/>
      <c r="O551" s="50"/>
      <c r="P551" s="29"/>
      <c r="Q551" s="29"/>
      <c r="R551" s="29"/>
      <c r="S551" s="29"/>
      <c r="T551" s="29"/>
      <c r="U551" s="33"/>
      <c r="V551" s="33"/>
    </row>
    <row r="552" ht="15.75" customHeight="1">
      <c r="L552" s="6"/>
      <c r="M552" s="29"/>
      <c r="N552" s="50"/>
      <c r="O552" s="50"/>
      <c r="P552" s="29"/>
      <c r="Q552" s="29"/>
      <c r="R552" s="29"/>
      <c r="S552" s="29"/>
      <c r="T552" s="29"/>
      <c r="U552" s="33"/>
      <c r="V552" s="33"/>
    </row>
    <row r="553" ht="15.75" customHeight="1">
      <c r="L553" s="6"/>
      <c r="M553" s="29"/>
      <c r="N553" s="50"/>
      <c r="O553" s="50"/>
      <c r="P553" s="29"/>
      <c r="Q553" s="29"/>
      <c r="R553" s="29"/>
      <c r="S553" s="29"/>
      <c r="T553" s="29"/>
      <c r="U553" s="33"/>
      <c r="V553" s="33"/>
    </row>
    <row r="554" ht="15.75" customHeight="1">
      <c r="L554" s="6"/>
      <c r="M554" s="29"/>
      <c r="N554" s="50"/>
      <c r="O554" s="50"/>
      <c r="P554" s="29"/>
      <c r="Q554" s="29"/>
      <c r="R554" s="29"/>
      <c r="S554" s="29"/>
      <c r="T554" s="29"/>
      <c r="U554" s="33"/>
      <c r="V554" s="33"/>
    </row>
    <row r="555" ht="15.75" customHeight="1">
      <c r="L555" s="6"/>
      <c r="M555" s="29"/>
      <c r="N555" s="50"/>
      <c r="O555" s="50"/>
      <c r="P555" s="29"/>
      <c r="Q555" s="29"/>
      <c r="R555" s="29"/>
      <c r="S555" s="29"/>
      <c r="T555" s="29"/>
      <c r="U555" s="33"/>
      <c r="V555" s="33"/>
    </row>
    <row r="556" ht="15.75" customHeight="1">
      <c r="L556" s="6"/>
      <c r="M556" s="29"/>
      <c r="N556" s="50"/>
      <c r="O556" s="50"/>
      <c r="P556" s="29"/>
      <c r="Q556" s="29"/>
      <c r="R556" s="29"/>
      <c r="S556" s="29"/>
      <c r="T556" s="29"/>
      <c r="U556" s="33"/>
      <c r="V556" s="33"/>
    </row>
    <row r="557" ht="15.75" customHeight="1">
      <c r="L557" s="6"/>
      <c r="M557" s="29"/>
      <c r="N557" s="50"/>
      <c r="O557" s="50"/>
      <c r="P557" s="29"/>
      <c r="Q557" s="29"/>
      <c r="R557" s="29"/>
      <c r="S557" s="29"/>
      <c r="T557" s="29"/>
      <c r="U557" s="33"/>
      <c r="V557" s="33"/>
    </row>
    <row r="558" ht="15.75" customHeight="1">
      <c r="L558" s="6"/>
      <c r="M558" s="29"/>
      <c r="N558" s="50"/>
      <c r="O558" s="50"/>
      <c r="P558" s="29"/>
      <c r="Q558" s="29"/>
      <c r="R558" s="29"/>
      <c r="S558" s="29"/>
      <c r="T558" s="29"/>
      <c r="U558" s="33"/>
      <c r="V558" s="33"/>
    </row>
    <row r="559" ht="15.75" customHeight="1">
      <c r="L559" s="6"/>
      <c r="M559" s="29"/>
      <c r="N559" s="50"/>
      <c r="O559" s="50"/>
      <c r="P559" s="29"/>
      <c r="Q559" s="29"/>
      <c r="R559" s="29"/>
      <c r="S559" s="29"/>
      <c r="T559" s="29"/>
      <c r="U559" s="33"/>
      <c r="V559" s="33"/>
    </row>
    <row r="560" ht="15.75" customHeight="1">
      <c r="L560" s="6"/>
      <c r="M560" s="29"/>
      <c r="N560" s="50"/>
      <c r="O560" s="50"/>
      <c r="P560" s="29"/>
      <c r="Q560" s="29"/>
      <c r="R560" s="29"/>
      <c r="S560" s="29"/>
      <c r="T560" s="29"/>
      <c r="U560" s="33"/>
      <c r="V560" s="33"/>
    </row>
    <row r="561" ht="15.75" customHeight="1">
      <c r="L561" s="6"/>
      <c r="M561" s="29"/>
      <c r="N561" s="50"/>
      <c r="O561" s="50"/>
      <c r="P561" s="29"/>
      <c r="Q561" s="29"/>
      <c r="R561" s="29"/>
      <c r="S561" s="29"/>
      <c r="T561" s="29"/>
      <c r="U561" s="33"/>
      <c r="V561" s="33"/>
    </row>
    <row r="562" ht="15.75" customHeight="1">
      <c r="L562" s="6"/>
      <c r="M562" s="29"/>
      <c r="N562" s="50"/>
      <c r="O562" s="50"/>
      <c r="P562" s="29"/>
      <c r="Q562" s="29"/>
      <c r="R562" s="29"/>
      <c r="S562" s="29"/>
      <c r="T562" s="29"/>
      <c r="U562" s="33"/>
      <c r="V562" s="33"/>
    </row>
    <row r="563" ht="15.75" customHeight="1">
      <c r="L563" s="6"/>
      <c r="M563" s="29"/>
      <c r="N563" s="50"/>
      <c r="O563" s="50"/>
      <c r="P563" s="29"/>
      <c r="Q563" s="29"/>
      <c r="R563" s="29"/>
      <c r="S563" s="29"/>
      <c r="T563" s="29"/>
      <c r="U563" s="33"/>
      <c r="V563" s="33"/>
    </row>
    <row r="564" ht="15.75" customHeight="1">
      <c r="L564" s="6"/>
      <c r="M564" s="29"/>
      <c r="N564" s="50"/>
      <c r="O564" s="50"/>
      <c r="P564" s="29"/>
      <c r="Q564" s="29"/>
      <c r="R564" s="29"/>
      <c r="S564" s="29"/>
      <c r="T564" s="29"/>
      <c r="U564" s="33"/>
      <c r="V564" s="33"/>
    </row>
    <row r="565" ht="15.75" customHeight="1">
      <c r="L565" s="6"/>
      <c r="M565" s="29"/>
      <c r="N565" s="50"/>
      <c r="O565" s="50"/>
      <c r="P565" s="29"/>
      <c r="Q565" s="29"/>
      <c r="R565" s="29"/>
      <c r="S565" s="29"/>
      <c r="T565" s="29"/>
      <c r="U565" s="33"/>
      <c r="V565" s="33"/>
    </row>
    <row r="566" ht="15.75" customHeight="1">
      <c r="L566" s="6"/>
      <c r="M566" s="29"/>
      <c r="N566" s="50"/>
      <c r="O566" s="50"/>
      <c r="P566" s="29"/>
      <c r="Q566" s="29"/>
      <c r="R566" s="29"/>
      <c r="S566" s="29"/>
      <c r="T566" s="29"/>
      <c r="U566" s="33"/>
      <c r="V566" s="33"/>
    </row>
    <row r="567" ht="15.75" customHeight="1">
      <c r="L567" s="6"/>
      <c r="M567" s="29"/>
      <c r="N567" s="50"/>
      <c r="O567" s="50"/>
      <c r="P567" s="29"/>
      <c r="Q567" s="29"/>
      <c r="R567" s="29"/>
      <c r="S567" s="29"/>
      <c r="T567" s="29"/>
      <c r="U567" s="33"/>
      <c r="V567" s="33"/>
    </row>
    <row r="568" ht="15.75" customHeight="1">
      <c r="L568" s="6"/>
      <c r="M568" s="29"/>
      <c r="N568" s="50"/>
      <c r="O568" s="50"/>
      <c r="P568" s="29"/>
      <c r="Q568" s="29"/>
      <c r="R568" s="29"/>
      <c r="S568" s="29"/>
      <c r="T568" s="29"/>
      <c r="U568" s="33"/>
      <c r="V568" s="33"/>
    </row>
    <row r="569" ht="15.75" customHeight="1">
      <c r="L569" s="6"/>
      <c r="M569" s="29"/>
      <c r="N569" s="50"/>
      <c r="O569" s="50"/>
      <c r="P569" s="29"/>
      <c r="Q569" s="29"/>
      <c r="R569" s="29"/>
      <c r="S569" s="29"/>
      <c r="T569" s="29"/>
      <c r="U569" s="33"/>
      <c r="V569" s="33"/>
    </row>
    <row r="570" ht="15.75" customHeight="1">
      <c r="L570" s="6"/>
      <c r="M570" s="29"/>
      <c r="N570" s="50"/>
      <c r="O570" s="50"/>
      <c r="P570" s="29"/>
      <c r="Q570" s="29"/>
      <c r="R570" s="29"/>
      <c r="S570" s="29"/>
      <c r="T570" s="29"/>
      <c r="U570" s="33"/>
      <c r="V570" s="33"/>
    </row>
    <row r="571" ht="15.75" customHeight="1">
      <c r="L571" s="6"/>
      <c r="M571" s="29"/>
      <c r="N571" s="50"/>
      <c r="O571" s="50"/>
      <c r="P571" s="29"/>
      <c r="Q571" s="29"/>
      <c r="R571" s="29"/>
      <c r="S571" s="29"/>
      <c r="T571" s="29"/>
      <c r="U571" s="33"/>
      <c r="V571" s="33"/>
    </row>
    <row r="572" ht="15.75" customHeight="1">
      <c r="L572" s="6"/>
      <c r="M572" s="29"/>
      <c r="N572" s="50"/>
      <c r="O572" s="50"/>
      <c r="P572" s="29"/>
      <c r="Q572" s="29"/>
      <c r="R572" s="29"/>
      <c r="S572" s="29"/>
      <c r="T572" s="29"/>
      <c r="U572" s="33"/>
      <c r="V572" s="33"/>
    </row>
    <row r="573" ht="15.75" customHeight="1">
      <c r="L573" s="6"/>
      <c r="M573" s="29"/>
      <c r="N573" s="50"/>
      <c r="O573" s="50"/>
      <c r="P573" s="29"/>
      <c r="Q573" s="29"/>
      <c r="R573" s="29"/>
      <c r="S573" s="29"/>
      <c r="T573" s="29"/>
      <c r="U573" s="33"/>
      <c r="V573" s="33"/>
    </row>
    <row r="574" ht="15.75" customHeight="1">
      <c r="L574" s="6"/>
      <c r="M574" s="29"/>
      <c r="N574" s="50"/>
      <c r="O574" s="50"/>
      <c r="P574" s="29"/>
      <c r="Q574" s="29"/>
      <c r="R574" s="29"/>
      <c r="S574" s="29"/>
      <c r="T574" s="29"/>
      <c r="U574" s="33"/>
      <c r="V574" s="33"/>
    </row>
    <row r="575" ht="15.75" customHeight="1">
      <c r="L575" s="6"/>
      <c r="M575" s="29"/>
      <c r="N575" s="50"/>
      <c r="O575" s="50"/>
      <c r="P575" s="29"/>
      <c r="Q575" s="29"/>
      <c r="R575" s="29"/>
      <c r="S575" s="29"/>
      <c r="T575" s="29"/>
      <c r="U575" s="33"/>
      <c r="V575" s="33"/>
    </row>
    <row r="576" ht="15.75" customHeight="1">
      <c r="L576" s="6"/>
      <c r="M576" s="29"/>
      <c r="N576" s="50"/>
      <c r="O576" s="50"/>
      <c r="P576" s="29"/>
      <c r="Q576" s="29"/>
      <c r="R576" s="29"/>
      <c r="S576" s="29"/>
      <c r="T576" s="29"/>
      <c r="U576" s="33"/>
      <c r="V576" s="33"/>
    </row>
    <row r="577" ht="15.75" customHeight="1">
      <c r="L577" s="6"/>
      <c r="M577" s="29"/>
      <c r="N577" s="50"/>
      <c r="O577" s="50"/>
      <c r="P577" s="29"/>
      <c r="Q577" s="29"/>
      <c r="R577" s="29"/>
      <c r="S577" s="29"/>
      <c r="T577" s="29"/>
      <c r="U577" s="33"/>
      <c r="V577" s="33"/>
    </row>
    <row r="578" ht="15.75" customHeight="1">
      <c r="L578" s="6"/>
      <c r="M578" s="29"/>
      <c r="N578" s="50"/>
      <c r="O578" s="50"/>
      <c r="P578" s="29"/>
      <c r="Q578" s="29"/>
      <c r="R578" s="29"/>
      <c r="S578" s="29"/>
      <c r="T578" s="29"/>
      <c r="U578" s="33"/>
      <c r="V578" s="33"/>
    </row>
    <row r="579" ht="15.75" customHeight="1">
      <c r="L579" s="6"/>
      <c r="M579" s="29"/>
      <c r="N579" s="50"/>
      <c r="O579" s="50"/>
      <c r="P579" s="29"/>
      <c r="Q579" s="29"/>
      <c r="R579" s="29"/>
      <c r="S579" s="29"/>
      <c r="T579" s="29"/>
      <c r="U579" s="33"/>
      <c r="V579" s="33"/>
    </row>
    <row r="580" ht="15.75" customHeight="1">
      <c r="L580" s="6"/>
      <c r="M580" s="29"/>
      <c r="N580" s="50"/>
      <c r="O580" s="50"/>
      <c r="P580" s="29"/>
      <c r="Q580" s="29"/>
      <c r="R580" s="29"/>
      <c r="S580" s="29"/>
      <c r="T580" s="29"/>
      <c r="U580" s="33"/>
      <c r="V580" s="33"/>
    </row>
    <row r="581" ht="15.75" customHeight="1">
      <c r="L581" s="6"/>
      <c r="M581" s="29"/>
      <c r="N581" s="50"/>
      <c r="O581" s="50"/>
      <c r="P581" s="29"/>
      <c r="Q581" s="29"/>
      <c r="R581" s="29"/>
      <c r="S581" s="29"/>
      <c r="T581" s="29"/>
      <c r="U581" s="33"/>
      <c r="V581" s="33"/>
    </row>
    <row r="582" ht="15.75" customHeight="1">
      <c r="L582" s="6"/>
      <c r="M582" s="29"/>
      <c r="N582" s="50"/>
      <c r="O582" s="50"/>
      <c r="P582" s="29"/>
      <c r="Q582" s="29"/>
      <c r="R582" s="29"/>
      <c r="S582" s="29"/>
      <c r="T582" s="29"/>
      <c r="U582" s="33"/>
      <c r="V582" s="33"/>
    </row>
    <row r="583" ht="15.75" customHeight="1">
      <c r="L583" s="6"/>
      <c r="M583" s="29"/>
      <c r="N583" s="50"/>
      <c r="O583" s="50"/>
      <c r="P583" s="29"/>
      <c r="Q583" s="29"/>
      <c r="R583" s="29"/>
      <c r="S583" s="29"/>
      <c r="T583" s="29"/>
      <c r="U583" s="33"/>
      <c r="V583" s="33"/>
    </row>
    <row r="584" ht="15.75" customHeight="1">
      <c r="L584" s="6"/>
      <c r="M584" s="29"/>
      <c r="N584" s="50"/>
      <c r="O584" s="50"/>
      <c r="P584" s="29"/>
      <c r="Q584" s="29"/>
      <c r="R584" s="29"/>
      <c r="S584" s="29"/>
      <c r="T584" s="29"/>
      <c r="U584" s="33"/>
      <c r="V584" s="33"/>
    </row>
    <row r="585" ht="15.75" customHeight="1">
      <c r="L585" s="6"/>
      <c r="M585" s="29"/>
      <c r="N585" s="50"/>
      <c r="O585" s="50"/>
      <c r="P585" s="29"/>
      <c r="Q585" s="29"/>
      <c r="R585" s="29"/>
      <c r="S585" s="29"/>
      <c r="T585" s="29"/>
      <c r="U585" s="33"/>
      <c r="V585" s="33"/>
    </row>
    <row r="586" ht="15.75" customHeight="1">
      <c r="L586" s="6"/>
      <c r="M586" s="29"/>
      <c r="N586" s="50"/>
      <c r="O586" s="50"/>
      <c r="P586" s="29"/>
      <c r="Q586" s="29"/>
      <c r="R586" s="29"/>
      <c r="S586" s="29"/>
      <c r="T586" s="29"/>
      <c r="U586" s="33"/>
      <c r="V586" s="33"/>
    </row>
    <row r="587" ht="15.75" customHeight="1">
      <c r="L587" s="6"/>
      <c r="M587" s="29"/>
      <c r="N587" s="50"/>
      <c r="O587" s="50"/>
      <c r="P587" s="29"/>
      <c r="Q587" s="29"/>
      <c r="R587" s="29"/>
      <c r="S587" s="29"/>
      <c r="T587" s="29"/>
      <c r="U587" s="33"/>
      <c r="V587" s="33"/>
    </row>
    <row r="588" ht="15.75" customHeight="1">
      <c r="L588" s="6"/>
      <c r="M588" s="29"/>
      <c r="N588" s="50"/>
      <c r="O588" s="50"/>
      <c r="P588" s="29"/>
      <c r="Q588" s="29"/>
      <c r="R588" s="29"/>
      <c r="S588" s="29"/>
      <c r="T588" s="29"/>
      <c r="U588" s="33"/>
      <c r="V588" s="33"/>
    </row>
    <row r="589" ht="15.75" customHeight="1">
      <c r="L589" s="6"/>
      <c r="M589" s="29"/>
      <c r="N589" s="50"/>
      <c r="O589" s="50"/>
      <c r="P589" s="29"/>
      <c r="Q589" s="29"/>
      <c r="R589" s="29"/>
      <c r="S589" s="29"/>
      <c r="T589" s="29"/>
      <c r="U589" s="33"/>
      <c r="V589" s="33"/>
    </row>
    <row r="590" ht="15.75" customHeight="1">
      <c r="L590" s="6"/>
      <c r="M590" s="29"/>
      <c r="N590" s="50"/>
      <c r="O590" s="50"/>
      <c r="P590" s="29"/>
      <c r="Q590" s="29"/>
      <c r="R590" s="29"/>
      <c r="S590" s="29"/>
      <c r="T590" s="29"/>
      <c r="U590" s="33"/>
      <c r="V590" s="33"/>
    </row>
    <row r="591" ht="15.75" customHeight="1">
      <c r="L591" s="6"/>
      <c r="M591" s="29"/>
      <c r="N591" s="50"/>
      <c r="O591" s="50"/>
      <c r="P591" s="29"/>
      <c r="Q591" s="29"/>
      <c r="R591" s="29"/>
      <c r="S591" s="29"/>
      <c r="T591" s="29"/>
      <c r="U591" s="33"/>
      <c r="V591" s="33"/>
    </row>
    <row r="592" ht="15.75" customHeight="1">
      <c r="L592" s="6"/>
      <c r="M592" s="29"/>
      <c r="N592" s="50"/>
      <c r="O592" s="50"/>
      <c r="P592" s="29"/>
      <c r="Q592" s="29"/>
      <c r="R592" s="29"/>
      <c r="S592" s="29"/>
      <c r="T592" s="29"/>
      <c r="U592" s="33"/>
      <c r="V592" s="33"/>
    </row>
    <row r="593" ht="15.75" customHeight="1">
      <c r="L593" s="6"/>
      <c r="M593" s="29"/>
      <c r="N593" s="50"/>
      <c r="O593" s="50"/>
      <c r="P593" s="29"/>
      <c r="Q593" s="29"/>
      <c r="R593" s="29"/>
      <c r="S593" s="29"/>
      <c r="T593" s="29"/>
      <c r="U593" s="33"/>
      <c r="V593" s="33"/>
    </row>
    <row r="594" ht="15.75" customHeight="1">
      <c r="L594" s="6"/>
      <c r="M594" s="29"/>
      <c r="N594" s="50"/>
      <c r="O594" s="50"/>
      <c r="P594" s="29"/>
      <c r="Q594" s="29"/>
      <c r="R594" s="29"/>
      <c r="S594" s="29"/>
      <c r="T594" s="29"/>
      <c r="U594" s="33"/>
      <c r="V594" s="33"/>
    </row>
    <row r="595" ht="15.75" customHeight="1">
      <c r="L595" s="6"/>
      <c r="M595" s="29"/>
      <c r="N595" s="50"/>
      <c r="O595" s="50"/>
      <c r="P595" s="29"/>
      <c r="Q595" s="29"/>
      <c r="R595" s="29"/>
      <c r="S595" s="29"/>
      <c r="T595" s="29"/>
      <c r="U595" s="33"/>
      <c r="V595" s="33"/>
    </row>
    <row r="596" ht="15.75" customHeight="1">
      <c r="L596" s="6"/>
      <c r="M596" s="29"/>
      <c r="N596" s="50"/>
      <c r="O596" s="50"/>
      <c r="P596" s="29"/>
      <c r="Q596" s="29"/>
      <c r="R596" s="29"/>
      <c r="S596" s="29"/>
      <c r="T596" s="29"/>
      <c r="U596" s="33"/>
      <c r="V596" s="33"/>
    </row>
    <row r="597" ht="15.75" customHeight="1">
      <c r="L597" s="6"/>
      <c r="M597" s="29"/>
      <c r="N597" s="50"/>
      <c r="O597" s="50"/>
      <c r="P597" s="29"/>
      <c r="Q597" s="29"/>
      <c r="R597" s="29"/>
      <c r="S597" s="29"/>
      <c r="T597" s="29"/>
      <c r="U597" s="33"/>
      <c r="V597" s="33"/>
    </row>
    <row r="598" ht="15.75" customHeight="1">
      <c r="L598" s="6"/>
      <c r="M598" s="29"/>
      <c r="N598" s="50"/>
      <c r="O598" s="50"/>
      <c r="P598" s="29"/>
      <c r="Q598" s="29"/>
      <c r="R598" s="29"/>
      <c r="S598" s="29"/>
      <c r="T598" s="29"/>
      <c r="U598" s="33"/>
      <c r="V598" s="33"/>
    </row>
    <row r="599" ht="15.75" customHeight="1">
      <c r="L599" s="6"/>
      <c r="M599" s="29"/>
      <c r="N599" s="50"/>
      <c r="O599" s="50"/>
      <c r="P599" s="29"/>
      <c r="Q599" s="29"/>
      <c r="R599" s="29"/>
      <c r="S599" s="29"/>
      <c r="T599" s="29"/>
      <c r="U599" s="33"/>
      <c r="V599" s="33"/>
    </row>
    <row r="600" ht="15.75" customHeight="1">
      <c r="L600" s="6"/>
      <c r="M600" s="29"/>
      <c r="N600" s="50"/>
      <c r="O600" s="50"/>
      <c r="P600" s="29"/>
      <c r="Q600" s="29"/>
      <c r="R600" s="29"/>
      <c r="S600" s="29"/>
      <c r="T600" s="29"/>
      <c r="U600" s="33"/>
      <c r="V600" s="33"/>
    </row>
    <row r="601" ht="15.75" customHeight="1">
      <c r="L601" s="6"/>
      <c r="M601" s="29"/>
      <c r="N601" s="50"/>
      <c r="O601" s="50"/>
      <c r="P601" s="29"/>
      <c r="Q601" s="29"/>
      <c r="R601" s="29"/>
      <c r="S601" s="29"/>
      <c r="T601" s="29"/>
      <c r="U601" s="33"/>
      <c r="V601" s="33"/>
    </row>
    <row r="602" ht="15.75" customHeight="1">
      <c r="L602" s="6"/>
      <c r="M602" s="29"/>
      <c r="N602" s="50"/>
      <c r="O602" s="50"/>
      <c r="P602" s="29"/>
      <c r="Q602" s="29"/>
      <c r="R602" s="29"/>
      <c r="S602" s="29"/>
      <c r="T602" s="29"/>
      <c r="U602" s="33"/>
      <c r="V602" s="33"/>
    </row>
    <row r="603" ht="15.75" customHeight="1">
      <c r="L603" s="6"/>
      <c r="M603" s="29"/>
      <c r="N603" s="50"/>
      <c r="O603" s="50"/>
      <c r="P603" s="29"/>
      <c r="Q603" s="29"/>
      <c r="R603" s="29"/>
      <c r="S603" s="29"/>
      <c r="T603" s="29"/>
      <c r="U603" s="33"/>
      <c r="V603" s="33"/>
    </row>
    <row r="604" ht="15.75" customHeight="1">
      <c r="L604" s="6"/>
      <c r="M604" s="29"/>
      <c r="N604" s="50"/>
      <c r="O604" s="50"/>
      <c r="P604" s="29"/>
      <c r="Q604" s="29"/>
      <c r="R604" s="29"/>
      <c r="S604" s="29"/>
      <c r="T604" s="29"/>
      <c r="U604" s="33"/>
      <c r="V604" s="33"/>
    </row>
    <row r="605" ht="15.75" customHeight="1">
      <c r="L605" s="6"/>
      <c r="M605" s="29"/>
      <c r="N605" s="50"/>
      <c r="O605" s="50"/>
      <c r="P605" s="29"/>
      <c r="Q605" s="29"/>
      <c r="R605" s="29"/>
      <c r="S605" s="29"/>
      <c r="T605" s="29"/>
      <c r="U605" s="33"/>
      <c r="V605" s="33"/>
    </row>
    <row r="606" ht="15.75" customHeight="1">
      <c r="L606" s="6"/>
      <c r="M606" s="29"/>
      <c r="N606" s="50"/>
      <c r="O606" s="50"/>
      <c r="P606" s="29"/>
      <c r="Q606" s="29"/>
      <c r="R606" s="29"/>
      <c r="S606" s="29"/>
      <c r="T606" s="29"/>
      <c r="U606" s="33"/>
      <c r="V606" s="33"/>
    </row>
    <row r="607" ht="15.75" customHeight="1">
      <c r="L607" s="6"/>
      <c r="M607" s="29"/>
      <c r="N607" s="50"/>
      <c r="O607" s="50"/>
      <c r="P607" s="29"/>
      <c r="Q607" s="29"/>
      <c r="R607" s="29"/>
      <c r="S607" s="29"/>
      <c r="T607" s="29"/>
      <c r="U607" s="33"/>
      <c r="V607" s="33"/>
    </row>
    <row r="608" ht="15.75" customHeight="1">
      <c r="L608" s="6"/>
      <c r="M608" s="29"/>
      <c r="N608" s="50"/>
      <c r="O608" s="50"/>
      <c r="P608" s="29"/>
      <c r="Q608" s="29"/>
      <c r="R608" s="29"/>
      <c r="S608" s="29"/>
      <c r="T608" s="29"/>
      <c r="U608" s="33"/>
      <c r="V608" s="33"/>
    </row>
    <row r="609" ht="15.75" customHeight="1">
      <c r="L609" s="6"/>
      <c r="M609" s="29"/>
      <c r="N609" s="50"/>
      <c r="O609" s="50"/>
      <c r="P609" s="29"/>
      <c r="Q609" s="29"/>
      <c r="R609" s="29"/>
      <c r="S609" s="29"/>
      <c r="T609" s="29"/>
      <c r="U609" s="33"/>
      <c r="V609" s="33"/>
    </row>
    <row r="610" ht="15.75" customHeight="1">
      <c r="L610" s="6"/>
      <c r="M610" s="29"/>
      <c r="N610" s="50"/>
      <c r="O610" s="50"/>
      <c r="P610" s="29"/>
      <c r="Q610" s="29"/>
      <c r="R610" s="29"/>
      <c r="S610" s="29"/>
      <c r="T610" s="29"/>
      <c r="U610" s="33"/>
      <c r="V610" s="33"/>
    </row>
    <row r="611" ht="15.75" customHeight="1">
      <c r="L611" s="6"/>
      <c r="M611" s="29"/>
      <c r="N611" s="50"/>
      <c r="O611" s="50"/>
      <c r="P611" s="29"/>
      <c r="Q611" s="29"/>
      <c r="R611" s="29"/>
      <c r="S611" s="29"/>
      <c r="T611" s="29"/>
      <c r="U611" s="33"/>
      <c r="V611" s="33"/>
    </row>
    <row r="612" ht="15.75" customHeight="1">
      <c r="L612" s="6"/>
      <c r="M612" s="29"/>
      <c r="N612" s="50"/>
      <c r="O612" s="50"/>
      <c r="P612" s="29"/>
      <c r="Q612" s="29"/>
      <c r="R612" s="29"/>
      <c r="S612" s="29"/>
      <c r="T612" s="29"/>
      <c r="U612" s="33"/>
      <c r="V612" s="33"/>
    </row>
    <row r="613" ht="15.75" customHeight="1">
      <c r="L613" s="6"/>
      <c r="M613" s="29"/>
      <c r="N613" s="50"/>
      <c r="O613" s="50"/>
      <c r="P613" s="29"/>
      <c r="Q613" s="29"/>
      <c r="R613" s="29"/>
      <c r="S613" s="29"/>
      <c r="T613" s="29"/>
      <c r="U613" s="33"/>
      <c r="V613" s="33"/>
    </row>
    <row r="614" ht="15.75" customHeight="1">
      <c r="L614" s="6"/>
      <c r="M614" s="29"/>
      <c r="N614" s="50"/>
      <c r="O614" s="50"/>
      <c r="P614" s="29"/>
      <c r="Q614" s="29"/>
      <c r="R614" s="29"/>
      <c r="S614" s="29"/>
      <c r="T614" s="29"/>
      <c r="U614" s="33"/>
      <c r="V614" s="33"/>
    </row>
    <row r="615" ht="15.75" customHeight="1">
      <c r="L615" s="6"/>
      <c r="M615" s="29"/>
      <c r="N615" s="50"/>
      <c r="O615" s="50"/>
      <c r="P615" s="29"/>
      <c r="Q615" s="29"/>
      <c r="R615" s="29"/>
      <c r="S615" s="29"/>
      <c r="T615" s="29"/>
      <c r="U615" s="33"/>
      <c r="V615" s="33"/>
    </row>
    <row r="616" ht="15.75" customHeight="1">
      <c r="L616" s="6"/>
      <c r="M616" s="29"/>
      <c r="N616" s="50"/>
      <c r="O616" s="50"/>
      <c r="P616" s="29"/>
      <c r="Q616" s="29"/>
      <c r="R616" s="29"/>
      <c r="S616" s="29"/>
      <c r="T616" s="29"/>
      <c r="U616" s="33"/>
      <c r="V616" s="33"/>
    </row>
    <row r="617" ht="15.75" customHeight="1">
      <c r="L617" s="6"/>
      <c r="M617" s="29"/>
      <c r="N617" s="50"/>
      <c r="O617" s="50"/>
      <c r="P617" s="29"/>
      <c r="Q617" s="29"/>
      <c r="R617" s="29"/>
      <c r="S617" s="29"/>
      <c r="T617" s="29"/>
      <c r="U617" s="33"/>
      <c r="V617" s="33"/>
    </row>
    <row r="618" ht="15.75" customHeight="1">
      <c r="L618" s="6"/>
      <c r="M618" s="29"/>
      <c r="N618" s="50"/>
      <c r="O618" s="50"/>
      <c r="P618" s="29"/>
      <c r="Q618" s="29"/>
      <c r="R618" s="29"/>
      <c r="S618" s="29"/>
      <c r="T618" s="29"/>
      <c r="U618" s="33"/>
      <c r="V618" s="33"/>
    </row>
    <row r="619" ht="15.75" customHeight="1">
      <c r="L619" s="6"/>
      <c r="M619" s="29"/>
      <c r="N619" s="50"/>
      <c r="O619" s="50"/>
      <c r="P619" s="29"/>
      <c r="Q619" s="29"/>
      <c r="R619" s="29"/>
      <c r="S619" s="29"/>
      <c r="T619" s="29"/>
      <c r="U619" s="33"/>
      <c r="V619" s="33"/>
    </row>
    <row r="620" ht="15.75" customHeight="1">
      <c r="L620" s="6"/>
      <c r="M620" s="29"/>
      <c r="N620" s="50"/>
      <c r="O620" s="50"/>
      <c r="P620" s="29"/>
      <c r="Q620" s="29"/>
      <c r="R620" s="29"/>
      <c r="S620" s="29"/>
      <c r="T620" s="29"/>
      <c r="U620" s="33"/>
      <c r="V620" s="33"/>
    </row>
    <row r="621" ht="15.75" customHeight="1">
      <c r="L621" s="6"/>
      <c r="M621" s="29"/>
      <c r="N621" s="50"/>
      <c r="O621" s="50"/>
      <c r="P621" s="29"/>
      <c r="Q621" s="29"/>
      <c r="R621" s="29"/>
      <c r="S621" s="29"/>
      <c r="T621" s="29"/>
      <c r="U621" s="33"/>
      <c r="V621" s="33"/>
    </row>
    <row r="622" ht="15.75" customHeight="1">
      <c r="L622" s="6"/>
      <c r="M622" s="29"/>
      <c r="N622" s="50"/>
      <c r="O622" s="50"/>
      <c r="P622" s="29"/>
      <c r="Q622" s="29"/>
      <c r="R622" s="29"/>
      <c r="S622" s="29"/>
      <c r="T622" s="29"/>
      <c r="U622" s="33"/>
      <c r="V622" s="33"/>
    </row>
    <row r="623" ht="15.75" customHeight="1">
      <c r="L623" s="6"/>
      <c r="M623" s="29"/>
      <c r="N623" s="50"/>
      <c r="O623" s="50"/>
      <c r="P623" s="29"/>
      <c r="Q623" s="29"/>
      <c r="R623" s="29"/>
      <c r="S623" s="29"/>
      <c r="T623" s="29"/>
      <c r="U623" s="33"/>
      <c r="V623" s="33"/>
    </row>
    <row r="624" ht="15.75" customHeight="1">
      <c r="L624" s="6"/>
      <c r="M624" s="29"/>
      <c r="N624" s="50"/>
      <c r="O624" s="50"/>
      <c r="P624" s="29"/>
      <c r="Q624" s="29"/>
      <c r="R624" s="29"/>
      <c r="S624" s="29"/>
      <c r="T624" s="29"/>
      <c r="U624" s="33"/>
      <c r="V624" s="33"/>
    </row>
    <row r="625" ht="15.75" customHeight="1">
      <c r="L625" s="6"/>
      <c r="M625" s="29"/>
      <c r="N625" s="50"/>
      <c r="O625" s="50"/>
      <c r="P625" s="29"/>
      <c r="Q625" s="29"/>
      <c r="R625" s="29"/>
      <c r="S625" s="29"/>
      <c r="T625" s="29"/>
      <c r="U625" s="33"/>
      <c r="V625" s="33"/>
    </row>
    <row r="626" ht="15.75" customHeight="1">
      <c r="L626" s="6"/>
      <c r="M626" s="29"/>
      <c r="N626" s="50"/>
      <c r="O626" s="50"/>
      <c r="P626" s="29"/>
      <c r="Q626" s="29"/>
      <c r="R626" s="29"/>
      <c r="S626" s="29"/>
      <c r="T626" s="29"/>
      <c r="U626" s="33"/>
      <c r="V626" s="33"/>
    </row>
    <row r="627" ht="15.75" customHeight="1">
      <c r="L627" s="6"/>
      <c r="M627" s="29"/>
      <c r="N627" s="50"/>
      <c r="O627" s="50"/>
      <c r="P627" s="29"/>
      <c r="Q627" s="29"/>
      <c r="R627" s="29"/>
      <c r="S627" s="29"/>
      <c r="T627" s="29"/>
      <c r="U627" s="33"/>
      <c r="V627" s="33"/>
    </row>
    <row r="628" ht="15.75" customHeight="1">
      <c r="L628" s="6"/>
      <c r="M628" s="29"/>
      <c r="N628" s="50"/>
      <c r="O628" s="50"/>
      <c r="P628" s="29"/>
      <c r="Q628" s="29"/>
      <c r="R628" s="29"/>
      <c r="S628" s="29"/>
      <c r="T628" s="29"/>
      <c r="U628" s="33"/>
      <c r="V628" s="33"/>
    </row>
    <row r="629" ht="15.75" customHeight="1">
      <c r="L629" s="6"/>
      <c r="M629" s="29"/>
      <c r="N629" s="50"/>
      <c r="O629" s="50"/>
      <c r="P629" s="29"/>
      <c r="Q629" s="29"/>
      <c r="R629" s="29"/>
      <c r="S629" s="29"/>
      <c r="T629" s="29"/>
      <c r="U629" s="33"/>
      <c r="V629" s="33"/>
    </row>
    <row r="630" ht="15.75" customHeight="1">
      <c r="L630" s="6"/>
      <c r="M630" s="29"/>
      <c r="N630" s="50"/>
      <c r="O630" s="50"/>
      <c r="P630" s="29"/>
      <c r="Q630" s="29"/>
      <c r="R630" s="29"/>
      <c r="S630" s="29"/>
      <c r="T630" s="29"/>
      <c r="U630" s="33"/>
      <c r="V630" s="33"/>
    </row>
    <row r="631" ht="15.75" customHeight="1">
      <c r="L631" s="6"/>
      <c r="M631" s="29"/>
      <c r="N631" s="50"/>
      <c r="O631" s="50"/>
      <c r="P631" s="29"/>
      <c r="Q631" s="29"/>
      <c r="R631" s="29"/>
      <c r="S631" s="29"/>
      <c r="T631" s="29"/>
      <c r="U631" s="33"/>
      <c r="V631" s="33"/>
    </row>
    <row r="632" ht="15.75" customHeight="1">
      <c r="L632" s="6"/>
      <c r="M632" s="29"/>
      <c r="N632" s="50"/>
      <c r="O632" s="50"/>
      <c r="P632" s="29"/>
      <c r="Q632" s="29"/>
      <c r="R632" s="29"/>
      <c r="S632" s="29"/>
      <c r="T632" s="29"/>
      <c r="U632" s="33"/>
      <c r="V632" s="33"/>
    </row>
    <row r="633" ht="15.75" customHeight="1">
      <c r="L633" s="6"/>
      <c r="M633" s="29"/>
      <c r="N633" s="50"/>
      <c r="O633" s="50"/>
      <c r="P633" s="29"/>
      <c r="Q633" s="29"/>
      <c r="R633" s="29"/>
      <c r="S633" s="29"/>
      <c r="T633" s="29"/>
      <c r="U633" s="33"/>
      <c r="V633" s="33"/>
    </row>
    <row r="634" ht="15.75" customHeight="1">
      <c r="L634" s="6"/>
      <c r="M634" s="29"/>
      <c r="N634" s="50"/>
      <c r="O634" s="50"/>
      <c r="P634" s="29"/>
      <c r="Q634" s="29"/>
      <c r="R634" s="29"/>
      <c r="S634" s="29"/>
      <c r="T634" s="29"/>
      <c r="U634" s="33"/>
      <c r="V634" s="33"/>
    </row>
    <row r="635" ht="15.75" customHeight="1">
      <c r="L635" s="6"/>
      <c r="M635" s="29"/>
      <c r="N635" s="50"/>
      <c r="O635" s="50"/>
      <c r="P635" s="29"/>
      <c r="Q635" s="29"/>
      <c r="R635" s="29"/>
      <c r="S635" s="29"/>
      <c r="T635" s="29"/>
      <c r="U635" s="33"/>
      <c r="V635" s="33"/>
    </row>
    <row r="636" ht="15.75" customHeight="1">
      <c r="L636" s="6"/>
      <c r="M636" s="29"/>
      <c r="N636" s="50"/>
      <c r="O636" s="50"/>
      <c r="P636" s="29"/>
      <c r="Q636" s="29"/>
      <c r="R636" s="29"/>
      <c r="S636" s="29"/>
      <c r="T636" s="29"/>
      <c r="U636" s="33"/>
      <c r="V636" s="33"/>
    </row>
    <row r="637" ht="15.75" customHeight="1">
      <c r="L637" s="6"/>
      <c r="M637" s="29"/>
      <c r="N637" s="50"/>
      <c r="O637" s="50"/>
      <c r="P637" s="29"/>
      <c r="Q637" s="29"/>
      <c r="R637" s="29"/>
      <c r="S637" s="29"/>
      <c r="T637" s="29"/>
      <c r="U637" s="33"/>
      <c r="V637" s="33"/>
    </row>
    <row r="638" ht="15.75" customHeight="1">
      <c r="L638" s="6"/>
      <c r="M638" s="29"/>
      <c r="N638" s="50"/>
      <c r="O638" s="50"/>
      <c r="P638" s="29"/>
      <c r="Q638" s="29"/>
      <c r="R638" s="29"/>
      <c r="S638" s="29"/>
      <c r="T638" s="29"/>
      <c r="U638" s="33"/>
      <c r="V638" s="33"/>
    </row>
    <row r="639" ht="15.75" customHeight="1">
      <c r="L639" s="6"/>
      <c r="M639" s="29"/>
      <c r="N639" s="50"/>
      <c r="O639" s="50"/>
      <c r="P639" s="29"/>
      <c r="Q639" s="29"/>
      <c r="R639" s="29"/>
      <c r="S639" s="29"/>
      <c r="T639" s="29"/>
      <c r="U639" s="33"/>
      <c r="V639" s="33"/>
    </row>
    <row r="640" ht="15.75" customHeight="1">
      <c r="L640" s="6"/>
      <c r="M640" s="29"/>
      <c r="N640" s="50"/>
      <c r="O640" s="50"/>
      <c r="P640" s="29"/>
      <c r="Q640" s="29"/>
      <c r="R640" s="29"/>
      <c r="S640" s="29"/>
      <c r="T640" s="29"/>
      <c r="U640" s="33"/>
      <c r="V640" s="33"/>
    </row>
    <row r="641" ht="15.75" customHeight="1">
      <c r="L641" s="6"/>
      <c r="M641" s="29"/>
      <c r="N641" s="50"/>
      <c r="O641" s="50"/>
      <c r="P641" s="29"/>
      <c r="Q641" s="29"/>
      <c r="R641" s="29"/>
      <c r="S641" s="29"/>
      <c r="T641" s="29"/>
      <c r="U641" s="33"/>
      <c r="V641" s="33"/>
    </row>
    <row r="642" ht="15.75" customHeight="1">
      <c r="L642" s="6"/>
      <c r="M642" s="29"/>
      <c r="N642" s="50"/>
      <c r="O642" s="50"/>
      <c r="P642" s="29"/>
      <c r="Q642" s="29"/>
      <c r="R642" s="29"/>
      <c r="S642" s="29"/>
      <c r="T642" s="29"/>
      <c r="U642" s="33"/>
      <c r="V642" s="33"/>
    </row>
    <row r="643" ht="15.75" customHeight="1">
      <c r="L643" s="6"/>
      <c r="M643" s="29"/>
      <c r="N643" s="50"/>
      <c r="O643" s="50"/>
      <c r="P643" s="29"/>
      <c r="Q643" s="29"/>
      <c r="R643" s="29"/>
      <c r="S643" s="29"/>
      <c r="T643" s="29"/>
      <c r="U643" s="33"/>
      <c r="V643" s="33"/>
    </row>
    <row r="644" ht="15.75" customHeight="1">
      <c r="L644" s="6"/>
      <c r="M644" s="29"/>
      <c r="N644" s="50"/>
      <c r="O644" s="50"/>
      <c r="P644" s="29"/>
      <c r="Q644" s="29"/>
      <c r="R644" s="29"/>
      <c r="S644" s="29"/>
      <c r="T644" s="29"/>
      <c r="U644" s="33"/>
      <c r="V644" s="33"/>
    </row>
    <row r="645" ht="15.75" customHeight="1">
      <c r="L645" s="6"/>
      <c r="M645" s="29"/>
      <c r="N645" s="50"/>
      <c r="O645" s="50"/>
      <c r="P645" s="29"/>
      <c r="Q645" s="29"/>
      <c r="R645" s="29"/>
      <c r="S645" s="29"/>
      <c r="T645" s="29"/>
      <c r="U645" s="33"/>
      <c r="V645" s="33"/>
    </row>
    <row r="646" ht="15.75" customHeight="1">
      <c r="L646" s="6"/>
      <c r="M646" s="29"/>
      <c r="N646" s="50"/>
      <c r="O646" s="50"/>
      <c r="P646" s="29"/>
      <c r="Q646" s="29"/>
      <c r="R646" s="29"/>
      <c r="S646" s="29"/>
      <c r="T646" s="29"/>
      <c r="U646" s="33"/>
      <c r="V646" s="33"/>
    </row>
    <row r="647" ht="15.75" customHeight="1">
      <c r="L647" s="6"/>
      <c r="M647" s="29"/>
      <c r="N647" s="50"/>
      <c r="O647" s="50"/>
      <c r="P647" s="29"/>
      <c r="Q647" s="29"/>
      <c r="R647" s="29"/>
      <c r="S647" s="29"/>
      <c r="T647" s="29"/>
      <c r="U647" s="33"/>
      <c r="V647" s="33"/>
    </row>
    <row r="648" ht="15.75" customHeight="1">
      <c r="L648" s="6"/>
      <c r="M648" s="29"/>
      <c r="N648" s="50"/>
      <c r="O648" s="50"/>
      <c r="P648" s="29"/>
      <c r="Q648" s="29"/>
      <c r="R648" s="29"/>
      <c r="S648" s="29"/>
      <c r="T648" s="29"/>
      <c r="U648" s="33"/>
      <c r="V648" s="33"/>
    </row>
    <row r="649" ht="15.75" customHeight="1">
      <c r="L649" s="6"/>
      <c r="M649" s="29"/>
      <c r="N649" s="50"/>
      <c r="O649" s="50"/>
      <c r="P649" s="29"/>
      <c r="Q649" s="29"/>
      <c r="R649" s="29"/>
      <c r="S649" s="29"/>
      <c r="T649" s="29"/>
      <c r="U649" s="33"/>
      <c r="V649" s="33"/>
    </row>
    <row r="650" ht="15.75" customHeight="1">
      <c r="L650" s="6"/>
      <c r="M650" s="29"/>
      <c r="N650" s="50"/>
      <c r="O650" s="50"/>
      <c r="P650" s="29"/>
      <c r="Q650" s="29"/>
      <c r="R650" s="29"/>
      <c r="S650" s="29"/>
      <c r="T650" s="29"/>
      <c r="U650" s="33"/>
      <c r="V650" s="33"/>
    </row>
    <row r="651" ht="15.75" customHeight="1">
      <c r="L651" s="6"/>
      <c r="M651" s="29"/>
      <c r="N651" s="50"/>
      <c r="O651" s="50"/>
      <c r="P651" s="29"/>
      <c r="Q651" s="29"/>
      <c r="R651" s="29"/>
      <c r="S651" s="29"/>
      <c r="T651" s="29"/>
      <c r="U651" s="33"/>
      <c r="V651" s="33"/>
    </row>
    <row r="652" ht="15.75" customHeight="1">
      <c r="L652" s="6"/>
      <c r="M652" s="29"/>
      <c r="N652" s="50"/>
      <c r="O652" s="50"/>
      <c r="P652" s="29"/>
      <c r="Q652" s="29"/>
      <c r="R652" s="29"/>
      <c r="S652" s="29"/>
      <c r="T652" s="29"/>
      <c r="U652" s="33"/>
      <c r="V652" s="33"/>
    </row>
    <row r="653" ht="15.75" customHeight="1">
      <c r="L653" s="6"/>
      <c r="M653" s="29"/>
      <c r="N653" s="50"/>
      <c r="O653" s="50"/>
      <c r="P653" s="29"/>
      <c r="Q653" s="29"/>
      <c r="R653" s="29"/>
      <c r="S653" s="29"/>
      <c r="T653" s="29"/>
      <c r="U653" s="33"/>
      <c r="V653" s="33"/>
    </row>
    <row r="654" ht="15.75" customHeight="1">
      <c r="L654" s="6"/>
      <c r="M654" s="29"/>
      <c r="N654" s="50"/>
      <c r="O654" s="50"/>
      <c r="P654" s="29"/>
      <c r="Q654" s="29"/>
      <c r="R654" s="29"/>
      <c r="S654" s="29"/>
      <c r="T654" s="29"/>
      <c r="U654" s="33"/>
      <c r="V654" s="33"/>
    </row>
    <row r="655" ht="15.75" customHeight="1">
      <c r="L655" s="6"/>
      <c r="M655" s="29"/>
      <c r="N655" s="50"/>
      <c r="O655" s="50"/>
      <c r="P655" s="29"/>
      <c r="Q655" s="29"/>
      <c r="R655" s="29"/>
      <c r="S655" s="29"/>
      <c r="T655" s="29"/>
      <c r="U655" s="33"/>
      <c r="V655" s="33"/>
    </row>
    <row r="656" ht="15.75" customHeight="1">
      <c r="L656" s="6"/>
      <c r="M656" s="29"/>
      <c r="N656" s="50"/>
      <c r="O656" s="50"/>
      <c r="P656" s="29"/>
      <c r="Q656" s="29"/>
      <c r="R656" s="29"/>
      <c r="S656" s="29"/>
      <c r="T656" s="29"/>
      <c r="U656" s="33"/>
      <c r="V656" s="33"/>
    </row>
    <row r="657" ht="15.75" customHeight="1">
      <c r="L657" s="6"/>
      <c r="M657" s="29"/>
      <c r="N657" s="50"/>
      <c r="O657" s="50"/>
      <c r="P657" s="29"/>
      <c r="Q657" s="29"/>
      <c r="R657" s="29"/>
      <c r="S657" s="29"/>
      <c r="T657" s="29"/>
      <c r="U657" s="33"/>
      <c r="V657" s="33"/>
    </row>
    <row r="658" ht="15.75" customHeight="1">
      <c r="L658" s="6"/>
      <c r="M658" s="29"/>
      <c r="N658" s="50"/>
      <c r="O658" s="50"/>
      <c r="P658" s="29"/>
      <c r="Q658" s="29"/>
      <c r="R658" s="29"/>
      <c r="S658" s="29"/>
      <c r="T658" s="29"/>
      <c r="U658" s="33"/>
      <c r="V658" s="33"/>
    </row>
    <row r="659" ht="15.75" customHeight="1">
      <c r="L659" s="6"/>
      <c r="M659" s="29"/>
      <c r="N659" s="50"/>
      <c r="O659" s="50"/>
      <c r="P659" s="29"/>
      <c r="Q659" s="29"/>
      <c r="R659" s="29"/>
      <c r="S659" s="29"/>
      <c r="T659" s="29"/>
      <c r="U659" s="33"/>
      <c r="V659" s="33"/>
    </row>
    <row r="660" ht="15.75" customHeight="1">
      <c r="L660" s="6"/>
      <c r="M660" s="29"/>
      <c r="N660" s="50"/>
      <c r="O660" s="50"/>
      <c r="P660" s="29"/>
      <c r="Q660" s="29"/>
      <c r="R660" s="29"/>
      <c r="S660" s="29"/>
      <c r="T660" s="29"/>
      <c r="U660" s="33"/>
      <c r="V660" s="33"/>
    </row>
    <row r="661" ht="15.75" customHeight="1">
      <c r="L661" s="6"/>
      <c r="M661" s="29"/>
      <c r="N661" s="50"/>
      <c r="O661" s="50"/>
      <c r="P661" s="29"/>
      <c r="Q661" s="29"/>
      <c r="R661" s="29"/>
      <c r="S661" s="29"/>
      <c r="T661" s="29"/>
      <c r="U661" s="33"/>
      <c r="V661" s="33"/>
    </row>
    <row r="662" ht="15.75" customHeight="1">
      <c r="L662" s="6"/>
      <c r="M662" s="29"/>
      <c r="N662" s="50"/>
      <c r="O662" s="50"/>
      <c r="P662" s="29"/>
      <c r="Q662" s="29"/>
      <c r="R662" s="29"/>
      <c r="S662" s="29"/>
      <c r="T662" s="29"/>
      <c r="U662" s="33"/>
      <c r="V662" s="33"/>
    </row>
    <row r="663" ht="15.75" customHeight="1">
      <c r="L663" s="6"/>
      <c r="M663" s="29"/>
      <c r="N663" s="50"/>
      <c r="O663" s="50"/>
      <c r="P663" s="29"/>
      <c r="Q663" s="29"/>
      <c r="R663" s="29"/>
      <c r="S663" s="29"/>
      <c r="T663" s="29"/>
      <c r="U663" s="33"/>
      <c r="V663" s="33"/>
    </row>
    <row r="664" ht="15.75" customHeight="1">
      <c r="L664" s="6"/>
      <c r="M664" s="29"/>
      <c r="N664" s="50"/>
      <c r="O664" s="50"/>
      <c r="P664" s="29"/>
      <c r="Q664" s="29"/>
      <c r="R664" s="29"/>
      <c r="S664" s="29"/>
      <c r="T664" s="29"/>
      <c r="U664" s="33"/>
      <c r="V664" s="33"/>
    </row>
    <row r="665" ht="15.75" customHeight="1">
      <c r="L665" s="6"/>
      <c r="M665" s="29"/>
      <c r="N665" s="50"/>
      <c r="O665" s="50"/>
      <c r="P665" s="29"/>
      <c r="Q665" s="29"/>
      <c r="R665" s="29"/>
      <c r="S665" s="29"/>
      <c r="T665" s="29"/>
      <c r="U665" s="33"/>
      <c r="V665" s="33"/>
    </row>
    <row r="666" ht="15.75" customHeight="1">
      <c r="L666" s="6"/>
      <c r="M666" s="29"/>
      <c r="N666" s="50"/>
      <c r="O666" s="50"/>
      <c r="P666" s="29"/>
      <c r="Q666" s="29"/>
      <c r="R666" s="29"/>
      <c r="S666" s="29"/>
      <c r="T666" s="29"/>
      <c r="U666" s="33"/>
      <c r="V666" s="33"/>
    </row>
    <row r="667" ht="15.75" customHeight="1">
      <c r="L667" s="6"/>
      <c r="M667" s="29"/>
      <c r="N667" s="50"/>
      <c r="O667" s="50"/>
      <c r="P667" s="29"/>
      <c r="Q667" s="29"/>
      <c r="R667" s="29"/>
      <c r="S667" s="29"/>
      <c r="T667" s="29"/>
      <c r="U667" s="33"/>
      <c r="V667" s="33"/>
    </row>
    <row r="668" ht="15.75" customHeight="1">
      <c r="L668" s="6"/>
      <c r="M668" s="29"/>
      <c r="N668" s="50"/>
      <c r="O668" s="50"/>
      <c r="P668" s="29"/>
      <c r="Q668" s="29"/>
      <c r="R668" s="29"/>
      <c r="S668" s="29"/>
      <c r="T668" s="29"/>
      <c r="U668" s="33"/>
      <c r="V668" s="33"/>
    </row>
    <row r="669" ht="15.75" customHeight="1">
      <c r="L669" s="6"/>
      <c r="M669" s="29"/>
      <c r="N669" s="50"/>
      <c r="O669" s="50"/>
      <c r="P669" s="29"/>
      <c r="Q669" s="29"/>
      <c r="R669" s="29"/>
      <c r="S669" s="29"/>
      <c r="T669" s="29"/>
      <c r="U669" s="33"/>
      <c r="V669" s="33"/>
    </row>
    <row r="670" ht="15.75" customHeight="1">
      <c r="L670" s="6"/>
      <c r="M670" s="29"/>
      <c r="N670" s="50"/>
      <c r="O670" s="50"/>
      <c r="P670" s="29"/>
      <c r="Q670" s="29"/>
      <c r="R670" s="29"/>
      <c r="S670" s="29"/>
      <c r="T670" s="29"/>
      <c r="U670" s="33"/>
      <c r="V670" s="33"/>
    </row>
    <row r="671" ht="15.75" customHeight="1">
      <c r="L671" s="6"/>
      <c r="M671" s="29"/>
      <c r="N671" s="50"/>
      <c r="O671" s="50"/>
      <c r="P671" s="29"/>
      <c r="Q671" s="29"/>
      <c r="R671" s="29"/>
      <c r="S671" s="29"/>
      <c r="T671" s="29"/>
      <c r="U671" s="33"/>
      <c r="V671" s="33"/>
    </row>
    <row r="672" ht="15.75" customHeight="1">
      <c r="L672" s="6"/>
      <c r="M672" s="29"/>
      <c r="N672" s="50"/>
      <c r="O672" s="50"/>
      <c r="P672" s="29"/>
      <c r="Q672" s="29"/>
      <c r="R672" s="29"/>
      <c r="S672" s="29"/>
      <c r="T672" s="29"/>
      <c r="U672" s="33"/>
      <c r="V672" s="33"/>
    </row>
    <row r="673" ht="15.75" customHeight="1">
      <c r="L673" s="6"/>
      <c r="M673" s="29"/>
      <c r="N673" s="50"/>
      <c r="O673" s="50"/>
      <c r="P673" s="29"/>
      <c r="Q673" s="29"/>
      <c r="R673" s="29"/>
      <c r="S673" s="29"/>
      <c r="T673" s="29"/>
      <c r="U673" s="33"/>
      <c r="V673" s="33"/>
    </row>
    <row r="674" ht="15.75" customHeight="1">
      <c r="L674" s="6"/>
      <c r="M674" s="29"/>
      <c r="N674" s="50"/>
      <c r="O674" s="50"/>
      <c r="P674" s="29"/>
      <c r="Q674" s="29"/>
      <c r="R674" s="29"/>
      <c r="S674" s="29"/>
      <c r="T674" s="29"/>
      <c r="U674" s="33"/>
      <c r="V674" s="33"/>
    </row>
    <row r="675" ht="15.75" customHeight="1">
      <c r="L675" s="6"/>
      <c r="M675" s="29"/>
      <c r="N675" s="50"/>
      <c r="O675" s="50"/>
      <c r="P675" s="29"/>
      <c r="Q675" s="29"/>
      <c r="R675" s="29"/>
      <c r="S675" s="29"/>
      <c r="T675" s="29"/>
      <c r="U675" s="33"/>
      <c r="V675" s="33"/>
    </row>
    <row r="676" ht="15.75" customHeight="1">
      <c r="L676" s="6"/>
      <c r="M676" s="29"/>
      <c r="N676" s="50"/>
      <c r="O676" s="50"/>
      <c r="P676" s="29"/>
      <c r="Q676" s="29"/>
      <c r="R676" s="29"/>
      <c r="S676" s="29"/>
      <c r="T676" s="29"/>
      <c r="U676" s="33"/>
      <c r="V676" s="33"/>
    </row>
    <row r="677" ht="15.75" customHeight="1">
      <c r="L677" s="6"/>
      <c r="M677" s="29"/>
      <c r="N677" s="50"/>
      <c r="O677" s="50"/>
      <c r="P677" s="29"/>
      <c r="Q677" s="29"/>
      <c r="R677" s="29"/>
      <c r="S677" s="29"/>
      <c r="T677" s="29"/>
      <c r="U677" s="33"/>
      <c r="V677" s="33"/>
    </row>
    <row r="678" ht="15.75" customHeight="1">
      <c r="L678" s="6"/>
      <c r="M678" s="29"/>
      <c r="N678" s="50"/>
      <c r="O678" s="50"/>
      <c r="P678" s="29"/>
      <c r="Q678" s="29"/>
      <c r="R678" s="29"/>
      <c r="S678" s="29"/>
      <c r="T678" s="29"/>
      <c r="U678" s="33"/>
      <c r="V678" s="33"/>
    </row>
    <row r="679" ht="15.75" customHeight="1">
      <c r="L679" s="6"/>
      <c r="M679" s="29"/>
      <c r="N679" s="50"/>
      <c r="O679" s="50"/>
      <c r="P679" s="29"/>
      <c r="Q679" s="29"/>
      <c r="R679" s="29"/>
      <c r="S679" s="29"/>
      <c r="T679" s="29"/>
      <c r="U679" s="33"/>
      <c r="V679" s="33"/>
    </row>
    <row r="680" ht="15.75" customHeight="1">
      <c r="L680" s="6"/>
      <c r="M680" s="29"/>
      <c r="N680" s="50"/>
      <c r="O680" s="50"/>
      <c r="P680" s="29"/>
      <c r="Q680" s="29"/>
      <c r="R680" s="29"/>
      <c r="S680" s="29"/>
      <c r="T680" s="29"/>
      <c r="U680" s="33"/>
      <c r="V680" s="33"/>
    </row>
    <row r="681" ht="15.75" customHeight="1">
      <c r="L681" s="6"/>
      <c r="M681" s="29"/>
      <c r="N681" s="50"/>
      <c r="O681" s="50"/>
      <c r="P681" s="29"/>
      <c r="Q681" s="29"/>
      <c r="R681" s="29"/>
      <c r="S681" s="29"/>
      <c r="T681" s="29"/>
      <c r="U681" s="33"/>
      <c r="V681" s="33"/>
    </row>
    <row r="682" ht="15.75" customHeight="1">
      <c r="L682" s="6"/>
      <c r="M682" s="29"/>
      <c r="N682" s="50"/>
      <c r="O682" s="50"/>
      <c r="P682" s="29"/>
      <c r="Q682" s="29"/>
      <c r="R682" s="29"/>
      <c r="S682" s="29"/>
      <c r="T682" s="29"/>
      <c r="U682" s="33"/>
      <c r="V682" s="33"/>
    </row>
    <row r="683" ht="15.75" customHeight="1">
      <c r="L683" s="6"/>
      <c r="M683" s="29"/>
      <c r="N683" s="50"/>
      <c r="O683" s="50"/>
      <c r="P683" s="29"/>
      <c r="Q683" s="29"/>
      <c r="R683" s="29"/>
      <c r="S683" s="29"/>
      <c r="T683" s="29"/>
      <c r="U683" s="33"/>
      <c r="V683" s="33"/>
    </row>
    <row r="684" ht="15.75" customHeight="1">
      <c r="L684" s="6"/>
      <c r="M684" s="29"/>
      <c r="N684" s="50"/>
      <c r="O684" s="50"/>
      <c r="P684" s="29"/>
      <c r="Q684" s="29"/>
      <c r="R684" s="29"/>
      <c r="S684" s="29"/>
      <c r="T684" s="29"/>
      <c r="U684" s="33"/>
      <c r="V684" s="33"/>
    </row>
    <row r="685" ht="15.75" customHeight="1">
      <c r="L685" s="6"/>
      <c r="M685" s="29"/>
      <c r="N685" s="50"/>
      <c r="O685" s="50"/>
      <c r="P685" s="29"/>
      <c r="Q685" s="29"/>
      <c r="R685" s="29"/>
      <c r="S685" s="29"/>
      <c r="T685" s="29"/>
      <c r="U685" s="33"/>
      <c r="V685" s="33"/>
    </row>
    <row r="686" ht="15.75" customHeight="1">
      <c r="L686" s="6"/>
      <c r="M686" s="29"/>
      <c r="N686" s="50"/>
      <c r="O686" s="50"/>
      <c r="P686" s="29"/>
      <c r="Q686" s="29"/>
      <c r="R686" s="29"/>
      <c r="S686" s="29"/>
      <c r="T686" s="29"/>
      <c r="U686" s="33"/>
      <c r="V686" s="33"/>
    </row>
    <row r="687" ht="15.75" customHeight="1">
      <c r="L687" s="6"/>
      <c r="M687" s="29"/>
      <c r="N687" s="50"/>
      <c r="O687" s="50"/>
      <c r="P687" s="29"/>
      <c r="Q687" s="29"/>
      <c r="R687" s="29"/>
      <c r="S687" s="29"/>
      <c r="T687" s="29"/>
      <c r="U687" s="33"/>
      <c r="V687" s="33"/>
    </row>
    <row r="688" ht="15.75" customHeight="1">
      <c r="L688" s="6"/>
      <c r="M688" s="29"/>
      <c r="N688" s="50"/>
      <c r="O688" s="50"/>
      <c r="P688" s="29"/>
      <c r="Q688" s="29"/>
      <c r="R688" s="29"/>
      <c r="S688" s="29"/>
      <c r="T688" s="29"/>
      <c r="U688" s="33"/>
      <c r="V688" s="33"/>
    </row>
    <row r="689" ht="15.75" customHeight="1">
      <c r="L689" s="6"/>
      <c r="M689" s="29"/>
      <c r="N689" s="50"/>
      <c r="O689" s="50"/>
      <c r="P689" s="29"/>
      <c r="Q689" s="29"/>
      <c r="R689" s="29"/>
      <c r="S689" s="29"/>
      <c r="T689" s="29"/>
      <c r="U689" s="33"/>
      <c r="V689" s="33"/>
    </row>
    <row r="690" ht="15.75" customHeight="1">
      <c r="L690" s="6"/>
      <c r="M690" s="29"/>
      <c r="N690" s="50"/>
      <c r="O690" s="50"/>
      <c r="P690" s="29"/>
      <c r="Q690" s="29"/>
      <c r="R690" s="29"/>
      <c r="S690" s="29"/>
      <c r="T690" s="29"/>
      <c r="U690" s="33"/>
      <c r="V690" s="33"/>
    </row>
    <row r="691" ht="15.75" customHeight="1">
      <c r="L691" s="6"/>
      <c r="M691" s="29"/>
      <c r="N691" s="50"/>
      <c r="O691" s="50"/>
      <c r="P691" s="29"/>
      <c r="Q691" s="29"/>
      <c r="R691" s="29"/>
      <c r="S691" s="29"/>
      <c r="T691" s="29"/>
      <c r="U691" s="33"/>
      <c r="V691" s="33"/>
    </row>
    <row r="692" ht="15.75" customHeight="1">
      <c r="L692" s="6"/>
      <c r="M692" s="29"/>
      <c r="N692" s="50"/>
      <c r="O692" s="50"/>
      <c r="P692" s="29"/>
      <c r="Q692" s="29"/>
      <c r="R692" s="29"/>
      <c r="S692" s="29"/>
      <c r="T692" s="29"/>
      <c r="U692" s="33"/>
      <c r="V692" s="33"/>
    </row>
    <row r="693" ht="15.75" customHeight="1">
      <c r="L693" s="6"/>
      <c r="M693" s="29"/>
      <c r="N693" s="50"/>
      <c r="O693" s="50"/>
      <c r="P693" s="29"/>
      <c r="Q693" s="29"/>
      <c r="R693" s="29"/>
      <c r="S693" s="29"/>
      <c r="T693" s="29"/>
      <c r="U693" s="33"/>
      <c r="V693" s="33"/>
    </row>
    <row r="694" ht="15.75" customHeight="1">
      <c r="L694" s="6"/>
      <c r="M694" s="29"/>
      <c r="N694" s="50"/>
      <c r="O694" s="50"/>
      <c r="P694" s="29"/>
      <c r="Q694" s="29"/>
      <c r="R694" s="29"/>
      <c r="S694" s="29"/>
      <c r="T694" s="29"/>
      <c r="U694" s="33"/>
      <c r="V694" s="33"/>
    </row>
    <row r="695" ht="15.75" customHeight="1">
      <c r="L695" s="6"/>
      <c r="M695" s="29"/>
      <c r="N695" s="50"/>
      <c r="O695" s="50"/>
      <c r="P695" s="29"/>
      <c r="Q695" s="29"/>
      <c r="R695" s="29"/>
      <c r="S695" s="29"/>
      <c r="T695" s="29"/>
      <c r="U695" s="33"/>
      <c r="V695" s="33"/>
    </row>
    <row r="696" ht="15.75" customHeight="1">
      <c r="L696" s="6"/>
      <c r="M696" s="29"/>
      <c r="N696" s="50"/>
      <c r="O696" s="50"/>
      <c r="P696" s="29"/>
      <c r="Q696" s="29"/>
      <c r="R696" s="29"/>
      <c r="S696" s="29"/>
      <c r="T696" s="29"/>
      <c r="U696" s="33"/>
      <c r="V696" s="33"/>
    </row>
    <row r="697" ht="15.75" customHeight="1">
      <c r="L697" s="6"/>
      <c r="M697" s="29"/>
      <c r="N697" s="50"/>
      <c r="O697" s="50"/>
      <c r="P697" s="29"/>
      <c r="Q697" s="29"/>
      <c r="R697" s="29"/>
      <c r="S697" s="29"/>
      <c r="T697" s="29"/>
      <c r="U697" s="33"/>
      <c r="V697" s="33"/>
    </row>
    <row r="698" ht="15.75" customHeight="1">
      <c r="L698" s="6"/>
      <c r="M698" s="29"/>
      <c r="N698" s="50"/>
      <c r="O698" s="50"/>
      <c r="P698" s="29"/>
      <c r="Q698" s="29"/>
      <c r="R698" s="29"/>
      <c r="S698" s="29"/>
      <c r="T698" s="29"/>
      <c r="U698" s="33"/>
      <c r="V698" s="33"/>
    </row>
    <row r="699" ht="15.75" customHeight="1">
      <c r="L699" s="6"/>
      <c r="M699" s="29"/>
      <c r="N699" s="50"/>
      <c r="O699" s="50"/>
      <c r="P699" s="29"/>
      <c r="Q699" s="29"/>
      <c r="R699" s="29"/>
      <c r="S699" s="29"/>
      <c r="T699" s="29"/>
      <c r="U699" s="33"/>
      <c r="V699" s="33"/>
    </row>
    <row r="700" ht="15.75" customHeight="1">
      <c r="L700" s="6"/>
      <c r="M700" s="29"/>
      <c r="N700" s="50"/>
      <c r="O700" s="50"/>
      <c r="P700" s="29"/>
      <c r="Q700" s="29"/>
      <c r="R700" s="29"/>
      <c r="S700" s="29"/>
      <c r="T700" s="29"/>
      <c r="U700" s="33"/>
      <c r="V700" s="33"/>
    </row>
    <row r="701" ht="15.75" customHeight="1">
      <c r="L701" s="6"/>
      <c r="M701" s="29"/>
      <c r="N701" s="50"/>
      <c r="O701" s="50"/>
      <c r="P701" s="29"/>
      <c r="Q701" s="29"/>
      <c r="R701" s="29"/>
      <c r="S701" s="29"/>
      <c r="T701" s="29"/>
      <c r="U701" s="33"/>
      <c r="V701" s="33"/>
    </row>
    <row r="702" ht="15.75" customHeight="1">
      <c r="L702" s="6"/>
      <c r="M702" s="29"/>
      <c r="N702" s="50"/>
      <c r="O702" s="50"/>
      <c r="P702" s="29"/>
      <c r="Q702" s="29"/>
      <c r="R702" s="29"/>
      <c r="S702" s="29"/>
      <c r="T702" s="29"/>
      <c r="U702" s="33"/>
      <c r="V702" s="33"/>
    </row>
    <row r="703" ht="15.75" customHeight="1">
      <c r="L703" s="6"/>
      <c r="M703" s="29"/>
      <c r="N703" s="50"/>
      <c r="O703" s="50"/>
      <c r="P703" s="29"/>
      <c r="Q703" s="29"/>
      <c r="R703" s="29"/>
      <c r="S703" s="29"/>
      <c r="T703" s="29"/>
      <c r="U703" s="33"/>
      <c r="V703" s="33"/>
    </row>
    <row r="704" ht="15.75" customHeight="1">
      <c r="L704" s="6"/>
      <c r="M704" s="29"/>
      <c r="N704" s="50"/>
      <c r="O704" s="50"/>
      <c r="P704" s="29"/>
      <c r="Q704" s="29"/>
      <c r="R704" s="29"/>
      <c r="S704" s="29"/>
      <c r="T704" s="29"/>
      <c r="U704" s="33"/>
      <c r="V704" s="33"/>
    </row>
    <row r="705" ht="15.75" customHeight="1">
      <c r="L705" s="6"/>
      <c r="M705" s="29"/>
      <c r="N705" s="50"/>
      <c r="O705" s="50"/>
      <c r="P705" s="29"/>
      <c r="Q705" s="29"/>
      <c r="R705" s="29"/>
      <c r="S705" s="29"/>
      <c r="T705" s="29"/>
      <c r="U705" s="33"/>
      <c r="V705" s="33"/>
    </row>
    <row r="706" ht="15.75" customHeight="1">
      <c r="L706" s="6"/>
      <c r="M706" s="29"/>
      <c r="N706" s="50"/>
      <c r="O706" s="50"/>
      <c r="P706" s="29"/>
      <c r="Q706" s="29"/>
      <c r="R706" s="29"/>
      <c r="S706" s="29"/>
      <c r="T706" s="29"/>
      <c r="U706" s="33"/>
      <c r="V706" s="33"/>
    </row>
    <row r="707" ht="15.75" customHeight="1">
      <c r="L707" s="6"/>
      <c r="M707" s="29"/>
      <c r="N707" s="50"/>
      <c r="O707" s="50"/>
      <c r="P707" s="29"/>
      <c r="Q707" s="29"/>
      <c r="R707" s="29"/>
      <c r="S707" s="29"/>
      <c r="T707" s="29"/>
      <c r="U707" s="33"/>
      <c r="V707" s="33"/>
    </row>
    <row r="708" ht="15.75" customHeight="1">
      <c r="L708" s="6"/>
      <c r="M708" s="29"/>
      <c r="N708" s="50"/>
      <c r="O708" s="50"/>
      <c r="P708" s="29"/>
      <c r="Q708" s="29"/>
      <c r="R708" s="29"/>
      <c r="S708" s="29"/>
      <c r="T708" s="29"/>
      <c r="U708" s="33"/>
      <c r="V708" s="33"/>
    </row>
    <row r="709" ht="15.75" customHeight="1">
      <c r="L709" s="6"/>
      <c r="M709" s="29"/>
      <c r="N709" s="50"/>
      <c r="O709" s="50"/>
      <c r="P709" s="29"/>
      <c r="Q709" s="29"/>
      <c r="R709" s="29"/>
      <c r="S709" s="29"/>
      <c r="T709" s="29"/>
      <c r="U709" s="33"/>
      <c r="V709" s="33"/>
    </row>
    <row r="710" ht="15.75" customHeight="1">
      <c r="L710" s="6"/>
      <c r="M710" s="29"/>
      <c r="N710" s="50"/>
      <c r="O710" s="50"/>
      <c r="P710" s="29"/>
      <c r="Q710" s="29"/>
      <c r="R710" s="29"/>
      <c r="S710" s="29"/>
      <c r="T710" s="29"/>
      <c r="U710" s="33"/>
      <c r="V710" s="33"/>
    </row>
    <row r="711" ht="15.75" customHeight="1">
      <c r="L711" s="6"/>
      <c r="M711" s="29"/>
      <c r="N711" s="50"/>
      <c r="O711" s="50"/>
      <c r="P711" s="29"/>
      <c r="Q711" s="29"/>
      <c r="R711" s="29"/>
      <c r="S711" s="29"/>
      <c r="T711" s="29"/>
      <c r="U711" s="33"/>
      <c r="V711" s="33"/>
    </row>
    <row r="712" ht="15.75" customHeight="1">
      <c r="L712" s="6"/>
      <c r="M712" s="29"/>
      <c r="N712" s="50"/>
      <c r="O712" s="50"/>
      <c r="P712" s="29"/>
      <c r="Q712" s="29"/>
      <c r="R712" s="29"/>
      <c r="S712" s="29"/>
      <c r="T712" s="29"/>
      <c r="U712" s="33"/>
      <c r="V712" s="33"/>
    </row>
    <row r="713" ht="15.75" customHeight="1">
      <c r="L713" s="6"/>
      <c r="M713" s="29"/>
      <c r="N713" s="50"/>
      <c r="O713" s="50"/>
      <c r="P713" s="29"/>
      <c r="Q713" s="29"/>
      <c r="R713" s="29"/>
      <c r="S713" s="29"/>
      <c r="T713" s="29"/>
      <c r="U713" s="33"/>
      <c r="V713" s="33"/>
    </row>
    <row r="714" ht="15.75" customHeight="1">
      <c r="L714" s="6"/>
      <c r="M714" s="29"/>
      <c r="N714" s="50"/>
      <c r="O714" s="50"/>
      <c r="P714" s="29"/>
      <c r="Q714" s="29"/>
      <c r="R714" s="29"/>
      <c r="S714" s="29"/>
      <c r="T714" s="29"/>
      <c r="U714" s="33"/>
      <c r="V714" s="33"/>
    </row>
    <row r="715" ht="15.75" customHeight="1">
      <c r="L715" s="6"/>
      <c r="M715" s="29"/>
      <c r="N715" s="50"/>
      <c r="O715" s="50"/>
      <c r="P715" s="29"/>
      <c r="Q715" s="29"/>
      <c r="R715" s="29"/>
      <c r="S715" s="29"/>
      <c r="T715" s="29"/>
      <c r="U715" s="33"/>
      <c r="V715" s="33"/>
    </row>
    <row r="716" ht="15.75" customHeight="1">
      <c r="L716" s="6"/>
      <c r="M716" s="29"/>
      <c r="N716" s="50"/>
      <c r="O716" s="50"/>
      <c r="P716" s="29"/>
      <c r="Q716" s="29"/>
      <c r="R716" s="29"/>
      <c r="S716" s="29"/>
      <c r="T716" s="29"/>
      <c r="U716" s="33"/>
      <c r="V716" s="33"/>
    </row>
    <row r="717" ht="15.75" customHeight="1">
      <c r="L717" s="6"/>
      <c r="M717" s="29"/>
      <c r="N717" s="50"/>
      <c r="O717" s="50"/>
      <c r="P717" s="29"/>
      <c r="Q717" s="29"/>
      <c r="R717" s="29"/>
      <c r="S717" s="29"/>
      <c r="T717" s="29"/>
      <c r="U717" s="33"/>
      <c r="V717" s="33"/>
    </row>
    <row r="718" ht="15.75" customHeight="1">
      <c r="L718" s="6"/>
      <c r="M718" s="29"/>
      <c r="N718" s="50"/>
      <c r="O718" s="50"/>
      <c r="P718" s="29"/>
      <c r="Q718" s="29"/>
      <c r="R718" s="29"/>
      <c r="S718" s="29"/>
      <c r="T718" s="29"/>
      <c r="U718" s="33"/>
      <c r="V718" s="33"/>
    </row>
    <row r="719" ht="15.75" customHeight="1">
      <c r="L719" s="6"/>
      <c r="M719" s="29"/>
      <c r="N719" s="50"/>
      <c r="O719" s="50"/>
      <c r="P719" s="29"/>
      <c r="Q719" s="29"/>
      <c r="R719" s="29"/>
      <c r="S719" s="29"/>
      <c r="T719" s="29"/>
      <c r="U719" s="33"/>
      <c r="V719" s="33"/>
    </row>
    <row r="720" ht="15.75" customHeight="1">
      <c r="L720" s="6"/>
      <c r="M720" s="29"/>
      <c r="N720" s="50"/>
      <c r="O720" s="50"/>
      <c r="P720" s="29"/>
      <c r="Q720" s="29"/>
      <c r="R720" s="29"/>
      <c r="S720" s="29"/>
      <c r="T720" s="29"/>
      <c r="U720" s="33"/>
      <c r="V720" s="33"/>
    </row>
    <row r="721" ht="15.75" customHeight="1">
      <c r="L721" s="6"/>
      <c r="M721" s="29"/>
      <c r="N721" s="50"/>
      <c r="O721" s="50"/>
      <c r="P721" s="29"/>
      <c r="Q721" s="29"/>
      <c r="R721" s="29"/>
      <c r="S721" s="29"/>
      <c r="T721" s="29"/>
      <c r="U721" s="33"/>
      <c r="V721" s="33"/>
    </row>
    <row r="722" ht="15.75" customHeight="1">
      <c r="L722" s="6"/>
      <c r="M722" s="29"/>
      <c r="N722" s="50"/>
      <c r="O722" s="50"/>
      <c r="P722" s="29"/>
      <c r="Q722" s="29"/>
      <c r="R722" s="29"/>
      <c r="S722" s="29"/>
      <c r="T722" s="29"/>
      <c r="U722" s="33"/>
      <c r="V722" s="33"/>
    </row>
    <row r="723" ht="15.75" customHeight="1">
      <c r="L723" s="6"/>
      <c r="M723" s="29"/>
      <c r="N723" s="50"/>
      <c r="O723" s="50"/>
      <c r="P723" s="29"/>
      <c r="Q723" s="29"/>
      <c r="R723" s="29"/>
      <c r="S723" s="29"/>
      <c r="T723" s="29"/>
      <c r="U723" s="33"/>
      <c r="V723" s="33"/>
    </row>
    <row r="724" ht="15.75" customHeight="1">
      <c r="L724" s="6"/>
      <c r="M724" s="29"/>
      <c r="N724" s="50"/>
      <c r="O724" s="50"/>
      <c r="P724" s="29"/>
      <c r="Q724" s="29"/>
      <c r="R724" s="29"/>
      <c r="S724" s="29"/>
      <c r="T724" s="29"/>
      <c r="U724" s="33"/>
      <c r="V724" s="33"/>
    </row>
    <row r="725" ht="15.75" customHeight="1">
      <c r="L725" s="6"/>
      <c r="M725" s="29"/>
      <c r="N725" s="50"/>
      <c r="O725" s="50"/>
      <c r="P725" s="29"/>
      <c r="Q725" s="29"/>
      <c r="R725" s="29"/>
      <c r="S725" s="29"/>
      <c r="T725" s="29"/>
      <c r="U725" s="33"/>
      <c r="V725" s="33"/>
    </row>
    <row r="726" ht="15.75" customHeight="1">
      <c r="L726" s="6"/>
      <c r="M726" s="29"/>
      <c r="N726" s="50"/>
      <c r="O726" s="50"/>
      <c r="P726" s="29"/>
      <c r="Q726" s="29"/>
      <c r="R726" s="29"/>
      <c r="S726" s="29"/>
      <c r="T726" s="29"/>
      <c r="U726" s="33"/>
      <c r="V726" s="33"/>
    </row>
    <row r="727" ht="15.75" customHeight="1">
      <c r="L727" s="6"/>
      <c r="M727" s="29"/>
      <c r="N727" s="50"/>
      <c r="O727" s="50"/>
      <c r="P727" s="29"/>
      <c r="Q727" s="29"/>
      <c r="R727" s="29"/>
      <c r="S727" s="29"/>
      <c r="T727" s="29"/>
      <c r="U727" s="33"/>
      <c r="V727" s="33"/>
    </row>
    <row r="728" ht="15.75" customHeight="1">
      <c r="L728" s="6"/>
      <c r="M728" s="29"/>
      <c r="N728" s="50"/>
      <c r="O728" s="50"/>
      <c r="P728" s="29"/>
      <c r="Q728" s="29"/>
      <c r="R728" s="29"/>
      <c r="S728" s="29"/>
      <c r="T728" s="29"/>
      <c r="U728" s="33"/>
      <c r="V728" s="33"/>
    </row>
    <row r="729" ht="15.75" customHeight="1">
      <c r="L729" s="6"/>
      <c r="M729" s="29"/>
      <c r="N729" s="50"/>
      <c r="O729" s="50"/>
      <c r="P729" s="29"/>
      <c r="Q729" s="29"/>
      <c r="R729" s="29"/>
      <c r="S729" s="29"/>
      <c r="T729" s="29"/>
      <c r="U729" s="33"/>
      <c r="V729" s="33"/>
    </row>
    <row r="730" ht="15.75" customHeight="1">
      <c r="L730" s="6"/>
      <c r="M730" s="29"/>
      <c r="N730" s="50"/>
      <c r="O730" s="50"/>
      <c r="P730" s="29"/>
      <c r="Q730" s="29"/>
      <c r="R730" s="29"/>
      <c r="S730" s="29"/>
      <c r="T730" s="29"/>
      <c r="U730" s="33"/>
      <c r="V730" s="33"/>
    </row>
    <row r="731" ht="15.75" customHeight="1">
      <c r="L731" s="6"/>
      <c r="M731" s="29"/>
      <c r="N731" s="50"/>
      <c r="O731" s="50"/>
      <c r="P731" s="29"/>
      <c r="Q731" s="29"/>
      <c r="R731" s="29"/>
      <c r="S731" s="29"/>
      <c r="T731" s="29"/>
      <c r="U731" s="33"/>
      <c r="V731" s="33"/>
    </row>
    <row r="732" ht="15.75" customHeight="1">
      <c r="L732" s="6"/>
      <c r="M732" s="29"/>
      <c r="N732" s="50"/>
      <c r="O732" s="50"/>
      <c r="P732" s="29"/>
      <c r="Q732" s="29"/>
      <c r="R732" s="29"/>
      <c r="S732" s="29"/>
      <c r="T732" s="29"/>
      <c r="U732" s="33"/>
      <c r="V732" s="33"/>
    </row>
    <row r="733" ht="15.75" customHeight="1">
      <c r="L733" s="6"/>
      <c r="M733" s="29"/>
      <c r="N733" s="50"/>
      <c r="O733" s="50"/>
      <c r="P733" s="29"/>
      <c r="Q733" s="29"/>
      <c r="R733" s="29"/>
      <c r="S733" s="29"/>
      <c r="T733" s="29"/>
      <c r="U733" s="33"/>
      <c r="V733" s="33"/>
    </row>
    <row r="734" ht="15.75" customHeight="1">
      <c r="L734" s="6"/>
      <c r="M734" s="29"/>
      <c r="N734" s="50"/>
      <c r="O734" s="50"/>
      <c r="P734" s="29"/>
      <c r="Q734" s="29"/>
      <c r="R734" s="29"/>
      <c r="S734" s="29"/>
      <c r="T734" s="29"/>
      <c r="U734" s="33"/>
      <c r="V734" s="33"/>
    </row>
    <row r="735" ht="15.75" customHeight="1">
      <c r="L735" s="6"/>
      <c r="M735" s="29"/>
      <c r="N735" s="50"/>
      <c r="O735" s="50"/>
      <c r="P735" s="29"/>
      <c r="Q735" s="29"/>
      <c r="R735" s="29"/>
      <c r="S735" s="29"/>
      <c r="T735" s="29"/>
      <c r="U735" s="33"/>
      <c r="V735" s="33"/>
    </row>
    <row r="736" ht="15.75" customHeight="1">
      <c r="L736" s="6"/>
      <c r="M736" s="29"/>
      <c r="N736" s="50"/>
      <c r="O736" s="50"/>
      <c r="P736" s="29"/>
      <c r="Q736" s="29"/>
      <c r="R736" s="29"/>
      <c r="S736" s="29"/>
      <c r="T736" s="29"/>
      <c r="U736" s="33"/>
      <c r="V736" s="33"/>
    </row>
    <row r="737" ht="15.75" customHeight="1">
      <c r="L737" s="6"/>
      <c r="M737" s="29"/>
      <c r="N737" s="50"/>
      <c r="O737" s="50"/>
      <c r="P737" s="29"/>
      <c r="Q737" s="29"/>
      <c r="R737" s="29"/>
      <c r="S737" s="29"/>
      <c r="T737" s="29"/>
      <c r="U737" s="33"/>
      <c r="V737" s="33"/>
    </row>
    <row r="738" ht="15.75" customHeight="1">
      <c r="L738" s="6"/>
      <c r="M738" s="29"/>
      <c r="N738" s="50"/>
      <c r="O738" s="50"/>
      <c r="P738" s="29"/>
      <c r="Q738" s="29"/>
      <c r="R738" s="29"/>
      <c r="S738" s="29"/>
      <c r="T738" s="29"/>
      <c r="U738" s="33"/>
      <c r="V738" s="33"/>
    </row>
    <row r="739" ht="15.75" customHeight="1">
      <c r="L739" s="6"/>
      <c r="M739" s="29"/>
      <c r="N739" s="50"/>
      <c r="O739" s="50"/>
      <c r="P739" s="29"/>
      <c r="Q739" s="29"/>
      <c r="R739" s="29"/>
      <c r="S739" s="29"/>
      <c r="T739" s="29"/>
      <c r="U739" s="33"/>
      <c r="V739" s="33"/>
    </row>
    <row r="740" ht="15.75" customHeight="1">
      <c r="L740" s="6"/>
      <c r="M740" s="29"/>
      <c r="N740" s="50"/>
      <c r="O740" s="50"/>
      <c r="P740" s="29"/>
      <c r="Q740" s="29"/>
      <c r="R740" s="29"/>
      <c r="S740" s="29"/>
      <c r="T740" s="29"/>
      <c r="U740" s="33"/>
      <c r="V740" s="33"/>
    </row>
    <row r="741" ht="15.75" customHeight="1">
      <c r="L741" s="6"/>
      <c r="M741" s="29"/>
      <c r="N741" s="50"/>
      <c r="O741" s="50"/>
      <c r="P741" s="29"/>
      <c r="Q741" s="29"/>
      <c r="R741" s="29"/>
      <c r="S741" s="29"/>
      <c r="T741" s="29"/>
      <c r="U741" s="33"/>
      <c r="V741" s="33"/>
    </row>
    <row r="742" ht="15.75" customHeight="1">
      <c r="L742" s="6"/>
      <c r="M742" s="29"/>
      <c r="N742" s="50"/>
      <c r="O742" s="50"/>
      <c r="P742" s="29"/>
      <c r="Q742" s="29"/>
      <c r="R742" s="29"/>
      <c r="S742" s="29"/>
      <c r="T742" s="29"/>
      <c r="U742" s="33"/>
      <c r="V742" s="33"/>
    </row>
    <row r="743" ht="15.75" customHeight="1">
      <c r="L743" s="6"/>
      <c r="M743" s="29"/>
      <c r="N743" s="50"/>
      <c r="O743" s="50"/>
      <c r="P743" s="29"/>
      <c r="Q743" s="29"/>
      <c r="R743" s="29"/>
      <c r="S743" s="29"/>
      <c r="T743" s="29"/>
      <c r="U743" s="33"/>
      <c r="V743" s="33"/>
    </row>
    <row r="744" ht="15.75" customHeight="1">
      <c r="L744" s="6"/>
      <c r="M744" s="29"/>
      <c r="N744" s="50"/>
      <c r="O744" s="50"/>
      <c r="P744" s="29"/>
      <c r="Q744" s="29"/>
      <c r="R744" s="29"/>
      <c r="S744" s="29"/>
      <c r="T744" s="29"/>
      <c r="U744" s="33"/>
      <c r="V744" s="33"/>
    </row>
    <row r="745" ht="15.75" customHeight="1">
      <c r="L745" s="6"/>
      <c r="M745" s="29"/>
      <c r="N745" s="50"/>
      <c r="O745" s="50"/>
      <c r="P745" s="29"/>
      <c r="Q745" s="29"/>
      <c r="R745" s="29"/>
      <c r="S745" s="29"/>
      <c r="T745" s="29"/>
      <c r="U745" s="33"/>
      <c r="V745" s="33"/>
    </row>
    <row r="746" ht="15.75" customHeight="1">
      <c r="L746" s="6"/>
      <c r="M746" s="29"/>
      <c r="N746" s="50"/>
      <c r="O746" s="50"/>
      <c r="P746" s="29"/>
      <c r="Q746" s="29"/>
      <c r="R746" s="29"/>
      <c r="S746" s="29"/>
      <c r="T746" s="29"/>
      <c r="U746" s="33"/>
      <c r="V746" s="33"/>
    </row>
    <row r="747" ht="15.75" customHeight="1">
      <c r="L747" s="6"/>
      <c r="M747" s="29"/>
      <c r="N747" s="50"/>
      <c r="O747" s="50"/>
      <c r="P747" s="29"/>
      <c r="Q747" s="29"/>
      <c r="R747" s="29"/>
      <c r="S747" s="29"/>
      <c r="T747" s="29"/>
      <c r="U747" s="33"/>
      <c r="V747" s="33"/>
    </row>
    <row r="748" ht="15.75" customHeight="1">
      <c r="L748" s="6"/>
      <c r="M748" s="29"/>
      <c r="N748" s="50"/>
      <c r="O748" s="50"/>
      <c r="P748" s="29"/>
      <c r="Q748" s="29"/>
      <c r="R748" s="29"/>
      <c r="S748" s="29"/>
      <c r="T748" s="29"/>
      <c r="U748" s="33"/>
      <c r="V748" s="33"/>
    </row>
    <row r="749" ht="15.75" customHeight="1">
      <c r="L749" s="6"/>
      <c r="M749" s="29"/>
      <c r="N749" s="50"/>
      <c r="O749" s="50"/>
      <c r="P749" s="29"/>
      <c r="Q749" s="29"/>
      <c r="R749" s="29"/>
      <c r="S749" s="29"/>
      <c r="T749" s="29"/>
      <c r="U749" s="33"/>
      <c r="V749" s="33"/>
    </row>
    <row r="750" ht="15.75" customHeight="1">
      <c r="L750" s="6"/>
      <c r="M750" s="29"/>
      <c r="N750" s="50"/>
      <c r="O750" s="50"/>
      <c r="P750" s="29"/>
      <c r="Q750" s="29"/>
      <c r="R750" s="29"/>
      <c r="S750" s="29"/>
      <c r="T750" s="29"/>
      <c r="U750" s="33"/>
      <c r="V750" s="33"/>
    </row>
    <row r="751" ht="15.75" customHeight="1">
      <c r="L751" s="6"/>
      <c r="M751" s="29"/>
      <c r="N751" s="50"/>
      <c r="O751" s="50"/>
      <c r="P751" s="29"/>
      <c r="Q751" s="29"/>
      <c r="R751" s="29"/>
      <c r="S751" s="29"/>
      <c r="T751" s="29"/>
      <c r="U751" s="33"/>
      <c r="V751" s="33"/>
    </row>
    <row r="752" ht="15.75" customHeight="1">
      <c r="L752" s="6"/>
      <c r="M752" s="29"/>
      <c r="N752" s="50"/>
      <c r="O752" s="50"/>
      <c r="P752" s="29"/>
      <c r="Q752" s="29"/>
      <c r="R752" s="29"/>
      <c r="S752" s="29"/>
      <c r="T752" s="29"/>
      <c r="U752" s="33"/>
      <c r="V752" s="33"/>
    </row>
    <row r="753" ht="15.75" customHeight="1">
      <c r="L753" s="6"/>
      <c r="M753" s="29"/>
      <c r="N753" s="50"/>
      <c r="O753" s="50"/>
      <c r="P753" s="29"/>
      <c r="Q753" s="29"/>
      <c r="R753" s="29"/>
      <c r="S753" s="29"/>
      <c r="T753" s="29"/>
      <c r="U753" s="33"/>
      <c r="V753" s="33"/>
    </row>
    <row r="754" ht="15.75" customHeight="1">
      <c r="L754" s="6"/>
      <c r="M754" s="29"/>
      <c r="N754" s="50"/>
      <c r="O754" s="50"/>
      <c r="P754" s="29"/>
      <c r="Q754" s="29"/>
      <c r="R754" s="29"/>
      <c r="S754" s="29"/>
      <c r="T754" s="29"/>
      <c r="U754" s="33"/>
      <c r="V754" s="33"/>
    </row>
    <row r="755" ht="15.75" customHeight="1">
      <c r="L755" s="6"/>
      <c r="M755" s="29"/>
      <c r="N755" s="50"/>
      <c r="O755" s="50"/>
      <c r="P755" s="29"/>
      <c r="Q755" s="29"/>
      <c r="R755" s="29"/>
      <c r="S755" s="29"/>
      <c r="T755" s="29"/>
      <c r="U755" s="33"/>
      <c r="V755" s="33"/>
    </row>
    <row r="756" ht="15.75" customHeight="1">
      <c r="L756" s="6"/>
      <c r="M756" s="29"/>
      <c r="N756" s="50"/>
      <c r="O756" s="50"/>
      <c r="P756" s="29"/>
      <c r="Q756" s="29"/>
      <c r="R756" s="29"/>
      <c r="S756" s="29"/>
      <c r="T756" s="29"/>
      <c r="U756" s="33"/>
      <c r="V756" s="33"/>
    </row>
    <row r="757" ht="15.75" customHeight="1">
      <c r="L757" s="6"/>
      <c r="M757" s="29"/>
      <c r="N757" s="50"/>
      <c r="O757" s="50"/>
      <c r="P757" s="29"/>
      <c r="Q757" s="29"/>
      <c r="R757" s="29"/>
      <c r="S757" s="29"/>
      <c r="T757" s="29"/>
      <c r="U757" s="33"/>
      <c r="V757" s="33"/>
    </row>
    <row r="758" ht="15.75" customHeight="1">
      <c r="L758" s="6"/>
      <c r="M758" s="29"/>
      <c r="N758" s="50"/>
      <c r="O758" s="50"/>
      <c r="P758" s="29"/>
      <c r="Q758" s="29"/>
      <c r="R758" s="29"/>
      <c r="S758" s="29"/>
      <c r="T758" s="29"/>
      <c r="U758" s="33"/>
      <c r="V758" s="33"/>
    </row>
    <row r="759" ht="15.75" customHeight="1">
      <c r="L759" s="6"/>
      <c r="M759" s="29"/>
      <c r="N759" s="50"/>
      <c r="O759" s="50"/>
      <c r="P759" s="29"/>
      <c r="Q759" s="29"/>
      <c r="R759" s="29"/>
      <c r="S759" s="29"/>
      <c r="T759" s="29"/>
      <c r="U759" s="33"/>
      <c r="V759" s="33"/>
    </row>
    <row r="760" ht="15.75" customHeight="1">
      <c r="L760" s="6"/>
      <c r="M760" s="29"/>
      <c r="N760" s="50"/>
      <c r="O760" s="50"/>
      <c r="P760" s="29"/>
      <c r="Q760" s="29"/>
      <c r="R760" s="29"/>
      <c r="S760" s="29"/>
      <c r="T760" s="29"/>
      <c r="U760" s="33"/>
      <c r="V760" s="33"/>
    </row>
    <row r="761" ht="15.75" customHeight="1">
      <c r="L761" s="6"/>
      <c r="M761" s="29"/>
      <c r="N761" s="50"/>
      <c r="O761" s="50"/>
      <c r="P761" s="29"/>
      <c r="Q761" s="29"/>
      <c r="R761" s="29"/>
      <c r="S761" s="29"/>
      <c r="T761" s="29"/>
      <c r="U761" s="33"/>
      <c r="V761" s="33"/>
    </row>
    <row r="762" ht="15.75" customHeight="1">
      <c r="L762" s="6"/>
      <c r="M762" s="29"/>
      <c r="N762" s="50"/>
      <c r="O762" s="50"/>
      <c r="P762" s="29"/>
      <c r="Q762" s="29"/>
      <c r="R762" s="29"/>
      <c r="S762" s="29"/>
      <c r="T762" s="29"/>
      <c r="U762" s="33"/>
      <c r="V762" s="33"/>
    </row>
    <row r="763" ht="15.75" customHeight="1">
      <c r="L763" s="6"/>
      <c r="M763" s="29"/>
      <c r="N763" s="50"/>
      <c r="O763" s="50"/>
      <c r="P763" s="29"/>
      <c r="Q763" s="29"/>
      <c r="R763" s="29"/>
      <c r="S763" s="29"/>
      <c r="T763" s="29"/>
      <c r="U763" s="33"/>
      <c r="V763" s="33"/>
    </row>
    <row r="764" ht="15.75" customHeight="1">
      <c r="L764" s="6"/>
      <c r="M764" s="29"/>
      <c r="N764" s="50"/>
      <c r="O764" s="50"/>
      <c r="P764" s="29"/>
      <c r="Q764" s="29"/>
      <c r="R764" s="29"/>
      <c r="S764" s="29"/>
      <c r="T764" s="29"/>
      <c r="U764" s="33"/>
      <c r="V764" s="33"/>
    </row>
    <row r="765" ht="15.75" customHeight="1">
      <c r="L765" s="6"/>
      <c r="M765" s="29"/>
      <c r="N765" s="50"/>
      <c r="O765" s="50"/>
      <c r="P765" s="29"/>
      <c r="Q765" s="29"/>
      <c r="R765" s="29"/>
      <c r="S765" s="29"/>
      <c r="T765" s="29"/>
      <c r="U765" s="33"/>
      <c r="V765" s="33"/>
    </row>
    <row r="766" ht="15.75" customHeight="1">
      <c r="L766" s="6"/>
      <c r="M766" s="29"/>
      <c r="N766" s="50"/>
      <c r="O766" s="50"/>
      <c r="P766" s="29"/>
      <c r="Q766" s="29"/>
      <c r="R766" s="29"/>
      <c r="S766" s="29"/>
      <c r="T766" s="29"/>
      <c r="U766" s="33"/>
      <c r="V766" s="33"/>
    </row>
    <row r="767" ht="15.75" customHeight="1">
      <c r="L767" s="6"/>
      <c r="M767" s="29"/>
      <c r="N767" s="50"/>
      <c r="O767" s="50"/>
      <c r="P767" s="29"/>
      <c r="Q767" s="29"/>
      <c r="R767" s="29"/>
      <c r="S767" s="29"/>
      <c r="T767" s="29"/>
      <c r="U767" s="33"/>
      <c r="V767" s="33"/>
    </row>
    <row r="768" ht="15.75" customHeight="1">
      <c r="L768" s="6"/>
      <c r="M768" s="29"/>
      <c r="N768" s="50"/>
      <c r="O768" s="50"/>
      <c r="P768" s="29"/>
      <c r="Q768" s="29"/>
      <c r="R768" s="29"/>
      <c r="S768" s="29"/>
      <c r="T768" s="29"/>
      <c r="U768" s="33"/>
      <c r="V768" s="33"/>
    </row>
    <row r="769" ht="15.75" customHeight="1">
      <c r="L769" s="6"/>
      <c r="M769" s="29"/>
      <c r="N769" s="50"/>
      <c r="O769" s="50"/>
      <c r="P769" s="29"/>
      <c r="Q769" s="29"/>
      <c r="R769" s="29"/>
      <c r="S769" s="29"/>
      <c r="T769" s="29"/>
      <c r="U769" s="33"/>
      <c r="V769" s="33"/>
    </row>
    <row r="770" ht="15.75" customHeight="1">
      <c r="L770" s="6"/>
      <c r="M770" s="29"/>
      <c r="N770" s="50"/>
      <c r="O770" s="50"/>
      <c r="P770" s="29"/>
      <c r="Q770" s="29"/>
      <c r="R770" s="29"/>
      <c r="S770" s="29"/>
      <c r="T770" s="29"/>
      <c r="U770" s="33"/>
      <c r="V770" s="33"/>
    </row>
    <row r="771" ht="15.75" customHeight="1">
      <c r="L771" s="6"/>
      <c r="M771" s="29"/>
      <c r="N771" s="50"/>
      <c r="O771" s="50"/>
      <c r="P771" s="29"/>
      <c r="Q771" s="29"/>
      <c r="R771" s="29"/>
      <c r="S771" s="29"/>
      <c r="T771" s="29"/>
      <c r="U771" s="33"/>
      <c r="V771" s="33"/>
    </row>
    <row r="772" ht="15.75" customHeight="1">
      <c r="L772" s="6"/>
      <c r="M772" s="29"/>
      <c r="N772" s="50"/>
      <c r="O772" s="50"/>
      <c r="P772" s="29"/>
      <c r="Q772" s="29"/>
      <c r="R772" s="29"/>
      <c r="S772" s="29"/>
      <c r="T772" s="29"/>
      <c r="U772" s="33"/>
      <c r="V772" s="33"/>
    </row>
    <row r="773" ht="15.75" customHeight="1">
      <c r="L773" s="6"/>
      <c r="M773" s="29"/>
      <c r="N773" s="50"/>
      <c r="O773" s="50"/>
      <c r="P773" s="29"/>
      <c r="Q773" s="29"/>
      <c r="R773" s="29"/>
      <c r="S773" s="29"/>
      <c r="T773" s="29"/>
      <c r="U773" s="33"/>
      <c r="V773" s="33"/>
    </row>
    <row r="774" ht="15.75" customHeight="1">
      <c r="L774" s="6"/>
      <c r="M774" s="29"/>
      <c r="N774" s="50"/>
      <c r="O774" s="50"/>
      <c r="P774" s="29"/>
      <c r="Q774" s="29"/>
      <c r="R774" s="29"/>
      <c r="S774" s="29"/>
      <c r="T774" s="29"/>
      <c r="U774" s="33"/>
      <c r="V774" s="33"/>
    </row>
    <row r="775" ht="15.75" customHeight="1">
      <c r="L775" s="6"/>
      <c r="M775" s="29"/>
      <c r="N775" s="50"/>
      <c r="O775" s="50"/>
      <c r="P775" s="29"/>
      <c r="Q775" s="29"/>
      <c r="R775" s="29"/>
      <c r="S775" s="29"/>
      <c r="T775" s="29"/>
      <c r="U775" s="33"/>
      <c r="V775" s="33"/>
    </row>
    <row r="776" ht="15.75" customHeight="1">
      <c r="L776" s="6"/>
      <c r="M776" s="29"/>
      <c r="N776" s="50"/>
      <c r="O776" s="50"/>
      <c r="P776" s="29"/>
      <c r="Q776" s="29"/>
      <c r="R776" s="29"/>
      <c r="S776" s="29"/>
      <c r="T776" s="29"/>
      <c r="U776" s="33"/>
      <c r="V776" s="33"/>
    </row>
    <row r="777" ht="15.75" customHeight="1">
      <c r="L777" s="6"/>
      <c r="M777" s="29"/>
      <c r="N777" s="50"/>
      <c r="O777" s="50"/>
      <c r="P777" s="29"/>
      <c r="Q777" s="29"/>
      <c r="R777" s="29"/>
      <c r="S777" s="29"/>
      <c r="T777" s="29"/>
      <c r="U777" s="33"/>
      <c r="V777" s="33"/>
    </row>
    <row r="778" ht="15.75" customHeight="1">
      <c r="L778" s="6"/>
      <c r="M778" s="29"/>
      <c r="N778" s="50"/>
      <c r="O778" s="50"/>
      <c r="P778" s="29"/>
      <c r="Q778" s="29"/>
      <c r="R778" s="29"/>
      <c r="S778" s="29"/>
      <c r="T778" s="29"/>
      <c r="U778" s="33"/>
      <c r="V778" s="33"/>
    </row>
    <row r="779" ht="15.75" customHeight="1">
      <c r="L779" s="6"/>
      <c r="M779" s="29"/>
      <c r="N779" s="50"/>
      <c r="O779" s="50"/>
      <c r="P779" s="29"/>
      <c r="Q779" s="29"/>
      <c r="R779" s="29"/>
      <c r="S779" s="29"/>
      <c r="T779" s="29"/>
      <c r="U779" s="33"/>
      <c r="V779" s="33"/>
    </row>
    <row r="780" ht="15.75" customHeight="1">
      <c r="L780" s="6"/>
      <c r="M780" s="29"/>
      <c r="N780" s="50"/>
      <c r="O780" s="50"/>
      <c r="P780" s="29"/>
      <c r="Q780" s="29"/>
      <c r="R780" s="29"/>
      <c r="S780" s="29"/>
      <c r="T780" s="29"/>
      <c r="U780" s="33"/>
      <c r="V780" s="33"/>
    </row>
    <row r="781" ht="15.75" customHeight="1">
      <c r="L781" s="6"/>
      <c r="M781" s="29"/>
      <c r="N781" s="50"/>
      <c r="O781" s="50"/>
      <c r="P781" s="29"/>
      <c r="Q781" s="29"/>
      <c r="R781" s="29"/>
      <c r="S781" s="29"/>
      <c r="T781" s="29"/>
      <c r="U781" s="33"/>
      <c r="V781" s="33"/>
    </row>
    <row r="782" ht="15.75" customHeight="1">
      <c r="L782" s="6"/>
      <c r="M782" s="29"/>
      <c r="N782" s="50"/>
      <c r="O782" s="50"/>
      <c r="P782" s="29"/>
      <c r="Q782" s="29"/>
      <c r="R782" s="29"/>
      <c r="S782" s="29"/>
      <c r="T782" s="29"/>
      <c r="U782" s="33"/>
      <c r="V782" s="33"/>
    </row>
    <row r="783" ht="15.75" customHeight="1">
      <c r="L783" s="6"/>
      <c r="M783" s="29"/>
      <c r="N783" s="50"/>
      <c r="O783" s="50"/>
      <c r="P783" s="29"/>
      <c r="Q783" s="29"/>
      <c r="R783" s="29"/>
      <c r="S783" s="29"/>
      <c r="T783" s="29"/>
      <c r="U783" s="33"/>
      <c r="V783" s="33"/>
    </row>
    <row r="784" ht="15.75" customHeight="1">
      <c r="L784" s="6"/>
      <c r="M784" s="29"/>
      <c r="N784" s="50"/>
      <c r="O784" s="50"/>
      <c r="P784" s="29"/>
      <c r="Q784" s="29"/>
      <c r="R784" s="29"/>
      <c r="S784" s="29"/>
      <c r="T784" s="29"/>
      <c r="U784" s="33"/>
      <c r="V784" s="33"/>
    </row>
    <row r="785" ht="15.75" customHeight="1">
      <c r="L785" s="6"/>
      <c r="M785" s="29"/>
      <c r="N785" s="50"/>
      <c r="O785" s="50"/>
      <c r="P785" s="29"/>
      <c r="Q785" s="29"/>
      <c r="R785" s="29"/>
      <c r="S785" s="29"/>
      <c r="T785" s="29"/>
      <c r="U785" s="33"/>
      <c r="V785" s="33"/>
    </row>
    <row r="786" ht="15.75" customHeight="1">
      <c r="L786" s="6"/>
      <c r="M786" s="29"/>
      <c r="N786" s="50"/>
      <c r="O786" s="50"/>
      <c r="P786" s="29"/>
      <c r="Q786" s="29"/>
      <c r="R786" s="29"/>
      <c r="S786" s="29"/>
      <c r="T786" s="29"/>
      <c r="U786" s="33"/>
      <c r="V786" s="33"/>
    </row>
    <row r="787" ht="15.75" customHeight="1">
      <c r="L787" s="6"/>
      <c r="M787" s="29"/>
      <c r="N787" s="50"/>
      <c r="O787" s="50"/>
      <c r="P787" s="29"/>
      <c r="Q787" s="29"/>
      <c r="R787" s="29"/>
      <c r="S787" s="29"/>
      <c r="T787" s="29"/>
      <c r="U787" s="33"/>
      <c r="V787" s="33"/>
    </row>
    <row r="788" ht="15.75" customHeight="1">
      <c r="L788" s="6"/>
      <c r="M788" s="29"/>
      <c r="N788" s="50"/>
      <c r="O788" s="50"/>
      <c r="P788" s="29"/>
      <c r="Q788" s="29"/>
      <c r="R788" s="29"/>
      <c r="S788" s="29"/>
      <c r="T788" s="29"/>
      <c r="U788" s="33"/>
      <c r="V788" s="33"/>
    </row>
    <row r="789" ht="15.75" customHeight="1">
      <c r="L789" s="6"/>
      <c r="M789" s="29"/>
      <c r="N789" s="50"/>
      <c r="O789" s="50"/>
      <c r="P789" s="29"/>
      <c r="Q789" s="29"/>
      <c r="R789" s="29"/>
      <c r="S789" s="29"/>
      <c r="T789" s="29"/>
      <c r="U789" s="33"/>
      <c r="V789" s="33"/>
    </row>
    <row r="790" ht="15.75" customHeight="1">
      <c r="L790" s="6"/>
      <c r="M790" s="29"/>
      <c r="N790" s="50"/>
      <c r="O790" s="50"/>
      <c r="P790" s="29"/>
      <c r="Q790" s="29"/>
      <c r="R790" s="29"/>
      <c r="S790" s="29"/>
      <c r="T790" s="29"/>
      <c r="U790" s="33"/>
      <c r="V790" s="33"/>
    </row>
    <row r="791" ht="15.75" customHeight="1">
      <c r="L791" s="6"/>
      <c r="M791" s="29"/>
      <c r="N791" s="50"/>
      <c r="O791" s="50"/>
      <c r="P791" s="29"/>
      <c r="Q791" s="29"/>
      <c r="R791" s="29"/>
      <c r="S791" s="29"/>
      <c r="T791" s="29"/>
      <c r="U791" s="33"/>
      <c r="V791" s="33"/>
    </row>
    <row r="792" ht="15.75" customHeight="1">
      <c r="L792" s="6"/>
      <c r="M792" s="29"/>
      <c r="N792" s="50"/>
      <c r="O792" s="50"/>
      <c r="P792" s="29"/>
      <c r="Q792" s="29"/>
      <c r="R792" s="29"/>
      <c r="S792" s="29"/>
      <c r="T792" s="29"/>
      <c r="U792" s="33"/>
      <c r="V792" s="33"/>
    </row>
    <row r="793" ht="15.75" customHeight="1">
      <c r="L793" s="6"/>
      <c r="M793" s="29"/>
      <c r="N793" s="50"/>
      <c r="O793" s="50"/>
      <c r="P793" s="29"/>
      <c r="Q793" s="29"/>
      <c r="R793" s="29"/>
      <c r="S793" s="29"/>
      <c r="T793" s="29"/>
      <c r="U793" s="33"/>
      <c r="V793" s="33"/>
    </row>
    <row r="794" ht="15.75" customHeight="1">
      <c r="L794" s="6"/>
      <c r="M794" s="29"/>
      <c r="N794" s="50"/>
      <c r="O794" s="50"/>
      <c r="P794" s="29"/>
      <c r="Q794" s="29"/>
      <c r="R794" s="29"/>
      <c r="S794" s="29"/>
      <c r="T794" s="29"/>
      <c r="U794" s="33"/>
      <c r="V794" s="33"/>
    </row>
    <row r="795" ht="15.75" customHeight="1">
      <c r="L795" s="6"/>
      <c r="M795" s="29"/>
      <c r="N795" s="50"/>
      <c r="O795" s="50"/>
      <c r="P795" s="29"/>
      <c r="Q795" s="29"/>
      <c r="R795" s="29"/>
      <c r="S795" s="29"/>
      <c r="T795" s="29"/>
      <c r="U795" s="33"/>
      <c r="V795" s="33"/>
    </row>
    <row r="796" ht="15.75" customHeight="1">
      <c r="L796" s="6"/>
      <c r="M796" s="29"/>
      <c r="N796" s="50"/>
      <c r="O796" s="50"/>
      <c r="P796" s="29"/>
      <c r="Q796" s="29"/>
      <c r="R796" s="29"/>
      <c r="S796" s="29"/>
      <c r="T796" s="29"/>
      <c r="U796" s="33"/>
      <c r="V796" s="33"/>
    </row>
    <row r="797" ht="15.75" customHeight="1">
      <c r="L797" s="6"/>
      <c r="M797" s="29"/>
      <c r="N797" s="50"/>
      <c r="O797" s="50"/>
      <c r="P797" s="29"/>
      <c r="Q797" s="29"/>
      <c r="R797" s="29"/>
      <c r="S797" s="29"/>
      <c r="T797" s="29"/>
      <c r="U797" s="33"/>
      <c r="V797" s="33"/>
    </row>
    <row r="798" ht="15.75" customHeight="1">
      <c r="L798" s="6"/>
      <c r="M798" s="29"/>
      <c r="N798" s="50"/>
      <c r="O798" s="50"/>
      <c r="P798" s="29"/>
      <c r="Q798" s="29"/>
      <c r="R798" s="29"/>
      <c r="S798" s="29"/>
      <c r="T798" s="29"/>
      <c r="U798" s="33"/>
      <c r="V798" s="33"/>
    </row>
    <row r="799" ht="15.75" customHeight="1">
      <c r="L799" s="6"/>
      <c r="M799" s="29"/>
      <c r="N799" s="50"/>
      <c r="O799" s="50"/>
      <c r="P799" s="29"/>
      <c r="Q799" s="29"/>
      <c r="R799" s="29"/>
      <c r="S799" s="29"/>
      <c r="T799" s="29"/>
      <c r="U799" s="33"/>
      <c r="V799" s="33"/>
    </row>
    <row r="800" ht="15.75" customHeight="1">
      <c r="L800" s="6"/>
      <c r="M800" s="29"/>
      <c r="N800" s="50"/>
      <c r="O800" s="50"/>
      <c r="P800" s="29"/>
      <c r="Q800" s="29"/>
      <c r="R800" s="29"/>
      <c r="S800" s="29"/>
      <c r="T800" s="29"/>
      <c r="U800" s="33"/>
      <c r="V800" s="33"/>
    </row>
    <row r="801" ht="15.75" customHeight="1">
      <c r="L801" s="6"/>
      <c r="M801" s="29"/>
      <c r="N801" s="50"/>
      <c r="O801" s="50"/>
      <c r="P801" s="29"/>
      <c r="Q801" s="29"/>
      <c r="R801" s="29"/>
      <c r="S801" s="29"/>
      <c r="T801" s="29"/>
      <c r="U801" s="33"/>
      <c r="V801" s="33"/>
    </row>
    <row r="802" ht="15.75" customHeight="1">
      <c r="L802" s="6"/>
      <c r="M802" s="29"/>
      <c r="N802" s="50"/>
      <c r="O802" s="50"/>
      <c r="P802" s="29"/>
      <c r="Q802" s="29"/>
      <c r="R802" s="29"/>
      <c r="S802" s="29"/>
      <c r="T802" s="29"/>
      <c r="U802" s="33"/>
      <c r="V802" s="33"/>
    </row>
    <row r="803" ht="15.75" customHeight="1">
      <c r="L803" s="6"/>
      <c r="M803" s="29"/>
      <c r="N803" s="50"/>
      <c r="O803" s="50"/>
      <c r="P803" s="29"/>
      <c r="Q803" s="29"/>
      <c r="R803" s="29"/>
      <c r="S803" s="29"/>
      <c r="T803" s="29"/>
      <c r="U803" s="33"/>
      <c r="V803" s="33"/>
    </row>
    <row r="804" ht="15.75" customHeight="1">
      <c r="L804" s="6"/>
      <c r="M804" s="29"/>
      <c r="N804" s="50"/>
      <c r="O804" s="50"/>
      <c r="P804" s="29"/>
      <c r="Q804" s="29"/>
      <c r="R804" s="29"/>
      <c r="S804" s="29"/>
      <c r="T804" s="29"/>
      <c r="U804" s="33"/>
      <c r="V804" s="33"/>
    </row>
    <row r="805" ht="15.75" customHeight="1">
      <c r="L805" s="6"/>
      <c r="M805" s="29"/>
      <c r="N805" s="50"/>
      <c r="O805" s="50"/>
      <c r="P805" s="29"/>
      <c r="Q805" s="29"/>
      <c r="R805" s="29"/>
      <c r="S805" s="29"/>
      <c r="T805" s="29"/>
      <c r="U805" s="33"/>
      <c r="V805" s="33"/>
    </row>
    <row r="806" ht="15.75" customHeight="1">
      <c r="L806" s="6"/>
      <c r="M806" s="29"/>
      <c r="N806" s="50"/>
      <c r="O806" s="50"/>
      <c r="P806" s="29"/>
      <c r="Q806" s="29"/>
      <c r="R806" s="29"/>
      <c r="S806" s="29"/>
      <c r="T806" s="29"/>
      <c r="U806" s="33"/>
      <c r="V806" s="33"/>
    </row>
    <row r="807" ht="15.75" customHeight="1">
      <c r="L807" s="6"/>
      <c r="M807" s="29"/>
      <c r="N807" s="50"/>
      <c r="O807" s="50"/>
      <c r="P807" s="29"/>
      <c r="Q807" s="29"/>
      <c r="R807" s="29"/>
      <c r="S807" s="29"/>
      <c r="T807" s="29"/>
      <c r="U807" s="33"/>
      <c r="V807" s="33"/>
    </row>
    <row r="808" ht="15.75" customHeight="1">
      <c r="L808" s="6"/>
      <c r="M808" s="29"/>
      <c r="N808" s="50"/>
      <c r="O808" s="50"/>
      <c r="P808" s="29"/>
      <c r="Q808" s="29"/>
      <c r="R808" s="29"/>
      <c r="S808" s="29"/>
      <c r="T808" s="29"/>
      <c r="U808" s="33"/>
      <c r="V808" s="33"/>
    </row>
    <row r="809" ht="15.75" customHeight="1">
      <c r="L809" s="6"/>
      <c r="M809" s="29"/>
      <c r="N809" s="50"/>
      <c r="O809" s="50"/>
      <c r="P809" s="29"/>
      <c r="Q809" s="29"/>
      <c r="R809" s="29"/>
      <c r="S809" s="29"/>
      <c r="T809" s="29"/>
      <c r="U809" s="33"/>
      <c r="V809" s="33"/>
    </row>
    <row r="810" ht="15.75" customHeight="1">
      <c r="L810" s="6"/>
      <c r="M810" s="29"/>
      <c r="N810" s="50"/>
      <c r="O810" s="50"/>
      <c r="P810" s="29"/>
      <c r="Q810" s="29"/>
      <c r="R810" s="29"/>
      <c r="S810" s="29"/>
      <c r="T810" s="29"/>
      <c r="U810" s="33"/>
      <c r="V810" s="33"/>
    </row>
    <row r="811" ht="15.75" customHeight="1">
      <c r="L811" s="6"/>
      <c r="M811" s="29"/>
      <c r="N811" s="50"/>
      <c r="O811" s="50"/>
      <c r="P811" s="29"/>
      <c r="Q811" s="29"/>
      <c r="R811" s="29"/>
      <c r="S811" s="29"/>
      <c r="T811" s="29"/>
      <c r="U811" s="33"/>
      <c r="V811" s="33"/>
    </row>
    <row r="812" ht="15.75" customHeight="1">
      <c r="L812" s="6"/>
      <c r="M812" s="29"/>
      <c r="N812" s="50"/>
      <c r="O812" s="50"/>
      <c r="P812" s="29"/>
      <c r="Q812" s="29"/>
      <c r="R812" s="29"/>
      <c r="S812" s="29"/>
      <c r="T812" s="29"/>
      <c r="U812" s="33"/>
      <c r="V812" s="33"/>
    </row>
    <row r="813" ht="15.75" customHeight="1">
      <c r="L813" s="6"/>
      <c r="M813" s="29"/>
      <c r="N813" s="50"/>
      <c r="O813" s="50"/>
      <c r="P813" s="29"/>
      <c r="Q813" s="29"/>
      <c r="R813" s="29"/>
      <c r="S813" s="29"/>
      <c r="T813" s="29"/>
      <c r="U813" s="33"/>
      <c r="V813" s="33"/>
    </row>
    <row r="814" ht="15.75" customHeight="1">
      <c r="L814" s="6"/>
      <c r="M814" s="29"/>
      <c r="N814" s="50"/>
      <c r="O814" s="50"/>
      <c r="P814" s="29"/>
      <c r="Q814" s="29"/>
      <c r="R814" s="29"/>
      <c r="S814" s="29"/>
      <c r="T814" s="29"/>
      <c r="U814" s="33"/>
      <c r="V814" s="33"/>
    </row>
    <row r="815" ht="15.75" customHeight="1">
      <c r="L815" s="6"/>
      <c r="M815" s="29"/>
      <c r="N815" s="50"/>
      <c r="O815" s="50"/>
      <c r="P815" s="29"/>
      <c r="Q815" s="29"/>
      <c r="R815" s="29"/>
      <c r="S815" s="29"/>
      <c r="T815" s="29"/>
      <c r="U815" s="33"/>
      <c r="V815" s="33"/>
    </row>
    <row r="816" ht="15.75" customHeight="1">
      <c r="L816" s="6"/>
      <c r="M816" s="29"/>
      <c r="N816" s="50"/>
      <c r="O816" s="50"/>
      <c r="P816" s="29"/>
      <c r="Q816" s="29"/>
      <c r="R816" s="29"/>
      <c r="S816" s="29"/>
      <c r="T816" s="29"/>
      <c r="U816" s="33"/>
      <c r="V816" s="33"/>
    </row>
    <row r="817" ht="15.75" customHeight="1">
      <c r="L817" s="6"/>
      <c r="M817" s="29"/>
      <c r="N817" s="50"/>
      <c r="O817" s="50"/>
      <c r="P817" s="29"/>
      <c r="Q817" s="29"/>
      <c r="R817" s="29"/>
      <c r="S817" s="29"/>
      <c r="T817" s="29"/>
      <c r="U817" s="33"/>
      <c r="V817" s="33"/>
    </row>
    <row r="818" ht="15.75" customHeight="1">
      <c r="L818" s="6"/>
      <c r="M818" s="29"/>
      <c r="N818" s="50"/>
      <c r="O818" s="50"/>
      <c r="P818" s="29"/>
      <c r="Q818" s="29"/>
      <c r="R818" s="29"/>
      <c r="S818" s="29"/>
      <c r="T818" s="29"/>
      <c r="U818" s="33"/>
      <c r="V818" s="33"/>
    </row>
    <row r="819" ht="15.75" customHeight="1">
      <c r="L819" s="6"/>
      <c r="M819" s="29"/>
      <c r="N819" s="50"/>
      <c r="O819" s="50"/>
      <c r="P819" s="29"/>
      <c r="Q819" s="29"/>
      <c r="R819" s="29"/>
      <c r="S819" s="29"/>
      <c r="T819" s="29"/>
      <c r="U819" s="33"/>
      <c r="V819" s="33"/>
    </row>
    <row r="820" ht="15.75" customHeight="1">
      <c r="L820" s="6"/>
      <c r="M820" s="29"/>
      <c r="N820" s="50"/>
      <c r="O820" s="50"/>
      <c r="P820" s="29"/>
      <c r="Q820" s="29"/>
      <c r="R820" s="29"/>
      <c r="S820" s="29"/>
      <c r="T820" s="29"/>
      <c r="U820" s="33"/>
      <c r="V820" s="33"/>
    </row>
    <row r="821" ht="15.75" customHeight="1">
      <c r="L821" s="6"/>
      <c r="M821" s="29"/>
      <c r="N821" s="50"/>
      <c r="O821" s="50"/>
      <c r="P821" s="29"/>
      <c r="Q821" s="29"/>
      <c r="R821" s="29"/>
      <c r="S821" s="29"/>
      <c r="T821" s="29"/>
      <c r="U821" s="33"/>
      <c r="V821" s="33"/>
    </row>
    <row r="822" ht="15.75" customHeight="1">
      <c r="L822" s="6"/>
      <c r="M822" s="29"/>
      <c r="N822" s="50"/>
      <c r="O822" s="50"/>
      <c r="P822" s="29"/>
      <c r="Q822" s="29"/>
      <c r="R822" s="29"/>
      <c r="S822" s="29"/>
      <c r="T822" s="29"/>
      <c r="U822" s="33"/>
      <c r="V822" s="33"/>
    </row>
    <row r="823" ht="15.75" customHeight="1">
      <c r="L823" s="6"/>
      <c r="M823" s="29"/>
      <c r="N823" s="50"/>
      <c r="O823" s="50"/>
      <c r="P823" s="29"/>
      <c r="Q823" s="29"/>
      <c r="R823" s="29"/>
      <c r="S823" s="29"/>
      <c r="T823" s="29"/>
      <c r="U823" s="33"/>
      <c r="V823" s="33"/>
    </row>
    <row r="824" ht="15.75" customHeight="1">
      <c r="L824" s="6"/>
      <c r="M824" s="29"/>
      <c r="N824" s="50"/>
      <c r="O824" s="50"/>
      <c r="P824" s="29"/>
      <c r="Q824" s="29"/>
      <c r="R824" s="29"/>
      <c r="S824" s="29"/>
      <c r="T824" s="29"/>
      <c r="U824" s="33"/>
      <c r="V824" s="33"/>
    </row>
    <row r="825" ht="15.75" customHeight="1">
      <c r="L825" s="6"/>
      <c r="M825" s="29"/>
      <c r="N825" s="50"/>
      <c r="O825" s="50"/>
      <c r="P825" s="29"/>
      <c r="Q825" s="29"/>
      <c r="R825" s="29"/>
      <c r="S825" s="29"/>
      <c r="T825" s="29"/>
      <c r="U825" s="33"/>
      <c r="V825" s="33"/>
    </row>
    <row r="826" ht="15.75" customHeight="1">
      <c r="L826" s="6"/>
      <c r="M826" s="29"/>
      <c r="N826" s="50"/>
      <c r="O826" s="50"/>
      <c r="P826" s="29"/>
      <c r="Q826" s="29"/>
      <c r="R826" s="29"/>
      <c r="S826" s="29"/>
      <c r="T826" s="29"/>
      <c r="U826" s="33"/>
      <c r="V826" s="33"/>
    </row>
    <row r="827" ht="15.75" customHeight="1">
      <c r="L827" s="6"/>
      <c r="M827" s="29"/>
      <c r="N827" s="50"/>
      <c r="O827" s="50"/>
      <c r="P827" s="29"/>
      <c r="Q827" s="29"/>
      <c r="R827" s="29"/>
      <c r="S827" s="29"/>
      <c r="T827" s="29"/>
      <c r="U827" s="33"/>
      <c r="V827" s="33"/>
    </row>
    <row r="828" ht="15.75" customHeight="1">
      <c r="L828" s="6"/>
      <c r="M828" s="29"/>
      <c r="N828" s="50"/>
      <c r="O828" s="50"/>
      <c r="P828" s="29"/>
      <c r="Q828" s="29"/>
      <c r="R828" s="29"/>
      <c r="S828" s="29"/>
      <c r="T828" s="29"/>
      <c r="U828" s="33"/>
      <c r="V828" s="33"/>
    </row>
    <row r="829" ht="15.75" customHeight="1">
      <c r="L829" s="6"/>
      <c r="M829" s="29"/>
      <c r="N829" s="50"/>
      <c r="O829" s="50"/>
      <c r="P829" s="29"/>
      <c r="Q829" s="29"/>
      <c r="R829" s="29"/>
      <c r="S829" s="29"/>
      <c r="T829" s="29"/>
      <c r="U829" s="33"/>
      <c r="V829" s="33"/>
    </row>
    <row r="830" ht="15.75" customHeight="1">
      <c r="L830" s="6"/>
      <c r="M830" s="29"/>
      <c r="N830" s="50"/>
      <c r="O830" s="50"/>
      <c r="P830" s="29"/>
      <c r="Q830" s="29"/>
      <c r="R830" s="29"/>
      <c r="S830" s="29"/>
      <c r="T830" s="29"/>
      <c r="U830" s="33"/>
      <c r="V830" s="33"/>
    </row>
    <row r="831" ht="15.75" customHeight="1">
      <c r="L831" s="6"/>
      <c r="M831" s="29"/>
      <c r="N831" s="50"/>
      <c r="O831" s="50"/>
      <c r="P831" s="29"/>
      <c r="Q831" s="29"/>
      <c r="R831" s="29"/>
      <c r="S831" s="29"/>
      <c r="T831" s="29"/>
      <c r="U831" s="33"/>
      <c r="V831" s="33"/>
    </row>
    <row r="832" ht="15.75" customHeight="1">
      <c r="L832" s="6"/>
      <c r="M832" s="29"/>
      <c r="N832" s="50"/>
      <c r="O832" s="50"/>
      <c r="P832" s="29"/>
      <c r="Q832" s="29"/>
      <c r="R832" s="29"/>
      <c r="S832" s="29"/>
      <c r="T832" s="29"/>
      <c r="U832" s="33"/>
      <c r="V832" s="33"/>
    </row>
    <row r="833" ht="15.75" customHeight="1">
      <c r="L833" s="6"/>
      <c r="M833" s="29"/>
      <c r="N833" s="50"/>
      <c r="O833" s="50"/>
      <c r="P833" s="29"/>
      <c r="Q833" s="29"/>
      <c r="R833" s="29"/>
      <c r="S833" s="29"/>
      <c r="T833" s="29"/>
      <c r="U833" s="33"/>
      <c r="V833" s="33"/>
    </row>
    <row r="834" ht="15.75" customHeight="1">
      <c r="L834" s="6"/>
      <c r="M834" s="29"/>
      <c r="N834" s="50"/>
      <c r="O834" s="50"/>
      <c r="P834" s="29"/>
      <c r="Q834" s="29"/>
      <c r="R834" s="29"/>
      <c r="S834" s="29"/>
      <c r="T834" s="29"/>
      <c r="U834" s="33"/>
      <c r="V834" s="33"/>
    </row>
    <row r="835" ht="15.75" customHeight="1">
      <c r="L835" s="6"/>
      <c r="M835" s="29"/>
      <c r="N835" s="50"/>
      <c r="O835" s="50"/>
      <c r="P835" s="29"/>
      <c r="Q835" s="29"/>
      <c r="R835" s="29"/>
      <c r="S835" s="29"/>
      <c r="T835" s="29"/>
      <c r="U835" s="33"/>
      <c r="V835" s="33"/>
    </row>
    <row r="836" ht="15.75" customHeight="1">
      <c r="L836" s="6"/>
      <c r="M836" s="29"/>
      <c r="N836" s="50"/>
      <c r="O836" s="50"/>
      <c r="P836" s="29"/>
      <c r="Q836" s="29"/>
      <c r="R836" s="29"/>
      <c r="S836" s="29"/>
      <c r="T836" s="29"/>
      <c r="U836" s="33"/>
      <c r="V836" s="33"/>
    </row>
    <row r="837" ht="15.75" customHeight="1">
      <c r="L837" s="6"/>
      <c r="M837" s="29"/>
      <c r="N837" s="50"/>
      <c r="O837" s="50"/>
      <c r="P837" s="29"/>
      <c r="Q837" s="29"/>
      <c r="R837" s="29"/>
      <c r="S837" s="29"/>
      <c r="T837" s="29"/>
      <c r="U837" s="33"/>
      <c r="V837" s="33"/>
    </row>
    <row r="838" ht="15.75" customHeight="1">
      <c r="L838" s="6"/>
      <c r="M838" s="29"/>
      <c r="N838" s="50"/>
      <c r="O838" s="50"/>
      <c r="P838" s="29"/>
      <c r="Q838" s="29"/>
      <c r="R838" s="29"/>
      <c r="S838" s="29"/>
      <c r="T838" s="29"/>
      <c r="U838" s="33"/>
      <c r="V838" s="33"/>
    </row>
    <row r="839" ht="15.75" customHeight="1">
      <c r="L839" s="6"/>
      <c r="M839" s="29"/>
      <c r="N839" s="50"/>
      <c r="O839" s="50"/>
      <c r="P839" s="29"/>
      <c r="Q839" s="29"/>
      <c r="R839" s="29"/>
      <c r="S839" s="29"/>
      <c r="T839" s="29"/>
      <c r="U839" s="33"/>
      <c r="V839" s="33"/>
    </row>
    <row r="840" ht="15.75" customHeight="1">
      <c r="L840" s="6"/>
      <c r="M840" s="29"/>
      <c r="N840" s="50"/>
      <c r="O840" s="50"/>
      <c r="P840" s="29"/>
      <c r="Q840" s="29"/>
      <c r="R840" s="29"/>
      <c r="S840" s="29"/>
      <c r="T840" s="29"/>
      <c r="U840" s="33"/>
      <c r="V840" s="33"/>
    </row>
    <row r="841" ht="15.75" customHeight="1">
      <c r="L841" s="6"/>
      <c r="M841" s="29"/>
      <c r="N841" s="50"/>
      <c r="O841" s="50"/>
      <c r="P841" s="29"/>
      <c r="Q841" s="29"/>
      <c r="R841" s="29"/>
      <c r="S841" s="29"/>
      <c r="T841" s="29"/>
      <c r="U841" s="33"/>
      <c r="V841" s="33"/>
    </row>
    <row r="842" ht="15.75" customHeight="1">
      <c r="L842" s="6"/>
      <c r="M842" s="29"/>
      <c r="N842" s="50"/>
      <c r="O842" s="50"/>
      <c r="P842" s="29"/>
      <c r="Q842" s="29"/>
      <c r="R842" s="29"/>
      <c r="S842" s="29"/>
      <c r="T842" s="29"/>
      <c r="U842" s="33"/>
      <c r="V842" s="33"/>
    </row>
    <row r="843" ht="15.75" customHeight="1">
      <c r="L843" s="6"/>
      <c r="M843" s="29"/>
      <c r="N843" s="50"/>
      <c r="O843" s="50"/>
      <c r="P843" s="29"/>
      <c r="Q843" s="29"/>
      <c r="R843" s="29"/>
      <c r="S843" s="29"/>
      <c r="T843" s="29"/>
      <c r="U843" s="33"/>
      <c r="V843" s="33"/>
    </row>
    <row r="844" ht="15.75" customHeight="1">
      <c r="L844" s="6"/>
      <c r="M844" s="29"/>
      <c r="N844" s="50"/>
      <c r="O844" s="50"/>
      <c r="P844" s="29"/>
      <c r="Q844" s="29"/>
      <c r="R844" s="29"/>
      <c r="S844" s="29"/>
      <c r="T844" s="29"/>
      <c r="U844" s="33"/>
      <c r="V844" s="33"/>
    </row>
    <row r="845" ht="15.75" customHeight="1">
      <c r="L845" s="6"/>
      <c r="M845" s="29"/>
      <c r="N845" s="50"/>
      <c r="O845" s="50"/>
      <c r="P845" s="29"/>
      <c r="Q845" s="29"/>
      <c r="R845" s="29"/>
      <c r="S845" s="29"/>
      <c r="T845" s="29"/>
      <c r="U845" s="33"/>
      <c r="V845" s="33"/>
    </row>
    <row r="846" ht="15.75" customHeight="1">
      <c r="L846" s="6"/>
      <c r="M846" s="29"/>
      <c r="N846" s="50"/>
      <c r="O846" s="50"/>
      <c r="P846" s="29"/>
      <c r="Q846" s="29"/>
      <c r="R846" s="29"/>
      <c r="S846" s="29"/>
      <c r="T846" s="29"/>
      <c r="U846" s="33"/>
      <c r="V846" s="33"/>
    </row>
    <row r="847" ht="15.75" customHeight="1">
      <c r="L847" s="6"/>
      <c r="M847" s="29"/>
      <c r="N847" s="50"/>
      <c r="O847" s="50"/>
      <c r="P847" s="29"/>
      <c r="Q847" s="29"/>
      <c r="R847" s="29"/>
      <c r="S847" s="29"/>
      <c r="T847" s="29"/>
      <c r="U847" s="33"/>
      <c r="V847" s="33"/>
    </row>
    <row r="848" ht="15.75" customHeight="1">
      <c r="L848" s="6"/>
      <c r="M848" s="29"/>
      <c r="N848" s="50"/>
      <c r="O848" s="50"/>
      <c r="P848" s="29"/>
      <c r="Q848" s="29"/>
      <c r="R848" s="29"/>
      <c r="S848" s="29"/>
      <c r="T848" s="29"/>
      <c r="U848" s="33"/>
      <c r="V848" s="33"/>
    </row>
    <row r="849" ht="15.75" customHeight="1">
      <c r="L849" s="6"/>
      <c r="M849" s="29"/>
      <c r="N849" s="50"/>
      <c r="O849" s="50"/>
      <c r="P849" s="29"/>
      <c r="Q849" s="29"/>
      <c r="R849" s="29"/>
      <c r="S849" s="29"/>
      <c r="T849" s="29"/>
      <c r="U849" s="33"/>
      <c r="V849" s="33"/>
    </row>
    <row r="850" ht="15.75" customHeight="1">
      <c r="L850" s="6"/>
      <c r="M850" s="29"/>
      <c r="N850" s="50"/>
      <c r="O850" s="50"/>
      <c r="P850" s="29"/>
      <c r="Q850" s="29"/>
      <c r="R850" s="29"/>
      <c r="S850" s="29"/>
      <c r="T850" s="29"/>
      <c r="U850" s="33"/>
      <c r="V850" s="33"/>
    </row>
    <row r="851" ht="15.75" customHeight="1">
      <c r="L851" s="6"/>
      <c r="M851" s="29"/>
      <c r="N851" s="50"/>
      <c r="O851" s="50"/>
      <c r="P851" s="29"/>
      <c r="Q851" s="29"/>
      <c r="R851" s="29"/>
      <c r="S851" s="29"/>
      <c r="T851" s="29"/>
      <c r="U851" s="33"/>
      <c r="V851" s="33"/>
    </row>
    <row r="852" ht="15.75" customHeight="1">
      <c r="L852" s="6"/>
      <c r="M852" s="29"/>
      <c r="N852" s="50"/>
      <c r="O852" s="50"/>
      <c r="P852" s="29"/>
      <c r="Q852" s="29"/>
      <c r="R852" s="29"/>
      <c r="S852" s="29"/>
      <c r="T852" s="29"/>
      <c r="U852" s="33"/>
      <c r="V852" s="33"/>
    </row>
    <row r="853" ht="15.75" customHeight="1">
      <c r="L853" s="6"/>
      <c r="M853" s="29"/>
      <c r="N853" s="50"/>
      <c r="O853" s="50"/>
      <c r="P853" s="29"/>
      <c r="Q853" s="29"/>
      <c r="R853" s="29"/>
      <c r="S853" s="29"/>
      <c r="T853" s="29"/>
      <c r="U853" s="33"/>
      <c r="V853" s="33"/>
    </row>
    <row r="854" ht="15.75" customHeight="1">
      <c r="L854" s="6"/>
      <c r="M854" s="29"/>
      <c r="N854" s="50"/>
      <c r="O854" s="50"/>
      <c r="P854" s="29"/>
      <c r="Q854" s="29"/>
      <c r="R854" s="29"/>
      <c r="S854" s="29"/>
      <c r="T854" s="29"/>
      <c r="U854" s="33"/>
      <c r="V854" s="33"/>
    </row>
    <row r="855" ht="15.75" customHeight="1">
      <c r="L855" s="6"/>
      <c r="M855" s="29"/>
      <c r="N855" s="50"/>
      <c r="O855" s="50"/>
      <c r="P855" s="29"/>
      <c r="Q855" s="29"/>
      <c r="R855" s="29"/>
      <c r="S855" s="29"/>
      <c r="T855" s="29"/>
      <c r="U855" s="33"/>
      <c r="V855" s="33"/>
    </row>
    <row r="856" ht="15.75" customHeight="1">
      <c r="L856" s="6"/>
      <c r="M856" s="29"/>
      <c r="N856" s="50"/>
      <c r="O856" s="50"/>
      <c r="P856" s="29"/>
      <c r="Q856" s="29"/>
      <c r="R856" s="29"/>
      <c r="S856" s="29"/>
      <c r="T856" s="29"/>
      <c r="U856" s="33"/>
      <c r="V856" s="33"/>
    </row>
    <row r="857" ht="15.75" customHeight="1">
      <c r="L857" s="6"/>
      <c r="M857" s="29"/>
      <c r="N857" s="50"/>
      <c r="O857" s="50"/>
      <c r="P857" s="29"/>
      <c r="Q857" s="29"/>
      <c r="R857" s="29"/>
      <c r="S857" s="29"/>
      <c r="T857" s="29"/>
      <c r="U857" s="33"/>
      <c r="V857" s="33"/>
    </row>
    <row r="858" ht="15.75" customHeight="1">
      <c r="L858" s="6"/>
      <c r="M858" s="29"/>
      <c r="N858" s="50"/>
      <c r="O858" s="50"/>
      <c r="P858" s="29"/>
      <c r="Q858" s="29"/>
      <c r="R858" s="29"/>
      <c r="S858" s="29"/>
      <c r="T858" s="29"/>
      <c r="U858" s="33"/>
      <c r="V858" s="33"/>
    </row>
    <row r="859" ht="15.75" customHeight="1">
      <c r="L859" s="6"/>
      <c r="M859" s="29"/>
      <c r="N859" s="50"/>
      <c r="O859" s="50"/>
      <c r="P859" s="29"/>
      <c r="Q859" s="29"/>
      <c r="R859" s="29"/>
      <c r="S859" s="29"/>
      <c r="T859" s="29"/>
      <c r="U859" s="33"/>
      <c r="V859" s="33"/>
    </row>
    <row r="860" ht="15.75" customHeight="1">
      <c r="L860" s="6"/>
      <c r="M860" s="29"/>
      <c r="N860" s="50"/>
      <c r="O860" s="50"/>
      <c r="P860" s="29"/>
      <c r="Q860" s="29"/>
      <c r="R860" s="29"/>
      <c r="S860" s="29"/>
      <c r="T860" s="29"/>
      <c r="U860" s="33"/>
      <c r="V860" s="33"/>
    </row>
    <row r="861" ht="15.75" customHeight="1">
      <c r="L861" s="6"/>
      <c r="M861" s="29"/>
      <c r="N861" s="50"/>
      <c r="O861" s="50"/>
      <c r="P861" s="29"/>
      <c r="Q861" s="29"/>
      <c r="R861" s="29"/>
      <c r="S861" s="29"/>
      <c r="T861" s="29"/>
      <c r="U861" s="33"/>
      <c r="V861" s="33"/>
    </row>
    <row r="862" ht="15.75" customHeight="1">
      <c r="L862" s="6"/>
      <c r="M862" s="29"/>
      <c r="N862" s="50"/>
      <c r="O862" s="50"/>
      <c r="P862" s="29"/>
      <c r="Q862" s="29"/>
      <c r="R862" s="29"/>
      <c r="S862" s="29"/>
      <c r="T862" s="29"/>
      <c r="U862" s="33"/>
      <c r="V862" s="33"/>
    </row>
    <row r="863" ht="15.75" customHeight="1">
      <c r="L863" s="6"/>
      <c r="M863" s="29"/>
      <c r="N863" s="50"/>
      <c r="O863" s="50"/>
      <c r="P863" s="29"/>
      <c r="Q863" s="29"/>
      <c r="R863" s="29"/>
      <c r="S863" s="29"/>
      <c r="T863" s="29"/>
      <c r="U863" s="33"/>
      <c r="V863" s="33"/>
    </row>
    <row r="864" ht="15.75" customHeight="1">
      <c r="L864" s="6"/>
      <c r="M864" s="29"/>
      <c r="N864" s="50"/>
      <c r="O864" s="50"/>
      <c r="P864" s="29"/>
      <c r="Q864" s="29"/>
      <c r="R864" s="29"/>
      <c r="S864" s="29"/>
      <c r="T864" s="29"/>
      <c r="U864" s="33"/>
      <c r="V864" s="33"/>
    </row>
    <row r="865" ht="15.75" customHeight="1">
      <c r="L865" s="6"/>
      <c r="M865" s="29"/>
      <c r="N865" s="50"/>
      <c r="O865" s="50"/>
      <c r="P865" s="29"/>
      <c r="Q865" s="29"/>
      <c r="R865" s="29"/>
      <c r="S865" s="29"/>
      <c r="T865" s="29"/>
      <c r="U865" s="33"/>
      <c r="V865" s="33"/>
    </row>
    <row r="866" ht="15.75" customHeight="1">
      <c r="L866" s="6"/>
      <c r="M866" s="29"/>
      <c r="N866" s="50"/>
      <c r="O866" s="50"/>
      <c r="P866" s="29"/>
      <c r="Q866" s="29"/>
      <c r="R866" s="29"/>
      <c r="S866" s="29"/>
      <c r="T866" s="29"/>
      <c r="U866" s="33"/>
      <c r="V866" s="33"/>
    </row>
    <row r="867" ht="15.75" customHeight="1">
      <c r="L867" s="6"/>
      <c r="M867" s="29"/>
      <c r="N867" s="50"/>
      <c r="O867" s="50"/>
      <c r="P867" s="29"/>
      <c r="Q867" s="29"/>
      <c r="R867" s="29"/>
      <c r="S867" s="29"/>
      <c r="T867" s="29"/>
      <c r="U867" s="33"/>
      <c r="V867" s="33"/>
    </row>
    <row r="868" ht="15.75" customHeight="1">
      <c r="L868" s="6"/>
      <c r="M868" s="29"/>
      <c r="N868" s="50"/>
      <c r="O868" s="50"/>
      <c r="P868" s="29"/>
      <c r="Q868" s="29"/>
      <c r="R868" s="29"/>
      <c r="S868" s="29"/>
      <c r="T868" s="29"/>
      <c r="U868" s="33"/>
      <c r="V868" s="33"/>
    </row>
    <row r="869" ht="15.75" customHeight="1">
      <c r="L869" s="6"/>
      <c r="M869" s="29"/>
      <c r="N869" s="50"/>
      <c r="O869" s="50"/>
      <c r="P869" s="29"/>
      <c r="Q869" s="29"/>
      <c r="R869" s="29"/>
      <c r="S869" s="29"/>
      <c r="T869" s="29"/>
      <c r="U869" s="33"/>
      <c r="V869" s="33"/>
    </row>
    <row r="870" ht="15.75" customHeight="1">
      <c r="L870" s="6"/>
      <c r="M870" s="29"/>
      <c r="N870" s="50"/>
      <c r="O870" s="50"/>
      <c r="P870" s="29"/>
      <c r="Q870" s="29"/>
      <c r="R870" s="29"/>
      <c r="S870" s="29"/>
      <c r="T870" s="29"/>
      <c r="U870" s="33"/>
      <c r="V870" s="33"/>
    </row>
    <row r="871" ht="15.75" customHeight="1">
      <c r="L871" s="6"/>
      <c r="M871" s="29"/>
      <c r="N871" s="50"/>
      <c r="O871" s="50"/>
      <c r="P871" s="29"/>
      <c r="Q871" s="29"/>
      <c r="R871" s="29"/>
      <c r="S871" s="29"/>
      <c r="T871" s="29"/>
      <c r="U871" s="33"/>
      <c r="V871" s="33"/>
    </row>
    <row r="872" ht="15.75" customHeight="1">
      <c r="L872" s="6"/>
      <c r="M872" s="29"/>
      <c r="N872" s="50"/>
      <c r="O872" s="50"/>
      <c r="P872" s="29"/>
      <c r="Q872" s="29"/>
      <c r="R872" s="29"/>
      <c r="S872" s="29"/>
      <c r="T872" s="29"/>
      <c r="U872" s="33"/>
      <c r="V872" s="33"/>
    </row>
    <row r="873" ht="15.75" customHeight="1">
      <c r="L873" s="6"/>
      <c r="M873" s="29"/>
      <c r="N873" s="50"/>
      <c r="O873" s="50"/>
      <c r="P873" s="29"/>
      <c r="Q873" s="29"/>
      <c r="R873" s="29"/>
      <c r="S873" s="29"/>
      <c r="T873" s="29"/>
      <c r="U873" s="33"/>
      <c r="V873" s="33"/>
    </row>
    <row r="874" ht="15.75" customHeight="1">
      <c r="L874" s="6"/>
      <c r="M874" s="29"/>
      <c r="N874" s="50"/>
      <c r="O874" s="50"/>
      <c r="P874" s="29"/>
      <c r="Q874" s="29"/>
      <c r="R874" s="29"/>
      <c r="S874" s="29"/>
      <c r="T874" s="29"/>
      <c r="U874" s="33"/>
      <c r="V874" s="33"/>
    </row>
    <row r="875" ht="15.75" customHeight="1">
      <c r="L875" s="6"/>
      <c r="M875" s="29"/>
      <c r="N875" s="50"/>
      <c r="O875" s="50"/>
      <c r="P875" s="29"/>
      <c r="Q875" s="29"/>
      <c r="R875" s="29"/>
      <c r="S875" s="29"/>
      <c r="T875" s="29"/>
      <c r="U875" s="33"/>
      <c r="V875" s="33"/>
    </row>
    <row r="876" ht="15.75" customHeight="1">
      <c r="L876" s="6"/>
      <c r="M876" s="29"/>
      <c r="N876" s="50"/>
      <c r="O876" s="50"/>
      <c r="P876" s="29"/>
      <c r="Q876" s="29"/>
      <c r="R876" s="29"/>
      <c r="S876" s="29"/>
      <c r="T876" s="29"/>
      <c r="U876" s="33"/>
      <c r="V876" s="33"/>
    </row>
    <row r="877" ht="15.75" customHeight="1">
      <c r="L877" s="6"/>
      <c r="M877" s="29"/>
      <c r="N877" s="50"/>
      <c r="O877" s="50"/>
      <c r="P877" s="29"/>
      <c r="Q877" s="29"/>
      <c r="R877" s="29"/>
      <c r="S877" s="29"/>
      <c r="T877" s="29"/>
      <c r="U877" s="33"/>
      <c r="V877" s="33"/>
    </row>
    <row r="878" ht="15.75" customHeight="1">
      <c r="L878" s="6"/>
      <c r="M878" s="29"/>
      <c r="N878" s="50"/>
      <c r="O878" s="50"/>
      <c r="P878" s="29"/>
      <c r="Q878" s="29"/>
      <c r="R878" s="29"/>
      <c r="S878" s="29"/>
      <c r="T878" s="29"/>
      <c r="U878" s="33"/>
      <c r="V878" s="33"/>
    </row>
    <row r="879" ht="15.75" customHeight="1">
      <c r="L879" s="6"/>
      <c r="M879" s="29"/>
      <c r="N879" s="50"/>
      <c r="O879" s="50"/>
      <c r="P879" s="29"/>
      <c r="Q879" s="29"/>
      <c r="R879" s="29"/>
      <c r="S879" s="29"/>
      <c r="T879" s="29"/>
      <c r="U879" s="33"/>
      <c r="V879" s="33"/>
    </row>
    <row r="880" ht="15.75" customHeight="1">
      <c r="L880" s="6"/>
      <c r="M880" s="29"/>
      <c r="N880" s="50"/>
      <c r="O880" s="50"/>
      <c r="P880" s="29"/>
      <c r="Q880" s="29"/>
      <c r="R880" s="29"/>
      <c r="S880" s="29"/>
      <c r="T880" s="29"/>
      <c r="U880" s="33"/>
      <c r="V880" s="33"/>
    </row>
    <row r="881" ht="15.75" customHeight="1">
      <c r="L881" s="6"/>
      <c r="M881" s="29"/>
      <c r="N881" s="50"/>
      <c r="O881" s="50"/>
      <c r="P881" s="29"/>
      <c r="Q881" s="29"/>
      <c r="R881" s="29"/>
      <c r="S881" s="29"/>
      <c r="T881" s="29"/>
      <c r="U881" s="33"/>
      <c r="V881" s="33"/>
    </row>
    <row r="882" ht="15.75" customHeight="1">
      <c r="L882" s="6"/>
      <c r="M882" s="29"/>
      <c r="N882" s="50"/>
      <c r="O882" s="50"/>
      <c r="P882" s="29"/>
      <c r="Q882" s="29"/>
      <c r="R882" s="29"/>
      <c r="S882" s="29"/>
      <c r="T882" s="29"/>
      <c r="U882" s="33"/>
      <c r="V882" s="33"/>
    </row>
    <row r="883" ht="15.75" customHeight="1">
      <c r="L883" s="6"/>
      <c r="M883" s="29"/>
      <c r="N883" s="50"/>
      <c r="O883" s="50"/>
      <c r="P883" s="29"/>
      <c r="Q883" s="29"/>
      <c r="R883" s="29"/>
      <c r="S883" s="29"/>
      <c r="T883" s="29"/>
      <c r="U883" s="33"/>
      <c r="V883" s="33"/>
    </row>
    <row r="884" ht="15.75" customHeight="1">
      <c r="L884" s="6"/>
      <c r="M884" s="29"/>
      <c r="N884" s="50"/>
      <c r="O884" s="50"/>
      <c r="P884" s="29"/>
      <c r="Q884" s="29"/>
      <c r="R884" s="29"/>
      <c r="S884" s="29"/>
      <c r="T884" s="29"/>
      <c r="U884" s="33"/>
      <c r="V884" s="33"/>
    </row>
    <row r="885" ht="15.75" customHeight="1">
      <c r="L885" s="6"/>
      <c r="M885" s="29"/>
      <c r="N885" s="50"/>
      <c r="O885" s="50"/>
      <c r="P885" s="29"/>
      <c r="Q885" s="29"/>
      <c r="R885" s="29"/>
      <c r="S885" s="29"/>
      <c r="T885" s="29"/>
      <c r="U885" s="33"/>
      <c r="V885" s="33"/>
    </row>
    <row r="886" ht="15.75" customHeight="1">
      <c r="L886" s="6"/>
      <c r="M886" s="29"/>
      <c r="N886" s="50"/>
      <c r="O886" s="50"/>
      <c r="P886" s="29"/>
      <c r="Q886" s="29"/>
      <c r="R886" s="29"/>
      <c r="S886" s="29"/>
      <c r="T886" s="29"/>
      <c r="U886" s="33"/>
      <c r="V886" s="33"/>
    </row>
    <row r="887" ht="15.75" customHeight="1">
      <c r="L887" s="6"/>
      <c r="M887" s="29"/>
      <c r="N887" s="50"/>
      <c r="O887" s="50"/>
      <c r="P887" s="29"/>
      <c r="Q887" s="29"/>
      <c r="R887" s="29"/>
      <c r="S887" s="29"/>
      <c r="T887" s="29"/>
      <c r="U887" s="33"/>
      <c r="V887" s="33"/>
    </row>
    <row r="888" ht="15.75" customHeight="1">
      <c r="L888" s="6"/>
      <c r="M888" s="29"/>
      <c r="N888" s="50"/>
      <c r="O888" s="50"/>
      <c r="P888" s="29"/>
      <c r="Q888" s="29"/>
      <c r="R888" s="29"/>
      <c r="S888" s="29"/>
      <c r="T888" s="29"/>
      <c r="U888" s="33"/>
      <c r="V888" s="33"/>
    </row>
    <row r="889" ht="15.75" customHeight="1">
      <c r="L889" s="6"/>
      <c r="M889" s="29"/>
      <c r="N889" s="50"/>
      <c r="O889" s="50"/>
      <c r="P889" s="29"/>
      <c r="Q889" s="29"/>
      <c r="R889" s="29"/>
      <c r="S889" s="29"/>
      <c r="T889" s="29"/>
      <c r="U889" s="33"/>
      <c r="V889" s="33"/>
    </row>
    <row r="890" ht="15.75" customHeight="1">
      <c r="L890" s="6"/>
      <c r="M890" s="29"/>
      <c r="N890" s="50"/>
      <c r="O890" s="50"/>
      <c r="P890" s="29"/>
      <c r="Q890" s="29"/>
      <c r="R890" s="29"/>
      <c r="S890" s="29"/>
      <c r="T890" s="29"/>
      <c r="U890" s="33"/>
      <c r="V890" s="33"/>
    </row>
    <row r="891" ht="15.75" customHeight="1">
      <c r="L891" s="6"/>
      <c r="M891" s="29"/>
      <c r="N891" s="50"/>
      <c r="O891" s="50"/>
      <c r="P891" s="29"/>
      <c r="Q891" s="29"/>
      <c r="R891" s="29"/>
      <c r="S891" s="29"/>
      <c r="T891" s="29"/>
      <c r="U891" s="33"/>
      <c r="V891" s="33"/>
    </row>
    <row r="892" ht="15.75" customHeight="1">
      <c r="L892" s="6"/>
      <c r="M892" s="29"/>
      <c r="N892" s="50"/>
      <c r="O892" s="50"/>
      <c r="P892" s="29"/>
      <c r="Q892" s="29"/>
      <c r="R892" s="29"/>
      <c r="S892" s="29"/>
      <c r="T892" s="29"/>
      <c r="U892" s="33"/>
      <c r="V892" s="33"/>
    </row>
    <row r="893" ht="15.75" customHeight="1">
      <c r="L893" s="6"/>
      <c r="M893" s="29"/>
      <c r="N893" s="50"/>
      <c r="O893" s="50"/>
      <c r="P893" s="29"/>
      <c r="Q893" s="29"/>
      <c r="R893" s="29"/>
      <c r="S893" s="29"/>
      <c r="T893" s="29"/>
      <c r="U893" s="33"/>
      <c r="V893" s="33"/>
    </row>
    <row r="894" ht="15.75" customHeight="1">
      <c r="L894" s="6"/>
      <c r="M894" s="29"/>
      <c r="N894" s="50"/>
      <c r="O894" s="50"/>
      <c r="P894" s="29"/>
      <c r="Q894" s="29"/>
      <c r="R894" s="29"/>
      <c r="S894" s="29"/>
      <c r="T894" s="29"/>
      <c r="U894" s="33"/>
      <c r="V894" s="33"/>
    </row>
    <row r="895" ht="15.75" customHeight="1">
      <c r="L895" s="6"/>
      <c r="M895" s="29"/>
      <c r="N895" s="50"/>
      <c r="O895" s="50"/>
      <c r="P895" s="29"/>
      <c r="Q895" s="29"/>
      <c r="R895" s="29"/>
      <c r="S895" s="29"/>
      <c r="T895" s="29"/>
      <c r="U895" s="33"/>
      <c r="V895" s="33"/>
    </row>
    <row r="896" ht="15.75" customHeight="1">
      <c r="L896" s="6"/>
      <c r="M896" s="29"/>
      <c r="N896" s="50"/>
      <c r="O896" s="50"/>
      <c r="P896" s="29"/>
      <c r="Q896" s="29"/>
      <c r="R896" s="29"/>
      <c r="S896" s="29"/>
      <c r="T896" s="29"/>
      <c r="U896" s="33"/>
      <c r="V896" s="33"/>
    </row>
    <row r="897" ht="15.75" customHeight="1">
      <c r="L897" s="6"/>
      <c r="M897" s="29"/>
      <c r="N897" s="50"/>
      <c r="O897" s="50"/>
      <c r="P897" s="29"/>
      <c r="Q897" s="29"/>
      <c r="R897" s="29"/>
      <c r="S897" s="29"/>
      <c r="T897" s="29"/>
      <c r="U897" s="33"/>
      <c r="V897" s="33"/>
    </row>
    <row r="898" ht="15.75" customHeight="1">
      <c r="L898" s="6"/>
      <c r="M898" s="29"/>
      <c r="N898" s="50"/>
      <c r="O898" s="50"/>
      <c r="P898" s="29"/>
      <c r="Q898" s="29"/>
      <c r="R898" s="29"/>
      <c r="S898" s="29"/>
      <c r="T898" s="29"/>
      <c r="U898" s="33"/>
      <c r="V898" s="33"/>
    </row>
    <row r="899" ht="15.75" customHeight="1">
      <c r="L899" s="6"/>
      <c r="M899" s="29"/>
      <c r="N899" s="50"/>
      <c r="O899" s="50"/>
      <c r="P899" s="29"/>
      <c r="Q899" s="29"/>
      <c r="R899" s="29"/>
      <c r="S899" s="29"/>
      <c r="T899" s="29"/>
      <c r="U899" s="33"/>
      <c r="V899" s="33"/>
    </row>
    <row r="900" ht="15.75" customHeight="1">
      <c r="L900" s="6"/>
      <c r="M900" s="29"/>
      <c r="N900" s="50"/>
      <c r="O900" s="50"/>
      <c r="P900" s="29"/>
      <c r="Q900" s="29"/>
      <c r="R900" s="29"/>
      <c r="S900" s="29"/>
      <c r="T900" s="29"/>
      <c r="U900" s="33"/>
      <c r="V900" s="33"/>
    </row>
    <row r="901" ht="15.75" customHeight="1">
      <c r="L901" s="6"/>
      <c r="M901" s="29"/>
      <c r="N901" s="50"/>
      <c r="O901" s="50"/>
      <c r="P901" s="29"/>
      <c r="Q901" s="29"/>
      <c r="R901" s="29"/>
      <c r="S901" s="29"/>
      <c r="T901" s="29"/>
      <c r="U901" s="33"/>
      <c r="V901" s="33"/>
    </row>
    <row r="902" ht="15.75" customHeight="1">
      <c r="L902" s="6"/>
      <c r="M902" s="29"/>
      <c r="N902" s="50"/>
      <c r="O902" s="50"/>
      <c r="P902" s="29"/>
      <c r="Q902" s="29"/>
      <c r="R902" s="29"/>
      <c r="S902" s="29"/>
      <c r="T902" s="29"/>
      <c r="U902" s="33"/>
      <c r="V902" s="33"/>
    </row>
    <row r="903" ht="15.75" customHeight="1">
      <c r="L903" s="6"/>
      <c r="M903" s="29"/>
      <c r="N903" s="50"/>
      <c r="O903" s="50"/>
      <c r="P903" s="29"/>
      <c r="Q903" s="29"/>
      <c r="R903" s="29"/>
      <c r="S903" s="29"/>
      <c r="T903" s="29"/>
      <c r="U903" s="33"/>
      <c r="V903" s="33"/>
    </row>
    <row r="904" ht="15.75" customHeight="1">
      <c r="L904" s="6"/>
      <c r="M904" s="29"/>
      <c r="N904" s="50"/>
      <c r="O904" s="50"/>
      <c r="P904" s="29"/>
      <c r="Q904" s="29"/>
      <c r="R904" s="29"/>
      <c r="S904" s="29"/>
      <c r="T904" s="29"/>
      <c r="U904" s="33"/>
      <c r="V904" s="33"/>
    </row>
    <row r="905" ht="15.75" customHeight="1">
      <c r="L905" s="6"/>
      <c r="M905" s="29"/>
      <c r="N905" s="50"/>
      <c r="O905" s="50"/>
      <c r="P905" s="29"/>
      <c r="Q905" s="29"/>
      <c r="R905" s="29"/>
      <c r="S905" s="29"/>
      <c r="T905" s="29"/>
      <c r="U905" s="33"/>
      <c r="V905" s="33"/>
    </row>
    <row r="906" ht="15.75" customHeight="1">
      <c r="L906" s="6"/>
      <c r="M906" s="29"/>
      <c r="N906" s="50"/>
      <c r="O906" s="50"/>
      <c r="P906" s="29"/>
      <c r="Q906" s="29"/>
      <c r="R906" s="29"/>
      <c r="S906" s="29"/>
      <c r="T906" s="29"/>
      <c r="U906" s="33"/>
      <c r="V906" s="33"/>
    </row>
    <row r="907" ht="15.75" customHeight="1">
      <c r="L907" s="6"/>
      <c r="M907" s="29"/>
      <c r="N907" s="50"/>
      <c r="O907" s="50"/>
      <c r="P907" s="29"/>
      <c r="Q907" s="29"/>
      <c r="R907" s="29"/>
      <c r="S907" s="29"/>
      <c r="T907" s="29"/>
      <c r="U907" s="33"/>
      <c r="V907" s="33"/>
    </row>
    <row r="908" ht="15.75" customHeight="1">
      <c r="L908" s="6"/>
      <c r="M908" s="29"/>
      <c r="N908" s="50"/>
      <c r="O908" s="50"/>
      <c r="P908" s="29"/>
      <c r="Q908" s="29"/>
      <c r="R908" s="29"/>
      <c r="S908" s="29"/>
      <c r="T908" s="29"/>
      <c r="U908" s="33"/>
      <c r="V908" s="33"/>
    </row>
    <row r="909" ht="15.75" customHeight="1">
      <c r="L909" s="6"/>
      <c r="M909" s="29"/>
      <c r="N909" s="50"/>
      <c r="O909" s="50"/>
      <c r="P909" s="29"/>
      <c r="Q909" s="29"/>
      <c r="R909" s="29"/>
      <c r="S909" s="29"/>
      <c r="T909" s="29"/>
      <c r="U909" s="33"/>
      <c r="V909" s="33"/>
    </row>
    <row r="910" ht="15.75" customHeight="1">
      <c r="L910" s="6"/>
      <c r="M910" s="29"/>
      <c r="N910" s="50"/>
      <c r="O910" s="50"/>
      <c r="P910" s="29"/>
      <c r="Q910" s="29"/>
      <c r="R910" s="29"/>
      <c r="S910" s="29"/>
      <c r="T910" s="29"/>
      <c r="U910" s="33"/>
      <c r="V910" s="33"/>
    </row>
    <row r="911" ht="15.75" customHeight="1">
      <c r="L911" s="6"/>
      <c r="M911" s="29"/>
      <c r="N911" s="50"/>
      <c r="O911" s="50"/>
      <c r="P911" s="29"/>
      <c r="Q911" s="29"/>
      <c r="R911" s="29"/>
      <c r="S911" s="29"/>
      <c r="T911" s="29"/>
      <c r="U911" s="33"/>
      <c r="V911" s="33"/>
    </row>
    <row r="912" ht="15.75" customHeight="1">
      <c r="L912" s="6"/>
      <c r="M912" s="29"/>
      <c r="N912" s="50"/>
      <c r="O912" s="50"/>
      <c r="P912" s="29"/>
      <c r="Q912" s="29"/>
      <c r="R912" s="29"/>
      <c r="S912" s="29"/>
      <c r="T912" s="29"/>
      <c r="U912" s="33"/>
      <c r="V912" s="33"/>
    </row>
    <row r="913" ht="15.75" customHeight="1">
      <c r="L913" s="6"/>
      <c r="M913" s="29"/>
      <c r="N913" s="50"/>
      <c r="O913" s="50"/>
      <c r="P913" s="29"/>
      <c r="Q913" s="29"/>
      <c r="R913" s="29"/>
      <c r="S913" s="29"/>
      <c r="T913" s="29"/>
      <c r="U913" s="33"/>
      <c r="V913" s="33"/>
    </row>
    <row r="914" ht="15.75" customHeight="1">
      <c r="L914" s="6"/>
      <c r="M914" s="29"/>
      <c r="N914" s="50"/>
      <c r="O914" s="50"/>
      <c r="P914" s="29"/>
      <c r="Q914" s="29"/>
      <c r="R914" s="29"/>
      <c r="S914" s="29"/>
      <c r="T914" s="29"/>
      <c r="U914" s="33"/>
      <c r="V914" s="33"/>
    </row>
    <row r="915" ht="15.75" customHeight="1">
      <c r="L915" s="6"/>
      <c r="M915" s="29"/>
      <c r="N915" s="50"/>
      <c r="O915" s="50"/>
      <c r="P915" s="29"/>
      <c r="Q915" s="29"/>
      <c r="R915" s="29"/>
      <c r="S915" s="29"/>
      <c r="T915" s="29"/>
      <c r="U915" s="33"/>
      <c r="V915" s="33"/>
    </row>
    <row r="916" ht="15.75" customHeight="1">
      <c r="L916" s="6"/>
      <c r="M916" s="29"/>
      <c r="N916" s="50"/>
      <c r="O916" s="50"/>
      <c r="P916" s="29"/>
      <c r="Q916" s="29"/>
      <c r="R916" s="29"/>
      <c r="S916" s="29"/>
      <c r="T916" s="29"/>
      <c r="U916" s="33"/>
      <c r="V916" s="33"/>
    </row>
    <row r="917" ht="15.75" customHeight="1">
      <c r="L917" s="6"/>
      <c r="M917" s="29"/>
      <c r="N917" s="50"/>
      <c r="O917" s="50"/>
      <c r="P917" s="29"/>
      <c r="Q917" s="29"/>
      <c r="R917" s="29"/>
      <c r="S917" s="29"/>
      <c r="T917" s="29"/>
      <c r="U917" s="33"/>
      <c r="V917" s="33"/>
    </row>
    <row r="918" ht="15.75" customHeight="1">
      <c r="L918" s="6"/>
      <c r="M918" s="29"/>
      <c r="N918" s="50"/>
      <c r="O918" s="50"/>
      <c r="P918" s="29"/>
      <c r="Q918" s="29"/>
      <c r="R918" s="29"/>
      <c r="S918" s="29"/>
      <c r="T918" s="29"/>
      <c r="U918" s="33"/>
      <c r="V918" s="33"/>
    </row>
    <row r="919" ht="15.75" customHeight="1">
      <c r="L919" s="6"/>
      <c r="M919" s="29"/>
      <c r="N919" s="50"/>
      <c r="O919" s="50"/>
      <c r="P919" s="29"/>
      <c r="Q919" s="29"/>
      <c r="R919" s="29"/>
      <c r="S919" s="29"/>
      <c r="T919" s="29"/>
      <c r="U919" s="33"/>
      <c r="V919" s="33"/>
    </row>
    <row r="920" ht="15.75" customHeight="1">
      <c r="L920" s="6"/>
      <c r="M920" s="29"/>
      <c r="N920" s="50"/>
      <c r="O920" s="50"/>
      <c r="P920" s="29"/>
      <c r="Q920" s="29"/>
      <c r="R920" s="29"/>
      <c r="S920" s="29"/>
      <c r="T920" s="29"/>
      <c r="U920" s="33"/>
      <c r="V920" s="33"/>
    </row>
    <row r="921" ht="15.75" customHeight="1">
      <c r="L921" s="6"/>
      <c r="M921" s="29"/>
      <c r="N921" s="50"/>
      <c r="O921" s="50"/>
      <c r="P921" s="29"/>
      <c r="Q921" s="29"/>
      <c r="R921" s="29"/>
      <c r="S921" s="29"/>
      <c r="T921" s="29"/>
      <c r="U921" s="33"/>
      <c r="V921" s="33"/>
    </row>
    <row r="922" ht="15.75" customHeight="1">
      <c r="L922" s="6"/>
      <c r="M922" s="29"/>
      <c r="N922" s="50"/>
      <c r="O922" s="50"/>
      <c r="P922" s="29"/>
      <c r="Q922" s="29"/>
      <c r="R922" s="29"/>
      <c r="S922" s="29"/>
      <c r="T922" s="29"/>
      <c r="U922" s="33"/>
      <c r="V922" s="33"/>
    </row>
    <row r="923" ht="15.75" customHeight="1">
      <c r="L923" s="6"/>
      <c r="M923" s="29"/>
      <c r="N923" s="50"/>
      <c r="O923" s="50"/>
      <c r="P923" s="29"/>
      <c r="Q923" s="29"/>
      <c r="R923" s="29"/>
      <c r="S923" s="29"/>
      <c r="T923" s="29"/>
      <c r="U923" s="33"/>
      <c r="V923" s="33"/>
    </row>
    <row r="924" ht="15.75" customHeight="1">
      <c r="L924" s="6"/>
      <c r="M924" s="29"/>
      <c r="N924" s="50"/>
      <c r="O924" s="50"/>
      <c r="P924" s="29"/>
      <c r="Q924" s="29"/>
      <c r="R924" s="29"/>
      <c r="S924" s="29"/>
      <c r="T924" s="29"/>
      <c r="U924" s="33"/>
      <c r="V924" s="33"/>
    </row>
    <row r="925" ht="15.75" customHeight="1">
      <c r="L925" s="6"/>
      <c r="M925" s="29"/>
      <c r="N925" s="50"/>
      <c r="O925" s="50"/>
      <c r="P925" s="29"/>
      <c r="Q925" s="29"/>
      <c r="R925" s="29"/>
      <c r="S925" s="29"/>
      <c r="T925" s="29"/>
      <c r="U925" s="33"/>
      <c r="V925" s="33"/>
    </row>
    <row r="926" ht="15.75" customHeight="1">
      <c r="L926" s="6"/>
      <c r="M926" s="29"/>
      <c r="N926" s="50"/>
      <c r="O926" s="50"/>
      <c r="P926" s="29"/>
      <c r="Q926" s="29"/>
      <c r="R926" s="29"/>
      <c r="S926" s="29"/>
      <c r="T926" s="29"/>
      <c r="U926" s="33"/>
      <c r="V926" s="33"/>
    </row>
    <row r="927" ht="15.75" customHeight="1">
      <c r="L927" s="6"/>
      <c r="M927" s="29"/>
      <c r="N927" s="50"/>
      <c r="O927" s="50"/>
      <c r="P927" s="29"/>
      <c r="Q927" s="29"/>
      <c r="R927" s="29"/>
      <c r="S927" s="29"/>
      <c r="T927" s="29"/>
      <c r="U927" s="33"/>
      <c r="V927" s="33"/>
    </row>
    <row r="928" ht="15.75" customHeight="1">
      <c r="L928" s="6"/>
      <c r="M928" s="29"/>
      <c r="N928" s="50"/>
      <c r="O928" s="50"/>
      <c r="P928" s="29"/>
      <c r="Q928" s="29"/>
      <c r="R928" s="29"/>
      <c r="S928" s="29"/>
      <c r="T928" s="29"/>
      <c r="U928" s="33"/>
      <c r="V928" s="33"/>
    </row>
    <row r="929" ht="15.75" customHeight="1">
      <c r="L929" s="6"/>
      <c r="M929" s="29"/>
      <c r="N929" s="50"/>
      <c r="O929" s="50"/>
      <c r="P929" s="29"/>
      <c r="Q929" s="29"/>
      <c r="R929" s="29"/>
      <c r="S929" s="29"/>
      <c r="T929" s="29"/>
      <c r="U929" s="33"/>
      <c r="V929" s="33"/>
    </row>
    <row r="930" ht="15.75" customHeight="1">
      <c r="L930" s="6"/>
      <c r="M930" s="29"/>
      <c r="N930" s="50"/>
      <c r="O930" s="50"/>
      <c r="P930" s="29"/>
      <c r="Q930" s="29"/>
      <c r="R930" s="29"/>
      <c r="S930" s="29"/>
      <c r="T930" s="29"/>
      <c r="U930" s="33"/>
      <c r="V930" s="33"/>
    </row>
    <row r="931" ht="15.75" customHeight="1">
      <c r="L931" s="6"/>
      <c r="M931" s="29"/>
      <c r="N931" s="50"/>
      <c r="O931" s="50"/>
      <c r="P931" s="29"/>
      <c r="Q931" s="29"/>
      <c r="R931" s="29"/>
      <c r="S931" s="29"/>
      <c r="T931" s="29"/>
      <c r="U931" s="33"/>
      <c r="V931" s="33"/>
    </row>
    <row r="932" ht="15.75" customHeight="1">
      <c r="L932" s="6"/>
      <c r="M932" s="29"/>
      <c r="N932" s="50"/>
      <c r="O932" s="50"/>
      <c r="P932" s="29"/>
      <c r="Q932" s="29"/>
      <c r="R932" s="29"/>
      <c r="S932" s="29"/>
      <c r="T932" s="29"/>
      <c r="U932" s="33"/>
      <c r="V932" s="33"/>
    </row>
    <row r="933" ht="15.75" customHeight="1">
      <c r="L933" s="6"/>
      <c r="M933" s="29"/>
      <c r="N933" s="50"/>
      <c r="O933" s="50"/>
      <c r="P933" s="29"/>
      <c r="Q933" s="29"/>
      <c r="R933" s="29"/>
      <c r="S933" s="29"/>
      <c r="T933" s="29"/>
      <c r="U933" s="33"/>
      <c r="V933" s="33"/>
    </row>
    <row r="934" ht="15.75" customHeight="1">
      <c r="L934" s="6"/>
      <c r="M934" s="29"/>
      <c r="N934" s="50"/>
      <c r="O934" s="50"/>
      <c r="P934" s="29"/>
      <c r="Q934" s="29"/>
      <c r="R934" s="29"/>
      <c r="S934" s="29"/>
      <c r="T934" s="29"/>
      <c r="U934" s="33"/>
      <c r="V934" s="33"/>
    </row>
    <row r="935" ht="15.75" customHeight="1">
      <c r="L935" s="6"/>
      <c r="M935" s="29"/>
      <c r="N935" s="50"/>
      <c r="O935" s="50"/>
      <c r="P935" s="29"/>
      <c r="Q935" s="29"/>
      <c r="R935" s="29"/>
      <c r="S935" s="29"/>
      <c r="T935" s="29"/>
      <c r="U935" s="33"/>
      <c r="V935" s="33"/>
    </row>
    <row r="936" ht="15.75" customHeight="1">
      <c r="L936" s="6"/>
      <c r="M936" s="29"/>
      <c r="N936" s="50"/>
      <c r="O936" s="50"/>
      <c r="P936" s="29"/>
      <c r="Q936" s="29"/>
      <c r="R936" s="29"/>
      <c r="S936" s="29"/>
      <c r="T936" s="29"/>
      <c r="U936" s="33"/>
      <c r="V936" s="33"/>
    </row>
    <row r="937" ht="15.75" customHeight="1">
      <c r="L937" s="6"/>
      <c r="M937" s="29"/>
      <c r="N937" s="50"/>
      <c r="O937" s="50"/>
      <c r="P937" s="29"/>
      <c r="Q937" s="29"/>
      <c r="R937" s="29"/>
      <c r="S937" s="29"/>
      <c r="T937" s="29"/>
      <c r="U937" s="33"/>
      <c r="V937" s="33"/>
    </row>
    <row r="938" ht="15.75" customHeight="1">
      <c r="L938" s="6"/>
      <c r="M938" s="29"/>
      <c r="N938" s="50"/>
      <c r="O938" s="50"/>
      <c r="P938" s="29"/>
      <c r="Q938" s="29"/>
      <c r="R938" s="29"/>
      <c r="S938" s="29"/>
      <c r="T938" s="29"/>
      <c r="U938" s="33"/>
      <c r="V938" s="33"/>
    </row>
    <row r="939" ht="15.75" customHeight="1">
      <c r="L939" s="6"/>
      <c r="M939" s="29"/>
      <c r="N939" s="50"/>
      <c r="O939" s="50"/>
      <c r="P939" s="29"/>
      <c r="Q939" s="29"/>
      <c r="R939" s="29"/>
      <c r="S939" s="29"/>
      <c r="T939" s="29"/>
      <c r="U939" s="33"/>
      <c r="V939" s="33"/>
    </row>
    <row r="940" ht="15.75" customHeight="1">
      <c r="L940" s="6"/>
      <c r="M940" s="29"/>
      <c r="N940" s="50"/>
      <c r="O940" s="50"/>
      <c r="P940" s="29"/>
      <c r="Q940" s="29"/>
      <c r="R940" s="29"/>
      <c r="S940" s="29"/>
      <c r="T940" s="29"/>
      <c r="U940" s="33"/>
      <c r="V940" s="33"/>
    </row>
    <row r="941" ht="15.75" customHeight="1">
      <c r="L941" s="6"/>
      <c r="M941" s="29"/>
      <c r="N941" s="50"/>
      <c r="O941" s="50"/>
      <c r="P941" s="29"/>
      <c r="Q941" s="29"/>
      <c r="R941" s="29"/>
      <c r="S941" s="29"/>
      <c r="T941" s="29"/>
      <c r="U941" s="33"/>
      <c r="V941" s="33"/>
    </row>
    <row r="942" ht="15.75" customHeight="1">
      <c r="L942" s="6"/>
      <c r="M942" s="29"/>
      <c r="N942" s="50"/>
      <c r="O942" s="50"/>
      <c r="P942" s="29"/>
      <c r="Q942" s="29"/>
      <c r="R942" s="29"/>
      <c r="S942" s="29"/>
      <c r="T942" s="29"/>
      <c r="U942" s="33"/>
      <c r="V942" s="33"/>
    </row>
    <row r="943" ht="15.75" customHeight="1">
      <c r="L943" s="6"/>
      <c r="M943" s="29"/>
      <c r="N943" s="50"/>
      <c r="O943" s="50"/>
      <c r="P943" s="29"/>
      <c r="Q943" s="29"/>
      <c r="R943" s="29"/>
      <c r="S943" s="29"/>
      <c r="T943" s="29"/>
      <c r="U943" s="33"/>
      <c r="V943" s="33"/>
    </row>
    <row r="944" ht="15.75" customHeight="1">
      <c r="L944" s="6"/>
      <c r="M944" s="29"/>
      <c r="N944" s="50"/>
      <c r="O944" s="50"/>
      <c r="P944" s="29"/>
      <c r="Q944" s="29"/>
      <c r="R944" s="29"/>
      <c r="S944" s="29"/>
      <c r="T944" s="29"/>
      <c r="U944" s="33"/>
      <c r="V944" s="33"/>
    </row>
    <row r="945" ht="15.75" customHeight="1">
      <c r="L945" s="6"/>
      <c r="M945" s="29"/>
      <c r="N945" s="50"/>
      <c r="O945" s="50"/>
      <c r="P945" s="29"/>
      <c r="Q945" s="29"/>
      <c r="R945" s="29"/>
      <c r="S945" s="29"/>
      <c r="T945" s="29"/>
      <c r="U945" s="33"/>
      <c r="V945" s="33"/>
    </row>
    <row r="946" ht="15.75" customHeight="1">
      <c r="L946" s="6"/>
      <c r="M946" s="29"/>
      <c r="N946" s="50"/>
      <c r="O946" s="50"/>
      <c r="P946" s="29"/>
      <c r="Q946" s="29"/>
      <c r="R946" s="29"/>
      <c r="S946" s="29"/>
      <c r="T946" s="29"/>
      <c r="U946" s="33"/>
      <c r="V946" s="33"/>
    </row>
    <row r="947" ht="15.75" customHeight="1">
      <c r="L947" s="6"/>
      <c r="M947" s="29"/>
      <c r="N947" s="50"/>
      <c r="O947" s="50"/>
      <c r="P947" s="29"/>
      <c r="Q947" s="29"/>
      <c r="R947" s="29"/>
      <c r="S947" s="29"/>
      <c r="T947" s="29"/>
      <c r="U947" s="33"/>
      <c r="V947" s="33"/>
    </row>
    <row r="948" ht="15.75" customHeight="1">
      <c r="L948" s="6"/>
      <c r="M948" s="29"/>
      <c r="N948" s="50"/>
      <c r="O948" s="50"/>
      <c r="P948" s="29"/>
      <c r="Q948" s="29"/>
      <c r="R948" s="29"/>
      <c r="S948" s="29"/>
      <c r="T948" s="29"/>
      <c r="U948" s="33"/>
      <c r="V948" s="33"/>
    </row>
    <row r="949" ht="15.75" customHeight="1">
      <c r="L949" s="6"/>
      <c r="M949" s="29"/>
      <c r="N949" s="50"/>
      <c r="O949" s="50"/>
      <c r="P949" s="29"/>
      <c r="Q949" s="29"/>
      <c r="R949" s="29"/>
      <c r="S949" s="29"/>
      <c r="T949" s="29"/>
      <c r="U949" s="33"/>
      <c r="V949" s="33"/>
    </row>
    <row r="950" ht="15.75" customHeight="1">
      <c r="L950" s="6"/>
      <c r="M950" s="29"/>
      <c r="N950" s="50"/>
      <c r="O950" s="50"/>
      <c r="P950" s="29"/>
      <c r="Q950" s="29"/>
      <c r="R950" s="29"/>
      <c r="S950" s="29"/>
      <c r="T950" s="29"/>
      <c r="U950" s="33"/>
      <c r="V950" s="33"/>
    </row>
    <row r="951" ht="15.75" customHeight="1">
      <c r="L951" s="6"/>
      <c r="M951" s="29"/>
      <c r="N951" s="50"/>
      <c r="O951" s="50"/>
      <c r="P951" s="29"/>
      <c r="Q951" s="29"/>
      <c r="R951" s="29"/>
      <c r="S951" s="29"/>
      <c r="T951" s="29"/>
      <c r="U951" s="33"/>
      <c r="V951" s="33"/>
    </row>
    <row r="952" ht="15.75" customHeight="1">
      <c r="L952" s="6"/>
      <c r="M952" s="29"/>
      <c r="N952" s="50"/>
      <c r="O952" s="50"/>
      <c r="P952" s="29"/>
      <c r="Q952" s="29"/>
      <c r="R952" s="29"/>
      <c r="S952" s="29"/>
      <c r="T952" s="29"/>
      <c r="U952" s="33"/>
      <c r="V952" s="33"/>
    </row>
    <row r="953" ht="15.75" customHeight="1">
      <c r="L953" s="6"/>
      <c r="M953" s="29"/>
      <c r="N953" s="50"/>
      <c r="O953" s="50"/>
      <c r="P953" s="29"/>
      <c r="Q953" s="29"/>
      <c r="R953" s="29"/>
      <c r="S953" s="29"/>
      <c r="T953" s="29"/>
      <c r="U953" s="33"/>
      <c r="V953" s="33"/>
    </row>
    <row r="954" ht="15.75" customHeight="1">
      <c r="L954" s="6"/>
      <c r="M954" s="29"/>
      <c r="N954" s="50"/>
      <c r="O954" s="50"/>
      <c r="P954" s="29"/>
      <c r="Q954" s="29"/>
      <c r="R954" s="29"/>
      <c r="S954" s="29"/>
      <c r="T954" s="29"/>
      <c r="U954" s="33"/>
      <c r="V954" s="33"/>
    </row>
    <row r="955" ht="15.75" customHeight="1">
      <c r="L955" s="6"/>
      <c r="M955" s="29"/>
      <c r="N955" s="50"/>
      <c r="O955" s="50"/>
      <c r="P955" s="29"/>
      <c r="Q955" s="29"/>
      <c r="R955" s="29"/>
      <c r="S955" s="29"/>
      <c r="T955" s="29"/>
      <c r="U955" s="33"/>
      <c r="V955" s="33"/>
    </row>
    <row r="956" ht="15.75" customHeight="1">
      <c r="L956" s="6"/>
      <c r="M956" s="29"/>
      <c r="N956" s="50"/>
      <c r="O956" s="50"/>
      <c r="P956" s="29"/>
      <c r="Q956" s="29"/>
      <c r="R956" s="29"/>
      <c r="S956" s="29"/>
      <c r="T956" s="29"/>
      <c r="U956" s="33"/>
      <c r="V956" s="33"/>
    </row>
    <row r="957" ht="15.75" customHeight="1">
      <c r="L957" s="6"/>
      <c r="M957" s="29"/>
      <c r="N957" s="50"/>
      <c r="O957" s="50"/>
      <c r="P957" s="29"/>
      <c r="Q957" s="29"/>
      <c r="R957" s="29"/>
      <c r="S957" s="29"/>
      <c r="T957" s="29"/>
      <c r="U957" s="33"/>
      <c r="V957" s="33"/>
    </row>
    <row r="958" ht="15.75" customHeight="1">
      <c r="L958" s="6"/>
      <c r="M958" s="29"/>
      <c r="N958" s="50"/>
      <c r="O958" s="50"/>
      <c r="P958" s="29"/>
      <c r="Q958" s="29"/>
      <c r="R958" s="29"/>
      <c r="S958" s="29"/>
      <c r="T958" s="29"/>
      <c r="U958" s="33"/>
      <c r="V958" s="33"/>
    </row>
    <row r="959" ht="15.75" customHeight="1">
      <c r="L959" s="6"/>
      <c r="M959" s="29"/>
      <c r="N959" s="50"/>
      <c r="O959" s="50"/>
      <c r="P959" s="29"/>
      <c r="Q959" s="29"/>
      <c r="R959" s="29"/>
      <c r="S959" s="29"/>
      <c r="T959" s="29"/>
      <c r="U959" s="33"/>
      <c r="V959" s="33"/>
    </row>
    <row r="960" ht="15.75" customHeight="1">
      <c r="L960" s="6"/>
      <c r="M960" s="29"/>
      <c r="N960" s="50"/>
      <c r="O960" s="50"/>
      <c r="P960" s="29"/>
      <c r="Q960" s="29"/>
      <c r="R960" s="29"/>
      <c r="S960" s="29"/>
      <c r="T960" s="29"/>
      <c r="U960" s="33"/>
      <c r="V960" s="33"/>
    </row>
    <row r="961" ht="15.75" customHeight="1">
      <c r="L961" s="6"/>
      <c r="M961" s="29"/>
      <c r="N961" s="50"/>
      <c r="O961" s="50"/>
      <c r="P961" s="29"/>
      <c r="Q961" s="29"/>
      <c r="R961" s="29"/>
      <c r="S961" s="29"/>
      <c r="T961" s="29"/>
      <c r="U961" s="33"/>
      <c r="V961" s="33"/>
    </row>
    <row r="962" ht="15.75" customHeight="1">
      <c r="L962" s="6"/>
      <c r="M962" s="29"/>
      <c r="N962" s="50"/>
      <c r="O962" s="50"/>
      <c r="P962" s="29"/>
      <c r="Q962" s="29"/>
      <c r="R962" s="29"/>
      <c r="S962" s="29"/>
      <c r="T962" s="29"/>
      <c r="U962" s="33"/>
      <c r="V962" s="33"/>
    </row>
    <row r="963" ht="15.75" customHeight="1">
      <c r="L963" s="6"/>
      <c r="M963" s="29"/>
      <c r="N963" s="50"/>
      <c r="O963" s="50"/>
      <c r="P963" s="29"/>
      <c r="Q963" s="29"/>
      <c r="R963" s="29"/>
      <c r="S963" s="29"/>
      <c r="T963" s="29"/>
      <c r="U963" s="33"/>
      <c r="V963" s="33"/>
    </row>
    <row r="964" ht="15.75" customHeight="1">
      <c r="L964" s="6"/>
      <c r="M964" s="29"/>
      <c r="N964" s="50"/>
      <c r="O964" s="50"/>
      <c r="P964" s="29"/>
      <c r="Q964" s="29"/>
      <c r="R964" s="29"/>
      <c r="S964" s="29"/>
      <c r="T964" s="29"/>
      <c r="U964" s="33"/>
      <c r="V964" s="33"/>
    </row>
    <row r="965" ht="15.75" customHeight="1">
      <c r="L965" s="6"/>
      <c r="M965" s="29"/>
      <c r="N965" s="50"/>
      <c r="O965" s="50"/>
      <c r="P965" s="29"/>
      <c r="Q965" s="29"/>
      <c r="R965" s="29"/>
      <c r="S965" s="29"/>
      <c r="T965" s="29"/>
      <c r="U965" s="33"/>
      <c r="V965" s="33"/>
    </row>
    <row r="966" ht="15.75" customHeight="1">
      <c r="L966" s="6"/>
      <c r="M966" s="29"/>
      <c r="N966" s="50"/>
      <c r="O966" s="50"/>
      <c r="P966" s="29"/>
      <c r="Q966" s="29"/>
      <c r="R966" s="29"/>
      <c r="S966" s="29"/>
      <c r="T966" s="29"/>
      <c r="U966" s="33"/>
      <c r="V966" s="33"/>
    </row>
    <row r="967" ht="15.75" customHeight="1">
      <c r="L967" s="6"/>
      <c r="M967" s="29"/>
      <c r="N967" s="50"/>
      <c r="O967" s="50"/>
      <c r="P967" s="29"/>
      <c r="Q967" s="29"/>
      <c r="R967" s="29"/>
      <c r="S967" s="29"/>
      <c r="T967" s="29"/>
      <c r="U967" s="33"/>
      <c r="V967" s="33"/>
    </row>
    <row r="968" ht="15.75" customHeight="1">
      <c r="L968" s="6"/>
      <c r="M968" s="29"/>
      <c r="N968" s="50"/>
      <c r="O968" s="50"/>
      <c r="P968" s="29"/>
      <c r="Q968" s="29"/>
      <c r="R968" s="29"/>
      <c r="S968" s="29"/>
      <c r="T968" s="29"/>
      <c r="U968" s="33"/>
      <c r="V968" s="33"/>
    </row>
    <row r="969" ht="15.75" customHeight="1">
      <c r="L969" s="6"/>
      <c r="M969" s="29"/>
      <c r="N969" s="50"/>
      <c r="O969" s="50"/>
      <c r="P969" s="29"/>
      <c r="Q969" s="29"/>
      <c r="R969" s="29"/>
      <c r="S969" s="29"/>
      <c r="T969" s="29"/>
      <c r="U969" s="33"/>
      <c r="V969" s="33"/>
    </row>
    <row r="970" ht="15.75" customHeight="1">
      <c r="L970" s="6"/>
      <c r="M970" s="29"/>
      <c r="N970" s="50"/>
      <c r="O970" s="50"/>
      <c r="P970" s="29"/>
      <c r="Q970" s="29"/>
      <c r="R970" s="29"/>
      <c r="S970" s="29"/>
      <c r="T970" s="29"/>
      <c r="U970" s="33"/>
      <c r="V970" s="33"/>
    </row>
    <row r="971" ht="15.75" customHeight="1">
      <c r="L971" s="6"/>
      <c r="M971" s="29"/>
      <c r="N971" s="50"/>
      <c r="O971" s="50"/>
      <c r="P971" s="29"/>
      <c r="Q971" s="29"/>
      <c r="R971" s="29"/>
      <c r="S971" s="29"/>
      <c r="T971" s="29"/>
      <c r="U971" s="33"/>
      <c r="V971" s="33"/>
    </row>
    <row r="972" ht="15.75" customHeight="1">
      <c r="L972" s="6"/>
      <c r="M972" s="29"/>
      <c r="N972" s="50"/>
      <c r="O972" s="50"/>
      <c r="P972" s="29"/>
      <c r="Q972" s="29"/>
      <c r="R972" s="29"/>
      <c r="S972" s="29"/>
      <c r="T972" s="29"/>
      <c r="U972" s="33"/>
      <c r="V972" s="33"/>
    </row>
    <row r="973" ht="15.75" customHeight="1">
      <c r="L973" s="6"/>
      <c r="M973" s="29"/>
      <c r="N973" s="50"/>
      <c r="O973" s="50"/>
      <c r="P973" s="29"/>
      <c r="Q973" s="29"/>
      <c r="R973" s="29"/>
      <c r="S973" s="29"/>
      <c r="T973" s="29"/>
      <c r="U973" s="33"/>
      <c r="V973" s="33"/>
    </row>
    <row r="974" ht="15.75" customHeight="1">
      <c r="L974" s="6"/>
      <c r="M974" s="29"/>
      <c r="N974" s="50"/>
      <c r="O974" s="50"/>
      <c r="P974" s="29"/>
      <c r="Q974" s="29"/>
      <c r="R974" s="29"/>
      <c r="S974" s="29"/>
      <c r="T974" s="29"/>
      <c r="U974" s="33"/>
      <c r="V974" s="33"/>
    </row>
    <row r="975" ht="15.75" customHeight="1">
      <c r="L975" s="6"/>
      <c r="M975" s="29"/>
      <c r="N975" s="50"/>
      <c r="O975" s="50"/>
      <c r="P975" s="29"/>
      <c r="Q975" s="29"/>
      <c r="R975" s="29"/>
      <c r="S975" s="29"/>
      <c r="T975" s="29"/>
      <c r="U975" s="33"/>
      <c r="V975" s="33"/>
    </row>
    <row r="976" ht="15.75" customHeight="1">
      <c r="L976" s="6"/>
      <c r="M976" s="29"/>
      <c r="N976" s="50"/>
      <c r="O976" s="50"/>
      <c r="P976" s="29"/>
      <c r="Q976" s="29"/>
      <c r="R976" s="29"/>
      <c r="S976" s="29"/>
      <c r="T976" s="29"/>
      <c r="U976" s="33"/>
      <c r="V976" s="33"/>
    </row>
    <row r="977" ht="15.75" customHeight="1">
      <c r="L977" s="6"/>
      <c r="M977" s="29"/>
      <c r="N977" s="50"/>
      <c r="O977" s="50"/>
      <c r="P977" s="29"/>
      <c r="Q977" s="29"/>
      <c r="R977" s="29"/>
      <c r="S977" s="29"/>
      <c r="T977" s="29"/>
      <c r="U977" s="33"/>
      <c r="V977" s="33"/>
    </row>
    <row r="978" ht="15.75" customHeight="1">
      <c r="L978" s="6"/>
      <c r="M978" s="29"/>
      <c r="N978" s="50"/>
      <c r="O978" s="50"/>
      <c r="P978" s="29"/>
      <c r="Q978" s="29"/>
      <c r="R978" s="29"/>
      <c r="S978" s="29"/>
      <c r="T978" s="29"/>
      <c r="U978" s="33"/>
      <c r="V978" s="33"/>
    </row>
    <row r="979" ht="15.75" customHeight="1">
      <c r="L979" s="6"/>
      <c r="M979" s="29"/>
      <c r="N979" s="50"/>
      <c r="O979" s="50"/>
      <c r="P979" s="29"/>
      <c r="Q979" s="29"/>
      <c r="R979" s="29"/>
      <c r="S979" s="29"/>
      <c r="T979" s="29"/>
      <c r="U979" s="33"/>
      <c r="V979" s="33"/>
    </row>
    <row r="980" ht="15.75" customHeight="1">
      <c r="L980" s="6"/>
      <c r="M980" s="29"/>
      <c r="N980" s="50"/>
      <c r="O980" s="50"/>
      <c r="P980" s="29"/>
      <c r="Q980" s="29"/>
      <c r="R980" s="29"/>
      <c r="S980" s="29"/>
      <c r="T980" s="29"/>
      <c r="U980" s="33"/>
      <c r="V980" s="33"/>
    </row>
    <row r="981" ht="15.75" customHeight="1">
      <c r="L981" s="6"/>
      <c r="M981" s="29"/>
      <c r="N981" s="50"/>
      <c r="O981" s="50"/>
      <c r="P981" s="29"/>
      <c r="Q981" s="29"/>
      <c r="R981" s="29"/>
      <c r="S981" s="29"/>
      <c r="T981" s="29"/>
      <c r="U981" s="33"/>
      <c r="V981" s="33"/>
    </row>
    <row r="982" ht="15.75" customHeight="1">
      <c r="L982" s="6"/>
      <c r="M982" s="29"/>
      <c r="N982" s="50"/>
      <c r="O982" s="50"/>
      <c r="P982" s="29"/>
      <c r="Q982" s="29"/>
      <c r="R982" s="29"/>
      <c r="S982" s="29"/>
      <c r="T982" s="29"/>
      <c r="U982" s="33"/>
      <c r="V982" s="33"/>
    </row>
    <row r="983" ht="15.75" customHeight="1">
      <c r="L983" s="6"/>
      <c r="M983" s="29"/>
      <c r="N983" s="50"/>
      <c r="O983" s="50"/>
      <c r="P983" s="29"/>
      <c r="Q983" s="29"/>
      <c r="R983" s="29"/>
      <c r="S983" s="29"/>
      <c r="T983" s="29"/>
      <c r="U983" s="33"/>
      <c r="V983" s="33"/>
    </row>
    <row r="984" ht="15.75" customHeight="1">
      <c r="L984" s="6"/>
      <c r="M984" s="29"/>
      <c r="N984" s="50"/>
      <c r="O984" s="50"/>
      <c r="P984" s="29"/>
      <c r="Q984" s="29"/>
      <c r="R984" s="29"/>
      <c r="S984" s="29"/>
      <c r="T984" s="29"/>
      <c r="U984" s="33"/>
      <c r="V984" s="33"/>
    </row>
    <row r="985" ht="15.75" customHeight="1">
      <c r="L985" s="6"/>
      <c r="M985" s="29"/>
      <c r="N985" s="50"/>
      <c r="O985" s="50"/>
      <c r="P985" s="29"/>
      <c r="Q985" s="29"/>
      <c r="R985" s="29"/>
      <c r="S985" s="29"/>
      <c r="T985" s="29"/>
      <c r="U985" s="33"/>
      <c r="V985" s="33"/>
    </row>
    <row r="986" ht="15.75" customHeight="1">
      <c r="L986" s="6"/>
      <c r="M986" s="29"/>
      <c r="N986" s="50"/>
      <c r="O986" s="50"/>
      <c r="P986" s="29"/>
      <c r="Q986" s="29"/>
      <c r="R986" s="29"/>
      <c r="S986" s="29"/>
      <c r="T986" s="29"/>
      <c r="U986" s="33"/>
      <c r="V986" s="33"/>
    </row>
    <row r="987" ht="15.75" customHeight="1">
      <c r="L987" s="6"/>
      <c r="M987" s="29"/>
      <c r="N987" s="50"/>
      <c r="O987" s="50"/>
      <c r="P987" s="29"/>
      <c r="Q987" s="29"/>
      <c r="R987" s="29"/>
      <c r="S987" s="29"/>
      <c r="T987" s="29"/>
      <c r="U987" s="33"/>
      <c r="V987" s="33"/>
    </row>
    <row r="988" ht="15.75" customHeight="1">
      <c r="L988" s="6"/>
      <c r="M988" s="29"/>
      <c r="N988" s="50"/>
      <c r="O988" s="50"/>
      <c r="P988" s="29"/>
      <c r="Q988" s="29"/>
      <c r="R988" s="29"/>
      <c r="S988" s="29"/>
      <c r="T988" s="29"/>
      <c r="U988" s="33"/>
      <c r="V988" s="33"/>
    </row>
    <row r="989" ht="15.75" customHeight="1">
      <c r="L989" s="6"/>
      <c r="M989" s="29"/>
      <c r="N989" s="50"/>
      <c r="O989" s="50"/>
      <c r="P989" s="29"/>
      <c r="Q989" s="29"/>
      <c r="R989" s="29"/>
      <c r="S989" s="29"/>
      <c r="T989" s="29"/>
      <c r="U989" s="33"/>
      <c r="V989" s="33"/>
    </row>
    <row r="990" ht="15.75" customHeight="1">
      <c r="L990" s="6"/>
      <c r="M990" s="29"/>
      <c r="N990" s="50"/>
      <c r="O990" s="50"/>
      <c r="P990" s="29"/>
      <c r="Q990" s="29"/>
      <c r="R990" s="29"/>
      <c r="S990" s="29"/>
      <c r="T990" s="29"/>
      <c r="U990" s="33"/>
      <c r="V990" s="33"/>
    </row>
    <row r="991" ht="15.75" customHeight="1">
      <c r="L991" s="6"/>
      <c r="M991" s="29"/>
      <c r="N991" s="50"/>
      <c r="O991" s="50"/>
      <c r="P991" s="29"/>
      <c r="Q991" s="29"/>
      <c r="R991" s="29"/>
      <c r="S991" s="29"/>
      <c r="T991" s="29"/>
      <c r="U991" s="33"/>
      <c r="V991" s="33"/>
    </row>
    <row r="992" ht="15.75" customHeight="1">
      <c r="L992" s="6"/>
      <c r="M992" s="29"/>
      <c r="N992" s="50"/>
      <c r="O992" s="50"/>
      <c r="P992" s="29"/>
      <c r="Q992" s="29"/>
      <c r="R992" s="29"/>
      <c r="S992" s="29"/>
      <c r="T992" s="29"/>
      <c r="U992" s="33"/>
      <c r="V992" s="33"/>
    </row>
    <row r="993" ht="15.75" customHeight="1">
      <c r="L993" s="6"/>
      <c r="M993" s="29"/>
      <c r="N993" s="50"/>
      <c r="O993" s="50"/>
      <c r="P993" s="29"/>
      <c r="Q993" s="29"/>
      <c r="R993" s="29"/>
      <c r="S993" s="29"/>
      <c r="T993" s="29"/>
      <c r="U993" s="33"/>
      <c r="V993" s="33"/>
    </row>
    <row r="994" ht="15.75" customHeight="1">
      <c r="L994" s="6"/>
      <c r="M994" s="29"/>
      <c r="N994" s="50"/>
      <c r="O994" s="50"/>
      <c r="P994" s="29"/>
      <c r="Q994" s="29"/>
      <c r="R994" s="29"/>
      <c r="S994" s="29"/>
      <c r="T994" s="29"/>
      <c r="U994" s="33"/>
      <c r="V994" s="33"/>
    </row>
    <row r="995" ht="15.75" customHeight="1">
      <c r="L995" s="6"/>
      <c r="M995" s="29"/>
      <c r="N995" s="50"/>
      <c r="O995" s="50"/>
      <c r="P995" s="29"/>
      <c r="Q995" s="29"/>
      <c r="R995" s="29"/>
      <c r="S995" s="29"/>
      <c r="T995" s="29"/>
      <c r="U995" s="33"/>
      <c r="V995" s="33"/>
    </row>
    <row r="996" ht="15.75" customHeight="1">
      <c r="L996" s="6"/>
      <c r="M996" s="29"/>
      <c r="N996" s="50"/>
      <c r="O996" s="50"/>
      <c r="P996" s="29"/>
      <c r="Q996" s="29"/>
      <c r="R996" s="29"/>
      <c r="S996" s="29"/>
      <c r="T996" s="29"/>
      <c r="U996" s="33"/>
      <c r="V996" s="33"/>
    </row>
    <row r="997" ht="15.75" customHeight="1">
      <c r="L997" s="6"/>
      <c r="M997" s="29"/>
      <c r="N997" s="50"/>
      <c r="O997" s="50"/>
      <c r="P997" s="29"/>
      <c r="Q997" s="29"/>
      <c r="R997" s="29"/>
      <c r="S997" s="29"/>
      <c r="T997" s="29"/>
      <c r="U997" s="33"/>
      <c r="V997" s="33"/>
    </row>
    <row r="998" ht="15.75" customHeight="1">
      <c r="L998" s="6"/>
      <c r="M998" s="29"/>
      <c r="N998" s="50"/>
      <c r="O998" s="50"/>
      <c r="P998" s="29"/>
      <c r="Q998" s="29"/>
      <c r="R998" s="29"/>
      <c r="S998" s="29"/>
      <c r="T998" s="29"/>
      <c r="U998" s="33"/>
      <c r="V998" s="33"/>
    </row>
    <row r="999" ht="15.75" customHeight="1">
      <c r="L999" s="6"/>
      <c r="M999" s="29"/>
      <c r="N999" s="50"/>
      <c r="O999" s="50"/>
      <c r="P999" s="29"/>
      <c r="Q999" s="29"/>
      <c r="R999" s="29"/>
      <c r="S999" s="29"/>
      <c r="T999" s="29"/>
      <c r="U999" s="33"/>
      <c r="V999" s="33"/>
    </row>
    <row r="1000" ht="15.75" customHeight="1">
      <c r="L1000" s="6"/>
      <c r="M1000" s="29"/>
      <c r="N1000" s="50"/>
      <c r="O1000" s="50"/>
      <c r="P1000" s="29"/>
      <c r="Q1000" s="29"/>
      <c r="R1000" s="29"/>
      <c r="S1000" s="29"/>
      <c r="T1000" s="29"/>
      <c r="U1000" s="33"/>
      <c r="V1000" s="33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63"/>
    <col customWidth="1" min="4" max="4" width="23.13"/>
    <col customWidth="1" min="5" max="6" width="12.63"/>
  </cols>
  <sheetData>
    <row r="1" ht="56.25" customHeight="1">
      <c r="A1" s="51" t="s">
        <v>0</v>
      </c>
      <c r="B1" s="52" t="s">
        <v>1</v>
      </c>
      <c r="C1" s="53" t="s">
        <v>363</v>
      </c>
      <c r="D1" s="53" t="s">
        <v>364</v>
      </c>
    </row>
    <row r="2" ht="15.75" customHeight="1">
      <c r="A2" s="54">
        <v>10101.0</v>
      </c>
      <c r="B2" s="55" t="s">
        <v>17</v>
      </c>
      <c r="C2" s="56">
        <v>94.65608465608466</v>
      </c>
      <c r="D2" s="56">
        <v>97.51844399731723</v>
      </c>
    </row>
    <row r="3" ht="15.75" customHeight="1">
      <c r="A3" s="57">
        <v>10102.0</v>
      </c>
      <c r="B3" s="58" t="s">
        <v>19</v>
      </c>
      <c r="C3" s="59">
        <v>95.23809523809523</v>
      </c>
      <c r="D3" s="59">
        <v>99.3975903614458</v>
      </c>
    </row>
    <row r="4" ht="15.75" customHeight="1">
      <c r="A4" s="57">
        <v>10103.0</v>
      </c>
      <c r="B4" s="58" t="s">
        <v>21</v>
      </c>
      <c r="C4" s="59">
        <v>60.89965397923876</v>
      </c>
      <c r="D4" s="59">
        <v>85.86572438162544</v>
      </c>
    </row>
    <row r="5" ht="15.75" customHeight="1">
      <c r="A5" s="57">
        <v>10201.0</v>
      </c>
      <c r="B5" s="58" t="s">
        <v>23</v>
      </c>
      <c r="C5" s="59">
        <v>56.59340659340659</v>
      </c>
      <c r="D5" s="59">
        <v>81.41025641025641</v>
      </c>
    </row>
    <row r="6" ht="15.75" customHeight="1">
      <c r="A6" s="57">
        <v>10202.0</v>
      </c>
      <c r="B6" s="58" t="s">
        <v>25</v>
      </c>
      <c r="C6" s="59">
        <v>81.19658119658119</v>
      </c>
      <c r="D6" s="59">
        <v>94.42724458204334</v>
      </c>
    </row>
    <row r="7" ht="15.75" customHeight="1">
      <c r="A7" s="57">
        <v>10301.0</v>
      </c>
      <c r="B7" s="58" t="s">
        <v>27</v>
      </c>
      <c r="C7" s="59">
        <v>86.51685393258427</v>
      </c>
      <c r="D7" s="59">
        <v>95.58359621451105</v>
      </c>
    </row>
    <row r="8" ht="15.75" customHeight="1">
      <c r="A8" s="57">
        <v>10302.0</v>
      </c>
      <c r="B8" s="58" t="s">
        <v>29</v>
      </c>
      <c r="C8" s="59">
        <v>64.72602739726028</v>
      </c>
      <c r="D8" s="59">
        <v>81.42292490118577</v>
      </c>
    </row>
    <row r="9" ht="15.75" customHeight="1">
      <c r="A9" s="57">
        <v>10303.0</v>
      </c>
      <c r="B9" s="58" t="s">
        <v>31</v>
      </c>
      <c r="C9" s="59">
        <v>76.58227848101265</v>
      </c>
      <c r="D9" s="59">
        <v>96.95121951219512</v>
      </c>
    </row>
    <row r="10" ht="15.75" customHeight="1">
      <c r="A10" s="57">
        <v>10304.0</v>
      </c>
      <c r="B10" s="58" t="s">
        <v>33</v>
      </c>
      <c r="C10" s="59">
        <v>76.10619469026548</v>
      </c>
      <c r="D10" s="59">
        <v>92.82296650717703</v>
      </c>
    </row>
    <row r="11" ht="15.75" customHeight="1">
      <c r="A11" s="57">
        <v>10401.0</v>
      </c>
      <c r="B11" s="58" t="s">
        <v>35</v>
      </c>
      <c r="C11" s="59">
        <v>95.78059071729957</v>
      </c>
      <c r="D11" s="59">
        <v>98.36065573770492</v>
      </c>
    </row>
    <row r="12" ht="15.75" customHeight="1">
      <c r="A12" s="57">
        <v>10402.0</v>
      </c>
      <c r="B12" s="58" t="s">
        <v>37</v>
      </c>
      <c r="C12" s="59">
        <v>93.6842105263158</v>
      </c>
      <c r="D12" s="59">
        <v>98.10426540284361</v>
      </c>
    </row>
    <row r="13" ht="15.75" customHeight="1">
      <c r="A13" s="57">
        <v>10403.0</v>
      </c>
      <c r="B13" s="58" t="s">
        <v>39</v>
      </c>
      <c r="C13" s="59">
        <v>79.5774647887324</v>
      </c>
      <c r="D13" s="59">
        <v>93.37748344370861</v>
      </c>
    </row>
    <row r="14" ht="15.75" customHeight="1">
      <c r="A14" s="57">
        <v>10404.0</v>
      </c>
      <c r="B14" s="58" t="s">
        <v>40</v>
      </c>
      <c r="C14" s="59">
        <v>93.10344827586206</v>
      </c>
      <c r="D14" s="59">
        <v>97.26027397260275</v>
      </c>
    </row>
    <row r="15" ht="15.75" customHeight="1">
      <c r="A15" s="57">
        <v>10405.0</v>
      </c>
      <c r="B15" s="58" t="s">
        <v>41</v>
      </c>
      <c r="C15" s="59">
        <v>92.04545454545455</v>
      </c>
      <c r="D15" s="59">
        <v>99.15254237288136</v>
      </c>
    </row>
    <row r="16" ht="15.75" customHeight="1">
      <c r="A16" s="57">
        <v>10501.0</v>
      </c>
      <c r="B16" s="58" t="s">
        <v>42</v>
      </c>
      <c r="C16" s="59">
        <v>93.61313868613139</v>
      </c>
      <c r="D16" s="59">
        <v>97.98657718120806</v>
      </c>
    </row>
    <row r="17" ht="15.75" customHeight="1">
      <c r="A17" s="57">
        <v>10502.0</v>
      </c>
      <c r="B17" s="58" t="s">
        <v>43</v>
      </c>
      <c r="C17" s="59">
        <v>83.44370860927152</v>
      </c>
      <c r="D17" s="59">
        <v>98.14814814814815</v>
      </c>
    </row>
    <row r="18" ht="15.75" customHeight="1">
      <c r="A18" s="57">
        <v>10601.0</v>
      </c>
      <c r="B18" s="58" t="s">
        <v>44</v>
      </c>
      <c r="C18" s="59">
        <v>74.57627118644068</v>
      </c>
      <c r="D18" s="59">
        <v>88.0</v>
      </c>
    </row>
    <row r="19" ht="15.75" customHeight="1">
      <c r="A19" s="57">
        <v>10602.0</v>
      </c>
      <c r="B19" s="58" t="s">
        <v>45</v>
      </c>
      <c r="C19" s="59">
        <v>89.7590361445783</v>
      </c>
      <c r="D19" s="59">
        <v>95.70552147239265</v>
      </c>
    </row>
    <row r="20" ht="15.75" customHeight="1">
      <c r="A20" s="57">
        <v>10701.0</v>
      </c>
      <c r="B20" s="58" t="s">
        <v>46</v>
      </c>
      <c r="C20" s="59">
        <v>86.36363636363636</v>
      </c>
      <c r="D20" s="59">
        <v>96.07843137254902</v>
      </c>
    </row>
    <row r="21" ht="15.75" customHeight="1">
      <c r="A21" s="57">
        <v>10702.0</v>
      </c>
      <c r="B21" s="58" t="s">
        <v>47</v>
      </c>
      <c r="C21" s="59">
        <v>65.84507042253522</v>
      </c>
      <c r="D21" s="59">
        <v>88.10810810810811</v>
      </c>
    </row>
    <row r="22" ht="15.75" customHeight="1">
      <c r="A22" s="57">
        <v>10703.0</v>
      </c>
      <c r="B22" s="58" t="s">
        <v>48</v>
      </c>
      <c r="C22" s="59">
        <v>63.27160493827161</v>
      </c>
      <c r="D22" s="59">
        <v>80.06134969325154</v>
      </c>
    </row>
    <row r="23" ht="15.75" customHeight="1">
      <c r="A23" s="57">
        <v>10704.0</v>
      </c>
      <c r="B23" s="58" t="s">
        <v>49</v>
      </c>
      <c r="C23" s="59">
        <v>67.94520547945206</v>
      </c>
      <c r="D23" s="59">
        <v>89.51841359773371</v>
      </c>
    </row>
    <row r="24" ht="15.75" customHeight="1">
      <c r="A24" s="57">
        <v>10801.0</v>
      </c>
      <c r="B24" s="58" t="s">
        <v>50</v>
      </c>
      <c r="C24" s="59">
        <v>88.58447488584474</v>
      </c>
      <c r="D24" s="59">
        <v>98.11320754716981</v>
      </c>
    </row>
    <row r="25" ht="15.75" customHeight="1">
      <c r="A25" s="57">
        <v>10901.0</v>
      </c>
      <c r="B25" s="58" t="s">
        <v>51</v>
      </c>
      <c r="C25" s="59">
        <v>88.75</v>
      </c>
      <c r="D25" s="59">
        <v>96.46017699115043</v>
      </c>
    </row>
    <row r="26" ht="15.75" customHeight="1">
      <c r="A26" s="57">
        <v>10902.0</v>
      </c>
      <c r="B26" s="58" t="s">
        <v>52</v>
      </c>
      <c r="C26" s="59">
        <v>75.20661157024794</v>
      </c>
      <c r="D26" s="59">
        <v>86.7132867132867</v>
      </c>
    </row>
    <row r="27" ht="15.75" customHeight="1">
      <c r="A27" s="57">
        <v>10903.0</v>
      </c>
      <c r="B27" s="58" t="s">
        <v>53</v>
      </c>
      <c r="C27" s="59">
        <v>91.39784946236558</v>
      </c>
      <c r="D27" s="59">
        <v>93.97590361445783</v>
      </c>
    </row>
    <row r="28" ht="15.75" customHeight="1">
      <c r="A28" s="57">
        <v>11001.0</v>
      </c>
      <c r="B28" s="58" t="s">
        <v>54</v>
      </c>
      <c r="C28" s="59">
        <v>89.95215311004785</v>
      </c>
      <c r="D28" s="59">
        <v>93.42723004694837</v>
      </c>
    </row>
    <row r="29" ht="15.75" customHeight="1">
      <c r="A29" s="57">
        <v>11002.0</v>
      </c>
      <c r="B29" s="58" t="s">
        <v>55</v>
      </c>
      <c r="C29" s="59">
        <v>91.11111111111111</v>
      </c>
      <c r="D29" s="59">
        <v>93.61702127659575</v>
      </c>
    </row>
    <row r="30" ht="15.75" customHeight="1">
      <c r="A30" s="57">
        <v>11003.0</v>
      </c>
      <c r="B30" s="58" t="s">
        <v>56</v>
      </c>
      <c r="C30" s="59">
        <v>90.11627906976744</v>
      </c>
      <c r="D30" s="59">
        <v>95.77464788732394</v>
      </c>
    </row>
    <row r="31" ht="15.75" customHeight="1">
      <c r="A31" s="57">
        <v>20101.0</v>
      </c>
      <c r="B31" s="58" t="s">
        <v>57</v>
      </c>
      <c r="C31" s="59">
        <v>95.76807894349257</v>
      </c>
      <c r="D31" s="59">
        <v>98.54247856586126</v>
      </c>
    </row>
    <row r="32" ht="15.75" customHeight="1">
      <c r="A32" s="57">
        <v>20102.0</v>
      </c>
      <c r="B32" s="58" t="s">
        <v>58</v>
      </c>
      <c r="C32" s="59">
        <v>45.76271186440678</v>
      </c>
      <c r="D32" s="59">
        <v>76.9396551724138</v>
      </c>
    </row>
    <row r="33" ht="15.75" customHeight="1">
      <c r="A33" s="57">
        <v>20103.0</v>
      </c>
      <c r="B33" s="58" t="s">
        <v>59</v>
      </c>
      <c r="C33" s="59">
        <v>69.97167138810198</v>
      </c>
      <c r="D33" s="59">
        <v>88.77005347593582</v>
      </c>
    </row>
    <row r="34" ht="15.75" customHeight="1">
      <c r="A34" s="57">
        <v>20104.0</v>
      </c>
      <c r="B34" s="58" t="s">
        <v>60</v>
      </c>
      <c r="C34" s="59">
        <v>74.49799196787149</v>
      </c>
      <c r="D34" s="59">
        <v>92.74106175514626</v>
      </c>
    </row>
    <row r="35" ht="15.75" customHeight="1">
      <c r="A35" s="57">
        <v>20105.0</v>
      </c>
      <c r="B35" s="58" t="s">
        <v>61</v>
      </c>
      <c r="C35" s="59">
        <v>85.13337534131486</v>
      </c>
      <c r="D35" s="59">
        <v>94.21297479678952</v>
      </c>
    </row>
    <row r="36" ht="15.75" customHeight="1">
      <c r="A36" s="57">
        <v>20201.0</v>
      </c>
      <c r="B36" s="58" t="s">
        <v>62</v>
      </c>
      <c r="C36" s="59">
        <v>54.060324825986086</v>
      </c>
      <c r="D36" s="59">
        <v>82.83378746594006</v>
      </c>
    </row>
    <row r="37" ht="15.75" customHeight="1">
      <c r="A37" s="57">
        <v>20202.0</v>
      </c>
      <c r="B37" s="58" t="s">
        <v>63</v>
      </c>
      <c r="C37" s="59">
        <v>37.61904761904762</v>
      </c>
      <c r="D37" s="59">
        <v>69.66824644549763</v>
      </c>
    </row>
    <row r="38" ht="15.75" customHeight="1">
      <c r="A38" s="57">
        <v>20203.0</v>
      </c>
      <c r="B38" s="58" t="s">
        <v>64</v>
      </c>
      <c r="C38" s="59">
        <v>55.38461538461539</v>
      </c>
      <c r="D38" s="59">
        <v>88.11881188118812</v>
      </c>
    </row>
    <row r="39" ht="15.75" customHeight="1">
      <c r="A39" s="57">
        <v>20204.0</v>
      </c>
      <c r="B39" s="58" t="s">
        <v>65</v>
      </c>
      <c r="C39" s="59">
        <v>46.34146341463415</v>
      </c>
      <c r="D39" s="59">
        <v>89.0625</v>
      </c>
    </row>
    <row r="40" ht="15.75" customHeight="1">
      <c r="A40" s="57">
        <v>20205.0</v>
      </c>
      <c r="B40" s="58" t="s">
        <v>66</v>
      </c>
      <c r="C40" s="59">
        <v>78.33333333333333</v>
      </c>
      <c r="D40" s="59">
        <v>86.66666666666667</v>
      </c>
    </row>
    <row r="41" ht="15.75" customHeight="1">
      <c r="A41" s="57">
        <v>20206.0</v>
      </c>
      <c r="B41" s="58" t="s">
        <v>67</v>
      </c>
      <c r="C41" s="59">
        <v>61.64383561643836</v>
      </c>
      <c r="D41" s="59">
        <v>94.02985074626866</v>
      </c>
    </row>
    <row r="42" ht="15.75" customHeight="1">
      <c r="A42" s="57">
        <v>20301.0</v>
      </c>
      <c r="B42" s="58" t="s">
        <v>68</v>
      </c>
      <c r="C42" s="59">
        <v>51.75879396984925</v>
      </c>
      <c r="D42" s="59">
        <v>83.69565217391305</v>
      </c>
    </row>
    <row r="43" ht="15.75" customHeight="1">
      <c r="A43" s="57">
        <v>20302.0</v>
      </c>
      <c r="B43" s="58" t="s">
        <v>69</v>
      </c>
      <c r="C43" s="59">
        <v>45.17543859649123</v>
      </c>
      <c r="D43" s="59">
        <v>79.41176470588235</v>
      </c>
    </row>
    <row r="44" ht="15.75" customHeight="1">
      <c r="A44" s="57">
        <v>20303.0</v>
      </c>
      <c r="B44" s="58" t="s">
        <v>70</v>
      </c>
      <c r="C44" s="59">
        <v>34.659090909090914</v>
      </c>
      <c r="D44" s="59">
        <v>82.84023668639054</v>
      </c>
    </row>
    <row r="45" ht="15.75" customHeight="1">
      <c r="A45" s="57">
        <v>20304.0</v>
      </c>
      <c r="B45" s="58" t="s">
        <v>71</v>
      </c>
      <c r="C45" s="59">
        <v>45.3125</v>
      </c>
      <c r="D45" s="59">
        <v>83.83838383838383</v>
      </c>
    </row>
    <row r="46" ht="15.75" customHeight="1">
      <c r="A46" s="57">
        <v>20305.0</v>
      </c>
      <c r="B46" s="58" t="s">
        <v>72</v>
      </c>
      <c r="C46" s="59">
        <v>57.407407407407405</v>
      </c>
      <c r="D46" s="59">
        <v>77.96610169491525</v>
      </c>
    </row>
    <row r="47" ht="15.75" customHeight="1">
      <c r="A47" s="57">
        <v>20306.0</v>
      </c>
      <c r="B47" s="58" t="s">
        <v>73</v>
      </c>
      <c r="C47" s="59">
        <v>35.65217391304348</v>
      </c>
      <c r="D47" s="59">
        <v>85.07462686567165</v>
      </c>
    </row>
    <row r="48" ht="15.75" customHeight="1">
      <c r="A48" s="57">
        <v>20307.0</v>
      </c>
      <c r="B48" s="58" t="s">
        <v>74</v>
      </c>
      <c r="C48" s="59">
        <v>38.095238095238095</v>
      </c>
      <c r="D48" s="59">
        <v>80.28169014084507</v>
      </c>
    </row>
    <row r="49" ht="15.75" customHeight="1">
      <c r="A49" s="57">
        <v>20308.0</v>
      </c>
      <c r="B49" s="58" t="s">
        <v>75</v>
      </c>
      <c r="C49" s="59">
        <v>47.0</v>
      </c>
      <c r="D49" s="59">
        <v>81.0</v>
      </c>
    </row>
    <row r="50" ht="15.75" customHeight="1">
      <c r="A50" s="57">
        <v>20401.0</v>
      </c>
      <c r="B50" s="58" t="s">
        <v>76</v>
      </c>
      <c r="C50" s="59">
        <v>41.95402298850575</v>
      </c>
      <c r="D50" s="59">
        <v>73.79679144385027</v>
      </c>
    </row>
    <row r="51" ht="15.75" customHeight="1">
      <c r="A51" s="57">
        <v>20402.0</v>
      </c>
      <c r="B51" s="58" t="s">
        <v>77</v>
      </c>
      <c r="C51" s="59">
        <v>32.56880733944954</v>
      </c>
      <c r="D51" s="59">
        <v>68.50393700787401</v>
      </c>
    </row>
    <row r="52" ht="15.75" customHeight="1">
      <c r="A52" s="57">
        <v>20403.0</v>
      </c>
      <c r="B52" s="58" t="s">
        <v>78</v>
      </c>
      <c r="C52" s="59">
        <v>37.58389261744966</v>
      </c>
      <c r="D52" s="59">
        <v>71.30434782608695</v>
      </c>
    </row>
    <row r="53" ht="15.75" customHeight="1">
      <c r="A53" s="57">
        <v>20404.0</v>
      </c>
      <c r="B53" s="58" t="s">
        <v>79</v>
      </c>
      <c r="C53" s="59">
        <v>11.76470588235294</v>
      </c>
      <c r="D53" s="59">
        <v>68.75</v>
      </c>
    </row>
    <row r="54" ht="15.75" customHeight="1">
      <c r="A54" s="57">
        <v>20405.0</v>
      </c>
      <c r="B54" s="58" t="s">
        <v>80</v>
      </c>
      <c r="C54" s="59">
        <v>30.864197530864196</v>
      </c>
      <c r="D54" s="59">
        <v>79.84496124031007</v>
      </c>
    </row>
    <row r="55" ht="15.75" customHeight="1">
      <c r="A55" s="57">
        <v>20501.0</v>
      </c>
      <c r="B55" s="58" t="s">
        <v>81</v>
      </c>
      <c r="C55" s="59">
        <v>39.19597989949749</v>
      </c>
      <c r="D55" s="59">
        <v>68.80733944954129</v>
      </c>
    </row>
    <row r="56" ht="15.75" customHeight="1">
      <c r="A56" s="57">
        <v>20502.0</v>
      </c>
      <c r="B56" s="58" t="s">
        <v>82</v>
      </c>
      <c r="C56" s="59">
        <v>38.52459016393443</v>
      </c>
      <c r="D56" s="59">
        <v>60.3896103896104</v>
      </c>
    </row>
    <row r="57" ht="15.75" customHeight="1">
      <c r="A57" s="57">
        <v>20503.0</v>
      </c>
      <c r="B57" s="58" t="s">
        <v>83</v>
      </c>
      <c r="C57" s="59">
        <v>47.57281553398058</v>
      </c>
      <c r="D57" s="59">
        <v>70.0</v>
      </c>
    </row>
    <row r="58" ht="15.75" customHeight="1">
      <c r="A58" s="57">
        <v>20601.0</v>
      </c>
      <c r="B58" s="58" t="s">
        <v>84</v>
      </c>
      <c r="C58" s="59">
        <v>54.946996466431095</v>
      </c>
      <c r="D58" s="59">
        <v>84.25196850393701</v>
      </c>
    </row>
    <row r="59" ht="15.75" customHeight="1">
      <c r="A59" s="57">
        <v>20602.0</v>
      </c>
      <c r="B59" s="58" t="s">
        <v>85</v>
      </c>
      <c r="C59" s="59">
        <v>78.79581151832461</v>
      </c>
      <c r="D59" s="59">
        <v>92.3512747875354</v>
      </c>
    </row>
    <row r="60" ht="15.75" customHeight="1">
      <c r="A60" s="57">
        <v>20603.0</v>
      </c>
      <c r="B60" s="58" t="s">
        <v>86</v>
      </c>
      <c r="C60" s="59">
        <v>64.65517241379311</v>
      </c>
      <c r="D60" s="59">
        <v>83.41013824884793</v>
      </c>
    </row>
    <row r="61" ht="15.75" customHeight="1">
      <c r="A61" s="57">
        <v>20604.0</v>
      </c>
      <c r="B61" s="58" t="s">
        <v>87</v>
      </c>
      <c r="C61" s="59">
        <v>31.03448275862069</v>
      </c>
      <c r="D61" s="59">
        <v>77.89473684210526</v>
      </c>
    </row>
    <row r="62" ht="15.75" customHeight="1">
      <c r="A62" s="57">
        <v>20605.0</v>
      </c>
      <c r="B62" s="58" t="s">
        <v>88</v>
      </c>
      <c r="C62" s="59">
        <v>40.816326530612244</v>
      </c>
      <c r="D62" s="59">
        <v>79.54545454545455</v>
      </c>
    </row>
    <row r="63" ht="15.75" customHeight="1">
      <c r="A63" s="57">
        <v>20606.0</v>
      </c>
      <c r="B63" s="58" t="s">
        <v>89</v>
      </c>
      <c r="C63" s="59">
        <v>92.16417910447761</v>
      </c>
      <c r="D63" s="59">
        <v>98.0392156862745</v>
      </c>
    </row>
    <row r="64" ht="15.75" customHeight="1">
      <c r="A64" s="57">
        <v>20607.0</v>
      </c>
      <c r="B64" s="58" t="s">
        <v>90</v>
      </c>
      <c r="C64" s="59">
        <v>86.59217877094973</v>
      </c>
      <c r="D64" s="59">
        <v>93.84359400998336</v>
      </c>
    </row>
    <row r="65" ht="15.75" customHeight="1">
      <c r="A65" s="57">
        <v>20608.0</v>
      </c>
      <c r="B65" s="58" t="s">
        <v>91</v>
      </c>
      <c r="C65" s="59">
        <v>77.41935483870968</v>
      </c>
      <c r="D65" s="59">
        <v>92.99363057324841</v>
      </c>
    </row>
    <row r="66" ht="15.75" customHeight="1">
      <c r="A66" s="57">
        <v>20701.0</v>
      </c>
      <c r="B66" s="58" t="s">
        <v>92</v>
      </c>
      <c r="C66" s="59">
        <v>59.07692307692308</v>
      </c>
      <c r="D66" s="59">
        <v>81.04738154613467</v>
      </c>
    </row>
    <row r="67" ht="15.75" customHeight="1">
      <c r="A67" s="57">
        <v>20702.0</v>
      </c>
      <c r="B67" s="58" t="s">
        <v>93</v>
      </c>
      <c r="C67" s="59">
        <v>44.84848484848485</v>
      </c>
      <c r="D67" s="59">
        <v>66.84491978609626</v>
      </c>
    </row>
    <row r="68" ht="15.75" customHeight="1">
      <c r="A68" s="57">
        <v>20801.0</v>
      </c>
      <c r="B68" s="58" t="s">
        <v>94</v>
      </c>
      <c r="C68" s="59">
        <v>82.88288288288288</v>
      </c>
      <c r="D68" s="59">
        <v>93.96709323583181</v>
      </c>
    </row>
    <row r="69" ht="15.75" customHeight="1">
      <c r="A69" s="57">
        <v>20802.0</v>
      </c>
      <c r="B69" s="58" t="s">
        <v>95</v>
      </c>
      <c r="C69" s="59">
        <v>68.47826086956522</v>
      </c>
      <c r="D69" s="59">
        <v>89.07563025210085</v>
      </c>
    </row>
    <row r="70" ht="15.75" customHeight="1">
      <c r="A70" s="57">
        <v>20803.0</v>
      </c>
      <c r="B70" s="58" t="s">
        <v>96</v>
      </c>
      <c r="C70" s="59">
        <v>37.3134328358209</v>
      </c>
      <c r="D70" s="59">
        <v>83.54430379746836</v>
      </c>
    </row>
    <row r="71" ht="15.75" customHeight="1">
      <c r="A71" s="57">
        <v>20804.0</v>
      </c>
      <c r="B71" s="58" t="s">
        <v>97</v>
      </c>
      <c r="C71" s="59">
        <v>68.34532374100719</v>
      </c>
      <c r="D71" s="59">
        <v>87.5</v>
      </c>
    </row>
    <row r="72" ht="15.75" customHeight="1">
      <c r="A72" s="57">
        <v>20805.0</v>
      </c>
      <c r="B72" s="58" t="s">
        <v>98</v>
      </c>
      <c r="C72" s="59">
        <v>35.0</v>
      </c>
      <c r="D72" s="59">
        <v>80.37383177570094</v>
      </c>
    </row>
    <row r="73" ht="15.75" customHeight="1">
      <c r="A73" s="57">
        <v>20806.0</v>
      </c>
      <c r="B73" s="58" t="s">
        <v>99</v>
      </c>
      <c r="C73" s="59">
        <v>48.41269841269841</v>
      </c>
      <c r="D73" s="59">
        <v>79.32489451476793</v>
      </c>
    </row>
    <row r="74" ht="15.75" customHeight="1">
      <c r="A74" s="57">
        <v>20807.0</v>
      </c>
      <c r="B74" s="58" t="s">
        <v>100</v>
      </c>
      <c r="C74" s="59">
        <v>58.24175824175825</v>
      </c>
      <c r="D74" s="59">
        <v>80.0</v>
      </c>
    </row>
    <row r="75" ht="15.75" customHeight="1">
      <c r="A75" s="57">
        <v>20901.0</v>
      </c>
      <c r="B75" s="58" t="s">
        <v>101</v>
      </c>
      <c r="C75" s="59">
        <v>58.77192982456141</v>
      </c>
      <c r="D75" s="59">
        <v>92.23300970873787</v>
      </c>
    </row>
    <row r="76" ht="15.75" customHeight="1">
      <c r="A76" s="57">
        <v>20902.0</v>
      </c>
      <c r="B76" s="58" t="s">
        <v>102</v>
      </c>
      <c r="C76" s="59">
        <v>47.599999999999994</v>
      </c>
      <c r="D76" s="59">
        <v>83.55263157894737</v>
      </c>
    </row>
    <row r="77" ht="15.75" customHeight="1">
      <c r="A77" s="57">
        <v>20903.0</v>
      </c>
      <c r="B77" s="58" t="s">
        <v>103</v>
      </c>
      <c r="C77" s="59">
        <v>38.21138211382114</v>
      </c>
      <c r="D77" s="59">
        <v>70.24390243902438</v>
      </c>
    </row>
    <row r="78" ht="15.75" customHeight="1">
      <c r="A78" s="57">
        <v>20904.0</v>
      </c>
      <c r="B78" s="58" t="s">
        <v>104</v>
      </c>
      <c r="C78" s="59">
        <v>40.74074074074074</v>
      </c>
      <c r="D78" s="59">
        <v>66.36363636363637</v>
      </c>
    </row>
    <row r="79" ht="15.75" customHeight="1">
      <c r="A79" s="57">
        <v>20905.0</v>
      </c>
      <c r="B79" s="58" t="s">
        <v>105</v>
      </c>
      <c r="C79" s="59">
        <v>55.02392344497608</v>
      </c>
      <c r="D79" s="59">
        <v>80.13698630136986</v>
      </c>
    </row>
    <row r="80" ht="15.75" customHeight="1">
      <c r="A80" s="57">
        <v>21001.0</v>
      </c>
      <c r="B80" s="58" t="s">
        <v>106</v>
      </c>
      <c r="C80" s="59">
        <v>42.857142857142854</v>
      </c>
      <c r="D80" s="59">
        <v>72.8862973760933</v>
      </c>
    </row>
    <row r="81" ht="15.75" customHeight="1">
      <c r="A81" s="57">
        <v>21002.0</v>
      </c>
      <c r="B81" s="58" t="s">
        <v>107</v>
      </c>
      <c r="C81" s="59">
        <v>66.84491978609626</v>
      </c>
      <c r="D81" s="59">
        <v>89.14285714285714</v>
      </c>
    </row>
    <row r="82" ht="15.75" customHeight="1">
      <c r="A82" s="57">
        <v>21003.0</v>
      </c>
      <c r="B82" s="58" t="s">
        <v>108</v>
      </c>
      <c r="C82" s="59">
        <v>74.53874538745387</v>
      </c>
      <c r="D82" s="59">
        <v>90.75425790754258</v>
      </c>
    </row>
    <row r="83" ht="15.75" customHeight="1">
      <c r="A83" s="57">
        <v>21004.0</v>
      </c>
      <c r="B83" s="58" t="s">
        <v>109</v>
      </c>
      <c r="C83" s="59">
        <v>61.6580310880829</v>
      </c>
      <c r="D83" s="59">
        <v>84.1304347826087</v>
      </c>
    </row>
    <row r="84" ht="15.75" customHeight="1">
      <c r="A84" s="57">
        <v>21005.0</v>
      </c>
      <c r="B84" s="58" t="s">
        <v>110</v>
      </c>
      <c r="C84" s="59">
        <v>38.88888888888889</v>
      </c>
      <c r="D84" s="59">
        <v>52.54237288135594</v>
      </c>
    </row>
    <row r="85" ht="15.75" customHeight="1">
      <c r="A85" s="57">
        <v>21006.0</v>
      </c>
      <c r="B85" s="58" t="s">
        <v>111</v>
      </c>
      <c r="C85" s="59">
        <v>68.04123711340206</v>
      </c>
      <c r="D85" s="59">
        <v>90.9090909090909</v>
      </c>
    </row>
    <row r="86" ht="15.75" customHeight="1">
      <c r="A86" s="57">
        <v>21101.0</v>
      </c>
      <c r="B86" s="58" t="s">
        <v>112</v>
      </c>
      <c r="C86" s="59">
        <v>80.23255813953489</v>
      </c>
      <c r="D86" s="59">
        <v>94.73684210526315</v>
      </c>
    </row>
    <row r="87" ht="15.75" customHeight="1">
      <c r="A87" s="57">
        <v>21102.0</v>
      </c>
      <c r="B87" s="58" t="s">
        <v>113</v>
      </c>
      <c r="C87" s="59">
        <v>73.6470588235294</v>
      </c>
      <c r="D87" s="59">
        <v>88.72340425531915</v>
      </c>
    </row>
    <row r="88" ht="15.75" customHeight="1">
      <c r="A88" s="57">
        <v>21103.0</v>
      </c>
      <c r="B88" s="58" t="s">
        <v>114</v>
      </c>
      <c r="C88" s="59">
        <v>90.625</v>
      </c>
      <c r="D88" s="59">
        <v>96.42857142857143</v>
      </c>
    </row>
    <row r="89" ht="15.75" customHeight="1">
      <c r="A89" s="57">
        <v>21104.0</v>
      </c>
      <c r="B89" s="58" t="s">
        <v>115</v>
      </c>
      <c r="C89" s="59">
        <v>76.96</v>
      </c>
      <c r="D89" s="59">
        <v>90.30694668820679</v>
      </c>
    </row>
    <row r="90" ht="15.75" customHeight="1">
      <c r="A90" s="57">
        <v>21105.0</v>
      </c>
      <c r="B90" s="58" t="s">
        <v>116</v>
      </c>
      <c r="C90" s="59">
        <v>57.65895953757225</v>
      </c>
      <c r="D90" s="59">
        <v>84.93273542600896</v>
      </c>
    </row>
    <row r="91" ht="15.75" customHeight="1">
      <c r="A91" s="57">
        <v>21201.0</v>
      </c>
      <c r="B91" s="58" t="s">
        <v>117</v>
      </c>
      <c r="C91" s="59">
        <v>42.35668789808918</v>
      </c>
      <c r="D91" s="59">
        <v>79.93630573248409</v>
      </c>
    </row>
    <row r="92" ht="15.75" customHeight="1">
      <c r="A92" s="57">
        <v>21202.0</v>
      </c>
      <c r="B92" s="58" t="s">
        <v>118</v>
      </c>
      <c r="C92" s="59">
        <v>53.41880341880342</v>
      </c>
      <c r="D92" s="59">
        <v>84.19580419580419</v>
      </c>
    </row>
    <row r="93" ht="15.75" customHeight="1">
      <c r="A93" s="57">
        <v>21203.0</v>
      </c>
      <c r="B93" s="58" t="s">
        <v>119</v>
      </c>
      <c r="C93" s="59">
        <v>54.054054054054056</v>
      </c>
      <c r="D93" s="59">
        <v>77.6349614395887</v>
      </c>
    </row>
    <row r="94" ht="15.75" customHeight="1">
      <c r="A94" s="57">
        <v>21204.0</v>
      </c>
      <c r="B94" s="58" t="s">
        <v>120</v>
      </c>
      <c r="C94" s="59">
        <v>33.92857142857143</v>
      </c>
      <c r="D94" s="59">
        <v>69.79166666666666</v>
      </c>
    </row>
    <row r="95" ht="15.75" customHeight="1">
      <c r="A95" s="57">
        <v>21301.0</v>
      </c>
      <c r="B95" s="58" t="s">
        <v>121</v>
      </c>
      <c r="C95" s="59">
        <v>58.392857142857146</v>
      </c>
      <c r="D95" s="59">
        <v>80.2610114192496</v>
      </c>
    </row>
    <row r="96" ht="15.75" customHeight="1">
      <c r="A96" s="57">
        <v>21302.0</v>
      </c>
      <c r="B96" s="58" t="s">
        <v>122</v>
      </c>
      <c r="C96" s="59">
        <v>56.19834710743802</v>
      </c>
      <c r="D96" s="59">
        <v>79.67479674796748</v>
      </c>
    </row>
    <row r="97" ht="15.75" customHeight="1">
      <c r="A97" s="57">
        <v>21303.0</v>
      </c>
      <c r="B97" s="58" t="s">
        <v>123</v>
      </c>
      <c r="C97" s="59">
        <v>46.206896551724135</v>
      </c>
      <c r="D97" s="59">
        <v>73.42995169082126</v>
      </c>
    </row>
    <row r="98" ht="15.75" customHeight="1">
      <c r="A98" s="57">
        <v>21304.0</v>
      </c>
      <c r="B98" s="58" t="s">
        <v>124</v>
      </c>
      <c r="C98" s="59">
        <v>49.029126213592235</v>
      </c>
      <c r="D98" s="59">
        <v>84.8249027237354</v>
      </c>
    </row>
    <row r="99" ht="15.75" customHeight="1">
      <c r="A99" s="57">
        <v>21305.0</v>
      </c>
      <c r="B99" s="58" t="s">
        <v>125</v>
      </c>
      <c r="C99" s="59">
        <v>71.24183006535948</v>
      </c>
      <c r="D99" s="59">
        <v>85.35031847133759</v>
      </c>
    </row>
    <row r="100" ht="15.75" customHeight="1">
      <c r="A100" s="57">
        <v>21306.0</v>
      </c>
      <c r="B100" s="58" t="s">
        <v>126</v>
      </c>
      <c r="C100" s="59">
        <v>48.4304932735426</v>
      </c>
      <c r="D100" s="59">
        <v>86.94158075601375</v>
      </c>
    </row>
    <row r="101" ht="15.75" customHeight="1">
      <c r="A101" s="57">
        <v>21307.0</v>
      </c>
      <c r="B101" s="58" t="s">
        <v>127</v>
      </c>
      <c r="C101" s="59">
        <v>61.94690265486725</v>
      </c>
      <c r="D101" s="59">
        <v>91.75257731958763</v>
      </c>
    </row>
    <row r="102" ht="15.75" customHeight="1">
      <c r="A102" s="57">
        <v>21401.0</v>
      </c>
      <c r="B102" s="58" t="s">
        <v>128</v>
      </c>
      <c r="C102" s="59">
        <v>80.65134099616859</v>
      </c>
      <c r="D102" s="59">
        <v>91.87817258883248</v>
      </c>
    </row>
    <row r="103" ht="15.75" customHeight="1">
      <c r="A103" s="57">
        <v>21402.0</v>
      </c>
      <c r="B103" s="58" t="s">
        <v>129</v>
      </c>
      <c r="C103" s="59">
        <v>83.29979879275655</v>
      </c>
      <c r="D103" s="59">
        <v>89.07216494845362</v>
      </c>
    </row>
    <row r="104" ht="15.75" customHeight="1">
      <c r="A104" s="57">
        <v>21501.0</v>
      </c>
      <c r="B104" s="58" t="s">
        <v>130</v>
      </c>
      <c r="C104" s="59">
        <v>76.26262626262627</v>
      </c>
      <c r="D104" s="59">
        <v>87.87878787878788</v>
      </c>
    </row>
    <row r="105" ht="15.75" customHeight="1">
      <c r="A105" s="57">
        <v>21502.0</v>
      </c>
      <c r="B105" s="58" t="s">
        <v>131</v>
      </c>
      <c r="C105" s="59">
        <v>84.21052631578947</v>
      </c>
      <c r="D105" s="59">
        <v>94.73684210526315</v>
      </c>
    </row>
    <row r="106" ht="15.75" customHeight="1">
      <c r="A106" s="57">
        <v>21601.0</v>
      </c>
      <c r="B106" s="58" t="s">
        <v>132</v>
      </c>
      <c r="C106" s="59">
        <v>33.33333333333333</v>
      </c>
      <c r="D106" s="59">
        <v>63.934426229508205</v>
      </c>
    </row>
    <row r="107" ht="15.75" customHeight="1">
      <c r="A107" s="57">
        <v>21602.0</v>
      </c>
      <c r="B107" s="58" t="s">
        <v>133</v>
      </c>
      <c r="C107" s="59">
        <v>12.162162162162163</v>
      </c>
      <c r="D107" s="59">
        <v>46.55172413793103</v>
      </c>
    </row>
    <row r="108" ht="15.75" customHeight="1">
      <c r="A108" s="57">
        <v>21701.0</v>
      </c>
      <c r="B108" s="58" t="s">
        <v>134</v>
      </c>
      <c r="C108" s="59">
        <v>75.08771929824562</v>
      </c>
      <c r="D108" s="59">
        <v>90.42145593869732</v>
      </c>
    </row>
    <row r="109" ht="15.75" customHeight="1">
      <c r="A109" s="57">
        <v>21702.0</v>
      </c>
      <c r="B109" s="58" t="s">
        <v>135</v>
      </c>
      <c r="C109" s="59">
        <v>61.8421052631579</v>
      </c>
      <c r="D109" s="59">
        <v>90.76923076923077</v>
      </c>
    </row>
    <row r="110" ht="15.75" customHeight="1">
      <c r="A110" s="57">
        <v>21703.0</v>
      </c>
      <c r="B110" s="58" t="s">
        <v>136</v>
      </c>
      <c r="C110" s="59">
        <v>33.33333333333333</v>
      </c>
      <c r="D110" s="59">
        <v>76.81159420289855</v>
      </c>
    </row>
    <row r="111" ht="15.75" customHeight="1">
      <c r="A111" s="57">
        <v>21801.0</v>
      </c>
      <c r="B111" s="58" t="s">
        <v>137</v>
      </c>
      <c r="C111" s="59">
        <v>50.0</v>
      </c>
      <c r="D111" s="59">
        <v>80.8695652173913</v>
      </c>
    </row>
    <row r="112" ht="15.75" customHeight="1">
      <c r="A112" s="57">
        <v>21802.0</v>
      </c>
      <c r="B112" s="58" t="s">
        <v>138</v>
      </c>
      <c r="C112" s="59">
        <v>50.40650406504065</v>
      </c>
      <c r="D112" s="59">
        <v>91.2621359223301</v>
      </c>
    </row>
    <row r="113" ht="15.75" customHeight="1">
      <c r="A113" s="57">
        <v>21803.0</v>
      </c>
      <c r="B113" s="58" t="s">
        <v>139</v>
      </c>
      <c r="C113" s="59">
        <v>59.375</v>
      </c>
      <c r="D113" s="59">
        <v>68.57142857142857</v>
      </c>
    </row>
    <row r="114" ht="15.75" customHeight="1">
      <c r="A114" s="57">
        <v>21901.0</v>
      </c>
      <c r="B114" s="58" t="s">
        <v>140</v>
      </c>
      <c r="C114" s="59">
        <v>60.46511627906976</v>
      </c>
      <c r="D114" s="59">
        <v>81.73076923076923</v>
      </c>
    </row>
    <row r="115" ht="15.75" customHeight="1">
      <c r="A115" s="57">
        <v>21902.0</v>
      </c>
      <c r="B115" s="58" t="s">
        <v>141</v>
      </c>
      <c r="C115" s="59">
        <v>40.816326530612244</v>
      </c>
      <c r="D115" s="59">
        <v>74.74747474747475</v>
      </c>
    </row>
    <row r="116" ht="15.75" customHeight="1">
      <c r="A116" s="57">
        <v>22001.0</v>
      </c>
      <c r="B116" s="58" t="s">
        <v>142</v>
      </c>
      <c r="C116" s="59">
        <v>73.90625</v>
      </c>
      <c r="D116" s="59">
        <v>89.32926829268293</v>
      </c>
    </row>
    <row r="117" ht="15.75" customHeight="1">
      <c r="A117" s="57">
        <v>22002.0</v>
      </c>
      <c r="B117" s="58" t="s">
        <v>143</v>
      </c>
      <c r="C117" s="59">
        <v>78.52564102564102</v>
      </c>
      <c r="D117" s="59">
        <v>93.23671497584542</v>
      </c>
    </row>
    <row r="118" ht="15.75" customHeight="1">
      <c r="A118" s="57">
        <v>30101.0</v>
      </c>
      <c r="B118" s="58" t="s">
        <v>22</v>
      </c>
      <c r="C118" s="59">
        <v>93.40524227351477</v>
      </c>
      <c r="D118" s="59">
        <v>97.42465753424658</v>
      </c>
    </row>
    <row r="119" ht="15.75" customHeight="1">
      <c r="A119" s="57">
        <v>30201.0</v>
      </c>
      <c r="B119" s="58" t="s">
        <v>144</v>
      </c>
      <c r="C119" s="59">
        <v>76.88564476885644</v>
      </c>
      <c r="D119" s="59">
        <v>93.8388625592417</v>
      </c>
    </row>
    <row r="120" ht="15.75" customHeight="1">
      <c r="A120" s="57">
        <v>30202.0</v>
      </c>
      <c r="B120" s="58" t="s">
        <v>145</v>
      </c>
      <c r="C120" s="59">
        <v>82.53968253968253</v>
      </c>
      <c r="D120" s="59">
        <v>92.66055045871559</v>
      </c>
    </row>
    <row r="121" ht="15.75" customHeight="1">
      <c r="A121" s="57">
        <v>30203.0</v>
      </c>
      <c r="B121" s="58" t="s">
        <v>146</v>
      </c>
      <c r="C121" s="59">
        <v>84.87394957983193</v>
      </c>
      <c r="D121" s="59">
        <v>96.15384615384616</v>
      </c>
    </row>
    <row r="122" ht="15.75" customHeight="1">
      <c r="A122" s="57">
        <v>30301.0</v>
      </c>
      <c r="B122" s="58" t="s">
        <v>147</v>
      </c>
      <c r="C122" s="59">
        <v>70.4225352112676</v>
      </c>
      <c r="D122" s="59">
        <v>83.25</v>
      </c>
    </row>
    <row r="123" ht="15.75" customHeight="1">
      <c r="A123" s="57">
        <v>30302.0</v>
      </c>
      <c r="B123" s="58" t="s">
        <v>148</v>
      </c>
      <c r="C123" s="59">
        <v>56.43153526970954</v>
      </c>
      <c r="D123" s="59">
        <v>84.2911877394636</v>
      </c>
    </row>
    <row r="124" ht="15.75" customHeight="1">
      <c r="A124" s="57">
        <v>30303.0</v>
      </c>
      <c r="B124" s="58" t="s">
        <v>149</v>
      </c>
      <c r="C124" s="59">
        <v>49.714285714285715</v>
      </c>
      <c r="D124" s="59">
        <v>78.41140529531569</v>
      </c>
    </row>
    <row r="125" ht="15.75" customHeight="1">
      <c r="A125" s="57">
        <v>30401.0</v>
      </c>
      <c r="B125" s="58" t="s">
        <v>150</v>
      </c>
      <c r="C125" s="59">
        <v>87.20930232558139</v>
      </c>
      <c r="D125" s="59">
        <v>95.73459715639811</v>
      </c>
    </row>
    <row r="126" ht="15.75" customHeight="1">
      <c r="A126" s="57">
        <v>30402.0</v>
      </c>
      <c r="B126" s="58" t="s">
        <v>151</v>
      </c>
      <c r="C126" s="59">
        <v>58.82352941176471</v>
      </c>
      <c r="D126" s="59">
        <v>90.9090909090909</v>
      </c>
    </row>
    <row r="127" ht="15.75" customHeight="1">
      <c r="A127" s="57">
        <v>30403.0</v>
      </c>
      <c r="B127" s="58" t="s">
        <v>152</v>
      </c>
      <c r="C127" s="59">
        <v>85.6777493606138</v>
      </c>
      <c r="D127" s="59">
        <v>94.57478005865103</v>
      </c>
    </row>
    <row r="128" ht="15.75" customHeight="1">
      <c r="A128" s="57">
        <v>30404.0</v>
      </c>
      <c r="B128" s="58" t="s">
        <v>153</v>
      </c>
      <c r="C128" s="59">
        <v>79.7752808988764</v>
      </c>
      <c r="D128" s="59">
        <v>88.31168831168831</v>
      </c>
    </row>
    <row r="129" ht="15.75" customHeight="1">
      <c r="A129" s="57">
        <v>30501.0</v>
      </c>
      <c r="B129" s="58" t="s">
        <v>154</v>
      </c>
      <c r="C129" s="59">
        <v>87.36842105263159</v>
      </c>
      <c r="D129" s="59">
        <v>97.57281553398059</v>
      </c>
    </row>
    <row r="130" ht="15.75" customHeight="1">
      <c r="A130" s="57">
        <v>30502.0</v>
      </c>
      <c r="B130" s="58" t="s">
        <v>155</v>
      </c>
      <c r="C130" s="59">
        <v>67.72486772486772</v>
      </c>
      <c r="D130" s="59">
        <v>89.93288590604027</v>
      </c>
    </row>
    <row r="131" ht="15.75" customHeight="1">
      <c r="A131" s="57">
        <v>30601.0</v>
      </c>
      <c r="B131" s="58" t="s">
        <v>156</v>
      </c>
      <c r="C131" s="59">
        <v>36.15819209039548</v>
      </c>
      <c r="D131" s="59">
        <v>71.02803738317756</v>
      </c>
    </row>
    <row r="132" ht="15.75" customHeight="1">
      <c r="A132" s="57">
        <v>30602.0</v>
      </c>
      <c r="B132" s="58" t="s">
        <v>157</v>
      </c>
      <c r="C132" s="59">
        <v>36.627906976744185</v>
      </c>
      <c r="D132" s="59">
        <v>77.57575757575758</v>
      </c>
    </row>
    <row r="133" ht="15.75" customHeight="1">
      <c r="A133" s="57">
        <v>30701.0</v>
      </c>
      <c r="B133" s="58" t="s">
        <v>158</v>
      </c>
      <c r="C133" s="59">
        <v>85.65573770491804</v>
      </c>
      <c r="D133" s="59">
        <v>93.5632183908046</v>
      </c>
    </row>
    <row r="134" ht="15.75" customHeight="1">
      <c r="A134" s="57">
        <v>30702.0</v>
      </c>
      <c r="B134" s="58" t="s">
        <v>159</v>
      </c>
      <c r="C134" s="59">
        <v>83.33333333333334</v>
      </c>
      <c r="D134" s="59">
        <v>100.0</v>
      </c>
    </row>
    <row r="135" ht="15.75" customHeight="1">
      <c r="A135" s="57">
        <v>30703.0</v>
      </c>
      <c r="B135" s="58" t="s">
        <v>160</v>
      </c>
      <c r="C135" s="59">
        <v>64.38356164383562</v>
      </c>
      <c r="D135" s="59">
        <v>92.3076923076923</v>
      </c>
    </row>
    <row r="136" ht="15.75" customHeight="1">
      <c r="A136" s="57">
        <v>30801.0</v>
      </c>
      <c r="B136" s="58" t="s">
        <v>161</v>
      </c>
      <c r="C136" s="59">
        <v>94.26523297491039</v>
      </c>
      <c r="D136" s="59">
        <v>97.72727272727273</v>
      </c>
    </row>
    <row r="137" ht="15.75" customHeight="1">
      <c r="A137" s="57">
        <v>30802.0</v>
      </c>
      <c r="B137" s="58" t="s">
        <v>162</v>
      </c>
      <c r="C137" s="59">
        <v>89.78102189781022</v>
      </c>
      <c r="D137" s="59">
        <v>95.13888888888889</v>
      </c>
    </row>
    <row r="138" ht="15.75" customHeight="1">
      <c r="A138" s="57">
        <v>30803.0</v>
      </c>
      <c r="B138" s="58" t="s">
        <v>163</v>
      </c>
      <c r="C138" s="59">
        <v>95.38461538461539</v>
      </c>
      <c r="D138" s="59">
        <v>96.42857142857143</v>
      </c>
    </row>
    <row r="139" ht="15.75" customHeight="1">
      <c r="A139" s="57">
        <v>30901.0</v>
      </c>
      <c r="B139" s="58" t="s">
        <v>164</v>
      </c>
      <c r="C139" s="59">
        <v>92.43547150523894</v>
      </c>
      <c r="D139" s="59">
        <v>97.19705549263873</v>
      </c>
    </row>
    <row r="140" ht="15.75" customHeight="1">
      <c r="A140" s="57">
        <v>30902.0</v>
      </c>
      <c r="B140" s="58" t="s">
        <v>165</v>
      </c>
      <c r="C140" s="59">
        <v>86.85403445149592</v>
      </c>
      <c r="D140" s="59">
        <v>95.30447542186353</v>
      </c>
    </row>
    <row r="141" ht="15.75" customHeight="1">
      <c r="A141" s="57">
        <v>30903.0</v>
      </c>
      <c r="B141" s="58" t="s">
        <v>166</v>
      </c>
      <c r="C141" s="59">
        <v>91.25647668393782</v>
      </c>
      <c r="D141" s="59">
        <v>97.25913621262458</v>
      </c>
    </row>
    <row r="142" ht="15.75" customHeight="1">
      <c r="A142" s="57">
        <v>30904.0</v>
      </c>
      <c r="B142" s="58" t="s">
        <v>167</v>
      </c>
      <c r="C142" s="59">
        <v>91.64265129682997</v>
      </c>
      <c r="D142" s="59">
        <v>96.6327329678935</v>
      </c>
    </row>
    <row r="143" ht="15.75" customHeight="1">
      <c r="A143" s="57">
        <v>30905.0</v>
      </c>
      <c r="B143" s="58" t="s">
        <v>168</v>
      </c>
      <c r="C143" s="59">
        <v>96.31860776439089</v>
      </c>
      <c r="D143" s="59">
        <v>98.63672814755414</v>
      </c>
    </row>
    <row r="144" ht="15.75" customHeight="1">
      <c r="A144" s="57">
        <v>31001.0</v>
      </c>
      <c r="B144" s="58" t="s">
        <v>169</v>
      </c>
      <c r="C144" s="59">
        <v>93.30401758944633</v>
      </c>
      <c r="D144" s="59">
        <v>97.68398268398269</v>
      </c>
    </row>
    <row r="145" ht="15.75" customHeight="1">
      <c r="A145" s="57">
        <v>31002.0</v>
      </c>
      <c r="B145" s="58" t="s">
        <v>170</v>
      </c>
      <c r="C145" s="59">
        <v>77.67653758542141</v>
      </c>
      <c r="D145" s="59">
        <v>96.0</v>
      </c>
    </row>
    <row r="146" ht="15.75" customHeight="1">
      <c r="A146" s="57">
        <v>31003.0</v>
      </c>
      <c r="B146" s="58" t="s">
        <v>171</v>
      </c>
      <c r="C146" s="59">
        <v>80.71654373024236</v>
      </c>
      <c r="D146" s="59">
        <v>89.36077057793345</v>
      </c>
    </row>
    <row r="147" ht="15.75" customHeight="1">
      <c r="A147" s="57">
        <v>31101.0</v>
      </c>
      <c r="B147" s="58" t="s">
        <v>172</v>
      </c>
      <c r="C147" s="59">
        <v>32.421875</v>
      </c>
      <c r="D147" s="59">
        <v>64.58797327394208</v>
      </c>
    </row>
    <row r="148" ht="15.75" customHeight="1">
      <c r="A148" s="57">
        <v>31201.0</v>
      </c>
      <c r="B148" s="58" t="s">
        <v>173</v>
      </c>
      <c r="C148" s="59">
        <v>79.01639344262294</v>
      </c>
      <c r="D148" s="59">
        <v>90.51094890510949</v>
      </c>
    </row>
    <row r="149" ht="15.75" customHeight="1">
      <c r="A149" s="57">
        <v>31202.0</v>
      </c>
      <c r="B149" s="58" t="s">
        <v>174</v>
      </c>
      <c r="C149" s="59">
        <v>73.60406091370558</v>
      </c>
      <c r="D149" s="59">
        <v>92.36641221374046</v>
      </c>
    </row>
    <row r="150" ht="15.75" customHeight="1">
      <c r="A150" s="57">
        <v>31203.0</v>
      </c>
      <c r="B150" s="58" t="s">
        <v>175</v>
      </c>
      <c r="C150" s="59">
        <v>81.38528138528139</v>
      </c>
      <c r="D150" s="59">
        <v>95.51020408163265</v>
      </c>
    </row>
    <row r="151" ht="15.75" customHeight="1">
      <c r="A151" s="57">
        <v>31204.0</v>
      </c>
      <c r="B151" s="58" t="s">
        <v>176</v>
      </c>
      <c r="C151" s="59">
        <v>88.77887788778878</v>
      </c>
      <c r="D151" s="59">
        <v>91.71597633136095</v>
      </c>
    </row>
    <row r="152" ht="15.75" customHeight="1">
      <c r="A152" s="57">
        <v>31205.0</v>
      </c>
      <c r="B152" s="58" t="s">
        <v>177</v>
      </c>
      <c r="C152" s="59">
        <v>90.07352941176471</v>
      </c>
      <c r="D152" s="59">
        <v>94.43155452436194</v>
      </c>
    </row>
    <row r="153" ht="15.75" customHeight="1">
      <c r="A153" s="57">
        <v>31206.0</v>
      </c>
      <c r="B153" s="58" t="s">
        <v>178</v>
      </c>
      <c r="C153" s="59">
        <v>86.25792811839324</v>
      </c>
      <c r="D153" s="59">
        <v>96.89597315436241</v>
      </c>
    </row>
    <row r="154" ht="15.75" customHeight="1">
      <c r="A154" s="57">
        <v>31301.0</v>
      </c>
      <c r="B154" s="58" t="s">
        <v>179</v>
      </c>
      <c r="C154" s="59">
        <v>84.07494145199064</v>
      </c>
      <c r="D154" s="59">
        <v>93.34811529933481</v>
      </c>
    </row>
    <row r="155" ht="15.75" customHeight="1">
      <c r="A155" s="57">
        <v>31302.0</v>
      </c>
      <c r="B155" s="58" t="s">
        <v>180</v>
      </c>
      <c r="C155" s="59">
        <v>54.90196078431373</v>
      </c>
      <c r="D155" s="59">
        <v>88.33333333333333</v>
      </c>
    </row>
    <row r="156" ht="15.75" customHeight="1">
      <c r="A156" s="57">
        <v>31303.0</v>
      </c>
      <c r="B156" s="58" t="s">
        <v>181</v>
      </c>
      <c r="C156" s="59">
        <v>52.54237288135594</v>
      </c>
      <c r="D156" s="59">
        <v>94.20289855072464</v>
      </c>
    </row>
    <row r="157" ht="15.75" customHeight="1">
      <c r="A157" s="57">
        <v>31304.0</v>
      </c>
      <c r="B157" s="58" t="s">
        <v>182</v>
      </c>
      <c r="C157" s="59">
        <v>29.878048780487802</v>
      </c>
      <c r="D157" s="59">
        <v>61.935483870967744</v>
      </c>
    </row>
    <row r="158" ht="15.75" customHeight="1">
      <c r="A158" s="57">
        <v>31401.0</v>
      </c>
      <c r="B158" s="58" t="s">
        <v>183</v>
      </c>
      <c r="C158" s="59">
        <v>94.47592067988668</v>
      </c>
      <c r="D158" s="59">
        <v>98.80794701986756</v>
      </c>
    </row>
    <row r="159" ht="15.75" customHeight="1">
      <c r="A159" s="57">
        <v>31402.0</v>
      </c>
      <c r="B159" s="58" t="s">
        <v>184</v>
      </c>
      <c r="C159" s="59">
        <v>86.03603603603604</v>
      </c>
      <c r="D159" s="59">
        <v>98.91304347826086</v>
      </c>
    </row>
    <row r="160" ht="15.75" customHeight="1">
      <c r="A160" s="57">
        <v>31403.0</v>
      </c>
      <c r="B160" s="58" t="s">
        <v>185</v>
      </c>
      <c r="C160" s="59">
        <v>91.58249158249158</v>
      </c>
      <c r="D160" s="59">
        <v>97.96610169491525</v>
      </c>
    </row>
    <row r="161" ht="15.75" customHeight="1">
      <c r="A161" s="57">
        <v>31404.0</v>
      </c>
      <c r="B161" s="58" t="s">
        <v>186</v>
      </c>
      <c r="C161" s="59">
        <v>93.75</v>
      </c>
      <c r="D161" s="59">
        <v>96.96969696969697</v>
      </c>
    </row>
    <row r="162" ht="15.75" customHeight="1">
      <c r="A162" s="57">
        <v>31405.0</v>
      </c>
      <c r="B162" s="58" t="s">
        <v>187</v>
      </c>
      <c r="C162" s="59">
        <v>85.41666666666666</v>
      </c>
      <c r="D162" s="59">
        <v>95.91836734693877</v>
      </c>
    </row>
    <row r="163" ht="15.75" customHeight="1">
      <c r="A163" s="57">
        <v>31501.0</v>
      </c>
      <c r="B163" s="58" t="s">
        <v>188</v>
      </c>
      <c r="C163" s="59">
        <v>38.01652892561984</v>
      </c>
      <c r="D163" s="59">
        <v>60.68376068376068</v>
      </c>
    </row>
    <row r="164" ht="15.75" customHeight="1">
      <c r="A164" s="57">
        <v>31601.0</v>
      </c>
      <c r="B164" s="58" t="s">
        <v>189</v>
      </c>
      <c r="C164" s="59">
        <v>78.1094527363184</v>
      </c>
      <c r="D164" s="59">
        <v>96.34146341463415</v>
      </c>
    </row>
    <row r="165" ht="15.75" customHeight="1">
      <c r="A165" s="57">
        <v>31602.0</v>
      </c>
      <c r="B165" s="58" t="s">
        <v>190</v>
      </c>
      <c r="C165" s="59">
        <v>91.59802306425041</v>
      </c>
      <c r="D165" s="59">
        <v>95.33239038189534</v>
      </c>
    </row>
    <row r="166" ht="15.75" customHeight="1">
      <c r="A166" s="57">
        <v>40101.0</v>
      </c>
      <c r="B166" s="58" t="s">
        <v>24</v>
      </c>
      <c r="C166" s="59">
        <v>91.376217324449</v>
      </c>
      <c r="D166" s="59">
        <v>96.00621600621601</v>
      </c>
    </row>
    <row r="167" ht="15.75" customHeight="1">
      <c r="A167" s="57">
        <v>40102.0</v>
      </c>
      <c r="B167" s="58" t="s">
        <v>191</v>
      </c>
      <c r="C167" s="59">
        <v>73.75231053604436</v>
      </c>
      <c r="D167" s="59">
        <v>91.76470588235294</v>
      </c>
    </row>
    <row r="168" ht="15.75" customHeight="1">
      <c r="A168" s="57">
        <v>40103.0</v>
      </c>
      <c r="B168" s="58" t="s">
        <v>192</v>
      </c>
      <c r="C168" s="59">
        <v>56.63265306122449</v>
      </c>
      <c r="D168" s="59">
        <v>87.1559633027523</v>
      </c>
    </row>
    <row r="169" ht="15.75" customHeight="1">
      <c r="A169" s="57">
        <v>40104.0</v>
      </c>
      <c r="B169" s="58" t="s">
        <v>193</v>
      </c>
      <c r="C169" s="59">
        <v>64.31535269709543</v>
      </c>
      <c r="D169" s="59">
        <v>86.79867986798679</v>
      </c>
    </row>
    <row r="170" ht="15.75" customHeight="1">
      <c r="A170" s="57">
        <v>40201.0</v>
      </c>
      <c r="B170" s="58" t="s">
        <v>194</v>
      </c>
      <c r="C170" s="59">
        <v>67.47352496217852</v>
      </c>
      <c r="D170" s="59">
        <v>80.13888888888889</v>
      </c>
    </row>
    <row r="171" ht="15.75" customHeight="1">
      <c r="A171" s="57">
        <v>40202.0</v>
      </c>
      <c r="B171" s="58" t="s">
        <v>195</v>
      </c>
      <c r="C171" s="59">
        <v>73.49397590361446</v>
      </c>
      <c r="D171" s="59">
        <v>92.64705882352942</v>
      </c>
    </row>
    <row r="172" ht="15.75" customHeight="1">
      <c r="A172" s="57">
        <v>40301.0</v>
      </c>
      <c r="B172" s="58" t="s">
        <v>196</v>
      </c>
      <c r="C172" s="59">
        <v>55.294117647058826</v>
      </c>
      <c r="D172" s="59">
        <v>91.58249158249158</v>
      </c>
    </row>
    <row r="173" ht="15.75" customHeight="1">
      <c r="A173" s="57">
        <v>40302.0</v>
      </c>
      <c r="B173" s="58" t="s">
        <v>197</v>
      </c>
      <c r="C173" s="59">
        <v>63.63636363636363</v>
      </c>
      <c r="D173" s="59">
        <v>87.93103448275862</v>
      </c>
    </row>
    <row r="174" ht="15.75" customHeight="1">
      <c r="A174" s="57">
        <v>40401.0</v>
      </c>
      <c r="B174" s="58" t="s">
        <v>198</v>
      </c>
      <c r="C174" s="59">
        <v>70.0</v>
      </c>
      <c r="D174" s="59">
        <v>81.63265306122449</v>
      </c>
    </row>
    <row r="175" ht="15.75" customHeight="1">
      <c r="A175" s="57">
        <v>40402.0</v>
      </c>
      <c r="B175" s="58" t="s">
        <v>199</v>
      </c>
      <c r="C175" s="59">
        <v>62.37623762376238</v>
      </c>
      <c r="D175" s="59">
        <v>90.09009009009009</v>
      </c>
    </row>
    <row r="176" ht="15.75" customHeight="1">
      <c r="A176" s="57">
        <v>40501.0</v>
      </c>
      <c r="B176" s="58" t="s">
        <v>200</v>
      </c>
      <c r="C176" s="59">
        <v>100.0</v>
      </c>
      <c r="D176" s="59">
        <v>86.4406779661017</v>
      </c>
    </row>
    <row r="177" ht="15.75" customHeight="1">
      <c r="A177" s="57">
        <v>40502.0</v>
      </c>
      <c r="B177" s="58" t="s">
        <v>201</v>
      </c>
      <c r="C177" s="59">
        <v>43.47826086956522</v>
      </c>
      <c r="D177" s="59">
        <v>83.33333333333334</v>
      </c>
    </row>
    <row r="178" ht="15.75" customHeight="1">
      <c r="A178" s="57">
        <v>40503.0</v>
      </c>
      <c r="B178" s="58" t="s">
        <v>202</v>
      </c>
      <c r="C178" s="59">
        <v>59.72222222222222</v>
      </c>
      <c r="D178" s="59">
        <v>82.14285714285714</v>
      </c>
    </row>
    <row r="179" ht="15.75" customHeight="1">
      <c r="A179" s="57">
        <v>40504.0</v>
      </c>
      <c r="B179" s="58" t="s">
        <v>203</v>
      </c>
      <c r="C179" s="59">
        <v>52.94117647058824</v>
      </c>
      <c r="D179" s="59">
        <v>78.57142857142857</v>
      </c>
    </row>
    <row r="180" ht="15.75" customHeight="1">
      <c r="A180" s="57">
        <v>40505.0</v>
      </c>
      <c r="B180" s="58" t="s">
        <v>204</v>
      </c>
      <c r="C180" s="59">
        <v>65.11627906976744</v>
      </c>
      <c r="D180" s="59">
        <v>73.33333333333333</v>
      </c>
    </row>
    <row r="181" ht="15.75" customHeight="1">
      <c r="A181" s="57">
        <v>40601.0</v>
      </c>
      <c r="B181" s="58" t="s">
        <v>205</v>
      </c>
      <c r="C181" s="59">
        <v>86.8421052631579</v>
      </c>
      <c r="D181" s="59">
        <v>96.29629629629629</v>
      </c>
    </row>
    <row r="182" ht="15.75" customHeight="1">
      <c r="A182" s="57">
        <v>40602.0</v>
      </c>
      <c r="B182" s="58" t="s">
        <v>206</v>
      </c>
      <c r="C182" s="59">
        <v>84.84848484848484</v>
      </c>
      <c r="D182" s="59">
        <v>90.0</v>
      </c>
    </row>
    <row r="183" ht="15.75" customHeight="1">
      <c r="A183" s="57">
        <v>40603.0</v>
      </c>
      <c r="B183" s="58" t="s">
        <v>207</v>
      </c>
      <c r="C183" s="59">
        <v>83.11688311688312</v>
      </c>
      <c r="D183" s="59">
        <v>98.61111111111111</v>
      </c>
    </row>
    <row r="184" ht="15.75" customHeight="1">
      <c r="A184" s="57">
        <v>40701.0</v>
      </c>
      <c r="B184" s="58" t="s">
        <v>208</v>
      </c>
      <c r="C184" s="59">
        <v>91.11842105263158</v>
      </c>
      <c r="D184" s="59">
        <v>96.34146341463415</v>
      </c>
    </row>
    <row r="185" ht="15.75" customHeight="1">
      <c r="A185" s="57">
        <v>40702.0</v>
      </c>
      <c r="B185" s="58" t="s">
        <v>209</v>
      </c>
      <c r="C185" s="59">
        <v>90.35087719298247</v>
      </c>
      <c r="D185" s="59">
        <v>93.80530973451327</v>
      </c>
    </row>
    <row r="186" ht="15.75" customHeight="1">
      <c r="A186" s="57">
        <v>40801.0</v>
      </c>
      <c r="B186" s="58" t="s">
        <v>210</v>
      </c>
      <c r="C186" s="59">
        <v>69.29460580912863</v>
      </c>
      <c r="D186" s="59">
        <v>90.51094890510949</v>
      </c>
    </row>
    <row r="187" ht="15.75" customHeight="1">
      <c r="A187" s="57">
        <v>40802.0</v>
      </c>
      <c r="B187" s="58" t="s">
        <v>211</v>
      </c>
      <c r="C187" s="59">
        <v>63.63636363636363</v>
      </c>
      <c r="D187" s="59">
        <v>87.5</v>
      </c>
    </row>
    <row r="188" ht="15.75" customHeight="1">
      <c r="A188" s="57">
        <v>40901.0</v>
      </c>
      <c r="B188" s="58" t="s">
        <v>212</v>
      </c>
      <c r="C188" s="59">
        <v>54.644808743169406</v>
      </c>
      <c r="D188" s="59">
        <v>78.83435582822086</v>
      </c>
    </row>
    <row r="189" ht="15.75" customHeight="1">
      <c r="A189" s="57">
        <v>40902.0</v>
      </c>
      <c r="B189" s="58" t="s">
        <v>213</v>
      </c>
      <c r="C189" s="59">
        <v>63.63636363636363</v>
      </c>
      <c r="D189" s="59">
        <v>80.95238095238095</v>
      </c>
    </row>
    <row r="190" ht="15.75" customHeight="1">
      <c r="A190" s="57">
        <v>40903.0</v>
      </c>
      <c r="B190" s="58" t="s">
        <v>214</v>
      </c>
      <c r="C190" s="59">
        <v>60.0</v>
      </c>
      <c r="D190" s="59">
        <v>68.88888888888889</v>
      </c>
    </row>
    <row r="191" ht="15.75" customHeight="1">
      <c r="A191" s="57">
        <v>41001.0</v>
      </c>
      <c r="B191" s="58" t="s">
        <v>215</v>
      </c>
      <c r="C191" s="59">
        <v>61.20218579234973</v>
      </c>
      <c r="D191" s="59">
        <v>92.73743016759776</v>
      </c>
    </row>
    <row r="192" ht="15.75" customHeight="1">
      <c r="A192" s="57">
        <v>41101.0</v>
      </c>
      <c r="B192" s="58" t="s">
        <v>216</v>
      </c>
      <c r="C192" s="59">
        <v>77.66990291262135</v>
      </c>
      <c r="D192" s="59">
        <v>91.57894736842105</v>
      </c>
    </row>
    <row r="193" ht="15.75" customHeight="1">
      <c r="A193" s="57">
        <v>41201.0</v>
      </c>
      <c r="B193" s="58" t="s">
        <v>217</v>
      </c>
      <c r="C193" s="59">
        <v>56.97674418604651</v>
      </c>
      <c r="D193" s="59">
        <v>87.67123287671232</v>
      </c>
    </row>
    <row r="194" ht="15.75" customHeight="1">
      <c r="A194" s="57">
        <v>41202.0</v>
      </c>
      <c r="B194" s="58" t="s">
        <v>218</v>
      </c>
      <c r="C194" s="59">
        <v>71.42857142857143</v>
      </c>
      <c r="D194" s="59">
        <v>85.71428571428571</v>
      </c>
    </row>
    <row r="195" ht="15.75" customHeight="1">
      <c r="A195" s="57">
        <v>41301.0</v>
      </c>
      <c r="B195" s="58" t="s">
        <v>219</v>
      </c>
      <c r="C195" s="59">
        <v>50.40650406504065</v>
      </c>
      <c r="D195" s="59">
        <v>76.28865979381443</v>
      </c>
    </row>
    <row r="196" ht="15.75" customHeight="1">
      <c r="A196" s="57">
        <v>41401.0</v>
      </c>
      <c r="B196" s="58" t="s">
        <v>220</v>
      </c>
      <c r="C196" s="59">
        <v>74.58745874587459</v>
      </c>
      <c r="D196" s="59">
        <v>83.72093023255815</v>
      </c>
    </row>
    <row r="197" ht="15.75" customHeight="1">
      <c r="A197" s="57">
        <v>41501.0</v>
      </c>
      <c r="B197" s="58" t="s">
        <v>221</v>
      </c>
      <c r="C197" s="59">
        <v>45.0</v>
      </c>
      <c r="D197" s="59">
        <v>78.57142857142857</v>
      </c>
    </row>
    <row r="198" ht="15.75" customHeight="1">
      <c r="A198" s="57">
        <v>41502.0</v>
      </c>
      <c r="B198" s="58" t="s">
        <v>222</v>
      </c>
      <c r="C198" s="59">
        <v>40.909090909090914</v>
      </c>
      <c r="D198" s="59">
        <v>94.73684210526315</v>
      </c>
    </row>
    <row r="199" ht="15.75" customHeight="1">
      <c r="A199" s="57">
        <v>41503.0</v>
      </c>
      <c r="B199" s="58" t="s">
        <v>223</v>
      </c>
      <c r="C199" s="59">
        <v>38.095238095238095</v>
      </c>
      <c r="D199" s="59">
        <v>92.0</v>
      </c>
    </row>
    <row r="200" ht="15.75" customHeight="1">
      <c r="A200" s="57">
        <v>41601.0</v>
      </c>
      <c r="B200" s="58" t="s">
        <v>224</v>
      </c>
      <c r="C200" s="59">
        <v>55.660377358490564</v>
      </c>
      <c r="D200" s="59">
        <v>85.13513513513513</v>
      </c>
    </row>
    <row r="201" ht="15.75" customHeight="1">
      <c r="A201" s="57">
        <v>50101.0</v>
      </c>
      <c r="B201" s="58" t="s">
        <v>26</v>
      </c>
      <c r="C201" s="59">
        <v>90.29025570145129</v>
      </c>
      <c r="D201" s="59">
        <v>96.44660194174757</v>
      </c>
    </row>
    <row r="202" ht="15.75" customHeight="1">
      <c r="A202" s="57">
        <v>50102.0</v>
      </c>
      <c r="B202" s="58" t="s">
        <v>225</v>
      </c>
      <c r="C202" s="59">
        <v>38.659793814432994</v>
      </c>
      <c r="D202" s="59">
        <v>75.37878787878788</v>
      </c>
    </row>
    <row r="203" ht="15.75" customHeight="1">
      <c r="A203" s="57">
        <v>50103.0</v>
      </c>
      <c r="B203" s="58" t="s">
        <v>226</v>
      </c>
      <c r="C203" s="59">
        <v>84.8314606741573</v>
      </c>
      <c r="D203" s="59">
        <v>98.46938775510205</v>
      </c>
    </row>
    <row r="204" ht="15.75" customHeight="1">
      <c r="A204" s="57">
        <v>50104.0</v>
      </c>
      <c r="B204" s="58" t="s">
        <v>227</v>
      </c>
      <c r="C204" s="59">
        <v>58.730158730158735</v>
      </c>
      <c r="D204" s="59">
        <v>85.45454545454545</v>
      </c>
    </row>
    <row r="205" ht="15.75" customHeight="1">
      <c r="A205" s="57">
        <v>50201.0</v>
      </c>
      <c r="B205" s="58" t="s">
        <v>228</v>
      </c>
      <c r="C205" s="59">
        <v>69.54887218045113</v>
      </c>
      <c r="D205" s="59">
        <v>86.6</v>
      </c>
    </row>
    <row r="206" ht="15.75" customHeight="1">
      <c r="A206" s="57">
        <v>50202.0</v>
      </c>
      <c r="B206" s="58" t="s">
        <v>229</v>
      </c>
      <c r="C206" s="59">
        <v>65.18771331058021</v>
      </c>
      <c r="D206" s="59">
        <v>85.63049853372434</v>
      </c>
    </row>
    <row r="207" ht="15.75" customHeight="1">
      <c r="A207" s="57">
        <v>50203.0</v>
      </c>
      <c r="B207" s="58" t="s">
        <v>230</v>
      </c>
      <c r="C207" s="59">
        <v>87.77173913043478</v>
      </c>
      <c r="D207" s="59">
        <v>91.61904761904762</v>
      </c>
    </row>
    <row r="208" ht="15.75" customHeight="1">
      <c r="A208" s="57">
        <v>50204.0</v>
      </c>
      <c r="B208" s="58" t="s">
        <v>231</v>
      </c>
      <c r="C208" s="59">
        <v>42.60355029585799</v>
      </c>
      <c r="D208" s="59">
        <v>74.72527472527473</v>
      </c>
    </row>
    <row r="209" ht="15.75" customHeight="1">
      <c r="A209" s="57">
        <v>50301.0</v>
      </c>
      <c r="B209" s="58" t="s">
        <v>232</v>
      </c>
      <c r="C209" s="59">
        <v>70.23809523809523</v>
      </c>
      <c r="D209" s="59">
        <v>91.06858054226475</v>
      </c>
    </row>
    <row r="210" ht="15.75" customHeight="1">
      <c r="A210" s="57">
        <v>50302.0</v>
      </c>
      <c r="B210" s="58" t="s">
        <v>233</v>
      </c>
      <c r="C210" s="59">
        <v>70.58823529411765</v>
      </c>
      <c r="D210" s="59">
        <v>93.82716049382715</v>
      </c>
    </row>
    <row r="211" ht="15.75" customHeight="1">
      <c r="A211" s="57">
        <v>50303.0</v>
      </c>
      <c r="B211" s="58" t="s">
        <v>234</v>
      </c>
      <c r="C211" s="59">
        <v>41.84782608695652</v>
      </c>
      <c r="D211" s="59">
        <v>76.38376383763837</v>
      </c>
    </row>
    <row r="212" ht="15.75" customHeight="1">
      <c r="A212" s="57">
        <v>50401.0</v>
      </c>
      <c r="B212" s="58" t="s">
        <v>235</v>
      </c>
      <c r="C212" s="59">
        <v>56.83453237410072</v>
      </c>
      <c r="D212" s="59">
        <v>74.15384615384616</v>
      </c>
    </row>
    <row r="213" ht="15.75" customHeight="1">
      <c r="A213" s="57">
        <v>50402.0</v>
      </c>
      <c r="B213" s="58" t="s">
        <v>236</v>
      </c>
      <c r="C213" s="59">
        <v>58.92255892255892</v>
      </c>
      <c r="D213" s="59">
        <v>87.54863813229572</v>
      </c>
    </row>
    <row r="214" ht="15.75" customHeight="1">
      <c r="A214" s="57">
        <v>50403.0</v>
      </c>
      <c r="B214" s="58" t="s">
        <v>237</v>
      </c>
      <c r="C214" s="59">
        <v>42.922374429223744</v>
      </c>
      <c r="D214" s="59">
        <v>71.65861513687601</v>
      </c>
    </row>
    <row r="215" ht="15.75" customHeight="1">
      <c r="A215" s="57">
        <v>50404.0</v>
      </c>
      <c r="B215" s="58" t="s">
        <v>238</v>
      </c>
      <c r="C215" s="59">
        <v>49.38775510204081</v>
      </c>
      <c r="D215" s="59">
        <v>78.97435897435898</v>
      </c>
    </row>
    <row r="216" ht="15.75" customHeight="1">
      <c r="A216" s="57">
        <v>50405.0</v>
      </c>
      <c r="B216" s="58" t="s">
        <v>239</v>
      </c>
      <c r="C216" s="59">
        <v>40.71661237785016</v>
      </c>
      <c r="D216" s="59">
        <v>66.28571428571428</v>
      </c>
    </row>
    <row r="217" ht="15.75" customHeight="1">
      <c r="A217" s="57">
        <v>50501.0</v>
      </c>
      <c r="B217" s="58" t="s">
        <v>240</v>
      </c>
      <c r="C217" s="59">
        <v>46.89655172413793</v>
      </c>
      <c r="D217" s="59">
        <v>62.7906976744186</v>
      </c>
    </row>
    <row r="218" ht="15.75" customHeight="1">
      <c r="A218" s="57">
        <v>50502.0</v>
      </c>
      <c r="B218" s="58" t="s">
        <v>241</v>
      </c>
      <c r="C218" s="59">
        <v>55.78947368421052</v>
      </c>
      <c r="D218" s="59">
        <v>75.36945812807882</v>
      </c>
    </row>
    <row r="219" ht="15.75" customHeight="1">
      <c r="A219" s="57">
        <v>50601.0</v>
      </c>
      <c r="B219" s="58" t="s">
        <v>242</v>
      </c>
      <c r="C219" s="59">
        <v>74.71428571428571</v>
      </c>
      <c r="D219" s="59">
        <v>92.56198347107438</v>
      </c>
    </row>
    <row r="220" ht="15.75" customHeight="1">
      <c r="A220" s="57">
        <v>50602.0</v>
      </c>
      <c r="B220" s="58" t="s">
        <v>243</v>
      </c>
      <c r="C220" s="59">
        <v>69.35483870967742</v>
      </c>
      <c r="D220" s="59">
        <v>88.46153846153845</v>
      </c>
    </row>
    <row r="221" ht="15.75" customHeight="1">
      <c r="A221" s="57">
        <v>50701.0</v>
      </c>
      <c r="B221" s="58" t="s">
        <v>244</v>
      </c>
      <c r="C221" s="59">
        <v>52.89017341040463</v>
      </c>
      <c r="D221" s="59">
        <v>73.01587301587301</v>
      </c>
    </row>
    <row r="222" ht="15.75" customHeight="1">
      <c r="A222" s="57">
        <v>50702.0</v>
      </c>
      <c r="B222" s="58" t="s">
        <v>245</v>
      </c>
      <c r="C222" s="59">
        <v>46.32352941176471</v>
      </c>
      <c r="D222" s="59">
        <v>75.28735632183908</v>
      </c>
    </row>
    <row r="223" ht="15.75" customHeight="1">
      <c r="A223" s="57">
        <v>50801.0</v>
      </c>
      <c r="B223" s="58" t="s">
        <v>246</v>
      </c>
      <c r="C223" s="59">
        <v>83.94039735099338</v>
      </c>
      <c r="D223" s="59">
        <v>95.75821845174973</v>
      </c>
    </row>
    <row r="224" ht="15.75" customHeight="1">
      <c r="A224" s="57">
        <v>50802.0</v>
      </c>
      <c r="B224" s="58" t="s">
        <v>247</v>
      </c>
      <c r="C224" s="59">
        <v>90.18987341772153</v>
      </c>
      <c r="D224" s="59">
        <v>96.95431472081218</v>
      </c>
    </row>
    <row r="225" ht="15.75" customHeight="1">
      <c r="A225" s="57">
        <v>50901.0</v>
      </c>
      <c r="B225" s="58" t="s">
        <v>248</v>
      </c>
      <c r="C225" s="59">
        <v>59.74025974025974</v>
      </c>
      <c r="D225" s="59">
        <v>92.01680672268907</v>
      </c>
    </row>
    <row r="226" ht="15.75" customHeight="1">
      <c r="A226" s="57">
        <v>50902.0</v>
      </c>
      <c r="B226" s="58" t="s">
        <v>249</v>
      </c>
      <c r="C226" s="59">
        <v>64.70588235294117</v>
      </c>
      <c r="D226" s="59">
        <v>93.93939393939394</v>
      </c>
    </row>
    <row r="227" ht="15.75" customHeight="1">
      <c r="A227" s="57">
        <v>51001.0</v>
      </c>
      <c r="B227" s="58" t="s">
        <v>250</v>
      </c>
      <c r="C227" s="59">
        <v>59.45945945945946</v>
      </c>
      <c r="D227" s="59">
        <v>87.09677419354838</v>
      </c>
    </row>
    <row r="228" ht="15.75" customHeight="1">
      <c r="A228" s="57">
        <v>51002.0</v>
      </c>
      <c r="B228" s="58" t="s">
        <v>251</v>
      </c>
      <c r="C228" s="59">
        <v>35.41666666666667</v>
      </c>
      <c r="D228" s="59">
        <v>87.5</v>
      </c>
    </row>
    <row r="229" ht="15.75" customHeight="1">
      <c r="A229" s="57">
        <v>51003.0</v>
      </c>
      <c r="B229" s="58" t="s">
        <v>252</v>
      </c>
      <c r="C229" s="59">
        <v>43.58974358974359</v>
      </c>
      <c r="D229" s="59">
        <v>78.04878048780488</v>
      </c>
    </row>
    <row r="230" ht="15.75" customHeight="1">
      <c r="A230" s="57">
        <v>51101.0</v>
      </c>
      <c r="B230" s="58" t="s">
        <v>253</v>
      </c>
      <c r="C230" s="59">
        <v>71.56398104265402</v>
      </c>
      <c r="D230" s="59">
        <v>95.58823529411765</v>
      </c>
    </row>
    <row r="231" ht="15.75" customHeight="1">
      <c r="A231" s="57">
        <v>51102.0</v>
      </c>
      <c r="B231" s="58" t="s">
        <v>254</v>
      </c>
      <c r="C231" s="59">
        <v>74.61538461538461</v>
      </c>
      <c r="D231" s="59">
        <v>90.37037037037037</v>
      </c>
    </row>
    <row r="232" ht="15.75" customHeight="1">
      <c r="A232" s="57">
        <v>51103.0</v>
      </c>
      <c r="B232" s="58" t="s">
        <v>255</v>
      </c>
      <c r="C232" s="59">
        <v>51.42857142857142</v>
      </c>
      <c r="D232" s="59">
        <v>77.88161993769471</v>
      </c>
    </row>
    <row r="233" ht="15.75" customHeight="1">
      <c r="A233" s="57">
        <v>51201.0</v>
      </c>
      <c r="B233" s="58" t="s">
        <v>256</v>
      </c>
      <c r="C233" s="59">
        <v>80.27638190954774</v>
      </c>
      <c r="D233" s="59">
        <v>92.21902017291066</v>
      </c>
    </row>
    <row r="234" ht="15.75" customHeight="1">
      <c r="A234" s="57">
        <v>51202.0</v>
      </c>
      <c r="B234" s="58" t="s">
        <v>257</v>
      </c>
      <c r="C234" s="59">
        <v>66.25766871165644</v>
      </c>
      <c r="D234" s="59">
        <v>88.88888888888889</v>
      </c>
    </row>
    <row r="235" ht="15.75" customHeight="1">
      <c r="A235" s="57">
        <v>51203.0</v>
      </c>
      <c r="B235" s="58" t="s">
        <v>258</v>
      </c>
      <c r="C235" s="59">
        <v>82.22996515679442</v>
      </c>
      <c r="D235" s="59">
        <v>90.21164021164022</v>
      </c>
    </row>
    <row r="236" ht="15.75" customHeight="1">
      <c r="A236" s="57">
        <v>51204.0</v>
      </c>
      <c r="B236" s="58" t="s">
        <v>259</v>
      </c>
      <c r="C236" s="59">
        <v>62.83185840707964</v>
      </c>
      <c r="D236" s="59">
        <v>90.67796610169492</v>
      </c>
    </row>
    <row r="237" ht="15.75" customHeight="1">
      <c r="A237" s="57">
        <v>51301.0</v>
      </c>
      <c r="B237" s="58" t="s">
        <v>260</v>
      </c>
      <c r="C237" s="59">
        <v>54.02298850574713</v>
      </c>
      <c r="D237" s="59">
        <v>81.15942028985508</v>
      </c>
    </row>
    <row r="238" ht="15.75" customHeight="1">
      <c r="A238" s="57">
        <v>51302.0</v>
      </c>
      <c r="B238" s="58" t="s">
        <v>261</v>
      </c>
      <c r="C238" s="59">
        <v>65.42056074766354</v>
      </c>
      <c r="D238" s="59">
        <v>80.28169014084507</v>
      </c>
    </row>
    <row r="239" ht="15.75" customHeight="1">
      <c r="A239" s="57">
        <v>51401.0</v>
      </c>
      <c r="B239" s="58" t="s">
        <v>262</v>
      </c>
      <c r="C239" s="59">
        <v>75.23809523809524</v>
      </c>
      <c r="D239" s="59">
        <v>93.18181818181817</v>
      </c>
    </row>
    <row r="240" ht="15.75" customHeight="1">
      <c r="A240" s="57">
        <v>51402.0</v>
      </c>
      <c r="B240" s="58" t="s">
        <v>263</v>
      </c>
      <c r="C240" s="59">
        <v>64.1025641025641</v>
      </c>
      <c r="D240" s="59">
        <v>91.66666666666666</v>
      </c>
    </row>
    <row r="241" ht="15.75" customHeight="1">
      <c r="A241" s="57">
        <v>51501.0</v>
      </c>
      <c r="B241" s="58" t="s">
        <v>264</v>
      </c>
      <c r="C241" s="59">
        <v>85.48657718120806</v>
      </c>
      <c r="D241" s="59">
        <v>94.6725860155383</v>
      </c>
    </row>
    <row r="242" ht="15.75" customHeight="1">
      <c r="A242" s="57">
        <v>51601.0</v>
      </c>
      <c r="B242" s="58" t="s">
        <v>265</v>
      </c>
      <c r="C242" s="59">
        <v>42.5</v>
      </c>
      <c r="D242" s="59">
        <v>86.04651162790698</v>
      </c>
    </row>
    <row r="243" ht="15.75" customHeight="1">
      <c r="A243" s="57">
        <v>60101.0</v>
      </c>
      <c r="B243" s="58" t="s">
        <v>28</v>
      </c>
      <c r="C243" s="59">
        <v>96.16434202546998</v>
      </c>
      <c r="D243" s="59">
        <v>98.42452629337876</v>
      </c>
    </row>
    <row r="244" ht="15.75" customHeight="1">
      <c r="A244" s="57">
        <v>60201.0</v>
      </c>
      <c r="B244" s="58" t="s">
        <v>266</v>
      </c>
      <c r="C244" s="59">
        <v>79.91803278688525</v>
      </c>
      <c r="D244" s="59">
        <v>96.3076923076923</v>
      </c>
    </row>
    <row r="245" ht="15.75" customHeight="1">
      <c r="A245" s="57">
        <v>60202.0</v>
      </c>
      <c r="B245" s="58" t="s">
        <v>267</v>
      </c>
      <c r="C245" s="59">
        <v>95.817843866171</v>
      </c>
      <c r="D245" s="59">
        <v>97.92243767313019</v>
      </c>
    </row>
    <row r="246" ht="15.75" customHeight="1">
      <c r="A246" s="57">
        <v>60301.0</v>
      </c>
      <c r="B246" s="58" t="s">
        <v>268</v>
      </c>
      <c r="C246" s="59">
        <v>93.14065510597302</v>
      </c>
      <c r="D246" s="59">
        <v>96.98672114402451</v>
      </c>
    </row>
    <row r="247" ht="15.75" customHeight="1">
      <c r="A247" s="57">
        <v>60302.0</v>
      </c>
      <c r="B247" s="58" t="s">
        <v>269</v>
      </c>
      <c r="C247" s="59">
        <v>90.9090909090909</v>
      </c>
      <c r="D247" s="59">
        <v>98.36065573770492</v>
      </c>
    </row>
    <row r="248" ht="15.75" customHeight="1">
      <c r="A248" s="57">
        <v>60303.0</v>
      </c>
      <c r="B248" s="58" t="s">
        <v>270</v>
      </c>
      <c r="C248" s="59">
        <v>94.6843853820598</v>
      </c>
      <c r="D248" s="59">
        <v>98.98190045248869</v>
      </c>
    </row>
    <row r="249" ht="15.75" customHeight="1">
      <c r="A249" s="57">
        <v>60401.0</v>
      </c>
      <c r="B249" s="58" t="s">
        <v>271</v>
      </c>
      <c r="C249" s="59">
        <v>88.79837067209776</v>
      </c>
      <c r="D249" s="59">
        <v>97.69736842105263</v>
      </c>
    </row>
    <row r="250" ht="15.75" customHeight="1">
      <c r="A250" s="57">
        <v>60402.0</v>
      </c>
      <c r="B250" s="58" t="s">
        <v>272</v>
      </c>
      <c r="C250" s="59">
        <v>70.625</v>
      </c>
      <c r="D250" s="59">
        <v>86.81318681318682</v>
      </c>
    </row>
    <row r="251" ht="15.75" customHeight="1">
      <c r="A251" s="57">
        <v>60501.0</v>
      </c>
      <c r="B251" s="58" t="s">
        <v>273</v>
      </c>
      <c r="C251" s="59">
        <v>88.26219512195121</v>
      </c>
      <c r="D251" s="59">
        <v>96.14740368509213</v>
      </c>
    </row>
    <row r="252" ht="15.75" customHeight="1">
      <c r="A252" s="57">
        <v>60502.0</v>
      </c>
      <c r="B252" s="58" t="s">
        <v>274</v>
      </c>
      <c r="C252" s="59">
        <v>83.27868852459017</v>
      </c>
      <c r="D252" s="59">
        <v>96.27659574468085</v>
      </c>
    </row>
    <row r="253" ht="15.75" customHeight="1">
      <c r="A253" s="57">
        <v>60601.0</v>
      </c>
      <c r="B253" s="58" t="s">
        <v>178</v>
      </c>
      <c r="C253" s="59">
        <v>84.75177304964538</v>
      </c>
      <c r="D253" s="59">
        <v>93.5064935064935</v>
      </c>
    </row>
    <row r="254" ht="15.75" customHeight="1">
      <c r="A254" s="57">
        <v>70101.0</v>
      </c>
      <c r="B254" s="58" t="s">
        <v>275</v>
      </c>
      <c r="C254" s="59">
        <v>95.32374897547793</v>
      </c>
      <c r="D254" s="59">
        <v>98.71234207968902</v>
      </c>
    </row>
    <row r="255" ht="15.75" customHeight="1">
      <c r="A255" s="57">
        <v>70102.0</v>
      </c>
      <c r="B255" s="58" t="s">
        <v>276</v>
      </c>
      <c r="C255" s="59">
        <v>93.2825484764543</v>
      </c>
      <c r="D255" s="59">
        <v>98.33258224425417</v>
      </c>
    </row>
    <row r="256" ht="15.75" customHeight="1">
      <c r="A256" s="57">
        <v>70103.0</v>
      </c>
      <c r="B256" s="58" t="s">
        <v>277</v>
      </c>
      <c r="C256" s="59">
        <v>92.93785310734464</v>
      </c>
      <c r="D256" s="59">
        <v>99.04988123515439</v>
      </c>
    </row>
    <row r="257" ht="15.75" customHeight="1">
      <c r="A257" s="57">
        <v>70104.0</v>
      </c>
      <c r="B257" s="58" t="s">
        <v>278</v>
      </c>
      <c r="C257" s="59">
        <v>94.17624521072797</v>
      </c>
      <c r="D257" s="59">
        <v>98.71875</v>
      </c>
    </row>
    <row r="258" ht="15.75" customHeight="1">
      <c r="A258" s="57">
        <v>70105.0</v>
      </c>
      <c r="B258" s="58" t="s">
        <v>279</v>
      </c>
      <c r="C258" s="59">
        <v>95.16678012253233</v>
      </c>
      <c r="D258" s="59">
        <v>98.30795262267344</v>
      </c>
    </row>
    <row r="259" ht="15.75" customHeight="1">
      <c r="A259" s="57">
        <v>70201.0</v>
      </c>
      <c r="B259" s="58" t="s">
        <v>280</v>
      </c>
      <c r="C259" s="59">
        <v>94.51959764134583</v>
      </c>
      <c r="D259" s="59">
        <v>98.22896900695763</v>
      </c>
    </row>
    <row r="260" ht="15.75" customHeight="1">
      <c r="A260" s="57">
        <v>70202.0</v>
      </c>
      <c r="B260" s="58" t="s">
        <v>281</v>
      </c>
      <c r="C260" s="59">
        <v>92.85714285714286</v>
      </c>
      <c r="D260" s="59">
        <v>100.0</v>
      </c>
    </row>
    <row r="261" ht="15.75" customHeight="1">
      <c r="A261" s="57">
        <v>70301.0</v>
      </c>
      <c r="B261" s="58" t="s">
        <v>282</v>
      </c>
      <c r="C261" s="59">
        <v>86.70058139534885</v>
      </c>
      <c r="D261" s="59">
        <v>94.27402862985686</v>
      </c>
    </row>
    <row r="262" ht="15.75" customHeight="1">
      <c r="A262" s="57">
        <v>70302.0</v>
      </c>
      <c r="B262" s="58" t="s">
        <v>283</v>
      </c>
      <c r="C262" s="59">
        <v>93.45794392523365</v>
      </c>
      <c r="D262" s="59">
        <v>97.95918367346938</v>
      </c>
    </row>
    <row r="263" ht="15.75" customHeight="1">
      <c r="A263" s="57">
        <v>70303.0</v>
      </c>
      <c r="B263" s="58" t="s">
        <v>284</v>
      </c>
      <c r="C263" s="59">
        <v>90.58823529411765</v>
      </c>
      <c r="D263" s="59">
        <v>97.8021978021978</v>
      </c>
    </row>
    <row r="264" ht="15.75" customHeight="1">
      <c r="A264" s="57">
        <v>70401.0</v>
      </c>
      <c r="B264" s="58" t="s">
        <v>285</v>
      </c>
      <c r="C264" s="59">
        <v>95.51724137931035</v>
      </c>
      <c r="D264" s="59">
        <v>98.16849816849816</v>
      </c>
    </row>
    <row r="265" ht="15.75" customHeight="1">
      <c r="A265" s="57">
        <v>70402.0</v>
      </c>
      <c r="B265" s="58" t="s">
        <v>286</v>
      </c>
      <c r="C265" s="59">
        <v>88.78143133462282</v>
      </c>
      <c r="D265" s="59">
        <v>98.96640826873386</v>
      </c>
    </row>
    <row r="266" ht="15.75" customHeight="1">
      <c r="A266" s="57">
        <v>70403.0</v>
      </c>
      <c r="B266" s="58" t="s">
        <v>287</v>
      </c>
      <c r="C266" s="59">
        <v>93.12875250166778</v>
      </c>
      <c r="D266" s="59">
        <v>97.45331069609507</v>
      </c>
    </row>
    <row r="267" ht="15.75" customHeight="1">
      <c r="A267" s="57">
        <v>70404.0</v>
      </c>
      <c r="B267" s="58" t="s">
        <v>288</v>
      </c>
      <c r="C267" s="59">
        <v>93.18181818181817</v>
      </c>
      <c r="D267" s="59">
        <v>98.4126984126984</v>
      </c>
    </row>
    <row r="268" ht="15.75" customHeight="1">
      <c r="A268" s="57">
        <v>70501.0</v>
      </c>
      <c r="B268" s="58" t="s">
        <v>289</v>
      </c>
      <c r="C268" s="59">
        <v>89.43217665615141</v>
      </c>
      <c r="D268" s="59">
        <v>90.17595307917888</v>
      </c>
    </row>
    <row r="269" ht="15.75" customHeight="1">
      <c r="A269" s="57">
        <v>70502.0</v>
      </c>
      <c r="B269" s="58" t="s">
        <v>290</v>
      </c>
      <c r="C269" s="59">
        <v>85.17156862745098</v>
      </c>
      <c r="D269" s="59">
        <v>92.59980525803311</v>
      </c>
    </row>
    <row r="270" ht="15.75" customHeight="1">
      <c r="A270" s="57">
        <v>70503.0</v>
      </c>
      <c r="B270" s="58" t="s">
        <v>291</v>
      </c>
      <c r="C270" s="59">
        <v>93.12169312169311</v>
      </c>
      <c r="D270" s="59">
        <v>97.37609329446065</v>
      </c>
    </row>
    <row r="271" ht="15.75" customHeight="1">
      <c r="A271" s="57">
        <v>70601.0</v>
      </c>
      <c r="B271" s="58" t="s">
        <v>292</v>
      </c>
      <c r="C271" s="59">
        <v>96.55172413793103</v>
      </c>
      <c r="D271" s="59">
        <v>99.77973568281938</v>
      </c>
    </row>
    <row r="272" ht="15.75" customHeight="1">
      <c r="A272" s="57">
        <v>70602.0</v>
      </c>
      <c r="B272" s="58" t="s">
        <v>293</v>
      </c>
      <c r="C272" s="59">
        <v>92.67139479905437</v>
      </c>
      <c r="D272" s="59">
        <v>96.41873278236915</v>
      </c>
    </row>
    <row r="273" ht="15.75" customHeight="1">
      <c r="A273" s="57">
        <v>70603.0</v>
      </c>
      <c r="B273" s="58" t="s">
        <v>294</v>
      </c>
      <c r="C273" s="59">
        <v>90.0</v>
      </c>
      <c r="D273" s="59">
        <v>97.87234042553192</v>
      </c>
    </row>
    <row r="274" ht="15.75" customHeight="1">
      <c r="A274" s="57">
        <v>70701.0</v>
      </c>
      <c r="B274" s="58" t="s">
        <v>295</v>
      </c>
      <c r="C274" s="59">
        <v>91.73553719008265</v>
      </c>
      <c r="D274" s="59">
        <v>96.49122807017544</v>
      </c>
    </row>
    <row r="275" ht="15.75" customHeight="1">
      <c r="A275" s="57">
        <v>70702.0</v>
      </c>
      <c r="B275" s="58" t="s">
        <v>296</v>
      </c>
      <c r="C275" s="59">
        <v>87.48019017432647</v>
      </c>
      <c r="D275" s="59">
        <v>96.3855421686747</v>
      </c>
    </row>
    <row r="276" ht="15.75" customHeight="1">
      <c r="A276" s="57">
        <v>70703.0</v>
      </c>
      <c r="B276" s="58" t="s">
        <v>297</v>
      </c>
      <c r="C276" s="59">
        <v>86.2708719851577</v>
      </c>
      <c r="D276" s="59">
        <v>97.05882352941177</v>
      </c>
    </row>
    <row r="277" ht="15.75" customHeight="1">
      <c r="A277" s="57">
        <v>70704.0</v>
      </c>
      <c r="B277" s="58" t="s">
        <v>298</v>
      </c>
      <c r="C277" s="59">
        <v>82.6530612244898</v>
      </c>
      <c r="D277" s="59">
        <v>96.66666666666667</v>
      </c>
    </row>
    <row r="278" ht="15.75" customHeight="1">
      <c r="A278" s="57">
        <v>70705.0</v>
      </c>
      <c r="B278" s="58" t="s">
        <v>299</v>
      </c>
      <c r="C278" s="59">
        <v>73.46153846153847</v>
      </c>
      <c r="D278" s="59">
        <v>95.62841530054644</v>
      </c>
    </row>
    <row r="279" ht="15.75" customHeight="1">
      <c r="A279" s="57">
        <v>70706.0</v>
      </c>
      <c r="B279" s="58" t="s">
        <v>300</v>
      </c>
      <c r="C279" s="59">
        <v>96.39830508474576</v>
      </c>
      <c r="D279" s="59">
        <v>98.92802450229709</v>
      </c>
    </row>
    <row r="280" ht="15.75" customHeight="1">
      <c r="A280" s="57">
        <v>70707.0</v>
      </c>
      <c r="B280" s="58" t="s">
        <v>301</v>
      </c>
      <c r="C280" s="59">
        <v>97.3913043478261</v>
      </c>
      <c r="D280" s="59">
        <v>94.01709401709401</v>
      </c>
    </row>
    <row r="281" ht="15.75" customHeight="1">
      <c r="A281" s="57">
        <v>70801.0</v>
      </c>
      <c r="B281" s="58" t="s">
        <v>302</v>
      </c>
      <c r="C281" s="59">
        <v>94.72477064220183</v>
      </c>
      <c r="D281" s="59">
        <v>98.69281045751634</v>
      </c>
    </row>
    <row r="282" ht="15.75" customHeight="1">
      <c r="A282" s="57">
        <v>70802.0</v>
      </c>
      <c r="B282" s="58" t="s">
        <v>303</v>
      </c>
      <c r="C282" s="59">
        <v>88.70967741935483</v>
      </c>
      <c r="D282" s="59">
        <v>100.0</v>
      </c>
    </row>
    <row r="283" ht="15.75" customHeight="1">
      <c r="A283" s="57">
        <v>70803.0</v>
      </c>
      <c r="B283" s="58" t="s">
        <v>304</v>
      </c>
      <c r="C283" s="59">
        <v>94.28571428571428</v>
      </c>
      <c r="D283" s="59">
        <v>98.18181818181819</v>
      </c>
    </row>
    <row r="284" ht="15.75" customHeight="1">
      <c r="A284" s="57">
        <v>70804.0</v>
      </c>
      <c r="B284" s="58" t="s">
        <v>305</v>
      </c>
      <c r="C284" s="59">
        <v>95.91836734693877</v>
      </c>
      <c r="D284" s="59">
        <v>95.83333333333334</v>
      </c>
    </row>
    <row r="285" ht="15.75" customHeight="1">
      <c r="A285" s="57">
        <v>70805.0</v>
      </c>
      <c r="B285" s="58" t="s">
        <v>306</v>
      </c>
      <c r="C285" s="59">
        <v>89.79591836734694</v>
      </c>
      <c r="D285" s="59">
        <v>96.55172413793103</v>
      </c>
    </row>
    <row r="286" ht="15.75" customHeight="1">
      <c r="A286" s="57">
        <v>70901.0</v>
      </c>
      <c r="B286" s="58" t="s">
        <v>307</v>
      </c>
      <c r="C286" s="59">
        <v>95.25862068965517</v>
      </c>
      <c r="D286" s="59">
        <v>95.16908212560386</v>
      </c>
    </row>
    <row r="287" ht="15.75" customHeight="1">
      <c r="A287" s="57">
        <v>70902.0</v>
      </c>
      <c r="B287" s="58" t="s">
        <v>308</v>
      </c>
      <c r="C287" s="59">
        <v>89.62264150943396</v>
      </c>
      <c r="D287" s="59">
        <v>92.7927927927928</v>
      </c>
    </row>
    <row r="288" ht="15.75" customHeight="1">
      <c r="A288" s="57">
        <v>70903.0</v>
      </c>
      <c r="B288" s="58" t="s">
        <v>309</v>
      </c>
      <c r="C288" s="59">
        <v>94.48818897637796</v>
      </c>
      <c r="D288" s="59">
        <v>96.33333333333334</v>
      </c>
    </row>
    <row r="289" ht="15.75" customHeight="1">
      <c r="A289" s="57">
        <v>70904.0</v>
      </c>
      <c r="B289" s="58" t="s">
        <v>310</v>
      </c>
      <c r="C289" s="59">
        <v>94.11764705882352</v>
      </c>
      <c r="D289" s="59">
        <v>96.29629629629629</v>
      </c>
    </row>
    <row r="290" ht="15.75" customHeight="1">
      <c r="A290" s="57">
        <v>71001.0</v>
      </c>
      <c r="B290" s="58" t="s">
        <v>311</v>
      </c>
      <c r="C290" s="59">
        <v>95.09433962264151</v>
      </c>
      <c r="D290" s="59">
        <v>98.91684136967156</v>
      </c>
    </row>
    <row r="291" ht="15.75" customHeight="1">
      <c r="A291" s="57">
        <v>71002.0</v>
      </c>
      <c r="B291" s="58" t="s">
        <v>312</v>
      </c>
      <c r="C291" s="59">
        <v>94.57142857142857</v>
      </c>
      <c r="D291" s="59">
        <v>99.22879177377892</v>
      </c>
    </row>
    <row r="292" ht="15.75" customHeight="1">
      <c r="A292" s="57">
        <v>71003.0</v>
      </c>
      <c r="B292" s="58" t="s">
        <v>313</v>
      </c>
      <c r="C292" s="59">
        <v>94.23076923076923</v>
      </c>
      <c r="D292" s="59">
        <v>98.80952380952381</v>
      </c>
    </row>
    <row r="293" ht="15.75" customHeight="1">
      <c r="A293" s="57">
        <v>71004.0</v>
      </c>
      <c r="B293" s="58" t="s">
        <v>314</v>
      </c>
      <c r="C293" s="59">
        <v>94.9468085106383</v>
      </c>
      <c r="D293" s="59">
        <v>99.33554817275747</v>
      </c>
    </row>
    <row r="294" ht="15.75" customHeight="1">
      <c r="A294" s="57">
        <v>71005.0</v>
      </c>
      <c r="B294" s="58" t="s">
        <v>315</v>
      </c>
      <c r="C294" s="59">
        <v>93.84615384615384</v>
      </c>
      <c r="D294" s="59">
        <v>99.61089494163424</v>
      </c>
    </row>
    <row r="295" ht="15.75" customHeight="1">
      <c r="A295" s="57">
        <v>71101.0</v>
      </c>
      <c r="B295" s="58" t="s">
        <v>316</v>
      </c>
      <c r="C295" s="59">
        <v>85.2731591448931</v>
      </c>
      <c r="D295" s="59">
        <v>93.88379204892966</v>
      </c>
    </row>
    <row r="296" ht="15.75" customHeight="1">
      <c r="A296" s="57">
        <v>71102.0</v>
      </c>
      <c r="B296" s="58" t="s">
        <v>317</v>
      </c>
      <c r="C296" s="59">
        <v>94.37869822485207</v>
      </c>
      <c r="D296" s="59">
        <v>97.3063973063973</v>
      </c>
    </row>
    <row r="297" ht="15.75" customHeight="1">
      <c r="A297" s="57">
        <v>71103.0</v>
      </c>
      <c r="B297" s="58" t="s">
        <v>318</v>
      </c>
      <c r="C297" s="59">
        <v>92.15044971381849</v>
      </c>
      <c r="D297" s="59">
        <v>96.27659574468085</v>
      </c>
    </row>
    <row r="298" ht="15.75" customHeight="1">
      <c r="A298" s="57">
        <v>71104.0</v>
      </c>
      <c r="B298" s="58" t="s">
        <v>319</v>
      </c>
      <c r="C298" s="59">
        <v>81.34328358208955</v>
      </c>
      <c r="D298" s="59">
        <v>98.21596244131456</v>
      </c>
    </row>
    <row r="299" ht="15.75" customHeight="1">
      <c r="A299" s="57">
        <v>71105.0</v>
      </c>
      <c r="B299" s="58" t="s">
        <v>320</v>
      </c>
      <c r="C299" s="59">
        <v>94.83568075117371</v>
      </c>
      <c r="D299" s="59">
        <v>94.16058394160584</v>
      </c>
    </row>
    <row r="300" ht="15.75" customHeight="1">
      <c r="A300" s="57">
        <v>71106.0</v>
      </c>
      <c r="B300" s="58" t="s">
        <v>321</v>
      </c>
      <c r="C300" s="59">
        <v>93.5064935064935</v>
      </c>
      <c r="D300" s="59">
        <v>96.16788321167883</v>
      </c>
    </row>
    <row r="301" ht="15.75" customHeight="1">
      <c r="A301" s="57">
        <v>71201.0</v>
      </c>
      <c r="B301" s="58" t="s">
        <v>322</v>
      </c>
      <c r="C301" s="59">
        <v>85.27777777777777</v>
      </c>
      <c r="D301" s="59">
        <v>96.12903225806451</v>
      </c>
    </row>
    <row r="302" ht="15.75" customHeight="1">
      <c r="A302" s="57">
        <v>71301.0</v>
      </c>
      <c r="B302" s="58" t="s">
        <v>323</v>
      </c>
      <c r="C302" s="59">
        <v>94.91978609625669</v>
      </c>
      <c r="D302" s="59">
        <v>95.75163398692811</v>
      </c>
    </row>
    <row r="303" ht="15.75" customHeight="1">
      <c r="A303" s="57">
        <v>71302.0</v>
      </c>
      <c r="B303" s="58" t="s">
        <v>324</v>
      </c>
      <c r="C303" s="59">
        <v>88.8235294117647</v>
      </c>
      <c r="D303" s="59">
        <v>97.5</v>
      </c>
    </row>
    <row r="304" ht="15.75" customHeight="1">
      <c r="A304" s="57">
        <v>71401.0</v>
      </c>
      <c r="B304" s="58" t="s">
        <v>325</v>
      </c>
      <c r="C304" s="59">
        <v>94.52631578947368</v>
      </c>
      <c r="D304" s="59">
        <v>97.56944444444444</v>
      </c>
    </row>
    <row r="305" ht="15.75" customHeight="1">
      <c r="A305" s="57">
        <v>71402.0</v>
      </c>
      <c r="B305" s="58" t="s">
        <v>326</v>
      </c>
      <c r="C305" s="59">
        <v>93.88185654008439</v>
      </c>
      <c r="D305" s="59">
        <v>97.8891820580475</v>
      </c>
    </row>
    <row r="306" ht="15.75" customHeight="1">
      <c r="A306" s="57">
        <v>71403.0</v>
      </c>
      <c r="B306" s="58" t="s">
        <v>327</v>
      </c>
      <c r="C306" s="59">
        <v>91.66666666666666</v>
      </c>
      <c r="D306" s="59">
        <v>92.74193548387096</v>
      </c>
    </row>
    <row r="307" ht="15.75" customHeight="1">
      <c r="A307" s="57">
        <v>71501.0</v>
      </c>
      <c r="B307" s="58" t="s">
        <v>328</v>
      </c>
      <c r="C307" s="59">
        <v>89.90683229813664</v>
      </c>
      <c r="D307" s="59">
        <v>96.22377622377623</v>
      </c>
    </row>
    <row r="308" ht="15.75" customHeight="1">
      <c r="A308" s="57">
        <v>71502.0</v>
      </c>
      <c r="B308" s="58" t="s">
        <v>329</v>
      </c>
      <c r="C308" s="59">
        <v>78.28947368421053</v>
      </c>
      <c r="D308" s="59">
        <v>96.26865671641791</v>
      </c>
    </row>
    <row r="309" ht="15.75" customHeight="1">
      <c r="A309" s="57">
        <v>71503.0</v>
      </c>
      <c r="B309" s="58" t="s">
        <v>274</v>
      </c>
      <c r="C309" s="59">
        <v>90.81272084805654</v>
      </c>
      <c r="D309" s="59">
        <v>97.23076923076923</v>
      </c>
    </row>
    <row r="310" ht="15.75" customHeight="1">
      <c r="A310" s="57">
        <v>80101.0</v>
      </c>
      <c r="B310" s="58" t="s">
        <v>330</v>
      </c>
      <c r="C310" s="59">
        <v>96.27692307692308</v>
      </c>
      <c r="D310" s="59">
        <v>98.00796812749005</v>
      </c>
    </row>
    <row r="311" ht="15.75" customHeight="1">
      <c r="A311" s="57">
        <v>80102.0</v>
      </c>
      <c r="B311" s="58" t="s">
        <v>317</v>
      </c>
      <c r="C311" s="59">
        <v>78.57142857142857</v>
      </c>
      <c r="D311" s="59">
        <v>88.39285714285714</v>
      </c>
    </row>
    <row r="312" ht="15.75" customHeight="1">
      <c r="A312" s="57">
        <v>80201.0</v>
      </c>
      <c r="B312" s="58" t="s">
        <v>331</v>
      </c>
      <c r="C312" s="59">
        <v>92.08547685001979</v>
      </c>
      <c r="D312" s="59">
        <v>97.58308157099698</v>
      </c>
    </row>
    <row r="313" ht="15.75" customHeight="1">
      <c r="A313" s="57">
        <v>80202.0</v>
      </c>
      <c r="B313" s="58" t="s">
        <v>332</v>
      </c>
      <c r="C313" s="59">
        <v>94.66192170818505</v>
      </c>
      <c r="D313" s="59">
        <v>98.33333333333333</v>
      </c>
    </row>
    <row r="314" ht="15.75" customHeight="1">
      <c r="A314" s="57">
        <v>80301.0</v>
      </c>
      <c r="B314" s="58" t="s">
        <v>333</v>
      </c>
      <c r="C314" s="59">
        <v>85.26645768025078</v>
      </c>
      <c r="D314" s="59">
        <v>91.88034188034187</v>
      </c>
    </row>
    <row r="315" ht="15.75" customHeight="1">
      <c r="A315" s="57">
        <v>80302.0</v>
      </c>
      <c r="B315" s="58" t="s">
        <v>334</v>
      </c>
      <c r="C315" s="59">
        <v>71.25256673511294</v>
      </c>
      <c r="D315" s="59">
        <v>73.48314606741573</v>
      </c>
    </row>
    <row r="316" ht="15.75" customHeight="1">
      <c r="A316" s="57">
        <v>80303.0</v>
      </c>
      <c r="B316" s="58" t="s">
        <v>335</v>
      </c>
      <c r="C316" s="59">
        <v>86.66666666666667</v>
      </c>
      <c r="D316" s="59">
        <v>94.11764705882352</v>
      </c>
    </row>
    <row r="317" ht="15.75" customHeight="1">
      <c r="A317" s="57">
        <v>80304.0</v>
      </c>
      <c r="B317" s="58" t="s">
        <v>336</v>
      </c>
      <c r="C317" s="59">
        <v>88.34355828220859</v>
      </c>
      <c r="D317" s="59">
        <v>90.68736141906874</v>
      </c>
    </row>
    <row r="318" ht="15.75" customHeight="1">
      <c r="A318" s="57">
        <v>80401.0</v>
      </c>
      <c r="B318" s="58" t="s">
        <v>337</v>
      </c>
      <c r="C318" s="59">
        <v>90.71428571428571</v>
      </c>
      <c r="D318" s="59">
        <v>92.51336898395722</v>
      </c>
    </row>
    <row r="319" ht="15.75" customHeight="1">
      <c r="A319" s="57">
        <v>80402.0</v>
      </c>
      <c r="B319" s="58" t="s">
        <v>338</v>
      </c>
      <c r="C319" s="59">
        <v>75.18248175182481</v>
      </c>
      <c r="D319" s="59">
        <v>89.36170212765957</v>
      </c>
    </row>
    <row r="320" ht="15.75" customHeight="1">
      <c r="A320" s="57">
        <v>80501.0</v>
      </c>
      <c r="B320" s="58" t="s">
        <v>339</v>
      </c>
      <c r="C320" s="59">
        <v>79.76190476190477</v>
      </c>
      <c r="D320" s="59">
        <v>84.375</v>
      </c>
    </row>
    <row r="321" ht="15.75" customHeight="1">
      <c r="A321" s="57">
        <v>80601.0</v>
      </c>
      <c r="B321" s="58" t="s">
        <v>340</v>
      </c>
      <c r="C321" s="59">
        <v>61.627906976744185</v>
      </c>
      <c r="D321" s="59">
        <v>74.75728155339806</v>
      </c>
    </row>
    <row r="322" ht="15.75" customHeight="1">
      <c r="A322" s="57">
        <v>80602.0</v>
      </c>
      <c r="B322" s="58" t="s">
        <v>341</v>
      </c>
      <c r="C322" s="59">
        <v>87.03071672354949</v>
      </c>
      <c r="D322" s="59">
        <v>94.75524475524476</v>
      </c>
    </row>
    <row r="323" ht="15.75" customHeight="1">
      <c r="A323" s="57">
        <v>80701.0</v>
      </c>
      <c r="B323" s="58" t="s">
        <v>342</v>
      </c>
      <c r="C323" s="59">
        <v>95.32163742690058</v>
      </c>
      <c r="D323" s="59">
        <v>97.54098360655738</v>
      </c>
    </row>
    <row r="324" ht="15.75" customHeight="1">
      <c r="A324" s="57">
        <v>80702.0</v>
      </c>
      <c r="B324" s="58" t="s">
        <v>318</v>
      </c>
      <c r="C324" s="59">
        <v>96.26168224299066</v>
      </c>
      <c r="D324" s="59">
        <v>93.06930693069307</v>
      </c>
    </row>
    <row r="325" ht="15.75" customHeight="1">
      <c r="A325" s="57">
        <v>80703.0</v>
      </c>
      <c r="B325" s="58" t="s">
        <v>343</v>
      </c>
      <c r="C325" s="59">
        <v>85.0</v>
      </c>
      <c r="D325" s="59">
        <v>95.0</v>
      </c>
    </row>
    <row r="326" ht="15.75" customHeight="1">
      <c r="A326" s="57">
        <v>80801.0</v>
      </c>
      <c r="B326" s="58" t="s">
        <v>344</v>
      </c>
      <c r="C326" s="59">
        <v>85.32818532818533</v>
      </c>
      <c r="D326" s="59">
        <v>95.260663507109</v>
      </c>
    </row>
    <row r="327" ht="15.75" customHeight="1">
      <c r="A327" s="57">
        <v>80802.0</v>
      </c>
      <c r="B327" s="58" t="s">
        <v>345</v>
      </c>
      <c r="C327" s="59">
        <v>93.05555555555556</v>
      </c>
      <c r="D327" s="59">
        <v>98.31932773109243</v>
      </c>
    </row>
    <row r="328" ht="15.75" customHeight="1">
      <c r="A328" s="57">
        <v>80803.0</v>
      </c>
      <c r="B328" s="58" t="s">
        <v>346</v>
      </c>
      <c r="C328" s="59">
        <v>91.86046511627907</v>
      </c>
      <c r="D328" s="59">
        <v>97.6470588235294</v>
      </c>
    </row>
    <row r="329" ht="15.75" customHeight="1">
      <c r="A329" s="57">
        <v>80901.0</v>
      </c>
      <c r="B329" s="58" t="s">
        <v>347</v>
      </c>
      <c r="C329" s="59">
        <v>45.16129032258064</v>
      </c>
      <c r="D329" s="59">
        <v>68.11594202898551</v>
      </c>
    </row>
    <row r="330" ht="15.75" customHeight="1">
      <c r="A330" s="57">
        <v>90101.0</v>
      </c>
      <c r="B330" s="58" t="s">
        <v>348</v>
      </c>
      <c r="C330" s="59">
        <v>94.7069943289225</v>
      </c>
      <c r="D330" s="59">
        <v>98.5432733504713</v>
      </c>
    </row>
    <row r="331" ht="15.75" customHeight="1">
      <c r="A331" s="57">
        <v>90102.0</v>
      </c>
      <c r="B331" s="58" t="s">
        <v>349</v>
      </c>
      <c r="C331" s="59">
        <v>93.86792452830188</v>
      </c>
      <c r="D331" s="59">
        <v>98.80952380952381</v>
      </c>
    </row>
    <row r="332" ht="15.75" customHeight="1">
      <c r="A332" s="57">
        <v>90103.0</v>
      </c>
      <c r="B332" s="58" t="s">
        <v>350</v>
      </c>
      <c r="C332" s="59">
        <v>85.18518518518519</v>
      </c>
      <c r="D332" s="59">
        <v>100.0</v>
      </c>
    </row>
    <row r="333" ht="15.75" customHeight="1">
      <c r="A333" s="57">
        <v>90104.0</v>
      </c>
      <c r="B333" s="58" t="s">
        <v>351</v>
      </c>
      <c r="C333" s="59">
        <v>91.12903225806451</v>
      </c>
      <c r="D333" s="59">
        <v>96.05263157894737</v>
      </c>
    </row>
    <row r="334" ht="15.75" customHeight="1">
      <c r="A334" s="57">
        <v>90201.0</v>
      </c>
      <c r="B334" s="58" t="s">
        <v>352</v>
      </c>
      <c r="C334" s="59">
        <v>87.5</v>
      </c>
      <c r="D334" s="59">
        <v>97.52475247524752</v>
      </c>
    </row>
    <row r="335" ht="15.75" customHeight="1">
      <c r="A335" s="57">
        <v>90202.0</v>
      </c>
      <c r="B335" s="58" t="s">
        <v>315</v>
      </c>
      <c r="C335" s="59">
        <v>50.0</v>
      </c>
      <c r="D335" s="59">
        <v>75.0</v>
      </c>
    </row>
    <row r="336" ht="15.75" customHeight="1">
      <c r="A336" s="57">
        <v>90203.0</v>
      </c>
      <c r="B336" s="58" t="s">
        <v>353</v>
      </c>
      <c r="C336" s="59">
        <v>81.56028368794325</v>
      </c>
      <c r="D336" s="59">
        <v>95.83333333333334</v>
      </c>
    </row>
    <row r="337" ht="15.75" customHeight="1">
      <c r="A337" s="57">
        <v>90301.0</v>
      </c>
      <c r="B337" s="58" t="s">
        <v>354</v>
      </c>
      <c r="C337" s="59">
        <v>80.625</v>
      </c>
      <c r="D337" s="59">
        <v>91.61290322580645</v>
      </c>
    </row>
    <row r="338" ht="15.75" customHeight="1">
      <c r="A338" s="57">
        <v>90302.0</v>
      </c>
      <c r="B338" s="58" t="s">
        <v>355</v>
      </c>
      <c r="C338" s="59">
        <v>79.73856209150327</v>
      </c>
      <c r="D338" s="59">
        <v>84.16289592760181</v>
      </c>
    </row>
    <row r="339" ht="15.75" customHeight="1">
      <c r="A339" s="57">
        <v>90303.0</v>
      </c>
      <c r="B339" s="58" t="s">
        <v>356</v>
      </c>
      <c r="C339" s="59">
        <v>70.23255813953489</v>
      </c>
      <c r="D339" s="59">
        <v>94.33198380566802</v>
      </c>
    </row>
    <row r="340" ht="15.75" customHeight="1">
      <c r="A340" s="57">
        <v>90401.0</v>
      </c>
      <c r="B340" s="58" t="s">
        <v>357</v>
      </c>
      <c r="C340" s="59">
        <v>90.56603773584906</v>
      </c>
      <c r="D340" s="59">
        <v>98.30508474576271</v>
      </c>
    </row>
    <row r="341" ht="15.75" customHeight="1">
      <c r="A341" s="57">
        <v>90402.0</v>
      </c>
      <c r="B341" s="58" t="s">
        <v>358</v>
      </c>
      <c r="C341" s="59">
        <v>80.43478260869566</v>
      </c>
      <c r="D341" s="59">
        <v>91.52542372881356</v>
      </c>
    </row>
    <row r="342" ht="15.75" customHeight="1">
      <c r="A342" s="57">
        <v>90501.0</v>
      </c>
      <c r="B342" s="58" t="s">
        <v>359</v>
      </c>
      <c r="C342" s="59">
        <v>86.53846153846155</v>
      </c>
      <c r="D342" s="59">
        <v>94.28571428571428</v>
      </c>
    </row>
    <row r="343" ht="15.75" customHeight="1">
      <c r="A343" s="57">
        <v>90502.0</v>
      </c>
      <c r="B343" s="58" t="s">
        <v>360</v>
      </c>
      <c r="C343" s="59">
        <v>86.53846153846155</v>
      </c>
      <c r="D343" s="59">
        <v>92.3076923076923</v>
      </c>
    </row>
    <row r="344" ht="15.75" customHeight="1">
      <c r="A344" s="57">
        <v>90503.0</v>
      </c>
      <c r="B344" s="58" t="s">
        <v>361</v>
      </c>
      <c r="C344" s="59">
        <v>86.66666666666667</v>
      </c>
      <c r="D344" s="59">
        <v>100.0</v>
      </c>
    </row>
    <row r="345" ht="15.75" customHeight="1">
      <c r="A345" s="60"/>
      <c r="B345" s="61"/>
      <c r="C345" s="62"/>
      <c r="D345" s="62"/>
    </row>
    <row r="346" ht="15.75" customHeight="1">
      <c r="A346" s="60"/>
      <c r="B346" s="61"/>
      <c r="C346" s="62"/>
      <c r="D346" s="62"/>
    </row>
    <row r="347" ht="15.75" customHeight="1">
      <c r="A347" s="60"/>
      <c r="B347" s="61"/>
      <c r="C347" s="62"/>
      <c r="D347" s="62"/>
    </row>
    <row r="348" ht="15.75" customHeight="1">
      <c r="A348" s="60"/>
      <c r="B348" s="61"/>
      <c r="C348" s="62"/>
      <c r="D348" s="62"/>
    </row>
    <row r="349" ht="15.75" customHeight="1">
      <c r="A349" s="60"/>
      <c r="B349" s="61"/>
      <c r="C349" s="62"/>
      <c r="D349" s="62"/>
    </row>
    <row r="350" ht="15.75" customHeight="1">
      <c r="A350" s="60"/>
      <c r="B350" s="61"/>
      <c r="C350" s="62"/>
      <c r="D350" s="62"/>
    </row>
    <row r="351" ht="15.75" customHeight="1">
      <c r="A351" s="60"/>
      <c r="B351" s="61"/>
      <c r="C351" s="62"/>
      <c r="D351" s="62"/>
    </row>
    <row r="352" ht="15.75" customHeight="1">
      <c r="A352" s="60"/>
      <c r="B352" s="61"/>
      <c r="C352" s="62"/>
      <c r="D352" s="62"/>
    </row>
    <row r="353" ht="15.75" customHeight="1">
      <c r="A353" s="60"/>
      <c r="B353" s="61"/>
      <c r="C353" s="62"/>
      <c r="D353" s="62"/>
    </row>
    <row r="354" ht="15.75" customHeight="1">
      <c r="A354" s="60"/>
      <c r="B354" s="61"/>
      <c r="C354" s="62"/>
      <c r="D354" s="62"/>
    </row>
    <row r="355" ht="15.75" customHeight="1">
      <c r="A355" s="60"/>
      <c r="B355" s="61"/>
      <c r="C355" s="62"/>
      <c r="D355" s="62"/>
    </row>
    <row r="356" ht="15.75" customHeight="1">
      <c r="A356" s="60"/>
      <c r="B356" s="61"/>
      <c r="C356" s="62"/>
      <c r="D356" s="62"/>
    </row>
    <row r="357" ht="15.75" customHeight="1">
      <c r="A357" s="60"/>
      <c r="B357" s="61"/>
      <c r="C357" s="62"/>
      <c r="D357" s="62"/>
    </row>
    <row r="358" ht="15.75" customHeight="1">
      <c r="A358" s="60"/>
      <c r="B358" s="61"/>
      <c r="C358" s="62"/>
      <c r="D358" s="62"/>
    </row>
    <row r="359" ht="15.75" customHeight="1">
      <c r="A359" s="60"/>
      <c r="B359" s="61"/>
      <c r="C359" s="62"/>
      <c r="D359" s="62"/>
    </row>
    <row r="360" ht="15.75" customHeight="1">
      <c r="A360" s="60"/>
      <c r="B360" s="61"/>
      <c r="C360" s="62"/>
      <c r="D360" s="62"/>
    </row>
    <row r="361" ht="15.75" customHeight="1">
      <c r="A361" s="60"/>
      <c r="B361" s="61"/>
      <c r="C361" s="62"/>
      <c r="D361" s="62"/>
    </row>
    <row r="362" ht="15.75" customHeight="1">
      <c r="A362" s="60"/>
      <c r="B362" s="61"/>
      <c r="C362" s="62"/>
      <c r="D362" s="62"/>
    </row>
    <row r="363" ht="15.75" customHeight="1">
      <c r="A363" s="60"/>
      <c r="B363" s="61"/>
      <c r="C363" s="62"/>
      <c r="D363" s="62"/>
    </row>
    <row r="364" ht="15.75" customHeight="1">
      <c r="A364" s="60"/>
      <c r="B364" s="61"/>
      <c r="C364" s="62"/>
      <c r="D364" s="62"/>
    </row>
    <row r="365" ht="15.75" customHeight="1">
      <c r="A365" s="60"/>
      <c r="B365" s="61"/>
      <c r="C365" s="62"/>
      <c r="D365" s="62"/>
    </row>
    <row r="366" ht="15.75" customHeight="1">
      <c r="A366" s="60"/>
      <c r="B366" s="61"/>
      <c r="C366" s="62"/>
      <c r="D366" s="62"/>
    </row>
    <row r="367" ht="15.75" customHeight="1">
      <c r="A367" s="60"/>
      <c r="B367" s="61"/>
      <c r="C367" s="62"/>
      <c r="D367" s="62"/>
    </row>
    <row r="368" ht="15.75" customHeight="1">
      <c r="A368" s="60"/>
      <c r="B368" s="61"/>
      <c r="C368" s="62"/>
      <c r="D368" s="62"/>
    </row>
    <row r="369" ht="15.75" customHeight="1">
      <c r="A369" s="60"/>
      <c r="B369" s="61"/>
      <c r="C369" s="62"/>
      <c r="D369" s="62"/>
    </row>
    <row r="370" ht="15.75" customHeight="1">
      <c r="A370" s="60"/>
      <c r="B370" s="61"/>
      <c r="C370" s="62"/>
      <c r="D370" s="62"/>
    </row>
    <row r="371" ht="15.75" customHeight="1">
      <c r="A371" s="60"/>
      <c r="B371" s="61"/>
      <c r="C371" s="62"/>
      <c r="D371" s="62"/>
    </row>
    <row r="372" ht="15.75" customHeight="1">
      <c r="A372" s="60"/>
      <c r="B372" s="61"/>
      <c r="C372" s="62"/>
      <c r="D372" s="62"/>
    </row>
    <row r="373" ht="15.75" customHeight="1">
      <c r="A373" s="60"/>
      <c r="B373" s="61"/>
      <c r="C373" s="62"/>
      <c r="D373" s="62"/>
    </row>
    <row r="374" ht="15.75" customHeight="1">
      <c r="A374" s="60"/>
      <c r="B374" s="61"/>
      <c r="C374" s="62"/>
      <c r="D374" s="62"/>
    </row>
    <row r="375" ht="15.75" customHeight="1">
      <c r="A375" s="60"/>
      <c r="B375" s="61"/>
      <c r="C375" s="62"/>
      <c r="D375" s="62"/>
    </row>
    <row r="376" ht="15.75" customHeight="1">
      <c r="A376" s="60"/>
      <c r="B376" s="61"/>
      <c r="C376" s="62"/>
      <c r="D376" s="62"/>
    </row>
    <row r="377" ht="15.75" customHeight="1">
      <c r="A377" s="60"/>
      <c r="B377" s="61"/>
      <c r="C377" s="62"/>
      <c r="D377" s="62"/>
    </row>
    <row r="378" ht="15.75" customHeight="1">
      <c r="A378" s="60"/>
      <c r="B378" s="61"/>
      <c r="C378" s="62"/>
      <c r="D378" s="62"/>
    </row>
    <row r="379" ht="15.75" customHeight="1">
      <c r="A379" s="60"/>
      <c r="B379" s="61"/>
      <c r="C379" s="62"/>
      <c r="D379" s="62"/>
    </row>
    <row r="380" ht="15.75" customHeight="1">
      <c r="A380" s="60"/>
      <c r="B380" s="61"/>
      <c r="C380" s="62"/>
      <c r="D380" s="62"/>
    </row>
    <row r="381" ht="15.75" customHeight="1">
      <c r="A381" s="60"/>
      <c r="B381" s="61"/>
      <c r="C381" s="62"/>
      <c r="D381" s="62"/>
    </row>
    <row r="382" ht="15.75" customHeight="1">
      <c r="A382" s="60"/>
      <c r="B382" s="61"/>
      <c r="C382" s="62"/>
      <c r="D382" s="62"/>
    </row>
    <row r="383" ht="15.75" customHeight="1">
      <c r="A383" s="60"/>
      <c r="B383" s="61"/>
      <c r="C383" s="62"/>
      <c r="D383" s="62"/>
    </row>
    <row r="384" ht="15.75" customHeight="1">
      <c r="A384" s="60"/>
      <c r="B384" s="61"/>
      <c r="C384" s="62"/>
      <c r="D384" s="62"/>
    </row>
    <row r="385" ht="15.75" customHeight="1">
      <c r="A385" s="60"/>
      <c r="B385" s="61"/>
      <c r="C385" s="62"/>
      <c r="D385" s="62"/>
    </row>
    <row r="386" ht="15.75" customHeight="1">
      <c r="A386" s="60"/>
      <c r="B386" s="61"/>
      <c r="C386" s="62"/>
      <c r="D386" s="62"/>
    </row>
    <row r="387" ht="15.75" customHeight="1">
      <c r="A387" s="60"/>
      <c r="B387" s="61"/>
      <c r="C387" s="62"/>
      <c r="D387" s="62"/>
    </row>
    <row r="388" ht="15.75" customHeight="1">
      <c r="A388" s="60"/>
      <c r="B388" s="61"/>
      <c r="C388" s="62"/>
      <c r="D388" s="62"/>
    </row>
    <row r="389" ht="15.75" customHeight="1">
      <c r="A389" s="60"/>
      <c r="B389" s="61"/>
      <c r="C389" s="62"/>
      <c r="D389" s="62"/>
    </row>
    <row r="390" ht="15.75" customHeight="1">
      <c r="A390" s="60"/>
      <c r="B390" s="61"/>
      <c r="C390" s="62"/>
      <c r="D390" s="62"/>
    </row>
    <row r="391" ht="15.75" customHeight="1">
      <c r="A391" s="60"/>
      <c r="B391" s="61"/>
      <c r="C391" s="62"/>
      <c r="D391" s="62"/>
    </row>
    <row r="392" ht="15.75" customHeight="1">
      <c r="A392" s="60"/>
      <c r="B392" s="61"/>
      <c r="C392" s="62"/>
      <c r="D392" s="62"/>
    </row>
    <row r="393" ht="15.75" customHeight="1">
      <c r="A393" s="60"/>
      <c r="B393" s="61"/>
      <c r="C393" s="62"/>
      <c r="D393" s="62"/>
    </row>
    <row r="394" ht="15.75" customHeight="1">
      <c r="A394" s="60"/>
      <c r="B394" s="61"/>
      <c r="C394" s="62"/>
      <c r="D394" s="62"/>
    </row>
    <row r="395" ht="15.75" customHeight="1">
      <c r="A395" s="60"/>
      <c r="B395" s="61"/>
      <c r="C395" s="62"/>
      <c r="D395" s="62"/>
    </row>
    <row r="396" ht="15.75" customHeight="1">
      <c r="A396" s="60"/>
      <c r="B396" s="61"/>
      <c r="C396" s="62"/>
      <c r="D396" s="62"/>
    </row>
    <row r="397" ht="15.75" customHeight="1">
      <c r="A397" s="60"/>
      <c r="B397" s="61"/>
      <c r="C397" s="62"/>
      <c r="D397" s="62"/>
    </row>
    <row r="398" ht="15.75" customHeight="1">
      <c r="A398" s="60"/>
      <c r="B398" s="61"/>
      <c r="C398" s="62"/>
      <c r="D398" s="62"/>
    </row>
    <row r="399" ht="15.75" customHeight="1">
      <c r="A399" s="60"/>
      <c r="B399" s="61"/>
      <c r="C399" s="62"/>
      <c r="D399" s="62"/>
    </row>
    <row r="400" ht="15.75" customHeight="1">
      <c r="A400" s="60"/>
      <c r="B400" s="61"/>
      <c r="C400" s="62"/>
      <c r="D400" s="62"/>
    </row>
    <row r="401" ht="15.75" customHeight="1">
      <c r="A401" s="60"/>
      <c r="B401" s="61"/>
      <c r="C401" s="62"/>
      <c r="D401" s="62"/>
    </row>
    <row r="402" ht="15.75" customHeight="1">
      <c r="A402" s="60"/>
      <c r="B402" s="61"/>
      <c r="C402" s="62"/>
      <c r="D402" s="62"/>
    </row>
    <row r="403" ht="15.75" customHeight="1">
      <c r="A403" s="60"/>
      <c r="B403" s="61"/>
      <c r="C403" s="62"/>
      <c r="D403" s="62"/>
    </row>
    <row r="404" ht="15.75" customHeight="1">
      <c r="A404" s="60"/>
      <c r="B404" s="61"/>
      <c r="C404" s="62"/>
      <c r="D404" s="62"/>
    </row>
    <row r="405" ht="15.75" customHeight="1">
      <c r="A405" s="60"/>
      <c r="B405" s="61"/>
      <c r="C405" s="62"/>
      <c r="D405" s="62"/>
    </row>
    <row r="406" ht="15.75" customHeight="1">
      <c r="A406" s="60"/>
      <c r="B406" s="61"/>
      <c r="C406" s="62"/>
      <c r="D406" s="62"/>
    </row>
    <row r="407" ht="15.75" customHeight="1">
      <c r="A407" s="60"/>
      <c r="B407" s="61"/>
      <c r="C407" s="62"/>
      <c r="D407" s="62"/>
    </row>
    <row r="408" ht="15.75" customHeight="1">
      <c r="A408" s="60"/>
      <c r="B408" s="61"/>
      <c r="C408" s="62"/>
      <c r="D408" s="62"/>
    </row>
    <row r="409" ht="15.75" customHeight="1">
      <c r="A409" s="60"/>
      <c r="B409" s="61"/>
      <c r="C409" s="62"/>
      <c r="D409" s="62"/>
    </row>
    <row r="410" ht="15.75" customHeight="1">
      <c r="A410" s="60"/>
      <c r="B410" s="61"/>
      <c r="C410" s="62"/>
      <c r="D410" s="62"/>
    </row>
    <row r="411" ht="15.75" customHeight="1">
      <c r="A411" s="60"/>
      <c r="B411" s="61"/>
      <c r="C411" s="62"/>
      <c r="D411" s="62"/>
    </row>
    <row r="412" ht="15.75" customHeight="1">
      <c r="A412" s="60"/>
      <c r="B412" s="61"/>
      <c r="C412" s="62"/>
      <c r="D412" s="62"/>
    </row>
    <row r="413" ht="15.75" customHeight="1">
      <c r="A413" s="60"/>
      <c r="B413" s="61"/>
      <c r="C413" s="62"/>
      <c r="D413" s="62"/>
    </row>
    <row r="414" ht="15.75" customHeight="1">
      <c r="A414" s="60"/>
      <c r="B414" s="61"/>
      <c r="C414" s="62"/>
      <c r="D414" s="62"/>
    </row>
    <row r="415" ht="15.75" customHeight="1">
      <c r="A415" s="60"/>
      <c r="B415" s="61"/>
      <c r="C415" s="62"/>
      <c r="D415" s="62"/>
    </row>
    <row r="416" ht="15.75" customHeight="1">
      <c r="A416" s="60"/>
      <c r="B416" s="61"/>
      <c r="C416" s="62"/>
      <c r="D416" s="62"/>
    </row>
    <row r="417" ht="15.75" customHeight="1">
      <c r="A417" s="60"/>
      <c r="B417" s="61"/>
      <c r="C417" s="62"/>
      <c r="D417" s="62"/>
    </row>
    <row r="418" ht="15.75" customHeight="1">
      <c r="A418" s="60"/>
      <c r="B418" s="61"/>
      <c r="C418" s="62"/>
      <c r="D418" s="62"/>
    </row>
    <row r="419" ht="15.75" customHeight="1">
      <c r="A419" s="60"/>
      <c r="B419" s="61"/>
      <c r="C419" s="62"/>
      <c r="D419" s="62"/>
    </row>
    <row r="420" ht="15.75" customHeight="1">
      <c r="A420" s="60"/>
      <c r="B420" s="61"/>
      <c r="C420" s="62"/>
      <c r="D420" s="62"/>
    </row>
    <row r="421" ht="15.75" customHeight="1">
      <c r="A421" s="60"/>
      <c r="B421" s="61"/>
      <c r="C421" s="62"/>
      <c r="D421" s="62"/>
    </row>
    <row r="422" ht="15.75" customHeight="1">
      <c r="A422" s="60"/>
      <c r="B422" s="61"/>
      <c r="C422" s="62"/>
      <c r="D422" s="62"/>
    </row>
    <row r="423" ht="15.75" customHeight="1">
      <c r="A423" s="60"/>
      <c r="B423" s="61"/>
      <c r="C423" s="62"/>
      <c r="D423" s="62"/>
    </row>
    <row r="424" ht="15.75" customHeight="1">
      <c r="A424" s="60"/>
      <c r="B424" s="61"/>
      <c r="C424" s="62"/>
      <c r="D424" s="62"/>
    </row>
    <row r="425" ht="15.75" customHeight="1">
      <c r="A425" s="60"/>
      <c r="B425" s="61"/>
      <c r="C425" s="62"/>
      <c r="D425" s="62"/>
    </row>
    <row r="426" ht="15.75" customHeight="1">
      <c r="A426" s="60"/>
      <c r="B426" s="61"/>
      <c r="C426" s="62"/>
      <c r="D426" s="62"/>
    </row>
    <row r="427" ht="15.75" customHeight="1">
      <c r="A427" s="60"/>
      <c r="B427" s="61"/>
      <c r="C427" s="62"/>
      <c r="D427" s="62"/>
    </row>
    <row r="428" ht="15.75" customHeight="1">
      <c r="A428" s="60"/>
      <c r="B428" s="61"/>
      <c r="C428" s="62"/>
      <c r="D428" s="62"/>
    </row>
    <row r="429" ht="15.75" customHeight="1">
      <c r="A429" s="60"/>
      <c r="B429" s="61"/>
      <c r="C429" s="62"/>
      <c r="D429" s="62"/>
    </row>
    <row r="430" ht="15.75" customHeight="1">
      <c r="A430" s="60"/>
      <c r="B430" s="61"/>
      <c r="C430" s="62"/>
      <c r="D430" s="62"/>
    </row>
    <row r="431" ht="15.75" customHeight="1">
      <c r="A431" s="60"/>
      <c r="B431" s="61"/>
      <c r="C431" s="62"/>
      <c r="D431" s="62"/>
    </row>
    <row r="432" ht="15.75" customHeight="1">
      <c r="A432" s="60"/>
      <c r="B432" s="61"/>
      <c r="C432" s="62"/>
      <c r="D432" s="62"/>
    </row>
    <row r="433" ht="15.75" customHeight="1">
      <c r="A433" s="60"/>
      <c r="B433" s="61"/>
      <c r="C433" s="62"/>
      <c r="D433" s="62"/>
    </row>
    <row r="434" ht="15.75" customHeight="1">
      <c r="A434" s="60"/>
      <c r="B434" s="61"/>
      <c r="C434" s="62"/>
      <c r="D434" s="62"/>
    </row>
    <row r="435" ht="15.75" customHeight="1">
      <c r="A435" s="60"/>
      <c r="B435" s="61"/>
      <c r="C435" s="62"/>
      <c r="D435" s="62"/>
    </row>
    <row r="436" ht="15.75" customHeight="1">
      <c r="A436" s="60"/>
      <c r="B436" s="61"/>
      <c r="C436" s="62"/>
      <c r="D436" s="62"/>
    </row>
    <row r="437" ht="15.75" customHeight="1">
      <c r="A437" s="60"/>
      <c r="B437" s="61"/>
      <c r="C437" s="62"/>
      <c r="D437" s="62"/>
    </row>
    <row r="438" ht="15.75" customHeight="1">
      <c r="A438" s="60"/>
      <c r="B438" s="61"/>
      <c r="C438" s="62"/>
      <c r="D438" s="62"/>
    </row>
    <row r="439" ht="15.75" customHeight="1">
      <c r="A439" s="60"/>
      <c r="B439" s="61"/>
      <c r="C439" s="62"/>
      <c r="D439" s="62"/>
    </row>
    <row r="440" ht="15.75" customHeight="1">
      <c r="A440" s="60"/>
      <c r="B440" s="61"/>
      <c r="C440" s="62"/>
      <c r="D440" s="62"/>
    </row>
    <row r="441" ht="15.75" customHeight="1">
      <c r="A441" s="60"/>
      <c r="B441" s="61"/>
      <c r="C441" s="62"/>
      <c r="D441" s="62"/>
    </row>
    <row r="442" ht="15.75" customHeight="1">
      <c r="A442" s="60"/>
      <c r="B442" s="61"/>
      <c r="C442" s="62"/>
      <c r="D442" s="62"/>
    </row>
    <row r="443" ht="15.75" customHeight="1">
      <c r="A443" s="60"/>
      <c r="B443" s="61"/>
      <c r="C443" s="62"/>
      <c r="D443" s="62"/>
    </row>
    <row r="444" ht="15.75" customHeight="1">
      <c r="A444" s="60"/>
      <c r="B444" s="61"/>
      <c r="C444" s="62"/>
      <c r="D444" s="62"/>
    </row>
    <row r="445" ht="15.75" customHeight="1">
      <c r="A445" s="60"/>
      <c r="B445" s="61"/>
      <c r="C445" s="62"/>
      <c r="D445" s="62"/>
    </row>
    <row r="446" ht="15.75" customHeight="1">
      <c r="A446" s="60"/>
      <c r="B446" s="61"/>
      <c r="C446" s="62"/>
      <c r="D446" s="62"/>
    </row>
    <row r="447" ht="15.75" customHeight="1">
      <c r="A447" s="60"/>
      <c r="B447" s="61"/>
      <c r="C447" s="62"/>
      <c r="D447" s="62"/>
    </row>
    <row r="448" ht="15.75" customHeight="1">
      <c r="A448" s="60"/>
      <c r="B448" s="61"/>
      <c r="C448" s="62"/>
      <c r="D448" s="62"/>
    </row>
    <row r="449" ht="15.75" customHeight="1">
      <c r="A449" s="60"/>
      <c r="B449" s="61"/>
      <c r="C449" s="62"/>
      <c r="D449" s="62"/>
    </row>
    <row r="450" ht="15.75" customHeight="1">
      <c r="A450" s="60"/>
      <c r="B450" s="61"/>
      <c r="C450" s="62"/>
      <c r="D450" s="62"/>
    </row>
    <row r="451" ht="15.75" customHeight="1">
      <c r="A451" s="60"/>
      <c r="B451" s="61"/>
      <c r="C451" s="62"/>
      <c r="D451" s="62"/>
    </row>
    <row r="452" ht="15.75" customHeight="1">
      <c r="A452" s="60"/>
      <c r="B452" s="61"/>
      <c r="C452" s="62"/>
      <c r="D452" s="62"/>
    </row>
    <row r="453" ht="15.75" customHeight="1">
      <c r="A453" s="60"/>
      <c r="B453" s="61"/>
      <c r="C453" s="62"/>
      <c r="D453" s="62"/>
    </row>
    <row r="454" ht="15.75" customHeight="1">
      <c r="A454" s="60"/>
      <c r="B454" s="61"/>
      <c r="C454" s="62"/>
      <c r="D454" s="62"/>
    </row>
    <row r="455" ht="15.75" customHeight="1">
      <c r="A455" s="60"/>
      <c r="B455" s="61"/>
      <c r="C455" s="62"/>
      <c r="D455" s="62"/>
    </row>
    <row r="456" ht="15.75" customHeight="1">
      <c r="A456" s="60"/>
      <c r="B456" s="61"/>
      <c r="C456" s="62"/>
      <c r="D456" s="62"/>
    </row>
    <row r="457" ht="15.75" customHeight="1">
      <c r="A457" s="60"/>
      <c r="B457" s="61"/>
      <c r="C457" s="62"/>
      <c r="D457" s="62"/>
    </row>
    <row r="458" ht="15.75" customHeight="1">
      <c r="A458" s="60"/>
      <c r="B458" s="61"/>
      <c r="C458" s="62"/>
      <c r="D458" s="62"/>
    </row>
    <row r="459" ht="15.75" customHeight="1">
      <c r="A459" s="60"/>
      <c r="B459" s="61"/>
      <c r="C459" s="62"/>
      <c r="D459" s="62"/>
    </row>
    <row r="460" ht="15.75" customHeight="1">
      <c r="A460" s="60"/>
      <c r="B460" s="61"/>
      <c r="C460" s="62"/>
      <c r="D460" s="62"/>
    </row>
    <row r="461" ht="15.75" customHeight="1">
      <c r="A461" s="60"/>
      <c r="B461" s="61"/>
      <c r="C461" s="62"/>
      <c r="D461" s="62"/>
    </row>
    <row r="462" ht="15.75" customHeight="1">
      <c r="A462" s="60"/>
      <c r="B462" s="61"/>
      <c r="C462" s="62"/>
      <c r="D462" s="62"/>
    </row>
    <row r="463" ht="15.75" customHeight="1">
      <c r="A463" s="60"/>
      <c r="B463" s="61"/>
      <c r="C463" s="62"/>
      <c r="D463" s="62"/>
    </row>
    <row r="464" ht="15.75" customHeight="1">
      <c r="A464" s="60"/>
      <c r="B464" s="61"/>
      <c r="C464" s="62"/>
      <c r="D464" s="62"/>
    </row>
    <row r="465" ht="15.75" customHeight="1">
      <c r="A465" s="60"/>
      <c r="B465" s="61"/>
      <c r="C465" s="62"/>
      <c r="D465" s="62"/>
    </row>
    <row r="466" ht="15.75" customHeight="1">
      <c r="A466" s="60"/>
      <c r="B466" s="61"/>
      <c r="C466" s="62"/>
      <c r="D466" s="62"/>
    </row>
    <row r="467" ht="15.75" customHeight="1">
      <c r="A467" s="60"/>
      <c r="B467" s="61"/>
      <c r="C467" s="62"/>
      <c r="D467" s="62"/>
    </row>
    <row r="468" ht="15.75" customHeight="1">
      <c r="A468" s="60"/>
      <c r="B468" s="61"/>
      <c r="C468" s="62"/>
      <c r="D468" s="62"/>
    </row>
    <row r="469" ht="15.75" customHeight="1">
      <c r="A469" s="60"/>
      <c r="B469" s="61"/>
      <c r="C469" s="62"/>
      <c r="D469" s="62"/>
    </row>
    <row r="470" ht="15.75" customHeight="1">
      <c r="A470" s="60"/>
      <c r="B470" s="61"/>
      <c r="C470" s="62"/>
      <c r="D470" s="62"/>
    </row>
    <row r="471" ht="15.75" customHeight="1">
      <c r="A471" s="60"/>
      <c r="B471" s="61"/>
      <c r="C471" s="62"/>
      <c r="D471" s="62"/>
    </row>
    <row r="472" ht="15.75" customHeight="1">
      <c r="A472" s="60"/>
      <c r="B472" s="61"/>
      <c r="C472" s="62"/>
      <c r="D472" s="62"/>
    </row>
    <row r="473" ht="15.75" customHeight="1">
      <c r="A473" s="60"/>
      <c r="B473" s="61"/>
      <c r="C473" s="62"/>
      <c r="D473" s="62"/>
    </row>
    <row r="474" ht="15.75" customHeight="1">
      <c r="A474" s="60"/>
      <c r="B474" s="61"/>
      <c r="C474" s="62"/>
      <c r="D474" s="62"/>
    </row>
    <row r="475" ht="15.75" customHeight="1">
      <c r="A475" s="60"/>
      <c r="B475" s="61"/>
      <c r="C475" s="62"/>
      <c r="D475" s="62"/>
    </row>
    <row r="476" ht="15.75" customHeight="1">
      <c r="A476" s="60"/>
      <c r="B476" s="61"/>
      <c r="C476" s="62"/>
      <c r="D476" s="62"/>
    </row>
    <row r="477" ht="15.75" customHeight="1">
      <c r="A477" s="60"/>
      <c r="B477" s="61"/>
      <c r="C477" s="62"/>
      <c r="D477" s="62"/>
    </row>
    <row r="478" ht="15.75" customHeight="1">
      <c r="A478" s="60"/>
      <c r="B478" s="61"/>
      <c r="C478" s="62"/>
      <c r="D478" s="62"/>
    </row>
    <row r="479" ht="15.75" customHeight="1">
      <c r="A479" s="60"/>
      <c r="B479" s="61"/>
      <c r="C479" s="62"/>
      <c r="D479" s="62"/>
    </row>
    <row r="480" ht="15.75" customHeight="1">
      <c r="A480" s="60"/>
      <c r="B480" s="61"/>
      <c r="C480" s="62"/>
      <c r="D480" s="62"/>
    </row>
    <row r="481" ht="15.75" customHeight="1">
      <c r="A481" s="60"/>
      <c r="B481" s="61"/>
      <c r="C481" s="62"/>
      <c r="D481" s="62"/>
    </row>
    <row r="482" ht="15.75" customHeight="1">
      <c r="A482" s="60"/>
      <c r="B482" s="61"/>
      <c r="C482" s="62"/>
      <c r="D482" s="62"/>
    </row>
    <row r="483" ht="15.75" customHeight="1">
      <c r="A483" s="60"/>
      <c r="B483" s="61"/>
      <c r="C483" s="62"/>
      <c r="D483" s="62"/>
    </row>
    <row r="484" ht="15.75" customHeight="1">
      <c r="A484" s="60"/>
      <c r="B484" s="61"/>
      <c r="C484" s="62"/>
      <c r="D484" s="62"/>
    </row>
    <row r="485" ht="15.75" customHeight="1">
      <c r="A485" s="60"/>
      <c r="B485" s="61"/>
      <c r="C485" s="62"/>
      <c r="D485" s="62"/>
    </row>
    <row r="486" ht="15.75" customHeight="1">
      <c r="A486" s="60"/>
      <c r="B486" s="61"/>
      <c r="C486" s="62"/>
      <c r="D486" s="62"/>
    </row>
    <row r="487" ht="15.75" customHeight="1">
      <c r="A487" s="60"/>
      <c r="B487" s="61"/>
      <c r="C487" s="62"/>
      <c r="D487" s="62"/>
    </row>
    <row r="488" ht="15.75" customHeight="1">
      <c r="A488" s="60"/>
      <c r="B488" s="61"/>
      <c r="C488" s="62"/>
      <c r="D488" s="62"/>
    </row>
    <row r="489" ht="15.75" customHeight="1">
      <c r="A489" s="60"/>
      <c r="B489" s="61"/>
      <c r="C489" s="62"/>
      <c r="D489" s="62"/>
    </row>
    <row r="490" ht="15.75" customHeight="1">
      <c r="A490" s="60"/>
      <c r="B490" s="61"/>
      <c r="C490" s="62"/>
      <c r="D490" s="62"/>
    </row>
    <row r="491" ht="15.75" customHeight="1">
      <c r="A491" s="60"/>
      <c r="B491" s="61"/>
      <c r="C491" s="62"/>
      <c r="D491" s="62"/>
    </row>
    <row r="492" ht="15.75" customHeight="1">
      <c r="A492" s="60"/>
      <c r="B492" s="61"/>
      <c r="C492" s="62"/>
      <c r="D492" s="62"/>
    </row>
    <row r="493" ht="15.75" customHeight="1">
      <c r="A493" s="60"/>
      <c r="B493" s="61"/>
      <c r="C493" s="62"/>
      <c r="D493" s="62"/>
    </row>
    <row r="494" ht="15.75" customHeight="1">
      <c r="A494" s="60"/>
      <c r="B494" s="61"/>
      <c r="C494" s="62"/>
      <c r="D494" s="62"/>
    </row>
    <row r="495" ht="15.75" customHeight="1">
      <c r="A495" s="60"/>
      <c r="B495" s="61"/>
      <c r="C495" s="62"/>
      <c r="D495" s="62"/>
    </row>
    <row r="496" ht="15.75" customHeight="1">
      <c r="A496" s="60"/>
      <c r="B496" s="61"/>
      <c r="C496" s="62"/>
      <c r="D496" s="62"/>
    </row>
    <row r="497" ht="15.75" customHeight="1">
      <c r="A497" s="60"/>
      <c r="B497" s="61"/>
      <c r="C497" s="62"/>
      <c r="D497" s="62"/>
    </row>
    <row r="498" ht="15.75" customHeight="1">
      <c r="A498" s="60"/>
      <c r="B498" s="61"/>
      <c r="C498" s="62"/>
      <c r="D498" s="62"/>
    </row>
    <row r="499" ht="15.75" customHeight="1">
      <c r="A499" s="60"/>
      <c r="B499" s="61"/>
      <c r="C499" s="62"/>
      <c r="D499" s="62"/>
    </row>
    <row r="500" ht="15.75" customHeight="1">
      <c r="A500" s="60"/>
      <c r="B500" s="61"/>
      <c r="C500" s="62"/>
      <c r="D500" s="62"/>
    </row>
    <row r="501" ht="15.75" customHeight="1">
      <c r="A501" s="60"/>
      <c r="B501" s="61"/>
      <c r="C501" s="62"/>
      <c r="D501" s="62"/>
    </row>
    <row r="502" ht="15.75" customHeight="1">
      <c r="A502" s="60"/>
      <c r="B502" s="61"/>
      <c r="C502" s="62"/>
      <c r="D502" s="62"/>
    </row>
    <row r="503" ht="15.75" customHeight="1">
      <c r="A503" s="60"/>
      <c r="B503" s="61"/>
      <c r="C503" s="62"/>
      <c r="D503" s="62"/>
    </row>
    <row r="504" ht="15.75" customHeight="1">
      <c r="A504" s="60"/>
      <c r="B504" s="61"/>
      <c r="C504" s="62"/>
      <c r="D504" s="62"/>
    </row>
    <row r="505" ht="15.75" customHeight="1">
      <c r="A505" s="60"/>
      <c r="B505" s="61"/>
      <c r="C505" s="62"/>
      <c r="D505" s="62"/>
    </row>
    <row r="506" ht="15.75" customHeight="1">
      <c r="A506" s="60"/>
      <c r="B506" s="61"/>
      <c r="C506" s="62"/>
      <c r="D506" s="62"/>
    </row>
    <row r="507" ht="15.75" customHeight="1">
      <c r="A507" s="60"/>
      <c r="B507" s="61"/>
      <c r="C507" s="62"/>
      <c r="D507" s="62"/>
    </row>
    <row r="508" ht="15.75" customHeight="1">
      <c r="A508" s="60"/>
      <c r="B508" s="61"/>
      <c r="C508" s="62"/>
      <c r="D508" s="62"/>
    </row>
    <row r="509" ht="15.75" customHeight="1">
      <c r="A509" s="60"/>
      <c r="B509" s="61"/>
      <c r="C509" s="62"/>
      <c r="D509" s="62"/>
    </row>
    <row r="510" ht="15.75" customHeight="1">
      <c r="A510" s="60"/>
      <c r="B510" s="61"/>
      <c r="C510" s="62"/>
      <c r="D510" s="62"/>
    </row>
    <row r="511" ht="15.75" customHeight="1">
      <c r="A511" s="60"/>
      <c r="B511" s="61"/>
      <c r="C511" s="62"/>
      <c r="D511" s="62"/>
    </row>
    <row r="512" ht="15.75" customHeight="1">
      <c r="A512" s="60"/>
      <c r="B512" s="61"/>
      <c r="C512" s="62"/>
      <c r="D512" s="62"/>
    </row>
    <row r="513" ht="15.75" customHeight="1">
      <c r="A513" s="60"/>
      <c r="B513" s="61"/>
      <c r="C513" s="62"/>
      <c r="D513" s="62"/>
    </row>
    <row r="514" ht="15.75" customHeight="1">
      <c r="A514" s="60"/>
      <c r="B514" s="61"/>
      <c r="C514" s="62"/>
      <c r="D514" s="62"/>
    </row>
    <row r="515" ht="15.75" customHeight="1">
      <c r="A515" s="60"/>
      <c r="B515" s="61"/>
      <c r="C515" s="62"/>
      <c r="D515" s="62"/>
    </row>
    <row r="516" ht="15.75" customHeight="1">
      <c r="A516" s="60"/>
      <c r="B516" s="61"/>
      <c r="C516" s="62"/>
      <c r="D516" s="62"/>
    </row>
    <row r="517" ht="15.75" customHeight="1">
      <c r="A517" s="60"/>
      <c r="B517" s="61"/>
      <c r="C517" s="62"/>
      <c r="D517" s="62"/>
    </row>
    <row r="518" ht="15.75" customHeight="1">
      <c r="A518" s="60"/>
      <c r="B518" s="61"/>
      <c r="C518" s="62"/>
      <c r="D518" s="62"/>
    </row>
    <row r="519" ht="15.75" customHeight="1">
      <c r="A519" s="60"/>
      <c r="B519" s="61"/>
      <c r="C519" s="62"/>
      <c r="D519" s="62"/>
    </row>
    <row r="520" ht="15.75" customHeight="1">
      <c r="A520" s="60"/>
      <c r="B520" s="61"/>
      <c r="C520" s="62"/>
      <c r="D520" s="62"/>
    </row>
    <row r="521" ht="15.75" customHeight="1">
      <c r="A521" s="60"/>
      <c r="B521" s="61"/>
      <c r="C521" s="62"/>
      <c r="D521" s="62"/>
    </row>
    <row r="522" ht="15.75" customHeight="1">
      <c r="A522" s="60"/>
      <c r="B522" s="61"/>
      <c r="C522" s="62"/>
      <c r="D522" s="62"/>
    </row>
    <row r="523" ht="15.75" customHeight="1">
      <c r="A523" s="60"/>
      <c r="B523" s="61"/>
      <c r="C523" s="62"/>
      <c r="D523" s="62"/>
    </row>
    <row r="524" ht="15.75" customHeight="1">
      <c r="A524" s="60"/>
      <c r="B524" s="61"/>
      <c r="C524" s="62"/>
      <c r="D524" s="62"/>
    </row>
    <row r="525" ht="15.75" customHeight="1">
      <c r="A525" s="60"/>
      <c r="B525" s="61"/>
      <c r="C525" s="62"/>
      <c r="D525" s="62"/>
    </row>
    <row r="526" ht="15.75" customHeight="1">
      <c r="A526" s="60"/>
      <c r="B526" s="61"/>
      <c r="C526" s="62"/>
      <c r="D526" s="62"/>
    </row>
    <row r="527" ht="15.75" customHeight="1">
      <c r="A527" s="60"/>
      <c r="B527" s="61"/>
      <c r="C527" s="62"/>
      <c r="D527" s="62"/>
    </row>
    <row r="528" ht="15.75" customHeight="1">
      <c r="A528" s="60"/>
      <c r="B528" s="61"/>
      <c r="C528" s="62"/>
      <c r="D528" s="62"/>
    </row>
    <row r="529" ht="15.75" customHeight="1">
      <c r="A529" s="60"/>
      <c r="B529" s="61"/>
      <c r="C529" s="62"/>
      <c r="D529" s="62"/>
    </row>
    <row r="530" ht="15.75" customHeight="1">
      <c r="A530" s="60"/>
      <c r="B530" s="61"/>
      <c r="C530" s="62"/>
      <c r="D530" s="62"/>
    </row>
    <row r="531" ht="15.75" customHeight="1">
      <c r="A531" s="60"/>
      <c r="B531" s="61"/>
      <c r="C531" s="62"/>
      <c r="D531" s="62"/>
    </row>
    <row r="532" ht="15.75" customHeight="1">
      <c r="A532" s="60"/>
      <c r="B532" s="61"/>
      <c r="C532" s="62"/>
      <c r="D532" s="62"/>
    </row>
    <row r="533" ht="15.75" customHeight="1">
      <c r="A533" s="60"/>
      <c r="B533" s="61"/>
      <c r="C533" s="62"/>
      <c r="D533" s="62"/>
    </row>
    <row r="534" ht="15.75" customHeight="1">
      <c r="A534" s="60"/>
      <c r="B534" s="61"/>
      <c r="C534" s="62"/>
      <c r="D534" s="62"/>
    </row>
    <row r="535" ht="15.75" customHeight="1">
      <c r="A535" s="60"/>
      <c r="B535" s="61"/>
      <c r="C535" s="62"/>
      <c r="D535" s="62"/>
    </row>
    <row r="536" ht="15.75" customHeight="1">
      <c r="A536" s="60"/>
      <c r="B536" s="61"/>
      <c r="C536" s="62"/>
      <c r="D536" s="62"/>
    </row>
    <row r="537" ht="15.75" customHeight="1">
      <c r="A537" s="60"/>
      <c r="B537" s="61"/>
      <c r="C537" s="62"/>
      <c r="D537" s="62"/>
    </row>
    <row r="538" ht="15.75" customHeight="1">
      <c r="A538" s="60"/>
      <c r="B538" s="61"/>
      <c r="C538" s="62"/>
      <c r="D538" s="62"/>
    </row>
    <row r="539" ht="15.75" customHeight="1">
      <c r="A539" s="60"/>
      <c r="B539" s="61"/>
      <c r="C539" s="62"/>
      <c r="D539" s="62"/>
    </row>
    <row r="540" ht="15.75" customHeight="1">
      <c r="A540" s="60"/>
      <c r="B540" s="61"/>
      <c r="C540" s="62"/>
      <c r="D540" s="62"/>
    </row>
    <row r="541" ht="15.75" customHeight="1">
      <c r="A541" s="60"/>
      <c r="B541" s="61"/>
      <c r="C541" s="62"/>
      <c r="D541" s="62"/>
    </row>
    <row r="542" ht="15.75" customHeight="1">
      <c r="A542" s="60"/>
      <c r="B542" s="61"/>
      <c r="C542" s="62"/>
      <c r="D542" s="62"/>
    </row>
    <row r="543" ht="15.75" customHeight="1">
      <c r="A543" s="60"/>
      <c r="B543" s="61"/>
      <c r="C543" s="62"/>
      <c r="D543" s="62"/>
    </row>
    <row r="544" ht="15.75" customHeight="1">
      <c r="A544" s="60"/>
      <c r="B544" s="61"/>
      <c r="C544" s="62"/>
      <c r="D544" s="62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5.75"/>
    <col customWidth="1" min="4" max="4" width="25.38"/>
    <col customWidth="1" min="5" max="6" width="12.63"/>
  </cols>
  <sheetData>
    <row r="1" ht="45.0" customHeight="1">
      <c r="A1" s="63" t="s">
        <v>0</v>
      </c>
      <c r="B1" s="64" t="s">
        <v>1</v>
      </c>
      <c r="C1" s="65" t="s">
        <v>365</v>
      </c>
      <c r="D1" s="65" t="s">
        <v>366</v>
      </c>
    </row>
    <row r="2" ht="15.75" customHeight="1">
      <c r="A2" s="66">
        <v>10101.0</v>
      </c>
      <c r="B2" s="67" t="s">
        <v>17</v>
      </c>
      <c r="C2" s="68">
        <v>404.0</v>
      </c>
      <c r="D2" s="68">
        <v>148.0</v>
      </c>
    </row>
    <row r="3" ht="15.75" customHeight="1">
      <c r="A3" s="69">
        <v>10102.0</v>
      </c>
      <c r="B3" s="70" t="s">
        <v>19</v>
      </c>
      <c r="C3" s="71">
        <v>10.0</v>
      </c>
      <c r="D3" s="71">
        <v>1.0</v>
      </c>
    </row>
    <row r="4" ht="15.75" customHeight="1">
      <c r="A4" s="69">
        <v>10103.0</v>
      </c>
      <c r="B4" s="70" t="s">
        <v>21</v>
      </c>
      <c r="C4" s="71">
        <v>113.0</v>
      </c>
      <c r="D4" s="71">
        <v>40.0</v>
      </c>
    </row>
    <row r="5" ht="15.75" customHeight="1">
      <c r="A5" s="69">
        <v>10201.0</v>
      </c>
      <c r="B5" s="70" t="s">
        <v>23</v>
      </c>
      <c r="C5" s="71">
        <v>79.0</v>
      </c>
      <c r="D5" s="71">
        <v>29.0</v>
      </c>
    </row>
    <row r="6" ht="15.75" customHeight="1">
      <c r="A6" s="69">
        <v>10202.0</v>
      </c>
      <c r="B6" s="70" t="s">
        <v>25</v>
      </c>
      <c r="C6" s="71">
        <v>44.0</v>
      </c>
      <c r="D6" s="71">
        <v>18.0</v>
      </c>
    </row>
    <row r="7" ht="15.75" customHeight="1">
      <c r="A7" s="69">
        <v>10301.0</v>
      </c>
      <c r="B7" s="70" t="s">
        <v>27</v>
      </c>
      <c r="C7" s="71">
        <v>36.0</v>
      </c>
      <c r="D7" s="71">
        <v>14.0</v>
      </c>
    </row>
    <row r="8" ht="15.75" customHeight="1">
      <c r="A8" s="69">
        <v>10302.0</v>
      </c>
      <c r="B8" s="70" t="s">
        <v>29</v>
      </c>
      <c r="C8" s="71">
        <v>103.0</v>
      </c>
      <c r="D8" s="71">
        <v>47.0</v>
      </c>
    </row>
    <row r="9" ht="15.75" customHeight="1">
      <c r="A9" s="69">
        <v>10303.0</v>
      </c>
      <c r="B9" s="70" t="s">
        <v>31</v>
      </c>
      <c r="C9" s="71">
        <v>37.0</v>
      </c>
      <c r="D9" s="71">
        <v>5.0</v>
      </c>
    </row>
    <row r="10" ht="15.75" customHeight="1">
      <c r="A10" s="69">
        <v>10304.0</v>
      </c>
      <c r="B10" s="70" t="s">
        <v>33</v>
      </c>
      <c r="C10" s="71">
        <v>27.0</v>
      </c>
      <c r="D10" s="71">
        <v>15.0</v>
      </c>
    </row>
    <row r="11" ht="15.75" customHeight="1">
      <c r="A11" s="69">
        <v>10401.0</v>
      </c>
      <c r="B11" s="70" t="s">
        <v>35</v>
      </c>
      <c r="C11" s="71">
        <v>10.0</v>
      </c>
      <c r="D11" s="71">
        <v>3.0</v>
      </c>
    </row>
    <row r="12" ht="15.75" customHeight="1">
      <c r="A12" s="69">
        <v>10402.0</v>
      </c>
      <c r="B12" s="70" t="s">
        <v>37</v>
      </c>
      <c r="C12" s="71">
        <v>12.0</v>
      </c>
      <c r="D12" s="71">
        <v>4.0</v>
      </c>
    </row>
    <row r="13" ht="15.75" customHeight="1">
      <c r="A13" s="69">
        <v>10403.0</v>
      </c>
      <c r="B13" s="70" t="s">
        <v>39</v>
      </c>
      <c r="C13" s="71">
        <v>29.0</v>
      </c>
      <c r="D13" s="71">
        <v>10.0</v>
      </c>
    </row>
    <row r="14" ht="15.75" customHeight="1">
      <c r="A14" s="69">
        <v>10404.0</v>
      </c>
      <c r="B14" s="70" t="s">
        <v>40</v>
      </c>
      <c r="C14" s="71">
        <v>8.0</v>
      </c>
      <c r="D14" s="71">
        <v>2.0</v>
      </c>
    </row>
    <row r="15" ht="15.75" customHeight="1">
      <c r="A15" s="69">
        <v>10405.0</v>
      </c>
      <c r="B15" s="70" t="s">
        <v>41</v>
      </c>
      <c r="C15" s="71">
        <v>7.0</v>
      </c>
      <c r="D15" s="71">
        <v>1.0</v>
      </c>
    </row>
    <row r="16" ht="15.75" customHeight="1">
      <c r="A16" s="69">
        <v>10501.0</v>
      </c>
      <c r="B16" s="70" t="s">
        <v>42</v>
      </c>
      <c r="C16" s="71">
        <v>35.0</v>
      </c>
      <c r="D16" s="71">
        <v>9.0</v>
      </c>
    </row>
    <row r="17" ht="15.75" customHeight="1">
      <c r="A17" s="69">
        <v>10502.0</v>
      </c>
      <c r="B17" s="70" t="s">
        <v>43</v>
      </c>
      <c r="C17" s="71">
        <v>25.0</v>
      </c>
      <c r="D17" s="71">
        <v>2.0</v>
      </c>
    </row>
    <row r="18" ht="15.75" customHeight="1">
      <c r="A18" s="69">
        <v>10601.0</v>
      </c>
      <c r="B18" s="70" t="s">
        <v>44</v>
      </c>
      <c r="C18" s="71">
        <v>75.0</v>
      </c>
      <c r="D18" s="71">
        <v>30.0</v>
      </c>
    </row>
    <row r="19" ht="15.75" customHeight="1">
      <c r="A19" s="69">
        <v>10602.0</v>
      </c>
      <c r="B19" s="70" t="s">
        <v>45</v>
      </c>
      <c r="C19" s="71">
        <v>17.0</v>
      </c>
      <c r="D19" s="71">
        <v>7.0</v>
      </c>
    </row>
    <row r="20" ht="15.75" customHeight="1">
      <c r="A20" s="69">
        <v>10701.0</v>
      </c>
      <c r="B20" s="70" t="s">
        <v>46</v>
      </c>
      <c r="C20" s="71">
        <v>48.0</v>
      </c>
      <c r="D20" s="71">
        <v>10.0</v>
      </c>
    </row>
    <row r="21" ht="15.75" customHeight="1">
      <c r="A21" s="69">
        <v>10702.0</v>
      </c>
      <c r="B21" s="70" t="s">
        <v>47</v>
      </c>
      <c r="C21" s="71">
        <v>194.0</v>
      </c>
      <c r="D21" s="71">
        <v>66.0</v>
      </c>
    </row>
    <row r="22" ht="15.75" customHeight="1">
      <c r="A22" s="69">
        <v>10703.0</v>
      </c>
      <c r="B22" s="70" t="s">
        <v>48</v>
      </c>
      <c r="C22" s="71">
        <v>119.0</v>
      </c>
      <c r="D22" s="71">
        <v>65.0</v>
      </c>
    </row>
    <row r="23" ht="15.75" customHeight="1">
      <c r="A23" s="69">
        <v>10704.0</v>
      </c>
      <c r="B23" s="70" t="s">
        <v>49</v>
      </c>
      <c r="C23" s="71">
        <v>117.0</v>
      </c>
      <c r="D23" s="71">
        <v>37.0</v>
      </c>
    </row>
    <row r="24" ht="15.75" customHeight="1">
      <c r="A24" s="69">
        <v>10801.0</v>
      </c>
      <c r="B24" s="70" t="s">
        <v>50</v>
      </c>
      <c r="C24" s="71">
        <v>25.0</v>
      </c>
      <c r="D24" s="71">
        <v>3.0</v>
      </c>
    </row>
    <row r="25" ht="15.75" customHeight="1">
      <c r="A25" s="69">
        <v>10901.0</v>
      </c>
      <c r="B25" s="70" t="s">
        <v>51</v>
      </c>
      <c r="C25" s="71">
        <v>9.0</v>
      </c>
      <c r="D25" s="71">
        <v>4.0</v>
      </c>
    </row>
    <row r="26" ht="15.75" customHeight="1">
      <c r="A26" s="69">
        <v>10902.0</v>
      </c>
      <c r="B26" s="70" t="s">
        <v>52</v>
      </c>
      <c r="C26" s="71">
        <v>90.0</v>
      </c>
      <c r="D26" s="71">
        <v>38.0</v>
      </c>
    </row>
    <row r="27" ht="15.75" customHeight="1">
      <c r="A27" s="69">
        <v>10903.0</v>
      </c>
      <c r="B27" s="70" t="s">
        <v>53</v>
      </c>
      <c r="C27" s="71">
        <v>8.0</v>
      </c>
      <c r="D27" s="71">
        <v>5.0</v>
      </c>
    </row>
    <row r="28" ht="15.75" customHeight="1">
      <c r="A28" s="69">
        <v>11001.0</v>
      </c>
      <c r="B28" s="70" t="s">
        <v>54</v>
      </c>
      <c r="C28" s="71">
        <v>21.0</v>
      </c>
      <c r="D28" s="71">
        <v>14.0</v>
      </c>
    </row>
    <row r="29" ht="15.75" customHeight="1">
      <c r="A29" s="69">
        <v>11002.0</v>
      </c>
      <c r="B29" s="70" t="s">
        <v>55</v>
      </c>
      <c r="C29" s="71">
        <v>4.0</v>
      </c>
      <c r="D29" s="71">
        <v>3.0</v>
      </c>
    </row>
    <row r="30" ht="15.75" customHeight="1">
      <c r="A30" s="69">
        <v>11003.0</v>
      </c>
      <c r="B30" s="70" t="s">
        <v>56</v>
      </c>
      <c r="C30" s="71">
        <v>17.0</v>
      </c>
      <c r="D30" s="71">
        <v>6.0</v>
      </c>
    </row>
    <row r="31" ht="15.75" customHeight="1">
      <c r="A31" s="69">
        <v>20101.0</v>
      </c>
      <c r="B31" s="70" t="s">
        <v>57</v>
      </c>
      <c r="C31" s="71">
        <v>862.0</v>
      </c>
      <c r="D31" s="71">
        <v>187.0</v>
      </c>
    </row>
    <row r="32" ht="15.75" customHeight="1">
      <c r="A32" s="69">
        <v>20102.0</v>
      </c>
      <c r="B32" s="70" t="s">
        <v>58</v>
      </c>
      <c r="C32" s="71">
        <v>224.0</v>
      </c>
      <c r="D32" s="71">
        <v>107.0</v>
      </c>
    </row>
    <row r="33" ht="15.75" customHeight="1">
      <c r="A33" s="69">
        <v>20103.0</v>
      </c>
      <c r="B33" s="70" t="s">
        <v>59</v>
      </c>
      <c r="C33" s="71">
        <v>106.0</v>
      </c>
      <c r="D33" s="71">
        <v>42.0</v>
      </c>
    </row>
    <row r="34" ht="15.75" customHeight="1">
      <c r="A34" s="69">
        <v>20104.0</v>
      </c>
      <c r="B34" s="70" t="s">
        <v>60</v>
      </c>
      <c r="C34" s="71">
        <v>127.0</v>
      </c>
      <c r="D34" s="71">
        <v>67.0</v>
      </c>
    </row>
    <row r="35" ht="15.75" customHeight="1">
      <c r="A35" s="69">
        <v>20105.0</v>
      </c>
      <c r="B35" s="70" t="s">
        <v>61</v>
      </c>
      <c r="C35" s="71">
        <v>3539.0</v>
      </c>
      <c r="D35" s="71">
        <v>1132.0</v>
      </c>
    </row>
    <row r="36" ht="15.75" customHeight="1">
      <c r="A36" s="69">
        <v>20201.0</v>
      </c>
      <c r="B36" s="70" t="s">
        <v>62</v>
      </c>
      <c r="C36" s="71">
        <v>396.0</v>
      </c>
      <c r="D36" s="71">
        <v>126.0</v>
      </c>
    </row>
    <row r="37" ht="15.75" customHeight="1">
      <c r="A37" s="69">
        <v>20202.0</v>
      </c>
      <c r="B37" s="70" t="s">
        <v>63</v>
      </c>
      <c r="C37" s="71">
        <v>131.0</v>
      </c>
      <c r="D37" s="71">
        <v>64.0</v>
      </c>
    </row>
    <row r="38" ht="15.75" customHeight="1">
      <c r="A38" s="69">
        <v>20203.0</v>
      </c>
      <c r="B38" s="70" t="s">
        <v>64</v>
      </c>
      <c r="C38" s="71">
        <v>58.0</v>
      </c>
      <c r="D38" s="71">
        <v>12.0</v>
      </c>
    </row>
    <row r="39" ht="15.75" customHeight="1">
      <c r="A39" s="69">
        <v>20204.0</v>
      </c>
      <c r="B39" s="70" t="s">
        <v>65</v>
      </c>
      <c r="C39" s="71">
        <v>66.0</v>
      </c>
      <c r="D39" s="71">
        <v>14.0</v>
      </c>
    </row>
    <row r="40" ht="15.75" customHeight="1">
      <c r="A40" s="69">
        <v>20205.0</v>
      </c>
      <c r="B40" s="70" t="s">
        <v>66</v>
      </c>
      <c r="C40" s="71">
        <v>13.0</v>
      </c>
      <c r="D40" s="71">
        <v>16.0</v>
      </c>
    </row>
    <row r="41" ht="15.75" customHeight="1">
      <c r="A41" s="69">
        <v>20206.0</v>
      </c>
      <c r="B41" s="70" t="s">
        <v>67</v>
      </c>
      <c r="C41" s="71">
        <v>28.0</v>
      </c>
      <c r="D41" s="71">
        <v>4.0</v>
      </c>
    </row>
    <row r="42" ht="15.75" customHeight="1">
      <c r="A42" s="69">
        <v>20301.0</v>
      </c>
      <c r="B42" s="70" t="s">
        <v>68</v>
      </c>
      <c r="C42" s="71">
        <v>96.0</v>
      </c>
      <c r="D42" s="71">
        <v>30.0</v>
      </c>
    </row>
    <row r="43" ht="15.75" customHeight="1">
      <c r="A43" s="69">
        <v>20302.0</v>
      </c>
      <c r="B43" s="70" t="s">
        <v>69</v>
      </c>
      <c r="C43" s="71">
        <v>125.0</v>
      </c>
      <c r="D43" s="71">
        <v>42.0</v>
      </c>
    </row>
    <row r="44" ht="15.75" customHeight="1">
      <c r="A44" s="69">
        <v>20303.0</v>
      </c>
      <c r="B44" s="70" t="s">
        <v>70</v>
      </c>
      <c r="C44" s="71">
        <v>115.0</v>
      </c>
      <c r="D44" s="71">
        <v>29.0</v>
      </c>
    </row>
    <row r="45" ht="15.75" customHeight="1">
      <c r="A45" s="69">
        <v>20304.0</v>
      </c>
      <c r="B45" s="70" t="s">
        <v>71</v>
      </c>
      <c r="C45" s="71">
        <v>35.0</v>
      </c>
      <c r="D45" s="71">
        <v>16.0</v>
      </c>
    </row>
    <row r="46" ht="15.75" customHeight="1">
      <c r="A46" s="69">
        <v>20305.0</v>
      </c>
      <c r="B46" s="70" t="s">
        <v>72</v>
      </c>
      <c r="C46" s="71">
        <v>23.0</v>
      </c>
      <c r="D46" s="71">
        <v>13.0</v>
      </c>
    </row>
    <row r="47" ht="15.75" customHeight="1">
      <c r="A47" s="69">
        <v>20306.0</v>
      </c>
      <c r="B47" s="70" t="s">
        <v>73</v>
      </c>
      <c r="C47" s="71">
        <v>74.0</v>
      </c>
      <c r="D47" s="71">
        <v>10.0</v>
      </c>
    </row>
    <row r="48" ht="15.75" customHeight="1">
      <c r="A48" s="69">
        <v>20307.0</v>
      </c>
      <c r="B48" s="70" t="s">
        <v>74</v>
      </c>
      <c r="C48" s="71">
        <v>13.0</v>
      </c>
      <c r="D48" s="71">
        <v>14.0</v>
      </c>
    </row>
    <row r="49" ht="15.75" customHeight="1">
      <c r="A49" s="69">
        <v>20308.0</v>
      </c>
      <c r="B49" s="70" t="s">
        <v>75</v>
      </c>
      <c r="C49" s="71">
        <v>53.0</v>
      </c>
      <c r="D49" s="71">
        <v>19.0</v>
      </c>
    </row>
    <row r="50" ht="15.75" customHeight="1">
      <c r="A50" s="69">
        <v>20401.0</v>
      </c>
      <c r="B50" s="70" t="s">
        <v>76</v>
      </c>
      <c r="C50" s="71">
        <v>101.0</v>
      </c>
      <c r="D50" s="71">
        <v>49.0</v>
      </c>
    </row>
    <row r="51" ht="15.75" customHeight="1">
      <c r="A51" s="69">
        <v>20402.0</v>
      </c>
      <c r="B51" s="70" t="s">
        <v>77</v>
      </c>
      <c r="C51" s="71">
        <v>147.0</v>
      </c>
      <c r="D51" s="71">
        <v>80.0</v>
      </c>
    </row>
    <row r="52" ht="15.75" customHeight="1">
      <c r="A52" s="69">
        <v>20403.0</v>
      </c>
      <c r="B52" s="70" t="s">
        <v>78</v>
      </c>
      <c r="C52" s="71">
        <v>186.0</v>
      </c>
      <c r="D52" s="71">
        <v>66.0</v>
      </c>
    </row>
    <row r="53" ht="15.75" customHeight="1">
      <c r="A53" s="69">
        <v>20404.0</v>
      </c>
      <c r="B53" s="70" t="s">
        <v>79</v>
      </c>
      <c r="C53" s="71">
        <v>60.0</v>
      </c>
      <c r="D53" s="71">
        <v>20.0</v>
      </c>
    </row>
    <row r="54" ht="15.75" customHeight="1">
      <c r="A54" s="69">
        <v>20405.0</v>
      </c>
      <c r="B54" s="70" t="s">
        <v>80</v>
      </c>
      <c r="C54" s="71">
        <v>56.0</v>
      </c>
      <c r="D54" s="71">
        <v>26.0</v>
      </c>
    </row>
    <row r="55" ht="15.75" customHeight="1">
      <c r="A55" s="69">
        <v>20501.0</v>
      </c>
      <c r="B55" s="70" t="s">
        <v>81</v>
      </c>
      <c r="C55" s="71">
        <v>121.0</v>
      </c>
      <c r="D55" s="71">
        <v>102.0</v>
      </c>
    </row>
    <row r="56" ht="15.75" customHeight="1">
      <c r="A56" s="69">
        <v>20502.0</v>
      </c>
      <c r="B56" s="70" t="s">
        <v>82</v>
      </c>
      <c r="C56" s="71">
        <v>75.0</v>
      </c>
      <c r="D56" s="71">
        <v>61.0</v>
      </c>
    </row>
    <row r="57" ht="15.75" customHeight="1">
      <c r="A57" s="69">
        <v>20503.0</v>
      </c>
      <c r="B57" s="70" t="s">
        <v>83</v>
      </c>
      <c r="C57" s="71">
        <v>54.0</v>
      </c>
      <c r="D57" s="71">
        <v>42.0</v>
      </c>
    </row>
    <row r="58" ht="15.75" customHeight="1">
      <c r="A58" s="69">
        <v>20601.0</v>
      </c>
      <c r="B58" s="70" t="s">
        <v>84</v>
      </c>
      <c r="C58" s="71">
        <v>255.0</v>
      </c>
      <c r="D58" s="71">
        <v>100.0</v>
      </c>
    </row>
    <row r="59" ht="15.75" customHeight="1">
      <c r="A59" s="69">
        <v>20602.0</v>
      </c>
      <c r="B59" s="70" t="s">
        <v>85</v>
      </c>
      <c r="C59" s="71">
        <v>81.0</v>
      </c>
      <c r="D59" s="71">
        <v>27.0</v>
      </c>
    </row>
    <row r="60" ht="15.75" customHeight="1">
      <c r="A60" s="69">
        <v>20603.0</v>
      </c>
      <c r="B60" s="70" t="s">
        <v>86</v>
      </c>
      <c r="C60" s="71">
        <v>82.0</v>
      </c>
      <c r="D60" s="71">
        <v>36.0</v>
      </c>
    </row>
    <row r="61" ht="15.75" customHeight="1">
      <c r="A61" s="69">
        <v>20604.0</v>
      </c>
      <c r="B61" s="70" t="s">
        <v>87</v>
      </c>
      <c r="C61" s="71">
        <v>40.0</v>
      </c>
      <c r="D61" s="71">
        <v>21.0</v>
      </c>
    </row>
    <row r="62" ht="15.75" customHeight="1">
      <c r="A62" s="69">
        <v>20605.0</v>
      </c>
      <c r="B62" s="70" t="s">
        <v>88</v>
      </c>
      <c r="C62" s="71">
        <v>29.0</v>
      </c>
      <c r="D62" s="71">
        <v>9.0</v>
      </c>
    </row>
    <row r="63" ht="15.75" customHeight="1">
      <c r="A63" s="69">
        <v>20606.0</v>
      </c>
      <c r="B63" s="70" t="s">
        <v>89</v>
      </c>
      <c r="C63" s="71">
        <v>21.0</v>
      </c>
      <c r="D63" s="71">
        <v>3.0</v>
      </c>
    </row>
    <row r="64" ht="15.75" customHeight="1">
      <c r="A64" s="69">
        <v>20607.0</v>
      </c>
      <c r="B64" s="70" t="s">
        <v>90</v>
      </c>
      <c r="C64" s="71">
        <v>48.0</v>
      </c>
      <c r="D64" s="71">
        <v>37.0</v>
      </c>
    </row>
    <row r="65" ht="15.75" customHeight="1">
      <c r="A65" s="69">
        <v>20608.0</v>
      </c>
      <c r="B65" s="70" t="s">
        <v>91</v>
      </c>
      <c r="C65" s="71">
        <v>56.0</v>
      </c>
      <c r="D65" s="71">
        <v>22.0</v>
      </c>
    </row>
    <row r="66" ht="15.75" customHeight="1">
      <c r="A66" s="69">
        <v>20701.0</v>
      </c>
      <c r="B66" s="70" t="s">
        <v>92</v>
      </c>
      <c r="C66" s="71">
        <v>133.0</v>
      </c>
      <c r="D66" s="71">
        <v>76.0</v>
      </c>
    </row>
    <row r="67" ht="15.75" customHeight="1">
      <c r="A67" s="69">
        <v>20702.0</v>
      </c>
      <c r="B67" s="70" t="s">
        <v>93</v>
      </c>
      <c r="C67" s="71">
        <v>91.0</v>
      </c>
      <c r="D67" s="71">
        <v>62.0</v>
      </c>
    </row>
    <row r="68" ht="15.75" customHeight="1">
      <c r="A68" s="69">
        <v>20801.0</v>
      </c>
      <c r="B68" s="70" t="s">
        <v>94</v>
      </c>
      <c r="C68" s="71">
        <v>342.0</v>
      </c>
      <c r="D68" s="71">
        <v>132.0</v>
      </c>
    </row>
    <row r="69" ht="15.75" customHeight="1">
      <c r="A69" s="69">
        <v>20802.0</v>
      </c>
      <c r="B69" s="70" t="s">
        <v>95</v>
      </c>
      <c r="C69" s="71">
        <v>29.0</v>
      </c>
      <c r="D69" s="71">
        <v>13.0</v>
      </c>
    </row>
    <row r="70" ht="15.75" customHeight="1">
      <c r="A70" s="69">
        <v>20803.0</v>
      </c>
      <c r="B70" s="70" t="s">
        <v>96</v>
      </c>
      <c r="C70" s="71">
        <v>126.0</v>
      </c>
      <c r="D70" s="71">
        <v>39.0</v>
      </c>
    </row>
    <row r="71" ht="15.75" customHeight="1">
      <c r="A71" s="69">
        <v>20804.0</v>
      </c>
      <c r="B71" s="70" t="s">
        <v>97</v>
      </c>
      <c r="C71" s="71">
        <v>44.0</v>
      </c>
      <c r="D71" s="71">
        <v>17.0</v>
      </c>
    </row>
    <row r="72" ht="15.75" customHeight="1">
      <c r="A72" s="69">
        <v>20805.0</v>
      </c>
      <c r="B72" s="70" t="s">
        <v>98</v>
      </c>
      <c r="C72" s="71">
        <v>65.0</v>
      </c>
      <c r="D72" s="71">
        <v>21.0</v>
      </c>
    </row>
    <row r="73" ht="15.75" customHeight="1">
      <c r="A73" s="69">
        <v>20806.0</v>
      </c>
      <c r="B73" s="70" t="s">
        <v>99</v>
      </c>
      <c r="C73" s="71">
        <v>130.0</v>
      </c>
      <c r="D73" s="71">
        <v>49.0</v>
      </c>
    </row>
    <row r="74" ht="15.75" customHeight="1">
      <c r="A74" s="69">
        <v>20807.0</v>
      </c>
      <c r="B74" s="70" t="s">
        <v>100</v>
      </c>
      <c r="C74" s="71">
        <v>38.0</v>
      </c>
      <c r="D74" s="71">
        <v>21.0</v>
      </c>
    </row>
    <row r="75" ht="15.75" customHeight="1">
      <c r="A75" s="69">
        <v>20901.0</v>
      </c>
      <c r="B75" s="70" t="s">
        <v>101</v>
      </c>
      <c r="C75" s="71">
        <v>94.0</v>
      </c>
      <c r="D75" s="71">
        <v>16.0</v>
      </c>
    </row>
    <row r="76" ht="15.75" customHeight="1">
      <c r="A76" s="69">
        <v>20902.0</v>
      </c>
      <c r="B76" s="70" t="s">
        <v>102</v>
      </c>
      <c r="C76" s="71">
        <v>131.0</v>
      </c>
      <c r="D76" s="71">
        <v>50.0</v>
      </c>
    </row>
    <row r="77" ht="15.75" customHeight="1">
      <c r="A77" s="69">
        <v>20903.0</v>
      </c>
      <c r="B77" s="70" t="s">
        <v>103</v>
      </c>
      <c r="C77" s="71">
        <v>76.0</v>
      </c>
      <c r="D77" s="71">
        <v>61.0</v>
      </c>
    </row>
    <row r="78" ht="15.75" customHeight="1">
      <c r="A78" s="69">
        <v>20904.0</v>
      </c>
      <c r="B78" s="70" t="s">
        <v>104</v>
      </c>
      <c r="C78" s="71">
        <v>48.0</v>
      </c>
      <c r="D78" s="71">
        <v>37.0</v>
      </c>
    </row>
    <row r="79" ht="15.75" customHeight="1">
      <c r="A79" s="69">
        <v>20905.0</v>
      </c>
      <c r="B79" s="70" t="s">
        <v>105</v>
      </c>
      <c r="C79" s="71">
        <v>94.0</v>
      </c>
      <c r="D79" s="71">
        <v>58.0</v>
      </c>
    </row>
    <row r="80" ht="15.75" customHeight="1">
      <c r="A80" s="69">
        <v>21001.0</v>
      </c>
      <c r="B80" s="70" t="s">
        <v>106</v>
      </c>
      <c r="C80" s="71">
        <v>144.0</v>
      </c>
      <c r="D80" s="71">
        <v>93.0</v>
      </c>
    </row>
    <row r="81" ht="15.75" customHeight="1">
      <c r="A81" s="69">
        <v>21002.0</v>
      </c>
      <c r="B81" s="70" t="s">
        <v>107</v>
      </c>
      <c r="C81" s="71">
        <v>62.0</v>
      </c>
      <c r="D81" s="71">
        <v>19.0</v>
      </c>
    </row>
    <row r="82" ht="15.75" customHeight="1">
      <c r="A82" s="69">
        <v>21003.0</v>
      </c>
      <c r="B82" s="70" t="s">
        <v>108</v>
      </c>
      <c r="C82" s="71">
        <v>69.0</v>
      </c>
      <c r="D82" s="71">
        <v>38.0</v>
      </c>
    </row>
    <row r="83" ht="15.75" customHeight="1">
      <c r="A83" s="69">
        <v>21004.0</v>
      </c>
      <c r="B83" s="70" t="s">
        <v>109</v>
      </c>
      <c r="C83" s="71">
        <v>148.0</v>
      </c>
      <c r="D83" s="71">
        <v>73.0</v>
      </c>
    </row>
    <row r="84" ht="15.75" customHeight="1">
      <c r="A84" s="69">
        <v>21005.0</v>
      </c>
      <c r="B84" s="70" t="s">
        <v>110</v>
      </c>
      <c r="C84" s="71">
        <v>66.0</v>
      </c>
      <c r="D84" s="71">
        <v>56.0</v>
      </c>
    </row>
    <row r="85" ht="15.75" customHeight="1">
      <c r="A85" s="69">
        <v>21006.0</v>
      </c>
      <c r="B85" s="70" t="s">
        <v>111</v>
      </c>
      <c r="C85" s="71">
        <v>31.0</v>
      </c>
      <c r="D85" s="71">
        <v>11.0</v>
      </c>
    </row>
    <row r="86" ht="15.75" customHeight="1">
      <c r="A86" s="69">
        <v>21101.0</v>
      </c>
      <c r="B86" s="70" t="s">
        <v>112</v>
      </c>
      <c r="C86" s="71">
        <v>102.0</v>
      </c>
      <c r="D86" s="71">
        <v>17.0</v>
      </c>
    </row>
    <row r="87" ht="15.75" customHeight="1">
      <c r="A87" s="69">
        <v>21102.0</v>
      </c>
      <c r="B87" s="70" t="s">
        <v>113</v>
      </c>
      <c r="C87" s="71">
        <v>112.0</v>
      </c>
      <c r="D87" s="71">
        <v>53.0</v>
      </c>
    </row>
    <row r="88" ht="15.75" customHeight="1">
      <c r="A88" s="69">
        <v>21103.0</v>
      </c>
      <c r="B88" s="70" t="s">
        <v>114</v>
      </c>
      <c r="C88" s="71">
        <v>15.0</v>
      </c>
      <c r="D88" s="71">
        <v>5.0</v>
      </c>
    </row>
    <row r="89" ht="15.75" customHeight="1">
      <c r="A89" s="69">
        <v>21104.0</v>
      </c>
      <c r="B89" s="70" t="s">
        <v>115</v>
      </c>
      <c r="C89" s="71">
        <v>144.0</v>
      </c>
      <c r="D89" s="71">
        <v>60.0</v>
      </c>
    </row>
    <row r="90" ht="15.75" customHeight="1">
      <c r="A90" s="69">
        <v>21105.0</v>
      </c>
      <c r="B90" s="70" t="s">
        <v>116</v>
      </c>
      <c r="C90" s="71">
        <v>586.0</v>
      </c>
      <c r="D90" s="71">
        <v>168.0</v>
      </c>
    </row>
    <row r="91" ht="15.75" customHeight="1">
      <c r="A91" s="69">
        <v>21201.0</v>
      </c>
      <c r="B91" s="70" t="s">
        <v>117</v>
      </c>
      <c r="C91" s="71">
        <v>362.0</v>
      </c>
      <c r="D91" s="71">
        <v>189.0</v>
      </c>
    </row>
    <row r="92" ht="15.75" customHeight="1">
      <c r="A92" s="69">
        <v>21202.0</v>
      </c>
      <c r="B92" s="70" t="s">
        <v>118</v>
      </c>
      <c r="C92" s="71">
        <v>218.0</v>
      </c>
      <c r="D92" s="71">
        <v>113.0</v>
      </c>
    </row>
    <row r="93" ht="15.75" customHeight="1">
      <c r="A93" s="69">
        <v>21203.0</v>
      </c>
      <c r="B93" s="70" t="s">
        <v>119</v>
      </c>
      <c r="C93" s="71">
        <v>136.0</v>
      </c>
      <c r="D93" s="71">
        <v>87.0</v>
      </c>
    </row>
    <row r="94" ht="15.75" customHeight="1">
      <c r="A94" s="69">
        <v>21204.0</v>
      </c>
      <c r="B94" s="70" t="s">
        <v>120</v>
      </c>
      <c r="C94" s="71">
        <v>74.0</v>
      </c>
      <c r="D94" s="71">
        <v>29.0</v>
      </c>
    </row>
    <row r="95" ht="15.75" customHeight="1">
      <c r="A95" s="69">
        <v>21301.0</v>
      </c>
      <c r="B95" s="70" t="s">
        <v>121</v>
      </c>
      <c r="C95" s="71">
        <v>233.0</v>
      </c>
      <c r="D95" s="71">
        <v>121.0</v>
      </c>
    </row>
    <row r="96" ht="15.75" customHeight="1">
      <c r="A96" s="69">
        <v>21302.0</v>
      </c>
      <c r="B96" s="70" t="s">
        <v>122</v>
      </c>
      <c r="C96" s="71">
        <v>53.0</v>
      </c>
      <c r="D96" s="71">
        <v>25.0</v>
      </c>
    </row>
    <row r="97" ht="15.75" customHeight="1">
      <c r="A97" s="69">
        <v>21303.0</v>
      </c>
      <c r="B97" s="70" t="s">
        <v>123</v>
      </c>
      <c r="C97" s="71">
        <v>78.0</v>
      </c>
      <c r="D97" s="71">
        <v>55.0</v>
      </c>
    </row>
    <row r="98" ht="15.75" customHeight="1">
      <c r="A98" s="69">
        <v>21304.0</v>
      </c>
      <c r="B98" s="70" t="s">
        <v>124</v>
      </c>
      <c r="C98" s="71">
        <v>105.0</v>
      </c>
      <c r="D98" s="71">
        <v>39.0</v>
      </c>
    </row>
    <row r="99" ht="15.75" customHeight="1">
      <c r="A99" s="69">
        <v>21305.0</v>
      </c>
      <c r="B99" s="70" t="s">
        <v>125</v>
      </c>
      <c r="C99" s="71">
        <v>132.0</v>
      </c>
      <c r="D99" s="71">
        <v>69.0</v>
      </c>
    </row>
    <row r="100" ht="15.75" customHeight="1">
      <c r="A100" s="69">
        <v>21306.0</v>
      </c>
      <c r="B100" s="70" t="s">
        <v>126</v>
      </c>
      <c r="C100" s="71">
        <v>115.0</v>
      </c>
      <c r="D100" s="71">
        <v>38.0</v>
      </c>
    </row>
    <row r="101" ht="15.75" customHeight="1">
      <c r="A101" s="69">
        <v>21307.0</v>
      </c>
      <c r="B101" s="70" t="s">
        <v>127</v>
      </c>
      <c r="C101" s="71">
        <v>43.0</v>
      </c>
      <c r="D101" s="71">
        <v>8.0</v>
      </c>
    </row>
    <row r="102" ht="15.75" customHeight="1">
      <c r="A102" s="69">
        <v>21401.0</v>
      </c>
      <c r="B102" s="70" t="s">
        <v>128</v>
      </c>
      <c r="C102" s="71">
        <v>101.0</v>
      </c>
      <c r="D102" s="71">
        <v>48.0</v>
      </c>
    </row>
    <row r="103" ht="15.75" customHeight="1">
      <c r="A103" s="69">
        <v>21402.0</v>
      </c>
      <c r="B103" s="70" t="s">
        <v>129</v>
      </c>
      <c r="C103" s="71">
        <v>83.0</v>
      </c>
      <c r="D103" s="71">
        <v>53.0</v>
      </c>
    </row>
    <row r="104" ht="15.75" customHeight="1">
      <c r="A104" s="69">
        <v>21501.0</v>
      </c>
      <c r="B104" s="70" t="s">
        <v>130</v>
      </c>
      <c r="C104" s="71">
        <v>47.0</v>
      </c>
      <c r="D104" s="71">
        <v>28.0</v>
      </c>
    </row>
    <row r="105" ht="15.75" customHeight="1">
      <c r="A105" s="69">
        <v>21502.0</v>
      </c>
      <c r="B105" s="70" t="s">
        <v>131</v>
      </c>
      <c r="C105" s="71">
        <v>33.0</v>
      </c>
      <c r="D105" s="71">
        <v>10.0</v>
      </c>
    </row>
    <row r="106" ht="15.75" customHeight="1">
      <c r="A106" s="69">
        <v>21601.0</v>
      </c>
      <c r="B106" s="70" t="s">
        <v>132</v>
      </c>
      <c r="C106" s="71">
        <v>158.0</v>
      </c>
      <c r="D106" s="71">
        <v>132.0</v>
      </c>
    </row>
    <row r="107" ht="15.75" customHeight="1">
      <c r="A107" s="69">
        <v>21602.0</v>
      </c>
      <c r="B107" s="70" t="s">
        <v>133</v>
      </c>
      <c r="C107" s="71">
        <v>65.0</v>
      </c>
      <c r="D107" s="71">
        <v>62.0</v>
      </c>
    </row>
    <row r="108" ht="15.75" customHeight="1">
      <c r="A108" s="69">
        <v>21701.0</v>
      </c>
      <c r="B108" s="70" t="s">
        <v>134</v>
      </c>
      <c r="C108" s="71">
        <v>71.0</v>
      </c>
      <c r="D108" s="71">
        <v>25.0</v>
      </c>
    </row>
    <row r="109" ht="15.75" customHeight="1">
      <c r="A109" s="69">
        <v>21702.0</v>
      </c>
      <c r="B109" s="70" t="s">
        <v>135</v>
      </c>
      <c r="C109" s="71">
        <v>29.0</v>
      </c>
      <c r="D109" s="71">
        <v>12.0</v>
      </c>
    </row>
    <row r="110" ht="15.75" customHeight="1">
      <c r="A110" s="69">
        <v>21703.0</v>
      </c>
      <c r="B110" s="70" t="s">
        <v>136</v>
      </c>
      <c r="C110" s="71">
        <v>54.0</v>
      </c>
      <c r="D110" s="71">
        <v>16.0</v>
      </c>
    </row>
    <row r="111" ht="15.75" customHeight="1">
      <c r="A111" s="69">
        <v>21801.0</v>
      </c>
      <c r="B111" s="70" t="s">
        <v>137</v>
      </c>
      <c r="C111" s="71">
        <v>81.0</v>
      </c>
      <c r="D111" s="71">
        <v>22.0</v>
      </c>
    </row>
    <row r="112" ht="15.75" customHeight="1">
      <c r="A112" s="69">
        <v>21802.0</v>
      </c>
      <c r="B112" s="70" t="s">
        <v>138</v>
      </c>
      <c r="C112" s="71">
        <v>61.0</v>
      </c>
      <c r="D112" s="71">
        <v>9.0</v>
      </c>
    </row>
    <row r="113" ht="15.75" customHeight="1">
      <c r="A113" s="69">
        <v>21803.0</v>
      </c>
      <c r="B113" s="70" t="s">
        <v>139</v>
      </c>
      <c r="C113" s="71">
        <v>13.0</v>
      </c>
      <c r="D113" s="71">
        <v>11.0</v>
      </c>
    </row>
    <row r="114" ht="15.75" customHeight="1">
      <c r="A114" s="69">
        <v>21901.0</v>
      </c>
      <c r="B114" s="70" t="s">
        <v>140</v>
      </c>
      <c r="C114" s="71">
        <v>34.0</v>
      </c>
      <c r="D114" s="71">
        <v>19.0</v>
      </c>
    </row>
    <row r="115" ht="15.75" customHeight="1">
      <c r="A115" s="69">
        <v>21902.0</v>
      </c>
      <c r="B115" s="70" t="s">
        <v>141</v>
      </c>
      <c r="C115" s="71">
        <v>29.0</v>
      </c>
      <c r="D115" s="71">
        <v>25.0</v>
      </c>
    </row>
    <row r="116" ht="15.75" customHeight="1">
      <c r="A116" s="69">
        <v>22001.0</v>
      </c>
      <c r="B116" s="70" t="s">
        <v>142</v>
      </c>
      <c r="C116" s="71">
        <v>334.0</v>
      </c>
      <c r="D116" s="71">
        <v>140.0</v>
      </c>
    </row>
    <row r="117" ht="15.75" customHeight="1">
      <c r="A117" s="69">
        <v>22002.0</v>
      </c>
      <c r="B117" s="70" t="s">
        <v>143</v>
      </c>
      <c r="C117" s="71">
        <v>67.0</v>
      </c>
      <c r="D117" s="71">
        <v>14.0</v>
      </c>
    </row>
    <row r="118" ht="15.75" customHeight="1">
      <c r="A118" s="69">
        <v>30101.0</v>
      </c>
      <c r="B118" s="70" t="s">
        <v>22</v>
      </c>
      <c r="C118" s="71">
        <v>1180.0</v>
      </c>
      <c r="D118" s="71">
        <v>329.0</v>
      </c>
    </row>
    <row r="119" ht="15.75" customHeight="1">
      <c r="A119" s="69">
        <v>30201.0</v>
      </c>
      <c r="B119" s="70" t="s">
        <v>144</v>
      </c>
      <c r="C119" s="71">
        <v>95.0</v>
      </c>
      <c r="D119" s="71">
        <v>26.0</v>
      </c>
    </row>
    <row r="120" ht="15.75" customHeight="1">
      <c r="A120" s="69">
        <v>30202.0</v>
      </c>
      <c r="B120" s="70" t="s">
        <v>145</v>
      </c>
      <c r="C120" s="71">
        <v>22.0</v>
      </c>
      <c r="D120" s="71">
        <v>8.0</v>
      </c>
    </row>
    <row r="121" ht="15.75" customHeight="1">
      <c r="A121" s="69">
        <v>30203.0</v>
      </c>
      <c r="B121" s="70" t="s">
        <v>146</v>
      </c>
      <c r="C121" s="71">
        <v>18.0</v>
      </c>
      <c r="D121" s="71">
        <v>6.0</v>
      </c>
    </row>
    <row r="122" ht="15.75" customHeight="1">
      <c r="A122" s="69">
        <v>30301.0</v>
      </c>
      <c r="B122" s="70" t="s">
        <v>147</v>
      </c>
      <c r="C122" s="71">
        <v>126.0</v>
      </c>
      <c r="D122" s="71">
        <v>67.0</v>
      </c>
    </row>
    <row r="123" ht="15.75" customHeight="1">
      <c r="A123" s="69">
        <v>30302.0</v>
      </c>
      <c r="B123" s="70" t="s">
        <v>148</v>
      </c>
      <c r="C123" s="71">
        <v>105.0</v>
      </c>
      <c r="D123" s="71">
        <v>41.0</v>
      </c>
    </row>
    <row r="124" ht="15.75" customHeight="1">
      <c r="A124" s="69">
        <v>30303.0</v>
      </c>
      <c r="B124" s="70" t="s">
        <v>149</v>
      </c>
      <c r="C124" s="71">
        <v>176.0</v>
      </c>
      <c r="D124" s="71">
        <v>106.0</v>
      </c>
    </row>
    <row r="125" ht="15.75" customHeight="1">
      <c r="A125" s="69">
        <v>30401.0</v>
      </c>
      <c r="B125" s="70" t="s">
        <v>150</v>
      </c>
      <c r="C125" s="71">
        <v>22.0</v>
      </c>
      <c r="D125" s="71">
        <v>9.0</v>
      </c>
    </row>
    <row r="126" ht="15.75" customHeight="1">
      <c r="A126" s="69">
        <v>30402.0</v>
      </c>
      <c r="B126" s="70" t="s">
        <v>151</v>
      </c>
      <c r="C126" s="71">
        <v>56.0</v>
      </c>
      <c r="D126" s="71">
        <v>11.0</v>
      </c>
    </row>
    <row r="127" ht="15.75" customHeight="1">
      <c r="A127" s="69">
        <v>30403.0</v>
      </c>
      <c r="B127" s="70" t="s">
        <v>152</v>
      </c>
      <c r="C127" s="71">
        <v>56.0</v>
      </c>
      <c r="D127" s="71">
        <v>37.0</v>
      </c>
    </row>
    <row r="128" ht="15.75" customHeight="1">
      <c r="A128" s="69">
        <v>30404.0</v>
      </c>
      <c r="B128" s="70" t="s">
        <v>153</v>
      </c>
      <c r="C128" s="71">
        <v>18.0</v>
      </c>
      <c r="D128" s="71">
        <v>9.0</v>
      </c>
    </row>
    <row r="129" ht="15.75" customHeight="1">
      <c r="A129" s="69">
        <v>30501.0</v>
      </c>
      <c r="B129" s="70" t="s">
        <v>154</v>
      </c>
      <c r="C129" s="71">
        <v>24.0</v>
      </c>
      <c r="D129" s="71">
        <v>5.0</v>
      </c>
    </row>
    <row r="130" ht="15.75" customHeight="1">
      <c r="A130" s="69">
        <v>30502.0</v>
      </c>
      <c r="B130" s="70" t="s">
        <v>155</v>
      </c>
      <c r="C130" s="71">
        <v>61.0</v>
      </c>
      <c r="D130" s="71">
        <v>15.0</v>
      </c>
    </row>
    <row r="131" ht="15.75" customHeight="1">
      <c r="A131" s="69">
        <v>30601.0</v>
      </c>
      <c r="B131" s="70" t="s">
        <v>156</v>
      </c>
      <c r="C131" s="71">
        <v>113.0</v>
      </c>
      <c r="D131" s="71">
        <v>62.0</v>
      </c>
    </row>
    <row r="132" ht="15.75" customHeight="1">
      <c r="A132" s="69">
        <v>30602.0</v>
      </c>
      <c r="B132" s="70" t="s">
        <v>157</v>
      </c>
      <c r="C132" s="71">
        <v>109.0</v>
      </c>
      <c r="D132" s="71">
        <v>37.0</v>
      </c>
    </row>
    <row r="133" ht="15.75" customHeight="1">
      <c r="A133" s="69">
        <v>30701.0</v>
      </c>
      <c r="B133" s="70" t="s">
        <v>158</v>
      </c>
      <c r="C133" s="71">
        <v>70.0</v>
      </c>
      <c r="D133" s="71">
        <v>28.0</v>
      </c>
    </row>
    <row r="134" ht="15.75" customHeight="1">
      <c r="A134" s="69">
        <v>30702.0</v>
      </c>
      <c r="B134" s="70" t="s">
        <v>159</v>
      </c>
      <c r="C134" s="71">
        <v>27.0</v>
      </c>
      <c r="D134" s="71">
        <v>0.0</v>
      </c>
    </row>
    <row r="135" ht="15.75" customHeight="1">
      <c r="A135" s="69">
        <v>30703.0</v>
      </c>
      <c r="B135" s="70" t="s">
        <v>160</v>
      </c>
      <c r="C135" s="71">
        <v>26.0</v>
      </c>
      <c r="D135" s="71">
        <v>7.0</v>
      </c>
    </row>
    <row r="136" ht="15.75" customHeight="1">
      <c r="A136" s="69">
        <v>30801.0</v>
      </c>
      <c r="B136" s="70" t="s">
        <v>161</v>
      </c>
      <c r="C136" s="71">
        <v>32.0</v>
      </c>
      <c r="D136" s="71">
        <v>9.0</v>
      </c>
    </row>
    <row r="137" ht="15.75" customHeight="1">
      <c r="A137" s="69">
        <v>30802.0</v>
      </c>
      <c r="B137" s="70" t="s">
        <v>162</v>
      </c>
      <c r="C137" s="71">
        <v>14.0</v>
      </c>
      <c r="D137" s="71">
        <v>7.0</v>
      </c>
    </row>
    <row r="138" ht="15.75" customHeight="1">
      <c r="A138" s="69">
        <v>30803.0</v>
      </c>
      <c r="B138" s="70" t="s">
        <v>163</v>
      </c>
      <c r="C138" s="71">
        <v>6.0</v>
      </c>
      <c r="D138" s="71">
        <v>6.0</v>
      </c>
    </row>
    <row r="139" ht="15.75" customHeight="1">
      <c r="A139" s="69">
        <v>30901.0</v>
      </c>
      <c r="B139" s="70" t="s">
        <v>164</v>
      </c>
      <c r="C139" s="71">
        <v>296.0</v>
      </c>
      <c r="D139" s="71">
        <v>99.0</v>
      </c>
    </row>
    <row r="140" ht="15.75" customHeight="1">
      <c r="A140" s="69">
        <v>30902.0</v>
      </c>
      <c r="B140" s="70" t="s">
        <v>165</v>
      </c>
      <c r="C140" s="71">
        <v>145.0</v>
      </c>
      <c r="D140" s="71">
        <v>64.0</v>
      </c>
    </row>
    <row r="141" ht="15.75" customHeight="1">
      <c r="A141" s="69">
        <v>30903.0</v>
      </c>
      <c r="B141" s="70" t="s">
        <v>166</v>
      </c>
      <c r="C141" s="71">
        <v>135.0</v>
      </c>
      <c r="D141" s="71">
        <v>33.0</v>
      </c>
    </row>
    <row r="142" ht="15.75" customHeight="1">
      <c r="A142" s="69">
        <v>30904.0</v>
      </c>
      <c r="B142" s="70" t="s">
        <v>167</v>
      </c>
      <c r="C142" s="71">
        <v>116.0</v>
      </c>
      <c r="D142" s="71">
        <v>43.0</v>
      </c>
    </row>
    <row r="143" ht="15.75" customHeight="1">
      <c r="A143" s="69">
        <v>30905.0</v>
      </c>
      <c r="B143" s="70" t="s">
        <v>168</v>
      </c>
      <c r="C143" s="71">
        <v>55.0</v>
      </c>
      <c r="D143" s="71">
        <v>17.0</v>
      </c>
    </row>
    <row r="144" ht="15.75" customHeight="1">
      <c r="A144" s="69">
        <v>31001.0</v>
      </c>
      <c r="B144" s="70" t="s">
        <v>169</v>
      </c>
      <c r="C144" s="71">
        <v>335.0</v>
      </c>
      <c r="D144" s="71">
        <v>107.0</v>
      </c>
    </row>
    <row r="145" ht="15.75" customHeight="1">
      <c r="A145" s="69">
        <v>31002.0</v>
      </c>
      <c r="B145" s="70" t="s">
        <v>170</v>
      </c>
      <c r="C145" s="71">
        <v>98.0</v>
      </c>
      <c r="D145" s="71">
        <v>20.0</v>
      </c>
    </row>
    <row r="146" ht="15.75" customHeight="1">
      <c r="A146" s="69">
        <v>31003.0</v>
      </c>
      <c r="B146" s="70" t="s">
        <v>171</v>
      </c>
      <c r="C146" s="71">
        <v>366.0</v>
      </c>
      <c r="D146" s="71">
        <v>243.0</v>
      </c>
    </row>
    <row r="147" ht="15.75" customHeight="1">
      <c r="A147" s="69">
        <v>31101.0</v>
      </c>
      <c r="B147" s="70" t="s">
        <v>172</v>
      </c>
      <c r="C147" s="71">
        <v>346.0</v>
      </c>
      <c r="D147" s="71">
        <v>159.0</v>
      </c>
    </row>
    <row r="148" ht="15.75" customHeight="1">
      <c r="A148" s="69">
        <v>31201.0</v>
      </c>
      <c r="B148" s="70" t="s">
        <v>173</v>
      </c>
      <c r="C148" s="71">
        <v>64.0</v>
      </c>
      <c r="D148" s="71">
        <v>39.0</v>
      </c>
    </row>
    <row r="149" ht="15.75" customHeight="1">
      <c r="A149" s="69">
        <v>31202.0</v>
      </c>
      <c r="B149" s="70" t="s">
        <v>174</v>
      </c>
      <c r="C149" s="71">
        <v>52.0</v>
      </c>
      <c r="D149" s="71">
        <v>20.0</v>
      </c>
    </row>
    <row r="150" ht="15.75" customHeight="1">
      <c r="A150" s="69">
        <v>31203.0</v>
      </c>
      <c r="B150" s="70" t="s">
        <v>175</v>
      </c>
      <c r="C150" s="71">
        <v>43.0</v>
      </c>
      <c r="D150" s="71">
        <v>11.0</v>
      </c>
    </row>
    <row r="151" ht="15.75" customHeight="1">
      <c r="A151" s="69">
        <v>31204.0</v>
      </c>
      <c r="B151" s="70" t="s">
        <v>176</v>
      </c>
      <c r="C151" s="71">
        <v>68.0</v>
      </c>
      <c r="D151" s="71">
        <v>56.0</v>
      </c>
    </row>
    <row r="152" ht="15.75" customHeight="1">
      <c r="A152" s="69">
        <v>31205.0</v>
      </c>
      <c r="B152" s="70" t="s">
        <v>177</v>
      </c>
      <c r="C152" s="71">
        <v>135.0</v>
      </c>
      <c r="D152" s="71">
        <v>96.0</v>
      </c>
    </row>
    <row r="153" ht="15.75" customHeight="1">
      <c r="A153" s="69">
        <v>31206.0</v>
      </c>
      <c r="B153" s="70" t="s">
        <v>178</v>
      </c>
      <c r="C153" s="71">
        <v>130.0</v>
      </c>
      <c r="D153" s="71">
        <v>37.0</v>
      </c>
    </row>
    <row r="154" ht="15.75" customHeight="1">
      <c r="A154" s="69">
        <v>31301.0</v>
      </c>
      <c r="B154" s="70" t="s">
        <v>179</v>
      </c>
      <c r="C154" s="71">
        <v>68.0</v>
      </c>
      <c r="D154" s="71">
        <v>30.0</v>
      </c>
    </row>
    <row r="155" ht="15.75" customHeight="1">
      <c r="A155" s="69">
        <v>31302.0</v>
      </c>
      <c r="B155" s="70" t="s">
        <v>180</v>
      </c>
      <c r="C155" s="71">
        <v>46.0</v>
      </c>
      <c r="D155" s="71">
        <v>14.0</v>
      </c>
    </row>
    <row r="156" ht="15.75" customHeight="1">
      <c r="A156" s="69">
        <v>31303.0</v>
      </c>
      <c r="B156" s="70" t="s">
        <v>181</v>
      </c>
      <c r="C156" s="71">
        <v>28.0</v>
      </c>
      <c r="D156" s="71">
        <v>4.0</v>
      </c>
    </row>
    <row r="157" ht="15.75" customHeight="1">
      <c r="A157" s="69">
        <v>31304.0</v>
      </c>
      <c r="B157" s="70" t="s">
        <v>182</v>
      </c>
      <c r="C157" s="71">
        <v>115.0</v>
      </c>
      <c r="D157" s="71">
        <v>59.0</v>
      </c>
    </row>
    <row r="158" ht="15.75" customHeight="1">
      <c r="A158" s="69">
        <v>31401.0</v>
      </c>
      <c r="B158" s="70" t="s">
        <v>183</v>
      </c>
      <c r="C158" s="71">
        <v>39.0</v>
      </c>
      <c r="D158" s="71">
        <v>9.0</v>
      </c>
    </row>
    <row r="159" ht="15.75" customHeight="1">
      <c r="A159" s="69">
        <v>31402.0</v>
      </c>
      <c r="B159" s="70" t="s">
        <v>184</v>
      </c>
      <c r="C159" s="71">
        <v>31.0</v>
      </c>
      <c r="D159" s="71">
        <v>2.0</v>
      </c>
    </row>
    <row r="160" ht="15.75" customHeight="1">
      <c r="A160" s="69">
        <v>31403.0</v>
      </c>
      <c r="B160" s="70" t="s">
        <v>185</v>
      </c>
      <c r="C160" s="71">
        <v>25.0</v>
      </c>
      <c r="D160" s="71">
        <v>6.0</v>
      </c>
    </row>
    <row r="161" ht="15.75" customHeight="1">
      <c r="A161" s="69">
        <v>31404.0</v>
      </c>
      <c r="B161" s="70" t="s">
        <v>186</v>
      </c>
      <c r="C161" s="71">
        <v>2.0</v>
      </c>
      <c r="D161" s="71">
        <v>1.0</v>
      </c>
    </row>
    <row r="162" ht="15.75" customHeight="1">
      <c r="A162" s="69">
        <v>31405.0</v>
      </c>
      <c r="B162" s="70" t="s">
        <v>187</v>
      </c>
      <c r="C162" s="71">
        <v>7.0</v>
      </c>
      <c r="D162" s="71">
        <v>2.0</v>
      </c>
    </row>
    <row r="163" ht="15.75" customHeight="1">
      <c r="A163" s="69">
        <v>31501.0</v>
      </c>
      <c r="B163" s="70" t="s">
        <v>188</v>
      </c>
      <c r="C163" s="71">
        <v>75.0</v>
      </c>
      <c r="D163" s="71">
        <v>46.0</v>
      </c>
    </row>
    <row r="164" ht="15.75" customHeight="1">
      <c r="A164" s="69">
        <v>31601.0</v>
      </c>
      <c r="B164" s="70" t="s">
        <v>189</v>
      </c>
      <c r="C164" s="71">
        <v>88.0</v>
      </c>
      <c r="D164" s="71">
        <v>12.0</v>
      </c>
    </row>
    <row r="165" ht="15.75" customHeight="1">
      <c r="A165" s="69">
        <v>31602.0</v>
      </c>
      <c r="B165" s="70" t="s">
        <v>190</v>
      </c>
      <c r="C165" s="71">
        <v>51.0</v>
      </c>
      <c r="D165" s="71">
        <v>33.0</v>
      </c>
    </row>
    <row r="166" ht="15.75" customHeight="1">
      <c r="A166" s="69">
        <v>40101.0</v>
      </c>
      <c r="B166" s="70" t="s">
        <v>24</v>
      </c>
      <c r="C166" s="71">
        <v>673.0</v>
      </c>
      <c r="D166" s="71">
        <v>257.0</v>
      </c>
    </row>
    <row r="167" ht="15.75" customHeight="1">
      <c r="A167" s="69">
        <v>40102.0</v>
      </c>
      <c r="B167" s="70" t="s">
        <v>191</v>
      </c>
      <c r="C167" s="71">
        <v>142.0</v>
      </c>
      <c r="D167" s="71">
        <v>35.0</v>
      </c>
    </row>
    <row r="168" ht="15.75" customHeight="1">
      <c r="A168" s="69">
        <v>40103.0</v>
      </c>
      <c r="B168" s="70" t="s">
        <v>192</v>
      </c>
      <c r="C168" s="71">
        <v>85.0</v>
      </c>
      <c r="D168" s="71">
        <v>14.0</v>
      </c>
    </row>
    <row r="169" ht="15.75" customHeight="1">
      <c r="A169" s="69">
        <v>40104.0</v>
      </c>
      <c r="B169" s="70" t="s">
        <v>193</v>
      </c>
      <c r="C169" s="71">
        <v>86.0</v>
      </c>
      <c r="D169" s="71">
        <v>40.0</v>
      </c>
    </row>
    <row r="170" ht="15.75" customHeight="1">
      <c r="A170" s="69">
        <v>40201.0</v>
      </c>
      <c r="B170" s="70" t="s">
        <v>194</v>
      </c>
      <c r="C170" s="71">
        <v>215.0</v>
      </c>
      <c r="D170" s="71">
        <v>143.0</v>
      </c>
    </row>
    <row r="171" ht="15.75" customHeight="1">
      <c r="A171" s="69">
        <v>40202.0</v>
      </c>
      <c r="B171" s="70" t="s">
        <v>195</v>
      </c>
      <c r="C171" s="71">
        <v>22.0</v>
      </c>
      <c r="D171" s="71">
        <v>5.0</v>
      </c>
    </row>
    <row r="172" ht="15.75" customHeight="1">
      <c r="A172" s="69">
        <v>40301.0</v>
      </c>
      <c r="B172" s="70" t="s">
        <v>196</v>
      </c>
      <c r="C172" s="71">
        <v>76.0</v>
      </c>
      <c r="D172" s="71">
        <v>25.0</v>
      </c>
    </row>
    <row r="173" ht="15.75" customHeight="1">
      <c r="A173" s="69">
        <v>40302.0</v>
      </c>
      <c r="B173" s="70" t="s">
        <v>197</v>
      </c>
      <c r="C173" s="71">
        <v>12.0</v>
      </c>
      <c r="D173" s="71">
        <v>7.0</v>
      </c>
    </row>
    <row r="174" ht="15.75" customHeight="1">
      <c r="A174" s="69">
        <v>40401.0</v>
      </c>
      <c r="B174" s="70" t="s">
        <v>198</v>
      </c>
      <c r="C174" s="71">
        <v>33.0</v>
      </c>
      <c r="D174" s="71">
        <v>18.0</v>
      </c>
    </row>
    <row r="175" ht="15.75" customHeight="1">
      <c r="A175" s="69">
        <v>40402.0</v>
      </c>
      <c r="B175" s="70" t="s">
        <v>199</v>
      </c>
      <c r="C175" s="71">
        <v>38.0</v>
      </c>
      <c r="D175" s="71">
        <v>11.0</v>
      </c>
    </row>
    <row r="176" ht="15.75" customHeight="1">
      <c r="A176" s="69">
        <v>40501.0</v>
      </c>
      <c r="B176" s="70" t="s">
        <v>200</v>
      </c>
      <c r="C176" s="71">
        <v>0.0</v>
      </c>
      <c r="D176" s="71">
        <v>8.0</v>
      </c>
    </row>
    <row r="177" ht="15.75" customHeight="1">
      <c r="A177" s="69">
        <v>40502.0</v>
      </c>
      <c r="B177" s="70" t="s">
        <v>201</v>
      </c>
      <c r="C177" s="71">
        <v>52.0</v>
      </c>
      <c r="D177" s="71">
        <v>12.0</v>
      </c>
    </row>
    <row r="178" ht="15.75" customHeight="1">
      <c r="A178" s="69">
        <v>40503.0</v>
      </c>
      <c r="B178" s="70" t="s">
        <v>202</v>
      </c>
      <c r="C178" s="71">
        <v>29.0</v>
      </c>
      <c r="D178" s="71">
        <v>5.0</v>
      </c>
    </row>
    <row r="179" ht="15.75" customHeight="1">
      <c r="A179" s="69">
        <v>40504.0</v>
      </c>
      <c r="B179" s="70" t="s">
        <v>203</v>
      </c>
      <c r="C179" s="71">
        <v>8.0</v>
      </c>
      <c r="D179" s="71">
        <v>3.0</v>
      </c>
    </row>
    <row r="180" ht="15.75" customHeight="1">
      <c r="A180" s="69">
        <v>40505.0</v>
      </c>
      <c r="B180" s="70" t="s">
        <v>204</v>
      </c>
      <c r="C180" s="71">
        <v>30.0</v>
      </c>
      <c r="D180" s="71">
        <v>16.0</v>
      </c>
    </row>
    <row r="181" ht="15.75" customHeight="1">
      <c r="A181" s="69">
        <v>40601.0</v>
      </c>
      <c r="B181" s="70" t="s">
        <v>205</v>
      </c>
      <c r="C181" s="71">
        <v>20.0</v>
      </c>
      <c r="D181" s="71">
        <v>7.0</v>
      </c>
    </row>
    <row r="182" ht="15.75" customHeight="1">
      <c r="A182" s="69">
        <v>40602.0</v>
      </c>
      <c r="B182" s="70" t="s">
        <v>206</v>
      </c>
      <c r="C182" s="71">
        <v>20.0</v>
      </c>
      <c r="D182" s="71">
        <v>6.0</v>
      </c>
    </row>
    <row r="183" ht="15.75" customHeight="1">
      <c r="A183" s="69">
        <v>40603.0</v>
      </c>
      <c r="B183" s="70" t="s">
        <v>207</v>
      </c>
      <c r="C183" s="71">
        <v>13.0</v>
      </c>
      <c r="D183" s="71">
        <v>1.0</v>
      </c>
    </row>
    <row r="184" ht="15.75" customHeight="1">
      <c r="A184" s="69">
        <v>40701.0</v>
      </c>
      <c r="B184" s="70" t="s">
        <v>208</v>
      </c>
      <c r="C184" s="71">
        <v>54.0</v>
      </c>
      <c r="D184" s="71">
        <v>12.0</v>
      </c>
    </row>
    <row r="185" ht="15.75" customHeight="1">
      <c r="A185" s="69">
        <v>40702.0</v>
      </c>
      <c r="B185" s="70" t="s">
        <v>209</v>
      </c>
      <c r="C185" s="71">
        <v>11.0</v>
      </c>
      <c r="D185" s="71">
        <v>7.0</v>
      </c>
    </row>
    <row r="186" ht="15.75" customHeight="1">
      <c r="A186" s="69">
        <v>40801.0</v>
      </c>
      <c r="B186" s="70" t="s">
        <v>210</v>
      </c>
      <c r="C186" s="71">
        <v>74.0</v>
      </c>
      <c r="D186" s="71">
        <v>26.0</v>
      </c>
    </row>
    <row r="187" ht="15.75" customHeight="1">
      <c r="A187" s="69">
        <v>40802.0</v>
      </c>
      <c r="B187" s="70" t="s">
        <v>211</v>
      </c>
      <c r="C187" s="71">
        <v>20.0</v>
      </c>
      <c r="D187" s="71">
        <v>6.0</v>
      </c>
    </row>
    <row r="188" ht="15.75" customHeight="1">
      <c r="A188" s="69">
        <v>40901.0</v>
      </c>
      <c r="B188" s="70" t="s">
        <v>212</v>
      </c>
      <c r="C188" s="71">
        <v>83.0</v>
      </c>
      <c r="D188" s="71">
        <v>69.0</v>
      </c>
    </row>
    <row r="189" ht="15.75" customHeight="1">
      <c r="A189" s="69">
        <v>40902.0</v>
      </c>
      <c r="B189" s="70" t="s">
        <v>213</v>
      </c>
      <c r="C189" s="71">
        <v>8.0</v>
      </c>
      <c r="D189" s="71">
        <v>4.0</v>
      </c>
    </row>
    <row r="190" ht="15.75" customHeight="1">
      <c r="A190" s="69">
        <v>40903.0</v>
      </c>
      <c r="B190" s="70" t="s">
        <v>214</v>
      </c>
      <c r="C190" s="71">
        <v>28.0</v>
      </c>
      <c r="D190" s="71">
        <v>14.0</v>
      </c>
    </row>
    <row r="191" ht="15.75" customHeight="1">
      <c r="A191" s="69">
        <v>41001.0</v>
      </c>
      <c r="B191" s="70" t="s">
        <v>215</v>
      </c>
      <c r="C191" s="71">
        <v>71.0</v>
      </c>
      <c r="D191" s="71">
        <v>13.0</v>
      </c>
    </row>
    <row r="192" ht="15.75" customHeight="1">
      <c r="A192" s="69">
        <v>41101.0</v>
      </c>
      <c r="B192" s="70" t="s">
        <v>216</v>
      </c>
      <c r="C192" s="71">
        <v>23.0</v>
      </c>
      <c r="D192" s="71">
        <v>8.0</v>
      </c>
    </row>
    <row r="193" ht="15.75" customHeight="1">
      <c r="A193" s="69">
        <v>41201.0</v>
      </c>
      <c r="B193" s="70" t="s">
        <v>217</v>
      </c>
      <c r="C193" s="71">
        <v>37.0</v>
      </c>
      <c r="D193" s="71">
        <v>9.0</v>
      </c>
    </row>
    <row r="194" ht="15.75" customHeight="1">
      <c r="A194" s="69">
        <v>41202.0</v>
      </c>
      <c r="B194" s="70" t="s">
        <v>218</v>
      </c>
      <c r="C194" s="71">
        <v>12.0</v>
      </c>
      <c r="D194" s="71">
        <v>6.0</v>
      </c>
    </row>
    <row r="195" ht="15.75" customHeight="1">
      <c r="A195" s="69">
        <v>41301.0</v>
      </c>
      <c r="B195" s="70" t="s">
        <v>219</v>
      </c>
      <c r="C195" s="71">
        <v>61.0</v>
      </c>
      <c r="D195" s="71">
        <v>23.0</v>
      </c>
    </row>
    <row r="196" ht="15.75" customHeight="1">
      <c r="A196" s="69">
        <v>41401.0</v>
      </c>
      <c r="B196" s="70" t="s">
        <v>220</v>
      </c>
      <c r="C196" s="71">
        <v>77.0</v>
      </c>
      <c r="D196" s="71">
        <v>28.0</v>
      </c>
    </row>
    <row r="197" ht="15.75" customHeight="1">
      <c r="A197" s="69">
        <v>41501.0</v>
      </c>
      <c r="B197" s="70" t="s">
        <v>221</v>
      </c>
      <c r="C197" s="71">
        <v>11.0</v>
      </c>
      <c r="D197" s="71">
        <v>6.0</v>
      </c>
    </row>
    <row r="198" ht="15.75" customHeight="1">
      <c r="A198" s="69">
        <v>41502.0</v>
      </c>
      <c r="B198" s="70" t="s">
        <v>222</v>
      </c>
      <c r="C198" s="71">
        <v>13.0</v>
      </c>
      <c r="D198" s="71">
        <v>1.0</v>
      </c>
    </row>
    <row r="199" ht="15.75" customHeight="1">
      <c r="A199" s="69">
        <v>41503.0</v>
      </c>
      <c r="B199" s="70" t="s">
        <v>223</v>
      </c>
      <c r="C199" s="71">
        <v>13.0</v>
      </c>
      <c r="D199" s="71">
        <v>2.0</v>
      </c>
    </row>
    <row r="200" ht="15.75" customHeight="1">
      <c r="A200" s="69">
        <v>41601.0</v>
      </c>
      <c r="B200" s="70" t="s">
        <v>224</v>
      </c>
      <c r="C200" s="71">
        <v>47.0</v>
      </c>
      <c r="D200" s="71">
        <v>11.0</v>
      </c>
    </row>
    <row r="201" ht="15.75" customHeight="1">
      <c r="A201" s="69">
        <v>50101.0</v>
      </c>
      <c r="B201" s="70" t="s">
        <v>26</v>
      </c>
      <c r="C201" s="71">
        <v>562.0</v>
      </c>
      <c r="D201" s="71">
        <v>183.0</v>
      </c>
    </row>
    <row r="202" ht="15.75" customHeight="1">
      <c r="A202" s="69">
        <v>50102.0</v>
      </c>
      <c r="B202" s="70" t="s">
        <v>225</v>
      </c>
      <c r="C202" s="71">
        <v>238.0</v>
      </c>
      <c r="D202" s="71">
        <v>130.0</v>
      </c>
    </row>
    <row r="203" ht="15.75" customHeight="1">
      <c r="A203" s="69">
        <v>50103.0</v>
      </c>
      <c r="B203" s="70" t="s">
        <v>226</v>
      </c>
      <c r="C203" s="71">
        <v>27.0</v>
      </c>
      <c r="D203" s="71">
        <v>3.0</v>
      </c>
    </row>
    <row r="204" ht="15.75" customHeight="1">
      <c r="A204" s="69">
        <v>50104.0</v>
      </c>
      <c r="B204" s="70" t="s">
        <v>227</v>
      </c>
      <c r="C204" s="71">
        <v>26.0</v>
      </c>
      <c r="D204" s="71">
        <v>8.0</v>
      </c>
    </row>
    <row r="205" ht="15.75" customHeight="1">
      <c r="A205" s="69">
        <v>50201.0</v>
      </c>
      <c r="B205" s="70" t="s">
        <v>228</v>
      </c>
      <c r="C205" s="71">
        <v>162.0</v>
      </c>
      <c r="D205" s="71">
        <v>67.0</v>
      </c>
    </row>
    <row r="206" ht="15.75" customHeight="1">
      <c r="A206" s="69">
        <v>50202.0</v>
      </c>
      <c r="B206" s="70" t="s">
        <v>229</v>
      </c>
      <c r="C206" s="71">
        <v>102.0</v>
      </c>
      <c r="D206" s="71">
        <v>49.0</v>
      </c>
    </row>
    <row r="207" ht="15.75" customHeight="1">
      <c r="A207" s="69">
        <v>50203.0</v>
      </c>
      <c r="B207" s="70" t="s">
        <v>230</v>
      </c>
      <c r="C207" s="71">
        <v>135.0</v>
      </c>
      <c r="D207" s="71">
        <v>88.0</v>
      </c>
    </row>
    <row r="208" ht="15.75" customHeight="1">
      <c r="A208" s="69">
        <v>50204.0</v>
      </c>
      <c r="B208" s="70" t="s">
        <v>231</v>
      </c>
      <c r="C208" s="71">
        <v>97.0</v>
      </c>
      <c r="D208" s="71">
        <v>46.0</v>
      </c>
    </row>
    <row r="209" ht="15.75" customHeight="1">
      <c r="A209" s="69">
        <v>50301.0</v>
      </c>
      <c r="B209" s="70" t="s">
        <v>232</v>
      </c>
      <c r="C209" s="71">
        <v>175.0</v>
      </c>
      <c r="D209" s="71">
        <v>56.0</v>
      </c>
    </row>
    <row r="210" ht="15.75" customHeight="1">
      <c r="A210" s="69">
        <v>50302.0</v>
      </c>
      <c r="B210" s="70" t="s">
        <v>233</v>
      </c>
      <c r="C210" s="71">
        <v>50.0</v>
      </c>
      <c r="D210" s="71">
        <v>10.0</v>
      </c>
    </row>
    <row r="211" ht="15.75" customHeight="1">
      <c r="A211" s="69">
        <v>50303.0</v>
      </c>
      <c r="B211" s="70" t="s">
        <v>234</v>
      </c>
      <c r="C211" s="71">
        <v>107.0</v>
      </c>
      <c r="D211" s="71">
        <v>64.0</v>
      </c>
    </row>
    <row r="212" ht="15.75" customHeight="1">
      <c r="A212" s="69">
        <v>50401.0</v>
      </c>
      <c r="B212" s="70" t="s">
        <v>235</v>
      </c>
      <c r="C212" s="71">
        <v>120.0</v>
      </c>
      <c r="D212" s="71">
        <v>84.0</v>
      </c>
    </row>
    <row r="213" ht="15.75" customHeight="1">
      <c r="A213" s="69">
        <v>50402.0</v>
      </c>
      <c r="B213" s="70" t="s">
        <v>236</v>
      </c>
      <c r="C213" s="71">
        <v>122.0</v>
      </c>
      <c r="D213" s="71">
        <v>32.0</v>
      </c>
    </row>
    <row r="214" ht="15.75" customHeight="1">
      <c r="A214" s="69">
        <v>50403.0</v>
      </c>
      <c r="B214" s="70" t="s">
        <v>237</v>
      </c>
      <c r="C214" s="71">
        <v>250.0</v>
      </c>
      <c r="D214" s="71">
        <v>176.0</v>
      </c>
    </row>
    <row r="215" ht="15.75" customHeight="1">
      <c r="A215" s="69">
        <v>50404.0</v>
      </c>
      <c r="B215" s="70" t="s">
        <v>238</v>
      </c>
      <c r="C215" s="71">
        <v>124.0</v>
      </c>
      <c r="D215" s="71">
        <v>41.0</v>
      </c>
    </row>
    <row r="216" ht="15.75" customHeight="1">
      <c r="A216" s="69">
        <v>50405.0</v>
      </c>
      <c r="B216" s="70" t="s">
        <v>239</v>
      </c>
      <c r="C216" s="71">
        <v>182.0</v>
      </c>
      <c r="D216" s="71">
        <v>118.0</v>
      </c>
    </row>
    <row r="217" ht="15.75" customHeight="1">
      <c r="A217" s="69">
        <v>50501.0</v>
      </c>
      <c r="B217" s="70" t="s">
        <v>240</v>
      </c>
      <c r="C217" s="71">
        <v>308.0</v>
      </c>
      <c r="D217" s="71">
        <v>192.0</v>
      </c>
    </row>
    <row r="218" ht="15.75" customHeight="1">
      <c r="A218" s="69">
        <v>50502.0</v>
      </c>
      <c r="B218" s="70" t="s">
        <v>241</v>
      </c>
      <c r="C218" s="71">
        <v>84.0</v>
      </c>
      <c r="D218" s="71">
        <v>50.0</v>
      </c>
    </row>
    <row r="219" ht="15.75" customHeight="1">
      <c r="A219" s="69">
        <v>50601.0</v>
      </c>
      <c r="B219" s="70" t="s">
        <v>242</v>
      </c>
      <c r="C219" s="71">
        <v>177.0</v>
      </c>
      <c r="D219" s="71">
        <v>36.0</v>
      </c>
    </row>
    <row r="220" ht="15.75" customHeight="1">
      <c r="A220" s="69">
        <v>50602.0</v>
      </c>
      <c r="B220" s="70" t="s">
        <v>243</v>
      </c>
      <c r="C220" s="71">
        <v>57.0</v>
      </c>
      <c r="D220" s="71">
        <v>21.0</v>
      </c>
    </row>
    <row r="221" ht="15.75" customHeight="1">
      <c r="A221" s="69">
        <v>50701.0</v>
      </c>
      <c r="B221" s="70" t="s">
        <v>244</v>
      </c>
      <c r="C221" s="71">
        <v>163.0</v>
      </c>
      <c r="D221" s="71">
        <v>85.0</v>
      </c>
    </row>
    <row r="222" ht="15.75" customHeight="1">
      <c r="A222" s="69">
        <v>50702.0</v>
      </c>
      <c r="B222" s="70" t="s">
        <v>245</v>
      </c>
      <c r="C222" s="71">
        <v>73.0</v>
      </c>
      <c r="D222" s="71">
        <v>43.0</v>
      </c>
    </row>
    <row r="223" ht="15.75" customHeight="1">
      <c r="A223" s="69">
        <v>50801.0</v>
      </c>
      <c r="B223" s="70" t="s">
        <v>246</v>
      </c>
      <c r="C223" s="71">
        <v>194.0</v>
      </c>
      <c r="D223" s="71">
        <v>40.0</v>
      </c>
    </row>
    <row r="224" ht="15.75" customHeight="1">
      <c r="A224" s="69">
        <v>50802.0</v>
      </c>
      <c r="B224" s="70" t="s">
        <v>247</v>
      </c>
      <c r="C224" s="71">
        <v>31.0</v>
      </c>
      <c r="D224" s="71">
        <v>6.0</v>
      </c>
    </row>
    <row r="225" ht="15.75" customHeight="1">
      <c r="A225" s="69">
        <v>50901.0</v>
      </c>
      <c r="B225" s="70" t="s">
        <v>248</v>
      </c>
      <c r="C225" s="71">
        <v>124.0</v>
      </c>
      <c r="D225" s="71">
        <v>19.0</v>
      </c>
    </row>
    <row r="226" ht="15.75" customHeight="1">
      <c r="A226" s="69">
        <v>50902.0</v>
      </c>
      <c r="B226" s="70" t="s">
        <v>249</v>
      </c>
      <c r="C226" s="71">
        <v>6.0</v>
      </c>
      <c r="D226" s="71">
        <v>2.0</v>
      </c>
    </row>
    <row r="227" ht="15.75" customHeight="1">
      <c r="A227" s="69">
        <v>51001.0</v>
      </c>
      <c r="B227" s="70" t="s">
        <v>250</v>
      </c>
      <c r="C227" s="71">
        <v>30.0</v>
      </c>
      <c r="D227" s="71">
        <v>8.0</v>
      </c>
    </row>
    <row r="228" ht="15.75" customHeight="1">
      <c r="A228" s="69">
        <v>51002.0</v>
      </c>
      <c r="B228" s="70" t="s">
        <v>251</v>
      </c>
      <c r="C228" s="71">
        <v>31.0</v>
      </c>
      <c r="D228" s="71">
        <v>2.0</v>
      </c>
    </row>
    <row r="229" ht="15.75" customHeight="1">
      <c r="A229" s="69">
        <v>51003.0</v>
      </c>
      <c r="B229" s="70" t="s">
        <v>252</v>
      </c>
      <c r="C229" s="71">
        <v>22.0</v>
      </c>
      <c r="D229" s="71">
        <v>9.0</v>
      </c>
    </row>
    <row r="230" ht="15.75" customHeight="1">
      <c r="A230" s="69">
        <v>51101.0</v>
      </c>
      <c r="B230" s="70" t="s">
        <v>253</v>
      </c>
      <c r="C230" s="71">
        <v>120.0</v>
      </c>
      <c r="D230" s="71">
        <v>12.0</v>
      </c>
    </row>
    <row r="231" ht="15.75" customHeight="1">
      <c r="A231" s="69">
        <v>51102.0</v>
      </c>
      <c r="B231" s="70" t="s">
        <v>254</v>
      </c>
      <c r="C231" s="71">
        <v>66.0</v>
      </c>
      <c r="D231" s="71">
        <v>26.0</v>
      </c>
    </row>
    <row r="232" ht="15.75" customHeight="1">
      <c r="A232" s="69">
        <v>51103.0</v>
      </c>
      <c r="B232" s="70" t="s">
        <v>255</v>
      </c>
      <c r="C232" s="71">
        <v>136.0</v>
      </c>
      <c r="D232" s="71">
        <v>71.0</v>
      </c>
    </row>
    <row r="233" ht="15.75" customHeight="1">
      <c r="A233" s="69">
        <v>51201.0</v>
      </c>
      <c r="B233" s="70" t="s">
        <v>256</v>
      </c>
      <c r="C233" s="71">
        <v>157.0</v>
      </c>
      <c r="D233" s="71">
        <v>54.0</v>
      </c>
    </row>
    <row r="234" ht="15.75" customHeight="1">
      <c r="A234" s="69">
        <v>51202.0</v>
      </c>
      <c r="B234" s="70" t="s">
        <v>257</v>
      </c>
      <c r="C234" s="71">
        <v>55.0</v>
      </c>
      <c r="D234" s="71">
        <v>12.0</v>
      </c>
    </row>
    <row r="235" ht="15.75" customHeight="1">
      <c r="A235" s="69">
        <v>51203.0</v>
      </c>
      <c r="B235" s="70" t="s">
        <v>258</v>
      </c>
      <c r="C235" s="71">
        <v>51.0</v>
      </c>
      <c r="D235" s="71">
        <v>37.0</v>
      </c>
    </row>
    <row r="236" ht="15.75" customHeight="1">
      <c r="A236" s="69">
        <v>51204.0</v>
      </c>
      <c r="B236" s="70" t="s">
        <v>259</v>
      </c>
      <c r="C236" s="71">
        <v>42.0</v>
      </c>
      <c r="D236" s="71">
        <v>11.0</v>
      </c>
    </row>
    <row r="237" ht="15.75" customHeight="1">
      <c r="A237" s="69">
        <v>51301.0</v>
      </c>
      <c r="B237" s="70" t="s">
        <v>260</v>
      </c>
      <c r="C237" s="71">
        <v>40.0</v>
      </c>
      <c r="D237" s="71">
        <v>13.0</v>
      </c>
    </row>
    <row r="238" ht="15.75" customHeight="1">
      <c r="A238" s="69">
        <v>51302.0</v>
      </c>
      <c r="B238" s="70" t="s">
        <v>261</v>
      </c>
      <c r="C238" s="71">
        <v>37.0</v>
      </c>
      <c r="D238" s="71">
        <v>14.0</v>
      </c>
    </row>
    <row r="239" ht="15.75" customHeight="1">
      <c r="A239" s="69">
        <v>51401.0</v>
      </c>
      <c r="B239" s="70" t="s">
        <v>262</v>
      </c>
      <c r="C239" s="71">
        <v>26.0</v>
      </c>
      <c r="D239" s="71">
        <v>6.0</v>
      </c>
    </row>
    <row r="240" ht="15.75" customHeight="1">
      <c r="A240" s="69">
        <v>51402.0</v>
      </c>
      <c r="B240" s="70" t="s">
        <v>263</v>
      </c>
      <c r="C240" s="71">
        <v>14.0</v>
      </c>
      <c r="D240" s="71">
        <v>2.0</v>
      </c>
    </row>
    <row r="241" ht="15.75" customHeight="1">
      <c r="A241" s="69">
        <v>51501.0</v>
      </c>
      <c r="B241" s="70" t="s">
        <v>264</v>
      </c>
      <c r="C241" s="71">
        <v>173.0</v>
      </c>
      <c r="D241" s="71">
        <v>48.0</v>
      </c>
    </row>
    <row r="242" ht="15.75" customHeight="1">
      <c r="A242" s="69">
        <v>51601.0</v>
      </c>
      <c r="B242" s="70" t="s">
        <v>265</v>
      </c>
      <c r="C242" s="71">
        <v>23.0</v>
      </c>
      <c r="D242" s="71">
        <v>6.0</v>
      </c>
    </row>
    <row r="243" ht="15.75" customHeight="1">
      <c r="A243" s="69">
        <v>60101.0</v>
      </c>
      <c r="B243" s="70" t="s">
        <v>28</v>
      </c>
      <c r="C243" s="71">
        <v>253.0</v>
      </c>
      <c r="D243" s="71">
        <v>74.0</v>
      </c>
    </row>
    <row r="244" ht="15.75" customHeight="1">
      <c r="A244" s="69">
        <v>60201.0</v>
      </c>
      <c r="B244" s="70" t="s">
        <v>266</v>
      </c>
      <c r="C244" s="71">
        <v>98.0</v>
      </c>
      <c r="D244" s="71">
        <v>12.0</v>
      </c>
    </row>
    <row r="245" ht="15.75" customHeight="1">
      <c r="A245" s="69">
        <v>60202.0</v>
      </c>
      <c r="B245" s="70" t="s">
        <v>267</v>
      </c>
      <c r="C245" s="71">
        <v>45.0</v>
      </c>
      <c r="D245" s="71">
        <v>15.0</v>
      </c>
    </row>
    <row r="246" ht="15.75" customHeight="1">
      <c r="A246" s="69">
        <v>60301.0</v>
      </c>
      <c r="B246" s="70" t="s">
        <v>268</v>
      </c>
      <c r="C246" s="71">
        <v>178.0</v>
      </c>
      <c r="D246" s="71">
        <v>59.0</v>
      </c>
    </row>
    <row r="247" ht="15.75" customHeight="1">
      <c r="A247" s="69">
        <v>60302.0</v>
      </c>
      <c r="B247" s="70" t="s">
        <v>269</v>
      </c>
      <c r="C247" s="71">
        <v>38.0</v>
      </c>
      <c r="D247" s="71">
        <v>5.0</v>
      </c>
    </row>
    <row r="248" ht="15.75" customHeight="1">
      <c r="A248" s="69">
        <v>60303.0</v>
      </c>
      <c r="B248" s="70" t="s">
        <v>270</v>
      </c>
      <c r="C248" s="71">
        <v>64.0</v>
      </c>
      <c r="D248" s="71">
        <v>9.0</v>
      </c>
    </row>
    <row r="249" ht="15.75" customHeight="1">
      <c r="A249" s="69">
        <v>60401.0</v>
      </c>
      <c r="B249" s="70" t="s">
        <v>271</v>
      </c>
      <c r="C249" s="71">
        <v>55.0</v>
      </c>
      <c r="D249" s="71">
        <v>7.0</v>
      </c>
    </row>
    <row r="250" ht="15.75" customHeight="1">
      <c r="A250" s="69">
        <v>60402.0</v>
      </c>
      <c r="B250" s="70" t="s">
        <v>272</v>
      </c>
      <c r="C250" s="71">
        <v>47.0</v>
      </c>
      <c r="D250" s="71">
        <v>12.0</v>
      </c>
    </row>
    <row r="251" ht="15.75" customHeight="1">
      <c r="A251" s="69">
        <v>60501.0</v>
      </c>
      <c r="B251" s="70" t="s">
        <v>273</v>
      </c>
      <c r="C251" s="71">
        <v>77.0</v>
      </c>
      <c r="D251" s="71">
        <v>23.0</v>
      </c>
    </row>
    <row r="252" ht="15.75" customHeight="1">
      <c r="A252" s="69">
        <v>60502.0</v>
      </c>
      <c r="B252" s="70" t="s">
        <v>274</v>
      </c>
      <c r="C252" s="71">
        <v>51.0</v>
      </c>
      <c r="D252" s="71">
        <v>7.0</v>
      </c>
    </row>
    <row r="253" ht="15.75" customHeight="1">
      <c r="A253" s="69">
        <v>60601.0</v>
      </c>
      <c r="B253" s="70" t="s">
        <v>178</v>
      </c>
      <c r="C253" s="71">
        <v>86.0</v>
      </c>
      <c r="D253" s="71">
        <v>25.0</v>
      </c>
    </row>
    <row r="254" ht="15.75" customHeight="1">
      <c r="A254" s="69">
        <v>70101.0</v>
      </c>
      <c r="B254" s="70" t="s">
        <v>275</v>
      </c>
      <c r="C254" s="71">
        <v>2111.0</v>
      </c>
      <c r="D254" s="71">
        <v>424.0</v>
      </c>
    </row>
    <row r="255" ht="15.75" customHeight="1">
      <c r="A255" s="69">
        <v>70102.0</v>
      </c>
      <c r="B255" s="70" t="s">
        <v>276</v>
      </c>
      <c r="C255" s="71">
        <v>97.0</v>
      </c>
      <c r="D255" s="71">
        <v>37.0</v>
      </c>
    </row>
    <row r="256" ht="15.75" customHeight="1">
      <c r="A256" s="69">
        <v>70103.0</v>
      </c>
      <c r="B256" s="70" t="s">
        <v>277</v>
      </c>
      <c r="C256" s="71">
        <v>25.0</v>
      </c>
      <c r="D256" s="71">
        <v>4.0</v>
      </c>
    </row>
    <row r="257" ht="15.75" customHeight="1">
      <c r="A257" s="69">
        <v>70104.0</v>
      </c>
      <c r="B257" s="70" t="s">
        <v>278</v>
      </c>
      <c r="C257" s="71">
        <v>152.0</v>
      </c>
      <c r="D257" s="71">
        <v>41.0</v>
      </c>
    </row>
    <row r="258" ht="15.75" customHeight="1">
      <c r="A258" s="69">
        <v>70105.0</v>
      </c>
      <c r="B258" s="70" t="s">
        <v>279</v>
      </c>
      <c r="C258" s="71">
        <v>71.0</v>
      </c>
      <c r="D258" s="71">
        <v>20.0</v>
      </c>
    </row>
    <row r="259" ht="15.75" customHeight="1">
      <c r="A259" s="69">
        <v>70201.0</v>
      </c>
      <c r="B259" s="70" t="s">
        <v>280</v>
      </c>
      <c r="C259" s="71">
        <v>158.0</v>
      </c>
      <c r="D259" s="71">
        <v>56.0</v>
      </c>
    </row>
    <row r="260" ht="15.75" customHeight="1">
      <c r="A260" s="69">
        <v>70202.0</v>
      </c>
      <c r="B260" s="70" t="s">
        <v>281</v>
      </c>
      <c r="C260" s="71">
        <v>22.0</v>
      </c>
      <c r="D260" s="71">
        <v>0.0</v>
      </c>
    </row>
    <row r="261" ht="15.75" customHeight="1">
      <c r="A261" s="69">
        <v>70301.0</v>
      </c>
      <c r="B261" s="70" t="s">
        <v>282</v>
      </c>
      <c r="C261" s="71">
        <v>183.0</v>
      </c>
      <c r="D261" s="71">
        <v>84.0</v>
      </c>
    </row>
    <row r="262" ht="15.75" customHeight="1">
      <c r="A262" s="69">
        <v>70302.0</v>
      </c>
      <c r="B262" s="70" t="s">
        <v>283</v>
      </c>
      <c r="C262" s="71">
        <v>21.0</v>
      </c>
      <c r="D262" s="71">
        <v>6.0</v>
      </c>
    </row>
    <row r="263" ht="15.75" customHeight="1">
      <c r="A263" s="69">
        <v>70303.0</v>
      </c>
      <c r="B263" s="70" t="s">
        <v>284</v>
      </c>
      <c r="C263" s="71">
        <v>16.0</v>
      </c>
      <c r="D263" s="71">
        <v>4.0</v>
      </c>
    </row>
    <row r="264" ht="15.75" customHeight="1">
      <c r="A264" s="69">
        <v>70401.0</v>
      </c>
      <c r="B264" s="70" t="s">
        <v>285</v>
      </c>
      <c r="C264" s="71">
        <v>13.0</v>
      </c>
      <c r="D264" s="71">
        <v>5.0</v>
      </c>
    </row>
    <row r="265" ht="15.75" customHeight="1">
      <c r="A265" s="69">
        <v>70402.0</v>
      </c>
      <c r="B265" s="70" t="s">
        <v>286</v>
      </c>
      <c r="C265" s="71">
        <v>58.0</v>
      </c>
      <c r="D265" s="71">
        <v>4.0</v>
      </c>
    </row>
    <row r="266" ht="15.75" customHeight="1">
      <c r="A266" s="69">
        <v>70403.0</v>
      </c>
      <c r="B266" s="70" t="s">
        <v>287</v>
      </c>
      <c r="C266" s="71">
        <v>103.0</v>
      </c>
      <c r="D266" s="71">
        <v>30.0</v>
      </c>
    </row>
    <row r="267" ht="15.75" customHeight="1">
      <c r="A267" s="69">
        <v>70404.0</v>
      </c>
      <c r="B267" s="70" t="s">
        <v>288</v>
      </c>
      <c r="C267" s="71">
        <v>15.0</v>
      </c>
      <c r="D267" s="71">
        <v>3.0</v>
      </c>
    </row>
    <row r="268" ht="15.75" customHeight="1">
      <c r="A268" s="69">
        <v>70501.0</v>
      </c>
      <c r="B268" s="70" t="s">
        <v>289</v>
      </c>
      <c r="C268" s="71">
        <v>67.0</v>
      </c>
      <c r="D268" s="71">
        <v>67.0</v>
      </c>
    </row>
    <row r="269" ht="15.75" customHeight="1">
      <c r="A269" s="69">
        <v>70502.0</v>
      </c>
      <c r="B269" s="70" t="s">
        <v>290</v>
      </c>
      <c r="C269" s="71">
        <v>121.0</v>
      </c>
      <c r="D269" s="71">
        <v>76.0</v>
      </c>
    </row>
    <row r="270" ht="15.75" customHeight="1">
      <c r="A270" s="69">
        <v>70503.0</v>
      </c>
      <c r="B270" s="70" t="s">
        <v>291</v>
      </c>
      <c r="C270" s="71">
        <v>26.0</v>
      </c>
      <c r="D270" s="71">
        <v>9.0</v>
      </c>
    </row>
    <row r="271" ht="15.75" customHeight="1">
      <c r="A271" s="69">
        <v>70601.0</v>
      </c>
      <c r="B271" s="70" t="s">
        <v>292</v>
      </c>
      <c r="C271" s="71">
        <v>18.0</v>
      </c>
      <c r="D271" s="71">
        <v>1.0</v>
      </c>
    </row>
    <row r="272" ht="15.75" customHeight="1">
      <c r="A272" s="69">
        <v>70602.0</v>
      </c>
      <c r="B272" s="70" t="s">
        <v>293</v>
      </c>
      <c r="C272" s="71">
        <v>31.0</v>
      </c>
      <c r="D272" s="71">
        <v>13.0</v>
      </c>
    </row>
    <row r="273" ht="15.75" customHeight="1">
      <c r="A273" s="69">
        <v>70603.0</v>
      </c>
      <c r="B273" s="70" t="s">
        <v>294</v>
      </c>
      <c r="C273" s="71">
        <v>16.0</v>
      </c>
      <c r="D273" s="71">
        <v>3.0</v>
      </c>
    </row>
    <row r="274" ht="15.75" customHeight="1">
      <c r="A274" s="69">
        <v>70701.0</v>
      </c>
      <c r="B274" s="70" t="s">
        <v>295</v>
      </c>
      <c r="C274" s="71">
        <v>10.0</v>
      </c>
      <c r="D274" s="71">
        <v>4.0</v>
      </c>
    </row>
    <row r="275" ht="15.75" customHeight="1">
      <c r="A275" s="69">
        <v>70702.0</v>
      </c>
      <c r="B275" s="70" t="s">
        <v>296</v>
      </c>
      <c r="C275" s="71">
        <v>79.0</v>
      </c>
      <c r="D275" s="71">
        <v>27.0</v>
      </c>
    </row>
    <row r="276" ht="15.75" customHeight="1">
      <c r="A276" s="69">
        <v>70703.0</v>
      </c>
      <c r="B276" s="70" t="s">
        <v>297</v>
      </c>
      <c r="C276" s="71">
        <v>74.0</v>
      </c>
      <c r="D276" s="71">
        <v>18.0</v>
      </c>
    </row>
    <row r="277" ht="15.75" customHeight="1">
      <c r="A277" s="69">
        <v>70704.0</v>
      </c>
      <c r="B277" s="70" t="s">
        <v>298</v>
      </c>
      <c r="C277" s="71">
        <v>17.0</v>
      </c>
      <c r="D277" s="71">
        <v>3.0</v>
      </c>
    </row>
    <row r="278" ht="15.75" customHeight="1">
      <c r="A278" s="69">
        <v>70705.0</v>
      </c>
      <c r="B278" s="70" t="s">
        <v>299</v>
      </c>
      <c r="C278" s="71">
        <v>69.0</v>
      </c>
      <c r="D278" s="71">
        <v>16.0</v>
      </c>
    </row>
    <row r="279" ht="15.75" customHeight="1">
      <c r="A279" s="69">
        <v>70706.0</v>
      </c>
      <c r="B279" s="70" t="s">
        <v>300</v>
      </c>
      <c r="C279" s="71">
        <v>34.0</v>
      </c>
      <c r="D279" s="71">
        <v>7.0</v>
      </c>
    </row>
    <row r="280" ht="15.75" customHeight="1">
      <c r="A280" s="69">
        <v>70707.0</v>
      </c>
      <c r="B280" s="70" t="s">
        <v>301</v>
      </c>
      <c r="C280" s="71">
        <v>3.0</v>
      </c>
      <c r="D280" s="71">
        <v>7.0</v>
      </c>
    </row>
    <row r="281" ht="15.75" customHeight="1">
      <c r="A281" s="69">
        <v>70801.0</v>
      </c>
      <c r="B281" s="70" t="s">
        <v>302</v>
      </c>
      <c r="C281" s="71">
        <v>23.0</v>
      </c>
      <c r="D281" s="71">
        <v>4.0</v>
      </c>
    </row>
    <row r="282" ht="15.75" customHeight="1">
      <c r="A282" s="69">
        <v>70802.0</v>
      </c>
      <c r="B282" s="70" t="s">
        <v>303</v>
      </c>
      <c r="C282" s="71">
        <v>7.0</v>
      </c>
      <c r="D282" s="71">
        <v>0.0</v>
      </c>
    </row>
    <row r="283" ht="15.75" customHeight="1">
      <c r="A283" s="69">
        <v>70803.0</v>
      </c>
      <c r="B283" s="70" t="s">
        <v>304</v>
      </c>
      <c r="C283" s="71">
        <v>4.0</v>
      </c>
      <c r="D283" s="71">
        <v>1.0</v>
      </c>
    </row>
    <row r="284" ht="15.75" customHeight="1">
      <c r="A284" s="69">
        <v>70804.0</v>
      </c>
      <c r="B284" s="70" t="s">
        <v>305</v>
      </c>
      <c r="C284" s="71">
        <v>2.0</v>
      </c>
      <c r="D284" s="71">
        <v>1.0</v>
      </c>
    </row>
    <row r="285" ht="15.75" customHeight="1">
      <c r="A285" s="69">
        <v>70805.0</v>
      </c>
      <c r="B285" s="70" t="s">
        <v>306</v>
      </c>
      <c r="C285" s="71">
        <v>5.0</v>
      </c>
      <c r="D285" s="71">
        <v>1.0</v>
      </c>
    </row>
    <row r="286" ht="15.75" customHeight="1">
      <c r="A286" s="69">
        <v>70901.0</v>
      </c>
      <c r="B286" s="70" t="s">
        <v>307</v>
      </c>
      <c r="C286" s="71">
        <v>11.0</v>
      </c>
      <c r="D286" s="71">
        <v>10.0</v>
      </c>
    </row>
    <row r="287" ht="15.75" customHeight="1">
      <c r="A287" s="69">
        <v>70902.0</v>
      </c>
      <c r="B287" s="70" t="s">
        <v>308</v>
      </c>
      <c r="C287" s="71">
        <v>22.0</v>
      </c>
      <c r="D287" s="71">
        <v>16.0</v>
      </c>
    </row>
    <row r="288" ht="15.75" customHeight="1">
      <c r="A288" s="69">
        <v>70903.0</v>
      </c>
      <c r="B288" s="70" t="s">
        <v>309</v>
      </c>
      <c r="C288" s="71">
        <v>14.0</v>
      </c>
      <c r="D288" s="71">
        <v>11.0</v>
      </c>
    </row>
    <row r="289" ht="15.75" customHeight="1">
      <c r="A289" s="69">
        <v>70904.0</v>
      </c>
      <c r="B289" s="70" t="s">
        <v>310</v>
      </c>
      <c r="C289" s="71">
        <v>4.0</v>
      </c>
      <c r="D289" s="71">
        <v>2.0</v>
      </c>
    </row>
    <row r="290" ht="15.75" customHeight="1">
      <c r="A290" s="69">
        <v>71001.0</v>
      </c>
      <c r="B290" s="70" t="s">
        <v>311</v>
      </c>
      <c r="C290" s="71">
        <v>169.0</v>
      </c>
      <c r="D290" s="71">
        <v>31.0</v>
      </c>
    </row>
    <row r="291" ht="15.75" customHeight="1">
      <c r="A291" s="69">
        <v>71002.0</v>
      </c>
      <c r="B291" s="70" t="s">
        <v>312</v>
      </c>
      <c r="C291" s="71">
        <v>19.0</v>
      </c>
      <c r="D291" s="71">
        <v>3.0</v>
      </c>
    </row>
    <row r="292" ht="15.75" customHeight="1">
      <c r="A292" s="69">
        <v>71003.0</v>
      </c>
      <c r="B292" s="70" t="s">
        <v>313</v>
      </c>
      <c r="C292" s="71">
        <v>39.0</v>
      </c>
      <c r="D292" s="71">
        <v>6.0</v>
      </c>
    </row>
    <row r="293" ht="15.75" customHeight="1">
      <c r="A293" s="69">
        <v>71004.0</v>
      </c>
      <c r="B293" s="70" t="s">
        <v>314</v>
      </c>
      <c r="C293" s="71">
        <v>19.0</v>
      </c>
      <c r="D293" s="71">
        <v>2.0</v>
      </c>
    </row>
    <row r="294" ht="15.75" customHeight="1">
      <c r="A294" s="69">
        <v>71005.0</v>
      </c>
      <c r="B294" s="70" t="s">
        <v>315</v>
      </c>
      <c r="C294" s="71">
        <v>28.0</v>
      </c>
      <c r="D294" s="71">
        <v>1.0</v>
      </c>
    </row>
    <row r="295" ht="15.75" customHeight="1">
      <c r="A295" s="69">
        <v>71101.0</v>
      </c>
      <c r="B295" s="70" t="s">
        <v>316</v>
      </c>
      <c r="C295" s="71">
        <v>62.0</v>
      </c>
      <c r="D295" s="71">
        <v>40.0</v>
      </c>
    </row>
    <row r="296" ht="15.75" customHeight="1">
      <c r="A296" s="69">
        <v>71102.0</v>
      </c>
      <c r="B296" s="70" t="s">
        <v>317</v>
      </c>
      <c r="C296" s="71">
        <v>19.0</v>
      </c>
      <c r="D296" s="71">
        <v>8.0</v>
      </c>
    </row>
    <row r="297" ht="15.75" customHeight="1">
      <c r="A297" s="69">
        <v>71103.0</v>
      </c>
      <c r="B297" s="70" t="s">
        <v>318</v>
      </c>
      <c r="C297" s="71">
        <v>96.0</v>
      </c>
      <c r="D297" s="71">
        <v>7.0</v>
      </c>
    </row>
    <row r="298" ht="15.75" customHeight="1">
      <c r="A298" s="69">
        <v>71104.0</v>
      </c>
      <c r="B298" s="70" t="s">
        <v>319</v>
      </c>
      <c r="C298" s="71">
        <v>25.0</v>
      </c>
      <c r="D298" s="71">
        <v>19.0</v>
      </c>
    </row>
    <row r="299" ht="15.75" customHeight="1">
      <c r="A299" s="69">
        <v>71105.0</v>
      </c>
      <c r="B299" s="70" t="s">
        <v>320</v>
      </c>
      <c r="C299" s="71">
        <v>11.0</v>
      </c>
      <c r="D299" s="71">
        <v>8.0</v>
      </c>
    </row>
    <row r="300" ht="15.75" customHeight="1">
      <c r="A300" s="69">
        <v>71106.0</v>
      </c>
      <c r="B300" s="70" t="s">
        <v>321</v>
      </c>
      <c r="C300" s="71">
        <v>35.0</v>
      </c>
      <c r="D300" s="71">
        <v>21.0</v>
      </c>
    </row>
    <row r="301" ht="15.75" customHeight="1">
      <c r="A301" s="69">
        <v>71201.0</v>
      </c>
      <c r="B301" s="70" t="s">
        <v>322</v>
      </c>
      <c r="C301" s="71">
        <v>53.0</v>
      </c>
      <c r="D301" s="71">
        <v>12.0</v>
      </c>
    </row>
    <row r="302" ht="15.75" customHeight="1">
      <c r="A302" s="69">
        <v>71301.0</v>
      </c>
      <c r="B302" s="70" t="s">
        <v>323</v>
      </c>
      <c r="C302" s="71">
        <v>19.0</v>
      </c>
      <c r="D302" s="71">
        <v>13.0</v>
      </c>
    </row>
    <row r="303" ht="15.75" customHeight="1">
      <c r="A303" s="69">
        <v>71302.0</v>
      </c>
      <c r="B303" s="70" t="s">
        <v>324</v>
      </c>
      <c r="C303" s="71">
        <v>19.0</v>
      </c>
      <c r="D303" s="71">
        <v>3.0</v>
      </c>
    </row>
    <row r="304" ht="15.75" customHeight="1">
      <c r="A304" s="69">
        <v>71401.0</v>
      </c>
      <c r="B304" s="70" t="s">
        <v>325</v>
      </c>
      <c r="C304" s="71">
        <v>26.0</v>
      </c>
      <c r="D304" s="71">
        <v>7.0</v>
      </c>
    </row>
    <row r="305" ht="15.75" customHeight="1">
      <c r="A305" s="69">
        <v>71402.0</v>
      </c>
      <c r="B305" s="70" t="s">
        <v>326</v>
      </c>
      <c r="C305" s="71">
        <v>29.0</v>
      </c>
      <c r="D305" s="71">
        <v>8.0</v>
      </c>
    </row>
    <row r="306" ht="15.75" customHeight="1">
      <c r="A306" s="69">
        <v>71403.0</v>
      </c>
      <c r="B306" s="70" t="s">
        <v>327</v>
      </c>
      <c r="C306" s="71">
        <v>11.0</v>
      </c>
      <c r="D306" s="71">
        <v>9.0</v>
      </c>
    </row>
    <row r="307" ht="15.75" customHeight="1">
      <c r="A307" s="69">
        <v>71501.0</v>
      </c>
      <c r="B307" s="70" t="s">
        <v>328</v>
      </c>
      <c r="C307" s="71">
        <v>65.0</v>
      </c>
      <c r="D307" s="71">
        <v>27.0</v>
      </c>
    </row>
    <row r="308" ht="15.75" customHeight="1">
      <c r="A308" s="69">
        <v>71502.0</v>
      </c>
      <c r="B308" s="70" t="s">
        <v>329</v>
      </c>
      <c r="C308" s="71">
        <v>33.0</v>
      </c>
      <c r="D308" s="71">
        <v>5.0</v>
      </c>
    </row>
    <row r="309" ht="15.75" customHeight="1">
      <c r="A309" s="69">
        <v>71503.0</v>
      </c>
      <c r="B309" s="70" t="s">
        <v>274</v>
      </c>
      <c r="C309" s="71">
        <v>26.0</v>
      </c>
      <c r="D309" s="71">
        <v>9.0</v>
      </c>
    </row>
    <row r="310" ht="15.75" customHeight="1">
      <c r="A310" s="69">
        <v>80101.0</v>
      </c>
      <c r="B310" s="70" t="s">
        <v>330</v>
      </c>
      <c r="C310" s="71">
        <v>121.0</v>
      </c>
      <c r="D310" s="71">
        <v>55.0</v>
      </c>
    </row>
    <row r="311" ht="15.75" customHeight="1">
      <c r="A311" s="69">
        <v>80102.0</v>
      </c>
      <c r="B311" s="70" t="s">
        <v>317</v>
      </c>
      <c r="C311" s="71">
        <v>24.0</v>
      </c>
      <c r="D311" s="71">
        <v>13.0</v>
      </c>
    </row>
    <row r="312" ht="15.75" customHeight="1">
      <c r="A312" s="69">
        <v>80201.0</v>
      </c>
      <c r="B312" s="70" t="s">
        <v>331</v>
      </c>
      <c r="C312" s="71">
        <v>200.0</v>
      </c>
      <c r="D312" s="71">
        <v>64.0</v>
      </c>
    </row>
    <row r="313" ht="15.75" customHeight="1">
      <c r="A313" s="69">
        <v>80202.0</v>
      </c>
      <c r="B313" s="70" t="s">
        <v>332</v>
      </c>
      <c r="C313" s="71">
        <v>60.0</v>
      </c>
      <c r="D313" s="71">
        <v>14.0</v>
      </c>
    </row>
    <row r="314" ht="15.75" customHeight="1">
      <c r="A314" s="69">
        <v>80301.0</v>
      </c>
      <c r="B314" s="70" t="s">
        <v>333</v>
      </c>
      <c r="C314" s="71">
        <v>47.0</v>
      </c>
      <c r="D314" s="71">
        <v>19.0</v>
      </c>
    </row>
    <row r="315" ht="15.75" customHeight="1">
      <c r="A315" s="69">
        <v>80302.0</v>
      </c>
      <c r="B315" s="70" t="s">
        <v>334</v>
      </c>
      <c r="C315" s="71">
        <v>280.0</v>
      </c>
      <c r="D315" s="71">
        <v>236.0</v>
      </c>
    </row>
    <row r="316" ht="15.75" customHeight="1">
      <c r="A316" s="69">
        <v>80303.0</v>
      </c>
      <c r="B316" s="70" t="s">
        <v>335</v>
      </c>
      <c r="C316" s="71">
        <v>34.0</v>
      </c>
      <c r="D316" s="71">
        <v>13.0</v>
      </c>
    </row>
    <row r="317" ht="15.75" customHeight="1">
      <c r="A317" s="69">
        <v>80304.0</v>
      </c>
      <c r="B317" s="70" t="s">
        <v>336</v>
      </c>
      <c r="C317" s="71">
        <v>57.0</v>
      </c>
      <c r="D317" s="71">
        <v>42.0</v>
      </c>
    </row>
    <row r="318" ht="15.75" customHeight="1">
      <c r="A318" s="69">
        <v>80401.0</v>
      </c>
      <c r="B318" s="70" t="s">
        <v>337</v>
      </c>
      <c r="C318" s="71">
        <v>39.0</v>
      </c>
      <c r="D318" s="71">
        <v>28.0</v>
      </c>
    </row>
    <row r="319" ht="15.75" customHeight="1">
      <c r="A319" s="69">
        <v>80402.0</v>
      </c>
      <c r="B319" s="70" t="s">
        <v>338</v>
      </c>
      <c r="C319" s="71">
        <v>34.0</v>
      </c>
      <c r="D319" s="71">
        <v>15.0</v>
      </c>
    </row>
    <row r="320" ht="15.75" customHeight="1">
      <c r="A320" s="69">
        <v>80501.0</v>
      </c>
      <c r="B320" s="70" t="s">
        <v>339</v>
      </c>
      <c r="C320" s="71">
        <v>102.0</v>
      </c>
      <c r="D320" s="71">
        <v>70.0</v>
      </c>
    </row>
    <row r="321" ht="15.75" customHeight="1">
      <c r="A321" s="69">
        <v>80601.0</v>
      </c>
      <c r="B321" s="70" t="s">
        <v>340</v>
      </c>
      <c r="C321" s="71">
        <v>33.0</v>
      </c>
      <c r="D321" s="71">
        <v>26.0</v>
      </c>
    </row>
    <row r="322" ht="15.75" customHeight="1">
      <c r="A322" s="69">
        <v>80602.0</v>
      </c>
      <c r="B322" s="70" t="s">
        <v>341</v>
      </c>
      <c r="C322" s="71">
        <v>38.0</v>
      </c>
      <c r="D322" s="71">
        <v>15.0</v>
      </c>
    </row>
    <row r="323" ht="15.75" customHeight="1">
      <c r="A323" s="69">
        <v>80701.0</v>
      </c>
      <c r="B323" s="70" t="s">
        <v>342</v>
      </c>
      <c r="C323" s="71">
        <v>8.0</v>
      </c>
      <c r="D323" s="71">
        <v>3.0</v>
      </c>
    </row>
    <row r="324" ht="15.75" customHeight="1">
      <c r="A324" s="69">
        <v>80702.0</v>
      </c>
      <c r="B324" s="70" t="s">
        <v>318</v>
      </c>
      <c r="C324" s="71">
        <v>4.0</v>
      </c>
      <c r="D324" s="71">
        <v>7.0</v>
      </c>
    </row>
    <row r="325" ht="15.75" customHeight="1">
      <c r="A325" s="69">
        <v>80703.0</v>
      </c>
      <c r="B325" s="70" t="s">
        <v>343</v>
      </c>
      <c r="C325" s="71">
        <v>3.0</v>
      </c>
      <c r="D325" s="71">
        <v>1.0</v>
      </c>
    </row>
    <row r="326" ht="15.75" customHeight="1">
      <c r="A326" s="69">
        <v>80801.0</v>
      </c>
      <c r="B326" s="70" t="s">
        <v>344</v>
      </c>
      <c r="C326" s="71">
        <v>38.0</v>
      </c>
      <c r="D326" s="71">
        <v>10.0</v>
      </c>
    </row>
    <row r="327" ht="15.75" customHeight="1">
      <c r="A327" s="69">
        <v>80802.0</v>
      </c>
      <c r="B327" s="70" t="s">
        <v>345</v>
      </c>
      <c r="C327" s="71">
        <v>10.0</v>
      </c>
      <c r="D327" s="71">
        <v>2.0</v>
      </c>
    </row>
    <row r="328" ht="15.75" customHeight="1">
      <c r="A328" s="69">
        <v>80803.0</v>
      </c>
      <c r="B328" s="70" t="s">
        <v>346</v>
      </c>
      <c r="C328" s="71">
        <v>7.0</v>
      </c>
      <c r="D328" s="71">
        <v>2.0</v>
      </c>
    </row>
    <row r="329" ht="15.75" customHeight="1">
      <c r="A329" s="69">
        <v>80901.0</v>
      </c>
      <c r="B329" s="70" t="s">
        <v>347</v>
      </c>
      <c r="C329" s="71">
        <v>34.0</v>
      </c>
      <c r="D329" s="71">
        <v>22.0</v>
      </c>
    </row>
    <row r="330" ht="15.75" customHeight="1">
      <c r="A330" s="69">
        <v>90101.0</v>
      </c>
      <c r="B330" s="70" t="s">
        <v>348</v>
      </c>
      <c r="C330" s="71">
        <v>84.0</v>
      </c>
      <c r="D330" s="71">
        <v>17.0</v>
      </c>
    </row>
    <row r="331" ht="15.75" customHeight="1">
      <c r="A331" s="69">
        <v>90102.0</v>
      </c>
      <c r="B331" s="70" t="s">
        <v>349</v>
      </c>
      <c r="C331" s="71">
        <v>13.0</v>
      </c>
      <c r="D331" s="71">
        <v>2.0</v>
      </c>
    </row>
    <row r="332" ht="15.75" customHeight="1">
      <c r="A332" s="69">
        <v>90103.0</v>
      </c>
      <c r="B332" s="70" t="s">
        <v>350</v>
      </c>
      <c r="C332" s="71">
        <v>8.0</v>
      </c>
      <c r="D332" s="71">
        <v>0.0</v>
      </c>
    </row>
    <row r="333" ht="15.75" customHeight="1">
      <c r="A333" s="69">
        <v>90104.0</v>
      </c>
      <c r="B333" s="70" t="s">
        <v>351</v>
      </c>
      <c r="C333" s="71">
        <v>11.0</v>
      </c>
      <c r="D333" s="71">
        <v>3.0</v>
      </c>
    </row>
    <row r="334" ht="15.75" customHeight="1">
      <c r="A334" s="69">
        <v>90201.0</v>
      </c>
      <c r="B334" s="70" t="s">
        <v>352</v>
      </c>
      <c r="C334" s="71">
        <v>17.0</v>
      </c>
      <c r="D334" s="71">
        <v>5.0</v>
      </c>
    </row>
    <row r="335" ht="15.75" customHeight="1">
      <c r="A335" s="69">
        <v>90202.0</v>
      </c>
      <c r="B335" s="70" t="s">
        <v>315</v>
      </c>
      <c r="C335" s="71">
        <v>28.0</v>
      </c>
      <c r="D335" s="71">
        <v>14.0</v>
      </c>
    </row>
    <row r="336" ht="15.75" customHeight="1">
      <c r="A336" s="69">
        <v>90203.0</v>
      </c>
      <c r="B336" s="70" t="s">
        <v>353</v>
      </c>
      <c r="C336" s="71">
        <v>26.0</v>
      </c>
      <c r="D336" s="71">
        <v>8.0</v>
      </c>
    </row>
    <row r="337" ht="15.75" customHeight="1">
      <c r="A337" s="69">
        <v>90301.0</v>
      </c>
      <c r="B337" s="70" t="s">
        <v>354</v>
      </c>
      <c r="C337" s="71">
        <v>31.0</v>
      </c>
      <c r="D337" s="71">
        <v>13.0</v>
      </c>
    </row>
    <row r="338" ht="15.75" customHeight="1">
      <c r="A338" s="69">
        <v>90302.0</v>
      </c>
      <c r="B338" s="70" t="s">
        <v>355</v>
      </c>
      <c r="C338" s="71">
        <v>31.0</v>
      </c>
      <c r="D338" s="71">
        <v>35.0</v>
      </c>
    </row>
    <row r="339" ht="15.75" customHeight="1">
      <c r="A339" s="69">
        <v>90303.0</v>
      </c>
      <c r="B339" s="70" t="s">
        <v>356</v>
      </c>
      <c r="C339" s="71">
        <v>64.0</v>
      </c>
      <c r="D339" s="71">
        <v>14.0</v>
      </c>
    </row>
    <row r="340" ht="15.75" customHeight="1">
      <c r="A340" s="69">
        <v>90401.0</v>
      </c>
      <c r="B340" s="70" t="s">
        <v>357</v>
      </c>
      <c r="C340" s="71">
        <v>5.0</v>
      </c>
      <c r="D340" s="71">
        <v>1.0</v>
      </c>
    </row>
    <row r="341" ht="15.75" customHeight="1">
      <c r="A341" s="69">
        <v>90402.0</v>
      </c>
      <c r="B341" s="70" t="s">
        <v>358</v>
      </c>
      <c r="C341" s="71">
        <v>9.0</v>
      </c>
      <c r="D341" s="71">
        <v>5.0</v>
      </c>
    </row>
    <row r="342" ht="15.75" customHeight="1">
      <c r="A342" s="69">
        <v>90501.0</v>
      </c>
      <c r="B342" s="70" t="s">
        <v>359</v>
      </c>
      <c r="C342" s="71">
        <v>7.0</v>
      </c>
      <c r="D342" s="71">
        <v>2.0</v>
      </c>
    </row>
    <row r="343" ht="15.75" customHeight="1">
      <c r="A343" s="69">
        <v>90502.0</v>
      </c>
      <c r="B343" s="70" t="s">
        <v>360</v>
      </c>
      <c r="C343" s="71">
        <v>7.0</v>
      </c>
      <c r="D343" s="71">
        <v>5.0</v>
      </c>
    </row>
    <row r="344" ht="15.75" customHeight="1">
      <c r="A344" s="69">
        <v>90503.0</v>
      </c>
      <c r="B344" s="70" t="s">
        <v>361</v>
      </c>
      <c r="C344" s="71">
        <v>6.0</v>
      </c>
      <c r="D344" s="71">
        <v>0.0</v>
      </c>
    </row>
    <row r="345" ht="15.75" customHeight="1">
      <c r="A345" s="72"/>
      <c r="B345" s="48"/>
      <c r="C345" s="73"/>
      <c r="D345" s="73"/>
    </row>
    <row r="346" ht="15.75" customHeight="1">
      <c r="A346" s="72"/>
      <c r="B346" s="48"/>
      <c r="C346" s="73"/>
      <c r="D346" s="73"/>
    </row>
    <row r="347" ht="15.75" customHeight="1">
      <c r="A347" s="60"/>
      <c r="B347" s="61"/>
      <c r="C347" s="62"/>
      <c r="D347" s="62"/>
    </row>
    <row r="348" ht="15.75" customHeight="1">
      <c r="A348" s="60"/>
      <c r="B348" s="61"/>
      <c r="C348" s="62"/>
      <c r="D348" s="62"/>
    </row>
    <row r="349" ht="15.75" customHeight="1">
      <c r="A349" s="60"/>
      <c r="B349" s="61"/>
      <c r="C349" s="62"/>
      <c r="D349" s="62"/>
    </row>
    <row r="350" ht="15.75" customHeight="1">
      <c r="A350" s="60"/>
      <c r="B350" s="61"/>
      <c r="C350" s="62"/>
      <c r="D350" s="62"/>
    </row>
    <row r="351" ht="15.75" customHeight="1">
      <c r="A351" s="60"/>
      <c r="B351" s="61"/>
      <c r="C351" s="62"/>
      <c r="D351" s="62"/>
    </row>
    <row r="352" ht="15.75" customHeight="1">
      <c r="A352" s="60"/>
      <c r="B352" s="61"/>
      <c r="C352" s="62"/>
      <c r="D352" s="62"/>
    </row>
    <row r="353" ht="15.75" customHeight="1">
      <c r="A353" s="60"/>
      <c r="B353" s="61"/>
      <c r="C353" s="62"/>
      <c r="D353" s="62"/>
    </row>
    <row r="354" ht="15.75" customHeight="1">
      <c r="A354" s="60"/>
      <c r="B354" s="61"/>
      <c r="C354" s="62"/>
      <c r="D354" s="62"/>
    </row>
    <row r="355" ht="15.75" customHeight="1">
      <c r="A355" s="60"/>
      <c r="B355" s="61"/>
      <c r="C355" s="62"/>
      <c r="D355" s="62"/>
    </row>
    <row r="356" ht="15.75" customHeight="1">
      <c r="A356" s="60"/>
      <c r="B356" s="61"/>
      <c r="C356" s="62"/>
      <c r="D356" s="62"/>
    </row>
    <row r="357" ht="15.75" customHeight="1">
      <c r="A357" s="60"/>
      <c r="B357" s="61"/>
      <c r="C357" s="62"/>
      <c r="D357" s="62"/>
    </row>
    <row r="358" ht="15.75" customHeight="1">
      <c r="A358" s="60"/>
      <c r="B358" s="61"/>
      <c r="C358" s="62"/>
      <c r="D358" s="62"/>
    </row>
    <row r="359" ht="15.75" customHeight="1">
      <c r="A359" s="60"/>
      <c r="B359" s="61"/>
      <c r="C359" s="62"/>
      <c r="D359" s="62"/>
    </row>
    <row r="360" ht="15.75" customHeight="1">
      <c r="A360" s="60"/>
      <c r="B360" s="61"/>
      <c r="C360" s="62"/>
      <c r="D360" s="62"/>
    </row>
    <row r="361" ht="15.75" customHeight="1">
      <c r="A361" s="60"/>
      <c r="B361" s="61"/>
      <c r="C361" s="62"/>
      <c r="D361" s="62"/>
    </row>
    <row r="362" ht="15.75" customHeight="1">
      <c r="A362" s="60"/>
      <c r="B362" s="61"/>
      <c r="C362" s="62"/>
      <c r="D362" s="62"/>
    </row>
    <row r="363" ht="15.75" customHeight="1">
      <c r="A363" s="60"/>
      <c r="B363" s="61"/>
      <c r="C363" s="62"/>
      <c r="D363" s="62"/>
    </row>
    <row r="364" ht="15.75" customHeight="1">
      <c r="A364" s="60"/>
      <c r="B364" s="61"/>
      <c r="C364" s="62"/>
      <c r="D364" s="62"/>
    </row>
    <row r="365" ht="15.75" customHeight="1">
      <c r="A365" s="60"/>
      <c r="B365" s="61"/>
      <c r="C365" s="62"/>
      <c r="D365" s="62"/>
    </row>
    <row r="366" ht="15.75" customHeight="1">
      <c r="A366" s="60"/>
      <c r="B366" s="61"/>
      <c r="C366" s="62"/>
      <c r="D366" s="62"/>
    </row>
    <row r="367" ht="15.75" customHeight="1">
      <c r="A367" s="60"/>
      <c r="B367" s="61"/>
      <c r="C367" s="62"/>
      <c r="D367" s="62"/>
    </row>
    <row r="368" ht="15.75" customHeight="1">
      <c r="A368" s="60"/>
      <c r="B368" s="61"/>
      <c r="C368" s="62"/>
      <c r="D368" s="62"/>
    </row>
    <row r="369" ht="15.75" customHeight="1">
      <c r="A369" s="60"/>
      <c r="B369" s="61"/>
      <c r="C369" s="62"/>
      <c r="D369" s="62"/>
    </row>
    <row r="370" ht="15.75" customHeight="1">
      <c r="A370" s="60"/>
      <c r="B370" s="61"/>
      <c r="C370" s="62"/>
      <c r="D370" s="62"/>
    </row>
    <row r="371" ht="15.75" customHeight="1">
      <c r="A371" s="60"/>
      <c r="B371" s="61"/>
      <c r="C371" s="62"/>
      <c r="D371" s="62"/>
    </row>
    <row r="372" ht="15.75" customHeight="1">
      <c r="A372" s="60"/>
      <c r="B372" s="61"/>
      <c r="C372" s="62"/>
      <c r="D372" s="62"/>
    </row>
    <row r="373" ht="15.75" customHeight="1">
      <c r="A373" s="60"/>
      <c r="B373" s="61"/>
      <c r="C373" s="62"/>
      <c r="D373" s="62"/>
    </row>
    <row r="374" ht="15.75" customHeight="1">
      <c r="A374" s="60"/>
      <c r="B374" s="61"/>
      <c r="C374" s="62"/>
      <c r="D374" s="62"/>
    </row>
    <row r="375" ht="15.75" customHeight="1">
      <c r="A375" s="60"/>
      <c r="B375" s="61"/>
      <c r="C375" s="62"/>
      <c r="D375" s="62"/>
    </row>
    <row r="376" ht="15.75" customHeight="1">
      <c r="A376" s="60"/>
      <c r="B376" s="61"/>
      <c r="C376" s="62"/>
      <c r="D376" s="62"/>
    </row>
    <row r="377" ht="15.75" customHeight="1">
      <c r="A377" s="60"/>
      <c r="B377" s="61"/>
      <c r="C377" s="62"/>
      <c r="D377" s="62"/>
    </row>
    <row r="378" ht="15.75" customHeight="1">
      <c r="A378" s="60"/>
      <c r="B378" s="61"/>
      <c r="C378" s="62"/>
      <c r="D378" s="62"/>
    </row>
    <row r="379" ht="15.75" customHeight="1">
      <c r="A379" s="60"/>
      <c r="B379" s="61"/>
      <c r="C379" s="62"/>
      <c r="D379" s="62"/>
    </row>
    <row r="380" ht="15.75" customHeight="1">
      <c r="A380" s="60"/>
      <c r="B380" s="61"/>
      <c r="C380" s="62"/>
      <c r="D380" s="62"/>
    </row>
    <row r="381" ht="15.75" customHeight="1">
      <c r="A381" s="60"/>
      <c r="B381" s="61"/>
      <c r="C381" s="62"/>
      <c r="D381" s="62"/>
    </row>
    <row r="382" ht="15.75" customHeight="1">
      <c r="A382" s="60"/>
      <c r="B382" s="61"/>
      <c r="C382" s="62"/>
      <c r="D382" s="62"/>
    </row>
    <row r="383" ht="15.75" customHeight="1">
      <c r="A383" s="60"/>
      <c r="B383" s="61"/>
      <c r="C383" s="62"/>
      <c r="D383" s="62"/>
    </row>
    <row r="384" ht="15.75" customHeight="1">
      <c r="A384" s="60"/>
      <c r="B384" s="61"/>
      <c r="C384" s="62"/>
      <c r="D384" s="62"/>
    </row>
    <row r="385" ht="15.75" customHeight="1">
      <c r="A385" s="60"/>
      <c r="B385" s="61"/>
      <c r="C385" s="62"/>
      <c r="D385" s="62"/>
    </row>
    <row r="386" ht="15.75" customHeight="1">
      <c r="A386" s="60"/>
      <c r="B386" s="61"/>
      <c r="C386" s="62"/>
      <c r="D386" s="62"/>
    </row>
    <row r="387" ht="15.75" customHeight="1">
      <c r="A387" s="60"/>
      <c r="B387" s="61"/>
      <c r="C387" s="62"/>
      <c r="D387" s="62"/>
    </row>
    <row r="388" ht="15.75" customHeight="1">
      <c r="A388" s="60"/>
      <c r="B388" s="61"/>
      <c r="C388" s="62"/>
      <c r="D388" s="62"/>
    </row>
    <row r="389" ht="15.75" customHeight="1">
      <c r="A389" s="60"/>
      <c r="B389" s="61"/>
      <c r="C389" s="62"/>
      <c r="D389" s="62"/>
    </row>
    <row r="390" ht="15.75" customHeight="1">
      <c r="A390" s="60"/>
      <c r="B390" s="61"/>
      <c r="C390" s="62"/>
      <c r="D390" s="62"/>
    </row>
    <row r="391" ht="15.75" customHeight="1">
      <c r="A391" s="60"/>
      <c r="B391" s="61"/>
      <c r="C391" s="62"/>
      <c r="D391" s="62"/>
    </row>
    <row r="392" ht="15.75" customHeight="1">
      <c r="A392" s="60"/>
      <c r="B392" s="61"/>
      <c r="C392" s="62"/>
      <c r="D392" s="62"/>
    </row>
    <row r="393" ht="15.75" customHeight="1">
      <c r="A393" s="60"/>
      <c r="B393" s="61"/>
      <c r="C393" s="62"/>
      <c r="D393" s="62"/>
    </row>
    <row r="394" ht="15.75" customHeight="1">
      <c r="A394" s="60"/>
      <c r="B394" s="61"/>
      <c r="C394" s="62"/>
      <c r="D394" s="62"/>
    </row>
    <row r="395" ht="15.75" customHeight="1">
      <c r="A395" s="60"/>
      <c r="B395" s="61"/>
      <c r="C395" s="62"/>
      <c r="D395" s="62"/>
    </row>
    <row r="396" ht="15.75" customHeight="1">
      <c r="A396" s="60"/>
      <c r="B396" s="61"/>
      <c r="C396" s="62"/>
      <c r="D396" s="62"/>
    </row>
    <row r="397" ht="15.75" customHeight="1">
      <c r="A397" s="60"/>
      <c r="B397" s="61"/>
      <c r="C397" s="62"/>
      <c r="D397" s="62"/>
    </row>
    <row r="398" ht="15.75" customHeight="1">
      <c r="A398" s="60"/>
      <c r="B398" s="61"/>
      <c r="C398" s="62"/>
      <c r="D398" s="62"/>
    </row>
    <row r="399" ht="15.75" customHeight="1">
      <c r="A399" s="60"/>
      <c r="B399" s="61"/>
      <c r="C399" s="62"/>
      <c r="D399" s="62"/>
    </row>
    <row r="400" ht="15.75" customHeight="1">
      <c r="A400" s="60"/>
      <c r="B400" s="61"/>
      <c r="C400" s="62"/>
      <c r="D400" s="62"/>
    </row>
    <row r="401" ht="15.75" customHeight="1">
      <c r="A401" s="60"/>
      <c r="B401" s="61"/>
      <c r="C401" s="62"/>
      <c r="D401" s="62"/>
    </row>
    <row r="402" ht="15.75" customHeight="1">
      <c r="A402" s="60"/>
      <c r="B402" s="61"/>
      <c r="C402" s="62"/>
      <c r="D402" s="62"/>
    </row>
    <row r="403" ht="15.75" customHeight="1">
      <c r="A403" s="60"/>
      <c r="B403" s="61"/>
      <c r="C403" s="62"/>
      <c r="D403" s="62"/>
    </row>
    <row r="404" ht="15.75" customHeight="1">
      <c r="A404" s="60"/>
      <c r="B404" s="61"/>
      <c r="C404" s="62"/>
      <c r="D404" s="62"/>
    </row>
    <row r="405" ht="15.75" customHeight="1">
      <c r="A405" s="60"/>
      <c r="B405" s="61"/>
      <c r="C405" s="62"/>
      <c r="D405" s="62"/>
    </row>
    <row r="406" ht="15.75" customHeight="1">
      <c r="A406" s="60"/>
      <c r="B406" s="61"/>
      <c r="C406" s="62"/>
      <c r="D406" s="62"/>
    </row>
    <row r="407" ht="15.75" customHeight="1">
      <c r="A407" s="60"/>
      <c r="B407" s="61"/>
      <c r="C407" s="62"/>
      <c r="D407" s="62"/>
    </row>
    <row r="408" ht="15.75" customHeight="1">
      <c r="A408" s="60"/>
      <c r="B408" s="61"/>
      <c r="C408" s="62"/>
      <c r="D408" s="62"/>
    </row>
    <row r="409" ht="15.75" customHeight="1">
      <c r="A409" s="60"/>
      <c r="B409" s="61"/>
      <c r="C409" s="62"/>
      <c r="D409" s="62"/>
    </row>
    <row r="410" ht="15.75" customHeight="1">
      <c r="A410" s="60"/>
      <c r="B410" s="61"/>
      <c r="C410" s="62"/>
      <c r="D410" s="62"/>
    </row>
    <row r="411" ht="15.75" customHeight="1">
      <c r="A411" s="60"/>
      <c r="B411" s="61"/>
      <c r="C411" s="62"/>
      <c r="D411" s="62"/>
    </row>
    <row r="412" ht="15.75" customHeight="1">
      <c r="A412" s="60"/>
      <c r="B412" s="61"/>
      <c r="C412" s="62"/>
      <c r="D412" s="62"/>
    </row>
    <row r="413" ht="15.75" customHeight="1">
      <c r="A413" s="60"/>
      <c r="B413" s="61"/>
      <c r="C413" s="62"/>
      <c r="D413" s="62"/>
    </row>
    <row r="414" ht="15.75" customHeight="1">
      <c r="A414" s="60"/>
      <c r="B414" s="61"/>
      <c r="C414" s="62"/>
      <c r="D414" s="62"/>
    </row>
    <row r="415" ht="15.75" customHeight="1">
      <c r="A415" s="60"/>
      <c r="B415" s="61"/>
      <c r="C415" s="62"/>
      <c r="D415" s="62"/>
    </row>
    <row r="416" ht="15.75" customHeight="1">
      <c r="A416" s="60"/>
      <c r="B416" s="61"/>
      <c r="C416" s="62"/>
      <c r="D416" s="62"/>
    </row>
    <row r="417" ht="15.75" customHeight="1">
      <c r="A417" s="60"/>
      <c r="B417" s="61"/>
      <c r="C417" s="62"/>
      <c r="D417" s="62"/>
    </row>
    <row r="418" ht="15.75" customHeight="1">
      <c r="A418" s="60"/>
      <c r="B418" s="61"/>
      <c r="C418" s="62"/>
      <c r="D418" s="62"/>
    </row>
    <row r="419" ht="15.75" customHeight="1">
      <c r="A419" s="60"/>
      <c r="B419" s="61"/>
      <c r="C419" s="62"/>
      <c r="D419" s="62"/>
    </row>
    <row r="420" ht="15.75" customHeight="1">
      <c r="A420" s="60"/>
      <c r="B420" s="61"/>
      <c r="C420" s="62"/>
      <c r="D420" s="62"/>
    </row>
    <row r="421" ht="15.75" customHeight="1">
      <c r="A421" s="60"/>
      <c r="B421" s="61"/>
      <c r="C421" s="62"/>
      <c r="D421" s="62"/>
    </row>
    <row r="422" ht="15.75" customHeight="1">
      <c r="A422" s="60"/>
      <c r="B422" s="61"/>
      <c r="C422" s="62"/>
      <c r="D422" s="62"/>
    </row>
    <row r="423" ht="15.75" customHeight="1">
      <c r="A423" s="60"/>
      <c r="B423" s="61"/>
      <c r="C423" s="62"/>
      <c r="D423" s="62"/>
    </row>
    <row r="424" ht="15.75" customHeight="1">
      <c r="A424" s="60"/>
      <c r="B424" s="61"/>
      <c r="C424" s="62"/>
      <c r="D424" s="62"/>
    </row>
    <row r="425" ht="15.75" customHeight="1">
      <c r="A425" s="60"/>
      <c r="B425" s="61"/>
      <c r="C425" s="62"/>
      <c r="D425" s="62"/>
    </row>
    <row r="426" ht="15.75" customHeight="1">
      <c r="A426" s="60"/>
      <c r="B426" s="61"/>
      <c r="C426" s="62"/>
      <c r="D426" s="62"/>
    </row>
    <row r="427" ht="15.75" customHeight="1">
      <c r="A427" s="60"/>
      <c r="B427" s="61"/>
      <c r="C427" s="62"/>
      <c r="D427" s="62"/>
    </row>
    <row r="428" ht="15.75" customHeight="1">
      <c r="A428" s="60"/>
      <c r="B428" s="61"/>
      <c r="C428" s="62"/>
      <c r="D428" s="62"/>
    </row>
    <row r="429" ht="15.75" customHeight="1">
      <c r="A429" s="60"/>
      <c r="B429" s="61"/>
      <c r="C429" s="62"/>
      <c r="D429" s="62"/>
    </row>
    <row r="430" ht="15.75" customHeight="1">
      <c r="A430" s="60"/>
      <c r="B430" s="61"/>
      <c r="C430" s="62"/>
      <c r="D430" s="62"/>
    </row>
    <row r="431" ht="15.75" customHeight="1">
      <c r="A431" s="60"/>
      <c r="B431" s="61"/>
      <c r="C431" s="62"/>
      <c r="D431" s="62"/>
    </row>
    <row r="432" ht="15.75" customHeight="1">
      <c r="A432" s="60"/>
      <c r="B432" s="61"/>
      <c r="C432" s="62"/>
      <c r="D432" s="62"/>
    </row>
    <row r="433" ht="15.75" customHeight="1">
      <c r="A433" s="60"/>
      <c r="B433" s="61"/>
      <c r="C433" s="62"/>
      <c r="D433" s="62"/>
    </row>
    <row r="434" ht="15.75" customHeight="1">
      <c r="A434" s="60"/>
      <c r="B434" s="61"/>
      <c r="C434" s="62"/>
      <c r="D434" s="62"/>
    </row>
    <row r="435" ht="15.75" customHeight="1">
      <c r="A435" s="60"/>
      <c r="B435" s="61"/>
      <c r="C435" s="62"/>
      <c r="D435" s="62"/>
    </row>
    <row r="436" ht="15.75" customHeight="1">
      <c r="A436" s="60"/>
      <c r="B436" s="61"/>
      <c r="C436" s="62"/>
      <c r="D436" s="62"/>
    </row>
    <row r="437" ht="15.75" customHeight="1">
      <c r="A437" s="60"/>
      <c r="B437" s="61"/>
      <c r="C437" s="62"/>
      <c r="D437" s="62"/>
    </row>
    <row r="438" ht="15.75" customHeight="1">
      <c r="A438" s="60"/>
      <c r="B438" s="61"/>
      <c r="C438" s="62"/>
      <c r="D438" s="62"/>
    </row>
    <row r="439" ht="15.75" customHeight="1">
      <c r="A439" s="60"/>
      <c r="B439" s="61"/>
      <c r="C439" s="62"/>
      <c r="D439" s="62"/>
    </row>
    <row r="440" ht="15.75" customHeight="1">
      <c r="A440" s="60"/>
      <c r="B440" s="61"/>
      <c r="C440" s="62"/>
      <c r="D440" s="62"/>
    </row>
    <row r="441" ht="15.75" customHeight="1">
      <c r="A441" s="60"/>
      <c r="B441" s="61"/>
      <c r="C441" s="62"/>
      <c r="D441" s="62"/>
    </row>
    <row r="442" ht="15.75" customHeight="1">
      <c r="A442" s="60"/>
      <c r="B442" s="61"/>
      <c r="C442" s="62"/>
      <c r="D442" s="62"/>
    </row>
    <row r="443" ht="15.75" customHeight="1">
      <c r="A443" s="60"/>
      <c r="B443" s="61"/>
      <c r="C443" s="62"/>
      <c r="D443" s="62"/>
    </row>
    <row r="444" ht="15.75" customHeight="1">
      <c r="A444" s="60"/>
      <c r="B444" s="61"/>
      <c r="C444" s="62"/>
      <c r="D444" s="62"/>
    </row>
    <row r="445" ht="15.75" customHeight="1">
      <c r="A445" s="60"/>
      <c r="B445" s="61"/>
      <c r="C445" s="62"/>
      <c r="D445" s="62"/>
    </row>
    <row r="446" ht="15.75" customHeight="1">
      <c r="A446" s="60"/>
      <c r="B446" s="61"/>
      <c r="C446" s="62"/>
      <c r="D446" s="62"/>
    </row>
    <row r="447" ht="15.75" customHeight="1">
      <c r="A447" s="60"/>
      <c r="B447" s="61"/>
      <c r="C447" s="62"/>
      <c r="D447" s="62"/>
    </row>
    <row r="448" ht="15.75" customHeight="1">
      <c r="A448" s="60"/>
      <c r="B448" s="61"/>
      <c r="C448" s="62"/>
      <c r="D448" s="62"/>
    </row>
    <row r="449" ht="15.75" customHeight="1">
      <c r="A449" s="60"/>
      <c r="B449" s="61"/>
      <c r="C449" s="62"/>
      <c r="D449" s="62"/>
    </row>
    <row r="450" ht="15.75" customHeight="1">
      <c r="A450" s="60"/>
      <c r="B450" s="61"/>
      <c r="C450" s="62"/>
      <c r="D450" s="62"/>
    </row>
    <row r="451" ht="15.75" customHeight="1">
      <c r="A451" s="60"/>
      <c r="B451" s="61"/>
      <c r="C451" s="62"/>
      <c r="D451" s="62"/>
    </row>
    <row r="452" ht="15.75" customHeight="1">
      <c r="A452" s="60"/>
      <c r="B452" s="61"/>
      <c r="C452" s="62"/>
      <c r="D452" s="62"/>
    </row>
    <row r="453" ht="15.75" customHeight="1">
      <c r="A453" s="60"/>
      <c r="B453" s="61"/>
      <c r="C453" s="62"/>
      <c r="D453" s="62"/>
    </row>
    <row r="454" ht="15.75" customHeight="1">
      <c r="A454" s="60"/>
      <c r="B454" s="61"/>
      <c r="C454" s="62"/>
      <c r="D454" s="62"/>
    </row>
    <row r="455" ht="15.75" customHeight="1">
      <c r="A455" s="60"/>
      <c r="B455" s="61"/>
      <c r="C455" s="62"/>
      <c r="D455" s="62"/>
    </row>
    <row r="456" ht="15.75" customHeight="1">
      <c r="A456" s="60"/>
      <c r="B456" s="61"/>
      <c r="C456" s="62"/>
      <c r="D456" s="62"/>
    </row>
    <row r="457" ht="15.75" customHeight="1">
      <c r="A457" s="60"/>
      <c r="B457" s="61"/>
      <c r="C457" s="62"/>
      <c r="D457" s="62"/>
    </row>
    <row r="458" ht="15.75" customHeight="1">
      <c r="A458" s="60"/>
      <c r="B458" s="61"/>
      <c r="C458" s="62"/>
      <c r="D458" s="62"/>
    </row>
    <row r="459" ht="15.75" customHeight="1">
      <c r="A459" s="60"/>
      <c r="B459" s="61"/>
      <c r="C459" s="62"/>
      <c r="D459" s="62"/>
    </row>
    <row r="460" ht="15.75" customHeight="1">
      <c r="A460" s="60"/>
      <c r="B460" s="61"/>
      <c r="C460" s="62"/>
      <c r="D460" s="62"/>
    </row>
    <row r="461" ht="15.75" customHeight="1">
      <c r="A461" s="60"/>
      <c r="B461" s="61"/>
      <c r="C461" s="62"/>
      <c r="D461" s="62"/>
    </row>
    <row r="462" ht="15.75" customHeight="1">
      <c r="A462" s="60"/>
      <c r="B462" s="61"/>
      <c r="C462" s="62"/>
      <c r="D462" s="62"/>
    </row>
    <row r="463" ht="15.75" customHeight="1">
      <c r="A463" s="60"/>
      <c r="B463" s="61"/>
      <c r="C463" s="62"/>
      <c r="D463" s="62"/>
    </row>
    <row r="464" ht="15.75" customHeight="1">
      <c r="A464" s="60"/>
      <c r="B464" s="61"/>
      <c r="C464" s="62"/>
      <c r="D464" s="62"/>
    </row>
    <row r="465" ht="15.75" customHeight="1">
      <c r="A465" s="60"/>
      <c r="B465" s="61"/>
      <c r="C465" s="62"/>
      <c r="D465" s="62"/>
    </row>
    <row r="466" ht="15.75" customHeight="1">
      <c r="A466" s="60"/>
      <c r="B466" s="61"/>
      <c r="C466" s="62"/>
      <c r="D466" s="62"/>
    </row>
    <row r="467" ht="15.75" customHeight="1">
      <c r="A467" s="60"/>
      <c r="B467" s="61"/>
      <c r="C467" s="62"/>
      <c r="D467" s="62"/>
    </row>
    <row r="468" ht="15.75" customHeight="1">
      <c r="A468" s="60"/>
      <c r="B468" s="61"/>
      <c r="C468" s="62"/>
      <c r="D468" s="62"/>
    </row>
    <row r="469" ht="15.75" customHeight="1">
      <c r="A469" s="60"/>
      <c r="B469" s="61"/>
      <c r="C469" s="62"/>
      <c r="D469" s="62"/>
    </row>
    <row r="470" ht="15.75" customHeight="1">
      <c r="A470" s="60"/>
      <c r="B470" s="61"/>
      <c r="C470" s="62"/>
      <c r="D470" s="62"/>
    </row>
    <row r="471" ht="15.75" customHeight="1">
      <c r="A471" s="60"/>
      <c r="B471" s="61"/>
      <c r="C471" s="62"/>
      <c r="D471" s="62"/>
    </row>
    <row r="472" ht="15.75" customHeight="1">
      <c r="A472" s="60"/>
      <c r="B472" s="61"/>
      <c r="C472" s="62"/>
      <c r="D472" s="62"/>
    </row>
    <row r="473" ht="15.75" customHeight="1">
      <c r="A473" s="60"/>
      <c r="B473" s="61"/>
      <c r="C473" s="62"/>
      <c r="D473" s="62"/>
    </row>
    <row r="474" ht="15.75" customHeight="1">
      <c r="A474" s="60"/>
      <c r="B474" s="61"/>
      <c r="C474" s="62"/>
      <c r="D474" s="62"/>
    </row>
    <row r="475" ht="15.75" customHeight="1">
      <c r="A475" s="60"/>
      <c r="B475" s="61"/>
      <c r="C475" s="62"/>
      <c r="D475" s="62"/>
    </row>
    <row r="476" ht="15.75" customHeight="1">
      <c r="A476" s="60"/>
      <c r="B476" s="61"/>
      <c r="C476" s="62"/>
      <c r="D476" s="62"/>
    </row>
    <row r="477" ht="15.75" customHeight="1">
      <c r="A477" s="60"/>
      <c r="B477" s="61"/>
      <c r="C477" s="62"/>
      <c r="D477" s="62"/>
    </row>
    <row r="478" ht="15.75" customHeight="1">
      <c r="A478" s="60"/>
      <c r="B478" s="61"/>
      <c r="C478" s="62"/>
      <c r="D478" s="62"/>
    </row>
    <row r="479" ht="15.75" customHeight="1">
      <c r="A479" s="60"/>
      <c r="B479" s="61"/>
      <c r="C479" s="62"/>
      <c r="D479" s="62"/>
    </row>
    <row r="480" ht="15.75" customHeight="1">
      <c r="A480" s="60"/>
      <c r="B480" s="61"/>
      <c r="C480" s="62"/>
      <c r="D480" s="62"/>
    </row>
    <row r="481" ht="15.75" customHeight="1">
      <c r="A481" s="60"/>
      <c r="B481" s="61"/>
      <c r="C481" s="62"/>
      <c r="D481" s="62"/>
    </row>
    <row r="482" ht="15.75" customHeight="1">
      <c r="A482" s="60"/>
      <c r="B482" s="61"/>
      <c r="C482" s="62"/>
      <c r="D482" s="62"/>
    </row>
    <row r="483" ht="15.75" customHeight="1">
      <c r="A483" s="60"/>
      <c r="B483" s="61"/>
      <c r="C483" s="62"/>
      <c r="D483" s="62"/>
    </row>
    <row r="484" ht="15.75" customHeight="1">
      <c r="A484" s="60"/>
      <c r="B484" s="61"/>
      <c r="C484" s="62"/>
      <c r="D484" s="62"/>
    </row>
    <row r="485" ht="15.75" customHeight="1">
      <c r="A485" s="60"/>
      <c r="B485" s="61"/>
      <c r="C485" s="62"/>
      <c r="D485" s="62"/>
    </row>
    <row r="486" ht="15.75" customHeight="1">
      <c r="A486" s="60"/>
      <c r="B486" s="61"/>
      <c r="C486" s="62"/>
      <c r="D486" s="62"/>
    </row>
    <row r="487" ht="15.75" customHeight="1">
      <c r="A487" s="60"/>
      <c r="B487" s="61"/>
      <c r="C487" s="62"/>
      <c r="D487" s="62"/>
    </row>
    <row r="488" ht="15.75" customHeight="1">
      <c r="A488" s="60"/>
      <c r="B488" s="61"/>
      <c r="C488" s="62"/>
      <c r="D488" s="62"/>
    </row>
    <row r="489" ht="15.75" customHeight="1">
      <c r="A489" s="60"/>
      <c r="B489" s="61"/>
      <c r="C489" s="62"/>
      <c r="D489" s="62"/>
    </row>
    <row r="490" ht="15.75" customHeight="1">
      <c r="A490" s="60"/>
      <c r="B490" s="61"/>
      <c r="C490" s="62"/>
      <c r="D490" s="62"/>
    </row>
    <row r="491" ht="15.75" customHeight="1">
      <c r="A491" s="60"/>
      <c r="B491" s="61"/>
      <c r="C491" s="62"/>
      <c r="D491" s="62"/>
    </row>
    <row r="492" ht="15.75" customHeight="1">
      <c r="A492" s="60"/>
      <c r="B492" s="61"/>
      <c r="C492" s="62"/>
      <c r="D492" s="62"/>
    </row>
    <row r="493" ht="15.75" customHeight="1">
      <c r="A493" s="60"/>
      <c r="B493" s="61"/>
      <c r="C493" s="62"/>
      <c r="D493" s="62"/>
    </row>
    <row r="494" ht="15.75" customHeight="1">
      <c r="A494" s="60"/>
      <c r="B494" s="61"/>
      <c r="C494" s="62"/>
      <c r="D494" s="62"/>
    </row>
    <row r="495" ht="15.75" customHeight="1">
      <c r="A495" s="60"/>
      <c r="B495" s="61"/>
      <c r="C495" s="62"/>
      <c r="D495" s="62"/>
    </row>
    <row r="496" ht="15.75" customHeight="1">
      <c r="A496" s="60"/>
      <c r="B496" s="61"/>
      <c r="C496" s="62"/>
      <c r="D496" s="62"/>
    </row>
    <row r="497" ht="15.75" customHeight="1">
      <c r="A497" s="60"/>
      <c r="B497" s="61"/>
      <c r="C497" s="62"/>
      <c r="D497" s="62"/>
    </row>
    <row r="498" ht="15.75" customHeight="1">
      <c r="A498" s="60"/>
      <c r="B498" s="61"/>
      <c r="C498" s="62"/>
      <c r="D498" s="62"/>
    </row>
    <row r="499" ht="15.75" customHeight="1">
      <c r="A499" s="60"/>
      <c r="B499" s="61"/>
      <c r="C499" s="62"/>
      <c r="D499" s="62"/>
    </row>
    <row r="500" ht="15.75" customHeight="1">
      <c r="A500" s="60"/>
      <c r="B500" s="61"/>
      <c r="C500" s="62"/>
      <c r="D500" s="62"/>
    </row>
    <row r="501" ht="15.75" customHeight="1">
      <c r="A501" s="60"/>
      <c r="B501" s="61"/>
      <c r="C501" s="62"/>
      <c r="D501" s="62"/>
    </row>
    <row r="502" ht="15.75" customHeight="1">
      <c r="A502" s="60"/>
      <c r="B502" s="61"/>
      <c r="C502" s="62"/>
      <c r="D502" s="62"/>
    </row>
    <row r="503" ht="15.75" customHeight="1">
      <c r="A503" s="60"/>
      <c r="B503" s="61"/>
      <c r="C503" s="62"/>
      <c r="D503" s="62"/>
    </row>
    <row r="504" ht="15.75" customHeight="1">
      <c r="A504" s="60"/>
      <c r="B504" s="61"/>
      <c r="C504" s="62"/>
      <c r="D504" s="62"/>
    </row>
    <row r="505" ht="15.75" customHeight="1">
      <c r="A505" s="60"/>
      <c r="B505" s="61"/>
      <c r="C505" s="62"/>
      <c r="D505" s="62"/>
    </row>
    <row r="506" ht="15.75" customHeight="1">
      <c r="A506" s="60"/>
      <c r="B506" s="61"/>
      <c r="C506" s="62"/>
      <c r="D506" s="62"/>
    </row>
    <row r="507" ht="15.75" customHeight="1">
      <c r="A507" s="60"/>
      <c r="B507" s="61"/>
      <c r="C507" s="62"/>
      <c r="D507" s="62"/>
    </row>
    <row r="508" ht="15.75" customHeight="1">
      <c r="A508" s="60"/>
      <c r="B508" s="61"/>
      <c r="C508" s="62"/>
      <c r="D508" s="62"/>
    </row>
    <row r="509" ht="15.75" customHeight="1">
      <c r="A509" s="60"/>
      <c r="B509" s="61"/>
      <c r="C509" s="62"/>
      <c r="D509" s="62"/>
    </row>
    <row r="510" ht="15.75" customHeight="1">
      <c r="A510" s="60"/>
      <c r="B510" s="61"/>
      <c r="C510" s="62"/>
      <c r="D510" s="62"/>
    </row>
    <row r="511" ht="15.75" customHeight="1">
      <c r="A511" s="60"/>
      <c r="B511" s="61"/>
      <c r="C511" s="62"/>
      <c r="D511" s="62"/>
    </row>
    <row r="512" ht="15.75" customHeight="1">
      <c r="A512" s="60"/>
      <c r="B512" s="61"/>
      <c r="C512" s="62"/>
      <c r="D512" s="62"/>
    </row>
    <row r="513" ht="15.75" customHeight="1">
      <c r="A513" s="60"/>
      <c r="B513" s="61"/>
      <c r="C513" s="62"/>
      <c r="D513" s="62"/>
    </row>
    <row r="514" ht="15.75" customHeight="1">
      <c r="A514" s="60"/>
      <c r="B514" s="61"/>
      <c r="C514" s="62"/>
      <c r="D514" s="62"/>
    </row>
    <row r="515" ht="15.75" customHeight="1">
      <c r="A515" s="60"/>
      <c r="B515" s="61"/>
      <c r="C515" s="62"/>
      <c r="D515" s="62"/>
    </row>
    <row r="516" ht="15.75" customHeight="1">
      <c r="A516" s="60"/>
      <c r="B516" s="61"/>
      <c r="C516" s="62"/>
      <c r="D516" s="62"/>
    </row>
    <row r="517" ht="15.75" customHeight="1">
      <c r="A517" s="60"/>
      <c r="B517" s="61"/>
      <c r="C517" s="62"/>
      <c r="D517" s="62"/>
    </row>
    <row r="518" ht="15.75" customHeight="1">
      <c r="A518" s="60"/>
      <c r="B518" s="61"/>
      <c r="C518" s="62"/>
      <c r="D518" s="62"/>
    </row>
    <row r="519" ht="15.75" customHeight="1">
      <c r="A519" s="60"/>
      <c r="B519" s="61"/>
      <c r="C519" s="62"/>
      <c r="D519" s="62"/>
    </row>
    <row r="520" ht="15.75" customHeight="1">
      <c r="A520" s="60"/>
      <c r="B520" s="61"/>
      <c r="C520" s="62"/>
      <c r="D520" s="62"/>
    </row>
    <row r="521" ht="15.75" customHeight="1">
      <c r="A521" s="60"/>
      <c r="B521" s="61"/>
      <c r="C521" s="62"/>
      <c r="D521" s="62"/>
    </row>
    <row r="522" ht="15.75" customHeight="1">
      <c r="A522" s="60"/>
      <c r="B522" s="61"/>
      <c r="C522" s="62"/>
      <c r="D522" s="62"/>
    </row>
    <row r="523" ht="15.75" customHeight="1">
      <c r="A523" s="60"/>
      <c r="B523" s="61"/>
      <c r="C523" s="62"/>
      <c r="D523" s="62"/>
    </row>
    <row r="524" ht="15.75" customHeight="1">
      <c r="A524" s="60"/>
      <c r="B524" s="61"/>
      <c r="C524" s="62"/>
      <c r="D524" s="62"/>
    </row>
    <row r="525" ht="15.75" customHeight="1">
      <c r="A525" s="60"/>
      <c r="B525" s="61"/>
      <c r="C525" s="62"/>
      <c r="D525" s="62"/>
    </row>
    <row r="526" ht="15.75" customHeight="1">
      <c r="A526" s="60"/>
      <c r="B526" s="61"/>
      <c r="C526" s="62"/>
      <c r="D526" s="62"/>
    </row>
    <row r="527" ht="15.75" customHeight="1">
      <c r="A527" s="60"/>
      <c r="B527" s="61"/>
      <c r="C527" s="62"/>
      <c r="D527" s="62"/>
    </row>
    <row r="528" ht="15.75" customHeight="1">
      <c r="A528" s="60"/>
      <c r="B528" s="61"/>
      <c r="C528" s="62"/>
      <c r="D528" s="62"/>
    </row>
    <row r="529" ht="15.75" customHeight="1">
      <c r="A529" s="60"/>
      <c r="B529" s="61"/>
      <c r="C529" s="62"/>
      <c r="D529" s="62"/>
    </row>
    <row r="530" ht="15.75" customHeight="1">
      <c r="A530" s="60"/>
      <c r="B530" s="61"/>
      <c r="C530" s="62"/>
      <c r="D530" s="62"/>
    </row>
    <row r="531" ht="15.75" customHeight="1">
      <c r="A531" s="60"/>
      <c r="B531" s="61"/>
      <c r="C531" s="62"/>
      <c r="D531" s="62"/>
    </row>
    <row r="532" ht="15.75" customHeight="1">
      <c r="A532" s="60"/>
      <c r="B532" s="61"/>
      <c r="C532" s="62"/>
      <c r="D532" s="62"/>
    </row>
    <row r="533" ht="15.75" customHeight="1">
      <c r="A533" s="60"/>
      <c r="B533" s="61"/>
      <c r="C533" s="62"/>
      <c r="D533" s="62"/>
    </row>
    <row r="534" ht="15.75" customHeight="1">
      <c r="A534" s="60"/>
      <c r="B534" s="61"/>
      <c r="C534" s="62"/>
      <c r="D534" s="62"/>
    </row>
    <row r="535" ht="15.75" customHeight="1">
      <c r="A535" s="60"/>
      <c r="B535" s="61"/>
      <c r="C535" s="62"/>
      <c r="D535" s="62"/>
    </row>
    <row r="536" ht="15.75" customHeight="1">
      <c r="A536" s="60"/>
      <c r="B536" s="61"/>
      <c r="C536" s="62"/>
      <c r="D536" s="62"/>
    </row>
    <row r="537" ht="15.75" customHeight="1">
      <c r="A537" s="60"/>
      <c r="B537" s="61"/>
      <c r="C537" s="62"/>
      <c r="D537" s="62"/>
    </row>
    <row r="538" ht="15.75" customHeight="1">
      <c r="A538" s="60"/>
      <c r="B538" s="61"/>
      <c r="C538" s="62"/>
      <c r="D538" s="62"/>
    </row>
    <row r="539" ht="15.75" customHeight="1">
      <c r="A539" s="60"/>
      <c r="B539" s="61"/>
      <c r="C539" s="62"/>
      <c r="D539" s="62"/>
    </row>
    <row r="540" ht="15.75" customHeight="1">
      <c r="A540" s="60"/>
      <c r="B540" s="61"/>
      <c r="C540" s="62"/>
      <c r="D540" s="62"/>
    </row>
    <row r="541" ht="15.75" customHeight="1">
      <c r="A541" s="60"/>
      <c r="B541" s="61"/>
      <c r="C541" s="62"/>
      <c r="D541" s="62"/>
    </row>
    <row r="542" ht="15.75" customHeight="1">
      <c r="A542" s="60"/>
      <c r="B542" s="61"/>
      <c r="C542" s="62"/>
      <c r="D542" s="62"/>
    </row>
    <row r="543" ht="15.75" customHeight="1">
      <c r="A543" s="60"/>
      <c r="B543" s="61"/>
      <c r="C543" s="62"/>
      <c r="D543" s="62"/>
    </row>
    <row r="544" ht="15.75" customHeight="1">
      <c r="A544" s="60"/>
      <c r="B544" s="61"/>
      <c r="C544" s="62"/>
      <c r="D544" s="62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4" width="19.88"/>
    <col customWidth="1" min="5" max="6" width="12.63"/>
  </cols>
  <sheetData>
    <row r="1" ht="51.75" customHeight="1">
      <c r="A1" s="74" t="s">
        <v>10</v>
      </c>
      <c r="B1" s="75" t="s">
        <v>11</v>
      </c>
      <c r="C1" s="76" t="s">
        <v>363</v>
      </c>
      <c r="D1" s="76" t="s">
        <v>364</v>
      </c>
    </row>
    <row r="2" ht="15.75" customHeight="1">
      <c r="A2" s="77">
        <v>1.0</v>
      </c>
      <c r="B2" s="78" t="s">
        <v>18</v>
      </c>
      <c r="C2" s="79">
        <v>87.71742229826062</v>
      </c>
      <c r="D2" s="79">
        <v>94.73117388783034</v>
      </c>
    </row>
    <row r="3" ht="15.75" customHeight="1">
      <c r="A3" s="80">
        <v>2.0</v>
      </c>
      <c r="B3" s="81" t="s">
        <v>20</v>
      </c>
      <c r="C3" s="82">
        <v>80.4062462960768</v>
      </c>
      <c r="D3" s="82">
        <v>90.89782642366669</v>
      </c>
    </row>
    <row r="4" ht="15.75" customHeight="1">
      <c r="A4" s="80">
        <v>3.0</v>
      </c>
      <c r="B4" s="81" t="s">
        <v>22</v>
      </c>
      <c r="C4" s="82">
        <v>88.6324749764736</v>
      </c>
      <c r="D4" s="82">
        <v>95.03733295287013</v>
      </c>
    </row>
    <row r="5" ht="15.75" customHeight="1">
      <c r="A5" s="80">
        <v>4.0</v>
      </c>
      <c r="B5" s="81" t="s">
        <v>24</v>
      </c>
      <c r="C5" s="82">
        <v>82.9465186680121</v>
      </c>
      <c r="D5" s="82">
        <v>92.29595043548532</v>
      </c>
    </row>
    <row r="6" ht="15.75" customHeight="1">
      <c r="A6" s="80">
        <v>5.0</v>
      </c>
      <c r="B6" s="81" t="s">
        <v>26</v>
      </c>
      <c r="C6" s="82">
        <v>75.24264204396411</v>
      </c>
      <c r="D6" s="82">
        <v>88.73143247396278</v>
      </c>
    </row>
    <row r="7" ht="15.75" customHeight="1">
      <c r="A7" s="80">
        <v>6.0</v>
      </c>
      <c r="B7" s="81" t="s">
        <v>28</v>
      </c>
      <c r="C7" s="82">
        <v>93.18353604067889</v>
      </c>
      <c r="D7" s="82">
        <v>97.62815608263197</v>
      </c>
    </row>
    <row r="8" ht="15.75" customHeight="1">
      <c r="A8" s="80">
        <v>7.0</v>
      </c>
      <c r="B8" s="81" t="s">
        <v>30</v>
      </c>
      <c r="C8" s="82">
        <v>94.14258038512047</v>
      </c>
      <c r="D8" s="82">
        <v>98.04529795956542</v>
      </c>
    </row>
    <row r="9" ht="15.75" customHeight="1">
      <c r="A9" s="80">
        <v>8.0</v>
      </c>
      <c r="B9" s="81" t="s">
        <v>32</v>
      </c>
      <c r="C9" s="82">
        <v>89.65517241379311</v>
      </c>
      <c r="D9" s="82">
        <v>93.58147713950761</v>
      </c>
    </row>
    <row r="10" ht="15.75" customHeight="1">
      <c r="A10" s="80">
        <v>9.0</v>
      </c>
      <c r="B10" s="81" t="s">
        <v>34</v>
      </c>
      <c r="C10" s="82">
        <v>88.75567077122489</v>
      </c>
      <c r="D10" s="82">
        <v>95.55396199354608</v>
      </c>
    </row>
    <row r="11" ht="15.75" customHeight="1">
      <c r="A11" s="80">
        <v>10.0</v>
      </c>
      <c r="B11" s="81" t="s">
        <v>36</v>
      </c>
      <c r="C11" s="82">
        <v>93.3602086791558</v>
      </c>
      <c r="D11" s="82">
        <v>97.6803304734668</v>
      </c>
    </row>
    <row r="12" ht="15.75" customHeight="1">
      <c r="A12" s="80">
        <v>11.0</v>
      </c>
      <c r="B12" s="81" t="s">
        <v>38</v>
      </c>
      <c r="C12" s="82">
        <v>87.14981981338754</v>
      </c>
      <c r="D12" s="82">
        <v>94.2543771382572</v>
      </c>
    </row>
    <row r="13" ht="15.75" customHeight="1">
      <c r="A13" s="41"/>
      <c r="B13" s="48"/>
      <c r="C13" s="83"/>
      <c r="D13" s="83"/>
    </row>
    <row r="14" ht="15.75" customHeight="1">
      <c r="A14" s="41"/>
      <c r="B14" s="48"/>
      <c r="C14" s="83"/>
      <c r="D14" s="83"/>
    </row>
    <row r="15" ht="15.75" customHeight="1">
      <c r="A15" s="41"/>
      <c r="B15" s="48"/>
      <c r="C15" s="83"/>
      <c r="D15" s="83"/>
    </row>
    <row r="16" ht="15.75" customHeight="1">
      <c r="A16" s="41"/>
      <c r="B16" s="48"/>
      <c r="C16" s="83"/>
      <c r="D16" s="83"/>
    </row>
    <row r="17" ht="15.75" customHeight="1">
      <c r="A17" s="41"/>
      <c r="B17" s="48"/>
      <c r="C17" s="83"/>
      <c r="D17" s="83"/>
    </row>
    <row r="18" ht="15.75" customHeight="1">
      <c r="A18" s="41"/>
      <c r="B18" s="48"/>
      <c r="C18" s="83"/>
      <c r="D18" s="83"/>
    </row>
    <row r="19" ht="15.75" customHeight="1">
      <c r="A19" s="41"/>
      <c r="B19" s="48"/>
      <c r="C19" s="83"/>
      <c r="D19" s="83"/>
    </row>
    <row r="20" ht="15.75" customHeight="1">
      <c r="A20" s="41"/>
      <c r="B20" s="48"/>
      <c r="C20" s="83"/>
      <c r="D20" s="83"/>
    </row>
    <row r="21" ht="15.75" customHeight="1">
      <c r="A21" s="41"/>
      <c r="B21" s="48"/>
      <c r="C21" s="83"/>
      <c r="D21" s="83"/>
    </row>
    <row r="22" ht="15.75" customHeight="1">
      <c r="A22" s="41"/>
      <c r="B22" s="48"/>
      <c r="C22" s="83"/>
      <c r="D22" s="83"/>
    </row>
    <row r="23" ht="15.75" customHeight="1">
      <c r="A23" s="41"/>
      <c r="B23" s="48"/>
      <c r="C23" s="83"/>
      <c r="D23" s="83"/>
    </row>
    <row r="24" ht="15.75" customHeight="1">
      <c r="A24" s="41"/>
      <c r="B24" s="48"/>
      <c r="C24" s="83"/>
      <c r="D24" s="83"/>
    </row>
    <row r="25" ht="15.75" customHeight="1">
      <c r="A25" s="41"/>
      <c r="B25" s="48"/>
      <c r="C25" s="83"/>
      <c r="D25" s="83"/>
    </row>
    <row r="26" ht="15.75" customHeight="1">
      <c r="A26" s="41"/>
      <c r="B26" s="48"/>
      <c r="C26" s="83"/>
      <c r="D26" s="83"/>
    </row>
    <row r="27" ht="15.75" customHeight="1">
      <c r="A27" s="41"/>
      <c r="B27" s="48"/>
      <c r="C27" s="83"/>
      <c r="D27" s="83"/>
    </row>
    <row r="28" ht="15.75" customHeight="1">
      <c r="A28" s="41"/>
      <c r="B28" s="48"/>
      <c r="C28" s="83"/>
      <c r="D28" s="83"/>
    </row>
    <row r="29" ht="15.75" customHeight="1">
      <c r="A29" s="41"/>
      <c r="B29" s="48"/>
      <c r="C29" s="83"/>
      <c r="D29" s="83"/>
    </row>
    <row r="30" ht="15.75" customHeight="1">
      <c r="A30" s="41"/>
      <c r="B30" s="48"/>
      <c r="C30" s="83"/>
      <c r="D30" s="83"/>
    </row>
    <row r="31" ht="15.75" customHeight="1">
      <c r="A31" s="41"/>
      <c r="B31" s="48"/>
      <c r="C31" s="83"/>
      <c r="D31" s="83"/>
    </row>
    <row r="32" ht="15.75" customHeight="1">
      <c r="A32" s="41"/>
      <c r="B32" s="48"/>
      <c r="C32" s="83"/>
      <c r="D32" s="83"/>
    </row>
    <row r="33" ht="15.75" customHeight="1">
      <c r="A33" s="41"/>
      <c r="B33" s="48"/>
      <c r="C33" s="83"/>
      <c r="D33" s="83"/>
    </row>
    <row r="34" ht="15.75" customHeight="1">
      <c r="A34" s="41"/>
      <c r="B34" s="48"/>
      <c r="C34" s="83"/>
      <c r="D34" s="83"/>
    </row>
    <row r="35" ht="15.75" customHeight="1">
      <c r="A35" s="41"/>
      <c r="B35" s="48"/>
      <c r="C35" s="83"/>
      <c r="D35" s="83"/>
    </row>
    <row r="36" ht="15.75" customHeight="1">
      <c r="A36" s="41"/>
      <c r="B36" s="48"/>
      <c r="C36" s="83"/>
      <c r="D36" s="83"/>
    </row>
    <row r="37" ht="15.75" customHeight="1">
      <c r="A37" s="41"/>
      <c r="B37" s="48"/>
      <c r="C37" s="83"/>
      <c r="D37" s="83"/>
    </row>
    <row r="38" ht="15.75" customHeight="1">
      <c r="A38" s="41"/>
      <c r="B38" s="48"/>
      <c r="C38" s="83"/>
      <c r="D38" s="83"/>
    </row>
    <row r="39" ht="15.75" customHeight="1">
      <c r="A39" s="41"/>
      <c r="B39" s="48"/>
      <c r="C39" s="83"/>
      <c r="D39" s="83"/>
    </row>
    <row r="40" ht="15.75" customHeight="1">
      <c r="A40" s="41"/>
      <c r="B40" s="48"/>
      <c r="C40" s="83"/>
      <c r="D40" s="83"/>
    </row>
    <row r="41" ht="15.75" customHeight="1">
      <c r="A41" s="41"/>
      <c r="B41" s="48"/>
      <c r="C41" s="83"/>
      <c r="D41" s="83"/>
    </row>
    <row r="42" ht="15.75" customHeight="1">
      <c r="A42" s="41"/>
      <c r="B42" s="48"/>
      <c r="C42" s="83"/>
      <c r="D42" s="83"/>
    </row>
    <row r="43" ht="15.75" customHeight="1">
      <c r="A43" s="41"/>
      <c r="B43" s="48"/>
      <c r="C43" s="83"/>
      <c r="D43" s="83"/>
    </row>
    <row r="44" ht="15.75" customHeight="1">
      <c r="A44" s="41"/>
      <c r="B44" s="48"/>
      <c r="C44" s="83"/>
      <c r="D44" s="83"/>
    </row>
    <row r="45" ht="15.75" customHeight="1">
      <c r="A45" s="41"/>
      <c r="B45" s="48"/>
      <c r="C45" s="83"/>
      <c r="D45" s="83"/>
    </row>
    <row r="46" ht="15.75" customHeight="1">
      <c r="A46" s="41"/>
      <c r="B46" s="48"/>
      <c r="C46" s="83"/>
      <c r="D46" s="83"/>
    </row>
    <row r="47" ht="15.75" customHeight="1">
      <c r="A47" s="41"/>
      <c r="B47" s="48"/>
      <c r="C47" s="83"/>
      <c r="D47" s="83"/>
    </row>
    <row r="48" ht="15.75" customHeight="1">
      <c r="A48" s="41"/>
      <c r="B48" s="48"/>
      <c r="C48" s="83"/>
      <c r="D48" s="83"/>
    </row>
    <row r="49" ht="15.75" customHeight="1">
      <c r="A49" s="41"/>
      <c r="B49" s="48"/>
      <c r="C49" s="83"/>
      <c r="D49" s="83"/>
    </row>
    <row r="50" ht="15.75" customHeight="1">
      <c r="A50" s="41"/>
      <c r="B50" s="48"/>
      <c r="C50" s="83"/>
      <c r="D50" s="83"/>
    </row>
    <row r="51" ht="15.75" customHeight="1">
      <c r="A51" s="41"/>
      <c r="B51" s="48"/>
      <c r="C51" s="83"/>
      <c r="D51" s="83"/>
    </row>
    <row r="52" ht="15.75" customHeight="1">
      <c r="A52" s="41"/>
      <c r="B52" s="48"/>
      <c r="C52" s="83"/>
      <c r="D52" s="83"/>
    </row>
    <row r="53" ht="15.75" customHeight="1">
      <c r="A53" s="41"/>
      <c r="B53" s="48"/>
      <c r="C53" s="83"/>
      <c r="D53" s="83"/>
    </row>
    <row r="54" ht="15.75" customHeight="1">
      <c r="A54" s="41"/>
      <c r="B54" s="48"/>
      <c r="C54" s="83"/>
      <c r="D54" s="83"/>
    </row>
    <row r="55" ht="15.75" customHeight="1">
      <c r="A55" s="41"/>
      <c r="B55" s="48"/>
      <c r="C55" s="83"/>
      <c r="D55" s="83"/>
    </row>
    <row r="56" ht="15.75" customHeight="1">
      <c r="A56" s="41"/>
      <c r="B56" s="48"/>
      <c r="C56" s="83"/>
      <c r="D56" s="83"/>
    </row>
    <row r="57" ht="15.75" customHeight="1">
      <c r="A57" s="41"/>
      <c r="B57" s="48"/>
      <c r="C57" s="83"/>
      <c r="D57" s="83"/>
    </row>
    <row r="58" ht="15.75" customHeight="1">
      <c r="A58" s="41"/>
      <c r="B58" s="48"/>
      <c r="C58" s="83"/>
      <c r="D58" s="83"/>
    </row>
    <row r="59" ht="15.75" customHeight="1">
      <c r="A59" s="41"/>
      <c r="B59" s="48"/>
      <c r="C59" s="83"/>
      <c r="D59" s="83"/>
    </row>
    <row r="60" ht="15.75" customHeight="1">
      <c r="A60" s="41"/>
      <c r="B60" s="48"/>
      <c r="C60" s="83"/>
      <c r="D60" s="83"/>
    </row>
    <row r="61" ht="15.75" customHeight="1">
      <c r="A61" s="41"/>
      <c r="B61" s="48"/>
      <c r="C61" s="83"/>
      <c r="D61" s="83"/>
    </row>
    <row r="62" ht="15.75" customHeight="1">
      <c r="A62" s="41"/>
      <c r="B62" s="48"/>
      <c r="C62" s="83"/>
      <c r="D62" s="83"/>
    </row>
    <row r="63" ht="15.75" customHeight="1">
      <c r="A63" s="41"/>
      <c r="B63" s="48"/>
      <c r="C63" s="83"/>
      <c r="D63" s="83"/>
    </row>
    <row r="64" ht="15.75" customHeight="1">
      <c r="A64" s="41"/>
      <c r="B64" s="48"/>
      <c r="C64" s="83"/>
      <c r="D64" s="83"/>
    </row>
    <row r="65" ht="15.75" customHeight="1">
      <c r="A65" s="41"/>
      <c r="B65" s="48"/>
      <c r="C65" s="83"/>
      <c r="D65" s="83"/>
    </row>
    <row r="66" ht="15.75" customHeight="1">
      <c r="A66" s="41"/>
      <c r="B66" s="48"/>
      <c r="C66" s="83"/>
      <c r="D66" s="83"/>
    </row>
    <row r="67" ht="15.75" customHeight="1">
      <c r="A67" s="41"/>
      <c r="B67" s="48"/>
      <c r="C67" s="83"/>
      <c r="D67" s="83"/>
    </row>
    <row r="68" ht="15.75" customHeight="1">
      <c r="A68" s="41"/>
      <c r="B68" s="48"/>
      <c r="C68" s="83"/>
      <c r="D68" s="83"/>
    </row>
    <row r="69" ht="15.75" customHeight="1">
      <c r="A69" s="41"/>
      <c r="B69" s="48"/>
      <c r="C69" s="83"/>
      <c r="D69" s="83"/>
    </row>
    <row r="70" ht="15.75" customHeight="1">
      <c r="A70" s="41"/>
      <c r="B70" s="48"/>
      <c r="C70" s="83"/>
      <c r="D70" s="83"/>
    </row>
    <row r="71" ht="15.75" customHeight="1">
      <c r="A71" s="41"/>
      <c r="B71" s="48"/>
      <c r="C71" s="83"/>
      <c r="D71" s="83"/>
    </row>
    <row r="72" ht="15.75" customHeight="1">
      <c r="A72" s="41"/>
      <c r="B72" s="48"/>
      <c r="C72" s="83"/>
      <c r="D72" s="83"/>
    </row>
    <row r="73" ht="15.75" customHeight="1">
      <c r="A73" s="41"/>
      <c r="B73" s="48"/>
      <c r="C73" s="83"/>
      <c r="D73" s="83"/>
    </row>
    <row r="74" ht="15.75" customHeight="1">
      <c r="A74" s="41"/>
      <c r="B74" s="48"/>
      <c r="C74" s="83"/>
      <c r="D74" s="83"/>
    </row>
    <row r="75" ht="15.75" customHeight="1">
      <c r="A75" s="41"/>
      <c r="B75" s="48"/>
      <c r="C75" s="83"/>
      <c r="D75" s="83"/>
    </row>
    <row r="76" ht="15.75" customHeight="1">
      <c r="A76" s="41"/>
      <c r="B76" s="48"/>
      <c r="C76" s="83"/>
      <c r="D76" s="83"/>
    </row>
    <row r="77" ht="15.75" customHeight="1">
      <c r="A77" s="41"/>
      <c r="B77" s="48"/>
      <c r="C77" s="83"/>
      <c r="D77" s="83"/>
    </row>
    <row r="78" ht="15.75" customHeight="1">
      <c r="A78" s="41"/>
      <c r="B78" s="48"/>
      <c r="C78" s="83"/>
      <c r="D78" s="83"/>
    </row>
    <row r="79" ht="15.75" customHeight="1">
      <c r="A79" s="41"/>
      <c r="B79" s="48"/>
      <c r="C79" s="83"/>
      <c r="D79" s="83"/>
    </row>
    <row r="80" ht="15.75" customHeight="1">
      <c r="A80" s="41"/>
      <c r="B80" s="48"/>
      <c r="C80" s="83"/>
      <c r="D80" s="83"/>
    </row>
    <row r="81" ht="15.75" customHeight="1">
      <c r="A81" s="41"/>
      <c r="B81" s="48"/>
      <c r="C81" s="83"/>
      <c r="D81" s="83"/>
    </row>
    <row r="82" ht="15.75" customHeight="1">
      <c r="A82" s="41"/>
      <c r="B82" s="48"/>
      <c r="C82" s="83"/>
      <c r="D82" s="83"/>
    </row>
    <row r="83" ht="15.75" customHeight="1">
      <c r="A83" s="41"/>
      <c r="B83" s="48"/>
      <c r="C83" s="83"/>
      <c r="D83" s="83"/>
    </row>
    <row r="84" ht="15.75" customHeight="1">
      <c r="A84" s="41"/>
      <c r="B84" s="48"/>
      <c r="C84" s="83"/>
      <c r="D84" s="83"/>
    </row>
    <row r="85" ht="15.75" customHeight="1">
      <c r="A85" s="41"/>
      <c r="B85" s="48"/>
      <c r="C85" s="83"/>
      <c r="D85" s="83"/>
    </row>
    <row r="86" ht="15.75" customHeight="1">
      <c r="A86" s="41"/>
      <c r="B86" s="48"/>
      <c r="C86" s="83"/>
      <c r="D86" s="83"/>
    </row>
    <row r="87" ht="15.75" customHeight="1">
      <c r="A87" s="41"/>
      <c r="B87" s="48"/>
      <c r="C87" s="83"/>
      <c r="D87" s="83"/>
    </row>
    <row r="88" ht="15.75" customHeight="1">
      <c r="A88" s="41"/>
      <c r="B88" s="48"/>
      <c r="C88" s="83"/>
      <c r="D88" s="83"/>
    </row>
    <row r="89" ht="15.75" customHeight="1">
      <c r="A89" s="41"/>
      <c r="B89" s="48"/>
      <c r="C89" s="83"/>
      <c r="D89" s="83"/>
    </row>
    <row r="90" ht="15.75" customHeight="1">
      <c r="A90" s="41"/>
      <c r="B90" s="48"/>
      <c r="C90" s="83"/>
      <c r="D90" s="83"/>
    </row>
    <row r="91" ht="15.75" customHeight="1">
      <c r="A91" s="41"/>
      <c r="B91" s="48"/>
      <c r="C91" s="83"/>
      <c r="D91" s="83"/>
    </row>
    <row r="92" ht="15.75" customHeight="1">
      <c r="A92" s="41"/>
      <c r="B92" s="48"/>
      <c r="C92" s="83"/>
      <c r="D92" s="83"/>
    </row>
    <row r="93" ht="15.75" customHeight="1">
      <c r="A93" s="41"/>
      <c r="B93" s="48"/>
      <c r="C93" s="83"/>
      <c r="D93" s="83"/>
    </row>
    <row r="94" ht="15.75" customHeight="1">
      <c r="A94" s="41"/>
      <c r="B94" s="48"/>
      <c r="C94" s="83"/>
      <c r="D94" s="83"/>
    </row>
    <row r="95" ht="15.75" customHeight="1">
      <c r="A95" s="41"/>
      <c r="B95" s="48"/>
      <c r="C95" s="83"/>
      <c r="D95" s="83"/>
    </row>
    <row r="96" ht="15.75" customHeight="1">
      <c r="A96" s="41"/>
      <c r="B96" s="48"/>
      <c r="C96" s="83"/>
      <c r="D96" s="83"/>
    </row>
    <row r="97" ht="15.75" customHeight="1">
      <c r="A97" s="41"/>
      <c r="B97" s="48"/>
      <c r="C97" s="83"/>
      <c r="D97" s="83"/>
    </row>
    <row r="98" ht="15.75" customHeight="1">
      <c r="A98" s="41"/>
      <c r="B98" s="48"/>
      <c r="C98" s="83"/>
      <c r="D98" s="83"/>
    </row>
    <row r="99" ht="15.75" customHeight="1">
      <c r="A99" s="41"/>
      <c r="B99" s="48"/>
      <c r="C99" s="83"/>
      <c r="D99" s="83"/>
    </row>
    <row r="100" ht="15.75" customHeight="1">
      <c r="A100" s="41"/>
      <c r="B100" s="48"/>
      <c r="C100" s="83"/>
      <c r="D100" s="83"/>
    </row>
    <row r="101" ht="15.75" customHeight="1">
      <c r="A101" s="41"/>
      <c r="B101" s="48"/>
      <c r="C101" s="83"/>
      <c r="D101" s="83"/>
    </row>
    <row r="102" ht="15.75" customHeight="1">
      <c r="A102" s="41"/>
      <c r="B102" s="48"/>
      <c r="C102" s="83"/>
      <c r="D102" s="83"/>
    </row>
    <row r="103" ht="15.75" customHeight="1">
      <c r="A103" s="41"/>
      <c r="B103" s="48"/>
      <c r="C103" s="83"/>
      <c r="D103" s="83"/>
    </row>
    <row r="104" ht="15.75" customHeight="1">
      <c r="A104" s="41"/>
      <c r="B104" s="48"/>
      <c r="C104" s="83"/>
      <c r="D104" s="83"/>
    </row>
    <row r="105" ht="15.75" customHeight="1">
      <c r="A105" s="41"/>
      <c r="B105" s="48"/>
      <c r="C105" s="83"/>
      <c r="D105" s="83"/>
    </row>
    <row r="106" ht="15.75" customHeight="1">
      <c r="A106" s="41"/>
      <c r="B106" s="48"/>
      <c r="C106" s="83"/>
      <c r="D106" s="83"/>
    </row>
    <row r="107" ht="15.75" customHeight="1">
      <c r="A107" s="41"/>
      <c r="B107" s="48"/>
      <c r="C107" s="83"/>
      <c r="D107" s="83"/>
    </row>
    <row r="108" ht="15.75" customHeight="1">
      <c r="A108" s="41"/>
      <c r="B108" s="48"/>
      <c r="C108" s="83"/>
      <c r="D108" s="83"/>
    </row>
    <row r="109" ht="15.75" customHeight="1">
      <c r="A109" s="41"/>
      <c r="B109" s="48"/>
      <c r="C109" s="83"/>
      <c r="D109" s="83"/>
    </row>
    <row r="110" ht="15.75" customHeight="1">
      <c r="A110" s="41"/>
      <c r="B110" s="48"/>
      <c r="C110" s="83"/>
      <c r="D110" s="83"/>
    </row>
    <row r="111" ht="15.75" customHeight="1">
      <c r="A111" s="41"/>
      <c r="B111" s="48"/>
      <c r="C111" s="83"/>
      <c r="D111" s="83"/>
    </row>
    <row r="112" ht="15.75" customHeight="1">
      <c r="A112" s="41"/>
      <c r="B112" s="48"/>
      <c r="C112" s="83"/>
      <c r="D112" s="83"/>
    </row>
    <row r="113" ht="15.75" customHeight="1">
      <c r="A113" s="41"/>
      <c r="B113" s="48"/>
      <c r="C113" s="83"/>
      <c r="D113" s="83"/>
    </row>
    <row r="114" ht="15.75" customHeight="1">
      <c r="A114" s="41"/>
      <c r="B114" s="48"/>
      <c r="C114" s="83"/>
      <c r="D114" s="83"/>
    </row>
    <row r="115" ht="15.75" customHeight="1">
      <c r="A115" s="41"/>
      <c r="B115" s="48"/>
      <c r="C115" s="83"/>
      <c r="D115" s="83"/>
    </row>
    <row r="116" ht="15.75" customHeight="1">
      <c r="A116" s="41"/>
      <c r="B116" s="48"/>
      <c r="C116" s="83"/>
      <c r="D116" s="83"/>
    </row>
    <row r="117" ht="15.75" customHeight="1">
      <c r="A117" s="41"/>
      <c r="B117" s="48"/>
      <c r="C117" s="83"/>
      <c r="D117" s="83"/>
    </row>
    <row r="118" ht="15.75" customHeight="1">
      <c r="A118" s="41"/>
      <c r="B118" s="48"/>
      <c r="C118" s="83"/>
      <c r="D118" s="83"/>
    </row>
    <row r="119" ht="15.75" customHeight="1">
      <c r="A119" s="41"/>
      <c r="B119" s="48"/>
      <c r="C119" s="83"/>
      <c r="D119" s="83"/>
    </row>
    <row r="120" ht="15.75" customHeight="1">
      <c r="A120" s="41"/>
      <c r="B120" s="48"/>
      <c r="C120" s="83"/>
      <c r="D120" s="83"/>
    </row>
    <row r="121" ht="15.75" customHeight="1">
      <c r="A121" s="41"/>
      <c r="B121" s="48"/>
      <c r="C121" s="83"/>
      <c r="D121" s="83"/>
    </row>
    <row r="122" ht="15.75" customHeight="1">
      <c r="A122" s="41"/>
      <c r="B122" s="48"/>
      <c r="C122" s="83"/>
      <c r="D122" s="83"/>
    </row>
    <row r="123" ht="15.75" customHeight="1">
      <c r="A123" s="41"/>
      <c r="B123" s="48"/>
      <c r="C123" s="83"/>
      <c r="D123" s="83"/>
    </row>
    <row r="124" ht="15.75" customHeight="1">
      <c r="A124" s="41"/>
      <c r="B124" s="48"/>
      <c r="C124" s="83"/>
      <c r="D124" s="83"/>
    </row>
    <row r="125" ht="15.75" customHeight="1">
      <c r="A125" s="41"/>
      <c r="B125" s="48"/>
      <c r="C125" s="83"/>
      <c r="D125" s="83"/>
    </row>
    <row r="126" ht="15.75" customHeight="1">
      <c r="A126" s="41"/>
      <c r="B126" s="48"/>
      <c r="C126" s="83"/>
      <c r="D126" s="83"/>
    </row>
    <row r="127" ht="15.75" customHeight="1">
      <c r="A127" s="41"/>
      <c r="B127" s="48"/>
      <c r="C127" s="83"/>
      <c r="D127" s="83"/>
    </row>
    <row r="128" ht="15.75" customHeight="1">
      <c r="A128" s="41"/>
      <c r="B128" s="48"/>
      <c r="C128" s="83"/>
      <c r="D128" s="83"/>
    </row>
    <row r="129" ht="15.75" customHeight="1">
      <c r="A129" s="41"/>
      <c r="B129" s="48"/>
      <c r="C129" s="83"/>
      <c r="D129" s="83"/>
    </row>
    <row r="130" ht="15.75" customHeight="1">
      <c r="A130" s="41"/>
      <c r="B130" s="48"/>
      <c r="C130" s="83"/>
      <c r="D130" s="83"/>
    </row>
    <row r="131" ht="15.75" customHeight="1">
      <c r="A131" s="41"/>
      <c r="B131" s="48"/>
      <c r="C131" s="83"/>
      <c r="D131" s="83"/>
    </row>
    <row r="132" ht="15.75" customHeight="1">
      <c r="A132" s="41"/>
      <c r="B132" s="48"/>
      <c r="C132" s="83"/>
      <c r="D132" s="83"/>
    </row>
    <row r="133" ht="15.75" customHeight="1">
      <c r="A133" s="41"/>
      <c r="B133" s="48"/>
      <c r="C133" s="83"/>
      <c r="D133" s="83"/>
    </row>
    <row r="134" ht="15.75" customHeight="1">
      <c r="A134" s="41"/>
      <c r="B134" s="48"/>
      <c r="C134" s="83"/>
      <c r="D134" s="83"/>
    </row>
    <row r="135" ht="15.75" customHeight="1">
      <c r="A135" s="41"/>
      <c r="B135" s="48"/>
      <c r="C135" s="83"/>
      <c r="D135" s="83"/>
    </row>
    <row r="136" ht="15.75" customHeight="1">
      <c r="A136" s="41"/>
      <c r="B136" s="48"/>
      <c r="C136" s="83"/>
      <c r="D136" s="83"/>
    </row>
    <row r="137" ht="15.75" customHeight="1">
      <c r="A137" s="41"/>
      <c r="B137" s="48"/>
      <c r="C137" s="83"/>
      <c r="D137" s="83"/>
    </row>
    <row r="138" ht="15.75" customHeight="1">
      <c r="A138" s="41"/>
      <c r="B138" s="48"/>
      <c r="C138" s="83"/>
      <c r="D138" s="83"/>
    </row>
    <row r="139" ht="15.75" customHeight="1">
      <c r="A139" s="41"/>
      <c r="B139" s="48"/>
      <c r="C139" s="83"/>
      <c r="D139" s="83"/>
    </row>
    <row r="140" ht="15.75" customHeight="1">
      <c r="A140" s="41"/>
      <c r="B140" s="48"/>
      <c r="C140" s="83"/>
      <c r="D140" s="83"/>
    </row>
    <row r="141" ht="15.75" customHeight="1">
      <c r="A141" s="41"/>
      <c r="B141" s="48"/>
      <c r="C141" s="83"/>
      <c r="D141" s="83"/>
    </row>
    <row r="142" ht="15.75" customHeight="1">
      <c r="A142" s="41"/>
      <c r="B142" s="48"/>
      <c r="C142" s="83"/>
      <c r="D142" s="83"/>
    </row>
    <row r="143" ht="15.75" customHeight="1">
      <c r="A143" s="41"/>
      <c r="B143" s="48"/>
      <c r="C143" s="83"/>
      <c r="D143" s="83"/>
    </row>
    <row r="144" ht="15.75" customHeight="1">
      <c r="A144" s="41"/>
      <c r="B144" s="48"/>
      <c r="C144" s="83"/>
      <c r="D144" s="83"/>
    </row>
    <row r="145" ht="15.75" customHeight="1">
      <c r="A145" s="41"/>
      <c r="B145" s="48"/>
      <c r="C145" s="83"/>
      <c r="D145" s="83"/>
    </row>
    <row r="146" ht="15.75" customHeight="1">
      <c r="A146" s="41"/>
      <c r="B146" s="48"/>
      <c r="C146" s="83"/>
      <c r="D146" s="83"/>
    </row>
    <row r="147" ht="15.75" customHeight="1">
      <c r="A147" s="41"/>
      <c r="B147" s="48"/>
      <c r="C147" s="83"/>
      <c r="D147" s="83"/>
    </row>
    <row r="148" ht="15.75" customHeight="1">
      <c r="A148" s="41"/>
      <c r="B148" s="48"/>
      <c r="C148" s="83"/>
      <c r="D148" s="83"/>
    </row>
    <row r="149" ht="15.75" customHeight="1">
      <c r="A149" s="41"/>
      <c r="B149" s="48"/>
      <c r="C149" s="83"/>
      <c r="D149" s="83"/>
    </row>
    <row r="150" ht="15.75" customHeight="1">
      <c r="A150" s="41"/>
      <c r="B150" s="48"/>
      <c r="C150" s="83"/>
      <c r="D150" s="83"/>
    </row>
    <row r="151" ht="15.75" customHeight="1">
      <c r="A151" s="41"/>
      <c r="B151" s="48"/>
      <c r="C151" s="83"/>
      <c r="D151" s="83"/>
    </row>
    <row r="152" ht="15.75" customHeight="1">
      <c r="A152" s="41"/>
      <c r="B152" s="48"/>
      <c r="C152" s="83"/>
      <c r="D152" s="83"/>
    </row>
    <row r="153" ht="15.75" customHeight="1">
      <c r="A153" s="41"/>
      <c r="B153" s="48"/>
      <c r="C153" s="83"/>
      <c r="D153" s="83"/>
    </row>
    <row r="154" ht="15.75" customHeight="1">
      <c r="A154" s="41"/>
      <c r="B154" s="48"/>
      <c r="C154" s="83"/>
      <c r="D154" s="83"/>
    </row>
    <row r="155" ht="15.75" customHeight="1">
      <c r="A155" s="41"/>
      <c r="B155" s="48"/>
      <c r="C155" s="83"/>
      <c r="D155" s="83"/>
    </row>
    <row r="156" ht="15.75" customHeight="1">
      <c r="A156" s="41"/>
      <c r="B156" s="48"/>
      <c r="C156" s="83"/>
      <c r="D156" s="83"/>
    </row>
    <row r="157" ht="15.75" customHeight="1">
      <c r="A157" s="41"/>
      <c r="B157" s="48"/>
      <c r="C157" s="83"/>
      <c r="D157" s="83"/>
    </row>
    <row r="158" ht="15.75" customHeight="1">
      <c r="A158" s="41"/>
      <c r="B158" s="48"/>
      <c r="C158" s="83"/>
      <c r="D158" s="83"/>
    </row>
    <row r="159" ht="15.75" customHeight="1">
      <c r="A159" s="41"/>
      <c r="B159" s="48"/>
      <c r="C159" s="83"/>
      <c r="D159" s="83"/>
    </row>
    <row r="160" ht="15.75" customHeight="1">
      <c r="A160" s="41"/>
      <c r="B160" s="48"/>
      <c r="C160" s="83"/>
      <c r="D160" s="83"/>
    </row>
    <row r="161" ht="15.75" customHeight="1">
      <c r="A161" s="41"/>
      <c r="B161" s="48"/>
      <c r="C161" s="83"/>
      <c r="D161" s="83"/>
    </row>
    <row r="162" ht="15.75" customHeight="1">
      <c r="A162" s="41"/>
      <c r="B162" s="48"/>
      <c r="C162" s="83"/>
      <c r="D162" s="83"/>
    </row>
    <row r="163" ht="15.75" customHeight="1">
      <c r="A163" s="41"/>
      <c r="B163" s="48"/>
      <c r="C163" s="83"/>
      <c r="D163" s="83"/>
    </row>
    <row r="164" ht="15.75" customHeight="1">
      <c r="A164" s="41"/>
      <c r="B164" s="48"/>
      <c r="C164" s="83"/>
      <c r="D164" s="83"/>
    </row>
    <row r="165" ht="15.75" customHeight="1">
      <c r="A165" s="41"/>
      <c r="B165" s="48"/>
      <c r="C165" s="83"/>
      <c r="D165" s="83"/>
    </row>
    <row r="166" ht="15.75" customHeight="1">
      <c r="A166" s="41"/>
      <c r="B166" s="48"/>
      <c r="C166" s="83"/>
      <c r="D166" s="83"/>
    </row>
    <row r="167" ht="15.75" customHeight="1">
      <c r="A167" s="41"/>
      <c r="B167" s="48"/>
      <c r="C167" s="83"/>
      <c r="D167" s="83"/>
    </row>
    <row r="168" ht="15.75" customHeight="1">
      <c r="A168" s="41"/>
      <c r="B168" s="48"/>
      <c r="C168" s="83"/>
      <c r="D168" s="83"/>
    </row>
    <row r="169" ht="15.75" customHeight="1">
      <c r="A169" s="41"/>
      <c r="B169" s="48"/>
      <c r="C169" s="83"/>
      <c r="D169" s="83"/>
    </row>
    <row r="170" ht="15.75" customHeight="1">
      <c r="A170" s="41"/>
      <c r="B170" s="48"/>
      <c r="C170" s="83"/>
      <c r="D170" s="83"/>
    </row>
    <row r="171" ht="15.75" customHeight="1">
      <c r="A171" s="41"/>
      <c r="B171" s="48"/>
      <c r="C171" s="83"/>
      <c r="D171" s="83"/>
    </row>
    <row r="172" ht="15.75" customHeight="1">
      <c r="A172" s="41"/>
      <c r="B172" s="48"/>
      <c r="C172" s="83"/>
      <c r="D172" s="83"/>
    </row>
    <row r="173" ht="15.75" customHeight="1">
      <c r="A173" s="41"/>
      <c r="B173" s="48"/>
      <c r="C173" s="83"/>
      <c r="D173" s="83"/>
    </row>
    <row r="174" ht="15.75" customHeight="1">
      <c r="A174" s="41"/>
      <c r="B174" s="48"/>
      <c r="C174" s="83"/>
      <c r="D174" s="83"/>
    </row>
    <row r="175" ht="15.75" customHeight="1">
      <c r="A175" s="41"/>
      <c r="B175" s="48"/>
      <c r="C175" s="83"/>
      <c r="D175" s="83"/>
    </row>
    <row r="176" ht="15.75" customHeight="1">
      <c r="A176" s="41"/>
      <c r="B176" s="48"/>
      <c r="C176" s="83"/>
      <c r="D176" s="83"/>
    </row>
    <row r="177" ht="15.75" customHeight="1">
      <c r="A177" s="41"/>
      <c r="B177" s="48"/>
      <c r="C177" s="83"/>
      <c r="D177" s="83"/>
    </row>
    <row r="178" ht="15.75" customHeight="1">
      <c r="A178" s="41"/>
      <c r="B178" s="48"/>
      <c r="C178" s="83"/>
      <c r="D178" s="83"/>
    </row>
    <row r="179" ht="15.75" customHeight="1">
      <c r="A179" s="41"/>
      <c r="B179" s="48"/>
      <c r="C179" s="83"/>
      <c r="D179" s="83"/>
    </row>
    <row r="180" ht="15.75" customHeight="1">
      <c r="A180" s="41"/>
      <c r="B180" s="48"/>
      <c r="C180" s="83"/>
      <c r="D180" s="83"/>
    </row>
    <row r="181" ht="15.75" customHeight="1">
      <c r="A181" s="41"/>
      <c r="B181" s="48"/>
      <c r="C181" s="83"/>
      <c r="D181" s="83"/>
    </row>
    <row r="182" ht="15.75" customHeight="1">
      <c r="A182" s="41"/>
      <c r="B182" s="48"/>
      <c r="C182" s="83"/>
      <c r="D182" s="83"/>
    </row>
    <row r="183" ht="15.75" customHeight="1">
      <c r="A183" s="41"/>
      <c r="B183" s="48"/>
      <c r="C183" s="83"/>
      <c r="D183" s="83"/>
    </row>
    <row r="184" ht="15.75" customHeight="1">
      <c r="A184" s="41"/>
      <c r="B184" s="48"/>
      <c r="C184" s="83"/>
      <c r="D184" s="83"/>
    </row>
    <row r="185" ht="15.75" customHeight="1">
      <c r="A185" s="41"/>
      <c r="B185" s="48"/>
      <c r="C185" s="83"/>
      <c r="D185" s="83"/>
    </row>
    <row r="186" ht="15.75" customHeight="1">
      <c r="A186" s="41"/>
      <c r="B186" s="48"/>
      <c r="C186" s="83"/>
      <c r="D186" s="83"/>
    </row>
    <row r="187" ht="15.75" customHeight="1">
      <c r="A187" s="41"/>
      <c r="B187" s="48"/>
      <c r="C187" s="83"/>
      <c r="D187" s="83"/>
    </row>
    <row r="188" ht="15.75" customHeight="1">
      <c r="A188" s="41"/>
      <c r="B188" s="48"/>
      <c r="C188" s="83"/>
      <c r="D188" s="83"/>
    </row>
    <row r="189" ht="15.75" customHeight="1">
      <c r="A189" s="41"/>
      <c r="B189" s="48"/>
      <c r="C189" s="83"/>
      <c r="D189" s="83"/>
    </row>
    <row r="190" ht="15.75" customHeight="1">
      <c r="A190" s="41"/>
      <c r="B190" s="48"/>
      <c r="C190" s="83"/>
      <c r="D190" s="83"/>
    </row>
    <row r="191" ht="15.75" customHeight="1">
      <c r="A191" s="41"/>
      <c r="B191" s="48"/>
      <c r="C191" s="83"/>
      <c r="D191" s="83"/>
    </row>
    <row r="192" ht="15.75" customHeight="1">
      <c r="A192" s="41"/>
      <c r="B192" s="48"/>
      <c r="C192" s="83"/>
      <c r="D192" s="83"/>
    </row>
    <row r="193" ht="15.75" customHeight="1">
      <c r="A193" s="41"/>
      <c r="B193" s="48"/>
      <c r="C193" s="83"/>
      <c r="D193" s="83"/>
    </row>
    <row r="194" ht="15.75" customHeight="1">
      <c r="A194" s="41"/>
      <c r="B194" s="48"/>
      <c r="C194" s="83"/>
      <c r="D194" s="83"/>
    </row>
    <row r="195" ht="15.75" customHeight="1">
      <c r="A195" s="41"/>
      <c r="B195" s="48"/>
      <c r="C195" s="83"/>
      <c r="D195" s="83"/>
    </row>
    <row r="196" ht="15.75" customHeight="1">
      <c r="A196" s="41"/>
      <c r="B196" s="48"/>
      <c r="C196" s="83"/>
      <c r="D196" s="83"/>
    </row>
    <row r="197" ht="15.75" customHeight="1">
      <c r="A197" s="41"/>
      <c r="B197" s="48"/>
      <c r="C197" s="83"/>
      <c r="D197" s="83"/>
    </row>
    <row r="198" ht="15.75" customHeight="1">
      <c r="A198" s="41"/>
      <c r="B198" s="48"/>
      <c r="C198" s="83"/>
      <c r="D198" s="83"/>
    </row>
    <row r="199" ht="15.75" customHeight="1">
      <c r="A199" s="41"/>
      <c r="B199" s="48"/>
      <c r="C199" s="83"/>
      <c r="D199" s="83"/>
    </row>
    <row r="200" ht="15.75" customHeight="1">
      <c r="A200" s="41"/>
      <c r="B200" s="48"/>
      <c r="C200" s="83"/>
      <c r="D200" s="83"/>
    </row>
    <row r="201" ht="15.75" customHeight="1">
      <c r="A201" s="41"/>
      <c r="B201" s="48"/>
      <c r="C201" s="83"/>
      <c r="D201" s="83"/>
    </row>
    <row r="202" ht="15.75" customHeight="1">
      <c r="A202" s="41"/>
      <c r="B202" s="48"/>
      <c r="C202" s="83"/>
      <c r="D202" s="83"/>
    </row>
    <row r="203" ht="15.75" customHeight="1">
      <c r="A203" s="41"/>
      <c r="B203" s="48"/>
      <c r="C203" s="83"/>
      <c r="D203" s="83"/>
    </row>
    <row r="204" ht="15.75" customHeight="1">
      <c r="A204" s="41"/>
      <c r="B204" s="48"/>
      <c r="C204" s="83"/>
      <c r="D204" s="83"/>
    </row>
    <row r="205" ht="15.75" customHeight="1">
      <c r="A205" s="41"/>
      <c r="B205" s="48"/>
      <c r="C205" s="83"/>
      <c r="D205" s="83"/>
    </row>
    <row r="206" ht="15.75" customHeight="1">
      <c r="A206" s="41"/>
      <c r="B206" s="48"/>
      <c r="C206" s="83"/>
      <c r="D206" s="83"/>
    </row>
    <row r="207" ht="15.75" customHeight="1">
      <c r="A207" s="41"/>
      <c r="B207" s="48"/>
      <c r="C207" s="83"/>
      <c r="D207" s="83"/>
    </row>
    <row r="208" ht="15.75" customHeight="1">
      <c r="A208" s="41"/>
      <c r="B208" s="48"/>
      <c r="C208" s="83"/>
      <c r="D208" s="83"/>
    </row>
    <row r="209" ht="15.75" customHeight="1">
      <c r="A209" s="41"/>
      <c r="B209" s="48"/>
      <c r="C209" s="83"/>
      <c r="D209" s="83"/>
    </row>
    <row r="210" ht="15.75" customHeight="1">
      <c r="A210" s="41"/>
      <c r="B210" s="48"/>
      <c r="C210" s="83"/>
      <c r="D210" s="83"/>
    </row>
    <row r="211" ht="15.75" customHeight="1">
      <c r="A211" s="41"/>
      <c r="B211" s="48"/>
      <c r="C211" s="83"/>
      <c r="D211" s="83"/>
    </row>
    <row r="212" ht="15.75" customHeight="1">
      <c r="A212" s="41"/>
      <c r="B212" s="48"/>
      <c r="C212" s="83"/>
      <c r="D212" s="83"/>
    </row>
    <row r="213" ht="15.75" customHeight="1">
      <c r="A213" s="41"/>
      <c r="B213" s="48"/>
      <c r="C213" s="83"/>
      <c r="D213" s="83"/>
    </row>
    <row r="214" ht="15.75" customHeight="1">
      <c r="A214" s="41"/>
      <c r="B214" s="48"/>
      <c r="C214" s="83"/>
      <c r="D214" s="83"/>
    </row>
    <row r="215" ht="15.75" customHeight="1">
      <c r="A215" s="41"/>
      <c r="B215" s="48"/>
      <c r="C215" s="83"/>
      <c r="D215" s="83"/>
    </row>
    <row r="216" ht="15.75" customHeight="1">
      <c r="A216" s="41"/>
      <c r="B216" s="48"/>
      <c r="C216" s="83"/>
      <c r="D216" s="83"/>
    </row>
    <row r="217" ht="15.75" customHeight="1">
      <c r="A217" s="41"/>
      <c r="B217" s="48"/>
      <c r="C217" s="83"/>
      <c r="D217" s="83"/>
    </row>
    <row r="218" ht="15.75" customHeight="1">
      <c r="A218" s="41"/>
      <c r="B218" s="48"/>
      <c r="C218" s="83"/>
      <c r="D218" s="83"/>
    </row>
    <row r="219" ht="15.75" customHeight="1">
      <c r="A219" s="41"/>
      <c r="B219" s="48"/>
      <c r="C219" s="83"/>
      <c r="D219" s="83"/>
    </row>
    <row r="220" ht="15.75" customHeight="1">
      <c r="A220" s="41"/>
      <c r="B220" s="48"/>
      <c r="C220" s="83"/>
      <c r="D220" s="83"/>
    </row>
    <row r="221" ht="15.75" customHeight="1">
      <c r="C221" s="84"/>
      <c r="D221" s="84"/>
    </row>
    <row r="222" ht="15.75" customHeight="1">
      <c r="C222" s="84"/>
      <c r="D222" s="84"/>
    </row>
    <row r="223" ht="15.75" customHeight="1">
      <c r="C223" s="84"/>
      <c r="D223" s="84"/>
    </row>
    <row r="224" ht="15.75" customHeight="1">
      <c r="C224" s="84"/>
      <c r="D224" s="84"/>
    </row>
    <row r="225" ht="15.75" customHeight="1">
      <c r="C225" s="84"/>
      <c r="D225" s="84"/>
    </row>
    <row r="226" ht="15.75" customHeight="1">
      <c r="C226" s="84"/>
      <c r="D226" s="84"/>
    </row>
    <row r="227" ht="15.75" customHeight="1">
      <c r="C227" s="84"/>
      <c r="D227" s="84"/>
    </row>
    <row r="228" ht="15.75" customHeight="1">
      <c r="C228" s="84"/>
      <c r="D228" s="84"/>
    </row>
    <row r="229" ht="15.75" customHeight="1">
      <c r="C229" s="84"/>
      <c r="D229" s="84"/>
    </row>
    <row r="230" ht="15.75" customHeight="1">
      <c r="C230" s="84"/>
      <c r="D230" s="84"/>
    </row>
    <row r="231" ht="15.75" customHeight="1">
      <c r="C231" s="84"/>
      <c r="D231" s="84"/>
    </row>
    <row r="232" ht="15.75" customHeight="1">
      <c r="C232" s="84"/>
      <c r="D232" s="84"/>
    </row>
    <row r="233" ht="15.75" customHeight="1">
      <c r="C233" s="84"/>
      <c r="D233" s="84"/>
    </row>
    <row r="234" ht="15.75" customHeight="1">
      <c r="C234" s="84"/>
      <c r="D234" s="84"/>
    </row>
    <row r="235" ht="15.75" customHeight="1">
      <c r="C235" s="84"/>
      <c r="D235" s="84"/>
    </row>
    <row r="236" ht="15.75" customHeight="1">
      <c r="C236" s="84"/>
      <c r="D236" s="84"/>
    </row>
    <row r="237" ht="15.75" customHeight="1">
      <c r="C237" s="84"/>
      <c r="D237" s="84"/>
    </row>
    <row r="238" ht="15.75" customHeight="1">
      <c r="C238" s="84"/>
      <c r="D238" s="84"/>
    </row>
    <row r="239" ht="15.75" customHeight="1">
      <c r="C239" s="84"/>
      <c r="D239" s="84"/>
    </row>
    <row r="240" ht="15.75" customHeight="1">
      <c r="C240" s="84"/>
      <c r="D240" s="84"/>
    </row>
    <row r="241" ht="15.75" customHeight="1">
      <c r="C241" s="84"/>
      <c r="D241" s="84"/>
    </row>
    <row r="242" ht="15.75" customHeight="1">
      <c r="C242" s="84"/>
      <c r="D242" s="84"/>
    </row>
    <row r="243" ht="15.75" customHeight="1">
      <c r="C243" s="84"/>
      <c r="D243" s="84"/>
    </row>
    <row r="244" ht="15.75" customHeight="1">
      <c r="C244" s="84"/>
      <c r="D244" s="84"/>
    </row>
    <row r="245" ht="15.75" customHeight="1">
      <c r="C245" s="84"/>
      <c r="D245" s="84"/>
    </row>
    <row r="246" ht="15.75" customHeight="1">
      <c r="C246" s="84"/>
      <c r="D246" s="84"/>
    </row>
    <row r="247" ht="15.75" customHeight="1">
      <c r="C247" s="84"/>
      <c r="D247" s="84"/>
    </row>
    <row r="248" ht="15.75" customHeight="1">
      <c r="C248" s="84"/>
      <c r="D248" s="84"/>
    </row>
    <row r="249" ht="15.75" customHeight="1">
      <c r="C249" s="84"/>
      <c r="D249" s="84"/>
    </row>
    <row r="250" ht="15.75" customHeight="1">
      <c r="C250" s="84"/>
      <c r="D250" s="84"/>
    </row>
    <row r="251" ht="15.75" customHeight="1">
      <c r="C251" s="84"/>
      <c r="D251" s="84"/>
    </row>
    <row r="252" ht="15.75" customHeight="1">
      <c r="C252" s="84"/>
      <c r="D252" s="84"/>
    </row>
    <row r="253" ht="15.75" customHeight="1">
      <c r="C253" s="84"/>
      <c r="D253" s="84"/>
    </row>
    <row r="254" ht="15.75" customHeight="1">
      <c r="C254" s="84"/>
      <c r="D254" s="84"/>
    </row>
    <row r="255" ht="15.75" customHeight="1">
      <c r="C255" s="84"/>
      <c r="D255" s="84"/>
    </row>
    <row r="256" ht="15.75" customHeight="1">
      <c r="C256" s="84"/>
      <c r="D256" s="84"/>
    </row>
    <row r="257" ht="15.75" customHeight="1">
      <c r="C257" s="84"/>
      <c r="D257" s="84"/>
    </row>
    <row r="258" ht="15.75" customHeight="1">
      <c r="C258" s="84"/>
      <c r="D258" s="84"/>
    </row>
    <row r="259" ht="15.75" customHeight="1">
      <c r="C259" s="84"/>
      <c r="D259" s="84"/>
    </row>
    <row r="260" ht="15.75" customHeight="1">
      <c r="C260" s="84"/>
      <c r="D260" s="84"/>
    </row>
    <row r="261" ht="15.75" customHeight="1">
      <c r="C261" s="84"/>
      <c r="D261" s="84"/>
    </row>
    <row r="262" ht="15.75" customHeight="1">
      <c r="C262" s="84"/>
      <c r="D262" s="84"/>
    </row>
    <row r="263" ht="15.75" customHeight="1">
      <c r="C263" s="84"/>
      <c r="D263" s="84"/>
    </row>
    <row r="264" ht="15.75" customHeight="1">
      <c r="C264" s="84"/>
      <c r="D264" s="84"/>
    </row>
    <row r="265" ht="15.75" customHeight="1">
      <c r="C265" s="84"/>
      <c r="D265" s="84"/>
    </row>
    <row r="266" ht="15.75" customHeight="1">
      <c r="C266" s="84"/>
      <c r="D266" s="84"/>
    </row>
    <row r="267" ht="15.75" customHeight="1">
      <c r="C267" s="84"/>
      <c r="D267" s="84"/>
    </row>
    <row r="268" ht="15.75" customHeight="1">
      <c r="C268" s="84"/>
      <c r="D268" s="84"/>
    </row>
    <row r="269" ht="15.75" customHeight="1">
      <c r="C269" s="84"/>
      <c r="D269" s="84"/>
    </row>
    <row r="270" ht="15.75" customHeight="1">
      <c r="C270" s="84"/>
      <c r="D270" s="84"/>
    </row>
    <row r="271" ht="15.75" customHeight="1">
      <c r="C271" s="84"/>
      <c r="D271" s="84"/>
    </row>
    <row r="272" ht="15.75" customHeight="1">
      <c r="C272" s="84"/>
      <c r="D272" s="84"/>
    </row>
    <row r="273" ht="15.75" customHeight="1">
      <c r="C273" s="84"/>
      <c r="D273" s="84"/>
    </row>
    <row r="274" ht="15.75" customHeight="1">
      <c r="C274" s="84"/>
      <c r="D274" s="84"/>
    </row>
    <row r="275" ht="15.75" customHeight="1">
      <c r="C275" s="84"/>
      <c r="D275" s="84"/>
    </row>
    <row r="276" ht="15.75" customHeight="1">
      <c r="C276" s="84"/>
      <c r="D276" s="84"/>
    </row>
    <row r="277" ht="15.75" customHeight="1">
      <c r="C277" s="84"/>
      <c r="D277" s="84"/>
    </row>
    <row r="278" ht="15.75" customHeight="1">
      <c r="C278" s="84"/>
      <c r="D278" s="84"/>
    </row>
    <row r="279" ht="15.75" customHeight="1">
      <c r="C279" s="84"/>
      <c r="D279" s="84"/>
    </row>
    <row r="280" ht="15.75" customHeight="1">
      <c r="C280" s="84"/>
      <c r="D280" s="84"/>
    </row>
    <row r="281" ht="15.75" customHeight="1">
      <c r="C281" s="84"/>
      <c r="D281" s="84"/>
    </row>
    <row r="282" ht="15.75" customHeight="1">
      <c r="C282" s="84"/>
      <c r="D282" s="84"/>
    </row>
    <row r="283" ht="15.75" customHeight="1">
      <c r="C283" s="84"/>
      <c r="D283" s="84"/>
    </row>
    <row r="284" ht="15.75" customHeight="1">
      <c r="C284" s="84"/>
      <c r="D284" s="84"/>
    </row>
    <row r="285" ht="15.75" customHeight="1">
      <c r="C285" s="84"/>
      <c r="D285" s="84"/>
    </row>
    <row r="286" ht="15.75" customHeight="1">
      <c r="C286" s="84"/>
      <c r="D286" s="84"/>
    </row>
    <row r="287" ht="15.75" customHeight="1">
      <c r="C287" s="84"/>
      <c r="D287" s="84"/>
    </row>
    <row r="288" ht="15.75" customHeight="1">
      <c r="C288" s="84"/>
      <c r="D288" s="84"/>
    </row>
    <row r="289" ht="15.75" customHeight="1">
      <c r="C289" s="84"/>
      <c r="D289" s="84"/>
    </row>
    <row r="290" ht="15.75" customHeight="1">
      <c r="C290" s="84"/>
      <c r="D290" s="84"/>
    </row>
    <row r="291" ht="15.75" customHeight="1">
      <c r="C291" s="84"/>
      <c r="D291" s="84"/>
    </row>
    <row r="292" ht="15.75" customHeight="1">
      <c r="C292" s="84"/>
      <c r="D292" s="84"/>
    </row>
    <row r="293" ht="15.75" customHeight="1">
      <c r="C293" s="84"/>
      <c r="D293" s="84"/>
    </row>
    <row r="294" ht="15.75" customHeight="1">
      <c r="C294" s="84"/>
      <c r="D294" s="84"/>
    </row>
    <row r="295" ht="15.75" customHeight="1">
      <c r="C295" s="84"/>
      <c r="D295" s="84"/>
    </row>
    <row r="296" ht="15.75" customHeight="1">
      <c r="C296" s="84"/>
      <c r="D296" s="84"/>
    </row>
    <row r="297" ht="15.75" customHeight="1">
      <c r="C297" s="84"/>
      <c r="D297" s="84"/>
    </row>
    <row r="298" ht="15.75" customHeight="1">
      <c r="C298" s="84"/>
      <c r="D298" s="84"/>
    </row>
    <row r="299" ht="15.75" customHeight="1">
      <c r="C299" s="84"/>
      <c r="D299" s="84"/>
    </row>
    <row r="300" ht="15.75" customHeight="1">
      <c r="C300" s="84"/>
      <c r="D300" s="84"/>
    </row>
    <row r="301" ht="15.75" customHeight="1">
      <c r="C301" s="84"/>
      <c r="D301" s="84"/>
    </row>
    <row r="302" ht="15.75" customHeight="1">
      <c r="C302" s="84"/>
      <c r="D302" s="84"/>
    </row>
    <row r="303" ht="15.75" customHeight="1">
      <c r="C303" s="84"/>
      <c r="D303" s="84"/>
    </row>
    <row r="304" ht="15.75" customHeight="1">
      <c r="C304" s="84"/>
      <c r="D304" s="84"/>
    </row>
    <row r="305" ht="15.75" customHeight="1">
      <c r="C305" s="84"/>
      <c r="D305" s="84"/>
    </row>
    <row r="306" ht="15.75" customHeight="1">
      <c r="C306" s="84"/>
      <c r="D306" s="84"/>
    </row>
    <row r="307" ht="15.75" customHeight="1">
      <c r="C307" s="84"/>
      <c r="D307" s="84"/>
    </row>
    <row r="308" ht="15.75" customHeight="1">
      <c r="C308" s="84"/>
      <c r="D308" s="84"/>
    </row>
    <row r="309" ht="15.75" customHeight="1">
      <c r="C309" s="84"/>
      <c r="D309" s="84"/>
    </row>
    <row r="310" ht="15.75" customHeight="1">
      <c r="C310" s="84"/>
      <c r="D310" s="84"/>
    </row>
    <row r="311" ht="15.75" customHeight="1">
      <c r="C311" s="84"/>
      <c r="D311" s="84"/>
    </row>
    <row r="312" ht="15.75" customHeight="1">
      <c r="C312" s="84"/>
      <c r="D312" s="84"/>
    </row>
    <row r="313" ht="15.75" customHeight="1">
      <c r="C313" s="84"/>
      <c r="D313" s="84"/>
    </row>
    <row r="314" ht="15.75" customHeight="1">
      <c r="C314" s="84"/>
      <c r="D314" s="84"/>
    </row>
    <row r="315" ht="15.75" customHeight="1">
      <c r="C315" s="84"/>
      <c r="D315" s="84"/>
    </row>
    <row r="316" ht="15.75" customHeight="1">
      <c r="C316" s="84"/>
      <c r="D316" s="84"/>
    </row>
    <row r="317" ht="15.75" customHeight="1">
      <c r="C317" s="84"/>
      <c r="D317" s="84"/>
    </row>
    <row r="318" ht="15.75" customHeight="1">
      <c r="C318" s="84"/>
      <c r="D318" s="84"/>
    </row>
    <row r="319" ht="15.75" customHeight="1">
      <c r="C319" s="84"/>
      <c r="D319" s="84"/>
    </row>
    <row r="320" ht="15.75" customHeight="1">
      <c r="C320" s="84"/>
      <c r="D320" s="84"/>
    </row>
    <row r="321" ht="15.75" customHeight="1">
      <c r="C321" s="84"/>
      <c r="D321" s="84"/>
    </row>
    <row r="322" ht="15.75" customHeight="1">
      <c r="C322" s="84"/>
      <c r="D322" s="84"/>
    </row>
    <row r="323" ht="15.75" customHeight="1">
      <c r="C323" s="84"/>
      <c r="D323" s="84"/>
    </row>
    <row r="324" ht="15.75" customHeight="1">
      <c r="C324" s="84"/>
      <c r="D324" s="84"/>
    </row>
    <row r="325" ht="15.75" customHeight="1">
      <c r="C325" s="84"/>
      <c r="D325" s="84"/>
    </row>
    <row r="326" ht="15.75" customHeight="1">
      <c r="C326" s="84"/>
      <c r="D326" s="84"/>
    </row>
    <row r="327" ht="15.75" customHeight="1">
      <c r="C327" s="84"/>
      <c r="D327" s="84"/>
    </row>
    <row r="328" ht="15.75" customHeight="1">
      <c r="C328" s="84"/>
      <c r="D328" s="84"/>
    </row>
    <row r="329" ht="15.75" customHeight="1">
      <c r="C329" s="84"/>
      <c r="D329" s="84"/>
    </row>
    <row r="330" ht="15.75" customHeight="1">
      <c r="C330" s="84"/>
      <c r="D330" s="84"/>
    </row>
    <row r="331" ht="15.75" customHeight="1">
      <c r="C331" s="84"/>
      <c r="D331" s="84"/>
    </row>
    <row r="332" ht="15.75" customHeight="1">
      <c r="C332" s="84"/>
      <c r="D332" s="84"/>
    </row>
    <row r="333" ht="15.75" customHeight="1">
      <c r="C333" s="84"/>
      <c r="D333" s="84"/>
    </row>
    <row r="334" ht="15.75" customHeight="1">
      <c r="C334" s="84"/>
      <c r="D334" s="84"/>
    </row>
    <row r="335" ht="15.75" customHeight="1">
      <c r="C335" s="84"/>
      <c r="D335" s="84"/>
    </row>
    <row r="336" ht="15.75" customHeight="1">
      <c r="C336" s="84"/>
      <c r="D336" s="84"/>
    </row>
    <row r="337" ht="15.75" customHeight="1">
      <c r="C337" s="84"/>
      <c r="D337" s="84"/>
    </row>
    <row r="338" ht="15.75" customHeight="1">
      <c r="C338" s="84"/>
      <c r="D338" s="84"/>
    </row>
    <row r="339" ht="15.75" customHeight="1">
      <c r="C339" s="84"/>
      <c r="D339" s="84"/>
    </row>
    <row r="340" ht="15.75" customHeight="1">
      <c r="C340" s="84"/>
      <c r="D340" s="84"/>
    </row>
    <row r="341" ht="15.75" customHeight="1">
      <c r="C341" s="84"/>
      <c r="D341" s="84"/>
    </row>
    <row r="342" ht="15.75" customHeight="1">
      <c r="C342" s="84"/>
      <c r="D342" s="84"/>
    </row>
    <row r="343" ht="15.75" customHeight="1">
      <c r="C343" s="84"/>
      <c r="D343" s="84"/>
    </row>
    <row r="344" ht="15.75" customHeight="1">
      <c r="C344" s="84"/>
      <c r="D344" s="84"/>
    </row>
    <row r="345" ht="15.75" customHeight="1">
      <c r="C345" s="84"/>
      <c r="D345" s="84"/>
    </row>
    <row r="346" ht="15.75" customHeight="1">
      <c r="C346" s="84"/>
      <c r="D346" s="84"/>
    </row>
    <row r="347" ht="15.75" customHeight="1">
      <c r="C347" s="84"/>
      <c r="D347" s="84"/>
    </row>
    <row r="348" ht="15.75" customHeight="1">
      <c r="C348" s="84"/>
      <c r="D348" s="84"/>
    </row>
    <row r="349" ht="15.75" customHeight="1">
      <c r="C349" s="84"/>
      <c r="D349" s="84"/>
    </row>
    <row r="350" ht="15.75" customHeight="1">
      <c r="C350" s="84"/>
      <c r="D350" s="84"/>
    </row>
    <row r="351" ht="15.75" customHeight="1">
      <c r="C351" s="84"/>
      <c r="D351" s="84"/>
    </row>
    <row r="352" ht="15.75" customHeight="1">
      <c r="C352" s="84"/>
      <c r="D352" s="84"/>
    </row>
    <row r="353" ht="15.75" customHeight="1">
      <c r="C353" s="84"/>
      <c r="D353" s="84"/>
    </row>
    <row r="354" ht="15.75" customHeight="1">
      <c r="C354" s="84"/>
      <c r="D354" s="84"/>
    </row>
    <row r="355" ht="15.75" customHeight="1">
      <c r="C355" s="84"/>
      <c r="D355" s="84"/>
    </row>
    <row r="356" ht="15.75" customHeight="1">
      <c r="C356" s="84"/>
      <c r="D356" s="84"/>
    </row>
    <row r="357" ht="15.75" customHeight="1">
      <c r="C357" s="84"/>
      <c r="D357" s="84"/>
    </row>
    <row r="358" ht="15.75" customHeight="1">
      <c r="C358" s="84"/>
      <c r="D358" s="84"/>
    </row>
    <row r="359" ht="15.75" customHeight="1">
      <c r="C359" s="84"/>
      <c r="D359" s="84"/>
    </row>
    <row r="360" ht="15.75" customHeight="1">
      <c r="C360" s="84"/>
      <c r="D360" s="84"/>
    </row>
    <row r="361" ht="15.75" customHeight="1">
      <c r="C361" s="84"/>
      <c r="D361" s="84"/>
    </row>
    <row r="362" ht="15.75" customHeight="1">
      <c r="C362" s="84"/>
      <c r="D362" s="84"/>
    </row>
    <row r="363" ht="15.75" customHeight="1">
      <c r="C363" s="84"/>
      <c r="D363" s="84"/>
    </row>
    <row r="364" ht="15.75" customHeight="1">
      <c r="C364" s="84"/>
      <c r="D364" s="84"/>
    </row>
    <row r="365" ht="15.75" customHeight="1">
      <c r="C365" s="84"/>
      <c r="D365" s="84"/>
    </row>
    <row r="366" ht="15.75" customHeight="1">
      <c r="C366" s="84"/>
      <c r="D366" s="84"/>
    </row>
    <row r="367" ht="15.75" customHeight="1">
      <c r="C367" s="84"/>
      <c r="D367" s="84"/>
    </row>
    <row r="368" ht="15.75" customHeight="1">
      <c r="C368" s="84"/>
      <c r="D368" s="84"/>
    </row>
    <row r="369" ht="15.75" customHeight="1">
      <c r="C369" s="84"/>
      <c r="D369" s="84"/>
    </row>
    <row r="370" ht="15.75" customHeight="1">
      <c r="C370" s="84"/>
      <c r="D370" s="84"/>
    </row>
    <row r="371" ht="15.75" customHeight="1">
      <c r="C371" s="84"/>
      <c r="D371" s="84"/>
    </row>
    <row r="372" ht="15.75" customHeight="1">
      <c r="C372" s="84"/>
      <c r="D372" s="84"/>
    </row>
    <row r="373" ht="15.75" customHeight="1">
      <c r="C373" s="84"/>
      <c r="D373" s="84"/>
    </row>
    <row r="374" ht="15.75" customHeight="1">
      <c r="C374" s="84"/>
      <c r="D374" s="84"/>
    </row>
    <row r="375" ht="15.75" customHeight="1">
      <c r="C375" s="84"/>
      <c r="D375" s="84"/>
    </row>
    <row r="376" ht="15.75" customHeight="1">
      <c r="C376" s="84"/>
      <c r="D376" s="84"/>
    </row>
    <row r="377" ht="15.75" customHeight="1">
      <c r="C377" s="84"/>
      <c r="D377" s="84"/>
    </row>
    <row r="378" ht="15.75" customHeight="1">
      <c r="C378" s="84"/>
      <c r="D378" s="84"/>
    </row>
    <row r="379" ht="15.75" customHeight="1">
      <c r="C379" s="84"/>
      <c r="D379" s="84"/>
    </row>
    <row r="380" ht="15.75" customHeight="1">
      <c r="C380" s="84"/>
      <c r="D380" s="84"/>
    </row>
    <row r="381" ht="15.75" customHeight="1">
      <c r="C381" s="84"/>
      <c r="D381" s="84"/>
    </row>
    <row r="382" ht="15.75" customHeight="1">
      <c r="C382" s="84"/>
      <c r="D382" s="84"/>
    </row>
    <row r="383" ht="15.75" customHeight="1">
      <c r="C383" s="84"/>
      <c r="D383" s="84"/>
    </row>
    <row r="384" ht="15.75" customHeight="1">
      <c r="C384" s="84"/>
      <c r="D384" s="84"/>
    </row>
    <row r="385" ht="15.75" customHeight="1">
      <c r="C385" s="84"/>
      <c r="D385" s="84"/>
    </row>
    <row r="386" ht="15.75" customHeight="1">
      <c r="C386" s="84"/>
      <c r="D386" s="84"/>
    </row>
    <row r="387" ht="15.75" customHeight="1">
      <c r="C387" s="84"/>
      <c r="D387" s="84"/>
    </row>
    <row r="388" ht="15.75" customHeight="1">
      <c r="C388" s="84"/>
      <c r="D388" s="84"/>
    </row>
    <row r="389" ht="15.75" customHeight="1">
      <c r="C389" s="84"/>
      <c r="D389" s="84"/>
    </row>
    <row r="390" ht="15.75" customHeight="1">
      <c r="C390" s="84"/>
      <c r="D390" s="84"/>
    </row>
    <row r="391" ht="15.75" customHeight="1">
      <c r="C391" s="84"/>
      <c r="D391" s="84"/>
    </row>
    <row r="392" ht="15.75" customHeight="1">
      <c r="C392" s="84"/>
      <c r="D392" s="84"/>
    </row>
    <row r="393" ht="15.75" customHeight="1">
      <c r="C393" s="84"/>
      <c r="D393" s="84"/>
    </row>
    <row r="394" ht="15.75" customHeight="1">
      <c r="C394" s="84"/>
      <c r="D394" s="84"/>
    </row>
    <row r="395" ht="15.75" customHeight="1">
      <c r="C395" s="84"/>
      <c r="D395" s="84"/>
    </row>
    <row r="396" ht="15.75" customHeight="1">
      <c r="C396" s="84"/>
      <c r="D396" s="84"/>
    </row>
    <row r="397" ht="15.75" customHeight="1">
      <c r="C397" s="84"/>
      <c r="D397" s="84"/>
    </row>
    <row r="398" ht="15.75" customHeight="1">
      <c r="C398" s="84"/>
      <c r="D398" s="84"/>
    </row>
    <row r="399" ht="15.75" customHeight="1">
      <c r="C399" s="84"/>
      <c r="D399" s="84"/>
    </row>
    <row r="400" ht="15.75" customHeight="1">
      <c r="C400" s="84"/>
      <c r="D400" s="84"/>
    </row>
    <row r="401" ht="15.75" customHeight="1">
      <c r="C401" s="84"/>
      <c r="D401" s="84"/>
    </row>
    <row r="402" ht="15.75" customHeight="1">
      <c r="C402" s="84"/>
      <c r="D402" s="84"/>
    </row>
    <row r="403" ht="15.75" customHeight="1">
      <c r="C403" s="84"/>
      <c r="D403" s="84"/>
    </row>
    <row r="404" ht="15.75" customHeight="1">
      <c r="C404" s="84"/>
      <c r="D404" s="84"/>
    </row>
    <row r="405" ht="15.75" customHeight="1">
      <c r="C405" s="84"/>
      <c r="D405" s="84"/>
    </row>
    <row r="406" ht="15.75" customHeight="1">
      <c r="C406" s="84"/>
      <c r="D406" s="84"/>
    </row>
    <row r="407" ht="15.75" customHeight="1">
      <c r="C407" s="84"/>
      <c r="D407" s="84"/>
    </row>
    <row r="408" ht="15.75" customHeight="1">
      <c r="C408" s="84"/>
      <c r="D408" s="84"/>
    </row>
    <row r="409" ht="15.75" customHeight="1">
      <c r="C409" s="84"/>
      <c r="D409" s="84"/>
    </row>
    <row r="410" ht="15.75" customHeight="1">
      <c r="C410" s="84"/>
      <c r="D410" s="84"/>
    </row>
    <row r="411" ht="15.75" customHeight="1">
      <c r="C411" s="84"/>
      <c r="D411" s="84"/>
    </row>
    <row r="412" ht="15.75" customHeight="1">
      <c r="C412" s="84"/>
      <c r="D412" s="84"/>
    </row>
    <row r="413" ht="15.75" customHeight="1">
      <c r="C413" s="84"/>
      <c r="D413" s="84"/>
    </row>
    <row r="414" ht="15.75" customHeight="1">
      <c r="C414" s="84"/>
      <c r="D414" s="84"/>
    </row>
    <row r="415" ht="15.75" customHeight="1">
      <c r="C415" s="84"/>
      <c r="D415" s="84"/>
    </row>
    <row r="416" ht="15.75" customHeight="1">
      <c r="C416" s="84"/>
      <c r="D416" s="84"/>
    </row>
    <row r="417" ht="15.75" customHeight="1">
      <c r="C417" s="84"/>
      <c r="D417" s="84"/>
    </row>
    <row r="418" ht="15.75" customHeight="1">
      <c r="C418" s="84"/>
      <c r="D418" s="84"/>
    </row>
    <row r="419" ht="15.75" customHeight="1">
      <c r="C419" s="84"/>
      <c r="D419" s="84"/>
    </row>
    <row r="420" ht="15.75" customHeight="1">
      <c r="C420" s="84"/>
      <c r="D420" s="84"/>
    </row>
    <row r="421" ht="15.75" customHeight="1">
      <c r="C421" s="84"/>
      <c r="D421" s="84"/>
    </row>
    <row r="422" ht="15.75" customHeight="1">
      <c r="C422" s="84"/>
      <c r="D422" s="84"/>
    </row>
    <row r="423" ht="15.75" customHeight="1">
      <c r="C423" s="84"/>
      <c r="D423" s="84"/>
    </row>
    <row r="424" ht="15.75" customHeight="1">
      <c r="C424" s="84"/>
      <c r="D424" s="84"/>
    </row>
    <row r="425" ht="15.75" customHeight="1">
      <c r="C425" s="84"/>
      <c r="D425" s="84"/>
    </row>
    <row r="426" ht="15.75" customHeight="1">
      <c r="C426" s="84"/>
      <c r="D426" s="84"/>
    </row>
    <row r="427" ht="15.75" customHeight="1">
      <c r="C427" s="84"/>
      <c r="D427" s="84"/>
    </row>
    <row r="428" ht="15.75" customHeight="1">
      <c r="C428" s="84"/>
      <c r="D428" s="84"/>
    </row>
    <row r="429" ht="15.75" customHeight="1">
      <c r="C429" s="84"/>
      <c r="D429" s="84"/>
    </row>
    <row r="430" ht="15.75" customHeight="1">
      <c r="C430" s="84"/>
      <c r="D430" s="84"/>
    </row>
    <row r="431" ht="15.75" customHeight="1">
      <c r="C431" s="84"/>
      <c r="D431" s="84"/>
    </row>
    <row r="432" ht="15.75" customHeight="1">
      <c r="C432" s="84"/>
      <c r="D432" s="84"/>
    </row>
    <row r="433" ht="15.75" customHeight="1">
      <c r="C433" s="84"/>
      <c r="D433" s="84"/>
    </row>
    <row r="434" ht="15.75" customHeight="1">
      <c r="C434" s="84"/>
      <c r="D434" s="84"/>
    </row>
    <row r="435" ht="15.75" customHeight="1">
      <c r="C435" s="84"/>
      <c r="D435" s="84"/>
    </row>
    <row r="436" ht="15.75" customHeight="1">
      <c r="C436" s="84"/>
      <c r="D436" s="84"/>
    </row>
    <row r="437" ht="15.75" customHeight="1">
      <c r="C437" s="84"/>
      <c r="D437" s="84"/>
    </row>
    <row r="438" ht="15.75" customHeight="1">
      <c r="C438" s="84"/>
      <c r="D438" s="84"/>
    </row>
    <row r="439" ht="15.75" customHeight="1">
      <c r="C439" s="84"/>
      <c r="D439" s="84"/>
    </row>
    <row r="440" ht="15.75" customHeight="1">
      <c r="C440" s="84"/>
      <c r="D440" s="84"/>
    </row>
    <row r="441" ht="15.75" customHeight="1">
      <c r="C441" s="84"/>
      <c r="D441" s="84"/>
    </row>
    <row r="442" ht="15.75" customHeight="1">
      <c r="C442" s="84"/>
      <c r="D442" s="84"/>
    </row>
    <row r="443" ht="15.75" customHeight="1">
      <c r="C443" s="84"/>
      <c r="D443" s="84"/>
    </row>
    <row r="444" ht="15.75" customHeight="1">
      <c r="C444" s="84"/>
      <c r="D444" s="84"/>
    </row>
    <row r="445" ht="15.75" customHeight="1">
      <c r="C445" s="84"/>
      <c r="D445" s="84"/>
    </row>
    <row r="446" ht="15.75" customHeight="1">
      <c r="C446" s="84"/>
      <c r="D446" s="84"/>
    </row>
    <row r="447" ht="15.75" customHeight="1">
      <c r="C447" s="84"/>
      <c r="D447" s="84"/>
    </row>
    <row r="448" ht="15.75" customHeight="1">
      <c r="C448" s="84"/>
      <c r="D448" s="84"/>
    </row>
    <row r="449" ht="15.75" customHeight="1">
      <c r="C449" s="84"/>
      <c r="D449" s="84"/>
    </row>
    <row r="450" ht="15.75" customHeight="1">
      <c r="C450" s="84"/>
      <c r="D450" s="84"/>
    </row>
    <row r="451" ht="15.75" customHeight="1">
      <c r="C451" s="84"/>
      <c r="D451" s="84"/>
    </row>
    <row r="452" ht="15.75" customHeight="1">
      <c r="C452" s="84"/>
      <c r="D452" s="84"/>
    </row>
    <row r="453" ht="15.75" customHeight="1">
      <c r="C453" s="84"/>
      <c r="D453" s="84"/>
    </row>
    <row r="454" ht="15.75" customHeight="1">
      <c r="C454" s="84"/>
      <c r="D454" s="84"/>
    </row>
    <row r="455" ht="15.75" customHeight="1">
      <c r="C455" s="84"/>
      <c r="D455" s="84"/>
    </row>
    <row r="456" ht="15.75" customHeight="1">
      <c r="C456" s="84"/>
      <c r="D456" s="84"/>
    </row>
    <row r="457" ht="15.75" customHeight="1">
      <c r="C457" s="84"/>
      <c r="D457" s="84"/>
    </row>
    <row r="458" ht="15.75" customHeight="1">
      <c r="C458" s="84"/>
      <c r="D458" s="84"/>
    </row>
    <row r="459" ht="15.75" customHeight="1">
      <c r="C459" s="84"/>
      <c r="D459" s="84"/>
    </row>
    <row r="460" ht="15.75" customHeight="1">
      <c r="C460" s="84"/>
      <c r="D460" s="84"/>
    </row>
    <row r="461" ht="15.75" customHeight="1">
      <c r="C461" s="84"/>
      <c r="D461" s="84"/>
    </row>
    <row r="462" ht="15.75" customHeight="1">
      <c r="C462" s="84"/>
      <c r="D462" s="84"/>
    </row>
    <row r="463" ht="15.75" customHeight="1">
      <c r="C463" s="84"/>
      <c r="D463" s="84"/>
    </row>
    <row r="464" ht="15.75" customHeight="1">
      <c r="C464" s="84"/>
      <c r="D464" s="84"/>
    </row>
    <row r="465" ht="15.75" customHeight="1">
      <c r="C465" s="84"/>
      <c r="D465" s="84"/>
    </row>
    <row r="466" ht="15.75" customHeight="1">
      <c r="C466" s="84"/>
      <c r="D466" s="84"/>
    </row>
    <row r="467" ht="15.75" customHeight="1">
      <c r="C467" s="84"/>
      <c r="D467" s="84"/>
    </row>
    <row r="468" ht="15.75" customHeight="1">
      <c r="C468" s="84"/>
      <c r="D468" s="84"/>
    </row>
    <row r="469" ht="15.75" customHeight="1">
      <c r="C469" s="84"/>
      <c r="D469" s="84"/>
    </row>
    <row r="470" ht="15.75" customHeight="1">
      <c r="C470" s="84"/>
      <c r="D470" s="84"/>
    </row>
    <row r="471" ht="15.75" customHeight="1">
      <c r="C471" s="84"/>
      <c r="D471" s="84"/>
    </row>
    <row r="472" ht="15.75" customHeight="1">
      <c r="C472" s="84"/>
      <c r="D472" s="84"/>
    </row>
    <row r="473" ht="15.75" customHeight="1">
      <c r="C473" s="84"/>
      <c r="D473" s="84"/>
    </row>
    <row r="474" ht="15.75" customHeight="1">
      <c r="C474" s="84"/>
      <c r="D474" s="84"/>
    </row>
    <row r="475" ht="15.75" customHeight="1">
      <c r="C475" s="84"/>
      <c r="D475" s="84"/>
    </row>
    <row r="476" ht="15.75" customHeight="1">
      <c r="C476" s="84"/>
      <c r="D476" s="84"/>
    </row>
    <row r="477" ht="15.75" customHeight="1">
      <c r="C477" s="84"/>
      <c r="D477" s="84"/>
    </row>
    <row r="478" ht="15.75" customHeight="1">
      <c r="C478" s="84"/>
      <c r="D478" s="84"/>
    </row>
    <row r="479" ht="15.75" customHeight="1">
      <c r="C479" s="84"/>
      <c r="D479" s="84"/>
    </row>
    <row r="480" ht="15.75" customHeight="1">
      <c r="C480" s="84"/>
      <c r="D480" s="84"/>
    </row>
    <row r="481" ht="15.75" customHeight="1">
      <c r="C481" s="84"/>
      <c r="D481" s="84"/>
    </row>
    <row r="482" ht="15.75" customHeight="1">
      <c r="C482" s="84"/>
      <c r="D482" s="84"/>
    </row>
    <row r="483" ht="15.75" customHeight="1">
      <c r="C483" s="84"/>
      <c r="D483" s="84"/>
    </row>
    <row r="484" ht="15.75" customHeight="1">
      <c r="C484" s="84"/>
      <c r="D484" s="84"/>
    </row>
    <row r="485" ht="15.75" customHeight="1">
      <c r="C485" s="84"/>
      <c r="D485" s="84"/>
    </row>
    <row r="486" ht="15.75" customHeight="1">
      <c r="C486" s="84"/>
      <c r="D486" s="84"/>
    </row>
    <row r="487" ht="15.75" customHeight="1">
      <c r="C487" s="84"/>
      <c r="D487" s="84"/>
    </row>
    <row r="488" ht="15.75" customHeight="1">
      <c r="C488" s="84"/>
      <c r="D488" s="84"/>
    </row>
    <row r="489" ht="15.75" customHeight="1">
      <c r="C489" s="84"/>
      <c r="D489" s="84"/>
    </row>
    <row r="490" ht="15.75" customHeight="1">
      <c r="C490" s="84"/>
      <c r="D490" s="84"/>
    </row>
    <row r="491" ht="15.75" customHeight="1">
      <c r="C491" s="84"/>
      <c r="D491" s="84"/>
    </row>
    <row r="492" ht="15.75" customHeight="1">
      <c r="C492" s="84"/>
      <c r="D492" s="84"/>
    </row>
    <row r="493" ht="15.75" customHeight="1">
      <c r="C493" s="84"/>
      <c r="D493" s="84"/>
    </row>
    <row r="494" ht="15.75" customHeight="1">
      <c r="C494" s="84"/>
      <c r="D494" s="84"/>
    </row>
    <row r="495" ht="15.75" customHeight="1">
      <c r="C495" s="84"/>
      <c r="D495" s="84"/>
    </row>
    <row r="496" ht="15.75" customHeight="1">
      <c r="C496" s="84"/>
      <c r="D496" s="84"/>
    </row>
    <row r="497" ht="15.75" customHeight="1">
      <c r="C497" s="84"/>
      <c r="D497" s="84"/>
    </row>
    <row r="498" ht="15.75" customHeight="1">
      <c r="C498" s="84"/>
      <c r="D498" s="84"/>
    </row>
    <row r="499" ht="15.75" customHeight="1">
      <c r="C499" s="84"/>
      <c r="D499" s="84"/>
    </row>
    <row r="500" ht="15.75" customHeight="1">
      <c r="C500" s="84"/>
      <c r="D500" s="84"/>
    </row>
    <row r="501" ht="15.75" customHeight="1">
      <c r="C501" s="84"/>
      <c r="D501" s="84"/>
    </row>
    <row r="502" ht="15.75" customHeight="1">
      <c r="C502" s="84"/>
      <c r="D502" s="84"/>
    </row>
    <row r="503" ht="15.75" customHeight="1">
      <c r="C503" s="84"/>
      <c r="D503" s="84"/>
    </row>
    <row r="504" ht="15.75" customHeight="1">
      <c r="C504" s="84"/>
      <c r="D504" s="84"/>
    </row>
    <row r="505" ht="15.75" customHeight="1">
      <c r="C505" s="84"/>
      <c r="D505" s="84"/>
    </row>
    <row r="506" ht="15.75" customHeight="1">
      <c r="C506" s="84"/>
      <c r="D506" s="84"/>
    </row>
    <row r="507" ht="15.75" customHeight="1">
      <c r="C507" s="84"/>
      <c r="D507" s="84"/>
    </row>
    <row r="508" ht="15.75" customHeight="1">
      <c r="C508" s="84"/>
      <c r="D508" s="84"/>
    </row>
    <row r="509" ht="15.75" customHeight="1">
      <c r="C509" s="84"/>
      <c r="D509" s="84"/>
    </row>
    <row r="510" ht="15.75" customHeight="1">
      <c r="C510" s="84"/>
      <c r="D510" s="84"/>
    </row>
    <row r="511" ht="15.75" customHeight="1">
      <c r="C511" s="84"/>
      <c r="D511" s="84"/>
    </row>
    <row r="512" ht="15.75" customHeight="1">
      <c r="C512" s="84"/>
      <c r="D512" s="84"/>
    </row>
    <row r="513" ht="15.75" customHeight="1">
      <c r="C513" s="84"/>
      <c r="D513" s="84"/>
    </row>
    <row r="514" ht="15.75" customHeight="1">
      <c r="C514" s="84"/>
      <c r="D514" s="84"/>
    </row>
    <row r="515" ht="15.75" customHeight="1">
      <c r="C515" s="84"/>
      <c r="D515" s="84"/>
    </row>
    <row r="516" ht="15.75" customHeight="1">
      <c r="C516" s="84"/>
      <c r="D516" s="84"/>
    </row>
    <row r="517" ht="15.75" customHeight="1">
      <c r="C517" s="84"/>
      <c r="D517" s="84"/>
    </row>
    <row r="518" ht="15.75" customHeight="1">
      <c r="C518" s="84"/>
      <c r="D518" s="84"/>
    </row>
    <row r="519" ht="15.75" customHeight="1">
      <c r="C519" s="84"/>
      <c r="D519" s="84"/>
    </row>
    <row r="520" ht="15.75" customHeight="1">
      <c r="C520" s="84"/>
      <c r="D520" s="84"/>
    </row>
    <row r="521" ht="15.75" customHeight="1">
      <c r="C521" s="84"/>
      <c r="D521" s="84"/>
    </row>
    <row r="522" ht="15.75" customHeight="1">
      <c r="C522" s="84"/>
      <c r="D522" s="84"/>
    </row>
    <row r="523" ht="15.75" customHeight="1">
      <c r="C523" s="84"/>
      <c r="D523" s="84"/>
    </row>
    <row r="524" ht="15.75" customHeight="1">
      <c r="C524" s="84"/>
      <c r="D524" s="84"/>
    </row>
    <row r="525" ht="15.75" customHeight="1">
      <c r="C525" s="84"/>
      <c r="D525" s="84"/>
    </row>
    <row r="526" ht="15.75" customHeight="1">
      <c r="C526" s="84"/>
      <c r="D526" s="84"/>
    </row>
    <row r="527" ht="15.75" customHeight="1">
      <c r="C527" s="84"/>
      <c r="D527" s="84"/>
    </row>
    <row r="528" ht="15.75" customHeight="1">
      <c r="C528" s="84"/>
      <c r="D528" s="84"/>
    </row>
    <row r="529" ht="15.75" customHeight="1">
      <c r="C529" s="84"/>
      <c r="D529" s="84"/>
    </row>
    <row r="530" ht="15.75" customHeight="1">
      <c r="C530" s="84"/>
      <c r="D530" s="84"/>
    </row>
    <row r="531" ht="15.75" customHeight="1">
      <c r="C531" s="84"/>
      <c r="D531" s="84"/>
    </row>
    <row r="532" ht="15.75" customHeight="1">
      <c r="C532" s="84"/>
      <c r="D532" s="84"/>
    </row>
    <row r="533" ht="15.75" customHeight="1">
      <c r="C533" s="84"/>
      <c r="D533" s="84"/>
    </row>
    <row r="534" ht="15.75" customHeight="1">
      <c r="C534" s="84"/>
      <c r="D534" s="84"/>
    </row>
    <row r="535" ht="15.75" customHeight="1">
      <c r="C535" s="84"/>
      <c r="D535" s="84"/>
    </row>
    <row r="536" ht="15.75" customHeight="1">
      <c r="C536" s="84"/>
      <c r="D536" s="84"/>
    </row>
    <row r="537" ht="15.75" customHeight="1">
      <c r="C537" s="84"/>
      <c r="D537" s="84"/>
    </row>
    <row r="538" ht="15.75" customHeight="1">
      <c r="C538" s="84"/>
      <c r="D538" s="84"/>
    </row>
    <row r="539" ht="15.75" customHeight="1">
      <c r="C539" s="84"/>
      <c r="D539" s="84"/>
    </row>
    <row r="540" ht="15.75" customHeight="1">
      <c r="C540" s="84"/>
      <c r="D540" s="84"/>
    </row>
    <row r="541" ht="15.75" customHeight="1">
      <c r="C541" s="84"/>
      <c r="D541" s="84"/>
    </row>
    <row r="542" ht="15.75" customHeight="1">
      <c r="C542" s="84"/>
      <c r="D542" s="84"/>
    </row>
    <row r="543" ht="15.75" customHeight="1">
      <c r="C543" s="84"/>
      <c r="D543" s="84"/>
    </row>
    <row r="544" ht="15.75" customHeight="1">
      <c r="C544" s="84"/>
      <c r="D544" s="84"/>
    </row>
    <row r="545" ht="15.75" customHeight="1">
      <c r="C545" s="84"/>
      <c r="D545" s="84"/>
    </row>
    <row r="546" ht="15.75" customHeight="1">
      <c r="C546" s="84"/>
      <c r="D546" s="84"/>
    </row>
    <row r="547" ht="15.75" customHeight="1">
      <c r="C547" s="84"/>
      <c r="D547" s="84"/>
    </row>
    <row r="548" ht="15.75" customHeight="1">
      <c r="C548" s="84"/>
      <c r="D548" s="84"/>
    </row>
    <row r="549" ht="15.75" customHeight="1">
      <c r="C549" s="84"/>
      <c r="D549" s="84"/>
    </row>
    <row r="550" ht="15.75" customHeight="1">
      <c r="C550" s="84"/>
      <c r="D550" s="84"/>
    </row>
    <row r="551" ht="15.75" customHeight="1">
      <c r="C551" s="84"/>
      <c r="D551" s="84"/>
    </row>
    <row r="552" ht="15.75" customHeight="1">
      <c r="C552" s="84"/>
      <c r="D552" s="84"/>
    </row>
    <row r="553" ht="15.75" customHeight="1">
      <c r="C553" s="84"/>
      <c r="D553" s="84"/>
    </row>
    <row r="554" ht="15.75" customHeight="1">
      <c r="C554" s="84"/>
      <c r="D554" s="84"/>
    </row>
    <row r="555" ht="15.75" customHeight="1">
      <c r="C555" s="84"/>
      <c r="D555" s="84"/>
    </row>
    <row r="556" ht="15.75" customHeight="1">
      <c r="C556" s="84"/>
      <c r="D556" s="84"/>
    </row>
    <row r="557" ht="15.75" customHeight="1">
      <c r="C557" s="84"/>
      <c r="D557" s="84"/>
    </row>
    <row r="558" ht="15.75" customHeight="1">
      <c r="C558" s="84"/>
      <c r="D558" s="84"/>
    </row>
    <row r="559" ht="15.75" customHeight="1">
      <c r="C559" s="84"/>
      <c r="D559" s="84"/>
    </row>
    <row r="560" ht="15.75" customHeight="1">
      <c r="C560" s="84"/>
      <c r="D560" s="84"/>
    </row>
    <row r="561" ht="15.75" customHeight="1">
      <c r="C561" s="84"/>
      <c r="D561" s="84"/>
    </row>
    <row r="562" ht="15.75" customHeight="1">
      <c r="C562" s="84"/>
      <c r="D562" s="84"/>
    </row>
    <row r="563" ht="15.75" customHeight="1">
      <c r="C563" s="84"/>
      <c r="D563" s="84"/>
    </row>
    <row r="564" ht="15.75" customHeight="1">
      <c r="C564" s="84"/>
      <c r="D564" s="84"/>
    </row>
    <row r="565" ht="15.75" customHeight="1">
      <c r="C565" s="84"/>
      <c r="D565" s="84"/>
    </row>
    <row r="566" ht="15.75" customHeight="1">
      <c r="C566" s="84"/>
      <c r="D566" s="84"/>
    </row>
    <row r="567" ht="15.75" customHeight="1">
      <c r="C567" s="84"/>
      <c r="D567" s="84"/>
    </row>
    <row r="568" ht="15.75" customHeight="1">
      <c r="C568" s="84"/>
      <c r="D568" s="84"/>
    </row>
    <row r="569" ht="15.75" customHeight="1">
      <c r="C569" s="84"/>
      <c r="D569" s="84"/>
    </row>
    <row r="570" ht="15.75" customHeight="1">
      <c r="C570" s="84"/>
      <c r="D570" s="84"/>
    </row>
    <row r="571" ht="15.75" customHeight="1">
      <c r="C571" s="84"/>
      <c r="D571" s="84"/>
    </row>
    <row r="572" ht="15.75" customHeight="1">
      <c r="C572" s="84"/>
      <c r="D572" s="84"/>
    </row>
    <row r="573" ht="15.75" customHeight="1">
      <c r="C573" s="84"/>
      <c r="D573" s="84"/>
    </row>
    <row r="574" ht="15.75" customHeight="1">
      <c r="C574" s="84"/>
      <c r="D574" s="84"/>
    </row>
    <row r="575" ht="15.75" customHeight="1">
      <c r="C575" s="84"/>
      <c r="D575" s="84"/>
    </row>
    <row r="576" ht="15.75" customHeight="1">
      <c r="C576" s="84"/>
      <c r="D576" s="84"/>
    </row>
    <row r="577" ht="15.75" customHeight="1">
      <c r="C577" s="84"/>
      <c r="D577" s="84"/>
    </row>
    <row r="578" ht="15.75" customHeight="1">
      <c r="C578" s="84"/>
      <c r="D578" s="84"/>
    </row>
    <row r="579" ht="15.75" customHeight="1">
      <c r="C579" s="84"/>
      <c r="D579" s="84"/>
    </row>
    <row r="580" ht="15.75" customHeight="1">
      <c r="C580" s="84"/>
      <c r="D580" s="84"/>
    </row>
    <row r="581" ht="15.75" customHeight="1">
      <c r="C581" s="84"/>
      <c r="D581" s="84"/>
    </row>
    <row r="582" ht="15.75" customHeight="1">
      <c r="C582" s="84"/>
      <c r="D582" s="84"/>
    </row>
    <row r="583" ht="15.75" customHeight="1">
      <c r="C583" s="84"/>
      <c r="D583" s="84"/>
    </row>
    <row r="584" ht="15.75" customHeight="1">
      <c r="C584" s="84"/>
      <c r="D584" s="84"/>
    </row>
    <row r="585" ht="15.75" customHeight="1">
      <c r="C585" s="84"/>
      <c r="D585" s="84"/>
    </row>
    <row r="586" ht="15.75" customHeight="1">
      <c r="C586" s="84"/>
      <c r="D586" s="84"/>
    </row>
    <row r="587" ht="15.75" customHeight="1">
      <c r="C587" s="84"/>
      <c r="D587" s="84"/>
    </row>
    <row r="588" ht="15.75" customHeight="1">
      <c r="C588" s="84"/>
      <c r="D588" s="84"/>
    </row>
    <row r="589" ht="15.75" customHeight="1">
      <c r="C589" s="84"/>
      <c r="D589" s="84"/>
    </row>
    <row r="590" ht="15.75" customHeight="1">
      <c r="C590" s="84"/>
      <c r="D590" s="84"/>
    </row>
    <row r="591" ht="15.75" customHeight="1">
      <c r="C591" s="84"/>
      <c r="D591" s="84"/>
    </row>
    <row r="592" ht="15.75" customHeight="1">
      <c r="C592" s="84"/>
      <c r="D592" s="84"/>
    </row>
    <row r="593" ht="15.75" customHeight="1">
      <c r="C593" s="84"/>
      <c r="D593" s="84"/>
    </row>
    <row r="594" ht="15.75" customHeight="1">
      <c r="C594" s="84"/>
      <c r="D594" s="84"/>
    </row>
    <row r="595" ht="15.75" customHeight="1">
      <c r="C595" s="84"/>
      <c r="D595" s="84"/>
    </row>
    <row r="596" ht="15.75" customHeight="1">
      <c r="C596" s="84"/>
      <c r="D596" s="84"/>
    </row>
    <row r="597" ht="15.75" customHeight="1">
      <c r="C597" s="84"/>
      <c r="D597" s="84"/>
    </row>
    <row r="598" ht="15.75" customHeight="1">
      <c r="C598" s="84"/>
      <c r="D598" s="84"/>
    </row>
    <row r="599" ht="15.75" customHeight="1">
      <c r="C599" s="84"/>
      <c r="D599" s="84"/>
    </row>
    <row r="600" ht="15.75" customHeight="1">
      <c r="C600" s="84"/>
      <c r="D600" s="84"/>
    </row>
    <row r="601" ht="15.75" customHeight="1">
      <c r="C601" s="84"/>
      <c r="D601" s="84"/>
    </row>
    <row r="602" ht="15.75" customHeight="1">
      <c r="C602" s="84"/>
      <c r="D602" s="84"/>
    </row>
    <row r="603" ht="15.75" customHeight="1">
      <c r="C603" s="84"/>
      <c r="D603" s="84"/>
    </row>
    <row r="604" ht="15.75" customHeight="1">
      <c r="C604" s="84"/>
      <c r="D604" s="84"/>
    </row>
    <row r="605" ht="15.75" customHeight="1">
      <c r="C605" s="84"/>
      <c r="D605" s="84"/>
    </row>
    <row r="606" ht="15.75" customHeight="1">
      <c r="C606" s="84"/>
      <c r="D606" s="84"/>
    </row>
    <row r="607" ht="15.75" customHeight="1">
      <c r="C607" s="84"/>
      <c r="D607" s="84"/>
    </row>
    <row r="608" ht="15.75" customHeight="1">
      <c r="C608" s="84"/>
      <c r="D608" s="84"/>
    </row>
    <row r="609" ht="15.75" customHeight="1">
      <c r="C609" s="84"/>
      <c r="D609" s="84"/>
    </row>
    <row r="610" ht="15.75" customHeight="1">
      <c r="C610" s="84"/>
      <c r="D610" s="84"/>
    </row>
    <row r="611" ht="15.75" customHeight="1">
      <c r="C611" s="84"/>
      <c r="D611" s="84"/>
    </row>
    <row r="612" ht="15.75" customHeight="1">
      <c r="C612" s="84"/>
      <c r="D612" s="84"/>
    </row>
    <row r="613" ht="15.75" customHeight="1">
      <c r="C613" s="84"/>
      <c r="D613" s="84"/>
    </row>
    <row r="614" ht="15.75" customHeight="1">
      <c r="C614" s="84"/>
      <c r="D614" s="84"/>
    </row>
    <row r="615" ht="15.75" customHeight="1">
      <c r="C615" s="84"/>
      <c r="D615" s="84"/>
    </row>
    <row r="616" ht="15.75" customHeight="1">
      <c r="C616" s="84"/>
      <c r="D616" s="84"/>
    </row>
    <row r="617" ht="15.75" customHeight="1">
      <c r="C617" s="84"/>
      <c r="D617" s="84"/>
    </row>
    <row r="618" ht="15.75" customHeight="1">
      <c r="C618" s="84"/>
      <c r="D618" s="84"/>
    </row>
    <row r="619" ht="15.75" customHeight="1">
      <c r="C619" s="84"/>
      <c r="D619" s="84"/>
    </row>
    <row r="620" ht="15.75" customHeight="1">
      <c r="C620" s="84"/>
      <c r="D620" s="84"/>
    </row>
    <row r="621" ht="15.75" customHeight="1">
      <c r="C621" s="84"/>
      <c r="D621" s="84"/>
    </row>
    <row r="622" ht="15.75" customHeight="1">
      <c r="C622" s="84"/>
      <c r="D622" s="84"/>
    </row>
    <row r="623" ht="15.75" customHeight="1">
      <c r="C623" s="84"/>
      <c r="D623" s="84"/>
    </row>
    <row r="624" ht="15.75" customHeight="1">
      <c r="C624" s="84"/>
      <c r="D624" s="84"/>
    </row>
    <row r="625" ht="15.75" customHeight="1">
      <c r="C625" s="84"/>
      <c r="D625" s="84"/>
    </row>
    <row r="626" ht="15.75" customHeight="1">
      <c r="C626" s="84"/>
      <c r="D626" s="84"/>
    </row>
    <row r="627" ht="15.75" customHeight="1">
      <c r="C627" s="84"/>
      <c r="D627" s="84"/>
    </row>
    <row r="628" ht="15.75" customHeight="1">
      <c r="C628" s="84"/>
      <c r="D628" s="84"/>
    </row>
    <row r="629" ht="15.75" customHeight="1">
      <c r="C629" s="84"/>
      <c r="D629" s="84"/>
    </row>
    <row r="630" ht="15.75" customHeight="1">
      <c r="C630" s="84"/>
      <c r="D630" s="84"/>
    </row>
    <row r="631" ht="15.75" customHeight="1">
      <c r="C631" s="84"/>
      <c r="D631" s="84"/>
    </row>
    <row r="632" ht="15.75" customHeight="1">
      <c r="C632" s="84"/>
      <c r="D632" s="84"/>
    </row>
    <row r="633" ht="15.75" customHeight="1">
      <c r="C633" s="84"/>
      <c r="D633" s="84"/>
    </row>
    <row r="634" ht="15.75" customHeight="1">
      <c r="C634" s="84"/>
      <c r="D634" s="84"/>
    </row>
    <row r="635" ht="15.75" customHeight="1">
      <c r="C635" s="84"/>
      <c r="D635" s="84"/>
    </row>
    <row r="636" ht="15.75" customHeight="1">
      <c r="C636" s="84"/>
      <c r="D636" s="84"/>
    </row>
    <row r="637" ht="15.75" customHeight="1">
      <c r="C637" s="84"/>
      <c r="D637" s="84"/>
    </row>
    <row r="638" ht="15.75" customHeight="1">
      <c r="C638" s="84"/>
      <c r="D638" s="84"/>
    </row>
    <row r="639" ht="15.75" customHeight="1">
      <c r="C639" s="84"/>
      <c r="D639" s="84"/>
    </row>
    <row r="640" ht="15.75" customHeight="1">
      <c r="C640" s="84"/>
      <c r="D640" s="84"/>
    </row>
    <row r="641" ht="15.75" customHeight="1">
      <c r="C641" s="84"/>
      <c r="D641" s="84"/>
    </row>
    <row r="642" ht="15.75" customHeight="1">
      <c r="C642" s="84"/>
      <c r="D642" s="84"/>
    </row>
    <row r="643" ht="15.75" customHeight="1">
      <c r="C643" s="84"/>
      <c r="D643" s="84"/>
    </row>
    <row r="644" ht="15.75" customHeight="1">
      <c r="C644" s="84"/>
      <c r="D644" s="84"/>
    </row>
    <row r="645" ht="15.75" customHeight="1">
      <c r="C645" s="84"/>
      <c r="D645" s="84"/>
    </row>
    <row r="646" ht="15.75" customHeight="1">
      <c r="C646" s="84"/>
      <c r="D646" s="84"/>
    </row>
    <row r="647" ht="15.75" customHeight="1">
      <c r="C647" s="84"/>
      <c r="D647" s="84"/>
    </row>
    <row r="648" ht="15.75" customHeight="1">
      <c r="C648" s="84"/>
      <c r="D648" s="84"/>
    </row>
    <row r="649" ht="15.75" customHeight="1">
      <c r="C649" s="84"/>
      <c r="D649" s="84"/>
    </row>
    <row r="650" ht="15.75" customHeight="1">
      <c r="C650" s="84"/>
      <c r="D650" s="84"/>
    </row>
    <row r="651" ht="15.75" customHeight="1">
      <c r="C651" s="84"/>
      <c r="D651" s="84"/>
    </row>
    <row r="652" ht="15.75" customHeight="1">
      <c r="C652" s="84"/>
      <c r="D652" s="84"/>
    </row>
    <row r="653" ht="15.75" customHeight="1">
      <c r="C653" s="84"/>
      <c r="D653" s="84"/>
    </row>
    <row r="654" ht="15.75" customHeight="1">
      <c r="C654" s="84"/>
      <c r="D654" s="84"/>
    </row>
    <row r="655" ht="15.75" customHeight="1">
      <c r="C655" s="84"/>
      <c r="D655" s="84"/>
    </row>
    <row r="656" ht="15.75" customHeight="1">
      <c r="C656" s="84"/>
      <c r="D656" s="84"/>
    </row>
    <row r="657" ht="15.75" customHeight="1">
      <c r="C657" s="84"/>
      <c r="D657" s="84"/>
    </row>
    <row r="658" ht="15.75" customHeight="1">
      <c r="C658" s="84"/>
      <c r="D658" s="84"/>
    </row>
    <row r="659" ht="15.75" customHeight="1">
      <c r="C659" s="84"/>
      <c r="D659" s="84"/>
    </row>
    <row r="660" ht="15.75" customHeight="1">
      <c r="C660" s="84"/>
      <c r="D660" s="84"/>
    </row>
    <row r="661" ht="15.75" customHeight="1">
      <c r="C661" s="84"/>
      <c r="D661" s="84"/>
    </row>
    <row r="662" ht="15.75" customHeight="1">
      <c r="C662" s="84"/>
      <c r="D662" s="84"/>
    </row>
    <row r="663" ht="15.75" customHeight="1">
      <c r="C663" s="84"/>
      <c r="D663" s="84"/>
    </row>
    <row r="664" ht="15.75" customHeight="1">
      <c r="C664" s="84"/>
      <c r="D664" s="84"/>
    </row>
    <row r="665" ht="15.75" customHeight="1">
      <c r="C665" s="84"/>
      <c r="D665" s="84"/>
    </row>
    <row r="666" ht="15.75" customHeight="1">
      <c r="C666" s="84"/>
      <c r="D666" s="84"/>
    </row>
    <row r="667" ht="15.75" customHeight="1">
      <c r="C667" s="84"/>
      <c r="D667" s="84"/>
    </row>
    <row r="668" ht="15.75" customHeight="1">
      <c r="C668" s="84"/>
      <c r="D668" s="84"/>
    </row>
    <row r="669" ht="15.75" customHeight="1">
      <c r="C669" s="84"/>
      <c r="D669" s="84"/>
    </row>
    <row r="670" ht="15.75" customHeight="1">
      <c r="C670" s="84"/>
      <c r="D670" s="84"/>
    </row>
    <row r="671" ht="15.75" customHeight="1">
      <c r="C671" s="84"/>
      <c r="D671" s="84"/>
    </row>
    <row r="672" ht="15.75" customHeight="1">
      <c r="C672" s="84"/>
      <c r="D672" s="84"/>
    </row>
    <row r="673" ht="15.75" customHeight="1">
      <c r="C673" s="84"/>
      <c r="D673" s="84"/>
    </row>
    <row r="674" ht="15.75" customHeight="1">
      <c r="C674" s="84"/>
      <c r="D674" s="84"/>
    </row>
    <row r="675" ht="15.75" customHeight="1">
      <c r="C675" s="84"/>
      <c r="D675" s="84"/>
    </row>
    <row r="676" ht="15.75" customHeight="1">
      <c r="C676" s="84"/>
      <c r="D676" s="84"/>
    </row>
    <row r="677" ht="15.75" customHeight="1">
      <c r="C677" s="84"/>
      <c r="D677" s="84"/>
    </row>
    <row r="678" ht="15.75" customHeight="1">
      <c r="C678" s="84"/>
      <c r="D678" s="84"/>
    </row>
    <row r="679" ht="15.75" customHeight="1">
      <c r="C679" s="84"/>
      <c r="D679" s="84"/>
    </row>
    <row r="680" ht="15.75" customHeight="1">
      <c r="C680" s="84"/>
      <c r="D680" s="84"/>
    </row>
    <row r="681" ht="15.75" customHeight="1">
      <c r="C681" s="84"/>
      <c r="D681" s="84"/>
    </row>
    <row r="682" ht="15.75" customHeight="1">
      <c r="C682" s="84"/>
      <c r="D682" s="84"/>
    </row>
    <row r="683" ht="15.75" customHeight="1">
      <c r="C683" s="84"/>
      <c r="D683" s="84"/>
    </row>
    <row r="684" ht="15.75" customHeight="1">
      <c r="C684" s="84"/>
      <c r="D684" s="84"/>
    </row>
    <row r="685" ht="15.75" customHeight="1">
      <c r="C685" s="84"/>
      <c r="D685" s="84"/>
    </row>
    <row r="686" ht="15.75" customHeight="1">
      <c r="C686" s="84"/>
      <c r="D686" s="84"/>
    </row>
    <row r="687" ht="15.75" customHeight="1">
      <c r="C687" s="84"/>
      <c r="D687" s="84"/>
    </row>
    <row r="688" ht="15.75" customHeight="1">
      <c r="C688" s="84"/>
      <c r="D688" s="84"/>
    </row>
    <row r="689" ht="15.75" customHeight="1">
      <c r="C689" s="84"/>
      <c r="D689" s="84"/>
    </row>
    <row r="690" ht="15.75" customHeight="1">
      <c r="C690" s="84"/>
      <c r="D690" s="84"/>
    </row>
    <row r="691" ht="15.75" customHeight="1">
      <c r="C691" s="84"/>
      <c r="D691" s="84"/>
    </row>
    <row r="692" ht="15.75" customHeight="1">
      <c r="C692" s="84"/>
      <c r="D692" s="84"/>
    </row>
    <row r="693" ht="15.75" customHeight="1">
      <c r="C693" s="84"/>
      <c r="D693" s="84"/>
    </row>
    <row r="694" ht="15.75" customHeight="1">
      <c r="C694" s="84"/>
      <c r="D694" s="84"/>
    </row>
    <row r="695" ht="15.75" customHeight="1">
      <c r="C695" s="84"/>
      <c r="D695" s="84"/>
    </row>
    <row r="696" ht="15.75" customHeight="1">
      <c r="C696" s="84"/>
      <c r="D696" s="84"/>
    </row>
    <row r="697" ht="15.75" customHeight="1">
      <c r="C697" s="84"/>
      <c r="D697" s="84"/>
    </row>
    <row r="698" ht="15.75" customHeight="1">
      <c r="C698" s="84"/>
      <c r="D698" s="84"/>
    </row>
    <row r="699" ht="15.75" customHeight="1">
      <c r="C699" s="84"/>
      <c r="D699" s="84"/>
    </row>
    <row r="700" ht="15.75" customHeight="1">
      <c r="C700" s="84"/>
      <c r="D700" s="84"/>
    </row>
    <row r="701" ht="15.75" customHeight="1">
      <c r="C701" s="84"/>
      <c r="D701" s="84"/>
    </row>
    <row r="702" ht="15.75" customHeight="1">
      <c r="C702" s="84"/>
      <c r="D702" s="84"/>
    </row>
    <row r="703" ht="15.75" customHeight="1">
      <c r="C703" s="84"/>
      <c r="D703" s="84"/>
    </row>
    <row r="704" ht="15.75" customHeight="1">
      <c r="C704" s="84"/>
      <c r="D704" s="84"/>
    </row>
    <row r="705" ht="15.75" customHeight="1">
      <c r="C705" s="84"/>
      <c r="D705" s="84"/>
    </row>
    <row r="706" ht="15.75" customHeight="1">
      <c r="C706" s="84"/>
      <c r="D706" s="84"/>
    </row>
    <row r="707" ht="15.75" customHeight="1">
      <c r="C707" s="84"/>
      <c r="D707" s="84"/>
    </row>
    <row r="708" ht="15.75" customHeight="1">
      <c r="C708" s="84"/>
      <c r="D708" s="84"/>
    </row>
    <row r="709" ht="15.75" customHeight="1">
      <c r="C709" s="84"/>
      <c r="D709" s="84"/>
    </row>
    <row r="710" ht="15.75" customHeight="1">
      <c r="C710" s="84"/>
      <c r="D710" s="84"/>
    </row>
    <row r="711" ht="15.75" customHeight="1">
      <c r="C711" s="84"/>
      <c r="D711" s="84"/>
    </row>
    <row r="712" ht="15.75" customHeight="1">
      <c r="C712" s="84"/>
      <c r="D712" s="84"/>
    </row>
    <row r="713" ht="15.75" customHeight="1">
      <c r="C713" s="84"/>
      <c r="D713" s="84"/>
    </row>
    <row r="714" ht="15.75" customHeight="1">
      <c r="C714" s="84"/>
      <c r="D714" s="84"/>
    </row>
    <row r="715" ht="15.75" customHeight="1">
      <c r="C715" s="84"/>
      <c r="D715" s="84"/>
    </row>
    <row r="716" ht="15.75" customHeight="1">
      <c r="C716" s="84"/>
      <c r="D716" s="84"/>
    </row>
    <row r="717" ht="15.75" customHeight="1">
      <c r="C717" s="84"/>
      <c r="D717" s="84"/>
    </row>
    <row r="718" ht="15.75" customHeight="1">
      <c r="C718" s="84"/>
      <c r="D718" s="84"/>
    </row>
    <row r="719" ht="15.75" customHeight="1">
      <c r="C719" s="84"/>
      <c r="D719" s="84"/>
    </row>
    <row r="720" ht="15.75" customHeight="1">
      <c r="C720" s="84"/>
      <c r="D720" s="84"/>
    </row>
    <row r="721" ht="15.75" customHeight="1">
      <c r="C721" s="84"/>
      <c r="D721" s="84"/>
    </row>
    <row r="722" ht="15.75" customHeight="1">
      <c r="C722" s="84"/>
      <c r="D722" s="84"/>
    </row>
    <row r="723" ht="15.75" customHeight="1">
      <c r="C723" s="84"/>
      <c r="D723" s="84"/>
    </row>
    <row r="724" ht="15.75" customHeight="1">
      <c r="C724" s="84"/>
      <c r="D724" s="84"/>
    </row>
    <row r="725" ht="15.75" customHeight="1">
      <c r="C725" s="84"/>
      <c r="D725" s="84"/>
    </row>
    <row r="726" ht="15.75" customHeight="1">
      <c r="C726" s="84"/>
      <c r="D726" s="84"/>
    </row>
    <row r="727" ht="15.75" customHeight="1">
      <c r="C727" s="84"/>
      <c r="D727" s="84"/>
    </row>
    <row r="728" ht="15.75" customHeight="1">
      <c r="C728" s="84"/>
      <c r="D728" s="84"/>
    </row>
    <row r="729" ht="15.75" customHeight="1">
      <c r="C729" s="84"/>
      <c r="D729" s="84"/>
    </row>
    <row r="730" ht="15.75" customHeight="1">
      <c r="C730" s="84"/>
      <c r="D730" s="84"/>
    </row>
    <row r="731" ht="15.75" customHeight="1">
      <c r="C731" s="84"/>
      <c r="D731" s="84"/>
    </row>
    <row r="732" ht="15.75" customHeight="1">
      <c r="C732" s="84"/>
      <c r="D732" s="84"/>
    </row>
    <row r="733" ht="15.75" customHeight="1">
      <c r="C733" s="84"/>
      <c r="D733" s="84"/>
    </row>
    <row r="734" ht="15.75" customHeight="1">
      <c r="C734" s="84"/>
      <c r="D734" s="84"/>
    </row>
    <row r="735" ht="15.75" customHeight="1">
      <c r="C735" s="84"/>
      <c r="D735" s="84"/>
    </row>
    <row r="736" ht="15.75" customHeight="1">
      <c r="C736" s="84"/>
      <c r="D736" s="84"/>
    </row>
    <row r="737" ht="15.75" customHeight="1">
      <c r="C737" s="84"/>
      <c r="D737" s="84"/>
    </row>
    <row r="738" ht="15.75" customHeight="1">
      <c r="C738" s="84"/>
      <c r="D738" s="84"/>
    </row>
    <row r="739" ht="15.75" customHeight="1">
      <c r="C739" s="84"/>
      <c r="D739" s="84"/>
    </row>
    <row r="740" ht="15.75" customHeight="1">
      <c r="C740" s="84"/>
      <c r="D740" s="84"/>
    </row>
    <row r="741" ht="15.75" customHeight="1">
      <c r="C741" s="84"/>
      <c r="D741" s="84"/>
    </row>
    <row r="742" ht="15.75" customHeight="1">
      <c r="C742" s="84"/>
      <c r="D742" s="84"/>
    </row>
    <row r="743" ht="15.75" customHeight="1">
      <c r="C743" s="84"/>
      <c r="D743" s="84"/>
    </row>
    <row r="744" ht="15.75" customHeight="1">
      <c r="C744" s="84"/>
      <c r="D744" s="84"/>
    </row>
    <row r="745" ht="15.75" customHeight="1">
      <c r="C745" s="84"/>
      <c r="D745" s="84"/>
    </row>
    <row r="746" ht="15.75" customHeight="1">
      <c r="C746" s="84"/>
      <c r="D746" s="84"/>
    </row>
    <row r="747" ht="15.75" customHeight="1">
      <c r="C747" s="84"/>
      <c r="D747" s="84"/>
    </row>
    <row r="748" ht="15.75" customHeight="1">
      <c r="C748" s="84"/>
      <c r="D748" s="84"/>
    </row>
    <row r="749" ht="15.75" customHeight="1">
      <c r="C749" s="84"/>
      <c r="D749" s="84"/>
    </row>
    <row r="750" ht="15.75" customHeight="1">
      <c r="C750" s="84"/>
      <c r="D750" s="84"/>
    </row>
    <row r="751" ht="15.75" customHeight="1">
      <c r="C751" s="84"/>
      <c r="D751" s="84"/>
    </row>
    <row r="752" ht="15.75" customHeight="1">
      <c r="C752" s="84"/>
      <c r="D752" s="84"/>
    </row>
    <row r="753" ht="15.75" customHeight="1">
      <c r="C753" s="84"/>
      <c r="D753" s="84"/>
    </row>
    <row r="754" ht="15.75" customHeight="1">
      <c r="C754" s="84"/>
      <c r="D754" s="84"/>
    </row>
    <row r="755" ht="15.75" customHeight="1">
      <c r="C755" s="84"/>
      <c r="D755" s="84"/>
    </row>
    <row r="756" ht="15.75" customHeight="1">
      <c r="C756" s="84"/>
      <c r="D756" s="84"/>
    </row>
    <row r="757" ht="15.75" customHeight="1">
      <c r="C757" s="84"/>
      <c r="D757" s="84"/>
    </row>
    <row r="758" ht="15.75" customHeight="1">
      <c r="C758" s="84"/>
      <c r="D758" s="84"/>
    </row>
    <row r="759" ht="15.75" customHeight="1">
      <c r="C759" s="84"/>
      <c r="D759" s="84"/>
    </row>
    <row r="760" ht="15.75" customHeight="1">
      <c r="C760" s="84"/>
      <c r="D760" s="84"/>
    </row>
    <row r="761" ht="15.75" customHeight="1">
      <c r="C761" s="84"/>
      <c r="D761" s="84"/>
    </row>
    <row r="762" ht="15.75" customHeight="1">
      <c r="C762" s="84"/>
      <c r="D762" s="84"/>
    </row>
    <row r="763" ht="15.75" customHeight="1">
      <c r="C763" s="84"/>
      <c r="D763" s="84"/>
    </row>
    <row r="764" ht="15.75" customHeight="1">
      <c r="C764" s="84"/>
      <c r="D764" s="84"/>
    </row>
    <row r="765" ht="15.75" customHeight="1">
      <c r="C765" s="84"/>
      <c r="D765" s="84"/>
    </row>
    <row r="766" ht="15.75" customHeight="1">
      <c r="C766" s="84"/>
      <c r="D766" s="84"/>
    </row>
    <row r="767" ht="15.75" customHeight="1">
      <c r="C767" s="84"/>
      <c r="D767" s="84"/>
    </row>
    <row r="768" ht="15.75" customHeight="1">
      <c r="C768" s="84"/>
      <c r="D768" s="84"/>
    </row>
    <row r="769" ht="15.75" customHeight="1">
      <c r="C769" s="84"/>
      <c r="D769" s="84"/>
    </row>
    <row r="770" ht="15.75" customHeight="1">
      <c r="C770" s="84"/>
      <c r="D770" s="84"/>
    </row>
    <row r="771" ht="15.75" customHeight="1">
      <c r="C771" s="84"/>
      <c r="D771" s="84"/>
    </row>
    <row r="772" ht="15.75" customHeight="1">
      <c r="C772" s="84"/>
      <c r="D772" s="84"/>
    </row>
    <row r="773" ht="15.75" customHeight="1">
      <c r="C773" s="84"/>
      <c r="D773" s="84"/>
    </row>
    <row r="774" ht="15.75" customHeight="1">
      <c r="C774" s="84"/>
      <c r="D774" s="84"/>
    </row>
    <row r="775" ht="15.75" customHeight="1">
      <c r="C775" s="84"/>
      <c r="D775" s="84"/>
    </row>
    <row r="776" ht="15.75" customHeight="1">
      <c r="C776" s="84"/>
      <c r="D776" s="84"/>
    </row>
    <row r="777" ht="15.75" customHeight="1">
      <c r="C777" s="84"/>
      <c r="D777" s="84"/>
    </row>
    <row r="778" ht="15.75" customHeight="1">
      <c r="C778" s="84"/>
      <c r="D778" s="84"/>
    </row>
    <row r="779" ht="15.75" customHeight="1">
      <c r="C779" s="84"/>
      <c r="D779" s="84"/>
    </row>
    <row r="780" ht="15.75" customHeight="1">
      <c r="C780" s="84"/>
      <c r="D780" s="84"/>
    </row>
    <row r="781" ht="15.75" customHeight="1">
      <c r="C781" s="84"/>
      <c r="D781" s="84"/>
    </row>
    <row r="782" ht="15.75" customHeight="1">
      <c r="C782" s="84"/>
      <c r="D782" s="84"/>
    </row>
    <row r="783" ht="15.75" customHeight="1">
      <c r="C783" s="84"/>
      <c r="D783" s="84"/>
    </row>
    <row r="784" ht="15.75" customHeight="1">
      <c r="C784" s="84"/>
      <c r="D784" s="84"/>
    </row>
    <row r="785" ht="15.75" customHeight="1">
      <c r="C785" s="84"/>
      <c r="D785" s="84"/>
    </row>
    <row r="786" ht="15.75" customHeight="1">
      <c r="C786" s="84"/>
      <c r="D786" s="84"/>
    </row>
    <row r="787" ht="15.75" customHeight="1">
      <c r="C787" s="84"/>
      <c r="D787" s="84"/>
    </row>
    <row r="788" ht="15.75" customHeight="1">
      <c r="C788" s="84"/>
      <c r="D788" s="84"/>
    </row>
    <row r="789" ht="15.75" customHeight="1">
      <c r="C789" s="84"/>
      <c r="D789" s="84"/>
    </row>
    <row r="790" ht="15.75" customHeight="1">
      <c r="C790" s="84"/>
      <c r="D790" s="84"/>
    </row>
    <row r="791" ht="15.75" customHeight="1">
      <c r="C791" s="84"/>
      <c r="D791" s="84"/>
    </row>
    <row r="792" ht="15.75" customHeight="1">
      <c r="C792" s="84"/>
      <c r="D792" s="84"/>
    </row>
    <row r="793" ht="15.75" customHeight="1">
      <c r="C793" s="84"/>
      <c r="D793" s="84"/>
    </row>
    <row r="794" ht="15.75" customHeight="1">
      <c r="C794" s="84"/>
      <c r="D794" s="84"/>
    </row>
    <row r="795" ht="15.75" customHeight="1">
      <c r="C795" s="84"/>
      <c r="D795" s="84"/>
    </row>
    <row r="796" ht="15.75" customHeight="1">
      <c r="C796" s="84"/>
      <c r="D796" s="84"/>
    </row>
    <row r="797" ht="15.75" customHeight="1">
      <c r="C797" s="84"/>
      <c r="D797" s="84"/>
    </row>
    <row r="798" ht="15.75" customHeight="1">
      <c r="C798" s="84"/>
      <c r="D798" s="84"/>
    </row>
    <row r="799" ht="15.75" customHeight="1">
      <c r="C799" s="84"/>
      <c r="D799" s="84"/>
    </row>
    <row r="800" ht="15.75" customHeight="1">
      <c r="C800" s="84"/>
      <c r="D800" s="84"/>
    </row>
    <row r="801" ht="15.75" customHeight="1">
      <c r="C801" s="84"/>
      <c r="D801" s="84"/>
    </row>
    <row r="802" ht="15.75" customHeight="1">
      <c r="C802" s="84"/>
      <c r="D802" s="84"/>
    </row>
    <row r="803" ht="15.75" customHeight="1">
      <c r="C803" s="84"/>
      <c r="D803" s="84"/>
    </row>
    <row r="804" ht="15.75" customHeight="1">
      <c r="C804" s="84"/>
      <c r="D804" s="84"/>
    </row>
    <row r="805" ht="15.75" customHeight="1">
      <c r="C805" s="84"/>
      <c r="D805" s="84"/>
    </row>
    <row r="806" ht="15.75" customHeight="1">
      <c r="C806" s="84"/>
      <c r="D806" s="84"/>
    </row>
    <row r="807" ht="15.75" customHeight="1">
      <c r="C807" s="84"/>
      <c r="D807" s="84"/>
    </row>
    <row r="808" ht="15.75" customHeight="1">
      <c r="C808" s="84"/>
      <c r="D808" s="84"/>
    </row>
    <row r="809" ht="15.75" customHeight="1">
      <c r="C809" s="84"/>
      <c r="D809" s="84"/>
    </row>
    <row r="810" ht="15.75" customHeight="1">
      <c r="C810" s="84"/>
      <c r="D810" s="84"/>
    </row>
    <row r="811" ht="15.75" customHeight="1">
      <c r="C811" s="84"/>
      <c r="D811" s="84"/>
    </row>
    <row r="812" ht="15.75" customHeight="1">
      <c r="C812" s="84"/>
      <c r="D812" s="84"/>
    </row>
    <row r="813" ht="15.75" customHeight="1">
      <c r="C813" s="84"/>
      <c r="D813" s="84"/>
    </row>
    <row r="814" ht="15.75" customHeight="1">
      <c r="C814" s="84"/>
      <c r="D814" s="84"/>
    </row>
    <row r="815" ht="15.75" customHeight="1">
      <c r="C815" s="84"/>
      <c r="D815" s="84"/>
    </row>
    <row r="816" ht="15.75" customHeight="1">
      <c r="C816" s="84"/>
      <c r="D816" s="84"/>
    </row>
    <row r="817" ht="15.75" customHeight="1">
      <c r="C817" s="84"/>
      <c r="D817" s="84"/>
    </row>
    <row r="818" ht="15.75" customHeight="1">
      <c r="C818" s="84"/>
      <c r="D818" s="84"/>
    </row>
    <row r="819" ht="15.75" customHeight="1">
      <c r="C819" s="84"/>
      <c r="D819" s="84"/>
    </row>
    <row r="820" ht="15.75" customHeight="1">
      <c r="C820" s="84"/>
      <c r="D820" s="84"/>
    </row>
    <row r="821" ht="15.75" customHeight="1">
      <c r="C821" s="84"/>
      <c r="D821" s="84"/>
    </row>
    <row r="822" ht="15.75" customHeight="1">
      <c r="C822" s="84"/>
      <c r="D822" s="84"/>
    </row>
    <row r="823" ht="15.75" customHeight="1">
      <c r="C823" s="84"/>
      <c r="D823" s="84"/>
    </row>
    <row r="824" ht="15.75" customHeight="1">
      <c r="C824" s="84"/>
      <c r="D824" s="84"/>
    </row>
    <row r="825" ht="15.75" customHeight="1">
      <c r="C825" s="84"/>
      <c r="D825" s="84"/>
    </row>
    <row r="826" ht="15.75" customHeight="1">
      <c r="C826" s="84"/>
      <c r="D826" s="84"/>
    </row>
    <row r="827" ht="15.75" customHeight="1">
      <c r="C827" s="84"/>
      <c r="D827" s="84"/>
    </row>
    <row r="828" ht="15.75" customHeight="1">
      <c r="C828" s="84"/>
      <c r="D828" s="84"/>
    </row>
    <row r="829" ht="15.75" customHeight="1">
      <c r="C829" s="84"/>
      <c r="D829" s="84"/>
    </row>
    <row r="830" ht="15.75" customHeight="1">
      <c r="C830" s="84"/>
      <c r="D830" s="84"/>
    </row>
    <row r="831" ht="15.75" customHeight="1">
      <c r="C831" s="84"/>
      <c r="D831" s="84"/>
    </row>
    <row r="832" ht="15.75" customHeight="1">
      <c r="C832" s="84"/>
      <c r="D832" s="84"/>
    </row>
    <row r="833" ht="15.75" customHeight="1">
      <c r="C833" s="84"/>
      <c r="D833" s="84"/>
    </row>
    <row r="834" ht="15.75" customHeight="1">
      <c r="C834" s="84"/>
      <c r="D834" s="84"/>
    </row>
    <row r="835" ht="15.75" customHeight="1">
      <c r="C835" s="84"/>
      <c r="D835" s="84"/>
    </row>
    <row r="836" ht="15.75" customHeight="1">
      <c r="C836" s="84"/>
      <c r="D836" s="84"/>
    </row>
    <row r="837" ht="15.75" customHeight="1">
      <c r="C837" s="84"/>
      <c r="D837" s="84"/>
    </row>
    <row r="838" ht="15.75" customHeight="1">
      <c r="C838" s="84"/>
      <c r="D838" s="84"/>
    </row>
    <row r="839" ht="15.75" customHeight="1">
      <c r="C839" s="84"/>
      <c r="D839" s="84"/>
    </row>
    <row r="840" ht="15.75" customHeight="1">
      <c r="C840" s="84"/>
      <c r="D840" s="84"/>
    </row>
    <row r="841" ht="15.75" customHeight="1">
      <c r="C841" s="84"/>
      <c r="D841" s="84"/>
    </row>
    <row r="842" ht="15.75" customHeight="1">
      <c r="C842" s="84"/>
      <c r="D842" s="84"/>
    </row>
    <row r="843" ht="15.75" customHeight="1">
      <c r="C843" s="84"/>
      <c r="D843" s="84"/>
    </row>
    <row r="844" ht="15.75" customHeight="1">
      <c r="C844" s="84"/>
      <c r="D844" s="84"/>
    </row>
    <row r="845" ht="15.75" customHeight="1">
      <c r="C845" s="84"/>
      <c r="D845" s="84"/>
    </row>
    <row r="846" ht="15.75" customHeight="1">
      <c r="C846" s="84"/>
      <c r="D846" s="84"/>
    </row>
    <row r="847" ht="15.75" customHeight="1">
      <c r="C847" s="84"/>
      <c r="D847" s="84"/>
    </row>
    <row r="848" ht="15.75" customHeight="1">
      <c r="C848" s="84"/>
      <c r="D848" s="84"/>
    </row>
    <row r="849" ht="15.75" customHeight="1">
      <c r="C849" s="84"/>
      <c r="D849" s="84"/>
    </row>
    <row r="850" ht="15.75" customHeight="1">
      <c r="C850" s="84"/>
      <c r="D850" s="84"/>
    </row>
    <row r="851" ht="15.75" customHeight="1">
      <c r="C851" s="84"/>
      <c r="D851" s="84"/>
    </row>
    <row r="852" ht="15.75" customHeight="1">
      <c r="C852" s="84"/>
      <c r="D852" s="84"/>
    </row>
    <row r="853" ht="15.75" customHeight="1">
      <c r="C853" s="84"/>
      <c r="D853" s="84"/>
    </row>
    <row r="854" ht="15.75" customHeight="1">
      <c r="C854" s="84"/>
      <c r="D854" s="84"/>
    </row>
    <row r="855" ht="15.75" customHeight="1">
      <c r="C855" s="84"/>
      <c r="D855" s="84"/>
    </row>
    <row r="856" ht="15.75" customHeight="1">
      <c r="C856" s="84"/>
      <c r="D856" s="84"/>
    </row>
    <row r="857" ht="15.75" customHeight="1">
      <c r="C857" s="84"/>
      <c r="D857" s="84"/>
    </row>
    <row r="858" ht="15.75" customHeight="1">
      <c r="C858" s="84"/>
      <c r="D858" s="84"/>
    </row>
    <row r="859" ht="15.75" customHeight="1">
      <c r="C859" s="84"/>
      <c r="D859" s="84"/>
    </row>
    <row r="860" ht="15.75" customHeight="1">
      <c r="C860" s="84"/>
      <c r="D860" s="84"/>
    </row>
    <row r="861" ht="15.75" customHeight="1">
      <c r="C861" s="84"/>
      <c r="D861" s="84"/>
    </row>
    <row r="862" ht="15.75" customHeight="1">
      <c r="C862" s="84"/>
      <c r="D862" s="84"/>
    </row>
    <row r="863" ht="15.75" customHeight="1">
      <c r="C863" s="84"/>
      <c r="D863" s="84"/>
    </row>
    <row r="864" ht="15.75" customHeight="1">
      <c r="C864" s="84"/>
      <c r="D864" s="84"/>
    </row>
    <row r="865" ht="15.75" customHeight="1">
      <c r="C865" s="84"/>
      <c r="D865" s="84"/>
    </row>
    <row r="866" ht="15.75" customHeight="1">
      <c r="C866" s="84"/>
      <c r="D866" s="84"/>
    </row>
    <row r="867" ht="15.75" customHeight="1">
      <c r="C867" s="84"/>
      <c r="D867" s="84"/>
    </row>
    <row r="868" ht="15.75" customHeight="1">
      <c r="C868" s="84"/>
      <c r="D868" s="84"/>
    </row>
    <row r="869" ht="15.75" customHeight="1">
      <c r="C869" s="84"/>
      <c r="D869" s="84"/>
    </row>
    <row r="870" ht="15.75" customHeight="1">
      <c r="C870" s="84"/>
      <c r="D870" s="84"/>
    </row>
    <row r="871" ht="15.75" customHeight="1">
      <c r="C871" s="84"/>
      <c r="D871" s="84"/>
    </row>
    <row r="872" ht="15.75" customHeight="1">
      <c r="C872" s="84"/>
      <c r="D872" s="84"/>
    </row>
    <row r="873" ht="15.75" customHeight="1">
      <c r="C873" s="84"/>
      <c r="D873" s="84"/>
    </row>
    <row r="874" ht="15.75" customHeight="1">
      <c r="C874" s="84"/>
      <c r="D874" s="84"/>
    </row>
    <row r="875" ht="15.75" customHeight="1">
      <c r="C875" s="84"/>
      <c r="D875" s="84"/>
    </row>
    <row r="876" ht="15.75" customHeight="1">
      <c r="C876" s="84"/>
      <c r="D876" s="84"/>
    </row>
    <row r="877" ht="15.75" customHeight="1">
      <c r="C877" s="84"/>
      <c r="D877" s="84"/>
    </row>
    <row r="878" ht="15.75" customHeight="1">
      <c r="C878" s="84"/>
      <c r="D878" s="84"/>
    </row>
    <row r="879" ht="15.75" customHeight="1">
      <c r="C879" s="84"/>
      <c r="D879" s="84"/>
    </row>
    <row r="880" ht="15.75" customHeight="1">
      <c r="C880" s="84"/>
      <c r="D880" s="84"/>
    </row>
    <row r="881" ht="15.75" customHeight="1">
      <c r="C881" s="84"/>
      <c r="D881" s="84"/>
    </row>
    <row r="882" ht="15.75" customHeight="1">
      <c r="C882" s="84"/>
      <c r="D882" s="84"/>
    </row>
    <row r="883" ht="15.75" customHeight="1">
      <c r="C883" s="84"/>
      <c r="D883" s="84"/>
    </row>
    <row r="884" ht="15.75" customHeight="1">
      <c r="C884" s="84"/>
      <c r="D884" s="84"/>
    </row>
    <row r="885" ht="15.75" customHeight="1">
      <c r="C885" s="84"/>
      <c r="D885" s="84"/>
    </row>
    <row r="886" ht="15.75" customHeight="1">
      <c r="C886" s="84"/>
      <c r="D886" s="84"/>
    </row>
    <row r="887" ht="15.75" customHeight="1">
      <c r="C887" s="84"/>
      <c r="D887" s="84"/>
    </row>
    <row r="888" ht="15.75" customHeight="1">
      <c r="C888" s="84"/>
      <c r="D888" s="84"/>
    </row>
    <row r="889" ht="15.75" customHeight="1">
      <c r="C889" s="84"/>
      <c r="D889" s="84"/>
    </row>
    <row r="890" ht="15.75" customHeight="1">
      <c r="C890" s="84"/>
      <c r="D890" s="84"/>
    </row>
    <row r="891" ht="15.75" customHeight="1">
      <c r="C891" s="84"/>
      <c r="D891" s="84"/>
    </row>
    <row r="892" ht="15.75" customHeight="1">
      <c r="C892" s="84"/>
      <c r="D892" s="84"/>
    </row>
    <row r="893" ht="15.75" customHeight="1">
      <c r="C893" s="84"/>
      <c r="D893" s="84"/>
    </row>
    <row r="894" ht="15.75" customHeight="1">
      <c r="C894" s="84"/>
      <c r="D894" s="84"/>
    </row>
    <row r="895" ht="15.75" customHeight="1">
      <c r="C895" s="84"/>
      <c r="D895" s="84"/>
    </row>
    <row r="896" ht="15.75" customHeight="1">
      <c r="C896" s="84"/>
      <c r="D896" s="84"/>
    </row>
    <row r="897" ht="15.75" customHeight="1">
      <c r="C897" s="84"/>
      <c r="D897" s="84"/>
    </row>
    <row r="898" ht="15.75" customHeight="1">
      <c r="C898" s="84"/>
      <c r="D898" s="84"/>
    </row>
    <row r="899" ht="15.75" customHeight="1">
      <c r="C899" s="84"/>
      <c r="D899" s="84"/>
    </row>
    <row r="900" ht="15.75" customHeight="1">
      <c r="C900" s="84"/>
      <c r="D900" s="84"/>
    </row>
    <row r="901" ht="15.75" customHeight="1">
      <c r="C901" s="84"/>
      <c r="D901" s="84"/>
    </row>
    <row r="902" ht="15.75" customHeight="1">
      <c r="C902" s="84"/>
      <c r="D902" s="84"/>
    </row>
    <row r="903" ht="15.75" customHeight="1">
      <c r="C903" s="84"/>
      <c r="D903" s="84"/>
    </row>
    <row r="904" ht="15.75" customHeight="1">
      <c r="C904" s="84"/>
      <c r="D904" s="84"/>
    </row>
    <row r="905" ht="15.75" customHeight="1">
      <c r="C905" s="84"/>
      <c r="D905" s="84"/>
    </row>
    <row r="906" ht="15.75" customHeight="1">
      <c r="C906" s="84"/>
      <c r="D906" s="84"/>
    </row>
    <row r="907" ht="15.75" customHeight="1">
      <c r="C907" s="84"/>
      <c r="D907" s="84"/>
    </row>
    <row r="908" ht="15.75" customHeight="1">
      <c r="C908" s="84"/>
      <c r="D908" s="84"/>
    </row>
    <row r="909" ht="15.75" customHeight="1">
      <c r="C909" s="84"/>
      <c r="D909" s="84"/>
    </row>
    <row r="910" ht="15.75" customHeight="1">
      <c r="C910" s="84"/>
      <c r="D910" s="84"/>
    </row>
    <row r="911" ht="15.75" customHeight="1">
      <c r="C911" s="84"/>
      <c r="D911" s="84"/>
    </row>
    <row r="912" ht="15.75" customHeight="1">
      <c r="C912" s="84"/>
      <c r="D912" s="84"/>
    </row>
    <row r="913" ht="15.75" customHeight="1">
      <c r="C913" s="84"/>
      <c r="D913" s="84"/>
    </row>
    <row r="914" ht="15.75" customHeight="1">
      <c r="C914" s="84"/>
      <c r="D914" s="84"/>
    </row>
    <row r="915" ht="15.75" customHeight="1">
      <c r="C915" s="84"/>
      <c r="D915" s="84"/>
    </row>
    <row r="916" ht="15.75" customHeight="1">
      <c r="C916" s="84"/>
      <c r="D916" s="84"/>
    </row>
    <row r="917" ht="15.75" customHeight="1">
      <c r="C917" s="84"/>
      <c r="D917" s="84"/>
    </row>
    <row r="918" ht="15.75" customHeight="1">
      <c r="C918" s="84"/>
      <c r="D918" s="84"/>
    </row>
    <row r="919" ht="15.75" customHeight="1">
      <c r="C919" s="84"/>
      <c r="D919" s="84"/>
    </row>
    <row r="920" ht="15.75" customHeight="1">
      <c r="C920" s="84"/>
      <c r="D920" s="84"/>
    </row>
    <row r="921" ht="15.75" customHeight="1">
      <c r="C921" s="84"/>
      <c r="D921" s="84"/>
    </row>
    <row r="922" ht="15.75" customHeight="1">
      <c r="C922" s="84"/>
      <c r="D922" s="84"/>
    </row>
    <row r="923" ht="15.75" customHeight="1">
      <c r="C923" s="84"/>
      <c r="D923" s="84"/>
    </row>
    <row r="924" ht="15.75" customHeight="1">
      <c r="C924" s="84"/>
      <c r="D924" s="84"/>
    </row>
    <row r="925" ht="15.75" customHeight="1">
      <c r="C925" s="84"/>
      <c r="D925" s="84"/>
    </row>
    <row r="926" ht="15.75" customHeight="1">
      <c r="C926" s="84"/>
      <c r="D926" s="84"/>
    </row>
    <row r="927" ht="15.75" customHeight="1">
      <c r="C927" s="84"/>
      <c r="D927" s="84"/>
    </row>
    <row r="928" ht="15.75" customHeight="1">
      <c r="C928" s="84"/>
      <c r="D928" s="84"/>
    </row>
    <row r="929" ht="15.75" customHeight="1">
      <c r="C929" s="84"/>
      <c r="D929" s="84"/>
    </row>
    <row r="930" ht="15.75" customHeight="1">
      <c r="C930" s="84"/>
      <c r="D930" s="84"/>
    </row>
    <row r="931" ht="15.75" customHeight="1">
      <c r="C931" s="84"/>
      <c r="D931" s="84"/>
    </row>
    <row r="932" ht="15.75" customHeight="1">
      <c r="C932" s="84"/>
      <c r="D932" s="84"/>
    </row>
    <row r="933" ht="15.75" customHeight="1">
      <c r="C933" s="84"/>
      <c r="D933" s="84"/>
    </row>
    <row r="934" ht="15.75" customHeight="1">
      <c r="C934" s="84"/>
      <c r="D934" s="84"/>
    </row>
    <row r="935" ht="15.75" customHeight="1">
      <c r="C935" s="84"/>
      <c r="D935" s="84"/>
    </row>
    <row r="936" ht="15.75" customHeight="1">
      <c r="C936" s="84"/>
      <c r="D936" s="84"/>
    </row>
    <row r="937" ht="15.75" customHeight="1">
      <c r="C937" s="84"/>
      <c r="D937" s="84"/>
    </row>
    <row r="938" ht="15.75" customHeight="1">
      <c r="C938" s="84"/>
      <c r="D938" s="84"/>
    </row>
    <row r="939" ht="15.75" customHeight="1">
      <c r="C939" s="84"/>
      <c r="D939" s="84"/>
    </row>
    <row r="940" ht="15.75" customHeight="1">
      <c r="C940" s="84"/>
      <c r="D940" s="84"/>
    </row>
    <row r="941" ht="15.75" customHeight="1">
      <c r="C941" s="84"/>
      <c r="D941" s="84"/>
    </row>
    <row r="942" ht="15.75" customHeight="1">
      <c r="C942" s="84"/>
      <c r="D942" s="84"/>
    </row>
    <row r="943" ht="15.75" customHeight="1">
      <c r="C943" s="84"/>
      <c r="D943" s="84"/>
    </row>
    <row r="944" ht="15.75" customHeight="1">
      <c r="C944" s="84"/>
      <c r="D944" s="84"/>
    </row>
    <row r="945" ht="15.75" customHeight="1">
      <c r="C945" s="84"/>
      <c r="D945" s="84"/>
    </row>
    <row r="946" ht="15.75" customHeight="1">
      <c r="C946" s="84"/>
      <c r="D946" s="84"/>
    </row>
    <row r="947" ht="15.75" customHeight="1">
      <c r="C947" s="84"/>
      <c r="D947" s="84"/>
    </row>
    <row r="948" ht="15.75" customHeight="1">
      <c r="C948" s="84"/>
      <c r="D948" s="84"/>
    </row>
    <row r="949" ht="15.75" customHeight="1">
      <c r="C949" s="84"/>
      <c r="D949" s="84"/>
    </row>
    <row r="950" ht="15.75" customHeight="1">
      <c r="C950" s="84"/>
      <c r="D950" s="84"/>
    </row>
    <row r="951" ht="15.75" customHeight="1">
      <c r="C951" s="84"/>
      <c r="D951" s="84"/>
    </row>
    <row r="952" ht="15.75" customHeight="1">
      <c r="C952" s="84"/>
      <c r="D952" s="84"/>
    </row>
    <row r="953" ht="15.75" customHeight="1">
      <c r="C953" s="84"/>
      <c r="D953" s="84"/>
    </row>
    <row r="954" ht="15.75" customHeight="1">
      <c r="C954" s="84"/>
      <c r="D954" s="84"/>
    </row>
    <row r="955" ht="15.75" customHeight="1">
      <c r="C955" s="84"/>
      <c r="D955" s="84"/>
    </row>
    <row r="956" ht="15.75" customHeight="1">
      <c r="C956" s="84"/>
      <c r="D956" s="84"/>
    </row>
    <row r="957" ht="15.75" customHeight="1">
      <c r="C957" s="84"/>
      <c r="D957" s="84"/>
    </row>
    <row r="958" ht="15.75" customHeight="1">
      <c r="C958" s="84"/>
      <c r="D958" s="84"/>
    </row>
    <row r="959" ht="15.75" customHeight="1">
      <c r="C959" s="84"/>
      <c r="D959" s="84"/>
    </row>
    <row r="960" ht="15.75" customHeight="1">
      <c r="C960" s="84"/>
      <c r="D960" s="84"/>
    </row>
    <row r="961" ht="15.75" customHeight="1">
      <c r="C961" s="84"/>
      <c r="D961" s="84"/>
    </row>
    <row r="962" ht="15.75" customHeight="1">
      <c r="C962" s="84"/>
      <c r="D962" s="84"/>
    </row>
    <row r="963" ht="15.75" customHeight="1">
      <c r="C963" s="84"/>
      <c r="D963" s="84"/>
    </row>
    <row r="964" ht="15.75" customHeight="1">
      <c r="C964" s="84"/>
      <c r="D964" s="84"/>
    </row>
    <row r="965" ht="15.75" customHeight="1">
      <c r="C965" s="84"/>
      <c r="D965" s="84"/>
    </row>
    <row r="966" ht="15.75" customHeight="1">
      <c r="C966" s="84"/>
      <c r="D966" s="84"/>
    </row>
    <row r="967" ht="15.75" customHeight="1">
      <c r="C967" s="84"/>
      <c r="D967" s="84"/>
    </row>
    <row r="968" ht="15.75" customHeight="1">
      <c r="C968" s="84"/>
      <c r="D968" s="84"/>
    </row>
    <row r="969" ht="15.75" customHeight="1">
      <c r="C969" s="84"/>
      <c r="D969" s="84"/>
    </row>
    <row r="970" ht="15.75" customHeight="1">
      <c r="C970" s="84"/>
      <c r="D970" s="84"/>
    </row>
    <row r="971" ht="15.75" customHeight="1">
      <c r="C971" s="84"/>
      <c r="D971" s="84"/>
    </row>
    <row r="972" ht="15.75" customHeight="1">
      <c r="C972" s="84"/>
      <c r="D972" s="84"/>
    </row>
    <row r="973" ht="15.75" customHeight="1">
      <c r="C973" s="84"/>
      <c r="D973" s="84"/>
    </row>
    <row r="974" ht="15.75" customHeight="1">
      <c r="C974" s="84"/>
      <c r="D974" s="84"/>
    </row>
    <row r="975" ht="15.75" customHeight="1">
      <c r="C975" s="84"/>
      <c r="D975" s="84"/>
    </row>
    <row r="976" ht="15.75" customHeight="1">
      <c r="C976" s="84"/>
      <c r="D976" s="84"/>
    </row>
    <row r="977" ht="15.75" customHeight="1">
      <c r="C977" s="84"/>
      <c r="D977" s="84"/>
    </row>
    <row r="978" ht="15.75" customHeight="1">
      <c r="C978" s="84"/>
      <c r="D978" s="84"/>
    </row>
    <row r="979" ht="15.75" customHeight="1">
      <c r="C979" s="84"/>
      <c r="D979" s="84"/>
    </row>
    <row r="980" ht="15.75" customHeight="1">
      <c r="C980" s="84"/>
      <c r="D980" s="84"/>
    </row>
    <row r="981" ht="15.75" customHeight="1">
      <c r="C981" s="84"/>
      <c r="D981" s="84"/>
    </row>
    <row r="982" ht="15.75" customHeight="1">
      <c r="C982" s="84"/>
      <c r="D982" s="84"/>
    </row>
    <row r="983" ht="15.75" customHeight="1">
      <c r="C983" s="84"/>
      <c r="D983" s="84"/>
    </row>
    <row r="984" ht="15.75" customHeight="1">
      <c r="C984" s="84"/>
      <c r="D984" s="84"/>
    </row>
    <row r="985" ht="15.75" customHeight="1">
      <c r="C985" s="84"/>
      <c r="D985" s="84"/>
    </row>
    <row r="986" ht="15.75" customHeight="1">
      <c r="C986" s="84"/>
      <c r="D986" s="84"/>
    </row>
    <row r="987" ht="15.75" customHeight="1">
      <c r="C987" s="84"/>
      <c r="D987" s="84"/>
    </row>
    <row r="988" ht="15.75" customHeight="1">
      <c r="C988" s="84"/>
      <c r="D988" s="84"/>
    </row>
    <row r="989" ht="15.75" customHeight="1">
      <c r="C989" s="84"/>
      <c r="D989" s="84"/>
    </row>
    <row r="990" ht="15.75" customHeight="1">
      <c r="C990" s="84"/>
      <c r="D990" s="84"/>
    </row>
    <row r="991" ht="15.75" customHeight="1">
      <c r="C991" s="84"/>
      <c r="D991" s="84"/>
    </row>
    <row r="992" ht="15.75" customHeight="1">
      <c r="C992" s="84"/>
      <c r="D992" s="84"/>
    </row>
    <row r="993" ht="15.75" customHeight="1">
      <c r="C993" s="84"/>
      <c r="D993" s="84"/>
    </row>
    <row r="994" ht="15.75" customHeight="1">
      <c r="C994" s="84"/>
      <c r="D994" s="84"/>
    </row>
    <row r="995" ht="15.75" customHeight="1">
      <c r="C995" s="84"/>
      <c r="D995" s="84"/>
    </row>
    <row r="996" ht="15.75" customHeight="1">
      <c r="C996" s="84"/>
      <c r="D996" s="84"/>
    </row>
    <row r="997" ht="15.75" customHeight="1">
      <c r="C997" s="84"/>
      <c r="D997" s="84"/>
    </row>
    <row r="998" ht="15.75" customHeight="1">
      <c r="C998" s="84"/>
      <c r="D998" s="84"/>
    </row>
    <row r="999" ht="15.75" customHeight="1">
      <c r="C999" s="84"/>
      <c r="D999" s="84"/>
    </row>
    <row r="1000" ht="15.75" customHeight="1">
      <c r="C1000" s="84"/>
      <c r="D1000" s="8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25"/>
    <col customWidth="1" min="3" max="3" width="20.75"/>
    <col customWidth="1" min="4" max="4" width="22.75"/>
    <col customWidth="1" min="5" max="6" width="12.63"/>
  </cols>
  <sheetData>
    <row r="1" ht="53.25" customHeight="1">
      <c r="A1" s="74" t="s">
        <v>10</v>
      </c>
      <c r="B1" s="75" t="s">
        <v>11</v>
      </c>
      <c r="C1" s="85" t="s">
        <v>365</v>
      </c>
      <c r="D1" s="85" t="s">
        <v>366</v>
      </c>
    </row>
    <row r="2" ht="15.75" customHeight="1">
      <c r="A2" s="80">
        <v>1.0</v>
      </c>
      <c r="B2" s="81" t="s">
        <v>18</v>
      </c>
      <c r="C2" s="86">
        <v>1723.0</v>
      </c>
      <c r="D2" s="86">
        <v>636.0</v>
      </c>
    </row>
    <row r="3" ht="15.75" customHeight="1">
      <c r="A3" s="80">
        <v>2.0</v>
      </c>
      <c r="B3" s="81" t="s">
        <v>20</v>
      </c>
      <c r="C3" s="86">
        <v>13225.0</v>
      </c>
      <c r="D3" s="86">
        <v>5289.0</v>
      </c>
    </row>
    <row r="4" ht="15.75" customHeight="1">
      <c r="A4" s="80">
        <v>3.0</v>
      </c>
      <c r="B4" s="81" t="s">
        <v>22</v>
      </c>
      <c r="C4" s="86">
        <v>5315.0</v>
      </c>
      <c r="D4" s="86">
        <v>2087.0</v>
      </c>
    </row>
    <row r="5" ht="15.75" customHeight="1">
      <c r="A5" s="80">
        <v>4.0</v>
      </c>
      <c r="B5" s="81" t="s">
        <v>24</v>
      </c>
      <c r="C5" s="86">
        <v>2197.0</v>
      </c>
      <c r="D5" s="86">
        <v>858.0</v>
      </c>
    </row>
    <row r="6" ht="15.75" customHeight="1">
      <c r="A6" s="80">
        <v>5.0</v>
      </c>
      <c r="B6" s="81" t="s">
        <v>26</v>
      </c>
      <c r="C6" s="86">
        <v>4719.0</v>
      </c>
      <c r="D6" s="86">
        <v>1980.0</v>
      </c>
    </row>
    <row r="7" ht="15.75" customHeight="1">
      <c r="A7" s="80">
        <v>6.0</v>
      </c>
      <c r="B7" s="81" t="s">
        <v>28</v>
      </c>
      <c r="C7" s="86">
        <v>992.0</v>
      </c>
      <c r="D7" s="86">
        <v>248.0</v>
      </c>
    </row>
    <row r="8" ht="15.75" customHeight="1">
      <c r="A8" s="80">
        <v>7.0</v>
      </c>
      <c r="B8" s="81" t="s">
        <v>30</v>
      </c>
      <c r="C8" s="86">
        <v>4505.0</v>
      </c>
      <c r="D8" s="86">
        <v>1254.0</v>
      </c>
    </row>
    <row r="9" ht="15.75" customHeight="1">
      <c r="A9" s="80">
        <v>8.0</v>
      </c>
      <c r="B9" s="81" t="s">
        <v>32</v>
      </c>
      <c r="C9" s="86">
        <v>1173.0</v>
      </c>
      <c r="D9" s="86">
        <v>657.0</v>
      </c>
    </row>
    <row r="10" ht="15.75" customHeight="1">
      <c r="A10" s="80">
        <v>9.0</v>
      </c>
      <c r="B10" s="81" t="s">
        <v>34</v>
      </c>
      <c r="C10" s="86">
        <v>347.0</v>
      </c>
      <c r="D10" s="86">
        <v>124.0</v>
      </c>
    </row>
    <row r="11" ht="15.75" customHeight="1">
      <c r="A11" s="80">
        <v>10.0</v>
      </c>
      <c r="B11" s="81" t="s">
        <v>36</v>
      </c>
      <c r="C11" s="86">
        <v>280.0</v>
      </c>
      <c r="D11" s="86">
        <v>73.0</v>
      </c>
    </row>
    <row r="12" ht="15.75" customHeight="1">
      <c r="A12" s="80">
        <v>11.0</v>
      </c>
      <c r="B12" s="81" t="s">
        <v>38</v>
      </c>
      <c r="C12" s="86">
        <v>34196.0</v>
      </c>
      <c r="D12" s="86">
        <v>13133.0</v>
      </c>
    </row>
    <row r="13" ht="15.75" customHeight="1">
      <c r="A13" s="41"/>
      <c r="B13" s="48"/>
      <c r="C13" s="62"/>
      <c r="D13" s="62"/>
    </row>
    <row r="14" ht="15.75" customHeight="1">
      <c r="A14" s="41"/>
      <c r="B14" s="48"/>
      <c r="C14" s="62"/>
      <c r="D14" s="62"/>
    </row>
    <row r="15" ht="15.75" customHeight="1">
      <c r="A15" s="41"/>
      <c r="B15" s="48"/>
      <c r="C15" s="62"/>
      <c r="D15" s="62"/>
    </row>
    <row r="16" ht="15.75" customHeight="1">
      <c r="A16" s="41"/>
      <c r="B16" s="48"/>
      <c r="C16" s="62"/>
      <c r="D16" s="62"/>
    </row>
    <row r="17" ht="15.75" customHeight="1">
      <c r="A17" s="41"/>
      <c r="B17" s="48"/>
      <c r="C17" s="62"/>
      <c r="D17" s="62"/>
    </row>
    <row r="18" ht="15.75" customHeight="1">
      <c r="A18" s="41"/>
      <c r="B18" s="48"/>
      <c r="C18" s="62"/>
      <c r="D18" s="62"/>
    </row>
    <row r="19" ht="15.75" customHeight="1">
      <c r="A19" s="41"/>
      <c r="B19" s="48"/>
      <c r="C19" s="62"/>
      <c r="D19" s="62"/>
    </row>
    <row r="20" ht="15.75" customHeight="1">
      <c r="A20" s="41"/>
      <c r="B20" s="48"/>
      <c r="C20" s="62"/>
      <c r="D20" s="62"/>
    </row>
    <row r="21" ht="15.75" customHeight="1">
      <c r="A21" s="41"/>
      <c r="B21" s="48"/>
      <c r="C21" s="62"/>
      <c r="D21" s="62"/>
    </row>
    <row r="22" ht="15.75" customHeight="1">
      <c r="A22" s="41"/>
      <c r="B22" s="48"/>
      <c r="C22" s="62"/>
      <c r="D22" s="62"/>
    </row>
    <row r="23" ht="15.75" customHeight="1">
      <c r="A23" s="41"/>
      <c r="B23" s="48"/>
      <c r="C23" s="62"/>
      <c r="D23" s="62"/>
    </row>
    <row r="24" ht="15.75" customHeight="1">
      <c r="A24" s="41"/>
      <c r="B24" s="48"/>
      <c r="C24" s="62"/>
      <c r="D24" s="62"/>
    </row>
    <row r="25" ht="15.75" customHeight="1">
      <c r="A25" s="41"/>
      <c r="B25" s="48"/>
      <c r="C25" s="62"/>
      <c r="D25" s="62"/>
    </row>
    <row r="26" ht="15.75" customHeight="1">
      <c r="A26" s="41"/>
      <c r="B26" s="48"/>
      <c r="C26" s="62"/>
      <c r="D26" s="62"/>
    </row>
    <row r="27" ht="15.75" customHeight="1">
      <c r="A27" s="41"/>
      <c r="B27" s="48"/>
      <c r="C27" s="62"/>
      <c r="D27" s="62"/>
    </row>
    <row r="28" ht="15.75" customHeight="1">
      <c r="A28" s="41"/>
      <c r="B28" s="48"/>
      <c r="C28" s="62"/>
      <c r="D28" s="62"/>
    </row>
    <row r="29" ht="15.75" customHeight="1">
      <c r="A29" s="41"/>
      <c r="B29" s="48"/>
      <c r="C29" s="62"/>
      <c r="D29" s="62"/>
    </row>
    <row r="30" ht="15.75" customHeight="1">
      <c r="A30" s="41"/>
      <c r="B30" s="48"/>
      <c r="C30" s="62"/>
      <c r="D30" s="62"/>
    </row>
    <row r="31" ht="15.75" customHeight="1">
      <c r="A31" s="41"/>
      <c r="B31" s="48"/>
      <c r="C31" s="62"/>
      <c r="D31" s="62"/>
    </row>
    <row r="32" ht="15.75" customHeight="1">
      <c r="A32" s="41"/>
      <c r="B32" s="48"/>
      <c r="C32" s="62"/>
      <c r="D32" s="62"/>
    </row>
    <row r="33" ht="15.75" customHeight="1">
      <c r="A33" s="41"/>
      <c r="B33" s="48"/>
      <c r="C33" s="62"/>
      <c r="D33" s="62"/>
    </row>
    <row r="34" ht="15.75" customHeight="1">
      <c r="A34" s="41"/>
      <c r="B34" s="48"/>
      <c r="C34" s="62"/>
      <c r="D34" s="62"/>
    </row>
    <row r="35" ht="15.75" customHeight="1">
      <c r="A35" s="41"/>
      <c r="B35" s="48"/>
      <c r="C35" s="62"/>
      <c r="D35" s="62"/>
    </row>
    <row r="36" ht="15.75" customHeight="1">
      <c r="A36" s="41"/>
      <c r="B36" s="48"/>
      <c r="C36" s="62"/>
      <c r="D36" s="62"/>
    </row>
    <row r="37" ht="15.75" customHeight="1">
      <c r="A37" s="41"/>
      <c r="B37" s="48"/>
      <c r="C37" s="62"/>
      <c r="D37" s="62"/>
    </row>
    <row r="38" ht="15.75" customHeight="1">
      <c r="A38" s="41"/>
      <c r="B38" s="48"/>
      <c r="C38" s="62"/>
      <c r="D38" s="62"/>
    </row>
    <row r="39" ht="15.75" customHeight="1">
      <c r="A39" s="41"/>
      <c r="B39" s="48"/>
      <c r="C39" s="62"/>
      <c r="D39" s="62"/>
    </row>
    <row r="40" ht="15.75" customHeight="1">
      <c r="A40" s="41"/>
      <c r="B40" s="48"/>
      <c r="C40" s="62"/>
      <c r="D40" s="62"/>
    </row>
    <row r="41" ht="15.75" customHeight="1">
      <c r="A41" s="41"/>
      <c r="B41" s="48"/>
      <c r="C41" s="62"/>
      <c r="D41" s="62"/>
    </row>
    <row r="42" ht="15.75" customHeight="1">
      <c r="A42" s="41"/>
      <c r="B42" s="48"/>
      <c r="C42" s="62"/>
      <c r="D42" s="62"/>
    </row>
    <row r="43" ht="15.75" customHeight="1">
      <c r="A43" s="41"/>
      <c r="B43" s="48"/>
      <c r="C43" s="62"/>
      <c r="D43" s="62"/>
    </row>
    <row r="44" ht="15.75" customHeight="1">
      <c r="A44" s="41"/>
      <c r="B44" s="48"/>
      <c r="C44" s="62"/>
      <c r="D44" s="62"/>
    </row>
    <row r="45" ht="15.75" customHeight="1">
      <c r="A45" s="41"/>
      <c r="B45" s="48"/>
      <c r="C45" s="62"/>
      <c r="D45" s="62"/>
    </row>
    <row r="46" ht="15.75" customHeight="1">
      <c r="A46" s="41"/>
      <c r="B46" s="48"/>
      <c r="C46" s="62"/>
      <c r="D46" s="62"/>
    </row>
    <row r="47" ht="15.75" customHeight="1">
      <c r="A47" s="41"/>
      <c r="B47" s="48"/>
      <c r="C47" s="62"/>
      <c r="D47" s="62"/>
    </row>
    <row r="48" ht="15.75" customHeight="1">
      <c r="A48" s="41"/>
      <c r="B48" s="48"/>
      <c r="C48" s="62"/>
      <c r="D48" s="62"/>
    </row>
    <row r="49" ht="15.75" customHeight="1">
      <c r="A49" s="41"/>
      <c r="B49" s="48"/>
      <c r="C49" s="62"/>
      <c r="D49" s="62"/>
    </row>
    <row r="50" ht="15.75" customHeight="1">
      <c r="A50" s="41"/>
      <c r="B50" s="48"/>
      <c r="C50" s="62"/>
      <c r="D50" s="62"/>
    </row>
    <row r="51" ht="15.75" customHeight="1">
      <c r="A51" s="41"/>
      <c r="B51" s="48"/>
      <c r="C51" s="62"/>
      <c r="D51" s="62"/>
    </row>
    <row r="52" ht="15.75" customHeight="1">
      <c r="A52" s="41"/>
      <c r="B52" s="48"/>
      <c r="C52" s="62"/>
      <c r="D52" s="62"/>
    </row>
    <row r="53" ht="15.75" customHeight="1">
      <c r="A53" s="41"/>
      <c r="B53" s="48"/>
      <c r="C53" s="62"/>
      <c r="D53" s="62"/>
    </row>
    <row r="54" ht="15.75" customHeight="1">
      <c r="A54" s="41"/>
      <c r="B54" s="48"/>
      <c r="C54" s="62"/>
      <c r="D54" s="62"/>
    </row>
    <row r="55" ht="15.75" customHeight="1">
      <c r="A55" s="41"/>
      <c r="B55" s="48"/>
      <c r="C55" s="62"/>
      <c r="D55" s="62"/>
    </row>
    <row r="56" ht="15.75" customHeight="1">
      <c r="A56" s="41"/>
      <c r="B56" s="48"/>
      <c r="C56" s="62"/>
      <c r="D56" s="62"/>
    </row>
    <row r="57" ht="15.75" customHeight="1">
      <c r="A57" s="41"/>
      <c r="B57" s="48"/>
      <c r="C57" s="62"/>
      <c r="D57" s="62"/>
    </row>
    <row r="58" ht="15.75" customHeight="1">
      <c r="A58" s="41"/>
      <c r="B58" s="48"/>
      <c r="C58" s="62"/>
      <c r="D58" s="62"/>
    </row>
    <row r="59" ht="15.75" customHeight="1">
      <c r="A59" s="41"/>
      <c r="B59" s="48"/>
      <c r="C59" s="62"/>
      <c r="D59" s="62"/>
    </row>
    <row r="60" ht="15.75" customHeight="1">
      <c r="A60" s="41"/>
      <c r="B60" s="48"/>
      <c r="C60" s="62"/>
      <c r="D60" s="62"/>
    </row>
    <row r="61" ht="15.75" customHeight="1">
      <c r="A61" s="41"/>
      <c r="B61" s="48"/>
      <c r="C61" s="62"/>
      <c r="D61" s="62"/>
    </row>
    <row r="62" ht="15.75" customHeight="1">
      <c r="A62" s="41"/>
      <c r="B62" s="48"/>
      <c r="C62" s="62"/>
      <c r="D62" s="62"/>
    </row>
    <row r="63" ht="15.75" customHeight="1">
      <c r="A63" s="41"/>
      <c r="B63" s="48"/>
      <c r="C63" s="62"/>
      <c r="D63" s="62"/>
    </row>
    <row r="64" ht="15.75" customHeight="1">
      <c r="A64" s="41"/>
      <c r="B64" s="48"/>
      <c r="C64" s="62"/>
      <c r="D64" s="62"/>
    </row>
    <row r="65" ht="15.75" customHeight="1">
      <c r="A65" s="41"/>
      <c r="B65" s="48"/>
      <c r="C65" s="62"/>
      <c r="D65" s="62"/>
    </row>
    <row r="66" ht="15.75" customHeight="1">
      <c r="A66" s="41"/>
      <c r="B66" s="48"/>
      <c r="C66" s="62"/>
      <c r="D66" s="62"/>
    </row>
    <row r="67" ht="15.75" customHeight="1">
      <c r="A67" s="41"/>
      <c r="B67" s="48"/>
      <c r="C67" s="62"/>
      <c r="D67" s="62"/>
    </row>
    <row r="68" ht="15.75" customHeight="1">
      <c r="A68" s="41"/>
      <c r="B68" s="48"/>
      <c r="C68" s="62"/>
      <c r="D68" s="62"/>
    </row>
    <row r="69" ht="15.75" customHeight="1">
      <c r="A69" s="41"/>
      <c r="B69" s="48"/>
      <c r="C69" s="62"/>
      <c r="D69" s="62"/>
    </row>
    <row r="70" ht="15.75" customHeight="1">
      <c r="A70" s="41"/>
      <c r="B70" s="48"/>
      <c r="C70" s="62"/>
      <c r="D70" s="62"/>
    </row>
    <row r="71" ht="15.75" customHeight="1">
      <c r="A71" s="41"/>
      <c r="B71" s="48"/>
      <c r="C71" s="62"/>
      <c r="D71" s="62"/>
    </row>
    <row r="72" ht="15.75" customHeight="1">
      <c r="A72" s="41"/>
      <c r="B72" s="48"/>
      <c r="C72" s="62"/>
      <c r="D72" s="62"/>
    </row>
    <row r="73" ht="15.75" customHeight="1">
      <c r="A73" s="41"/>
      <c r="B73" s="48"/>
      <c r="C73" s="62"/>
      <c r="D73" s="62"/>
    </row>
    <row r="74" ht="15.75" customHeight="1">
      <c r="A74" s="41"/>
      <c r="B74" s="48"/>
      <c r="C74" s="62"/>
      <c r="D74" s="62"/>
    </row>
    <row r="75" ht="15.75" customHeight="1">
      <c r="A75" s="41"/>
      <c r="B75" s="48"/>
      <c r="C75" s="62"/>
      <c r="D75" s="62"/>
    </row>
    <row r="76" ht="15.75" customHeight="1">
      <c r="A76" s="41"/>
      <c r="B76" s="48"/>
      <c r="C76" s="62"/>
      <c r="D76" s="62"/>
    </row>
    <row r="77" ht="15.75" customHeight="1">
      <c r="A77" s="41"/>
      <c r="B77" s="48"/>
      <c r="C77" s="62"/>
      <c r="D77" s="62"/>
    </row>
    <row r="78" ht="15.75" customHeight="1">
      <c r="A78" s="41"/>
      <c r="B78" s="48"/>
      <c r="C78" s="62"/>
      <c r="D78" s="62"/>
    </row>
    <row r="79" ht="15.75" customHeight="1">
      <c r="A79" s="41"/>
      <c r="B79" s="48"/>
      <c r="C79" s="62"/>
      <c r="D79" s="62"/>
    </row>
    <row r="80" ht="15.75" customHeight="1">
      <c r="A80" s="41"/>
      <c r="B80" s="48"/>
      <c r="C80" s="62"/>
      <c r="D80" s="62"/>
    </row>
    <row r="81" ht="15.75" customHeight="1">
      <c r="A81" s="41"/>
      <c r="B81" s="48"/>
      <c r="C81" s="62"/>
      <c r="D81" s="62"/>
    </row>
    <row r="82" ht="15.75" customHeight="1">
      <c r="A82" s="41"/>
      <c r="B82" s="48"/>
      <c r="C82" s="62"/>
      <c r="D82" s="62"/>
    </row>
    <row r="83" ht="15.75" customHeight="1">
      <c r="A83" s="41"/>
      <c r="B83" s="48"/>
      <c r="C83" s="62"/>
      <c r="D83" s="62"/>
    </row>
    <row r="84" ht="15.75" customHeight="1">
      <c r="A84" s="41"/>
      <c r="B84" s="48"/>
      <c r="C84" s="62"/>
      <c r="D84" s="62"/>
    </row>
    <row r="85" ht="15.75" customHeight="1">
      <c r="A85" s="41"/>
      <c r="B85" s="48"/>
      <c r="C85" s="62"/>
      <c r="D85" s="62"/>
    </row>
    <row r="86" ht="15.75" customHeight="1">
      <c r="A86" s="41"/>
      <c r="B86" s="48"/>
      <c r="C86" s="62"/>
      <c r="D86" s="62"/>
    </row>
    <row r="87" ht="15.75" customHeight="1">
      <c r="A87" s="41"/>
      <c r="B87" s="48"/>
      <c r="C87" s="62"/>
      <c r="D87" s="62"/>
    </row>
    <row r="88" ht="15.75" customHeight="1">
      <c r="A88" s="41"/>
      <c r="B88" s="48"/>
      <c r="C88" s="62"/>
      <c r="D88" s="62"/>
    </row>
    <row r="89" ht="15.75" customHeight="1">
      <c r="A89" s="41"/>
      <c r="B89" s="48"/>
      <c r="C89" s="62"/>
      <c r="D89" s="62"/>
    </row>
    <row r="90" ht="15.75" customHeight="1">
      <c r="A90" s="41"/>
      <c r="B90" s="48"/>
      <c r="C90" s="62"/>
      <c r="D90" s="62"/>
    </row>
    <row r="91" ht="15.75" customHeight="1">
      <c r="A91" s="41"/>
      <c r="B91" s="48"/>
      <c r="C91" s="62"/>
      <c r="D91" s="62"/>
    </row>
    <row r="92" ht="15.75" customHeight="1">
      <c r="A92" s="41"/>
      <c r="B92" s="48"/>
      <c r="C92" s="62"/>
      <c r="D92" s="62"/>
    </row>
    <row r="93" ht="15.75" customHeight="1">
      <c r="A93" s="41"/>
      <c r="B93" s="48"/>
      <c r="C93" s="62"/>
      <c r="D93" s="62"/>
    </row>
    <row r="94" ht="15.75" customHeight="1">
      <c r="A94" s="41"/>
      <c r="B94" s="48"/>
      <c r="C94" s="62"/>
      <c r="D94" s="62"/>
    </row>
    <row r="95" ht="15.75" customHeight="1">
      <c r="A95" s="41"/>
      <c r="B95" s="48"/>
      <c r="C95" s="62"/>
      <c r="D95" s="62"/>
    </row>
    <row r="96" ht="15.75" customHeight="1">
      <c r="A96" s="41"/>
      <c r="B96" s="48"/>
      <c r="C96" s="62"/>
      <c r="D96" s="62"/>
    </row>
    <row r="97" ht="15.75" customHeight="1">
      <c r="A97" s="41"/>
      <c r="B97" s="48"/>
      <c r="C97" s="62"/>
      <c r="D97" s="62"/>
    </row>
    <row r="98" ht="15.75" customHeight="1">
      <c r="A98" s="41"/>
      <c r="B98" s="48"/>
      <c r="C98" s="62"/>
      <c r="D98" s="62"/>
    </row>
    <row r="99" ht="15.75" customHeight="1">
      <c r="A99" s="41"/>
      <c r="B99" s="48"/>
      <c r="C99" s="62"/>
      <c r="D99" s="62"/>
    </row>
    <row r="100" ht="15.75" customHeight="1">
      <c r="A100" s="41"/>
      <c r="B100" s="48"/>
      <c r="C100" s="62"/>
      <c r="D100" s="62"/>
    </row>
    <row r="101" ht="15.75" customHeight="1">
      <c r="A101" s="41"/>
      <c r="B101" s="48"/>
      <c r="C101" s="62"/>
      <c r="D101" s="62"/>
    </row>
    <row r="102" ht="15.75" customHeight="1">
      <c r="A102" s="41"/>
      <c r="B102" s="48"/>
      <c r="C102" s="62"/>
      <c r="D102" s="62"/>
    </row>
    <row r="103" ht="15.75" customHeight="1">
      <c r="A103" s="41"/>
      <c r="B103" s="48"/>
      <c r="C103" s="62"/>
      <c r="D103" s="62"/>
    </row>
    <row r="104" ht="15.75" customHeight="1">
      <c r="A104" s="41"/>
      <c r="B104" s="48"/>
      <c r="C104" s="62"/>
      <c r="D104" s="62"/>
    </row>
    <row r="105" ht="15.75" customHeight="1">
      <c r="A105" s="41"/>
      <c r="B105" s="48"/>
      <c r="C105" s="62"/>
      <c r="D105" s="62"/>
    </row>
    <row r="106" ht="15.75" customHeight="1">
      <c r="A106" s="41"/>
      <c r="B106" s="48"/>
      <c r="C106" s="62"/>
      <c r="D106" s="62"/>
    </row>
    <row r="107" ht="15.75" customHeight="1">
      <c r="A107" s="41"/>
      <c r="B107" s="48"/>
      <c r="C107" s="62"/>
      <c r="D107" s="62"/>
    </row>
    <row r="108" ht="15.75" customHeight="1">
      <c r="A108" s="41"/>
      <c r="B108" s="48"/>
      <c r="C108" s="62"/>
      <c r="D108" s="62"/>
    </row>
    <row r="109" ht="15.75" customHeight="1">
      <c r="A109" s="41"/>
      <c r="B109" s="48"/>
      <c r="C109" s="62"/>
      <c r="D109" s="62"/>
    </row>
    <row r="110" ht="15.75" customHeight="1">
      <c r="A110" s="41"/>
      <c r="B110" s="48"/>
      <c r="C110" s="62"/>
      <c r="D110" s="62"/>
    </row>
    <row r="111" ht="15.75" customHeight="1">
      <c r="A111" s="41"/>
      <c r="B111" s="48"/>
      <c r="C111" s="62"/>
      <c r="D111" s="62"/>
    </row>
    <row r="112" ht="15.75" customHeight="1">
      <c r="A112" s="41"/>
      <c r="B112" s="48"/>
      <c r="C112" s="62"/>
      <c r="D112" s="62"/>
    </row>
    <row r="113" ht="15.75" customHeight="1">
      <c r="A113" s="41"/>
      <c r="B113" s="48"/>
      <c r="C113" s="62"/>
      <c r="D113" s="62"/>
    </row>
    <row r="114" ht="15.75" customHeight="1">
      <c r="A114" s="41"/>
      <c r="B114" s="48"/>
      <c r="C114" s="62"/>
      <c r="D114" s="62"/>
    </row>
    <row r="115" ht="15.75" customHeight="1">
      <c r="A115" s="41"/>
      <c r="B115" s="48"/>
      <c r="C115" s="62"/>
      <c r="D115" s="62"/>
    </row>
    <row r="116" ht="15.75" customHeight="1">
      <c r="A116" s="41"/>
      <c r="B116" s="48"/>
      <c r="C116" s="62"/>
      <c r="D116" s="62"/>
    </row>
    <row r="117" ht="15.75" customHeight="1">
      <c r="A117" s="41"/>
      <c r="B117" s="48"/>
      <c r="C117" s="62"/>
      <c r="D117" s="62"/>
    </row>
    <row r="118" ht="15.75" customHeight="1">
      <c r="A118" s="41"/>
      <c r="B118" s="48"/>
      <c r="C118" s="62"/>
      <c r="D118" s="62"/>
    </row>
    <row r="119" ht="15.75" customHeight="1">
      <c r="A119" s="41"/>
      <c r="B119" s="48"/>
      <c r="C119" s="62"/>
      <c r="D119" s="62"/>
    </row>
    <row r="120" ht="15.75" customHeight="1">
      <c r="A120" s="41"/>
      <c r="B120" s="48"/>
      <c r="C120" s="62"/>
      <c r="D120" s="62"/>
    </row>
    <row r="121" ht="15.75" customHeight="1">
      <c r="A121" s="41"/>
      <c r="B121" s="48"/>
      <c r="C121" s="62"/>
      <c r="D121" s="62"/>
    </row>
    <row r="122" ht="15.75" customHeight="1">
      <c r="A122" s="41"/>
      <c r="B122" s="48"/>
      <c r="C122" s="62"/>
      <c r="D122" s="62"/>
    </row>
    <row r="123" ht="15.75" customHeight="1">
      <c r="A123" s="41"/>
      <c r="B123" s="48"/>
      <c r="C123" s="62"/>
      <c r="D123" s="62"/>
    </row>
    <row r="124" ht="15.75" customHeight="1">
      <c r="A124" s="41"/>
      <c r="B124" s="48"/>
      <c r="C124" s="62"/>
      <c r="D124" s="62"/>
    </row>
    <row r="125" ht="15.75" customHeight="1">
      <c r="A125" s="41"/>
      <c r="B125" s="48"/>
      <c r="C125" s="62"/>
      <c r="D125" s="62"/>
    </row>
    <row r="126" ht="15.75" customHeight="1">
      <c r="A126" s="41"/>
      <c r="B126" s="48"/>
      <c r="C126" s="62"/>
      <c r="D126" s="62"/>
    </row>
    <row r="127" ht="15.75" customHeight="1">
      <c r="A127" s="41"/>
      <c r="B127" s="48"/>
      <c r="C127" s="62"/>
      <c r="D127" s="62"/>
    </row>
    <row r="128" ht="15.75" customHeight="1">
      <c r="A128" s="41"/>
      <c r="B128" s="48"/>
      <c r="C128" s="62"/>
      <c r="D128" s="62"/>
    </row>
    <row r="129" ht="15.75" customHeight="1">
      <c r="A129" s="41"/>
      <c r="B129" s="48"/>
      <c r="C129" s="62"/>
      <c r="D129" s="62"/>
    </row>
    <row r="130" ht="15.75" customHeight="1">
      <c r="A130" s="41"/>
      <c r="B130" s="48"/>
      <c r="C130" s="62"/>
      <c r="D130" s="62"/>
    </row>
    <row r="131" ht="15.75" customHeight="1">
      <c r="A131" s="41"/>
      <c r="B131" s="48"/>
      <c r="C131" s="62"/>
      <c r="D131" s="62"/>
    </row>
    <row r="132" ht="15.75" customHeight="1">
      <c r="A132" s="41"/>
      <c r="B132" s="48"/>
      <c r="C132" s="62"/>
      <c r="D132" s="62"/>
    </row>
    <row r="133" ht="15.75" customHeight="1">
      <c r="A133" s="41"/>
      <c r="B133" s="48"/>
      <c r="C133" s="62"/>
      <c r="D133" s="62"/>
    </row>
    <row r="134" ht="15.75" customHeight="1">
      <c r="A134" s="41"/>
      <c r="B134" s="48"/>
      <c r="C134" s="62"/>
      <c r="D134" s="62"/>
    </row>
    <row r="135" ht="15.75" customHeight="1">
      <c r="A135" s="41"/>
      <c r="B135" s="48"/>
      <c r="C135" s="62"/>
      <c r="D135" s="62"/>
    </row>
    <row r="136" ht="15.75" customHeight="1">
      <c r="A136" s="41"/>
      <c r="B136" s="48"/>
      <c r="C136" s="62"/>
      <c r="D136" s="62"/>
    </row>
    <row r="137" ht="15.75" customHeight="1">
      <c r="A137" s="41"/>
      <c r="B137" s="48"/>
      <c r="C137" s="62"/>
      <c r="D137" s="62"/>
    </row>
    <row r="138" ht="15.75" customHeight="1">
      <c r="A138" s="41"/>
      <c r="B138" s="48"/>
      <c r="C138" s="62"/>
      <c r="D138" s="62"/>
    </row>
    <row r="139" ht="15.75" customHeight="1">
      <c r="A139" s="41"/>
      <c r="B139" s="48"/>
      <c r="C139" s="62"/>
      <c r="D139" s="62"/>
    </row>
    <row r="140" ht="15.75" customHeight="1">
      <c r="A140" s="41"/>
      <c r="B140" s="48"/>
      <c r="C140" s="62"/>
      <c r="D140" s="62"/>
    </row>
    <row r="141" ht="15.75" customHeight="1">
      <c r="A141" s="41"/>
      <c r="B141" s="48"/>
      <c r="C141" s="62"/>
      <c r="D141" s="62"/>
    </row>
    <row r="142" ht="15.75" customHeight="1">
      <c r="A142" s="41"/>
      <c r="B142" s="48"/>
      <c r="C142" s="62"/>
      <c r="D142" s="62"/>
    </row>
    <row r="143" ht="15.75" customHeight="1">
      <c r="A143" s="41"/>
      <c r="B143" s="48"/>
      <c r="C143" s="62"/>
      <c r="D143" s="62"/>
    </row>
    <row r="144" ht="15.75" customHeight="1">
      <c r="A144" s="41"/>
      <c r="B144" s="48"/>
      <c r="C144" s="62"/>
      <c r="D144" s="62"/>
    </row>
    <row r="145" ht="15.75" customHeight="1">
      <c r="A145" s="41"/>
      <c r="B145" s="48"/>
      <c r="C145" s="62"/>
      <c r="D145" s="62"/>
    </row>
    <row r="146" ht="15.75" customHeight="1">
      <c r="A146" s="41"/>
      <c r="B146" s="48"/>
      <c r="C146" s="62"/>
      <c r="D146" s="62"/>
    </row>
    <row r="147" ht="15.75" customHeight="1">
      <c r="A147" s="41"/>
      <c r="B147" s="48"/>
      <c r="C147" s="62"/>
      <c r="D147" s="62"/>
    </row>
    <row r="148" ht="15.75" customHeight="1">
      <c r="A148" s="41"/>
      <c r="B148" s="48"/>
      <c r="C148" s="62"/>
      <c r="D148" s="62"/>
    </row>
    <row r="149" ht="15.75" customHeight="1">
      <c r="A149" s="41"/>
      <c r="B149" s="48"/>
      <c r="C149" s="62"/>
      <c r="D149" s="62"/>
    </row>
    <row r="150" ht="15.75" customHeight="1">
      <c r="A150" s="41"/>
      <c r="B150" s="48"/>
      <c r="C150" s="62"/>
      <c r="D150" s="62"/>
    </row>
    <row r="151" ht="15.75" customHeight="1">
      <c r="A151" s="41"/>
      <c r="B151" s="48"/>
      <c r="C151" s="62"/>
      <c r="D151" s="62"/>
    </row>
    <row r="152" ht="15.75" customHeight="1">
      <c r="A152" s="41"/>
      <c r="B152" s="48"/>
      <c r="C152" s="62"/>
      <c r="D152" s="62"/>
    </row>
    <row r="153" ht="15.75" customHeight="1">
      <c r="A153" s="41"/>
      <c r="B153" s="48"/>
      <c r="C153" s="62"/>
      <c r="D153" s="62"/>
    </row>
    <row r="154" ht="15.75" customHeight="1">
      <c r="A154" s="41"/>
      <c r="B154" s="48"/>
      <c r="C154" s="62"/>
      <c r="D154" s="62"/>
    </row>
    <row r="155" ht="15.75" customHeight="1">
      <c r="A155" s="41"/>
      <c r="B155" s="48"/>
      <c r="C155" s="62"/>
      <c r="D155" s="62"/>
    </row>
    <row r="156" ht="15.75" customHeight="1">
      <c r="A156" s="41"/>
      <c r="B156" s="48"/>
      <c r="C156" s="62"/>
      <c r="D156" s="62"/>
    </row>
    <row r="157" ht="15.75" customHeight="1">
      <c r="A157" s="41"/>
      <c r="B157" s="48"/>
      <c r="C157" s="62"/>
      <c r="D157" s="62"/>
    </row>
    <row r="158" ht="15.75" customHeight="1">
      <c r="A158" s="41"/>
      <c r="B158" s="48"/>
      <c r="C158" s="62"/>
      <c r="D158" s="62"/>
    </row>
    <row r="159" ht="15.75" customHeight="1">
      <c r="A159" s="41"/>
      <c r="B159" s="48"/>
      <c r="C159" s="62"/>
      <c r="D159" s="62"/>
    </row>
    <row r="160" ht="15.75" customHeight="1">
      <c r="A160" s="41"/>
      <c r="B160" s="48"/>
      <c r="C160" s="62"/>
      <c r="D160" s="62"/>
    </row>
    <row r="161" ht="15.75" customHeight="1">
      <c r="A161" s="41"/>
      <c r="B161" s="48"/>
      <c r="C161" s="62"/>
      <c r="D161" s="62"/>
    </row>
    <row r="162" ht="15.75" customHeight="1">
      <c r="A162" s="41"/>
      <c r="B162" s="48"/>
      <c r="C162" s="62"/>
      <c r="D162" s="62"/>
    </row>
    <row r="163" ht="15.75" customHeight="1">
      <c r="A163" s="41"/>
      <c r="B163" s="48"/>
      <c r="C163" s="62"/>
      <c r="D163" s="62"/>
    </row>
    <row r="164" ht="15.75" customHeight="1">
      <c r="A164" s="41"/>
      <c r="B164" s="48"/>
      <c r="C164" s="62"/>
      <c r="D164" s="62"/>
    </row>
    <row r="165" ht="15.75" customHeight="1">
      <c r="A165" s="41"/>
      <c r="B165" s="48"/>
      <c r="C165" s="62"/>
      <c r="D165" s="62"/>
    </row>
    <row r="166" ht="15.75" customHeight="1">
      <c r="A166" s="41"/>
      <c r="B166" s="48"/>
      <c r="C166" s="62"/>
      <c r="D166" s="62"/>
    </row>
    <row r="167" ht="15.75" customHeight="1">
      <c r="A167" s="41"/>
      <c r="B167" s="48"/>
      <c r="C167" s="62"/>
      <c r="D167" s="62"/>
    </row>
    <row r="168" ht="15.75" customHeight="1">
      <c r="A168" s="41"/>
      <c r="B168" s="48"/>
      <c r="C168" s="62"/>
      <c r="D168" s="62"/>
    </row>
    <row r="169" ht="15.75" customHeight="1">
      <c r="A169" s="41"/>
      <c r="B169" s="48"/>
      <c r="C169" s="62"/>
      <c r="D169" s="62"/>
    </row>
    <row r="170" ht="15.75" customHeight="1">
      <c r="A170" s="41"/>
      <c r="B170" s="48"/>
      <c r="C170" s="62"/>
      <c r="D170" s="62"/>
    </row>
    <row r="171" ht="15.75" customHeight="1">
      <c r="A171" s="41"/>
      <c r="B171" s="48"/>
      <c r="C171" s="62"/>
      <c r="D171" s="62"/>
    </row>
    <row r="172" ht="15.75" customHeight="1">
      <c r="A172" s="41"/>
      <c r="B172" s="48"/>
      <c r="C172" s="62"/>
      <c r="D172" s="62"/>
    </row>
    <row r="173" ht="15.75" customHeight="1">
      <c r="A173" s="41"/>
      <c r="B173" s="48"/>
      <c r="C173" s="62"/>
      <c r="D173" s="62"/>
    </row>
    <row r="174" ht="15.75" customHeight="1">
      <c r="A174" s="41"/>
      <c r="B174" s="48"/>
      <c r="C174" s="62"/>
      <c r="D174" s="62"/>
    </row>
    <row r="175" ht="15.75" customHeight="1">
      <c r="A175" s="41"/>
      <c r="B175" s="48"/>
      <c r="C175" s="62"/>
      <c r="D175" s="62"/>
    </row>
    <row r="176" ht="15.75" customHeight="1">
      <c r="A176" s="41"/>
      <c r="B176" s="48"/>
      <c r="C176" s="62"/>
      <c r="D176" s="62"/>
    </row>
    <row r="177" ht="15.75" customHeight="1">
      <c r="A177" s="41"/>
      <c r="B177" s="48"/>
      <c r="C177" s="62"/>
      <c r="D177" s="62"/>
    </row>
    <row r="178" ht="15.75" customHeight="1">
      <c r="A178" s="41"/>
      <c r="B178" s="48"/>
      <c r="C178" s="62"/>
      <c r="D178" s="62"/>
    </row>
    <row r="179" ht="15.75" customHeight="1">
      <c r="A179" s="41"/>
      <c r="B179" s="48"/>
      <c r="C179" s="62"/>
      <c r="D179" s="62"/>
    </row>
    <row r="180" ht="15.75" customHeight="1">
      <c r="A180" s="41"/>
      <c r="B180" s="48"/>
      <c r="C180" s="62"/>
      <c r="D180" s="62"/>
    </row>
    <row r="181" ht="15.75" customHeight="1">
      <c r="A181" s="41"/>
      <c r="B181" s="48"/>
      <c r="C181" s="62"/>
      <c r="D181" s="62"/>
    </row>
    <row r="182" ht="15.75" customHeight="1">
      <c r="A182" s="41"/>
      <c r="B182" s="48"/>
      <c r="C182" s="62"/>
      <c r="D182" s="62"/>
    </row>
    <row r="183" ht="15.75" customHeight="1">
      <c r="A183" s="41"/>
      <c r="B183" s="48"/>
      <c r="C183" s="62"/>
      <c r="D183" s="62"/>
    </row>
    <row r="184" ht="15.75" customHeight="1">
      <c r="A184" s="41"/>
      <c r="B184" s="48"/>
      <c r="C184" s="62"/>
      <c r="D184" s="62"/>
    </row>
    <row r="185" ht="15.75" customHeight="1">
      <c r="A185" s="41"/>
      <c r="B185" s="48"/>
      <c r="C185" s="62"/>
      <c r="D185" s="62"/>
    </row>
    <row r="186" ht="15.75" customHeight="1">
      <c r="A186" s="41"/>
      <c r="B186" s="48"/>
      <c r="C186" s="62"/>
      <c r="D186" s="62"/>
    </row>
    <row r="187" ht="15.75" customHeight="1">
      <c r="A187" s="41"/>
      <c r="B187" s="48"/>
      <c r="C187" s="62"/>
      <c r="D187" s="62"/>
    </row>
    <row r="188" ht="15.75" customHeight="1">
      <c r="A188" s="41"/>
      <c r="B188" s="48"/>
      <c r="C188" s="62"/>
      <c r="D188" s="62"/>
    </row>
    <row r="189" ht="15.75" customHeight="1">
      <c r="A189" s="41"/>
      <c r="B189" s="48"/>
      <c r="C189" s="62"/>
      <c r="D189" s="62"/>
    </row>
    <row r="190" ht="15.75" customHeight="1">
      <c r="A190" s="41"/>
      <c r="B190" s="48"/>
      <c r="C190" s="62"/>
      <c r="D190" s="62"/>
    </row>
    <row r="191" ht="15.75" customHeight="1">
      <c r="A191" s="41"/>
      <c r="B191" s="48"/>
      <c r="C191" s="62"/>
      <c r="D191" s="62"/>
    </row>
    <row r="192" ht="15.75" customHeight="1">
      <c r="A192" s="41"/>
      <c r="B192" s="48"/>
      <c r="C192" s="62"/>
      <c r="D192" s="62"/>
    </row>
    <row r="193" ht="15.75" customHeight="1">
      <c r="A193" s="41"/>
      <c r="B193" s="48"/>
      <c r="C193" s="62"/>
      <c r="D193" s="62"/>
    </row>
    <row r="194" ht="15.75" customHeight="1">
      <c r="A194" s="41"/>
      <c r="B194" s="48"/>
      <c r="C194" s="62"/>
      <c r="D194" s="62"/>
    </row>
    <row r="195" ht="15.75" customHeight="1">
      <c r="A195" s="41"/>
      <c r="B195" s="48"/>
      <c r="C195" s="62"/>
      <c r="D195" s="62"/>
    </row>
    <row r="196" ht="15.75" customHeight="1">
      <c r="A196" s="41"/>
      <c r="B196" s="48"/>
      <c r="C196" s="62"/>
      <c r="D196" s="62"/>
    </row>
    <row r="197" ht="15.75" customHeight="1">
      <c r="A197" s="41"/>
      <c r="B197" s="48"/>
      <c r="C197" s="62"/>
      <c r="D197" s="62"/>
    </row>
    <row r="198" ht="15.75" customHeight="1">
      <c r="A198" s="41"/>
      <c r="B198" s="48"/>
      <c r="C198" s="62"/>
      <c r="D198" s="62"/>
    </row>
    <row r="199" ht="15.75" customHeight="1">
      <c r="A199" s="41"/>
      <c r="B199" s="48"/>
      <c r="C199" s="62"/>
      <c r="D199" s="62"/>
    </row>
    <row r="200" ht="15.75" customHeight="1">
      <c r="A200" s="41"/>
      <c r="B200" s="48"/>
      <c r="C200" s="62"/>
      <c r="D200" s="62"/>
    </row>
    <row r="201" ht="15.75" customHeight="1">
      <c r="A201" s="41"/>
      <c r="B201" s="48"/>
      <c r="C201" s="62"/>
      <c r="D201" s="62"/>
    </row>
    <row r="202" ht="15.75" customHeight="1">
      <c r="A202" s="41"/>
      <c r="B202" s="48"/>
      <c r="C202" s="62"/>
      <c r="D202" s="62"/>
    </row>
    <row r="203" ht="15.75" customHeight="1">
      <c r="A203" s="41"/>
      <c r="B203" s="48"/>
      <c r="C203" s="62"/>
      <c r="D203" s="62"/>
    </row>
    <row r="204" ht="15.75" customHeight="1">
      <c r="A204" s="41"/>
      <c r="B204" s="48"/>
      <c r="C204" s="62"/>
      <c r="D204" s="62"/>
    </row>
    <row r="205" ht="15.75" customHeight="1">
      <c r="A205" s="41"/>
      <c r="B205" s="48"/>
      <c r="C205" s="62"/>
      <c r="D205" s="62"/>
    </row>
    <row r="206" ht="15.75" customHeight="1">
      <c r="A206" s="41"/>
      <c r="B206" s="48"/>
      <c r="C206" s="62"/>
      <c r="D206" s="62"/>
    </row>
    <row r="207" ht="15.75" customHeight="1">
      <c r="A207" s="41"/>
      <c r="B207" s="48"/>
      <c r="C207" s="62"/>
      <c r="D207" s="62"/>
    </row>
    <row r="208" ht="15.75" customHeight="1">
      <c r="A208" s="41"/>
      <c r="B208" s="48"/>
      <c r="C208" s="62"/>
      <c r="D208" s="62"/>
    </row>
    <row r="209" ht="15.75" customHeight="1">
      <c r="A209" s="41"/>
      <c r="B209" s="48"/>
      <c r="C209" s="62"/>
      <c r="D209" s="62"/>
    </row>
    <row r="210" ht="15.75" customHeight="1">
      <c r="A210" s="41"/>
      <c r="B210" s="48"/>
      <c r="C210" s="62"/>
      <c r="D210" s="62"/>
    </row>
    <row r="211" ht="15.75" customHeight="1">
      <c r="A211" s="41"/>
      <c r="B211" s="48"/>
      <c r="C211" s="62"/>
      <c r="D211" s="62"/>
    </row>
    <row r="212" ht="15.75" customHeight="1">
      <c r="A212" s="41"/>
      <c r="B212" s="48"/>
      <c r="C212" s="62"/>
      <c r="D212" s="62"/>
    </row>
    <row r="213" ht="15.75" customHeight="1">
      <c r="A213" s="41"/>
      <c r="B213" s="48"/>
      <c r="C213" s="62"/>
      <c r="D213" s="62"/>
    </row>
    <row r="214" ht="15.75" customHeight="1">
      <c r="A214" s="41"/>
      <c r="B214" s="48"/>
      <c r="C214" s="62"/>
      <c r="D214" s="62"/>
    </row>
    <row r="215" ht="15.75" customHeight="1">
      <c r="A215" s="41"/>
      <c r="B215" s="48"/>
      <c r="C215" s="62"/>
      <c r="D215" s="62"/>
    </row>
    <row r="216" ht="15.75" customHeight="1">
      <c r="A216" s="41"/>
      <c r="B216" s="48"/>
      <c r="C216" s="62"/>
      <c r="D216" s="62"/>
    </row>
    <row r="217" ht="15.75" customHeight="1">
      <c r="A217" s="41"/>
      <c r="B217" s="48"/>
      <c r="C217" s="62"/>
      <c r="D217" s="62"/>
    </row>
    <row r="218" ht="15.75" customHeight="1">
      <c r="A218" s="41"/>
      <c r="B218" s="48"/>
      <c r="C218" s="62"/>
      <c r="D218" s="62"/>
    </row>
    <row r="219" ht="15.75" customHeight="1">
      <c r="A219" s="41"/>
      <c r="B219" s="48"/>
      <c r="C219" s="62"/>
      <c r="D219" s="62"/>
    </row>
    <row r="220" ht="15.75" customHeight="1">
      <c r="A220" s="41"/>
      <c r="B220" s="48"/>
      <c r="C220" s="62"/>
      <c r="D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25"/>
    <col customWidth="1" min="3" max="6" width="12.63"/>
    <col customWidth="1" min="11" max="11" width="18.0"/>
  </cols>
  <sheetData>
    <row r="1" ht="15.75" customHeight="1">
      <c r="A1" s="87" t="s">
        <v>367</v>
      </c>
      <c r="B1" s="87" t="s">
        <v>368</v>
      </c>
      <c r="C1" s="88" t="s">
        <v>369</v>
      </c>
      <c r="D1" s="88" t="s">
        <v>370</v>
      </c>
      <c r="E1" s="89" t="s">
        <v>371</v>
      </c>
      <c r="F1" s="89" t="s">
        <v>372</v>
      </c>
      <c r="G1" s="90" t="s">
        <v>373</v>
      </c>
      <c r="H1" s="90" t="s">
        <v>374</v>
      </c>
      <c r="I1" s="91" t="s">
        <v>375</v>
      </c>
      <c r="J1" s="91" t="s">
        <v>376</v>
      </c>
      <c r="K1" s="92" t="s">
        <v>377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39.0" customHeight="1">
      <c r="A2" s="80">
        <v>3.0</v>
      </c>
      <c r="B2" s="53" t="s">
        <v>378</v>
      </c>
      <c r="C2" s="80">
        <v>100.0</v>
      </c>
      <c r="D2" s="93">
        <v>90.0</v>
      </c>
      <c r="E2" s="93">
        <v>90.0</v>
      </c>
      <c r="F2" s="93">
        <v>80.0</v>
      </c>
      <c r="G2" s="93">
        <v>80.0</v>
      </c>
      <c r="H2" s="93">
        <v>70.0</v>
      </c>
      <c r="I2" s="93">
        <v>70.0</v>
      </c>
      <c r="J2" s="80">
        <v>0.0</v>
      </c>
      <c r="K2" s="94" t="s">
        <v>379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2026-05-20T19:32:36Z</dcterms:created>
  <dc:creator>Oriana</dc:creator>
</cp:coreProperties>
</file>